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k.Krisyana\Downloads\"/>
    </mc:Choice>
  </mc:AlternateContent>
  <bookViews>
    <workbookView xWindow="0" yWindow="0" windowWidth="19200" windowHeight="7305" tabRatio="762" activeTab="1"/>
  </bookViews>
  <sheets>
    <sheet name="TOTAL" sheetId="11" r:id="rId1"/>
    <sheet name="FS Jimbaran April 2021" sheetId="14" r:id="rId2"/>
    <sheet name="RNs &amp; Covers April 2021" sheetId="10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K49" i="14" l="1"/>
  <c r="AA49" i="14" l="1"/>
  <c r="P49" i="14"/>
  <c r="Q47" i="14" l="1"/>
  <c r="R47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B38" i="10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A20" i="14"/>
  <c r="AB20" i="14" s="1"/>
  <c r="I20" i="14"/>
  <c r="I9" i="11"/>
  <c r="AA19" i="14"/>
  <c r="AB19" i="14" s="1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A15" i="14"/>
  <c r="AA17" i="14"/>
  <c r="AA23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AA29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 s="1"/>
  <c r="AA27" i="14"/>
  <c r="G18" i="11"/>
  <c r="G10" i="11"/>
  <c r="I16" i="11"/>
  <c r="I8" i="11"/>
  <c r="J19" i="11"/>
  <c r="J3" i="11"/>
  <c r="L9" i="11"/>
  <c r="K47" i="14"/>
  <c r="O22" i="14"/>
  <c r="AA24" i="14"/>
  <c r="P26" i="14"/>
  <c r="E47" i="14"/>
  <c r="I13" i="14"/>
  <c r="O13" i="14" s="1"/>
  <c r="I15" i="14"/>
  <c r="O15" i="14" s="1"/>
  <c r="O16" i="14"/>
  <c r="P19" i="14"/>
  <c r="AA21" i="14"/>
  <c r="I23" i="14"/>
  <c r="O23" i="14" s="1"/>
  <c r="P28" i="14"/>
  <c r="G17" i="11"/>
  <c r="J18" i="11"/>
  <c r="J10" i="11"/>
  <c r="K13" i="11"/>
  <c r="K5" i="11"/>
  <c r="AA25" i="14"/>
  <c r="F47" i="14"/>
  <c r="V47" i="14"/>
  <c r="W51" i="14" s="1"/>
  <c r="I14" i="14"/>
  <c r="O14" i="14" s="1"/>
  <c r="AA14" i="14"/>
  <c r="P24" i="14"/>
  <c r="I25" i="14"/>
  <c r="O25" i="14" s="1"/>
  <c r="O26" i="14"/>
  <c r="I14" i="11"/>
  <c r="I6" i="11"/>
  <c r="K12" i="11"/>
  <c r="K4" i="11"/>
  <c r="AA12" i="14"/>
  <c r="L2" i="11" s="1"/>
  <c r="H2" i="11"/>
  <c r="AA18" i="14"/>
  <c r="AA26" i="14"/>
  <c r="AA22" i="14"/>
  <c r="AA30" i="14"/>
  <c r="H47" i="14"/>
  <c r="P12" i="14"/>
  <c r="AA28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16" i="14"/>
  <c r="AA47" i="14" s="1"/>
  <c r="AB47" i="14" s="1"/>
  <c r="AH47" i="14"/>
  <c r="AI12" i="14"/>
  <c r="N47" i="14"/>
  <c r="O12" i="14"/>
  <c r="P47" i="14"/>
  <c r="S47" i="14" s="1"/>
  <c r="Z47" i="14"/>
  <c r="AB12" i="14"/>
  <c r="AI47" i="14" l="1"/>
  <c r="AH49" i="14"/>
  <c r="F7" i="11"/>
  <c r="F2" i="11"/>
  <c r="AB16" i="14"/>
  <c r="L6" i="11"/>
  <c r="O47" i="14"/>
  <c r="T47" i="14" s="1"/>
  <c r="U47" i="14" l="1"/>
  <c r="U48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<sst xmlns="http://schemas.openxmlformats.org/spreadsheetml/2006/main" count="100" uniqueCount="55">
  <si>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</si>
  <si>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</si>
  <si>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</si>
  <si>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</si>
  <si>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</si>
  <si>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</si>
  <si>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</si>
  <si>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</si>
  <si>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</si>
  <si>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</si>
  <si>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</si>
  <si>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</si>
  <si>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</si>
  <si>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</si>
  <si>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</si>
  <si>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</si>
  <si>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</si>
  <si>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</si>
  <si>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</si>
  <si>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</si>
  <si>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</si>
  <si>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</si>
  <si>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</si>
  <si>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</si>
  <si>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</si>
  <si>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</si>
  <si>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</si>
  <si>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</si>
  <si>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</si>
  <si>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</si>
  <si>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</si>
  <si>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</si>
  <si>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</si>
  <si>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</si>
  <si>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</si>
  <si>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</si>
  <si>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</si>
  <si>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</si>
  <si>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</si>
  <si>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</si>
  <si>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</si>
  <si>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</si>
  <si>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</si>
  <si>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</si>
  <si>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</si>
  <si>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</si>
  <si>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</si>
  <si>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</si>
  <si>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</si>
  <si>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</si>
  <si>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</si>
  <si>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</si>
  <si>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</si>
  <si>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APRIL 2021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</si>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</sst>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68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8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4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40" xfId="0" applyNumberFormat="1" applyFill="1" applyBorder="1"/>
    <xf numFmtId="168" fontId="1" fillId="0" borderId="40" xfId="0" applyNumberFormat="1" applyFont="1" applyBorder="1"/>
    <xf numFmtId="0" fontId="0" fillId="3" borderId="48" xfId="0" applyFill="1" applyBorder="1"/>
    <xf numFmtId="168" fontId="0" fillId="3" borderId="48" xfId="2" applyNumberFormat="1" applyFont="1" applyFill="1" applyBorder="1"/>
    <xf numFmtId="43" fontId="8" fillId="3" borderId="48" xfId="2" applyFont="1" applyFill="1" applyBorder="1"/>
    <xf numFmtId="168" fontId="8" fillId="3" borderId="48" xfId="2" applyNumberFormat="1" applyFont="1" applyFill="1" applyBorder="1"/>
    <xf numFmtId="43" fontId="0" fillId="3" borderId="48" xfId="0" applyNumberFormat="1" applyFill="1" applyBorder="1"/>
    <xf numFmtId="0" fontId="0" fillId="3" borderId="50" xfId="0" applyFill="1" applyBorder="1"/>
    <xf numFmtId="167" fontId="0" fillId="3" borderId="48" xfId="0" applyNumberFormat="1" applyFill="1" applyBorder="1"/>
    <xf numFmtId="168" fontId="0" fillId="3" borderId="48" xfId="0" applyNumberFormat="1" applyFill="1" applyBorder="1"/>
    <xf numFmtId="168" fontId="0" fillId="0" borderId="48" xfId="2" applyNumberFormat="1" applyFont="1" applyBorder="1"/>
    <xf numFmtId="170" fontId="0" fillId="3" borderId="50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8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8" fontId="9" fillId="0" borderId="54" xfId="2" applyNumberFormat="1" applyFont="1" applyBorder="1" applyAlignment="1">
      <alignment horizontal="center" vertical="center" wrapText="1"/>
    </xf>
    <xf numFmtId="168" fontId="8" fillId="0" borderId="55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7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8" xfId="0" applyBorder="1"/>
    <xf numFmtId="43" fontId="0" fillId="0" borderId="46" xfId="2" applyFont="1" applyBorder="1"/>
    <xf numFmtId="43" fontId="0" fillId="0" borderId="59" xfId="2" applyFont="1" applyBorder="1"/>
    <xf numFmtId="168" fontId="8" fillId="0" borderId="45" xfId="2" applyNumberFormat="1" applyFont="1" applyBorder="1" applyAlignment="1">
      <alignment horizontal="center" vertical="center" wrapText="1"/>
    </xf>
    <xf numFmtId="168" fontId="8" fillId="0" borderId="46" xfId="2" applyNumberFormat="1" applyFont="1" applyBorder="1"/>
    <xf numFmtId="168" fontId="8" fillId="0" borderId="59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8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167" fontId="0" fillId="3" borderId="5" xfId="0" applyNumberFormat="1" applyFill="1" applyBorder="1"/>
    <xf numFmtId="0" fontId="0" fillId="3" borderId="66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2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8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7" xfId="2" applyNumberFormat="1" applyFont="1" applyFill="1" applyBorder="1" applyProtection="1">
      <protection locked="0"/>
    </xf>
    <xf numFmtId="169" fontId="0" fillId="0" borderId="56" xfId="2" applyNumberFormat="1" applyFont="1" applyBorder="1"/>
    <xf numFmtId="168" fontId="14" fillId="3" borderId="46" xfId="2" applyNumberFormat="1" applyFont="1" applyFill="1" applyBorder="1" applyProtection="1">
      <protection locked="0"/>
    </xf>
    <xf numFmtId="168" fontId="0" fillId="0" borderId="59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4" xfId="2" applyNumberFormat="1" applyFont="1" applyFill="1" applyBorder="1" applyProtection="1">
      <protection locked="0"/>
    </xf>
    <xf numFmtId="168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50" xfId="0" applyNumberFormat="1" applyFill="1" applyBorder="1"/>
    <xf numFmtId="43" fontId="1" fillId="6" borderId="23" xfId="2" applyNumberFormat="1" applyFont="1" applyFill="1" applyBorder="1"/>
    <xf numFmtId="0" fontId="0" fillId="3" borderId="61" xfId="0" applyFill="1" applyBorder="1" applyAlignment="1">
      <alignment wrapText="1"/>
    </xf>
    <xf numFmtId="43" fontId="0" fillId="3" borderId="39" xfId="2" applyFont="1" applyFill="1" applyBorder="1"/>
    <xf numFmtId="43" fontId="0" fillId="3" borderId="40" xfId="2" applyFont="1" applyFill="1" applyBorder="1"/>
    <xf numFmtId="0" fontId="7" fillId="3" borderId="61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70" xfId="2" applyFont="1" applyFill="1" applyBorder="1"/>
    <xf numFmtId="43" fontId="0" fillId="3" borderId="7" xfId="2" applyFont="1" applyFill="1" applyBorder="1"/>
    <xf numFmtId="43" fontId="0" fillId="3" borderId="71" xfId="2" applyFont="1" applyFill="1" applyBorder="1"/>
    <xf numFmtId="43" fontId="0" fillId="3" borderId="11" xfId="2" applyFont="1" applyFill="1" applyBorder="1"/>
    <xf numFmtId="43" fontId="0" fillId="3" borderId="72" xfId="2" applyFont="1" applyFill="1" applyBorder="1"/>
    <xf numFmtId="43" fontId="0" fillId="3" borderId="47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9" fontId="17" fillId="0" borderId="0" xfId="5" applyFont="1"/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43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168" fontId="4" fillId="0" borderId="0" xfId="0" applyNumberFormat="1" applyFont="1" applyBorder="1"/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workbookViewId="0">
      <selection activeCell="A32" sqref="A32:XFD32"/>
    </sheetView>
  </sheetViews>
  <sheetFormatPr defaultColWidth="11.5703125" defaultRowHeight="15" x14ac:dyDescent="0.25"/>
  <cols>
    <col min="1" max="1" width="18.42578125" style="170" customWidth="1"/>
    <col min="2" max="2" width="11.5703125" style="171"/>
    <col min="3" max="3" width="11.5703125" style="172"/>
    <col min="4" max="4" width="13.42578125" style="171" customWidth="1"/>
    <col min="5" max="5" width="12.5703125" style="169" customWidth="1"/>
    <col min="6" max="6" width="12.5703125" style="173" customWidth="1"/>
    <col min="7" max="7" width="11.5703125" style="169"/>
    <col min="8" max="8" width="11.5703125" style="173"/>
    <col min="9" max="9" width="11.5703125" style="174"/>
    <col min="10" max="10" width="11.5703125" style="175"/>
    <col min="11" max="11" width="11.5703125" style="169"/>
    <col min="12" max="12" width="11.5703125" style="175"/>
    <col min="13" max="26" width="11.5703125" style="169"/>
  </cols>
  <sheetData>
    <row r="1" spans="1:15" s="163" customFormat="1" ht="60" x14ac:dyDescent="0.25">
      <c r="A1" s="159" t="s">
        <v>37</v>
      </c>
      <c r="B1" s="159" t="s">
        <v>38</v>
      </c>
      <c r="C1" s="160" t="s">
        <v>39</v>
      </c>
      <c r="D1" s="159" t="s">
        <v>40</v>
      </c>
      <c r="E1" s="158" t="s">
        <v>41</v>
      </c>
      <c r="F1" s="161" t="s">
        <v>42</v>
      </c>
      <c r="G1" s="158" t="s">
        <v>47</v>
      </c>
      <c r="H1" s="161" t="s">
        <v>48</v>
      </c>
      <c r="I1" s="177" t="s">
        <v>50</v>
      </c>
      <c r="J1" s="161" t="s">
        <v>51</v>
      </c>
      <c r="K1" s="158" t="s">
        <v>43</v>
      </c>
      <c r="L1" s="162" t="s">
        <v>44</v>
      </c>
      <c r="M1" s="158" t="s">
        <v>45</v>
      </c>
      <c r="N1" s="158" t="s">
        <v>3</v>
      </c>
    </row>
    <row r="2" spans="1:15" x14ac:dyDescent="0.25">
      <c r="A2" s="164" t="s">
        <v>49</v>
      </c>
      <c r="B2" s="165">
        <v>1</v>
      </c>
      <c r="C2" s="166">
        <v>4</v>
      </c>
      <c r="D2" s="165">
        <v>2021</v>
      </c>
      <c r="E2" s="167">
        <f>'FS Jimbaran April 2021'!P12</f>
        <v>15540.000000000069</v>
      </c>
      <c r="F2" s="176">
        <f>'FS Jimbaran April 2021'!O12/'FS Jimbaran April 2021'!P12</f>
        <v>1130.4265637065641</v>
      </c>
      <c r="G2" s="167">
        <f>'FS Jimbaran April 2021'!AG12</f>
        <v>424</v>
      </c>
      <c r="H2" s="176">
        <f>'FS Jimbaran April 2021'!AH12/'FS Jimbaran April 2021'!AG12</f>
        <v>13837.264150943396</v>
      </c>
      <c r="I2" s="167">
        <f>'FS Jimbaran April 2021'!AJ12</f>
        <v>190.67000000000007</v>
      </c>
      <c r="J2" s="168">
        <f>'FS Jimbaran April 2021'!AK12/'FS Jimbaran April 2021'!AJ12</f>
        <v>8700</v>
      </c>
      <c r="K2" s="167">
        <f>'FS Jimbaran April 2021'!V12</f>
        <v>1355.0250000000001</v>
      </c>
      <c r="L2" s="176">
        <f>'FS Jimbaran April 2021'!AA12/'FS Jimbaran April 2021'!V12</f>
        <v>7490.5758620689649</v>
      </c>
      <c r="M2" s="167">
        <v>1</v>
      </c>
      <c r="N2" s="167">
        <v>42</v>
      </c>
    </row>
    <row r="3" spans="1:15" x14ac:dyDescent="0.25">
      <c r="A3" s="164" t="s">
        <v>49</v>
      </c>
      <c r="B3" s="165">
        <f>B2+1</f>
        <v>2</v>
      </c>
      <c r="C3" s="166">
        <v>4</v>
      </c>
      <c r="D3" s="165">
        <v>2021</v>
      </c>
      <c r="E3" s="178">
        <f>'FS Jimbaran April 2021'!P13</f>
        <v>15239.999999999874</v>
      </c>
      <c r="F3" s="176">
        <f>'FS Jimbaran April 2021'!O13/'FS Jimbaran April 2021'!P13</f>
        <v>1126.1728740157469</v>
      </c>
      <c r="G3" s="178">
        <f>'FS Jimbaran April 2021'!AG13</f>
        <v>0</v>
      </c>
      <c r="H3" s="176" t="e">
        <f>'FS Jimbaran April 2021'!AH13/'FS Jimbaran April 2021'!AG13</f>
        <v>#DIV/0!</v>
      </c>
      <c r="I3" s="178">
        <f>'FS Jimbaran April 2021'!AJ13</f>
        <v>325.68000000000029</v>
      </c>
      <c r="J3" s="168">
        <f>'FS Jimbaran April 2021'!AK13/'FS Jimbaran April 2021'!AJ13</f>
        <v>8700</v>
      </c>
      <c r="K3" s="178">
        <f>'FS Jimbaran April 2021'!V13</f>
        <v>1197.1390000000004</v>
      </c>
      <c r="L3" s="176">
        <f>'FS Jimbaran April 2021'!AA13/'FS Jimbaran April 2021'!V13</f>
        <v>8265.5324496319972</v>
      </c>
      <c r="M3" s="178">
        <v>1</v>
      </c>
      <c r="N3" s="178">
        <v>30</v>
      </c>
    </row>
    <row r="4" spans="1:15" x14ac:dyDescent="0.25">
      <c r="A4" s="164" t="s">
        <v>49</v>
      </c>
      <c r="B4" s="165">
        <f t="shared" ref="B4:B31" si="0">B3+1</f>
        <v>3</v>
      </c>
      <c r="C4" s="166">
        <v>4</v>
      </c>
      <c r="D4" s="165">
        <v>2021</v>
      </c>
      <c r="E4" s="178">
        <f>'FS Jimbaran April 2021'!P14</f>
        <v>14639.999999999951</v>
      </c>
      <c r="F4" s="176">
        <f>'FS Jimbaran April 2021'!O14/'FS Jimbaran April 2021'!P14</f>
        <v>1135.5375000000008</v>
      </c>
      <c r="G4" s="178">
        <f>'FS Jimbaran April 2021'!AG14</f>
        <v>12</v>
      </c>
      <c r="H4" s="176">
        <f>'FS Jimbaran April 2021'!AH14/'FS Jimbaran April 2021'!AG14</f>
        <v>11458.333333333334</v>
      </c>
      <c r="I4" s="178">
        <f>'FS Jimbaran April 2021'!AJ14</f>
        <v>80</v>
      </c>
      <c r="J4" s="168">
        <f>'FS Jimbaran April 2021'!AK14/'FS Jimbaran April 2021'!AJ14</f>
        <v>8700</v>
      </c>
      <c r="K4" s="178">
        <f>'FS Jimbaran April 2021'!V14</f>
        <v>1215.6509999999996</v>
      </c>
      <c r="L4" s="176">
        <f>'FS Jimbaran April 2021'!AA14/'FS Jimbaran April 2021'!V14</f>
        <v>8897.6605329819176</v>
      </c>
      <c r="M4" s="178">
        <v>1</v>
      </c>
      <c r="N4" s="178">
        <v>17</v>
      </c>
    </row>
    <row r="5" spans="1:15" x14ac:dyDescent="0.25">
      <c r="A5" s="164" t="s">
        <v>49</v>
      </c>
      <c r="B5" s="165">
        <f t="shared" si="0"/>
        <v>4</v>
      </c>
      <c r="C5" s="166">
        <v>4</v>
      </c>
      <c r="D5" s="165">
        <v>2021</v>
      </c>
      <c r="E5" s="178">
        <f>'FS Jimbaran April 2021'!P15</f>
        <v>14920.000000000044</v>
      </c>
      <c r="F5" s="176">
        <f>'FS Jimbaran April 2021'!O15/'FS Jimbaran April 2021'!P15</f>
        <v>1123.9462600536187</v>
      </c>
      <c r="G5" s="178">
        <f>'FS Jimbaran April 2021'!AG15</f>
        <v>0</v>
      </c>
      <c r="H5" s="176" t="e">
        <f>'FS Jimbaran April 2021'!AH15/'FS Jimbaran April 2021'!AG15</f>
        <v>#DIV/0!</v>
      </c>
      <c r="I5" s="178">
        <f>'FS Jimbaran April 2021'!AJ15</f>
        <v>109.67000000000007</v>
      </c>
      <c r="J5" s="168">
        <f>'FS Jimbaran April 2021'!AK15/'FS Jimbaran April 2021'!AJ15</f>
        <v>8700</v>
      </c>
      <c r="K5" s="178">
        <f>'FS Jimbaran April 2021'!V15</f>
        <v>1191.4429999999998</v>
      </c>
      <c r="L5" s="176">
        <f>'FS Jimbaran April 2021'!AA15/'FS Jimbaran April 2021'!V15</f>
        <v>8479.5545125868393</v>
      </c>
      <c r="M5" s="178">
        <v>2</v>
      </c>
      <c r="N5" s="178">
        <v>28</v>
      </c>
    </row>
    <row r="6" spans="1:15" x14ac:dyDescent="0.25">
      <c r="A6" s="164" t="s">
        <v>49</v>
      </c>
      <c r="B6" s="165">
        <f t="shared" si="0"/>
        <v>5</v>
      </c>
      <c r="C6" s="166">
        <v>4</v>
      </c>
      <c r="D6" s="165">
        <v>2021</v>
      </c>
      <c r="E6" s="178">
        <f>'FS Jimbaran April 2021'!P16</f>
        <v>15760.000000000069</v>
      </c>
      <c r="F6" s="176">
        <f>'FS Jimbaran April 2021'!O16/'FS Jimbaran April 2021'!P16</f>
        <v>1121.8759263959394</v>
      </c>
      <c r="G6" s="178">
        <f>'FS Jimbaran April 2021'!AG16</f>
        <v>12</v>
      </c>
      <c r="H6" s="176">
        <f>'FS Jimbaran April 2021'!AH16/'FS Jimbaran April 2021'!AG16</f>
        <v>11458.333333333334</v>
      </c>
      <c r="I6" s="178">
        <f>'FS Jimbaran April 2021'!AJ16</f>
        <v>270.74999999997635</v>
      </c>
      <c r="J6" s="168">
        <f>'FS Jimbaran April 2021'!AK16/'FS Jimbaran April 2021'!AJ16</f>
        <v>8700</v>
      </c>
      <c r="K6" s="178">
        <f>'FS Jimbaran April 2021'!V16</f>
        <v>1236.3879999999999</v>
      </c>
      <c r="L6" s="176">
        <f>'FS Jimbaran April 2021'!AA16/'FS Jimbaran April 2021'!V16</f>
        <v>8888.7881197811694</v>
      </c>
      <c r="M6" s="178">
        <v>3</v>
      </c>
      <c r="N6" s="178">
        <v>44</v>
      </c>
    </row>
    <row r="7" spans="1:15" x14ac:dyDescent="0.25">
      <c r="A7" s="164" t="s">
        <v>49</v>
      </c>
      <c r="B7" s="165">
        <f t="shared" si="0"/>
        <v>6</v>
      </c>
      <c r="C7" s="166">
        <v>4</v>
      </c>
      <c r="D7" s="165">
        <v>2021</v>
      </c>
      <c r="E7" s="178">
        <f>'FS Jimbaran April 2021'!P17</f>
        <v>14239.999999999894</v>
      </c>
      <c r="F7" s="176">
        <f>'FS Jimbaran April 2021'!O17/'FS Jimbaran April 2021'!P17</f>
        <v>1128.1564466292139</v>
      </c>
      <c r="G7" s="178">
        <f>'FS Jimbaran April 2021'!AG17</f>
        <v>0</v>
      </c>
      <c r="H7" s="176" t="e">
        <f>'FS Jimbaran April 2021'!AH17/'FS Jimbaran April 2021'!AG17</f>
        <v>#DIV/0!</v>
      </c>
      <c r="I7" s="178">
        <f>'FS Jimbaran April 2021'!AJ17</f>
        <v>93.159999999999854</v>
      </c>
      <c r="J7" s="168">
        <f>'FS Jimbaran April 2021'!AK17/'FS Jimbaran April 2021'!AJ17</f>
        <v>8700</v>
      </c>
      <c r="K7" s="178">
        <f>'FS Jimbaran April 2021'!V17</f>
        <v>1226.6870000000001</v>
      </c>
      <c r="L7" s="176">
        <f>'FS Jimbaran April 2021'!AA17/'FS Jimbaran April 2021'!V17</f>
        <v>9483.1676079228018</v>
      </c>
      <c r="M7" s="178">
        <v>3</v>
      </c>
      <c r="N7" s="178">
        <v>44</v>
      </c>
    </row>
    <row r="8" spans="1:15" x14ac:dyDescent="0.25">
      <c r="A8" s="164" t="s">
        <v>49</v>
      </c>
      <c r="B8" s="165">
        <f t="shared" si="0"/>
        <v>7</v>
      </c>
      <c r="C8" s="166">
        <v>4</v>
      </c>
      <c r="D8" s="165">
        <v>2021</v>
      </c>
      <c r="E8" s="178">
        <f>'FS Jimbaran April 2021'!P18</f>
        <v>14580.000000000047</v>
      </c>
      <c r="F8" s="176">
        <f>'FS Jimbaran April 2021'!O18/'FS Jimbaran April 2021'!P18</f>
        <v>1125.2918518518511</v>
      </c>
      <c r="G8" s="178">
        <f>'FS Jimbaran April 2021'!AG18</f>
        <v>0</v>
      </c>
      <c r="H8" s="176" t="e">
        <f>'FS Jimbaran April 2021'!AH18/'FS Jimbaran April 2021'!AG18</f>
        <v>#DIV/0!</v>
      </c>
      <c r="I8" s="178">
        <f>'FS Jimbaran April 2021'!AJ18</f>
        <v>213.30000000000109</v>
      </c>
      <c r="J8" s="168">
        <f>'FS Jimbaran April 2021'!AK18/'FS Jimbaran April 2021'!AJ18</f>
        <v>8700</v>
      </c>
      <c r="K8" s="178">
        <f>'FS Jimbaran April 2021'!V18</f>
        <v>1226.865</v>
      </c>
      <c r="L8" s="176">
        <f>'FS Jimbaran April 2021'!AA18/'FS Jimbaran April 2021'!V18</f>
        <v>8496.6937033006889</v>
      </c>
      <c r="M8" s="178">
        <v>1</v>
      </c>
      <c r="N8" s="178">
        <v>69</v>
      </c>
    </row>
    <row r="9" spans="1:15" x14ac:dyDescent="0.25">
      <c r="A9" s="164" t="s">
        <v>49</v>
      </c>
      <c r="B9" s="165">
        <f t="shared" si="0"/>
        <v>8</v>
      </c>
      <c r="C9" s="166">
        <v>4</v>
      </c>
      <c r="D9" s="165">
        <v>2021</v>
      </c>
      <c r="E9" s="178">
        <f>'FS Jimbaran April 2021'!P19</f>
        <v>14900.000000000076</v>
      </c>
      <c r="F9" s="176">
        <f>'FS Jimbaran April 2021'!O19/'FS Jimbaran April 2021'!P19</f>
        <v>1126.1500671140939</v>
      </c>
      <c r="G9" s="178">
        <f>'FS Jimbaran April 2021'!AG19</f>
        <v>62</v>
      </c>
      <c r="H9" s="176">
        <f>'FS Jimbaran April 2021'!AH19/'FS Jimbaran April 2021'!AG19</f>
        <v>13491.935483870968</v>
      </c>
      <c r="I9" s="178">
        <f>'FS Jimbaran April 2021'!AJ19</f>
        <v>88.059999999999491</v>
      </c>
      <c r="J9" s="168">
        <f>'FS Jimbaran April 2021'!AK19/'FS Jimbaran April 2021'!AJ19</f>
        <v>8700</v>
      </c>
      <c r="K9" s="178">
        <f>'FS Jimbaran April 2021'!V19</f>
        <v>1286.94</v>
      </c>
      <c r="L9" s="176">
        <f>'FS Jimbaran April 2021'!AA19/'FS Jimbaran April 2021'!V19</f>
        <v>8326.7066943291829</v>
      </c>
      <c r="M9" s="178">
        <v>1</v>
      </c>
      <c r="N9" s="178">
        <v>23</v>
      </c>
      <c r="O9" s="169" t="s">
        <v>46</v>
      </c>
    </row>
    <row r="10" spans="1:15" x14ac:dyDescent="0.25">
      <c r="A10" s="164" t="s">
        <v>49</v>
      </c>
      <c r="B10" s="165">
        <f t="shared" si="0"/>
        <v>9</v>
      </c>
      <c r="C10" s="166">
        <v>4</v>
      </c>
      <c r="D10" s="165">
        <v>2021</v>
      </c>
      <c r="E10" s="178">
        <f>'FS Jimbaran April 2021'!P20</f>
        <v>14519.999999999811</v>
      </c>
      <c r="F10" s="176">
        <f>'FS Jimbaran April 2021'!O20/'FS Jimbaran April 2021'!P20</f>
        <v>1132.081859504133</v>
      </c>
      <c r="G10" s="178">
        <f>'FS Jimbaran April 2021'!AG20</f>
        <v>12</v>
      </c>
      <c r="H10" s="176">
        <f>'FS Jimbaran April 2021'!AH20/'FS Jimbaran April 2021'!AG20</f>
        <v>11458.333333333334</v>
      </c>
      <c r="I10" s="178">
        <f>'FS Jimbaran April 2021'!AJ20</f>
        <v>208.54000000000087</v>
      </c>
      <c r="J10" s="168">
        <f>'FS Jimbaran April 2021'!AK20/'FS Jimbaran April 2021'!AJ20</f>
        <v>8700</v>
      </c>
      <c r="K10" s="178">
        <f>'FS Jimbaran April 2021'!V20</f>
        <v>1281.7780000000007</v>
      </c>
      <c r="L10" s="176">
        <f>'FS Jimbaran April 2021'!AA20/'FS Jimbaran April 2021'!V20</f>
        <v>8943.5432551034555</v>
      </c>
      <c r="M10" s="178">
        <v>1</v>
      </c>
      <c r="N10" s="178">
        <v>19</v>
      </c>
    </row>
    <row r="11" spans="1:15" x14ac:dyDescent="0.25">
      <c r="A11" s="164" t="s">
        <v>49</v>
      </c>
      <c r="B11" s="165">
        <f t="shared" si="0"/>
        <v>10</v>
      </c>
      <c r="C11" s="166">
        <v>4</v>
      </c>
      <c r="D11" s="165">
        <v>2021</v>
      </c>
      <c r="E11" s="178">
        <f>'FS Jimbaran April 2021'!P21</f>
        <v>15860.00000000024</v>
      </c>
      <c r="F11" s="176">
        <f>'FS Jimbaran April 2021'!O21/'FS Jimbaran April 2021'!P21</f>
        <v>1130.4761538461535</v>
      </c>
      <c r="G11" s="178">
        <f>'FS Jimbaran April 2021'!AG21</f>
        <v>0</v>
      </c>
      <c r="H11" s="176" t="e">
        <f>'FS Jimbaran April 2021'!AH21/'FS Jimbaran April 2021'!AG21</f>
        <v>#DIV/0!</v>
      </c>
      <c r="I11" s="178">
        <f>'FS Jimbaran April 2021'!AJ21</f>
        <v>210</v>
      </c>
      <c r="J11" s="168">
        <f>'FS Jimbaran April 2021'!AK21/'FS Jimbaran April 2021'!AJ21</f>
        <v>8700</v>
      </c>
      <c r="K11" s="178">
        <f>'FS Jimbaran April 2021'!V21</f>
        <v>1246.2669999999994</v>
      </c>
      <c r="L11" s="176">
        <f>'FS Jimbaran April 2021'!AA21/'FS Jimbaran April 2021'!V21</f>
        <v>8802.9703306434367</v>
      </c>
      <c r="M11" s="178">
        <v>1</v>
      </c>
      <c r="N11" s="178">
        <v>43</v>
      </c>
    </row>
    <row r="12" spans="1:15" x14ac:dyDescent="0.25">
      <c r="A12" s="164" t="s">
        <v>49</v>
      </c>
      <c r="B12" s="165">
        <f t="shared" si="0"/>
        <v>11</v>
      </c>
      <c r="C12" s="166">
        <v>4</v>
      </c>
      <c r="D12" s="165">
        <v>2021</v>
      </c>
      <c r="E12" s="178">
        <f>'FS Jimbaran April 2021'!P22</f>
        <v>15719.999999999993</v>
      </c>
      <c r="F12" s="176">
        <f>'FS Jimbaran April 2021'!O22/'FS Jimbaran April 2021'!P22</f>
        <v>1122.7538931297702</v>
      </c>
      <c r="G12" s="178">
        <f>'FS Jimbaran April 2021'!AG22</f>
        <v>0</v>
      </c>
      <c r="H12" s="176" t="e">
        <f>'FS Jimbaran April 2021'!AH22/'FS Jimbaran April 2021'!AG22</f>
        <v>#DIV/0!</v>
      </c>
      <c r="I12" s="178">
        <f>'FS Jimbaran April 2021'!AJ22</f>
        <v>75.039999999999054</v>
      </c>
      <c r="J12" s="168">
        <f>'FS Jimbaran April 2021'!AK22/'FS Jimbaran April 2021'!AJ22</f>
        <v>8700</v>
      </c>
      <c r="K12" s="178">
        <f>'FS Jimbaran April 2021'!V22</f>
        <v>1041.7449999999999</v>
      </c>
      <c r="L12" s="176">
        <f>'FS Jimbaran April 2021'!AA22/'FS Jimbaran April 2021'!V22</f>
        <v>9603.9764459632643</v>
      </c>
      <c r="M12" s="178">
        <v>4</v>
      </c>
      <c r="N12" s="178">
        <v>29</v>
      </c>
    </row>
    <row r="13" spans="1:15" x14ac:dyDescent="0.25">
      <c r="A13" s="164" t="s">
        <v>49</v>
      </c>
      <c r="B13" s="165">
        <f t="shared" si="0"/>
        <v>12</v>
      </c>
      <c r="C13" s="166">
        <v>4</v>
      </c>
      <c r="D13" s="165">
        <v>2021</v>
      </c>
      <c r="E13" s="178">
        <f>'FS Jimbaran April 2021'!P23</f>
        <v>14799.999999999805</v>
      </c>
      <c r="F13" s="176">
        <f>'FS Jimbaran April 2021'!O23/'FS Jimbaran April 2021'!P23</f>
        <v>1128.1603783783798</v>
      </c>
      <c r="G13" s="178">
        <f>'FS Jimbaran April 2021'!AG23</f>
        <v>0</v>
      </c>
      <c r="H13" s="176" t="e">
        <f>'FS Jimbaran April 2021'!AH23/'FS Jimbaran April 2021'!AG23</f>
        <v>#DIV/0!</v>
      </c>
      <c r="I13" s="178">
        <f>'FS Jimbaran April 2021'!AJ23</f>
        <v>186.30000000000109</v>
      </c>
      <c r="J13" s="168">
        <f>'FS Jimbaran April 2021'!AK23/'FS Jimbaran April 2021'!AJ23</f>
        <v>8700</v>
      </c>
      <c r="K13" s="178">
        <f>'FS Jimbaran April 2021'!V23</f>
        <v>1035.4260000000004</v>
      </c>
      <c r="L13" s="176">
        <f>'FS Jimbaran April 2021'!AA23/'FS Jimbaran April 2021'!V23</f>
        <v>9660.2753068592046</v>
      </c>
      <c r="M13" s="178">
        <v>6</v>
      </c>
      <c r="N13" s="178">
        <v>46</v>
      </c>
    </row>
    <row r="14" spans="1:15" x14ac:dyDescent="0.25">
      <c r="A14" s="164" t="s">
        <v>49</v>
      </c>
      <c r="B14" s="165">
        <f t="shared" si="0"/>
        <v>13</v>
      </c>
      <c r="C14" s="166">
        <v>4</v>
      </c>
      <c r="D14" s="165">
        <v>2021</v>
      </c>
      <c r="E14" s="178">
        <f>'FS Jimbaran April 2021'!P24</f>
        <v>14799.999999999969</v>
      </c>
      <c r="F14" s="176">
        <f>'FS Jimbaran April 2021'!O24/'FS Jimbaran April 2021'!P24</f>
        <v>1128.1603783783773</v>
      </c>
      <c r="G14" s="178">
        <f>'FS Jimbaran April 2021'!AG24</f>
        <v>436</v>
      </c>
      <c r="H14" s="176">
        <f>'FS Jimbaran April 2021'!AH24/'FS Jimbaran April 2021'!AG24</f>
        <v>13771.788990825688</v>
      </c>
      <c r="I14" s="178">
        <f>'FS Jimbaran April 2021'!AJ24</f>
        <v>195.55999999999949</v>
      </c>
      <c r="J14" s="168">
        <f>'FS Jimbaran April 2021'!AK24/'FS Jimbaran April 2021'!AJ24</f>
        <v>8700</v>
      </c>
      <c r="K14" s="178">
        <f>'FS Jimbaran April 2021'!V24</f>
        <v>1179.9620000000002</v>
      </c>
      <c r="L14" s="176">
        <f>'FS Jimbaran April 2021'!AA24/'FS Jimbaran April 2021'!V24</f>
        <v>8903.7966842661026</v>
      </c>
      <c r="M14" s="178">
        <v>13</v>
      </c>
      <c r="N14" s="178">
        <v>81</v>
      </c>
    </row>
    <row r="15" spans="1:15" x14ac:dyDescent="0.25">
      <c r="A15" s="164" t="s">
        <v>49</v>
      </c>
      <c r="B15" s="165">
        <f t="shared" si="0"/>
        <v>14</v>
      </c>
      <c r="C15" s="166">
        <v>4</v>
      </c>
      <c r="D15" s="165">
        <v>2021</v>
      </c>
      <c r="E15" s="178">
        <f>'FS Jimbaran April 2021'!P25</f>
        <v>15040.000000000049</v>
      </c>
      <c r="F15" s="176">
        <f>'FS Jimbaran April 2021'!O25/'FS Jimbaran April 2021'!P25</f>
        <v>1125.9975398936167</v>
      </c>
      <c r="G15" s="178">
        <f>'FS Jimbaran April 2021'!AG25</f>
        <v>12</v>
      </c>
      <c r="H15" s="176">
        <f>'FS Jimbaran April 2021'!AH25/'FS Jimbaran April 2021'!AG25</f>
        <v>11458.333333333334</v>
      </c>
      <c r="I15" s="178">
        <f>'FS Jimbaran April 2021'!AJ25</f>
        <v>281.86999999999898</v>
      </c>
      <c r="J15" s="168">
        <f>'FS Jimbaran April 2021'!AK25/'FS Jimbaran April 2021'!AJ25</f>
        <v>8700</v>
      </c>
      <c r="K15" s="178">
        <f>'FS Jimbaran April 2021'!V25</f>
        <v>1127.0959999999998</v>
      </c>
      <c r="L15" s="176">
        <f>'FS Jimbaran April 2021'!AA25/'FS Jimbaran April 2021'!V25</f>
        <v>9078.9550473783966</v>
      </c>
      <c r="M15" s="178">
        <v>15</v>
      </c>
      <c r="N15" s="178">
        <v>84</v>
      </c>
    </row>
    <row r="16" spans="1:15" x14ac:dyDescent="0.25">
      <c r="A16" s="164" t="s">
        <v>49</v>
      </c>
      <c r="B16" s="165">
        <f t="shared" si="0"/>
        <v>15</v>
      </c>
      <c r="C16" s="166">
        <v>4</v>
      </c>
      <c r="D16" s="165">
        <v>2021</v>
      </c>
      <c r="E16" s="178">
        <f>'FS Jimbaran April 2021'!P26</f>
        <v>14160.000000000025</v>
      </c>
      <c r="F16" s="176">
        <f>'FS Jimbaran April 2021'!O26/'FS Jimbaran April 2021'!P26</f>
        <v>1130.1413135593223</v>
      </c>
      <c r="G16" s="178">
        <f>'FS Jimbaran April 2021'!AG26</f>
        <v>12</v>
      </c>
      <c r="H16" s="176">
        <f>'FS Jimbaran April 2021'!AH26/'FS Jimbaran April 2021'!AG26</f>
        <v>11458.333333333334</v>
      </c>
      <c r="I16" s="178">
        <f>'FS Jimbaran April 2021'!AJ26</f>
        <v>124.25</v>
      </c>
      <c r="J16" s="168">
        <f>'FS Jimbaran April 2021'!AK26/'FS Jimbaran April 2021'!AJ26</f>
        <v>8700</v>
      </c>
      <c r="K16" s="178">
        <f>'FS Jimbaran April 2021'!V26</f>
        <v>1163.1409999999996</v>
      </c>
      <c r="L16" s="176">
        <f>'FS Jimbaran April 2021'!AA26/'FS Jimbaran April 2021'!V26</f>
        <v>9149.7055490091079</v>
      </c>
      <c r="M16" s="178">
        <v>3</v>
      </c>
      <c r="N16" s="178">
        <v>54</v>
      </c>
    </row>
    <row r="17" spans="1:14" x14ac:dyDescent="0.25">
      <c r="A17" s="164" t="s">
        <v>49</v>
      </c>
      <c r="B17" s="165">
        <f t="shared" si="0"/>
        <v>16</v>
      </c>
      <c r="C17" s="166">
        <v>4</v>
      </c>
      <c r="D17" s="165">
        <v>2021</v>
      </c>
      <c r="E17" s="178">
        <f>'FS Jimbaran April 2021'!P27</f>
        <v>14520.000000000075</v>
      </c>
      <c r="F17" s="176">
        <f>'FS Jimbaran April 2021'!O27/'FS Jimbaran April 2021'!P27</f>
        <v>1124.2350413223144</v>
      </c>
      <c r="G17" s="178">
        <f>'FS Jimbaran April 2021'!AG27</f>
        <v>12</v>
      </c>
      <c r="H17" s="176">
        <f>'FS Jimbaran April 2021'!AH27/'FS Jimbaran April 2021'!AG27</f>
        <v>11458.333333333334</v>
      </c>
      <c r="I17" s="178">
        <f>'FS Jimbaran April 2021'!AJ27</f>
        <v>247.15999999999985</v>
      </c>
      <c r="J17" s="168">
        <f>'FS Jimbaran April 2021'!AK27/'FS Jimbaran April 2021'!AJ27</f>
        <v>8700</v>
      </c>
      <c r="K17" s="178">
        <f>'FS Jimbaran April 2021'!V27</f>
        <v>1043.7920000000011</v>
      </c>
      <c r="L17" s="176">
        <f>'FS Jimbaran April 2021'!AA27/'FS Jimbaran April 2021'!V27</f>
        <v>9488.1398908594765</v>
      </c>
      <c r="M17" s="178">
        <v>3</v>
      </c>
      <c r="N17" s="178">
        <v>35</v>
      </c>
    </row>
    <row r="18" spans="1:14" x14ac:dyDescent="0.25">
      <c r="A18" s="164" t="s">
        <v>49</v>
      </c>
      <c r="B18" s="165">
        <f t="shared" si="0"/>
        <v>17</v>
      </c>
      <c r="C18" s="166">
        <v>4</v>
      </c>
      <c r="D18" s="165">
        <v>2021</v>
      </c>
      <c r="E18" s="178">
        <f>'FS Jimbaran April 2021'!P28</f>
        <v>14699.999999999975</v>
      </c>
      <c r="F18" s="176">
        <f>'FS Jimbaran April 2021'!O28/'FS Jimbaran April 2021'!P28</f>
        <v>1128.7888163265297</v>
      </c>
      <c r="G18" s="178">
        <f>'FS Jimbaran April 2021'!AG28</f>
        <v>12</v>
      </c>
      <c r="H18" s="176">
        <f>'FS Jimbaran April 2021'!AH28/'FS Jimbaran April 2021'!AG28</f>
        <v>11458.333333333334</v>
      </c>
      <c r="I18" s="178">
        <f>'FS Jimbaran April 2021'!AJ28</f>
        <v>215.1200000000008</v>
      </c>
      <c r="J18" s="168">
        <f>'FS Jimbaran April 2021'!AK28/'FS Jimbaran April 2021'!AJ28</f>
        <v>8700</v>
      </c>
      <c r="K18" s="178">
        <f>'FS Jimbaran April 2021'!V28</f>
        <v>1099.3279999999991</v>
      </c>
      <c r="L18" s="176">
        <f>'FS Jimbaran April 2021'!AA28/'FS Jimbaran April 2021'!V28</f>
        <v>9767.7545142487088</v>
      </c>
      <c r="M18" s="178">
        <v>6</v>
      </c>
      <c r="N18" s="178">
        <v>68</v>
      </c>
    </row>
    <row r="19" spans="1:14" x14ac:dyDescent="0.25">
      <c r="A19" s="164" t="s">
        <v>49</v>
      </c>
      <c r="B19" s="165">
        <f t="shared" si="0"/>
        <v>18</v>
      </c>
      <c r="C19" s="166">
        <v>4</v>
      </c>
      <c r="D19" s="165">
        <v>2021</v>
      </c>
      <c r="E19" s="178">
        <f>'FS Jimbaran April 2021'!P29</f>
        <v>14519.999999999918</v>
      </c>
      <c r="F19" s="176">
        <f>'FS Jimbaran April 2021'!O29/'FS Jimbaran April 2021'!P29</f>
        <v>1127.0884297520674</v>
      </c>
      <c r="G19" s="178">
        <f>'FS Jimbaran April 2021'!AG29</f>
        <v>512</v>
      </c>
      <c r="H19" s="176">
        <f>'FS Jimbaran April 2021'!AH29/'FS Jimbaran April 2021'!AG29</f>
        <v>13920.8984375</v>
      </c>
      <c r="I19" s="178">
        <f>'FS Jimbaran April 2021'!AJ29</f>
        <v>91.219999999999345</v>
      </c>
      <c r="J19" s="168">
        <f>'FS Jimbaran April 2021'!AK29/'FS Jimbaran April 2021'!AJ29</f>
        <v>8700</v>
      </c>
      <c r="K19" s="178">
        <f>'FS Jimbaran April 2021'!V29</f>
        <v>1002.3180000000007</v>
      </c>
      <c r="L19" s="176">
        <f>'FS Jimbaran April 2021'!AA29/'FS Jimbaran April 2021'!V29</f>
        <v>9558.8361179186613</v>
      </c>
      <c r="M19" s="178">
        <v>4</v>
      </c>
      <c r="N19" s="178">
        <v>33</v>
      </c>
    </row>
    <row r="20" spans="1:14" x14ac:dyDescent="0.25">
      <c r="A20" s="164" t="s">
        <v>49</v>
      </c>
      <c r="B20" s="165">
        <f t="shared" si="0"/>
        <v>19</v>
      </c>
      <c r="C20" s="166">
        <v>4</v>
      </c>
      <c r="D20" s="165">
        <v>2021</v>
      </c>
      <c r="E20" s="178">
        <f>'FS Jimbaran April 2021'!P30</f>
        <v>14500.000000000156</v>
      </c>
      <c r="F20" s="176">
        <f>'FS Jimbaran April 2021'!O30/'FS Jimbaran April 2021'!P30</f>
        <v>1114.3564137931016</v>
      </c>
      <c r="G20" s="178">
        <f>'FS Jimbaran April 2021'!AG30</f>
        <v>12</v>
      </c>
      <c r="H20" s="176">
        <f>'FS Jimbaran April 2021'!AH30/'FS Jimbaran April 2021'!AG30</f>
        <v>11458.333333333334</v>
      </c>
      <c r="I20" s="178">
        <f>'FS Jimbaran April 2021'!AJ30</f>
        <v>135.39000000000124</v>
      </c>
      <c r="J20" s="168">
        <f>'FS Jimbaran April 2021'!AK30/'FS Jimbaran April 2021'!AJ30</f>
        <v>8700</v>
      </c>
      <c r="K20" s="178">
        <f>'FS Jimbaran April 2021'!V30</f>
        <v>962.89099999999962</v>
      </c>
      <c r="L20" s="176">
        <f>'FS Jimbaran April 2021'!AA30/'FS Jimbaran April 2021'!V30</f>
        <v>9345.0770699695004</v>
      </c>
      <c r="M20" s="178">
        <v>5</v>
      </c>
      <c r="N20" s="178">
        <v>59</v>
      </c>
    </row>
    <row r="21" spans="1:14" x14ac:dyDescent="0.25">
      <c r="A21" s="164" t="s">
        <v>49</v>
      </c>
      <c r="B21" s="165">
        <f t="shared" si="0"/>
        <v>20</v>
      </c>
      <c r="C21" s="166">
        <v>4</v>
      </c>
      <c r="D21" s="165">
        <v>2021</v>
      </c>
      <c r="E21" s="178">
        <f>'FS Jimbaran April 2021'!P31</f>
        <v>14719.99999999992</v>
      </c>
      <c r="F21" s="176">
        <f>'FS Jimbaran April 2021'!O31/'FS Jimbaran April 2021'!P31</f>
        <v>1132.8843750000005</v>
      </c>
      <c r="G21" s="178">
        <f>'FS Jimbaran April 2021'!AG31</f>
        <v>12</v>
      </c>
      <c r="H21" s="176">
        <f>'FS Jimbaran April 2021'!AH31/'FS Jimbaran April 2021'!AG31</f>
        <v>11458.333333333334</v>
      </c>
      <c r="I21" s="178">
        <f>'FS Jimbaran April 2021'!AJ31</f>
        <v>153</v>
      </c>
      <c r="J21" s="168">
        <f>'FS Jimbaran April 2021'!AK31/'FS Jimbaran April 2021'!AJ31</f>
        <v>8700</v>
      </c>
      <c r="K21" s="178">
        <f>'FS Jimbaran April 2021'!V31</f>
        <v>1008.37</v>
      </c>
      <c r="L21" s="176">
        <f>'FS Jimbaran April 2021'!AA31/'FS Jimbaran April 2021'!V31</f>
        <v>9914.597263901147</v>
      </c>
      <c r="M21" s="178">
        <v>6</v>
      </c>
      <c r="N21" s="178">
        <v>55</v>
      </c>
    </row>
    <row r="22" spans="1:14" x14ac:dyDescent="0.25">
      <c r="A22" s="164" t="s">
        <v>49</v>
      </c>
      <c r="B22" s="165">
        <f t="shared" si="0"/>
        <v>21</v>
      </c>
      <c r="C22" s="166">
        <v>4</v>
      </c>
      <c r="D22" s="165">
        <v>2021</v>
      </c>
      <c r="E22" s="178">
        <f>'FS Jimbaran April 2021'!P32</f>
        <v>14120.000000000096</v>
      </c>
      <c r="F22" s="176">
        <f>'FS Jimbaran April 2021'!O32/'FS Jimbaran April 2021'!P32</f>
        <v>1126.7408498583573</v>
      </c>
      <c r="G22" s="178">
        <f>'FS Jimbaran April 2021'!AG32</f>
        <v>412</v>
      </c>
      <c r="H22" s="176">
        <f>'FS Jimbaran April 2021'!AH32/'FS Jimbaran April 2021'!AG32</f>
        <v>13906.553398058253</v>
      </c>
      <c r="I22" s="178">
        <f>'FS Jimbaran April 2021'!AJ32</f>
        <v>172.76000000000022</v>
      </c>
      <c r="J22" s="168">
        <f>'FS Jimbaran April 2021'!AK32/'FS Jimbaran April 2021'!AJ32</f>
        <v>8700</v>
      </c>
      <c r="K22" s="178">
        <f>'FS Jimbaran April 2021'!V32</f>
        <v>1066.6500000000001</v>
      </c>
      <c r="L22" s="176">
        <f>'FS Jimbaran April 2021'!AA32/'FS Jimbaran April 2021'!V32</f>
        <v>10131.986231321589</v>
      </c>
      <c r="M22" s="178">
        <v>4</v>
      </c>
      <c r="N22" s="178">
        <v>88</v>
      </c>
    </row>
    <row r="23" spans="1:14" x14ac:dyDescent="0.25">
      <c r="A23" s="164" t="s">
        <v>49</v>
      </c>
      <c r="B23" s="165">
        <f t="shared" si="0"/>
        <v>22</v>
      </c>
      <c r="C23" s="166">
        <v>4</v>
      </c>
      <c r="D23" s="165">
        <v>2021</v>
      </c>
      <c r="E23" s="178">
        <f>'FS Jimbaran April 2021'!P33</f>
        <v>14399.999999999807</v>
      </c>
      <c r="F23" s="176">
        <f>'FS Jimbaran April 2021'!O33/'FS Jimbaran April 2021'!P33</f>
        <v>1125.6914583333335</v>
      </c>
      <c r="G23" s="178">
        <f>'FS Jimbaran April 2021'!AG33</f>
        <v>650</v>
      </c>
      <c r="H23" s="176">
        <f>'FS Jimbaran April 2021'!AH33/'FS Jimbaran April 2021'!AG33</f>
        <v>13980</v>
      </c>
      <c r="I23" s="178">
        <f>'FS Jimbaran April 2021'!AJ33</f>
        <v>230.69999999999891</v>
      </c>
      <c r="J23" s="168">
        <f>'FS Jimbaran April 2021'!AK33/'FS Jimbaran April 2021'!AJ33</f>
        <v>8700</v>
      </c>
      <c r="K23" s="178">
        <f>'FS Jimbaran April 2021'!V33</f>
        <v>1093.5700000000002</v>
      </c>
      <c r="L23" s="176">
        <f>'FS Jimbaran April 2021'!AA33/'FS Jimbaran April 2021'!V33</f>
        <v>10012.201578207998</v>
      </c>
      <c r="M23" s="178">
        <v>2</v>
      </c>
      <c r="N23" s="178">
        <v>26</v>
      </c>
    </row>
    <row r="24" spans="1:14" x14ac:dyDescent="0.25">
      <c r="A24" s="164" t="s">
        <v>49</v>
      </c>
      <c r="B24" s="165">
        <f t="shared" si="0"/>
        <v>23</v>
      </c>
      <c r="C24" s="166">
        <v>4</v>
      </c>
      <c r="D24" s="165">
        <v>2021</v>
      </c>
      <c r="E24" s="178">
        <f>'FS Jimbaran April 2021'!P34</f>
        <v>14099.999999999987</v>
      </c>
      <c r="F24" s="176">
        <f>'FS Jimbaran April 2021'!O34/'FS Jimbaran April 2021'!P34</f>
        <v>1130.5428510638299</v>
      </c>
      <c r="G24" s="178">
        <f>'FS Jimbaran April 2021'!AG34</f>
        <v>0</v>
      </c>
      <c r="H24" s="176" t="e">
        <f>'FS Jimbaran April 2021'!AH34/'FS Jimbaran April 2021'!AG34</f>
        <v>#DIV/0!</v>
      </c>
      <c r="I24" s="178">
        <f>'FS Jimbaran April 2021'!AJ34</f>
        <v>229.96999999999935</v>
      </c>
      <c r="J24" s="168">
        <f>'FS Jimbaran April 2021'!AK34/'FS Jimbaran April 2021'!AJ34</f>
        <v>8700</v>
      </c>
      <c r="K24" s="178">
        <f>'FS Jimbaran April 2021'!V34</f>
        <v>1063.21</v>
      </c>
      <c r="L24" s="176">
        <f>'FS Jimbaran April 2021'!AA34/'FS Jimbaran April 2021'!V34</f>
        <v>10060.571262679114</v>
      </c>
      <c r="M24" s="178">
        <v>3</v>
      </c>
      <c r="N24" s="178">
        <v>39</v>
      </c>
    </row>
    <row r="25" spans="1:14" x14ac:dyDescent="0.25">
      <c r="A25" s="164" t="s">
        <v>49</v>
      </c>
      <c r="B25" s="165">
        <f t="shared" si="0"/>
        <v>24</v>
      </c>
      <c r="C25" s="166">
        <v>4</v>
      </c>
      <c r="D25" s="165">
        <v>2021</v>
      </c>
      <c r="E25" s="178">
        <f>'FS Jimbaran April 2021'!P35</f>
        <v>14980.000000000018</v>
      </c>
      <c r="F25" s="176">
        <f>'FS Jimbaran April 2021'!O35/'FS Jimbaran April 2021'!P35</f>
        <v>1129.1246595460618</v>
      </c>
      <c r="G25" s="178">
        <f>'FS Jimbaran April 2021'!AG35</f>
        <v>0</v>
      </c>
      <c r="H25" s="176" t="e">
        <f>'FS Jimbaran April 2021'!AH35/'FS Jimbaran April 2021'!AG35</f>
        <v>#DIV/0!</v>
      </c>
      <c r="I25" s="178">
        <f>'FS Jimbaran April 2021'!AJ35</f>
        <v>96.130000000001019</v>
      </c>
      <c r="J25" s="168">
        <f>'FS Jimbaran April 2021'!AK35/'FS Jimbaran April 2021'!AJ35</f>
        <v>8700</v>
      </c>
      <c r="K25" s="178">
        <f>'FS Jimbaran April 2021'!V35</f>
        <v>1081.46</v>
      </c>
      <c r="L25" s="176">
        <f>'FS Jimbaran April 2021'!AA35/'FS Jimbaran April 2021'!V35</f>
        <v>9911.6145450683016</v>
      </c>
      <c r="M25" s="178">
        <v>8</v>
      </c>
      <c r="N25" s="178">
        <v>62</v>
      </c>
    </row>
    <row r="26" spans="1:14" x14ac:dyDescent="0.25">
      <c r="A26" s="164" t="s">
        <v>49</v>
      </c>
      <c r="B26" s="165">
        <f>B25+1</f>
        <v>25</v>
      </c>
      <c r="C26" s="166">
        <v>4</v>
      </c>
      <c r="D26" s="165">
        <v>2021</v>
      </c>
      <c r="E26" s="178">
        <f>'FS Jimbaran April 2021'!P36</f>
        <v>15140.000000000015</v>
      </c>
      <c r="F26" s="176">
        <f>'FS Jimbaran April 2021'!O36/'FS Jimbaran April 2021'!P36</f>
        <v>1129.5064597093792</v>
      </c>
      <c r="G26" s="178">
        <f>'FS Jimbaran April 2021'!AG36</f>
        <v>12</v>
      </c>
      <c r="H26" s="176">
        <f>'FS Jimbaran April 2021'!AH36/'FS Jimbaran April 2021'!AG36</f>
        <v>11458.333333333334</v>
      </c>
      <c r="I26" s="178">
        <f>'FS Jimbaran April 2021'!AJ36</f>
        <v>104</v>
      </c>
      <c r="J26" s="168">
        <f>'FS Jimbaran April 2021'!AK36/'FS Jimbaran April 2021'!AJ36</f>
        <v>8700</v>
      </c>
      <c r="K26" s="178">
        <f>'FS Jimbaran April 2021'!V36</f>
        <v>1064.19</v>
      </c>
      <c r="L26" s="176">
        <f>'FS Jimbaran April 2021'!AA36/'FS Jimbaran April 2021'!V36</f>
        <v>10274.706184091099</v>
      </c>
      <c r="M26" s="178">
        <v>11</v>
      </c>
      <c r="N26" s="178">
        <v>43</v>
      </c>
    </row>
    <row r="27" spans="1:14" x14ac:dyDescent="0.25">
      <c r="A27" s="164" t="s">
        <v>49</v>
      </c>
      <c r="B27" s="165">
        <f t="shared" si="0"/>
        <v>26</v>
      </c>
      <c r="C27" s="166">
        <v>4</v>
      </c>
      <c r="D27" s="165">
        <v>2021</v>
      </c>
      <c r="E27" s="178">
        <f>'FS Jimbaran April 2021'!P37</f>
        <v>15480.000000000104</v>
      </c>
      <c r="F27" s="176">
        <f>'FS Jimbaran April 2021'!O37/'FS Jimbaran April 2021'!P37</f>
        <v>1127.4478682170529</v>
      </c>
      <c r="G27" s="178">
        <f>'FS Jimbaran April 2021'!AG37</f>
        <v>120</v>
      </c>
      <c r="H27" s="176">
        <f>'FS Jimbaran April 2021'!AH37/'FS Jimbaran April 2021'!AG37</f>
        <v>11458.333333333334</v>
      </c>
      <c r="I27" s="178">
        <f>'FS Jimbaran April 2021'!AJ37</f>
        <v>274</v>
      </c>
      <c r="J27" s="168">
        <f>'FS Jimbaran April 2021'!AK37/'FS Jimbaran April 2021'!AJ37</f>
        <v>8700</v>
      </c>
      <c r="K27" s="178">
        <f>'FS Jimbaran April 2021'!V37</f>
        <v>1055.8699999999999</v>
      </c>
      <c r="L27" s="176">
        <f>'FS Jimbaran April 2021'!AA37/'FS Jimbaran April 2021'!V37</f>
        <v>10074.971758219586</v>
      </c>
      <c r="M27" s="178">
        <v>9</v>
      </c>
      <c r="N27" s="178">
        <v>114</v>
      </c>
    </row>
    <row r="28" spans="1:14" x14ac:dyDescent="0.25">
      <c r="A28" s="164" t="s">
        <v>49</v>
      </c>
      <c r="B28" s="165">
        <f t="shared" si="0"/>
        <v>27</v>
      </c>
      <c r="C28" s="166">
        <v>4</v>
      </c>
      <c r="D28" s="165">
        <v>2021</v>
      </c>
      <c r="E28" s="178">
        <f>'FS Jimbaran April 2021'!P38</f>
        <v>14939.999999999976</v>
      </c>
      <c r="F28" s="176">
        <f>'FS Jimbaran April 2021'!O38/'FS Jimbaran April 2021'!P38</f>
        <v>1124.5215261044179</v>
      </c>
      <c r="G28" s="178">
        <f>'FS Jimbaran April 2021'!AG38</f>
        <v>0</v>
      </c>
      <c r="H28" s="176" t="e">
        <f>'FS Jimbaran April 2021'!AH38/'FS Jimbaran April 2021'!AG38</f>
        <v>#DIV/0!</v>
      </c>
      <c r="I28" s="178">
        <f>'FS Jimbaran April 2021'!AJ38</f>
        <v>167.54999999999927</v>
      </c>
      <c r="J28" s="168">
        <f>'FS Jimbaran April 2021'!AK38/'FS Jimbaran April 2021'!AJ38</f>
        <v>8700</v>
      </c>
      <c r="K28" s="178">
        <f>'FS Jimbaran April 2021'!V38</f>
        <v>1073.72</v>
      </c>
      <c r="L28" s="176">
        <f>'FS Jimbaran April 2021'!AA38/'FS Jimbaran April 2021'!V38</f>
        <v>10605.087871208612</v>
      </c>
      <c r="M28" s="178">
        <v>7</v>
      </c>
      <c r="N28" s="178">
        <v>114</v>
      </c>
    </row>
    <row r="29" spans="1:14" x14ac:dyDescent="0.25">
      <c r="A29" s="164" t="s">
        <v>49</v>
      </c>
      <c r="B29" s="165">
        <f t="shared" si="0"/>
        <v>28</v>
      </c>
      <c r="C29" s="166">
        <v>4</v>
      </c>
      <c r="D29" s="165">
        <v>2021</v>
      </c>
      <c r="E29" s="178">
        <f>'FS Jimbaran April 2021'!P39</f>
        <v>14439.999999999949</v>
      </c>
      <c r="F29" s="176">
        <f>'FS Jimbaran April 2021'!O39/'FS Jimbaran April 2021'!P39</f>
        <v>1123.290498614959</v>
      </c>
      <c r="G29" s="178">
        <f>'FS Jimbaran April 2021'!AG39</f>
        <v>12</v>
      </c>
      <c r="H29" s="176">
        <f>'FS Jimbaran April 2021'!AH39/'FS Jimbaran April 2021'!AG39</f>
        <v>11458.333333333334</v>
      </c>
      <c r="I29" s="178">
        <f>'FS Jimbaran April 2021'!AJ39</f>
        <v>275.67000000000189</v>
      </c>
      <c r="J29" s="168">
        <f>'FS Jimbaran April 2021'!AK39/'FS Jimbaran April 2021'!AJ39</f>
        <v>8700</v>
      </c>
      <c r="K29" s="178">
        <f>'FS Jimbaran April 2021'!V39</f>
        <v>1056.33</v>
      </c>
      <c r="L29" s="176">
        <f>'FS Jimbaran April 2021'!AA39/'FS Jimbaran April 2021'!V39</f>
        <v>9916.3459234338061</v>
      </c>
      <c r="M29" s="178">
        <v>4</v>
      </c>
      <c r="N29" s="178">
        <v>130</v>
      </c>
    </row>
    <row r="30" spans="1:14" x14ac:dyDescent="0.25">
      <c r="A30" s="164" t="s">
        <v>49</v>
      </c>
      <c r="B30" s="165">
        <f t="shared" si="0"/>
        <v>29</v>
      </c>
      <c r="C30" s="166">
        <v>4</v>
      </c>
      <c r="D30" s="165">
        <v>2021</v>
      </c>
      <c r="E30" s="178">
        <f>'FS Jimbaran April 2021'!P40</f>
        <v>15400.000000000142</v>
      </c>
      <c r="F30" s="176">
        <f>'FS Jimbaran April 2021'!O40/'FS Jimbaran April 2021'!P40</f>
        <v>1127.9240649350631</v>
      </c>
      <c r="G30" s="178">
        <f>'FS Jimbaran April 2021'!AG40</f>
        <v>0</v>
      </c>
      <c r="H30" s="176" t="e">
        <f>'FS Jimbaran April 2021'!AH40/'FS Jimbaran April 2021'!AG40</f>
        <v>#DIV/0!</v>
      </c>
      <c r="I30" s="178">
        <f>'FS Jimbaran April 2021'!AJ40</f>
        <v>46.219999999997526</v>
      </c>
      <c r="J30" s="168">
        <f>'FS Jimbaran April 2021'!AK40/'FS Jimbaran April 2021'!AJ40</f>
        <v>8700</v>
      </c>
      <c r="K30" s="178">
        <f>'FS Jimbaran April 2021'!V40</f>
        <v>919.09</v>
      </c>
      <c r="L30" s="176">
        <f>'FS Jimbaran April 2021'!AA40/'FS Jimbaran April 2021'!V40</f>
        <v>10254.889657368847</v>
      </c>
      <c r="M30" s="178">
        <v>4</v>
      </c>
      <c r="N30" s="178">
        <v>25</v>
      </c>
    </row>
    <row r="31" spans="1:14" x14ac:dyDescent="0.25">
      <c r="A31" s="164" t="s">
        <v>49</v>
      </c>
      <c r="B31" s="165">
        <f t="shared" si="0"/>
        <v>30</v>
      </c>
      <c r="C31" s="166">
        <v>4</v>
      </c>
      <c r="D31" s="165">
        <v>2021</v>
      </c>
      <c r="E31" s="178">
        <f>'FS Jimbaran April 2021'!P41</f>
        <v>15180.000000000007</v>
      </c>
      <c r="F31" s="176">
        <f>'FS Jimbaran April 2021'!O41/'FS Jimbaran April 2021'!P41</f>
        <v>1125.1654940711471</v>
      </c>
      <c r="G31" s="178">
        <f>'FS Jimbaran April 2021'!AG41</f>
        <v>0</v>
      </c>
      <c r="H31" s="176" t="e">
        <f>'FS Jimbaran April 2021'!AH41/'FS Jimbaran April 2021'!AG41</f>
        <v>#DIV/0!</v>
      </c>
      <c r="I31" s="178">
        <f>'FS Jimbaran April 2021'!AJ41</f>
        <v>231.65999999999985</v>
      </c>
      <c r="J31" s="168">
        <f>'FS Jimbaran April 2021'!AK41/'FS Jimbaran April 2021'!AJ41</f>
        <v>8700</v>
      </c>
      <c r="K31" s="178">
        <f>'FS Jimbaran April 2021'!V41</f>
        <v>1092.78</v>
      </c>
      <c r="L31" s="176">
        <f>'FS Jimbaran April 2021'!AA41/'FS Jimbaran April 2021'!V41</f>
        <v>10129.531315149236</v>
      </c>
      <c r="M31" s="178">
        <v>6</v>
      </c>
      <c r="N31" s="178">
        <v>50</v>
      </c>
    </row>
    <row r="32" spans="1:14" x14ac:dyDescent="0.25">
      <c r="E32" s="174"/>
      <c r="G32" s="174"/>
      <c r="K32" s="174"/>
      <c r="M32" s="174"/>
      <c r="N32" s="17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102"/>
  <sheetViews>
    <sheetView tabSelected="1" zoomScale="62" zoomScaleNormal="62" workbookViewId="0">
      <pane xSplit="4" ySplit="10" topLeftCell="S11" activePane="bottomRight" state="frozen"/>
      <selection pane="topRight" activeCell="E1" sqref="E1"/>
      <selection pane="bottomLeft" activeCell="A11" sqref="A11"/>
      <selection pane="bottomRight" activeCell="AJ47" sqref="AJ47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7" bestFit="1" customWidth="1"/>
    <col min="14" max="14" width="20.42578125" style="71" customWidth="1"/>
    <col min="15" max="15" width="18.85546875" customWidth="1"/>
    <col min="16" max="16" width="15.140625" style="71" customWidth="1"/>
    <col min="17" max="17" width="19.7109375" customWidth="1"/>
    <col min="18" max="18" width="18.140625" style="92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92" bestFit="1" customWidth="1"/>
    <col min="37" max="37" width="20.7109375" bestFit="1" customWidth="1"/>
    <col min="38" max="38" width="9.42578125" style="44" bestFit="1" customWidth="1"/>
    <col min="39" max="39" width="2.28515625" style="15" customWidth="1"/>
  </cols>
  <sheetData>
    <row r="5" spans="1:39" x14ac:dyDescent="0.25">
      <c r="N5" s="179"/>
      <c r="X5" s="180"/>
    </row>
    <row r="6" spans="1:39" s="28" customFormat="1" ht="19.5" thickBot="1" x14ac:dyDescent="0.35">
      <c r="B6" s="28" t="s">
        <v>28</v>
      </c>
      <c r="C6" s="37"/>
      <c r="E6" s="37"/>
      <c r="F6" s="37"/>
      <c r="H6" s="37"/>
      <c r="L6" s="37"/>
      <c r="M6" s="62"/>
      <c r="N6" s="68"/>
      <c r="P6" s="68"/>
      <c r="R6" s="88"/>
      <c r="AD6" s="37"/>
      <c r="AH6" s="37"/>
      <c r="AJ6" s="88"/>
      <c r="AL6" s="40"/>
    </row>
    <row r="7" spans="1:39" s="12" customFormat="1" ht="16.5" thickBot="1" x14ac:dyDescent="0.3">
      <c r="A7" s="33"/>
      <c r="B7" s="235" t="s">
        <v>53</v>
      </c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236"/>
      <c r="P7" s="236"/>
      <c r="Q7" s="236"/>
      <c r="R7" s="236"/>
      <c r="S7" s="236"/>
      <c r="T7" s="236"/>
      <c r="U7" s="236"/>
      <c r="V7" s="236"/>
      <c r="W7" s="236"/>
      <c r="X7" s="236"/>
      <c r="Y7" s="236"/>
      <c r="Z7" s="236"/>
      <c r="AA7" s="236"/>
      <c r="AB7" s="236"/>
      <c r="AC7" s="236"/>
      <c r="AD7" s="236"/>
      <c r="AE7" s="236"/>
      <c r="AF7" s="236"/>
      <c r="AG7" s="236"/>
      <c r="AH7" s="236"/>
      <c r="AI7" s="236"/>
      <c r="AJ7" s="236"/>
      <c r="AK7" s="236"/>
      <c r="AL7" s="237"/>
      <c r="AM7" s="33"/>
    </row>
    <row r="8" spans="1:39" s="8" customFormat="1" ht="15.75" customHeight="1" thickBot="1" x14ac:dyDescent="0.3">
      <c r="A8" s="29"/>
      <c r="B8" s="238" t="s">
        <v>1</v>
      </c>
      <c r="C8" s="241" t="s">
        <v>2</v>
      </c>
      <c r="D8" s="244" t="s">
        <v>3</v>
      </c>
      <c r="E8" s="247" t="s">
        <v>34</v>
      </c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8"/>
      <c r="V8" s="249" t="s">
        <v>19</v>
      </c>
      <c r="W8" s="250"/>
      <c r="X8" s="250"/>
      <c r="Y8" s="250"/>
      <c r="Z8" s="250"/>
      <c r="AA8" s="250"/>
      <c r="AB8" s="251"/>
      <c r="AC8" s="252" t="s">
        <v>24</v>
      </c>
      <c r="AD8" s="252"/>
      <c r="AE8" s="252"/>
      <c r="AF8" s="252"/>
      <c r="AG8" s="252"/>
      <c r="AH8" s="252"/>
      <c r="AI8" s="252"/>
      <c r="AJ8" s="252"/>
      <c r="AK8" s="252"/>
      <c r="AL8" s="253"/>
      <c r="AM8" s="31"/>
    </row>
    <row r="9" spans="1:39" ht="15" customHeight="1" thickBot="1" x14ac:dyDescent="0.3">
      <c r="A9" s="32"/>
      <c r="B9" s="239"/>
      <c r="C9" s="242"/>
      <c r="D9" s="245"/>
      <c r="E9" s="254" t="s">
        <v>33</v>
      </c>
      <c r="F9" s="255"/>
      <c r="G9" s="255"/>
      <c r="H9" s="255"/>
      <c r="I9" s="256"/>
      <c r="J9" s="257" t="s">
        <v>5</v>
      </c>
      <c r="K9" s="257"/>
      <c r="L9" s="257"/>
      <c r="M9" s="257"/>
      <c r="N9" s="258"/>
      <c r="O9" s="244" t="s">
        <v>12</v>
      </c>
      <c r="P9" s="259" t="s">
        <v>32</v>
      </c>
      <c r="Q9" s="261" t="s">
        <v>52</v>
      </c>
      <c r="R9" s="227" t="s">
        <v>21</v>
      </c>
      <c r="S9" s="229" t="s">
        <v>13</v>
      </c>
      <c r="T9" s="231" t="s">
        <v>18</v>
      </c>
      <c r="U9" s="232"/>
      <c r="V9" s="56"/>
      <c r="W9" s="56" t="s">
        <v>4</v>
      </c>
      <c r="X9" s="56"/>
      <c r="Y9" s="57"/>
      <c r="Z9" s="185"/>
      <c r="AA9" s="233" t="s">
        <v>27</v>
      </c>
      <c r="AB9" s="234"/>
      <c r="AC9" s="252" t="s">
        <v>22</v>
      </c>
      <c r="AD9" s="252"/>
      <c r="AE9" s="252"/>
      <c r="AF9" s="252"/>
      <c r="AG9" s="252"/>
      <c r="AH9" s="252"/>
      <c r="AI9" s="253"/>
      <c r="AJ9" s="143" t="s">
        <v>20</v>
      </c>
      <c r="AK9" s="39"/>
      <c r="AL9" s="41"/>
      <c r="AM9" s="32"/>
    </row>
    <row r="10" spans="1:39" ht="61.5" customHeight="1" thickBot="1" x14ac:dyDescent="0.3">
      <c r="A10" s="30"/>
      <c r="B10" s="240"/>
      <c r="C10" s="243"/>
      <c r="D10" s="246"/>
      <c r="E10" s="102" t="s">
        <v>35</v>
      </c>
      <c r="F10" s="86" t="s">
        <v>6</v>
      </c>
      <c r="G10" s="136" t="s">
        <v>36</v>
      </c>
      <c r="H10" s="19" t="s">
        <v>6</v>
      </c>
      <c r="I10" s="103" t="s">
        <v>14</v>
      </c>
      <c r="J10" s="102" t="s">
        <v>35</v>
      </c>
      <c r="K10" s="87" t="s">
        <v>6</v>
      </c>
      <c r="L10" s="136" t="s">
        <v>36</v>
      </c>
      <c r="M10" s="63" t="s">
        <v>6</v>
      </c>
      <c r="N10" s="95" t="s">
        <v>15</v>
      </c>
      <c r="O10" s="246"/>
      <c r="P10" s="260"/>
      <c r="Q10" s="262"/>
      <c r="R10" s="228"/>
      <c r="S10" s="230"/>
      <c r="T10" s="186" t="s">
        <v>16</v>
      </c>
      <c r="U10" s="25" t="s">
        <v>17</v>
      </c>
      <c r="V10" s="187" t="s">
        <v>8</v>
      </c>
      <c r="W10" s="58" t="s">
        <v>0</v>
      </c>
      <c r="X10" s="58" t="s">
        <v>26</v>
      </c>
      <c r="Y10" s="24" t="s">
        <v>10</v>
      </c>
      <c r="Z10" s="24" t="s">
        <v>30</v>
      </c>
      <c r="AA10" s="24" t="s">
        <v>16</v>
      </c>
      <c r="AB10" s="13" t="s">
        <v>17</v>
      </c>
      <c r="AC10" s="128" t="s">
        <v>7</v>
      </c>
      <c r="AD10" s="51" t="s">
        <v>31</v>
      </c>
      <c r="AE10" s="50" t="s">
        <v>11</v>
      </c>
      <c r="AF10" s="50" t="s">
        <v>9</v>
      </c>
      <c r="AG10" s="50" t="s">
        <v>25</v>
      </c>
      <c r="AH10" s="51" t="s">
        <v>16</v>
      </c>
      <c r="AI10" s="52" t="s">
        <v>17</v>
      </c>
      <c r="AJ10" s="144" t="s">
        <v>23</v>
      </c>
      <c r="AK10" s="50" t="s">
        <v>16</v>
      </c>
      <c r="AL10" s="54" t="s">
        <v>17</v>
      </c>
      <c r="AM10" s="30"/>
    </row>
    <row r="11" spans="1:39" x14ac:dyDescent="0.25">
      <c r="A11" s="30"/>
      <c r="B11" s="60"/>
      <c r="C11" s="104"/>
      <c r="D11" s="188"/>
      <c r="E11" s="189"/>
      <c r="F11" s="93"/>
      <c r="G11" s="20"/>
      <c r="H11" s="21"/>
      <c r="I11" s="105"/>
      <c r="J11" s="94"/>
      <c r="K11" s="20"/>
      <c r="L11" s="21"/>
      <c r="M11" s="64"/>
      <c r="N11" s="96"/>
      <c r="O11" s="59"/>
      <c r="P11" s="113"/>
      <c r="Q11" s="190"/>
      <c r="R11" s="116"/>
      <c r="S11" s="191"/>
      <c r="T11" s="23"/>
      <c r="U11" s="26"/>
      <c r="V11" s="94"/>
      <c r="W11" s="20"/>
      <c r="X11" s="20"/>
      <c r="Y11" s="22"/>
      <c r="Z11" s="22"/>
      <c r="AA11" s="22"/>
      <c r="AB11" s="105"/>
      <c r="AC11" s="129"/>
      <c r="AD11" s="48"/>
      <c r="AE11" s="45"/>
      <c r="AF11" s="45"/>
      <c r="AG11" s="45"/>
      <c r="AH11" s="48"/>
      <c r="AI11" s="49"/>
      <c r="AJ11" s="145"/>
      <c r="AK11" s="45"/>
      <c r="AL11" s="53"/>
      <c r="AM11" s="30"/>
    </row>
    <row r="12" spans="1:39" x14ac:dyDescent="0.25">
      <c r="A12" s="36"/>
      <c r="B12" s="61">
        <v>1</v>
      </c>
      <c r="C12" s="153">
        <v>9</v>
      </c>
      <c r="D12" s="155">
        <v>70</v>
      </c>
      <c r="E12" s="109">
        <v>11200.000000000045</v>
      </c>
      <c r="F12" s="3">
        <v>11600736.000000047</v>
      </c>
      <c r="G12" s="38">
        <v>2480.0000000000182</v>
      </c>
      <c r="H12" s="3">
        <v>3853101.6000000285</v>
      </c>
      <c r="I12" s="106">
        <f>F12+H12</f>
        <v>15453837.600000076</v>
      </c>
      <c r="J12" s="109">
        <v>1500</v>
      </c>
      <c r="K12" s="3">
        <v>1553670</v>
      </c>
      <c r="L12" s="192">
        <v>360.00000000000654</v>
      </c>
      <c r="M12" s="193">
        <v>559321.2000000102</v>
      </c>
      <c r="N12" s="97">
        <f>+K12+M12</f>
        <v>2112991.2000000104</v>
      </c>
      <c r="O12" s="111">
        <f>N12+I12</f>
        <v>17566828.800000086</v>
      </c>
      <c r="P12" s="114">
        <f>L12+J12+G12+E12</f>
        <v>15540.000000000069</v>
      </c>
      <c r="Q12" s="138"/>
      <c r="R12" s="209"/>
      <c r="S12" s="223"/>
      <c r="T12" s="220"/>
      <c r="U12" s="218">
        <v>0</v>
      </c>
      <c r="V12" s="194">
        <f>Y12+W12</f>
        <v>1355.0250000000001</v>
      </c>
      <c r="W12" s="3">
        <v>320.39999999999998</v>
      </c>
      <c r="X12" s="3">
        <v>5757748.1999999993</v>
      </c>
      <c r="Y12" s="34">
        <v>1034.625</v>
      </c>
      <c r="Z12" s="34">
        <v>4392169.3574999999</v>
      </c>
      <c r="AA12" s="34">
        <f t="shared" ref="AA12:AA39" si="0">Z12+X12</f>
        <v>10149917.557499999</v>
      </c>
      <c r="AB12" s="131">
        <f t="shared" ref="AB12:AB39" si="1">AA12/$AL$48</f>
        <v>782.20153817521293</v>
      </c>
      <c r="AC12" s="137">
        <v>0</v>
      </c>
      <c r="AD12" s="3">
        <v>0</v>
      </c>
      <c r="AE12" s="3">
        <v>400</v>
      </c>
      <c r="AF12" s="3">
        <v>24</v>
      </c>
      <c r="AG12" s="3">
        <v>424</v>
      </c>
      <c r="AH12" s="3">
        <v>5867000</v>
      </c>
      <c r="AI12" s="46">
        <f t="shared" ref="AI12:AI39" si="2">AH12/$AL$48</f>
        <v>452.13928078488976</v>
      </c>
      <c r="AJ12" s="146">
        <v>190.67000000000007</v>
      </c>
      <c r="AK12" s="3">
        <v>1658829.0000000007</v>
      </c>
      <c r="AL12" s="42">
        <f t="shared" ref="AL12:AL41" si="3">AK12/$AL$48</f>
        <v>127.83735316262454</v>
      </c>
      <c r="AM12" s="7"/>
    </row>
    <row r="13" spans="1:39" x14ac:dyDescent="0.25">
      <c r="A13" s="36"/>
      <c r="B13" s="61">
        <v>2</v>
      </c>
      <c r="C13" s="153">
        <v>9</v>
      </c>
      <c r="D13" s="155">
        <v>108</v>
      </c>
      <c r="E13" s="109">
        <v>11079.999999999927</v>
      </c>
      <c r="F13" s="3">
        <v>11476442.399999924</v>
      </c>
      <c r="G13" s="38">
        <v>2239.9999999999523</v>
      </c>
      <c r="H13" s="3">
        <v>3480220.7999999258</v>
      </c>
      <c r="I13" s="106">
        <f t="shared" ref="I13:I41" si="4">F13+H13</f>
        <v>14956663.19999985</v>
      </c>
      <c r="J13" s="109">
        <v>1500</v>
      </c>
      <c r="K13" s="3">
        <v>1553670</v>
      </c>
      <c r="L13" s="192">
        <v>419.9999999999946</v>
      </c>
      <c r="M13" s="193">
        <v>652541.39999999164</v>
      </c>
      <c r="N13" s="97">
        <f t="shared" ref="N13:N41" si="5">+K13+M13</f>
        <v>2206211.3999999915</v>
      </c>
      <c r="O13" s="111">
        <f t="shared" ref="O13:O39" si="6">N13+I13</f>
        <v>17162874.599999841</v>
      </c>
      <c r="P13" s="114">
        <f t="shared" ref="P13:P39" si="7">L13+J13+G13+E13</f>
        <v>15239.999999999874</v>
      </c>
      <c r="Q13" s="197"/>
      <c r="R13" s="210"/>
      <c r="S13" s="198"/>
      <c r="T13" s="221"/>
      <c r="U13" s="218">
        <v>0</v>
      </c>
      <c r="V13" s="194">
        <f t="shared" ref="V13:V41" si="8">Y13+W13</f>
        <v>1197.1390000000004</v>
      </c>
      <c r="W13" s="3">
        <v>350.66</v>
      </c>
      <c r="X13" s="3">
        <v>6301535.5300000003</v>
      </c>
      <c r="Y13" s="34">
        <v>846.47900000000038</v>
      </c>
      <c r="Z13" s="34">
        <v>3593455.721220002</v>
      </c>
      <c r="AA13" s="34">
        <f t="shared" si="0"/>
        <v>9894991.2512200028</v>
      </c>
      <c r="AB13" s="131">
        <f t="shared" si="1"/>
        <v>762.55568905733571</v>
      </c>
      <c r="AC13" s="137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46">
        <f t="shared" si="2"/>
        <v>0</v>
      </c>
      <c r="AJ13" s="146">
        <v>325.68000000000029</v>
      </c>
      <c r="AK13" s="3">
        <v>2833416.0000000023</v>
      </c>
      <c r="AL13" s="42">
        <f t="shared" si="3"/>
        <v>218.3566852572695</v>
      </c>
      <c r="AM13" s="7"/>
    </row>
    <row r="14" spans="1:39" x14ac:dyDescent="0.25">
      <c r="A14" s="36"/>
      <c r="B14" s="61">
        <v>3</v>
      </c>
      <c r="C14" s="153">
        <v>7</v>
      </c>
      <c r="D14" s="155">
        <v>91</v>
      </c>
      <c r="E14" s="109">
        <v>10319.999999999936</v>
      </c>
      <c r="F14" s="3">
        <v>10689249.599999934</v>
      </c>
      <c r="G14" s="38">
        <v>2360.0000000000136</v>
      </c>
      <c r="H14" s="3">
        <v>3666661.2000000211</v>
      </c>
      <c r="I14" s="106">
        <f t="shared" si="4"/>
        <v>14355910.799999956</v>
      </c>
      <c r="J14" s="109">
        <v>1500</v>
      </c>
      <c r="K14" s="3">
        <v>1553670</v>
      </c>
      <c r="L14" s="192">
        <v>460.00000000000085</v>
      </c>
      <c r="M14" s="193">
        <v>714688.20000000135</v>
      </c>
      <c r="N14" s="97">
        <f t="shared" si="5"/>
        <v>2268358.2000000011</v>
      </c>
      <c r="O14" s="111">
        <f t="shared" si="6"/>
        <v>16624268.999999957</v>
      </c>
      <c r="P14" s="114">
        <f t="shared" si="7"/>
        <v>14639.999999999951</v>
      </c>
      <c r="Q14" s="197"/>
      <c r="R14" s="210"/>
      <c r="S14" s="198"/>
      <c r="T14" s="221"/>
      <c r="U14" s="218">
        <v>0</v>
      </c>
      <c r="V14" s="194">
        <f t="shared" si="8"/>
        <v>1215.6509999999996</v>
      </c>
      <c r="W14" s="3">
        <v>412.07</v>
      </c>
      <c r="X14" s="3">
        <v>7405103.9349999996</v>
      </c>
      <c r="Y14" s="34">
        <v>803.58099999999968</v>
      </c>
      <c r="Z14" s="34">
        <v>3411345.9895799989</v>
      </c>
      <c r="AA14" s="34">
        <f t="shared" si="0"/>
        <v>10816449.924579998</v>
      </c>
      <c r="AB14" s="131">
        <f t="shared" si="1"/>
        <v>833.56773300585917</v>
      </c>
      <c r="AC14" s="137">
        <v>0</v>
      </c>
      <c r="AD14" s="3">
        <v>0</v>
      </c>
      <c r="AE14" s="3">
        <v>0</v>
      </c>
      <c r="AF14" s="3">
        <v>12</v>
      </c>
      <c r="AG14" s="3">
        <v>12</v>
      </c>
      <c r="AH14" s="3">
        <v>137500</v>
      </c>
      <c r="AI14" s="46">
        <f t="shared" si="2"/>
        <v>10.596412324513778</v>
      </c>
      <c r="AJ14" s="146">
        <v>80</v>
      </c>
      <c r="AK14" s="3">
        <v>696000</v>
      </c>
      <c r="AL14" s="42">
        <f t="shared" si="3"/>
        <v>53.637112566266111</v>
      </c>
      <c r="AM14" s="7"/>
    </row>
    <row r="15" spans="1:39" x14ac:dyDescent="0.25">
      <c r="A15" s="36"/>
      <c r="B15" s="61">
        <v>4</v>
      </c>
      <c r="C15" s="153">
        <v>4</v>
      </c>
      <c r="D15" s="155">
        <v>89</v>
      </c>
      <c r="E15" s="109">
        <v>10680.000000000064</v>
      </c>
      <c r="F15" s="3">
        <v>11062130.400000066</v>
      </c>
      <c r="G15" s="38">
        <v>2199.9999999999886</v>
      </c>
      <c r="H15" s="3">
        <v>3418073.9999999823</v>
      </c>
      <c r="I15" s="106">
        <f t="shared" si="4"/>
        <v>14480204.400000047</v>
      </c>
      <c r="J15" s="109">
        <v>1699.9999999999886</v>
      </c>
      <c r="K15" s="3">
        <v>1760825.9999999881</v>
      </c>
      <c r="L15" s="192">
        <v>340.00000000000341</v>
      </c>
      <c r="M15" s="193">
        <v>528247.80000000529</v>
      </c>
      <c r="N15" s="97">
        <f t="shared" si="5"/>
        <v>2289073.7999999933</v>
      </c>
      <c r="O15" s="111">
        <f t="shared" si="6"/>
        <v>16769278.20000004</v>
      </c>
      <c r="P15" s="114">
        <f t="shared" si="7"/>
        <v>14920.000000000044</v>
      </c>
      <c r="Q15" s="197"/>
      <c r="R15" s="210"/>
      <c r="S15" s="198"/>
      <c r="T15" s="221"/>
      <c r="U15" s="218">
        <v>0</v>
      </c>
      <c r="V15" s="194">
        <f t="shared" si="8"/>
        <v>1191.4429999999998</v>
      </c>
      <c r="W15" s="3">
        <v>367.57</v>
      </c>
      <c r="X15" s="3">
        <v>6605416.6849999996</v>
      </c>
      <c r="Y15" s="34">
        <v>823.87299999999982</v>
      </c>
      <c r="Z15" s="34">
        <v>3497489.1821399997</v>
      </c>
      <c r="AA15" s="34">
        <f t="shared" si="0"/>
        <v>10102905.867139999</v>
      </c>
      <c r="AB15" s="131">
        <f t="shared" si="1"/>
        <v>778.57859086519886</v>
      </c>
      <c r="AC15" s="137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46">
        <f t="shared" si="2"/>
        <v>0</v>
      </c>
      <c r="AJ15" s="146">
        <v>109.67000000000007</v>
      </c>
      <c r="AK15" s="3">
        <v>954129.00000000058</v>
      </c>
      <c r="AL15" s="42">
        <f t="shared" si="3"/>
        <v>73.529776689280098</v>
      </c>
      <c r="AM15" s="7"/>
    </row>
    <row r="16" spans="1:39" x14ac:dyDescent="0.25">
      <c r="A16" s="36"/>
      <c r="B16" s="61">
        <v>5</v>
      </c>
      <c r="C16" s="153">
        <v>3</v>
      </c>
      <c r="D16" s="155">
        <v>36</v>
      </c>
      <c r="E16" s="109">
        <v>11720.000000000027</v>
      </c>
      <c r="F16" s="3">
        <v>12139341.600000028</v>
      </c>
      <c r="G16" s="38">
        <v>2280.0000000000296</v>
      </c>
      <c r="H16" s="3">
        <v>3542367.6000000462</v>
      </c>
      <c r="I16" s="106">
        <f t="shared" si="4"/>
        <v>15681709.200000074</v>
      </c>
      <c r="J16" s="109">
        <v>1420.0000000000159</v>
      </c>
      <c r="K16" s="3">
        <v>1470807.6000000164</v>
      </c>
      <c r="L16" s="192">
        <v>339.99999999999631</v>
      </c>
      <c r="M16" s="193">
        <v>528247.79999999434</v>
      </c>
      <c r="N16" s="97">
        <f t="shared" si="5"/>
        <v>1999055.4000000106</v>
      </c>
      <c r="O16" s="111">
        <f t="shared" si="6"/>
        <v>17680764.600000083</v>
      </c>
      <c r="P16" s="114">
        <f t="shared" si="7"/>
        <v>15760.000000000069</v>
      </c>
      <c r="Q16" s="197"/>
      <c r="R16" s="210"/>
      <c r="S16" s="198"/>
      <c r="T16" s="221"/>
      <c r="U16" s="218">
        <v>0</v>
      </c>
      <c r="V16" s="194">
        <f t="shared" si="8"/>
        <v>1236.3879999999999</v>
      </c>
      <c r="W16" s="3">
        <v>418.3</v>
      </c>
      <c r="X16" s="3">
        <v>7517060.1500000004</v>
      </c>
      <c r="Y16" s="34">
        <v>818.08799999999985</v>
      </c>
      <c r="Z16" s="34">
        <v>3472930.8158399998</v>
      </c>
      <c r="AA16" s="34">
        <f t="shared" si="0"/>
        <v>10989990.965840001</v>
      </c>
      <c r="AB16" s="131">
        <f t="shared" si="1"/>
        <v>846.94164157616046</v>
      </c>
      <c r="AC16" s="137">
        <v>0</v>
      </c>
      <c r="AD16" s="3">
        <v>0</v>
      </c>
      <c r="AE16" s="3">
        <v>0</v>
      </c>
      <c r="AF16" s="3">
        <v>12</v>
      </c>
      <c r="AG16" s="3">
        <v>12</v>
      </c>
      <c r="AH16" s="3">
        <v>137500</v>
      </c>
      <c r="AI16" s="46">
        <f t="shared" si="2"/>
        <v>10.596412324513778</v>
      </c>
      <c r="AJ16" s="146">
        <v>270.74999999997635</v>
      </c>
      <c r="AK16" s="3">
        <v>2355524.9999997942</v>
      </c>
      <c r="AL16" s="42">
        <f t="shared" si="3"/>
        <v>181.52810284144101</v>
      </c>
      <c r="AM16" s="7"/>
    </row>
    <row r="17" spans="1:39" x14ac:dyDescent="0.25">
      <c r="A17" s="36"/>
      <c r="B17" s="61">
        <v>6</v>
      </c>
      <c r="C17" s="153">
        <v>5</v>
      </c>
      <c r="D17" s="155">
        <v>35</v>
      </c>
      <c r="E17" s="109">
        <v>10359.9999999999</v>
      </c>
      <c r="F17" s="3">
        <v>10730680.799999896</v>
      </c>
      <c r="G17" s="38">
        <v>2199.9999999999886</v>
      </c>
      <c r="H17" s="3">
        <v>3418073.9999999823</v>
      </c>
      <c r="I17" s="106">
        <f t="shared" si="4"/>
        <v>14148754.799999878</v>
      </c>
      <c r="J17" s="109">
        <v>1340.0000000000034</v>
      </c>
      <c r="K17" s="3">
        <v>1387945.2000000034</v>
      </c>
      <c r="L17" s="192">
        <v>340.00000000000341</v>
      </c>
      <c r="M17" s="193">
        <v>528247.80000000529</v>
      </c>
      <c r="N17" s="97">
        <f t="shared" si="5"/>
        <v>1916193.0000000088</v>
      </c>
      <c r="O17" s="111">
        <f t="shared" si="6"/>
        <v>16064947.799999887</v>
      </c>
      <c r="P17" s="114">
        <f t="shared" si="7"/>
        <v>14239.999999999894</v>
      </c>
      <c r="Q17" s="197"/>
      <c r="R17" s="210"/>
      <c r="S17" s="198"/>
      <c r="T17" s="198"/>
      <c r="U17" s="218">
        <v>0</v>
      </c>
      <c r="V17" s="194">
        <f t="shared" si="8"/>
        <v>1226.6870000000001</v>
      </c>
      <c r="W17" s="3">
        <v>468.14</v>
      </c>
      <c r="X17" s="3">
        <v>8412709.8699999992</v>
      </c>
      <c r="Y17" s="34">
        <v>758.54700000000014</v>
      </c>
      <c r="Z17" s="34">
        <v>3220168.553460001</v>
      </c>
      <c r="AA17" s="34">
        <f t="shared" si="0"/>
        <v>11632878.423459999</v>
      </c>
      <c r="AB17" s="131">
        <f t="shared" si="1"/>
        <v>896.48564578852324</v>
      </c>
      <c r="AC17" s="137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46">
        <f t="shared" si="2"/>
        <v>0</v>
      </c>
      <c r="AJ17" s="146">
        <v>93.159999999999854</v>
      </c>
      <c r="AK17" s="3">
        <v>810491.99999999872</v>
      </c>
      <c r="AL17" s="42">
        <f t="shared" si="3"/>
        <v>62.460417583416785</v>
      </c>
      <c r="AM17" s="7"/>
    </row>
    <row r="18" spans="1:39" x14ac:dyDescent="0.25">
      <c r="A18" s="36"/>
      <c r="B18" s="61">
        <v>7</v>
      </c>
      <c r="C18" s="153">
        <v>5</v>
      </c>
      <c r="D18" s="155">
        <v>65</v>
      </c>
      <c r="E18" s="109">
        <v>10680.000000000064</v>
      </c>
      <c r="F18" s="3">
        <v>11062130.400000066</v>
      </c>
      <c r="G18" s="38">
        <v>2199.9999999999886</v>
      </c>
      <c r="H18" s="3">
        <v>3418073.9999999823</v>
      </c>
      <c r="I18" s="106">
        <f t="shared" si="4"/>
        <v>14480204.400000047</v>
      </c>
      <c r="J18" s="109">
        <v>1379.9999999999955</v>
      </c>
      <c r="K18" s="3">
        <v>1429376.3999999953</v>
      </c>
      <c r="L18" s="192">
        <v>320.00000000000028</v>
      </c>
      <c r="M18" s="193">
        <v>497174.40000000049</v>
      </c>
      <c r="N18" s="97">
        <f t="shared" si="5"/>
        <v>1926550.7999999956</v>
      </c>
      <c r="O18" s="111">
        <f t="shared" si="6"/>
        <v>16406755.200000042</v>
      </c>
      <c r="P18" s="114">
        <f t="shared" si="7"/>
        <v>14580.000000000047</v>
      </c>
      <c r="Q18" s="197"/>
      <c r="R18" s="210"/>
      <c r="S18" s="198"/>
      <c r="T18" s="198"/>
      <c r="U18" s="218">
        <v>0</v>
      </c>
      <c r="V18" s="194">
        <f t="shared" si="8"/>
        <v>1226.865</v>
      </c>
      <c r="W18" s="3">
        <v>380.03000000000003</v>
      </c>
      <c r="X18" s="3">
        <v>6829329.1150000002</v>
      </c>
      <c r="Y18" s="34">
        <v>846.83500000000004</v>
      </c>
      <c r="Z18" s="34">
        <v>3594967.0053000003</v>
      </c>
      <c r="AA18" s="34">
        <f t="shared" si="0"/>
        <v>10424296.120300001</v>
      </c>
      <c r="AB18" s="131">
        <f t="shared" si="1"/>
        <v>803.34647188020426</v>
      </c>
      <c r="AC18" s="137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6">
        <f t="shared" si="2"/>
        <v>0</v>
      </c>
      <c r="AJ18" s="146">
        <v>213.30000000000109</v>
      </c>
      <c r="AK18" s="3">
        <v>1855710.0000000095</v>
      </c>
      <c r="AL18" s="42">
        <f t="shared" si="3"/>
        <v>143.00995137980775</v>
      </c>
      <c r="AM18" s="7"/>
    </row>
    <row r="19" spans="1:39" x14ac:dyDescent="0.25">
      <c r="A19" s="36"/>
      <c r="B19" s="61">
        <v>8</v>
      </c>
      <c r="C19" s="153">
        <v>4</v>
      </c>
      <c r="D19" s="155">
        <v>59</v>
      </c>
      <c r="E19" s="109">
        <v>10920.000000000073</v>
      </c>
      <c r="F19" s="3">
        <v>11310717.600000076</v>
      </c>
      <c r="G19" s="38">
        <v>2240.0000000000091</v>
      </c>
      <c r="H19" s="3">
        <v>3480220.8000000142</v>
      </c>
      <c r="I19" s="106">
        <f t="shared" si="4"/>
        <v>14790938.40000009</v>
      </c>
      <c r="J19" s="109">
        <v>1379.9999999999955</v>
      </c>
      <c r="K19" s="3">
        <v>1429376.3999999953</v>
      </c>
      <c r="L19" s="192">
        <v>359.99999999999943</v>
      </c>
      <c r="M19" s="193">
        <v>559321.19999999914</v>
      </c>
      <c r="N19" s="97">
        <f t="shared" si="5"/>
        <v>1988697.5999999945</v>
      </c>
      <c r="O19" s="111">
        <f t="shared" si="6"/>
        <v>16779636.000000086</v>
      </c>
      <c r="P19" s="114">
        <f t="shared" si="7"/>
        <v>14900.000000000076</v>
      </c>
      <c r="Q19" s="197"/>
      <c r="R19" s="210"/>
      <c r="S19" s="198"/>
      <c r="T19" s="198"/>
      <c r="U19" s="218">
        <v>0</v>
      </c>
      <c r="V19" s="194">
        <f t="shared" si="8"/>
        <v>1286.94</v>
      </c>
      <c r="W19" s="3">
        <v>382.7</v>
      </c>
      <c r="X19" s="3">
        <v>6877310.3499999996</v>
      </c>
      <c r="Y19" s="34">
        <v>904.24</v>
      </c>
      <c r="Z19" s="34">
        <v>3838661.5632000002</v>
      </c>
      <c r="AA19" s="34">
        <f t="shared" si="0"/>
        <v>10715971.9132</v>
      </c>
      <c r="AB19" s="131">
        <f t="shared" si="1"/>
        <v>825.82441345582527</v>
      </c>
      <c r="AC19" s="137">
        <v>0</v>
      </c>
      <c r="AD19" s="3">
        <v>0</v>
      </c>
      <c r="AE19" s="3">
        <v>50</v>
      </c>
      <c r="AF19" s="3">
        <v>12</v>
      </c>
      <c r="AG19" s="3">
        <v>62</v>
      </c>
      <c r="AH19" s="3">
        <v>836500</v>
      </c>
      <c r="AI19" s="46">
        <f t="shared" si="2"/>
        <v>64.464719341496547</v>
      </c>
      <c r="AJ19" s="146">
        <v>88.059999999999491</v>
      </c>
      <c r="AK19" s="3">
        <v>766121.99999999558</v>
      </c>
      <c r="AL19" s="42">
        <f t="shared" si="3"/>
        <v>59.041051657317077</v>
      </c>
      <c r="AM19" s="7"/>
    </row>
    <row r="20" spans="1:39" x14ac:dyDescent="0.25">
      <c r="A20" s="36"/>
      <c r="B20" s="61">
        <v>9</v>
      </c>
      <c r="C20" s="153">
        <v>8</v>
      </c>
      <c r="D20" s="155">
        <v>76</v>
      </c>
      <c r="E20" s="109">
        <v>10439.999999999827</v>
      </c>
      <c r="F20" s="3">
        <v>10813543.19999982</v>
      </c>
      <c r="G20" s="38">
        <v>2319.9999999999932</v>
      </c>
      <c r="H20" s="3">
        <v>3604514.3999999897</v>
      </c>
      <c r="I20" s="106">
        <f t="shared" si="4"/>
        <v>14418057.59999981</v>
      </c>
      <c r="J20" s="109">
        <v>1379.9999999999955</v>
      </c>
      <c r="K20" s="3">
        <v>1429376.3999999953</v>
      </c>
      <c r="L20" s="192">
        <v>379.99999999999545</v>
      </c>
      <c r="M20" s="193">
        <v>590394.59999999299</v>
      </c>
      <c r="N20" s="97">
        <f t="shared" si="5"/>
        <v>2019770.9999999884</v>
      </c>
      <c r="O20" s="111">
        <f t="shared" si="6"/>
        <v>16437828.599999798</v>
      </c>
      <c r="P20" s="114">
        <f t="shared" si="7"/>
        <v>14519.999999999811</v>
      </c>
      <c r="Q20" s="197"/>
      <c r="R20" s="210"/>
      <c r="S20" s="198"/>
      <c r="T20" s="198"/>
      <c r="U20" s="218">
        <v>0</v>
      </c>
      <c r="V20" s="194">
        <f t="shared" si="8"/>
        <v>1281.7780000000007</v>
      </c>
      <c r="W20" s="3">
        <v>438.77</v>
      </c>
      <c r="X20" s="3">
        <v>7884916.2849999992</v>
      </c>
      <c r="Y20" s="34">
        <v>843.00800000000061</v>
      </c>
      <c r="Z20" s="34">
        <v>3578720.7014400028</v>
      </c>
      <c r="AA20" s="34">
        <f t="shared" si="0"/>
        <v>11463636.986440003</v>
      </c>
      <c r="AB20" s="131">
        <f t="shared" si="1"/>
        <v>883.44308543174429</v>
      </c>
      <c r="AC20" s="137">
        <v>0</v>
      </c>
      <c r="AD20" s="3">
        <v>0</v>
      </c>
      <c r="AE20" s="3">
        <v>0</v>
      </c>
      <c r="AF20" s="3">
        <v>12</v>
      </c>
      <c r="AG20" s="3">
        <v>12</v>
      </c>
      <c r="AH20" s="3">
        <v>137500</v>
      </c>
      <c r="AI20" s="46">
        <f t="shared" si="2"/>
        <v>10.596412324513778</v>
      </c>
      <c r="AJ20" s="146">
        <v>208.54000000000087</v>
      </c>
      <c r="AK20" s="3">
        <v>1814298.0000000077</v>
      </c>
      <c r="AL20" s="42">
        <f t="shared" si="3"/>
        <v>139.81854318211478</v>
      </c>
      <c r="AM20" s="7"/>
    </row>
    <row r="21" spans="1:39" x14ac:dyDescent="0.25">
      <c r="A21" s="36"/>
      <c r="B21" s="61">
        <v>10</v>
      </c>
      <c r="C21" s="153">
        <v>13</v>
      </c>
      <c r="D21" s="155">
        <v>111</v>
      </c>
      <c r="E21" s="109">
        <v>11280.0000000002</v>
      </c>
      <c r="F21" s="3">
        <v>11683598.400000207</v>
      </c>
      <c r="G21" s="38">
        <v>2400.0000000000341</v>
      </c>
      <c r="H21" s="3">
        <v>3728808.0000000531</v>
      </c>
      <c r="I21" s="106">
        <f t="shared" si="4"/>
        <v>15412406.400000259</v>
      </c>
      <c r="J21" s="109">
        <v>1680.0000000000068</v>
      </c>
      <c r="K21" s="3">
        <v>1740110.4000000071</v>
      </c>
      <c r="L21" s="192">
        <v>500</v>
      </c>
      <c r="M21" s="193">
        <v>776835</v>
      </c>
      <c r="N21" s="97">
        <f t="shared" si="5"/>
        <v>2516945.4000000069</v>
      </c>
      <c r="O21" s="111">
        <f t="shared" si="6"/>
        <v>17929351.800000265</v>
      </c>
      <c r="P21" s="114">
        <f t="shared" si="7"/>
        <v>15860.00000000024</v>
      </c>
      <c r="Q21" s="197"/>
      <c r="R21" s="210"/>
      <c r="S21" s="198"/>
      <c r="T21" s="221"/>
      <c r="U21" s="218">
        <v>0</v>
      </c>
      <c r="V21" s="194">
        <f t="shared" si="8"/>
        <v>1246.2669999999994</v>
      </c>
      <c r="W21" s="3">
        <v>413.85</v>
      </c>
      <c r="X21" s="3">
        <v>7437091.4250000007</v>
      </c>
      <c r="Y21" s="34">
        <v>832.41699999999935</v>
      </c>
      <c r="Z21" s="34">
        <v>3533760.0000599977</v>
      </c>
      <c r="AA21" s="34">
        <f t="shared" si="0"/>
        <v>10970851.425059998</v>
      </c>
      <c r="AB21" s="131">
        <f t="shared" si="1"/>
        <v>845.46665637029321</v>
      </c>
      <c r="AC21" s="137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46">
        <f t="shared" si="2"/>
        <v>0</v>
      </c>
      <c r="AJ21" s="146">
        <v>210</v>
      </c>
      <c r="AK21" s="3">
        <v>1827000</v>
      </c>
      <c r="AL21" s="42">
        <f t="shared" si="3"/>
        <v>140.79742048644854</v>
      </c>
      <c r="AM21" s="7"/>
    </row>
    <row r="22" spans="1:39" x14ac:dyDescent="0.25">
      <c r="A22" s="36"/>
      <c r="B22" s="61">
        <v>11</v>
      </c>
      <c r="C22" s="153">
        <v>7</v>
      </c>
      <c r="D22" s="155">
        <v>144</v>
      </c>
      <c r="E22" s="109">
        <v>11480.000000000018</v>
      </c>
      <c r="F22" s="3">
        <v>11890754.400000019</v>
      </c>
      <c r="G22" s="38">
        <v>2279.9999999999727</v>
      </c>
      <c r="H22" s="3">
        <v>3542367.5999999577</v>
      </c>
      <c r="I22" s="106">
        <f t="shared" si="4"/>
        <v>15433121.999999978</v>
      </c>
      <c r="J22" s="109">
        <v>1599.9999999999943</v>
      </c>
      <c r="K22" s="3">
        <v>1657247.9999999942</v>
      </c>
      <c r="L22" s="192">
        <v>360.00000000000654</v>
      </c>
      <c r="M22" s="193">
        <v>559321.2000000102</v>
      </c>
      <c r="N22" s="97">
        <f t="shared" si="5"/>
        <v>2216569.2000000044</v>
      </c>
      <c r="O22" s="111">
        <f t="shared" si="6"/>
        <v>17649691.199999981</v>
      </c>
      <c r="P22" s="114">
        <f t="shared" si="7"/>
        <v>15719.999999999993</v>
      </c>
      <c r="Q22" s="197"/>
      <c r="R22" s="210"/>
      <c r="S22" s="198"/>
      <c r="T22" s="221"/>
      <c r="U22" s="218">
        <v>0</v>
      </c>
      <c r="V22" s="194">
        <f t="shared" si="8"/>
        <v>1041.7449999999999</v>
      </c>
      <c r="W22" s="3">
        <v>406.73</v>
      </c>
      <c r="X22" s="3">
        <v>7309141.4650000008</v>
      </c>
      <c r="Y22" s="34">
        <v>635.01499999999999</v>
      </c>
      <c r="Z22" s="34">
        <v>2695752.9777000002</v>
      </c>
      <c r="AA22" s="34">
        <f t="shared" si="0"/>
        <v>10004894.4427</v>
      </c>
      <c r="AB22" s="131">
        <f t="shared" si="1"/>
        <v>771.02535838607776</v>
      </c>
      <c r="AC22" s="137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6">
        <f t="shared" si="2"/>
        <v>0</v>
      </c>
      <c r="AJ22" s="146">
        <v>75.039999999999054</v>
      </c>
      <c r="AK22" s="3">
        <v>652847.99999999173</v>
      </c>
      <c r="AL22" s="42">
        <f t="shared" si="3"/>
        <v>50.311611587156975</v>
      </c>
      <c r="AM22" s="7"/>
    </row>
    <row r="23" spans="1:39" x14ac:dyDescent="0.25">
      <c r="A23" s="36"/>
      <c r="B23" s="61">
        <v>12</v>
      </c>
      <c r="C23" s="153">
        <v>5</v>
      </c>
      <c r="D23" s="155">
        <v>46</v>
      </c>
      <c r="E23" s="109">
        <v>10719.9999999998</v>
      </c>
      <c r="F23" s="3">
        <v>11103561.599999793</v>
      </c>
      <c r="G23" s="38">
        <v>2240.0000000000091</v>
      </c>
      <c r="H23" s="3">
        <v>3480220.8000000142</v>
      </c>
      <c r="I23" s="106">
        <f t="shared" si="4"/>
        <v>14583782.399999807</v>
      </c>
      <c r="J23" s="109">
        <v>1439.9999999999977</v>
      </c>
      <c r="K23" s="3">
        <v>1491523.1999999976</v>
      </c>
      <c r="L23" s="192">
        <v>399.99999999999858</v>
      </c>
      <c r="M23" s="193">
        <v>621467.99999999779</v>
      </c>
      <c r="N23" s="97">
        <f t="shared" si="5"/>
        <v>2112991.1999999955</v>
      </c>
      <c r="O23" s="111">
        <f t="shared" si="6"/>
        <v>16696773.599999802</v>
      </c>
      <c r="P23" s="114">
        <f t="shared" si="7"/>
        <v>14799.999999999805</v>
      </c>
      <c r="Q23" s="197"/>
      <c r="R23" s="210"/>
      <c r="S23" s="198"/>
      <c r="T23" s="221"/>
      <c r="U23" s="218">
        <v>0</v>
      </c>
      <c r="V23" s="194">
        <f t="shared" si="8"/>
        <v>1035.4260000000004</v>
      </c>
      <c r="W23" s="3">
        <v>408.51</v>
      </c>
      <c r="X23" s="3">
        <v>7341128.9550000001</v>
      </c>
      <c r="Y23" s="34">
        <v>626.91600000000051</v>
      </c>
      <c r="Z23" s="34">
        <v>2661371.2648800025</v>
      </c>
      <c r="AA23" s="34">
        <f t="shared" si="0"/>
        <v>10002500.219880003</v>
      </c>
      <c r="AB23" s="131">
        <f t="shared" si="1"/>
        <v>770.84084804282361</v>
      </c>
      <c r="AC23" s="137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46">
        <f t="shared" si="2"/>
        <v>0</v>
      </c>
      <c r="AJ23" s="146">
        <v>186.30000000000109</v>
      </c>
      <c r="AK23" s="3">
        <v>1620810.0000000095</v>
      </c>
      <c r="AL23" s="42">
        <f t="shared" si="3"/>
        <v>124.90742588869294</v>
      </c>
      <c r="AM23" s="7"/>
    </row>
    <row r="24" spans="1:39" x14ac:dyDescent="0.25">
      <c r="A24" s="36"/>
      <c r="B24" s="61">
        <v>13</v>
      </c>
      <c r="C24" s="153">
        <v>7</v>
      </c>
      <c r="D24" s="155">
        <v>90</v>
      </c>
      <c r="E24" s="109">
        <v>10759.999999999991</v>
      </c>
      <c r="F24" s="3">
        <v>11144992.79999999</v>
      </c>
      <c r="G24" s="38">
        <v>2279.9999999999727</v>
      </c>
      <c r="H24" s="3">
        <v>3542367.5999999577</v>
      </c>
      <c r="I24" s="106">
        <f t="shared" si="4"/>
        <v>14687360.399999946</v>
      </c>
      <c r="J24" s="109">
        <v>1400.0000000000057</v>
      </c>
      <c r="K24" s="3">
        <v>1450092.0000000058</v>
      </c>
      <c r="L24" s="192">
        <v>359.99999999999943</v>
      </c>
      <c r="M24" s="193">
        <v>559321.19999999914</v>
      </c>
      <c r="N24" s="97">
        <f t="shared" si="5"/>
        <v>2009413.2000000048</v>
      </c>
      <c r="O24" s="111">
        <f t="shared" si="6"/>
        <v>16696773.599999951</v>
      </c>
      <c r="P24" s="114">
        <f t="shared" si="7"/>
        <v>14799.999999999969</v>
      </c>
      <c r="Q24" s="197"/>
      <c r="R24" s="210"/>
      <c r="S24" s="198"/>
      <c r="T24" s="221"/>
      <c r="U24" s="218">
        <v>0</v>
      </c>
      <c r="V24" s="194">
        <f>Y24+W24</f>
        <v>1179.9620000000002</v>
      </c>
      <c r="W24" s="3">
        <v>400.5</v>
      </c>
      <c r="X24" s="3">
        <v>7197185.25</v>
      </c>
      <c r="Y24" s="34">
        <v>779.46200000000022</v>
      </c>
      <c r="Z24" s="34">
        <v>3308956.493160001</v>
      </c>
      <c r="AA24" s="34">
        <f t="shared" si="0"/>
        <v>10506141.743160002</v>
      </c>
      <c r="AB24" s="131">
        <f t="shared" si="1"/>
        <v>809.65388982043146</v>
      </c>
      <c r="AC24" s="137">
        <v>0</v>
      </c>
      <c r="AD24" s="3">
        <v>0</v>
      </c>
      <c r="AE24" s="3">
        <v>400</v>
      </c>
      <c r="AF24" s="3">
        <v>36</v>
      </c>
      <c r="AG24" s="3">
        <v>436</v>
      </c>
      <c r="AH24" s="3">
        <v>6004500</v>
      </c>
      <c r="AI24" s="46">
        <f t="shared" si="2"/>
        <v>462.73569310940354</v>
      </c>
      <c r="AJ24" s="146">
        <v>195.55999999999949</v>
      </c>
      <c r="AK24" s="3">
        <v>1701371.9999999956</v>
      </c>
      <c r="AL24" s="42">
        <f t="shared" si="3"/>
        <v>131.11592166823715</v>
      </c>
      <c r="AM24" s="7"/>
    </row>
    <row r="25" spans="1:39" x14ac:dyDescent="0.25">
      <c r="A25" s="36"/>
      <c r="B25" s="61">
        <v>14</v>
      </c>
      <c r="C25" s="153">
        <v>10</v>
      </c>
      <c r="D25" s="155">
        <v>66</v>
      </c>
      <c r="E25" s="109">
        <v>10960.000000000036</v>
      </c>
      <c r="F25" s="3">
        <v>11352148.800000038</v>
      </c>
      <c r="G25" s="38">
        <v>2240.0000000000091</v>
      </c>
      <c r="H25" s="3">
        <v>3480220.8000000142</v>
      </c>
      <c r="I25" s="106">
        <f t="shared" si="4"/>
        <v>14832369.600000052</v>
      </c>
      <c r="J25" s="109">
        <v>1460.000000000008</v>
      </c>
      <c r="K25" s="3">
        <v>1512238.8000000082</v>
      </c>
      <c r="L25" s="192">
        <v>379.99999999999545</v>
      </c>
      <c r="M25" s="193">
        <v>590394.59999999299</v>
      </c>
      <c r="N25" s="97">
        <f t="shared" si="5"/>
        <v>2102633.4000000013</v>
      </c>
      <c r="O25" s="111">
        <f t="shared" si="6"/>
        <v>16935003.000000052</v>
      </c>
      <c r="P25" s="114">
        <f t="shared" si="7"/>
        <v>15040.000000000049</v>
      </c>
      <c r="Q25" s="197"/>
      <c r="R25" s="210"/>
      <c r="S25" s="198"/>
      <c r="T25" s="221"/>
      <c r="U25" s="218">
        <v>0</v>
      </c>
      <c r="V25" s="194">
        <f t="shared" si="8"/>
        <v>1127.0959999999998</v>
      </c>
      <c r="W25" s="3">
        <v>396.94</v>
      </c>
      <c r="X25" s="3">
        <v>7133210.2699999996</v>
      </c>
      <c r="Y25" s="34">
        <v>730.15599999999972</v>
      </c>
      <c r="Z25" s="34">
        <v>3099643.6480799993</v>
      </c>
      <c r="AA25" s="34">
        <f t="shared" si="0"/>
        <v>10232853.918079998</v>
      </c>
      <c r="AB25" s="131">
        <f t="shared" si="1"/>
        <v>788.59301361812368</v>
      </c>
      <c r="AC25" s="137">
        <v>0</v>
      </c>
      <c r="AD25" s="3">
        <v>0</v>
      </c>
      <c r="AE25" s="3">
        <v>0</v>
      </c>
      <c r="AF25" s="3">
        <v>12</v>
      </c>
      <c r="AG25" s="3">
        <v>12</v>
      </c>
      <c r="AH25" s="3">
        <v>137500</v>
      </c>
      <c r="AI25" s="46">
        <f t="shared" si="2"/>
        <v>10.596412324513778</v>
      </c>
      <c r="AJ25" s="146">
        <v>281.86999999999898</v>
      </c>
      <c r="AK25" s="3">
        <v>2452268.9999999912</v>
      </c>
      <c r="AL25" s="42">
        <f t="shared" si="3"/>
        <v>188.98366148816717</v>
      </c>
      <c r="AM25" s="7"/>
    </row>
    <row r="26" spans="1:39" x14ac:dyDescent="0.25">
      <c r="A26" s="36"/>
      <c r="B26" s="61">
        <v>15</v>
      </c>
      <c r="C26" s="153">
        <v>5</v>
      </c>
      <c r="D26" s="155">
        <v>95</v>
      </c>
      <c r="E26" s="109">
        <v>10240.000000000009</v>
      </c>
      <c r="F26" s="3">
        <v>10606387.200000009</v>
      </c>
      <c r="G26" s="38">
        <v>2240.0000000000091</v>
      </c>
      <c r="H26" s="3">
        <v>3480220.8000000142</v>
      </c>
      <c r="I26" s="106">
        <f t="shared" si="4"/>
        <v>14086608.000000022</v>
      </c>
      <c r="J26" s="109">
        <v>1340.0000000000034</v>
      </c>
      <c r="K26" s="3">
        <v>1387945.2000000034</v>
      </c>
      <c r="L26" s="192">
        <v>340.00000000000341</v>
      </c>
      <c r="M26" s="193">
        <v>528247.80000000529</v>
      </c>
      <c r="N26" s="97">
        <f t="shared" si="5"/>
        <v>1916193.0000000088</v>
      </c>
      <c r="O26" s="111">
        <f t="shared" si="6"/>
        <v>16002801.000000032</v>
      </c>
      <c r="P26" s="114">
        <f t="shared" si="7"/>
        <v>14160.000000000025</v>
      </c>
      <c r="Q26" s="197"/>
      <c r="R26" s="210"/>
      <c r="S26" s="198"/>
      <c r="T26" s="221"/>
      <c r="U26" s="218">
        <v>0</v>
      </c>
      <c r="V26" s="194">
        <f t="shared" si="8"/>
        <v>1163.1409999999996</v>
      </c>
      <c r="W26" s="3">
        <v>415.63</v>
      </c>
      <c r="X26" s="3">
        <v>7469078.915</v>
      </c>
      <c r="Y26" s="34">
        <v>747.51099999999974</v>
      </c>
      <c r="Z26" s="34">
        <v>3173318.7469799989</v>
      </c>
      <c r="AA26" s="34">
        <f t="shared" si="0"/>
        <v>10642397.661979999</v>
      </c>
      <c r="AB26" s="131">
        <f t="shared" si="1"/>
        <v>820.15442725659261</v>
      </c>
      <c r="AC26" s="137">
        <v>0</v>
      </c>
      <c r="AD26" s="3">
        <v>0</v>
      </c>
      <c r="AE26" s="3">
        <v>0</v>
      </c>
      <c r="AF26" s="3">
        <v>12</v>
      </c>
      <c r="AG26" s="3">
        <v>12</v>
      </c>
      <c r="AH26" s="3">
        <v>137500</v>
      </c>
      <c r="AI26" s="46">
        <f t="shared" si="2"/>
        <v>10.596412324513778</v>
      </c>
      <c r="AJ26" s="146">
        <v>124.25</v>
      </c>
      <c r="AK26" s="3">
        <v>1080975</v>
      </c>
      <c r="AL26" s="42">
        <f t="shared" si="3"/>
        <v>83.305140454482057</v>
      </c>
      <c r="AM26" s="7"/>
    </row>
    <row r="27" spans="1:39" x14ac:dyDescent="0.25">
      <c r="A27" s="36"/>
      <c r="B27" s="61">
        <v>16</v>
      </c>
      <c r="C27" s="153">
        <v>4</v>
      </c>
      <c r="D27" s="155">
        <v>39</v>
      </c>
      <c r="E27" s="109">
        <v>10680.000000000064</v>
      </c>
      <c r="F27" s="3">
        <v>11062130.400000066</v>
      </c>
      <c r="G27" s="38">
        <v>2160.000000000025</v>
      </c>
      <c r="H27" s="3">
        <v>3355927.2000000388</v>
      </c>
      <c r="I27" s="106">
        <f t="shared" si="4"/>
        <v>14418057.600000104</v>
      </c>
      <c r="J27" s="109">
        <v>1359.9999999999852</v>
      </c>
      <c r="K27" s="3">
        <v>1408660.7999999847</v>
      </c>
      <c r="L27" s="192">
        <v>320.00000000000028</v>
      </c>
      <c r="M27" s="193">
        <v>497174.40000000049</v>
      </c>
      <c r="N27" s="97">
        <f t="shared" si="5"/>
        <v>1905835.1999999853</v>
      </c>
      <c r="O27" s="111">
        <f t="shared" si="6"/>
        <v>16323892.80000009</v>
      </c>
      <c r="P27" s="114">
        <f t="shared" si="7"/>
        <v>14520.000000000075</v>
      </c>
      <c r="Q27" s="197"/>
      <c r="R27" s="210"/>
      <c r="S27" s="198"/>
      <c r="T27" s="221"/>
      <c r="U27" s="218">
        <v>0</v>
      </c>
      <c r="V27" s="194">
        <f t="shared" si="8"/>
        <v>1043.7920000000011</v>
      </c>
      <c r="W27" s="3">
        <v>398.72</v>
      </c>
      <c r="X27" s="3">
        <v>7165197.7600000007</v>
      </c>
      <c r="Y27" s="34">
        <v>645.07200000000103</v>
      </c>
      <c r="Z27" s="34">
        <v>2738446.7529600044</v>
      </c>
      <c r="AA27" s="34">
        <f t="shared" si="0"/>
        <v>9903644.5129600056</v>
      </c>
      <c r="AB27" s="131">
        <f t="shared" si="1"/>
        <v>763.22255108896479</v>
      </c>
      <c r="AC27" s="137">
        <v>0</v>
      </c>
      <c r="AD27" s="3">
        <v>0</v>
      </c>
      <c r="AE27" s="3">
        <v>0</v>
      </c>
      <c r="AF27" s="3">
        <v>12</v>
      </c>
      <c r="AG27" s="3">
        <v>12</v>
      </c>
      <c r="AH27" s="3">
        <v>137500</v>
      </c>
      <c r="AI27" s="46">
        <f t="shared" si="2"/>
        <v>10.596412324513778</v>
      </c>
      <c r="AJ27" s="146">
        <v>247.15999999999985</v>
      </c>
      <c r="AK27" s="3">
        <v>2150291.9999999986</v>
      </c>
      <c r="AL27" s="42">
        <f t="shared" si="3"/>
        <v>165.71185927347904</v>
      </c>
      <c r="AM27" s="7"/>
    </row>
    <row r="28" spans="1:39" x14ac:dyDescent="0.25">
      <c r="A28" s="36"/>
      <c r="B28" s="61">
        <v>17</v>
      </c>
      <c r="C28" s="153">
        <v>4</v>
      </c>
      <c r="D28" s="155">
        <v>62</v>
      </c>
      <c r="E28" s="109">
        <v>10759.999999999991</v>
      </c>
      <c r="F28" s="3">
        <v>11144992.79999999</v>
      </c>
      <c r="G28" s="38">
        <v>2279.9999999999727</v>
      </c>
      <c r="H28" s="3">
        <v>3542367.5999999577</v>
      </c>
      <c r="I28" s="106">
        <f t="shared" si="4"/>
        <v>14687360.399999946</v>
      </c>
      <c r="J28" s="109">
        <v>1300.0000000000114</v>
      </c>
      <c r="K28" s="3">
        <v>1346514.0000000116</v>
      </c>
      <c r="L28" s="192">
        <v>359.99999999999943</v>
      </c>
      <c r="M28" s="193">
        <v>559321.19999999914</v>
      </c>
      <c r="N28" s="97">
        <f t="shared" si="5"/>
        <v>1905835.2000000109</v>
      </c>
      <c r="O28" s="111">
        <f t="shared" si="6"/>
        <v>16593195.599999957</v>
      </c>
      <c r="P28" s="114">
        <f t="shared" si="7"/>
        <v>14699.999999999975</v>
      </c>
      <c r="Q28" s="197"/>
      <c r="R28" s="197"/>
      <c r="S28" s="198"/>
      <c r="T28" s="221"/>
      <c r="U28" s="218">
        <v>0</v>
      </c>
      <c r="V28" s="194">
        <f t="shared" si="8"/>
        <v>1099.3279999999991</v>
      </c>
      <c r="W28" s="3">
        <v>442.33</v>
      </c>
      <c r="X28" s="3">
        <v>7948891.2649999997</v>
      </c>
      <c r="Y28" s="34">
        <v>656.99799999999902</v>
      </c>
      <c r="Z28" s="34">
        <v>2789074.7696399959</v>
      </c>
      <c r="AA28" s="34">
        <f t="shared" si="0"/>
        <v>10737966.034639996</v>
      </c>
      <c r="AB28" s="131">
        <f t="shared" si="1"/>
        <v>827.51938639759703</v>
      </c>
      <c r="AC28" s="137">
        <v>0</v>
      </c>
      <c r="AD28" s="3">
        <v>0</v>
      </c>
      <c r="AE28" s="3">
        <v>0</v>
      </c>
      <c r="AF28" s="3">
        <v>12</v>
      </c>
      <c r="AG28" s="3">
        <v>12</v>
      </c>
      <c r="AH28" s="3">
        <v>137500</v>
      </c>
      <c r="AI28" s="46">
        <f t="shared" si="2"/>
        <v>10.596412324513778</v>
      </c>
      <c r="AJ28" s="146">
        <v>215.1200000000008</v>
      </c>
      <c r="AK28" s="3">
        <v>1871544.000000007</v>
      </c>
      <c r="AL28" s="42">
        <f t="shared" si="3"/>
        <v>144.2301956906901</v>
      </c>
      <c r="AM28" s="7"/>
    </row>
    <row r="29" spans="1:39" x14ac:dyDescent="0.25">
      <c r="A29" s="36"/>
      <c r="B29" s="61">
        <v>18</v>
      </c>
      <c r="C29" s="153">
        <v>6</v>
      </c>
      <c r="D29" s="155">
        <v>61</v>
      </c>
      <c r="E29" s="109">
        <v>10599.999999999909</v>
      </c>
      <c r="F29" s="3">
        <v>10979267.999999905</v>
      </c>
      <c r="G29" s="38">
        <v>2160.000000000025</v>
      </c>
      <c r="H29" s="3">
        <v>3355927.2000000388</v>
      </c>
      <c r="I29" s="106">
        <f t="shared" si="4"/>
        <v>14335195.199999943</v>
      </c>
      <c r="J29" s="109">
        <v>1359.9999999999852</v>
      </c>
      <c r="K29" s="3">
        <v>1408660.7999999847</v>
      </c>
      <c r="L29" s="192">
        <v>399.99999999999858</v>
      </c>
      <c r="M29" s="193">
        <v>621467.99999999779</v>
      </c>
      <c r="N29" s="97">
        <f t="shared" si="5"/>
        <v>2030128.7999999826</v>
      </c>
      <c r="O29" s="111">
        <f t="shared" si="6"/>
        <v>16365323.999999925</v>
      </c>
      <c r="P29" s="114">
        <f t="shared" si="7"/>
        <v>14519.999999999918</v>
      </c>
      <c r="Q29" s="200"/>
      <c r="R29" s="200"/>
      <c r="S29" s="198"/>
      <c r="T29" s="221"/>
      <c r="U29" s="218">
        <v>0</v>
      </c>
      <c r="V29" s="194">
        <f t="shared" si="8"/>
        <v>1002.3180000000007</v>
      </c>
      <c r="W29" s="3">
        <v>388.04</v>
      </c>
      <c r="X29" s="3">
        <v>6973272.8200000003</v>
      </c>
      <c r="Y29" s="34">
        <v>614.2780000000007</v>
      </c>
      <c r="Z29" s="34">
        <v>2607720.6800400033</v>
      </c>
      <c r="AA29" s="34">
        <f t="shared" si="0"/>
        <v>9580993.500040004</v>
      </c>
      <c r="AB29" s="131">
        <f t="shared" si="1"/>
        <v>738.35750985389313</v>
      </c>
      <c r="AC29" s="137">
        <v>0</v>
      </c>
      <c r="AD29" s="3">
        <v>0</v>
      </c>
      <c r="AE29" s="3">
        <v>500</v>
      </c>
      <c r="AF29" s="3">
        <v>12</v>
      </c>
      <c r="AG29" s="3">
        <v>512</v>
      </c>
      <c r="AH29" s="3">
        <v>7127500</v>
      </c>
      <c r="AI29" s="46">
        <f t="shared" si="2"/>
        <v>549.27948249434155</v>
      </c>
      <c r="AJ29" s="146">
        <v>91.219999999999345</v>
      </c>
      <c r="AK29" s="3">
        <v>793613.9999999943</v>
      </c>
      <c r="AL29" s="42">
        <f t="shared" si="3"/>
        <v>61.159717603684491</v>
      </c>
      <c r="AM29" s="7"/>
    </row>
    <row r="30" spans="1:39" x14ac:dyDescent="0.25">
      <c r="A30" s="36"/>
      <c r="B30" s="61">
        <v>19</v>
      </c>
      <c r="C30" s="153">
        <v>4</v>
      </c>
      <c r="D30" s="155">
        <v>40</v>
      </c>
      <c r="E30" s="109">
        <v>10800.000000000182</v>
      </c>
      <c r="F30" s="3">
        <v>11186424.000000188</v>
      </c>
      <c r="G30" s="38">
        <v>1839.999999999975</v>
      </c>
      <c r="H30" s="3">
        <v>2858752.7999999612</v>
      </c>
      <c r="I30" s="106">
        <f t="shared" si="4"/>
        <v>14045176.80000015</v>
      </c>
      <c r="J30" s="109">
        <v>1500</v>
      </c>
      <c r="K30" s="3">
        <v>1553670</v>
      </c>
      <c r="L30" s="192">
        <v>359.99999999999943</v>
      </c>
      <c r="M30" s="193">
        <v>559321.19999999914</v>
      </c>
      <c r="N30" s="97">
        <f t="shared" si="5"/>
        <v>2112991.1999999993</v>
      </c>
      <c r="O30" s="111">
        <f t="shared" si="6"/>
        <v>16158168.000000149</v>
      </c>
      <c r="P30" s="114">
        <f t="shared" si="7"/>
        <v>14500.000000000156</v>
      </c>
      <c r="Q30" s="197"/>
      <c r="R30" s="197"/>
      <c r="S30" s="198"/>
      <c r="T30" s="221"/>
      <c r="U30" s="218">
        <v>0</v>
      </c>
      <c r="V30" s="194">
        <f t="shared" si="8"/>
        <v>962.89099999999962</v>
      </c>
      <c r="W30" s="3">
        <v>357.78000000000003</v>
      </c>
      <c r="X30" s="3">
        <v>6429485.4900000002</v>
      </c>
      <c r="Y30" s="34">
        <v>605.11099999999965</v>
      </c>
      <c r="Z30" s="34">
        <v>2568805.1149799987</v>
      </c>
      <c r="AA30" s="34">
        <f t="shared" si="0"/>
        <v>8998290.6049799994</v>
      </c>
      <c r="AB30" s="131">
        <f t="shared" si="1"/>
        <v>693.45161793575721</v>
      </c>
      <c r="AC30" s="137">
        <v>0</v>
      </c>
      <c r="AD30" s="3">
        <v>0</v>
      </c>
      <c r="AE30" s="3">
        <v>0</v>
      </c>
      <c r="AF30" s="3">
        <v>12</v>
      </c>
      <c r="AG30" s="3">
        <v>12</v>
      </c>
      <c r="AH30" s="3">
        <v>137500</v>
      </c>
      <c r="AI30" s="46">
        <f t="shared" si="2"/>
        <v>10.596412324513778</v>
      </c>
      <c r="AJ30" s="146">
        <v>135.39000000000124</v>
      </c>
      <c r="AK30" s="3">
        <v>1177893.0000000107</v>
      </c>
      <c r="AL30" s="42">
        <f t="shared" si="3"/>
        <v>90.774108379335431</v>
      </c>
      <c r="AM30" s="7"/>
    </row>
    <row r="31" spans="1:39" x14ac:dyDescent="0.25">
      <c r="A31" s="36"/>
      <c r="B31" s="61">
        <v>20</v>
      </c>
      <c r="C31" s="153">
        <v>3</v>
      </c>
      <c r="D31" s="155">
        <v>42</v>
      </c>
      <c r="E31" s="109">
        <v>10599.999999999909</v>
      </c>
      <c r="F31" s="3">
        <v>10979267.999999905</v>
      </c>
      <c r="G31" s="38">
        <v>2439.9999999999977</v>
      </c>
      <c r="H31" s="3">
        <v>3790954.7999999966</v>
      </c>
      <c r="I31" s="106">
        <f t="shared" si="4"/>
        <v>14770222.799999902</v>
      </c>
      <c r="J31" s="109">
        <v>1360.0000000000136</v>
      </c>
      <c r="K31" s="3">
        <v>1408660.800000014</v>
      </c>
      <c r="L31" s="192">
        <v>320.00000000000028</v>
      </c>
      <c r="M31" s="193">
        <v>497174.40000000049</v>
      </c>
      <c r="N31" s="97">
        <f t="shared" si="5"/>
        <v>1905835.2000000146</v>
      </c>
      <c r="O31" s="111">
        <f t="shared" si="6"/>
        <v>16676057.999999916</v>
      </c>
      <c r="P31" s="114">
        <f t="shared" si="7"/>
        <v>14719.99999999992</v>
      </c>
      <c r="Q31" s="200"/>
      <c r="R31" s="200"/>
      <c r="S31" s="198"/>
      <c r="T31" s="221"/>
      <c r="U31" s="218">
        <v>0</v>
      </c>
      <c r="V31" s="194">
        <f t="shared" si="8"/>
        <v>1008.37</v>
      </c>
      <c r="W31" s="3">
        <v>416.52</v>
      </c>
      <c r="X31" s="3">
        <v>7485072.6599999992</v>
      </c>
      <c r="Y31" s="34">
        <v>591.85</v>
      </c>
      <c r="Z31" s="34">
        <v>2512509.7830000003</v>
      </c>
      <c r="AA31" s="34">
        <f t="shared" si="0"/>
        <v>9997582.443</v>
      </c>
      <c r="AB31" s="131">
        <f t="shared" si="1"/>
        <v>770.4618604679838</v>
      </c>
      <c r="AC31" s="137">
        <v>0</v>
      </c>
      <c r="AD31" s="3">
        <v>0</v>
      </c>
      <c r="AE31" s="3">
        <v>0</v>
      </c>
      <c r="AF31" s="3">
        <v>12</v>
      </c>
      <c r="AG31" s="3">
        <v>12</v>
      </c>
      <c r="AH31" s="3">
        <v>137500</v>
      </c>
      <c r="AI31" s="46">
        <f t="shared" si="2"/>
        <v>10.596412324513778</v>
      </c>
      <c r="AJ31" s="146">
        <v>153</v>
      </c>
      <c r="AK31" s="3">
        <v>1331100</v>
      </c>
      <c r="AL31" s="42">
        <f t="shared" si="3"/>
        <v>102.58097778298394</v>
      </c>
      <c r="AM31" s="7"/>
    </row>
    <row r="32" spans="1:39" x14ac:dyDescent="0.25">
      <c r="A32" s="36"/>
      <c r="B32" s="61">
        <v>21</v>
      </c>
      <c r="C32" s="153">
        <v>3</v>
      </c>
      <c r="D32" s="155">
        <v>38</v>
      </c>
      <c r="E32" s="109">
        <v>10400.000000000091</v>
      </c>
      <c r="F32" s="3">
        <v>10772112.000000093</v>
      </c>
      <c r="G32" s="38">
        <v>2160.000000000025</v>
      </c>
      <c r="H32" s="3">
        <v>3355927.2000000388</v>
      </c>
      <c r="I32" s="106">
        <f t="shared" si="4"/>
        <v>14128039.200000132</v>
      </c>
      <c r="J32" s="109">
        <v>1239.9999999999807</v>
      </c>
      <c r="K32" s="3">
        <v>1284367.1999999799</v>
      </c>
      <c r="L32" s="192">
        <v>320.00000000000028</v>
      </c>
      <c r="M32" s="193">
        <v>497174.40000000049</v>
      </c>
      <c r="N32" s="97">
        <f>+K32+M32</f>
        <v>1781541.5999999805</v>
      </c>
      <c r="O32" s="111">
        <f t="shared" si="6"/>
        <v>15909580.800000113</v>
      </c>
      <c r="P32" s="114">
        <f t="shared" si="7"/>
        <v>14120.000000000096</v>
      </c>
      <c r="Q32" s="197"/>
      <c r="R32" s="211"/>
      <c r="S32" s="198"/>
      <c r="T32" s="221"/>
      <c r="U32" s="218">
        <v>0</v>
      </c>
      <c r="V32" s="194">
        <f t="shared" si="8"/>
        <v>1066.6500000000001</v>
      </c>
      <c r="W32" s="3">
        <v>457</v>
      </c>
      <c r="X32" s="3">
        <v>8219209.1266391743</v>
      </c>
      <c r="Y32" s="34">
        <v>609.65</v>
      </c>
      <c r="Z32" s="34">
        <v>2588073.9870000002</v>
      </c>
      <c r="AA32" s="34">
        <f t="shared" si="0"/>
        <v>10807283.113639174</v>
      </c>
      <c r="AB32" s="131">
        <f t="shared" si="1"/>
        <v>832.86129439909666</v>
      </c>
      <c r="AC32" s="137">
        <v>0</v>
      </c>
      <c r="AD32" s="3">
        <v>0</v>
      </c>
      <c r="AE32" s="3">
        <v>400</v>
      </c>
      <c r="AF32" s="3">
        <v>12</v>
      </c>
      <c r="AG32" s="3">
        <v>412</v>
      </c>
      <c r="AH32" s="3">
        <v>5729500</v>
      </c>
      <c r="AI32" s="46">
        <f t="shared" si="2"/>
        <v>441.54286846037598</v>
      </c>
      <c r="AJ32" s="146">
        <v>172.76000000000022</v>
      </c>
      <c r="AK32" s="3">
        <v>1503012.0000000019</v>
      </c>
      <c r="AL32" s="42">
        <f t="shared" si="3"/>
        <v>115.8293445868518</v>
      </c>
      <c r="AM32" s="7"/>
    </row>
    <row r="33" spans="1:39" x14ac:dyDescent="0.25">
      <c r="A33" s="36"/>
      <c r="B33" s="61">
        <v>22</v>
      </c>
      <c r="C33" s="153">
        <v>7</v>
      </c>
      <c r="D33" s="155">
        <v>104</v>
      </c>
      <c r="E33" s="109">
        <v>10679.999999999836</v>
      </c>
      <c r="F33" s="3">
        <v>11062130.399999831</v>
      </c>
      <c r="G33" s="38">
        <v>2159.9999999999682</v>
      </c>
      <c r="H33" s="3">
        <v>3355927.1999999508</v>
      </c>
      <c r="I33" s="106">
        <f t="shared" si="4"/>
        <v>14418057.599999782</v>
      </c>
      <c r="J33" s="109">
        <v>1219.9999999999989</v>
      </c>
      <c r="K33" s="3">
        <v>1263651.5999999987</v>
      </c>
      <c r="L33" s="192">
        <v>340.00000000000341</v>
      </c>
      <c r="M33" s="193">
        <v>528247.80000000529</v>
      </c>
      <c r="N33" s="97">
        <f t="shared" si="5"/>
        <v>1791899.4000000041</v>
      </c>
      <c r="O33" s="111">
        <f t="shared" si="6"/>
        <v>16209956.999999786</v>
      </c>
      <c r="P33" s="114">
        <f t="shared" si="7"/>
        <v>14399.999999999807</v>
      </c>
      <c r="Q33" s="197"/>
      <c r="R33" s="212"/>
      <c r="S33" s="198"/>
      <c r="T33" s="221"/>
      <c r="U33" s="218">
        <v>0</v>
      </c>
      <c r="V33" s="194">
        <f t="shared" si="8"/>
        <v>1093.5700000000002</v>
      </c>
      <c r="W33" s="3">
        <v>459</v>
      </c>
      <c r="X33" s="3">
        <v>8255179.407280921</v>
      </c>
      <c r="Y33" s="34">
        <v>634.57000000000005</v>
      </c>
      <c r="Z33" s="34">
        <v>2693863.8726000004</v>
      </c>
      <c r="AA33" s="34">
        <f t="shared" si="0"/>
        <v>10949043.279880922</v>
      </c>
      <c r="AB33" s="131">
        <f t="shared" si="1"/>
        <v>843.78601565501799</v>
      </c>
      <c r="AC33" s="137">
        <v>0</v>
      </c>
      <c r="AD33" s="3">
        <v>0</v>
      </c>
      <c r="AE33" s="3">
        <v>650</v>
      </c>
      <c r="AF33" s="3">
        <v>0</v>
      </c>
      <c r="AG33" s="3">
        <v>650</v>
      </c>
      <c r="AH33" s="3">
        <v>9087000</v>
      </c>
      <c r="AI33" s="46">
        <f t="shared" si="2"/>
        <v>700.28799122077601</v>
      </c>
      <c r="AJ33" s="146">
        <v>230.69999999999891</v>
      </c>
      <c r="AK33" s="3">
        <v>2007089.9999999905</v>
      </c>
      <c r="AL33" s="42">
        <f t="shared" si="3"/>
        <v>154.67602336296915</v>
      </c>
      <c r="AM33" s="7"/>
    </row>
    <row r="34" spans="1:39" x14ac:dyDescent="0.25">
      <c r="A34" s="36"/>
      <c r="B34" s="61">
        <v>23</v>
      </c>
      <c r="C34" s="153">
        <v>12</v>
      </c>
      <c r="D34" s="155">
        <v>89</v>
      </c>
      <c r="E34" s="109">
        <v>10279.999999999973</v>
      </c>
      <c r="F34" s="3">
        <v>10647818.399999971</v>
      </c>
      <c r="G34" s="38">
        <v>2240.0000000000091</v>
      </c>
      <c r="H34" s="3">
        <v>3480220.8000000142</v>
      </c>
      <c r="I34" s="106">
        <f t="shared" si="4"/>
        <v>14128039.199999984</v>
      </c>
      <c r="J34" s="109">
        <v>1240.0000000000091</v>
      </c>
      <c r="K34" s="3">
        <v>1284367.2000000095</v>
      </c>
      <c r="L34" s="192">
        <v>339.99999999999631</v>
      </c>
      <c r="M34" s="193">
        <v>528247.79999999434</v>
      </c>
      <c r="N34" s="97">
        <f t="shared" si="5"/>
        <v>1812615.0000000037</v>
      </c>
      <c r="O34" s="111">
        <f t="shared" si="6"/>
        <v>15940654.199999988</v>
      </c>
      <c r="P34" s="114">
        <f t="shared" si="7"/>
        <v>14099.999999999987</v>
      </c>
      <c r="Q34" s="200"/>
      <c r="R34" s="213"/>
      <c r="S34" s="198"/>
      <c r="T34" s="221"/>
      <c r="U34" s="218">
        <v>0</v>
      </c>
      <c r="V34" s="194">
        <f t="shared" si="8"/>
        <v>1063.21</v>
      </c>
      <c r="W34" s="3">
        <v>450</v>
      </c>
      <c r="X34" s="3">
        <v>8093313.1443930594</v>
      </c>
      <c r="Y34" s="34">
        <v>613.21</v>
      </c>
      <c r="Z34" s="34">
        <v>2603186.8278000006</v>
      </c>
      <c r="AA34" s="34">
        <f t="shared" si="0"/>
        <v>10696499.97219306</v>
      </c>
      <c r="AB34" s="131">
        <f t="shared" si="1"/>
        <v>824.32381188732973</v>
      </c>
      <c r="AC34" s="137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6">
        <f t="shared" si="2"/>
        <v>0</v>
      </c>
      <c r="AJ34" s="146">
        <v>229.96999999999935</v>
      </c>
      <c r="AK34" s="3">
        <v>2000738.9999999944</v>
      </c>
      <c r="AL34" s="42">
        <f t="shared" si="3"/>
        <v>154.18658471080229</v>
      </c>
      <c r="AM34" s="7"/>
    </row>
    <row r="35" spans="1:39" x14ac:dyDescent="0.25">
      <c r="A35" s="36"/>
      <c r="B35" s="61">
        <v>24</v>
      </c>
      <c r="C35" s="153">
        <v>14</v>
      </c>
      <c r="D35" s="155">
        <v>139</v>
      </c>
      <c r="E35" s="109">
        <v>11000</v>
      </c>
      <c r="F35" s="3">
        <v>11393580</v>
      </c>
      <c r="G35" s="38">
        <v>2360.0000000000136</v>
      </c>
      <c r="H35" s="3">
        <v>3666661.2000000211</v>
      </c>
      <c r="I35" s="106">
        <f t="shared" si="4"/>
        <v>15060241.200000022</v>
      </c>
      <c r="J35" s="109">
        <v>1280.0000000000011</v>
      </c>
      <c r="K35" s="3">
        <v>1325798.4000000011</v>
      </c>
      <c r="L35" s="192">
        <v>340.00000000000341</v>
      </c>
      <c r="M35" s="193">
        <v>528247.80000000529</v>
      </c>
      <c r="N35" s="97">
        <f t="shared" si="5"/>
        <v>1854046.2000000062</v>
      </c>
      <c r="O35" s="111">
        <f t="shared" si="6"/>
        <v>16914287.400000028</v>
      </c>
      <c r="P35" s="114">
        <f t="shared" si="7"/>
        <v>14980.000000000018</v>
      </c>
      <c r="Q35" s="197"/>
      <c r="R35" s="211"/>
      <c r="S35" s="198"/>
      <c r="T35" s="221"/>
      <c r="U35" s="218">
        <v>0</v>
      </c>
      <c r="V35" s="194">
        <f t="shared" si="8"/>
        <v>1081.46</v>
      </c>
      <c r="W35" s="3">
        <v>446</v>
      </c>
      <c r="X35" s="3">
        <v>8021372.583109566</v>
      </c>
      <c r="Y35" s="34">
        <v>635.46</v>
      </c>
      <c r="Z35" s="34">
        <v>2697642.0828000004</v>
      </c>
      <c r="AA35" s="34">
        <f t="shared" si="0"/>
        <v>10719014.665909566</v>
      </c>
      <c r="AB35" s="131">
        <f t="shared" si="1"/>
        <v>826.05890263627691</v>
      </c>
      <c r="AC35" s="137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46">
        <f t="shared" si="2"/>
        <v>0</v>
      </c>
      <c r="AJ35" s="146">
        <v>96.130000000001019</v>
      </c>
      <c r="AK35" s="3">
        <v>836331.00000000885</v>
      </c>
      <c r="AL35" s="42">
        <f t="shared" si="3"/>
        <v>64.451695387440196</v>
      </c>
      <c r="AM35" s="7"/>
    </row>
    <row r="36" spans="1:39" x14ac:dyDescent="0.25">
      <c r="A36" s="36"/>
      <c r="B36" s="61">
        <v>25</v>
      </c>
      <c r="C36" s="153">
        <v>6</v>
      </c>
      <c r="D36" s="155">
        <v>144</v>
      </c>
      <c r="E36" s="109">
        <v>11000</v>
      </c>
      <c r="F36" s="3">
        <v>11393580</v>
      </c>
      <c r="G36" s="38">
        <v>2360.0000000000136</v>
      </c>
      <c r="H36" s="3">
        <v>3666661.2000000211</v>
      </c>
      <c r="I36" s="106">
        <f t="shared" si="4"/>
        <v>15060241.200000022</v>
      </c>
      <c r="J36" s="109">
        <v>1400.0000000000057</v>
      </c>
      <c r="K36" s="3">
        <v>1450092.0000000058</v>
      </c>
      <c r="L36" s="192">
        <v>379.99999999999545</v>
      </c>
      <c r="M36" s="193">
        <v>590394.59999999299</v>
      </c>
      <c r="N36" s="97">
        <f t="shared" si="5"/>
        <v>2040486.5999999987</v>
      </c>
      <c r="O36" s="111">
        <f t="shared" si="6"/>
        <v>17100727.800000019</v>
      </c>
      <c r="P36" s="114">
        <f t="shared" si="7"/>
        <v>15140.000000000015</v>
      </c>
      <c r="Q36" s="197"/>
      <c r="R36" s="211"/>
      <c r="S36" s="198"/>
      <c r="T36" s="221"/>
      <c r="U36" s="218">
        <v>0</v>
      </c>
      <c r="V36" s="194">
        <f t="shared" si="8"/>
        <v>1064.19</v>
      </c>
      <c r="W36" s="3">
        <v>467</v>
      </c>
      <c r="X36" s="3">
        <v>8399060.5298479088</v>
      </c>
      <c r="Y36" s="34">
        <v>597.19000000000005</v>
      </c>
      <c r="Z36" s="34">
        <v>2535179.0442000004</v>
      </c>
      <c r="AA36" s="34">
        <f t="shared" si="0"/>
        <v>10934239.574047908</v>
      </c>
      <c r="AB36" s="131">
        <f t="shared" si="1"/>
        <v>842.64517077547305</v>
      </c>
      <c r="AC36" s="137">
        <v>0</v>
      </c>
      <c r="AD36" s="3">
        <v>0</v>
      </c>
      <c r="AE36" s="3">
        <v>0</v>
      </c>
      <c r="AF36" s="3">
        <v>12</v>
      </c>
      <c r="AG36" s="3">
        <v>12</v>
      </c>
      <c r="AH36" s="3">
        <v>137500</v>
      </c>
      <c r="AI36" s="46">
        <f t="shared" si="2"/>
        <v>10.596412324513778</v>
      </c>
      <c r="AJ36" s="146">
        <v>104</v>
      </c>
      <c r="AK36" s="3">
        <v>904800</v>
      </c>
      <c r="AL36" s="42">
        <f t="shared" si="3"/>
        <v>69.728246336145943</v>
      </c>
      <c r="AM36" s="7"/>
    </row>
    <row r="37" spans="1:39" x14ac:dyDescent="0.25">
      <c r="A37" s="36"/>
      <c r="B37" s="61">
        <v>26</v>
      </c>
      <c r="C37" s="153">
        <v>9</v>
      </c>
      <c r="D37" s="155">
        <v>52</v>
      </c>
      <c r="E37" s="109">
        <v>11360.000000000127</v>
      </c>
      <c r="F37" s="3">
        <v>11766460.800000131</v>
      </c>
      <c r="G37" s="38">
        <v>2399.9999999999773</v>
      </c>
      <c r="H37" s="3">
        <v>3728807.9999999651</v>
      </c>
      <c r="I37" s="106">
        <f t="shared" si="4"/>
        <v>15495268.800000096</v>
      </c>
      <c r="J37" s="109">
        <v>1379.9999999999955</v>
      </c>
      <c r="K37" s="3">
        <v>1429376.3999999953</v>
      </c>
      <c r="L37" s="192">
        <v>340.00000000000341</v>
      </c>
      <c r="M37" s="193">
        <v>528247.80000000529</v>
      </c>
      <c r="N37" s="97">
        <f t="shared" si="5"/>
        <v>1957624.2000000007</v>
      </c>
      <c r="O37" s="111">
        <f t="shared" si="6"/>
        <v>17452893.000000097</v>
      </c>
      <c r="P37" s="114">
        <f t="shared" si="7"/>
        <v>15480.000000000104</v>
      </c>
      <c r="Q37" s="197"/>
      <c r="R37" s="211"/>
      <c r="S37" s="198"/>
      <c r="T37" s="221"/>
      <c r="U37" s="218">
        <v>0</v>
      </c>
      <c r="V37" s="194">
        <f t="shared" si="8"/>
        <v>1055.8699999999999</v>
      </c>
      <c r="W37" s="3">
        <v>448</v>
      </c>
      <c r="X37" s="3">
        <v>8057342.8637513127</v>
      </c>
      <c r="Y37" s="34">
        <v>607.87</v>
      </c>
      <c r="Z37" s="34">
        <v>2580517.5666</v>
      </c>
      <c r="AA37" s="34">
        <f t="shared" si="0"/>
        <v>10637860.430351313</v>
      </c>
      <c r="AB37" s="131">
        <f t="shared" si="1"/>
        <v>819.80476633186981</v>
      </c>
      <c r="AC37" s="137">
        <v>0</v>
      </c>
      <c r="AD37" s="3">
        <v>0</v>
      </c>
      <c r="AE37" s="3">
        <v>0</v>
      </c>
      <c r="AF37" s="3">
        <v>120</v>
      </c>
      <c r="AG37" s="3">
        <v>120</v>
      </c>
      <c r="AH37" s="3">
        <v>1375000</v>
      </c>
      <c r="AI37" s="46">
        <f t="shared" si="2"/>
        <v>105.96412324513778</v>
      </c>
      <c r="AJ37" s="146">
        <v>274</v>
      </c>
      <c r="AK37" s="3">
        <v>2383800</v>
      </c>
      <c r="AL37" s="42">
        <f t="shared" si="3"/>
        <v>183.70711053946141</v>
      </c>
      <c r="AM37" s="7"/>
    </row>
    <row r="38" spans="1:39" x14ac:dyDescent="0.25">
      <c r="A38" s="36"/>
      <c r="B38" s="61">
        <v>27</v>
      </c>
      <c r="C38" s="153">
        <v>9</v>
      </c>
      <c r="D38" s="155">
        <v>58</v>
      </c>
      <c r="E38" s="109">
        <v>11039.999999999964</v>
      </c>
      <c r="F38" s="3">
        <v>11435011.199999962</v>
      </c>
      <c r="G38" s="38">
        <v>2240.0000000000091</v>
      </c>
      <c r="H38" s="3">
        <v>3480220.8000000142</v>
      </c>
      <c r="I38" s="106">
        <f t="shared" si="4"/>
        <v>14915231.999999976</v>
      </c>
      <c r="J38" s="109">
        <v>1340.0000000000034</v>
      </c>
      <c r="K38" s="3">
        <v>1387945.2000000034</v>
      </c>
      <c r="L38" s="192">
        <v>320.00000000000028</v>
      </c>
      <c r="M38" s="193">
        <v>497174.40000000049</v>
      </c>
      <c r="N38" s="97">
        <f t="shared" si="5"/>
        <v>1885119.6000000038</v>
      </c>
      <c r="O38" s="111">
        <f t="shared" si="6"/>
        <v>16800351.599999979</v>
      </c>
      <c r="P38" s="114">
        <f t="shared" si="7"/>
        <v>14939.999999999976</v>
      </c>
      <c r="Q38" s="197"/>
      <c r="R38" s="211"/>
      <c r="S38" s="198"/>
      <c r="T38" s="221"/>
      <c r="U38" s="218">
        <v>0</v>
      </c>
      <c r="V38" s="194">
        <f t="shared" si="8"/>
        <v>1073.72</v>
      </c>
      <c r="W38" s="3">
        <v>497</v>
      </c>
      <c r="X38" s="3">
        <v>8938614.7394741122</v>
      </c>
      <c r="Y38" s="34">
        <v>576.72</v>
      </c>
      <c r="Z38" s="34">
        <v>2448280.2096000002</v>
      </c>
      <c r="AA38" s="34">
        <f t="shared" si="0"/>
        <v>11386894.949074112</v>
      </c>
      <c r="AB38" s="131">
        <f t="shared" si="1"/>
        <v>877.52897437318268</v>
      </c>
      <c r="AC38" s="137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6">
        <f t="shared" si="2"/>
        <v>0</v>
      </c>
      <c r="AJ38" s="146">
        <v>167.54999999999927</v>
      </c>
      <c r="AK38" s="3">
        <v>1457684.9999999937</v>
      </c>
      <c r="AL38" s="42">
        <f t="shared" si="3"/>
        <v>112.3362276309731</v>
      </c>
      <c r="AM38" s="7"/>
    </row>
    <row r="39" spans="1:39" x14ac:dyDescent="0.25">
      <c r="A39" s="36"/>
      <c r="B39" s="61">
        <v>28</v>
      </c>
      <c r="C39" s="153">
        <v>3</v>
      </c>
      <c r="D39" s="155">
        <v>47</v>
      </c>
      <c r="E39" s="109">
        <v>10799.999999999955</v>
      </c>
      <c r="F39" s="3">
        <v>11186423.999999953</v>
      </c>
      <c r="G39" s="38">
        <v>2120.0000000000045</v>
      </c>
      <c r="H39" s="3">
        <v>3293780.4000000074</v>
      </c>
      <c r="I39" s="106">
        <f t="shared" si="4"/>
        <v>14480204.399999961</v>
      </c>
      <c r="J39" s="109">
        <v>1199.9999999999886</v>
      </c>
      <c r="K39" s="3">
        <v>1242935.9999999881</v>
      </c>
      <c r="L39" s="192">
        <v>320.00000000000028</v>
      </c>
      <c r="M39" s="193">
        <v>497174.40000000049</v>
      </c>
      <c r="N39" s="97">
        <f t="shared" si="5"/>
        <v>1740110.3999999887</v>
      </c>
      <c r="O39" s="111">
        <f t="shared" si="6"/>
        <v>16220314.79999995</v>
      </c>
      <c r="P39" s="114">
        <f t="shared" si="7"/>
        <v>14439.999999999949</v>
      </c>
      <c r="Q39" s="197"/>
      <c r="R39" s="214"/>
      <c r="S39" s="198"/>
      <c r="T39" s="221"/>
      <c r="U39" s="218">
        <v>0</v>
      </c>
      <c r="V39" s="194">
        <f t="shared" si="8"/>
        <v>1056.33</v>
      </c>
      <c r="W39" s="3">
        <v>436</v>
      </c>
      <c r="X39" s="3">
        <v>7841521.1799008315</v>
      </c>
      <c r="Y39" s="34">
        <v>620.33000000000004</v>
      </c>
      <c r="Z39" s="34">
        <v>2633412.5094000003</v>
      </c>
      <c r="AA39" s="34">
        <f t="shared" si="0"/>
        <v>10474933.689300831</v>
      </c>
      <c r="AB39" s="131">
        <f t="shared" si="1"/>
        <v>807.24884686379573</v>
      </c>
      <c r="AC39" s="137">
        <v>0</v>
      </c>
      <c r="AD39" s="3">
        <v>0</v>
      </c>
      <c r="AE39" s="3">
        <v>0</v>
      </c>
      <c r="AF39" s="3">
        <v>12</v>
      </c>
      <c r="AG39" s="3">
        <v>12</v>
      </c>
      <c r="AH39" s="3">
        <v>137500</v>
      </c>
      <c r="AI39" s="46">
        <f t="shared" si="2"/>
        <v>10.596412324513778</v>
      </c>
      <c r="AJ39" s="146">
        <v>275.67000000000189</v>
      </c>
      <c r="AK39" s="3">
        <v>2398329.0000000163</v>
      </c>
      <c r="AL39" s="42">
        <f t="shared" si="3"/>
        <v>184.82678526428347</v>
      </c>
      <c r="AM39" s="7"/>
    </row>
    <row r="40" spans="1:39" x14ac:dyDescent="0.25">
      <c r="A40" s="36"/>
      <c r="B40" s="61">
        <v>29</v>
      </c>
      <c r="C40" s="153">
        <v>9</v>
      </c>
      <c r="D40" s="155">
        <v>63</v>
      </c>
      <c r="E40" s="109">
        <v>11320.000000000164</v>
      </c>
      <c r="F40" s="3">
        <v>11725029.600000169</v>
      </c>
      <c r="G40" s="38">
        <v>2399.9999999999773</v>
      </c>
      <c r="H40" s="3">
        <v>3728807.9999999651</v>
      </c>
      <c r="I40" s="106">
        <f t="shared" si="4"/>
        <v>15453837.600000134</v>
      </c>
      <c r="J40" s="109">
        <v>1340.0000000000034</v>
      </c>
      <c r="K40" s="3">
        <v>1387945.2000000034</v>
      </c>
      <c r="L40" s="192">
        <v>339.99999999999631</v>
      </c>
      <c r="M40" s="193">
        <v>528247.79999999434</v>
      </c>
      <c r="N40" s="97">
        <f t="shared" si="5"/>
        <v>1916192.9999999977</v>
      </c>
      <c r="O40" s="111">
        <f t="shared" ref="O40:O41" si="9">N40+I40</f>
        <v>17370030.600000132</v>
      </c>
      <c r="P40" s="114">
        <f t="shared" ref="P40:P41" si="10">L40+J40+G40+E40</f>
        <v>15400.000000000142</v>
      </c>
      <c r="Q40" s="200"/>
      <c r="R40" s="215"/>
      <c r="S40" s="198"/>
      <c r="T40" s="221"/>
      <c r="U40" s="218">
        <v>0</v>
      </c>
      <c r="V40" s="194">
        <f t="shared" si="8"/>
        <v>919.09</v>
      </c>
      <c r="W40" s="3">
        <v>402</v>
      </c>
      <c r="X40" s="3">
        <v>7230026.4089911338</v>
      </c>
      <c r="Y40" s="34">
        <v>517.09</v>
      </c>
      <c r="Z40" s="34">
        <v>2195140.1262000003</v>
      </c>
      <c r="AA40" s="34">
        <f t="shared" ref="AA40:AA41" si="11">Z40+X40</f>
        <v>9425166.5351911336</v>
      </c>
      <c r="AB40" s="131">
        <f t="shared" ref="AB40:AB41" si="12">AA40/$AL$48</f>
        <v>726.34873333886662</v>
      </c>
      <c r="AC40" s="137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6">
        <f t="shared" ref="AI40:AI41" si="13">AH40/$AL$48</f>
        <v>0</v>
      </c>
      <c r="AJ40" s="146">
        <v>46.219999999997526</v>
      </c>
      <c r="AK40" s="3">
        <v>402113.99999997846</v>
      </c>
      <c r="AL40" s="42">
        <f t="shared" si="3"/>
        <v>30.988841785158584</v>
      </c>
      <c r="AM40" s="7"/>
    </row>
    <row r="41" spans="1:39" x14ac:dyDescent="0.25">
      <c r="A41" s="36"/>
      <c r="B41" s="61">
        <v>30</v>
      </c>
      <c r="C41" s="153">
        <v>7</v>
      </c>
      <c r="D41" s="155">
        <v>84</v>
      </c>
      <c r="E41" s="109">
        <v>11279.999999999973</v>
      </c>
      <c r="F41" s="3">
        <v>11683598.399999971</v>
      </c>
      <c r="G41" s="38">
        <v>2280.0000000000296</v>
      </c>
      <c r="H41" s="3">
        <v>3542367.6000000462</v>
      </c>
      <c r="I41" s="106">
        <f t="shared" si="4"/>
        <v>15225966.000000017</v>
      </c>
      <c r="J41" s="109">
        <v>1280.0000000000011</v>
      </c>
      <c r="K41" s="3">
        <v>1325798.4000000011</v>
      </c>
      <c r="L41" s="192">
        <v>340.00000000000341</v>
      </c>
      <c r="M41" s="193">
        <v>528247.80000000529</v>
      </c>
      <c r="N41" s="97">
        <f t="shared" si="5"/>
        <v>1854046.2000000062</v>
      </c>
      <c r="O41" s="111">
        <f t="shared" si="9"/>
        <v>17080012.200000022</v>
      </c>
      <c r="P41" s="114">
        <f t="shared" si="10"/>
        <v>15180.000000000007</v>
      </c>
      <c r="Q41" s="197"/>
      <c r="R41" s="216"/>
      <c r="S41" s="198"/>
      <c r="T41" s="221"/>
      <c r="U41" s="218">
        <v>0</v>
      </c>
      <c r="V41" s="194">
        <f t="shared" si="8"/>
        <v>1092.78</v>
      </c>
      <c r="W41" s="3">
        <v>468</v>
      </c>
      <c r="X41" s="3">
        <v>8417045.6701687817</v>
      </c>
      <c r="Y41" s="34">
        <v>624.78</v>
      </c>
      <c r="Z41" s="34">
        <v>2652303.5603999998</v>
      </c>
      <c r="AA41" s="34">
        <f t="shared" si="11"/>
        <v>11069349.230568781</v>
      </c>
      <c r="AB41" s="131">
        <f t="shared" si="12"/>
        <v>853.05737171742658</v>
      </c>
      <c r="AC41" s="137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46">
        <f t="shared" si="13"/>
        <v>0</v>
      </c>
      <c r="AJ41" s="146">
        <v>231.65999999999985</v>
      </c>
      <c r="AK41" s="3">
        <v>2015441.9999999988</v>
      </c>
      <c r="AL41" s="42">
        <f t="shared" si="3"/>
        <v>155.319668713765</v>
      </c>
      <c r="AM41" s="7"/>
    </row>
    <row r="42" spans="1:39" x14ac:dyDescent="0.25">
      <c r="A42" s="36"/>
      <c r="B42" s="61"/>
      <c r="C42" s="181"/>
      <c r="D42" s="182"/>
      <c r="E42" s="109"/>
      <c r="F42" s="3"/>
      <c r="G42" s="38"/>
      <c r="H42" s="3"/>
      <c r="I42" s="106"/>
      <c r="J42" s="109"/>
      <c r="K42" s="3"/>
      <c r="L42" s="192"/>
      <c r="M42" s="193"/>
      <c r="N42" s="97"/>
      <c r="O42" s="111"/>
      <c r="P42" s="114"/>
      <c r="Q42" s="197"/>
      <c r="R42" s="216"/>
      <c r="S42" s="198"/>
      <c r="T42" s="221"/>
      <c r="U42" s="218"/>
      <c r="V42" s="194"/>
      <c r="W42" s="3"/>
      <c r="X42" s="3"/>
      <c r="Y42" s="34"/>
      <c r="Z42" s="34"/>
      <c r="AA42" s="34"/>
      <c r="AB42" s="131"/>
      <c r="AC42" s="137"/>
      <c r="AD42" s="3"/>
      <c r="AE42" s="3"/>
      <c r="AF42" s="3"/>
      <c r="AG42" s="3"/>
      <c r="AH42" s="3"/>
      <c r="AI42" s="46"/>
      <c r="AJ42" s="146"/>
      <c r="AK42" s="3"/>
      <c r="AL42" s="42"/>
      <c r="AM42" s="7"/>
    </row>
    <row r="43" spans="1:39" ht="16.5" thickBot="1" x14ac:dyDescent="0.3">
      <c r="A43" s="36"/>
      <c r="B43" s="125"/>
      <c r="C43" s="154"/>
      <c r="D43" s="156"/>
      <c r="E43" s="107"/>
      <c r="F43" s="107"/>
      <c r="G43" s="98"/>
      <c r="H43" s="99"/>
      <c r="I43" s="108"/>
      <c r="J43" s="110"/>
      <c r="K43" s="98"/>
      <c r="L43" s="99"/>
      <c r="M43" s="100"/>
      <c r="N43" s="101"/>
      <c r="O43" s="112"/>
      <c r="P43" s="115"/>
      <c r="Q43" s="183"/>
      <c r="R43" s="217"/>
      <c r="S43" s="199"/>
      <c r="T43" s="222"/>
      <c r="U43" s="219"/>
      <c r="V43" s="194"/>
      <c r="W43" s="3"/>
      <c r="X43" s="3"/>
      <c r="Y43" s="34"/>
      <c r="Z43" s="34"/>
      <c r="AA43" s="18"/>
      <c r="AB43" s="132"/>
      <c r="AC43" s="130"/>
      <c r="AD43" s="3"/>
      <c r="AE43" s="2"/>
      <c r="AF43" s="2"/>
      <c r="AG43" s="2"/>
      <c r="AH43" s="3"/>
      <c r="AI43" s="46"/>
      <c r="AJ43" s="146"/>
      <c r="AK43" s="3"/>
      <c r="AL43" s="42"/>
      <c r="AM43" s="7"/>
    </row>
    <row r="44" spans="1:39" s="8" customFormat="1" ht="4.5" customHeight="1" x14ac:dyDescent="0.25">
      <c r="A44" s="15"/>
      <c r="B44" s="120"/>
      <c r="C44" s="121"/>
      <c r="D44" s="121"/>
      <c r="E44" s="119"/>
      <c r="F44" s="7"/>
      <c r="G44" s="15"/>
      <c r="H44" s="7"/>
      <c r="I44" s="15"/>
      <c r="J44" s="15"/>
      <c r="K44" s="15"/>
      <c r="L44" s="7"/>
      <c r="M44" s="65"/>
      <c r="N44" s="69"/>
      <c r="O44" s="15"/>
      <c r="P44" s="69"/>
      <c r="Q44" s="15"/>
      <c r="R44" s="89"/>
      <c r="S44" s="7"/>
      <c r="T44" s="15"/>
      <c r="U44" s="35"/>
      <c r="V44" s="133"/>
      <c r="W44" s="15"/>
      <c r="X44" s="15"/>
      <c r="Y44" s="15"/>
      <c r="Z44" s="15"/>
      <c r="AA44" s="15"/>
      <c r="AB44" s="35"/>
      <c r="AC44" s="15"/>
      <c r="AD44" s="7"/>
      <c r="AE44" s="15"/>
      <c r="AF44" s="15"/>
      <c r="AG44" s="15"/>
      <c r="AH44" s="15"/>
      <c r="AI44" s="15"/>
      <c r="AJ44" s="89"/>
      <c r="AK44" s="15"/>
      <c r="AL44" s="35"/>
      <c r="AM44" s="15"/>
    </row>
    <row r="45" spans="1:39" s="8" customFormat="1" ht="6" customHeight="1" x14ac:dyDescent="0.25">
      <c r="A45" s="15"/>
      <c r="B45" s="120"/>
      <c r="C45" s="121"/>
      <c r="D45" s="121"/>
      <c r="E45" s="119"/>
      <c r="F45" s="7"/>
      <c r="G45" s="15"/>
      <c r="H45" s="7"/>
      <c r="I45" s="15"/>
      <c r="J45" s="15"/>
      <c r="K45" s="15"/>
      <c r="L45" s="7"/>
      <c r="M45" s="65"/>
      <c r="N45" s="69"/>
      <c r="O45" s="15"/>
      <c r="P45" s="69"/>
      <c r="Q45" s="15"/>
      <c r="R45" s="89"/>
      <c r="S45" s="16"/>
      <c r="T45" s="16"/>
      <c r="U45" s="35"/>
      <c r="V45" s="133"/>
      <c r="W45" s="15"/>
      <c r="X45" s="15"/>
      <c r="Y45" s="15"/>
      <c r="Z45" s="15"/>
      <c r="AA45" s="15"/>
      <c r="AB45" s="134"/>
      <c r="AC45" s="15"/>
      <c r="AD45" s="7"/>
      <c r="AE45" s="15"/>
      <c r="AF45" s="15"/>
      <c r="AG45" s="15"/>
      <c r="AH45" s="7"/>
      <c r="AI45" s="15"/>
      <c r="AJ45" s="91"/>
      <c r="AK45" s="5"/>
      <c r="AL45" s="43"/>
      <c r="AM45" s="15"/>
    </row>
    <row r="46" spans="1:39" s="8" customFormat="1" ht="16.5" thickBot="1" x14ac:dyDescent="0.3">
      <c r="A46" s="15"/>
      <c r="B46" s="122"/>
      <c r="C46" s="123"/>
      <c r="D46" s="123"/>
      <c r="E46" s="124"/>
      <c r="F46" s="75"/>
      <c r="G46" s="74"/>
      <c r="H46" s="75"/>
      <c r="I46" s="74"/>
      <c r="J46" s="74"/>
      <c r="K46" s="74"/>
      <c r="L46" s="75"/>
      <c r="M46" s="76"/>
      <c r="N46" s="77"/>
      <c r="O46" s="74"/>
      <c r="P46" s="77"/>
      <c r="Q46" s="74"/>
      <c r="R46" s="90"/>
      <c r="S46" s="78"/>
      <c r="T46" s="74"/>
      <c r="U46" s="195"/>
      <c r="V46" s="135"/>
      <c r="W46" s="80"/>
      <c r="X46" s="74"/>
      <c r="Y46" s="74"/>
      <c r="Z46" s="74"/>
      <c r="AA46" s="74"/>
      <c r="AB46" s="79"/>
      <c r="AC46" s="81"/>
      <c r="AD46" s="75"/>
      <c r="AE46" s="81"/>
      <c r="AF46" s="81"/>
      <c r="AG46" s="81"/>
      <c r="AH46" s="75"/>
      <c r="AI46" s="74"/>
      <c r="AJ46" s="147"/>
      <c r="AK46" s="82"/>
      <c r="AL46" s="83"/>
      <c r="AM46" s="15"/>
    </row>
    <row r="47" spans="1:39" ht="17.25" thickTop="1" thickBot="1" x14ac:dyDescent="0.3">
      <c r="A47" s="27"/>
      <c r="B47" s="72"/>
      <c r="C47" s="73">
        <f>SUM(C12:C43)</f>
        <v>201</v>
      </c>
      <c r="D47" s="73">
        <f>SUM(D12:D43)</f>
        <v>2243</v>
      </c>
      <c r="E47" s="73">
        <f>SUM(E12:E43)</f>
        <v>325440</v>
      </c>
      <c r="F47" s="73">
        <f>SUM(F12:F43)</f>
        <v>337084243.20000005</v>
      </c>
      <c r="G47" s="73">
        <f>SUM(G12:G43)</f>
        <v>67800</v>
      </c>
      <c r="H47" s="73">
        <f t="shared" ref="H47:O47" si="14">SUM(H12:H43)</f>
        <v>105338826</v>
      </c>
      <c r="I47" s="73">
        <f t="shared" si="14"/>
        <v>442423069.20000011</v>
      </c>
      <c r="J47" s="73">
        <f t="shared" si="14"/>
        <v>41819.999999999985</v>
      </c>
      <c r="K47" s="73">
        <f t="shared" si="14"/>
        <v>43316319.599999994</v>
      </c>
      <c r="L47" s="73">
        <f t="shared" si="14"/>
        <v>10800.000000000004</v>
      </c>
      <c r="M47" s="73">
        <f t="shared" si="14"/>
        <v>16779636.000000007</v>
      </c>
      <c r="N47" s="73">
        <f t="shared" si="14"/>
        <v>60095955.599999994</v>
      </c>
      <c r="O47" s="73">
        <f t="shared" si="14"/>
        <v>502519024.80000019</v>
      </c>
      <c r="P47" s="85">
        <f>SUM(P12:P43)</f>
        <v>445860.00000000012</v>
      </c>
      <c r="Q47" s="196" t="e">
        <f>#REF!</f>
        <v>#REF!</v>
      </c>
      <c r="R47" s="126" t="e">
        <f>#REF!</f>
        <v>#REF!</v>
      </c>
      <c r="S47" s="118" t="e">
        <f>Q47+P47</f>
        <v>#REF!</v>
      </c>
      <c r="T47" s="118" t="e">
        <f>R47+O47</f>
        <v>#REF!</v>
      </c>
      <c r="U47" s="140" t="e">
        <f>T47/AL48</f>
        <v>#REF!</v>
      </c>
      <c r="V47" s="184">
        <f>SUM(V12:V42)</f>
        <v>33695.121999999996</v>
      </c>
      <c r="W47" s="55">
        <f>SUM(W12:W42)</f>
        <v>12514.189999999999</v>
      </c>
      <c r="X47" s="55">
        <f t="shared" ref="X47:Z47" si="15">SUM(X12:X42)</f>
        <v>224952572.04855683</v>
      </c>
      <c r="Y47" s="55">
        <f t="shared" si="15"/>
        <v>21180.931999999997</v>
      </c>
      <c r="Z47" s="55">
        <f t="shared" si="15"/>
        <v>89916868.907760009</v>
      </c>
      <c r="AA47" s="139">
        <f>SUM(AA12:AA42)</f>
        <v>314869440.95631671</v>
      </c>
      <c r="AB47" s="127">
        <f>AA47/$AL$48</f>
        <v>24265.355816452931</v>
      </c>
      <c r="AC47" s="47">
        <f>SUM(AC12:AC41)</f>
        <v>0</v>
      </c>
      <c r="AD47" s="141">
        <f>SUM(AD12:AD41)</f>
        <v>0</v>
      </c>
      <c r="AE47" s="47">
        <f>SUM(AE12:AE42)</f>
        <v>2400</v>
      </c>
      <c r="AF47" s="47">
        <f>SUM(AF12:AF42)</f>
        <v>348</v>
      </c>
      <c r="AG47" s="225">
        <f>SUM(AG12:AG42)</f>
        <v>2748</v>
      </c>
      <c r="AH47" s="150">
        <f>SUM(AH12:AH43)</f>
        <v>37539500</v>
      </c>
      <c r="AI47" s="151">
        <f>AH47/$AL$48</f>
        <v>2892.9746942260726</v>
      </c>
      <c r="AJ47" s="224">
        <f>SUM(AJ12:AJ43)</f>
        <v>5323.399999999976</v>
      </c>
      <c r="AK47" s="148">
        <f>SUM(AK12:AK43)</f>
        <v>46313579.999999791</v>
      </c>
      <c r="AL47" s="149">
        <f>AK47/AL48</f>
        <v>3569.1475629407464</v>
      </c>
      <c r="AM47" s="27"/>
    </row>
    <row r="48" spans="1:39" s="1" customFormat="1" x14ac:dyDescent="0.25">
      <c r="A48" s="27"/>
      <c r="B48" s="27"/>
      <c r="C48" s="5"/>
      <c r="D48" s="11"/>
      <c r="E48" s="5"/>
      <c r="F48" s="5"/>
      <c r="G48" s="11"/>
      <c r="H48" s="5"/>
      <c r="I48" s="9"/>
      <c r="J48" s="9"/>
      <c r="K48" s="9"/>
      <c r="L48" s="17"/>
      <c r="M48" s="66"/>
      <c r="N48" s="70"/>
      <c r="O48" s="10"/>
      <c r="P48" s="70"/>
      <c r="Q48" s="10"/>
      <c r="R48" s="117"/>
      <c r="S48" s="14"/>
      <c r="T48" s="84" t="s">
        <v>29</v>
      </c>
      <c r="U48" s="157" t="e">
        <f>U47/S47</f>
        <v>#REF!</v>
      </c>
      <c r="V48" s="201" t="s">
        <v>54</v>
      </c>
      <c r="W48" s="11"/>
      <c r="X48" s="11"/>
      <c r="Y48" s="142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1"/>
      <c r="AK48" s="11"/>
      <c r="AL48" s="152">
        <v>12976.09</v>
      </c>
      <c r="AM48" s="27"/>
    </row>
    <row r="49" spans="1:39" s="1" customFormat="1" x14ac:dyDescent="0.25">
      <c r="A49" s="27"/>
      <c r="B49" s="27"/>
      <c r="C49" s="5"/>
      <c r="D49" s="11"/>
      <c r="E49" s="5"/>
      <c r="F49" s="5"/>
      <c r="G49" s="11"/>
      <c r="H49" s="5"/>
      <c r="I49" s="9"/>
      <c r="J49" s="9"/>
      <c r="K49" s="9"/>
      <c r="L49" s="17"/>
      <c r="M49" s="66"/>
      <c r="N49" s="70"/>
      <c r="O49" s="10"/>
      <c r="P49" s="70">
        <f>O47/P47</f>
        <v>1127.0780621719823</v>
      </c>
      <c r="Q49" s="10"/>
      <c r="R49" s="117"/>
      <c r="S49" s="14"/>
      <c r="T49" s="84"/>
      <c r="U49" s="157"/>
      <c r="V49" s="201"/>
      <c r="W49" s="11"/>
      <c r="X49" s="11"/>
      <c r="Y49" s="142"/>
      <c r="Z49" s="11"/>
      <c r="AA49" s="267">
        <f>AA47/V47</f>
        <v>9344.6594719650147</v>
      </c>
      <c r="AB49" s="11"/>
      <c r="AC49" s="16"/>
      <c r="AD49" s="7"/>
      <c r="AE49" s="16"/>
      <c r="AF49" s="16"/>
      <c r="AG49" s="7"/>
      <c r="AH49" s="17">
        <f>AH47/AG47</f>
        <v>13660.662299854439</v>
      </c>
      <c r="AI49" s="11"/>
      <c r="AJ49" s="91"/>
      <c r="AK49" s="267">
        <f>AK47/AJ47</f>
        <v>8700</v>
      </c>
      <c r="AL49" s="152"/>
      <c r="AM49" s="27"/>
    </row>
    <row r="50" spans="1:39" s="1" customFormat="1" x14ac:dyDescent="0.25">
      <c r="A50" s="27"/>
      <c r="B50" s="27"/>
      <c r="C50" s="5"/>
      <c r="D50" s="11"/>
      <c r="E50" s="5"/>
      <c r="F50" s="5"/>
      <c r="G50" s="11"/>
      <c r="H50" s="5"/>
      <c r="I50" s="9"/>
      <c r="J50" s="9"/>
      <c r="K50" s="9"/>
      <c r="L50" s="17"/>
      <c r="M50" s="66"/>
      <c r="N50" s="70"/>
      <c r="O50" s="10"/>
      <c r="P50" s="70"/>
      <c r="Q50" s="10"/>
      <c r="R50" s="117"/>
      <c r="S50" s="14"/>
      <c r="T50" s="84"/>
      <c r="U50" s="157"/>
      <c r="V50" s="201"/>
      <c r="W50" s="11"/>
      <c r="X50" s="11"/>
      <c r="Y50" s="142"/>
      <c r="Z50" s="11"/>
      <c r="AA50" s="11"/>
      <c r="AB50" s="11"/>
      <c r="AC50" s="16"/>
      <c r="AD50" s="7"/>
      <c r="AE50" s="16"/>
      <c r="AF50" s="16"/>
      <c r="AG50" s="7"/>
      <c r="AH50" s="5"/>
      <c r="AI50" s="11"/>
      <c r="AJ50" s="91"/>
      <c r="AK50" s="11"/>
      <c r="AL50" s="152"/>
      <c r="AM50" s="27"/>
    </row>
    <row r="51" spans="1:39" s="204" customFormat="1" x14ac:dyDescent="0.25">
      <c r="A51" s="202"/>
      <c r="B51" s="202"/>
      <c r="C51" s="203"/>
      <c r="E51" s="203"/>
      <c r="F51" s="203"/>
      <c r="H51" s="203"/>
      <c r="L51" s="203"/>
      <c r="M51" s="205"/>
      <c r="N51" s="206"/>
      <c r="P51" s="206"/>
      <c r="R51" s="207"/>
      <c r="W51" s="226">
        <f>W47/V47</f>
        <v>0.37139470811234931</v>
      </c>
      <c r="AD51" s="203"/>
      <c r="AH51" s="203"/>
      <c r="AJ51" s="207"/>
      <c r="AL51" s="208"/>
      <c r="AM51" s="202"/>
    </row>
    <row r="52" spans="1:39" s="204" customFormat="1" x14ac:dyDescent="0.25">
      <c r="A52" s="202"/>
      <c r="B52" s="202"/>
      <c r="C52" s="203"/>
      <c r="E52" s="203"/>
      <c r="F52" s="203"/>
      <c r="H52" s="203"/>
      <c r="L52" s="203"/>
      <c r="M52" s="205"/>
      <c r="N52" s="206"/>
      <c r="P52" s="206"/>
      <c r="R52" s="207"/>
      <c r="AD52" s="203"/>
      <c r="AH52" s="203"/>
      <c r="AJ52" s="207"/>
      <c r="AL52" s="208"/>
      <c r="AM52" s="202"/>
    </row>
    <row r="53" spans="1:39" s="204" customFormat="1" x14ac:dyDescent="0.25">
      <c r="A53" s="202"/>
      <c r="B53" s="202"/>
      <c r="C53" s="203"/>
      <c r="E53" s="203"/>
      <c r="F53" s="203"/>
      <c r="H53" s="203"/>
      <c r="L53" s="203"/>
      <c r="M53" s="205"/>
      <c r="N53" s="206"/>
      <c r="P53" s="206"/>
      <c r="R53" s="207"/>
      <c r="AD53" s="203"/>
      <c r="AH53" s="203"/>
      <c r="AJ53" s="207"/>
      <c r="AL53" s="208"/>
      <c r="AM53" s="202"/>
    </row>
    <row r="54" spans="1:39" s="204" customFormat="1" x14ac:dyDescent="0.25">
      <c r="A54" s="202"/>
      <c r="B54" s="202"/>
      <c r="C54" s="203"/>
      <c r="E54" s="203"/>
      <c r="F54" s="203"/>
      <c r="H54" s="203"/>
      <c r="L54" s="203"/>
      <c r="M54" s="205"/>
      <c r="N54" s="206"/>
      <c r="P54" s="206"/>
      <c r="R54" s="207"/>
      <c r="AD54" s="203"/>
      <c r="AH54" s="203"/>
      <c r="AJ54" s="207"/>
      <c r="AL54" s="208"/>
      <c r="AM54" s="202"/>
    </row>
    <row r="55" spans="1:39" s="204" customFormat="1" x14ac:dyDescent="0.25">
      <c r="A55" s="202"/>
      <c r="B55" s="202"/>
      <c r="C55" s="203"/>
      <c r="E55" s="203"/>
      <c r="F55" s="203"/>
      <c r="H55" s="203"/>
      <c r="L55" s="203"/>
      <c r="M55" s="205"/>
      <c r="N55" s="206"/>
      <c r="P55" s="206"/>
      <c r="R55" s="207"/>
      <c r="AD55" s="203"/>
      <c r="AH55" s="203"/>
      <c r="AJ55" s="207"/>
      <c r="AL55" s="208"/>
      <c r="AM55" s="202"/>
    </row>
    <row r="56" spans="1:39" s="204" customFormat="1" x14ac:dyDescent="0.25">
      <c r="A56" s="202"/>
      <c r="B56" s="202"/>
      <c r="C56" s="203"/>
      <c r="E56" s="203"/>
      <c r="F56" s="203"/>
      <c r="H56" s="203"/>
      <c r="L56" s="203"/>
      <c r="M56" s="205"/>
      <c r="N56" s="206"/>
      <c r="P56" s="206"/>
      <c r="R56" s="207"/>
      <c r="AD56" s="203"/>
      <c r="AH56" s="203"/>
      <c r="AJ56" s="207"/>
      <c r="AL56" s="208"/>
      <c r="AM56" s="202"/>
    </row>
    <row r="57" spans="1:39" s="204" customFormat="1" x14ac:dyDescent="0.25">
      <c r="A57" s="202"/>
      <c r="B57" s="202"/>
      <c r="C57" s="203"/>
      <c r="E57" s="203"/>
      <c r="F57" s="203"/>
      <c r="H57" s="203"/>
      <c r="L57" s="203"/>
      <c r="M57" s="205"/>
      <c r="N57" s="206"/>
      <c r="P57" s="206"/>
      <c r="R57" s="207"/>
      <c r="AD57" s="203"/>
      <c r="AH57" s="203"/>
      <c r="AJ57" s="207"/>
      <c r="AL57" s="208"/>
      <c r="AM57" s="202"/>
    </row>
    <row r="58" spans="1:39" s="204" customFormat="1" x14ac:dyDescent="0.25">
      <c r="A58" s="202"/>
      <c r="B58" s="202"/>
      <c r="C58" s="203"/>
      <c r="E58" s="203"/>
      <c r="F58" s="203"/>
      <c r="H58" s="203"/>
      <c r="L58" s="203"/>
      <c r="M58" s="205"/>
      <c r="N58" s="206"/>
      <c r="P58" s="206"/>
      <c r="R58" s="207"/>
      <c r="AD58" s="203"/>
      <c r="AH58" s="203"/>
      <c r="AJ58" s="207"/>
      <c r="AL58" s="208"/>
      <c r="AM58" s="202"/>
    </row>
    <row r="59" spans="1:39" s="204" customFormat="1" x14ac:dyDescent="0.25">
      <c r="A59" s="202"/>
      <c r="B59" s="202"/>
      <c r="C59" s="203"/>
      <c r="E59" s="203"/>
      <c r="F59" s="203"/>
      <c r="H59" s="203"/>
      <c r="L59" s="203"/>
      <c r="M59" s="205"/>
      <c r="N59" s="206"/>
      <c r="P59" s="206"/>
      <c r="R59" s="207"/>
      <c r="AD59" s="203"/>
      <c r="AH59" s="203"/>
      <c r="AJ59" s="207"/>
      <c r="AL59" s="208"/>
      <c r="AM59" s="202"/>
    </row>
    <row r="60" spans="1:39" s="204" customFormat="1" x14ac:dyDescent="0.25">
      <c r="A60" s="202"/>
      <c r="B60" s="202"/>
      <c r="C60" s="203"/>
      <c r="E60" s="203"/>
      <c r="F60" s="203"/>
      <c r="H60" s="203"/>
      <c r="L60" s="203"/>
      <c r="M60" s="205"/>
      <c r="N60" s="206"/>
      <c r="P60" s="206"/>
      <c r="R60" s="207"/>
      <c r="AD60" s="203"/>
      <c r="AH60" s="203"/>
      <c r="AJ60" s="207"/>
      <c r="AL60" s="208"/>
      <c r="AM60" s="202"/>
    </row>
    <row r="61" spans="1:39" s="204" customFormat="1" x14ac:dyDescent="0.25">
      <c r="A61" s="202"/>
      <c r="B61" s="202"/>
      <c r="C61" s="203"/>
      <c r="E61" s="203"/>
      <c r="F61" s="203"/>
      <c r="H61" s="203"/>
      <c r="L61" s="203"/>
      <c r="M61" s="205"/>
      <c r="N61" s="206"/>
      <c r="P61" s="206"/>
      <c r="R61" s="207"/>
      <c r="AD61" s="203"/>
      <c r="AH61" s="203"/>
      <c r="AJ61" s="207"/>
      <c r="AL61" s="208"/>
      <c r="AM61" s="202"/>
    </row>
    <row r="62" spans="1:39" s="204" customFormat="1" x14ac:dyDescent="0.25">
      <c r="A62" s="202"/>
      <c r="B62" s="202"/>
      <c r="C62" s="203"/>
      <c r="E62" s="203"/>
      <c r="F62" s="203"/>
      <c r="H62" s="203"/>
      <c r="L62" s="203"/>
      <c r="M62" s="205"/>
      <c r="N62" s="206"/>
      <c r="P62" s="206"/>
      <c r="R62" s="207"/>
      <c r="AD62" s="203"/>
      <c r="AH62" s="203"/>
      <c r="AJ62" s="207"/>
      <c r="AL62" s="208"/>
      <c r="AM62" s="202"/>
    </row>
    <row r="63" spans="1:39" s="204" customFormat="1" x14ac:dyDescent="0.25">
      <c r="A63" s="202"/>
      <c r="B63" s="202"/>
      <c r="C63" s="203"/>
      <c r="E63" s="203"/>
      <c r="F63" s="203"/>
      <c r="H63" s="203"/>
      <c r="L63" s="203"/>
      <c r="M63" s="205"/>
      <c r="N63" s="206"/>
      <c r="P63" s="206"/>
      <c r="R63" s="207"/>
      <c r="AD63" s="203"/>
      <c r="AH63" s="203"/>
      <c r="AJ63" s="207"/>
      <c r="AL63" s="208"/>
      <c r="AM63" s="202"/>
    </row>
    <row r="64" spans="1:39" s="204" customFormat="1" x14ac:dyDescent="0.25">
      <c r="A64" s="202"/>
      <c r="B64" s="202"/>
      <c r="C64" s="203"/>
      <c r="E64" s="203"/>
      <c r="F64" s="203"/>
      <c r="H64" s="203"/>
      <c r="L64" s="203"/>
      <c r="M64" s="205"/>
      <c r="N64" s="206"/>
      <c r="P64" s="206"/>
      <c r="R64" s="207"/>
      <c r="AD64" s="203"/>
      <c r="AH64" s="203"/>
      <c r="AJ64" s="207"/>
      <c r="AL64" s="208"/>
      <c r="AM64" s="202"/>
    </row>
    <row r="65" spans="1:39" s="204" customFormat="1" x14ac:dyDescent="0.25">
      <c r="A65" s="202"/>
      <c r="B65" s="202"/>
      <c r="C65" s="203"/>
      <c r="E65" s="203"/>
      <c r="F65" s="203"/>
      <c r="H65" s="203"/>
      <c r="L65" s="203"/>
      <c r="M65" s="205"/>
      <c r="N65" s="206"/>
      <c r="P65" s="206"/>
      <c r="R65" s="207"/>
      <c r="AD65" s="203"/>
      <c r="AH65" s="203"/>
      <c r="AJ65" s="207"/>
      <c r="AL65" s="208"/>
      <c r="AM65" s="202"/>
    </row>
    <row r="66" spans="1:39" s="204" customFormat="1" x14ac:dyDescent="0.25">
      <c r="A66" s="202"/>
      <c r="B66" s="202"/>
      <c r="C66" s="203"/>
      <c r="E66" s="203"/>
      <c r="F66" s="203"/>
      <c r="H66" s="203"/>
      <c r="L66" s="203"/>
      <c r="M66" s="205"/>
      <c r="N66" s="206"/>
      <c r="P66" s="206"/>
      <c r="R66" s="207"/>
      <c r="AD66" s="203"/>
      <c r="AH66" s="203"/>
      <c r="AJ66" s="207"/>
      <c r="AL66" s="208"/>
      <c r="AM66" s="202"/>
    </row>
    <row r="67" spans="1:39" s="204" customFormat="1" x14ac:dyDescent="0.25">
      <c r="A67" s="202"/>
      <c r="B67" s="202"/>
      <c r="C67" s="203"/>
      <c r="E67" s="203"/>
      <c r="F67" s="203"/>
      <c r="H67" s="203"/>
      <c r="L67" s="203"/>
      <c r="M67" s="205"/>
      <c r="N67" s="206"/>
      <c r="P67" s="206"/>
      <c r="R67" s="207"/>
      <c r="AD67" s="203"/>
      <c r="AH67" s="203"/>
      <c r="AJ67" s="207"/>
      <c r="AL67" s="208"/>
      <c r="AM67" s="202"/>
    </row>
    <row r="68" spans="1:39" s="204" customFormat="1" x14ac:dyDescent="0.25">
      <c r="A68" s="202"/>
      <c r="B68" s="202"/>
      <c r="C68" s="203"/>
      <c r="E68" s="203"/>
      <c r="F68" s="203"/>
      <c r="H68" s="203"/>
      <c r="L68" s="203"/>
      <c r="M68" s="205"/>
      <c r="N68" s="206"/>
      <c r="P68" s="206"/>
      <c r="R68" s="207"/>
      <c r="AD68" s="203"/>
      <c r="AH68" s="203"/>
      <c r="AJ68" s="207"/>
      <c r="AL68" s="208"/>
      <c r="AM68" s="202"/>
    </row>
    <row r="69" spans="1:39" s="204" customFormat="1" x14ac:dyDescent="0.25">
      <c r="A69" s="202"/>
      <c r="B69" s="202"/>
      <c r="C69" s="203"/>
      <c r="E69" s="203"/>
      <c r="F69" s="203"/>
      <c r="H69" s="203"/>
      <c r="L69" s="203"/>
      <c r="M69" s="205"/>
      <c r="N69" s="206"/>
      <c r="P69" s="206"/>
      <c r="R69" s="207"/>
      <c r="AD69" s="203"/>
      <c r="AH69" s="203"/>
      <c r="AJ69" s="207"/>
      <c r="AL69" s="208"/>
      <c r="AM69" s="202"/>
    </row>
    <row r="70" spans="1:39" s="204" customFormat="1" x14ac:dyDescent="0.25">
      <c r="A70" s="202"/>
      <c r="B70" s="202"/>
      <c r="C70" s="203"/>
      <c r="E70" s="203"/>
      <c r="F70" s="203"/>
      <c r="H70" s="203"/>
      <c r="L70" s="203"/>
      <c r="M70" s="205"/>
      <c r="N70" s="206"/>
      <c r="P70" s="206"/>
      <c r="R70" s="207"/>
      <c r="AD70" s="203"/>
      <c r="AH70" s="203"/>
      <c r="AJ70" s="207"/>
      <c r="AL70" s="208"/>
      <c r="AM70" s="202"/>
    </row>
    <row r="71" spans="1:39" s="204" customFormat="1" x14ac:dyDescent="0.25">
      <c r="A71" s="202"/>
      <c r="B71" s="202"/>
      <c r="C71" s="203"/>
      <c r="E71" s="203"/>
      <c r="F71" s="203"/>
      <c r="H71" s="203"/>
      <c r="L71" s="203"/>
      <c r="M71" s="205"/>
      <c r="N71" s="206"/>
      <c r="P71" s="206"/>
      <c r="R71" s="207"/>
      <c r="AD71" s="203"/>
      <c r="AH71" s="203"/>
      <c r="AJ71" s="207"/>
      <c r="AL71" s="208"/>
      <c r="AM71" s="202"/>
    </row>
    <row r="72" spans="1:39" s="204" customFormat="1" x14ac:dyDescent="0.25">
      <c r="A72" s="202"/>
      <c r="B72" s="202"/>
      <c r="C72" s="203"/>
      <c r="E72" s="203"/>
      <c r="F72" s="203"/>
      <c r="H72" s="203"/>
      <c r="L72" s="203"/>
      <c r="M72" s="205"/>
      <c r="N72" s="206"/>
      <c r="P72" s="206"/>
      <c r="R72" s="207"/>
      <c r="AD72" s="203"/>
      <c r="AH72" s="203"/>
      <c r="AJ72" s="207"/>
      <c r="AL72" s="208"/>
      <c r="AM72" s="202"/>
    </row>
    <row r="73" spans="1:39" s="204" customFormat="1" x14ac:dyDescent="0.25">
      <c r="A73" s="202"/>
      <c r="B73" s="202"/>
      <c r="C73" s="203"/>
      <c r="E73" s="203"/>
      <c r="F73" s="203"/>
      <c r="H73" s="203"/>
      <c r="L73" s="203"/>
      <c r="M73" s="205"/>
      <c r="N73" s="206"/>
      <c r="P73" s="206"/>
      <c r="R73" s="207"/>
      <c r="AD73" s="203"/>
      <c r="AH73" s="203"/>
      <c r="AJ73" s="207"/>
      <c r="AL73" s="208"/>
      <c r="AM73" s="202"/>
    </row>
    <row r="74" spans="1:39" s="204" customFormat="1" x14ac:dyDescent="0.25">
      <c r="A74" s="202"/>
      <c r="B74" s="202"/>
      <c r="C74" s="203"/>
      <c r="E74" s="203"/>
      <c r="F74" s="203"/>
      <c r="H74" s="203"/>
      <c r="L74" s="203"/>
      <c r="M74" s="205"/>
      <c r="N74" s="206"/>
      <c r="P74" s="206"/>
      <c r="R74" s="207"/>
      <c r="AD74" s="203"/>
      <c r="AH74" s="203"/>
      <c r="AJ74" s="207"/>
      <c r="AL74" s="208"/>
      <c r="AM74" s="202"/>
    </row>
    <row r="75" spans="1:39" s="204" customFormat="1" x14ac:dyDescent="0.25">
      <c r="A75" s="202"/>
      <c r="B75" s="202"/>
      <c r="C75" s="203"/>
      <c r="E75" s="203"/>
      <c r="F75" s="203"/>
      <c r="H75" s="203"/>
      <c r="L75" s="203"/>
      <c r="M75" s="205"/>
      <c r="N75" s="206"/>
      <c r="P75" s="206"/>
      <c r="R75" s="207"/>
      <c r="AD75" s="203"/>
      <c r="AH75" s="203"/>
      <c r="AJ75" s="207"/>
      <c r="AL75" s="208"/>
      <c r="AM75" s="202"/>
    </row>
    <row r="76" spans="1:39" s="204" customFormat="1" x14ac:dyDescent="0.25">
      <c r="A76" s="202"/>
      <c r="B76" s="202"/>
      <c r="C76" s="203"/>
      <c r="E76" s="203"/>
      <c r="F76" s="203"/>
      <c r="H76" s="203"/>
      <c r="L76" s="203"/>
      <c r="M76" s="205"/>
      <c r="N76" s="206"/>
      <c r="P76" s="206"/>
      <c r="R76" s="207"/>
      <c r="AD76" s="203"/>
      <c r="AH76" s="203"/>
      <c r="AJ76" s="207"/>
      <c r="AL76" s="208"/>
      <c r="AM76" s="202"/>
    </row>
    <row r="77" spans="1:39" s="204" customFormat="1" x14ac:dyDescent="0.25">
      <c r="A77" s="202"/>
      <c r="B77" s="202"/>
      <c r="C77" s="203"/>
      <c r="E77" s="203"/>
      <c r="F77" s="203"/>
      <c r="H77" s="203"/>
      <c r="L77" s="203"/>
      <c r="M77" s="205"/>
      <c r="N77" s="206"/>
      <c r="P77" s="206"/>
      <c r="R77" s="207"/>
      <c r="AD77" s="203"/>
      <c r="AH77" s="203"/>
      <c r="AJ77" s="207"/>
      <c r="AL77" s="208"/>
      <c r="AM77" s="202"/>
    </row>
    <row r="78" spans="1:39" s="204" customFormat="1" x14ac:dyDescent="0.25">
      <c r="A78" s="202"/>
      <c r="B78" s="202"/>
      <c r="C78" s="203"/>
      <c r="E78" s="203"/>
      <c r="F78" s="203"/>
      <c r="H78" s="203"/>
      <c r="L78" s="203"/>
      <c r="M78" s="205"/>
      <c r="N78" s="206"/>
      <c r="P78" s="206"/>
      <c r="R78" s="207"/>
      <c r="AD78" s="203"/>
      <c r="AH78" s="203"/>
      <c r="AJ78" s="207"/>
      <c r="AL78" s="208"/>
      <c r="AM78" s="202"/>
    </row>
    <row r="79" spans="1:39" s="204" customFormat="1" x14ac:dyDescent="0.25">
      <c r="A79" s="202"/>
      <c r="B79" s="202"/>
      <c r="C79" s="203"/>
      <c r="E79" s="203"/>
      <c r="F79" s="203"/>
      <c r="H79" s="203"/>
      <c r="L79" s="203"/>
      <c r="M79" s="205"/>
      <c r="N79" s="206"/>
      <c r="P79" s="206"/>
      <c r="R79" s="207"/>
      <c r="AD79" s="203"/>
      <c r="AH79" s="203"/>
      <c r="AJ79" s="207"/>
      <c r="AL79" s="208"/>
      <c r="AM79" s="202"/>
    </row>
    <row r="80" spans="1:39" s="204" customFormat="1" x14ac:dyDescent="0.25">
      <c r="A80" s="202"/>
      <c r="B80" s="202"/>
      <c r="C80" s="203"/>
      <c r="E80" s="203"/>
      <c r="F80" s="203"/>
      <c r="H80" s="203"/>
      <c r="L80" s="203"/>
      <c r="M80" s="205"/>
      <c r="N80" s="206"/>
      <c r="P80" s="206"/>
      <c r="R80" s="207"/>
      <c r="AD80" s="203"/>
      <c r="AH80" s="203"/>
      <c r="AJ80" s="207"/>
      <c r="AL80" s="208"/>
      <c r="AM80" s="202"/>
    </row>
    <row r="81" spans="1:39" s="204" customFormat="1" x14ac:dyDescent="0.25">
      <c r="A81" s="202"/>
      <c r="B81" s="202"/>
      <c r="C81" s="203"/>
      <c r="E81" s="203"/>
      <c r="F81" s="203"/>
      <c r="H81" s="203"/>
      <c r="L81" s="203"/>
      <c r="M81" s="205"/>
      <c r="N81" s="206"/>
      <c r="P81" s="206"/>
      <c r="R81" s="207"/>
      <c r="AD81" s="203"/>
      <c r="AH81" s="203"/>
      <c r="AJ81" s="207"/>
      <c r="AL81" s="208"/>
      <c r="AM81" s="202"/>
    </row>
    <row r="82" spans="1:39" s="204" customFormat="1" x14ac:dyDescent="0.25">
      <c r="A82" s="202"/>
      <c r="B82" s="202"/>
      <c r="C82" s="203"/>
      <c r="E82" s="203"/>
      <c r="F82" s="203"/>
      <c r="H82" s="203"/>
      <c r="L82" s="203"/>
      <c r="M82" s="205"/>
      <c r="N82" s="206"/>
      <c r="P82" s="206"/>
      <c r="R82" s="207"/>
      <c r="AD82" s="203"/>
      <c r="AH82" s="203"/>
      <c r="AJ82" s="207"/>
      <c r="AL82" s="208"/>
      <c r="AM82" s="202"/>
    </row>
    <row r="83" spans="1:39" s="204" customFormat="1" x14ac:dyDescent="0.25">
      <c r="A83" s="202"/>
      <c r="B83" s="202"/>
      <c r="C83" s="203"/>
      <c r="E83" s="203"/>
      <c r="F83" s="203"/>
      <c r="H83" s="203"/>
      <c r="L83" s="203"/>
      <c r="M83" s="205"/>
      <c r="N83" s="206"/>
      <c r="P83" s="206"/>
      <c r="R83" s="207"/>
      <c r="AD83" s="203"/>
      <c r="AH83" s="203"/>
      <c r="AJ83" s="207"/>
      <c r="AL83" s="208"/>
      <c r="AM83" s="202"/>
    </row>
    <row r="84" spans="1:39" s="204" customFormat="1" x14ac:dyDescent="0.25">
      <c r="A84" s="202"/>
      <c r="B84" s="202"/>
      <c r="C84" s="203"/>
      <c r="E84" s="203"/>
      <c r="F84" s="203"/>
      <c r="H84" s="203"/>
      <c r="L84" s="203"/>
      <c r="M84" s="205"/>
      <c r="N84" s="206"/>
      <c r="P84" s="206"/>
      <c r="R84" s="207"/>
      <c r="AD84" s="203"/>
      <c r="AH84" s="203"/>
      <c r="AJ84" s="207"/>
      <c r="AL84" s="208"/>
      <c r="AM84" s="202"/>
    </row>
    <row r="85" spans="1:39" s="204" customFormat="1" x14ac:dyDescent="0.25">
      <c r="A85" s="202"/>
      <c r="B85" s="202"/>
      <c r="C85" s="203"/>
      <c r="E85" s="203"/>
      <c r="F85" s="203"/>
      <c r="H85" s="203"/>
      <c r="L85" s="203"/>
      <c r="M85" s="205"/>
      <c r="N85" s="206"/>
      <c r="P85" s="206"/>
      <c r="R85" s="207"/>
      <c r="AD85" s="203"/>
      <c r="AH85" s="203"/>
      <c r="AJ85" s="207"/>
      <c r="AL85" s="208"/>
      <c r="AM85" s="202"/>
    </row>
    <row r="86" spans="1:39" s="204" customFormat="1" x14ac:dyDescent="0.25">
      <c r="A86" s="202"/>
      <c r="B86" s="202"/>
      <c r="C86" s="203"/>
      <c r="E86" s="203"/>
      <c r="F86" s="203"/>
      <c r="H86" s="203"/>
      <c r="L86" s="203"/>
      <c r="M86" s="205"/>
      <c r="N86" s="206"/>
      <c r="P86" s="206"/>
      <c r="R86" s="207"/>
      <c r="AD86" s="203"/>
      <c r="AH86" s="203"/>
      <c r="AJ86" s="207"/>
      <c r="AL86" s="208"/>
      <c r="AM86" s="202"/>
    </row>
    <row r="87" spans="1:39" s="204" customFormat="1" x14ac:dyDescent="0.25">
      <c r="A87" s="202"/>
      <c r="B87" s="202"/>
      <c r="C87" s="203"/>
      <c r="E87" s="203"/>
      <c r="F87" s="203"/>
      <c r="H87" s="203"/>
      <c r="L87" s="203"/>
      <c r="M87" s="205"/>
      <c r="N87" s="206"/>
      <c r="P87" s="206"/>
      <c r="R87" s="207"/>
      <c r="AD87" s="203"/>
      <c r="AH87" s="203"/>
      <c r="AJ87" s="207"/>
      <c r="AL87" s="208"/>
      <c r="AM87" s="202"/>
    </row>
    <row r="88" spans="1:39" s="204" customFormat="1" x14ac:dyDescent="0.25">
      <c r="A88" s="202"/>
      <c r="B88" s="202"/>
      <c r="C88" s="203"/>
      <c r="E88" s="203"/>
      <c r="F88" s="203"/>
      <c r="H88" s="203"/>
      <c r="L88" s="203"/>
      <c r="M88" s="205"/>
      <c r="N88" s="206"/>
      <c r="P88" s="206"/>
      <c r="R88" s="207"/>
      <c r="AD88" s="203"/>
      <c r="AH88" s="203"/>
      <c r="AJ88" s="207"/>
      <c r="AL88" s="208"/>
      <c r="AM88" s="202"/>
    </row>
    <row r="89" spans="1:39" s="204" customFormat="1" x14ac:dyDescent="0.25">
      <c r="A89" s="202"/>
      <c r="B89" s="202"/>
      <c r="C89" s="203"/>
      <c r="E89" s="203"/>
      <c r="F89" s="203"/>
      <c r="H89" s="203"/>
      <c r="L89" s="203"/>
      <c r="M89" s="205"/>
      <c r="N89" s="206"/>
      <c r="P89" s="206"/>
      <c r="R89" s="207"/>
      <c r="AD89" s="203"/>
      <c r="AH89" s="203"/>
      <c r="AJ89" s="207"/>
      <c r="AL89" s="208"/>
      <c r="AM89" s="202"/>
    </row>
    <row r="90" spans="1:39" s="204" customFormat="1" x14ac:dyDescent="0.25">
      <c r="A90" s="202"/>
      <c r="B90" s="202"/>
      <c r="C90" s="203"/>
      <c r="E90" s="203"/>
      <c r="F90" s="203"/>
      <c r="H90" s="203"/>
      <c r="L90" s="203"/>
      <c r="M90" s="205"/>
      <c r="N90" s="206"/>
      <c r="P90" s="206"/>
      <c r="R90" s="207"/>
      <c r="AD90" s="203"/>
      <c r="AH90" s="203"/>
      <c r="AJ90" s="207"/>
      <c r="AL90" s="208"/>
      <c r="AM90" s="202"/>
    </row>
    <row r="91" spans="1:39" s="204" customFormat="1" x14ac:dyDescent="0.25">
      <c r="A91" s="202"/>
      <c r="B91" s="202"/>
      <c r="C91" s="203"/>
      <c r="E91" s="203"/>
      <c r="F91" s="203"/>
      <c r="H91" s="203"/>
      <c r="L91" s="203"/>
      <c r="M91" s="205"/>
      <c r="N91" s="206"/>
      <c r="P91" s="206"/>
      <c r="R91" s="207"/>
      <c r="AD91" s="203"/>
      <c r="AH91" s="203"/>
      <c r="AJ91" s="207"/>
      <c r="AL91" s="208"/>
      <c r="AM91" s="202"/>
    </row>
    <row r="92" spans="1:39" s="204" customFormat="1" x14ac:dyDescent="0.25">
      <c r="A92" s="202"/>
      <c r="B92" s="202"/>
      <c r="C92" s="203"/>
      <c r="E92" s="203"/>
      <c r="F92" s="203"/>
      <c r="H92" s="203"/>
      <c r="L92" s="203"/>
      <c r="M92" s="205"/>
      <c r="N92" s="206"/>
      <c r="P92" s="206"/>
      <c r="R92" s="207"/>
      <c r="AD92" s="203"/>
      <c r="AH92" s="203"/>
      <c r="AJ92" s="207"/>
      <c r="AL92" s="208"/>
      <c r="AM92" s="202"/>
    </row>
    <row r="93" spans="1:39" s="204" customFormat="1" x14ac:dyDescent="0.25">
      <c r="A93" s="202"/>
      <c r="B93" s="202"/>
      <c r="C93" s="203"/>
      <c r="E93" s="203"/>
      <c r="F93" s="203"/>
      <c r="H93" s="203"/>
      <c r="L93" s="203"/>
      <c r="M93" s="205"/>
      <c r="N93" s="206"/>
      <c r="P93" s="206"/>
      <c r="R93" s="207"/>
      <c r="AD93" s="203"/>
      <c r="AH93" s="203"/>
      <c r="AJ93" s="207"/>
      <c r="AL93" s="208"/>
      <c r="AM93" s="202"/>
    </row>
    <row r="94" spans="1:39" s="204" customFormat="1" x14ac:dyDescent="0.25">
      <c r="A94" s="202"/>
      <c r="B94" s="202"/>
      <c r="C94" s="203"/>
      <c r="E94" s="203"/>
      <c r="F94" s="203"/>
      <c r="H94" s="203"/>
      <c r="L94" s="203"/>
      <c r="M94" s="205"/>
      <c r="N94" s="206"/>
      <c r="P94" s="206"/>
      <c r="R94" s="207"/>
      <c r="AD94" s="203"/>
      <c r="AH94" s="203"/>
      <c r="AJ94" s="207"/>
      <c r="AL94" s="208"/>
      <c r="AM94" s="202"/>
    </row>
    <row r="95" spans="1:39" s="204" customFormat="1" x14ac:dyDescent="0.25">
      <c r="A95" s="202"/>
      <c r="B95" s="202"/>
      <c r="C95" s="203"/>
      <c r="E95" s="203"/>
      <c r="F95" s="203"/>
      <c r="H95" s="203"/>
      <c r="L95" s="203"/>
      <c r="M95" s="205"/>
      <c r="N95" s="206"/>
      <c r="P95" s="206"/>
      <c r="R95" s="207"/>
      <c r="AD95" s="203"/>
      <c r="AH95" s="203"/>
      <c r="AJ95" s="207"/>
      <c r="AL95" s="208"/>
      <c r="AM95" s="202"/>
    </row>
    <row r="96" spans="1:39" s="204" customFormat="1" x14ac:dyDescent="0.25">
      <c r="A96" s="202"/>
      <c r="B96" s="202"/>
      <c r="C96" s="203"/>
      <c r="E96" s="203"/>
      <c r="F96" s="203"/>
      <c r="H96" s="203"/>
      <c r="L96" s="203"/>
      <c r="M96" s="205"/>
      <c r="N96" s="206"/>
      <c r="P96" s="206"/>
      <c r="R96" s="207"/>
      <c r="AD96" s="203"/>
      <c r="AH96" s="203"/>
      <c r="AJ96" s="207"/>
      <c r="AL96" s="208"/>
      <c r="AM96" s="202"/>
    </row>
    <row r="97" spans="1:39" s="204" customFormat="1" x14ac:dyDescent="0.25">
      <c r="A97" s="202"/>
      <c r="B97" s="202"/>
      <c r="C97" s="203"/>
      <c r="E97" s="203"/>
      <c r="F97" s="203"/>
      <c r="H97" s="203"/>
      <c r="L97" s="203"/>
      <c r="M97" s="205"/>
      <c r="N97" s="206"/>
      <c r="P97" s="206"/>
      <c r="R97" s="207"/>
      <c r="AD97" s="203"/>
      <c r="AH97" s="203"/>
      <c r="AJ97" s="207"/>
      <c r="AL97" s="208"/>
      <c r="AM97" s="202"/>
    </row>
    <row r="98" spans="1:39" s="204" customFormat="1" x14ac:dyDescent="0.25">
      <c r="A98" s="202"/>
      <c r="B98" s="202"/>
      <c r="C98" s="203"/>
      <c r="E98" s="203"/>
      <c r="F98" s="203"/>
      <c r="H98" s="203"/>
      <c r="L98" s="203"/>
      <c r="M98" s="205"/>
      <c r="N98" s="206"/>
      <c r="P98" s="206"/>
      <c r="R98" s="207"/>
      <c r="AD98" s="203"/>
      <c r="AH98" s="203"/>
      <c r="AJ98" s="207"/>
      <c r="AL98" s="208"/>
      <c r="AM98" s="202"/>
    </row>
    <row r="99" spans="1:39" s="204" customFormat="1" x14ac:dyDescent="0.25">
      <c r="A99" s="202"/>
      <c r="B99" s="202"/>
      <c r="C99" s="203"/>
      <c r="E99" s="203"/>
      <c r="F99" s="203"/>
      <c r="H99" s="203"/>
      <c r="L99" s="203"/>
      <c r="M99" s="205"/>
      <c r="N99" s="206"/>
      <c r="P99" s="206"/>
      <c r="R99" s="207"/>
      <c r="AD99" s="203"/>
      <c r="AH99" s="203"/>
      <c r="AJ99" s="207"/>
      <c r="AL99" s="208"/>
      <c r="AM99" s="202"/>
    </row>
    <row r="100" spans="1:39" s="204" customFormat="1" x14ac:dyDescent="0.25">
      <c r="A100" s="202"/>
      <c r="B100" s="202"/>
      <c r="C100" s="203"/>
      <c r="E100" s="203"/>
      <c r="F100" s="203"/>
      <c r="H100" s="203"/>
      <c r="L100" s="203"/>
      <c r="M100" s="205"/>
      <c r="N100" s="206"/>
      <c r="P100" s="206"/>
      <c r="R100" s="207"/>
      <c r="AD100" s="203"/>
      <c r="AH100" s="203"/>
      <c r="AJ100" s="207"/>
      <c r="AL100" s="208"/>
      <c r="AM100" s="202"/>
    </row>
    <row r="101" spans="1:39" s="204" customFormat="1" x14ac:dyDescent="0.25">
      <c r="A101" s="202"/>
      <c r="B101" s="202"/>
      <c r="C101" s="203"/>
      <c r="E101" s="203"/>
      <c r="F101" s="203"/>
      <c r="H101" s="203"/>
      <c r="L101" s="203"/>
      <c r="M101" s="205"/>
      <c r="N101" s="206"/>
      <c r="P101" s="206"/>
      <c r="R101" s="207"/>
      <c r="AD101" s="203"/>
      <c r="AH101" s="203"/>
      <c r="AJ101" s="207"/>
      <c r="AL101" s="208"/>
      <c r="AM101" s="202"/>
    </row>
    <row r="102" spans="1:39" s="204" customFormat="1" x14ac:dyDescent="0.25">
      <c r="A102" s="202"/>
      <c r="B102" s="202"/>
      <c r="C102" s="203"/>
      <c r="E102" s="203"/>
      <c r="F102" s="203"/>
      <c r="H102" s="203"/>
      <c r="L102" s="203"/>
      <c r="M102" s="205"/>
      <c r="N102" s="206"/>
      <c r="P102" s="206"/>
      <c r="R102" s="207"/>
      <c r="AD102" s="203"/>
      <c r="AH102" s="203"/>
      <c r="AJ102" s="207"/>
      <c r="AL102" s="208"/>
      <c r="AM102" s="202"/>
    </row>
  </sheetData>
  <mergeCells count="17">
    <mergeCell ref="Q9:Q10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37" sqref="N37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 x14ac:dyDescent="0.3">
      <c r="A1" s="28" t="s">
        <v>28</v>
      </c>
    </row>
    <row r="2" spans="1:3" ht="18.75" x14ac:dyDescent="0.3">
      <c r="A2" s="263">
        <v>44287</v>
      </c>
      <c r="B2" s="264"/>
      <c r="C2" s="264"/>
    </row>
    <row r="3" spans="1:3" x14ac:dyDescent="0.25">
      <c r="A3" s="266" t="s">
        <v>1</v>
      </c>
      <c r="B3" s="265" t="s">
        <v>2</v>
      </c>
      <c r="C3" s="265" t="s">
        <v>3</v>
      </c>
    </row>
    <row r="4" spans="1:3" x14ac:dyDescent="0.25">
      <c r="A4" s="266"/>
      <c r="B4" s="265"/>
      <c r="C4" s="265"/>
    </row>
    <row r="5" spans="1:3" x14ac:dyDescent="0.25">
      <c r="A5" s="266"/>
      <c r="B5" s="265"/>
      <c r="C5" s="265"/>
    </row>
    <row r="6" spans="1:3" x14ac:dyDescent="0.25">
      <c r="A6" s="2">
        <v>1</v>
      </c>
      <c r="B6" s="2">
        <v>9</v>
      </c>
      <c r="C6" s="2">
        <v>70</v>
      </c>
    </row>
    <row r="7" spans="1:3" x14ac:dyDescent="0.25">
      <c r="A7" s="2">
        <v>2</v>
      </c>
      <c r="B7" s="2">
        <v>9</v>
      </c>
      <c r="C7" s="2">
        <v>108</v>
      </c>
    </row>
    <row r="8" spans="1:3" x14ac:dyDescent="0.25">
      <c r="A8" s="2">
        <f>A7+1</f>
        <v>3</v>
      </c>
      <c r="B8" s="2">
        <v>7</v>
      </c>
      <c r="C8" s="2">
        <v>91</v>
      </c>
    </row>
    <row r="9" spans="1:3" x14ac:dyDescent="0.25">
      <c r="A9" s="2">
        <f>A8+1</f>
        <v>4</v>
      </c>
      <c r="B9" s="2">
        <v>4</v>
      </c>
      <c r="C9" s="2">
        <v>89</v>
      </c>
    </row>
    <row r="10" spans="1:3" x14ac:dyDescent="0.25">
      <c r="A10" s="2">
        <f t="shared" ref="A10:A35" si="0">A9+1</f>
        <v>5</v>
      </c>
      <c r="B10" s="2">
        <v>3</v>
      </c>
      <c r="C10" s="2">
        <v>36</v>
      </c>
    </row>
    <row r="11" spans="1:3" x14ac:dyDescent="0.25">
      <c r="A11" s="2">
        <f t="shared" si="0"/>
        <v>6</v>
      </c>
      <c r="B11" s="2">
        <v>5</v>
      </c>
      <c r="C11" s="2">
        <v>35</v>
      </c>
    </row>
    <row r="12" spans="1:3" x14ac:dyDescent="0.25">
      <c r="A12" s="2">
        <f t="shared" si="0"/>
        <v>7</v>
      </c>
      <c r="B12" s="2">
        <v>5</v>
      </c>
      <c r="C12" s="2">
        <v>65</v>
      </c>
    </row>
    <row r="13" spans="1:3" x14ac:dyDescent="0.25">
      <c r="A13" s="2">
        <f t="shared" si="0"/>
        <v>8</v>
      </c>
      <c r="B13" s="2">
        <v>4</v>
      </c>
      <c r="C13" s="2">
        <v>59</v>
      </c>
    </row>
    <row r="14" spans="1:3" x14ac:dyDescent="0.25">
      <c r="A14" s="2">
        <f t="shared" si="0"/>
        <v>9</v>
      </c>
      <c r="B14" s="2">
        <v>8</v>
      </c>
      <c r="C14" s="2">
        <v>76</v>
      </c>
    </row>
    <row r="15" spans="1:3" x14ac:dyDescent="0.25">
      <c r="A15" s="2">
        <f t="shared" si="0"/>
        <v>10</v>
      </c>
      <c r="B15" s="2">
        <v>13</v>
      </c>
      <c r="C15" s="2">
        <v>111</v>
      </c>
    </row>
    <row r="16" spans="1:3" x14ac:dyDescent="0.25">
      <c r="A16" s="2">
        <f t="shared" si="0"/>
        <v>11</v>
      </c>
      <c r="B16" s="2">
        <v>7</v>
      </c>
      <c r="C16" s="2">
        <v>144</v>
      </c>
    </row>
    <row r="17" spans="1:3" x14ac:dyDescent="0.25">
      <c r="A17" s="2">
        <f t="shared" si="0"/>
        <v>12</v>
      </c>
      <c r="B17" s="2">
        <v>5</v>
      </c>
      <c r="C17" s="2">
        <v>46</v>
      </c>
    </row>
    <row r="18" spans="1:3" x14ac:dyDescent="0.25">
      <c r="A18" s="2">
        <f t="shared" si="0"/>
        <v>13</v>
      </c>
      <c r="B18" s="2">
        <v>7</v>
      </c>
      <c r="C18" s="2">
        <v>90</v>
      </c>
    </row>
    <row r="19" spans="1:3" x14ac:dyDescent="0.25">
      <c r="A19" s="2">
        <f t="shared" si="0"/>
        <v>14</v>
      </c>
      <c r="B19" s="2">
        <v>10</v>
      </c>
      <c r="C19" s="2">
        <v>66</v>
      </c>
    </row>
    <row r="20" spans="1:3" x14ac:dyDescent="0.25">
      <c r="A20" s="2">
        <f t="shared" si="0"/>
        <v>15</v>
      </c>
      <c r="B20" s="2">
        <v>5</v>
      </c>
      <c r="C20" s="2">
        <v>95</v>
      </c>
    </row>
    <row r="21" spans="1:3" x14ac:dyDescent="0.25">
      <c r="A21" s="2">
        <f t="shared" si="0"/>
        <v>16</v>
      </c>
      <c r="B21" s="2">
        <v>4</v>
      </c>
      <c r="C21" s="2">
        <v>39</v>
      </c>
    </row>
    <row r="22" spans="1:3" x14ac:dyDescent="0.25">
      <c r="A22" s="2">
        <f t="shared" si="0"/>
        <v>17</v>
      </c>
      <c r="B22" s="2">
        <v>4</v>
      </c>
      <c r="C22" s="2">
        <v>62</v>
      </c>
    </row>
    <row r="23" spans="1:3" x14ac:dyDescent="0.25">
      <c r="A23" s="2">
        <f t="shared" si="0"/>
        <v>18</v>
      </c>
      <c r="B23" s="2">
        <v>6</v>
      </c>
      <c r="C23" s="2">
        <v>61</v>
      </c>
    </row>
    <row r="24" spans="1:3" x14ac:dyDescent="0.25">
      <c r="A24" s="2">
        <f t="shared" si="0"/>
        <v>19</v>
      </c>
      <c r="B24" s="2">
        <v>4</v>
      </c>
      <c r="C24" s="2">
        <v>40</v>
      </c>
    </row>
    <row r="25" spans="1:3" x14ac:dyDescent="0.25">
      <c r="A25" s="2">
        <f t="shared" si="0"/>
        <v>20</v>
      </c>
      <c r="B25" s="2">
        <v>3</v>
      </c>
      <c r="C25" s="2">
        <v>42</v>
      </c>
    </row>
    <row r="26" spans="1:3" x14ac:dyDescent="0.25">
      <c r="A26" s="2">
        <f t="shared" si="0"/>
        <v>21</v>
      </c>
      <c r="B26" s="2">
        <v>3</v>
      </c>
      <c r="C26" s="2">
        <v>38</v>
      </c>
    </row>
    <row r="27" spans="1:3" x14ac:dyDescent="0.25">
      <c r="A27" s="2">
        <f t="shared" si="0"/>
        <v>22</v>
      </c>
      <c r="B27" s="2">
        <v>7</v>
      </c>
      <c r="C27" s="2">
        <v>104</v>
      </c>
    </row>
    <row r="28" spans="1:3" x14ac:dyDescent="0.25">
      <c r="A28" s="2">
        <f t="shared" si="0"/>
        <v>23</v>
      </c>
      <c r="B28" s="2">
        <v>12</v>
      </c>
      <c r="C28" s="2">
        <v>89</v>
      </c>
    </row>
    <row r="29" spans="1:3" x14ac:dyDescent="0.25">
      <c r="A29" s="2">
        <f t="shared" si="0"/>
        <v>24</v>
      </c>
      <c r="B29" s="2">
        <v>14</v>
      </c>
      <c r="C29" s="2">
        <v>139</v>
      </c>
    </row>
    <row r="30" spans="1:3" x14ac:dyDescent="0.25">
      <c r="A30" s="2">
        <f t="shared" si="0"/>
        <v>25</v>
      </c>
      <c r="B30" s="2">
        <v>6</v>
      </c>
      <c r="C30" s="2">
        <v>144</v>
      </c>
    </row>
    <row r="31" spans="1:3" x14ac:dyDescent="0.25">
      <c r="A31" s="2">
        <f t="shared" si="0"/>
        <v>26</v>
      </c>
      <c r="B31" s="2">
        <v>9</v>
      </c>
      <c r="C31" s="2">
        <v>52</v>
      </c>
    </row>
    <row r="32" spans="1:3" x14ac:dyDescent="0.25">
      <c r="A32" s="2">
        <f t="shared" si="0"/>
        <v>27</v>
      </c>
      <c r="B32" s="2">
        <v>9</v>
      </c>
      <c r="C32" s="2">
        <v>58</v>
      </c>
    </row>
    <row r="33" spans="1:3" x14ac:dyDescent="0.25">
      <c r="A33" s="2">
        <f t="shared" si="0"/>
        <v>28</v>
      </c>
      <c r="B33" s="2">
        <v>3</v>
      </c>
      <c r="C33" s="2">
        <v>47</v>
      </c>
    </row>
    <row r="34" spans="1:3" x14ac:dyDescent="0.25">
      <c r="A34" s="2">
        <f t="shared" si="0"/>
        <v>29</v>
      </c>
      <c r="B34" s="2">
        <v>9</v>
      </c>
      <c r="C34" s="2">
        <v>63</v>
      </c>
    </row>
    <row r="35" spans="1:3" x14ac:dyDescent="0.25">
      <c r="A35" s="2">
        <f t="shared" si="0"/>
        <v>30</v>
      </c>
      <c r="B35" s="2">
        <v>7</v>
      </c>
      <c r="C35" s="2">
        <v>84</v>
      </c>
    </row>
    <row r="36" spans="1:3" x14ac:dyDescent="0.25">
      <c r="A36" s="2"/>
      <c r="B36" s="2"/>
      <c r="C36" s="2"/>
    </row>
    <row r="38" spans="1:3" x14ac:dyDescent="0.25">
      <c r="B38" s="6">
        <f>SUM(B6:B36)</f>
        <v>201</v>
      </c>
      <c r="C38" s="6">
        <f>SUM(C6:C36)</f>
        <v>2243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3" ma:contentTypeDescription="Create a new document." ma:contentTypeScope="" ma:versionID="8ef1ac0fa7950221b240831bd00c37d2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daaea8e627dc5dd4dabc3c1c97dc2457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2E4E342-24B0-45BA-A4E9-F5800AB3A2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April 2021</vt:lpstr>
      <vt:lpstr>RNs &amp; Covers April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Tjokorda Gde Sparsa Krisyana Krisyana</cp:lastModifiedBy>
  <cp:lastPrinted>2020-11-17T04:34:44Z</cp:lastPrinted>
  <dcterms:created xsi:type="dcterms:W3CDTF">2020-09-16T08:52:25Z</dcterms:created>
  <dcterms:modified xsi:type="dcterms:W3CDTF">2022-04-15T04:38:08Z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</Properties>
</file>