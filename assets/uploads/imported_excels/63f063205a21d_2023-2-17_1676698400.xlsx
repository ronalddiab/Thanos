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NG UBU\4. Energy\Hotel Energy Portal (HEP)\2021\Monthly Spread Sheet\"/>
    </mc:Choice>
  </mc:AlternateContent>
  <xr:revisionPtr revIDLastSave="0" documentId="8_{729A4DB7-0D6F-4C88-B294-B5A6255079B6}" xr6:coauthVersionLast="47" xr6:coauthVersionMax="47" xr10:uidLastSave="{00000000-0000-0000-0000-000000000000}"/>
  <bookViews>
    <workbookView xWindow="0" yWindow="0" windowWidth="28800" windowHeight="12300" tabRatio="620" xr2:uid="{00000000-000D-0000-FFFF-FFFF00000000}"/>
  </bookViews>
  <sheets>
    <sheet name="TOTAL" sheetId="117" r:id="rId1"/>
    <sheet name="Electricity" sheetId="102" r:id="rId2"/>
    <sheet name="Gas" sheetId="109" r:id="rId3"/>
    <sheet name="Fuel Diesel" sheetId="116" r:id="rId4"/>
    <sheet name="Water" sheetId="106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16" l="1"/>
  <c r="H38" i="116" s="1"/>
  <c r="G23" i="116"/>
  <c r="H23" i="116" s="1"/>
  <c r="G24" i="116"/>
  <c r="H24" i="116" s="1"/>
  <c r="G25" i="116"/>
  <c r="H25" i="116" s="1"/>
  <c r="G26" i="116"/>
  <c r="H26" i="116" s="1"/>
  <c r="G27" i="116"/>
  <c r="H27" i="116" s="1"/>
  <c r="G28" i="116"/>
  <c r="H28" i="116" s="1"/>
  <c r="G29" i="116"/>
  <c r="H29" i="116" s="1"/>
  <c r="G30" i="116"/>
  <c r="H30" i="116" s="1"/>
  <c r="G31" i="116"/>
  <c r="H31" i="116" s="1"/>
  <c r="G32" i="116"/>
  <c r="H32" i="116" s="1"/>
  <c r="G33" i="116"/>
  <c r="H33" i="116" s="1"/>
  <c r="G34" i="116"/>
  <c r="H34" i="116" s="1"/>
  <c r="G35" i="116"/>
  <c r="H35" i="116" s="1"/>
  <c r="G36" i="116"/>
  <c r="H36" i="116" s="1"/>
  <c r="G37" i="116"/>
  <c r="H37" i="116" s="1"/>
  <c r="G22" i="116"/>
  <c r="H22" i="116" s="1"/>
  <c r="G39" i="106" l="1"/>
  <c r="G20" i="117" l="1"/>
  <c r="G21" i="117"/>
  <c r="G22" i="117"/>
  <c r="G23" i="117"/>
  <c r="G24" i="117"/>
  <c r="G25" i="117"/>
  <c r="G26" i="117"/>
  <c r="G27" i="117"/>
  <c r="G28" i="117"/>
  <c r="G29" i="117"/>
  <c r="G30" i="117"/>
  <c r="G31" i="117"/>
  <c r="H20" i="106" l="1"/>
  <c r="F39" i="109" l="1"/>
  <c r="F8" i="102" l="1"/>
  <c r="F9" i="102"/>
  <c r="F10" i="102"/>
  <c r="F11" i="102"/>
  <c r="F12" i="102"/>
  <c r="F13" i="102"/>
  <c r="F14" i="102"/>
  <c r="F15" i="102"/>
  <c r="F16" i="102"/>
  <c r="F17" i="102"/>
  <c r="F18" i="102"/>
  <c r="F19" i="102"/>
  <c r="F20" i="102"/>
  <c r="F21" i="102"/>
  <c r="F22" i="102"/>
  <c r="F23" i="102"/>
  <c r="F24" i="102"/>
  <c r="F25" i="102"/>
  <c r="F26" i="102"/>
  <c r="F27" i="102"/>
  <c r="F28" i="102"/>
  <c r="F29" i="102"/>
  <c r="F30" i="102"/>
  <c r="F31" i="102"/>
  <c r="F32" i="102"/>
  <c r="F33" i="102"/>
  <c r="F34" i="102"/>
  <c r="F35" i="102"/>
  <c r="F36" i="102"/>
  <c r="F37" i="102"/>
  <c r="D10" i="109" l="1"/>
  <c r="D11" i="109"/>
  <c r="D12" i="109"/>
  <c r="D13" i="109"/>
  <c r="D14" i="109"/>
  <c r="D15" i="109"/>
  <c r="D16" i="109"/>
  <c r="D17" i="109"/>
  <c r="D18" i="109"/>
  <c r="D19" i="109"/>
  <c r="D20" i="109"/>
  <c r="D21" i="109"/>
  <c r="D22" i="109"/>
  <c r="D23" i="109"/>
  <c r="D24" i="109"/>
  <c r="D25" i="109"/>
  <c r="D26" i="109"/>
  <c r="D27" i="109"/>
  <c r="D28" i="109"/>
  <c r="D29" i="109"/>
  <c r="D30" i="109"/>
  <c r="D31" i="109"/>
  <c r="D32" i="109"/>
  <c r="D33" i="109"/>
  <c r="D34" i="109"/>
  <c r="D35" i="109"/>
  <c r="D36" i="109"/>
  <c r="D37" i="109"/>
  <c r="D38" i="109"/>
  <c r="D9" i="109"/>
  <c r="H11" i="106"/>
  <c r="H12" i="106"/>
  <c r="H13" i="106"/>
  <c r="H14" i="106"/>
  <c r="H15" i="106"/>
  <c r="H16" i="106"/>
  <c r="H17" i="106"/>
  <c r="H18" i="106"/>
  <c r="H19" i="106"/>
  <c r="H21" i="106"/>
  <c r="H22" i="106"/>
  <c r="H23" i="106"/>
  <c r="H24" i="106"/>
  <c r="H25" i="106"/>
  <c r="H26" i="106"/>
  <c r="H27" i="106"/>
  <c r="H28" i="106"/>
  <c r="H29" i="106"/>
  <c r="H30" i="106"/>
  <c r="H31" i="106"/>
  <c r="H32" i="106"/>
  <c r="H33" i="106"/>
  <c r="H34" i="106"/>
  <c r="H35" i="106"/>
  <c r="H36" i="106"/>
  <c r="H37" i="106"/>
  <c r="H38" i="106"/>
  <c r="H10" i="106"/>
  <c r="H9" i="106"/>
  <c r="G9" i="116"/>
  <c r="H9" i="116" s="1"/>
  <c r="D10" i="116"/>
  <c r="D11" i="116"/>
  <c r="D12" i="116"/>
  <c r="D13" i="116"/>
  <c r="D14" i="116"/>
  <c r="D15" i="116"/>
  <c r="D16" i="116"/>
  <c r="D17" i="116"/>
  <c r="D18" i="116"/>
  <c r="D19" i="116"/>
  <c r="D20" i="116"/>
  <c r="D21" i="116"/>
  <c r="D22" i="116"/>
  <c r="D23" i="116"/>
  <c r="D24" i="116"/>
  <c r="D25" i="116"/>
  <c r="D26" i="116"/>
  <c r="D27" i="116"/>
  <c r="D28" i="116"/>
  <c r="D29" i="116"/>
  <c r="D30" i="116"/>
  <c r="D31" i="116"/>
  <c r="D32" i="116"/>
  <c r="D33" i="116"/>
  <c r="D34" i="116"/>
  <c r="D35" i="116"/>
  <c r="D36" i="116"/>
  <c r="D37" i="116"/>
  <c r="D38" i="116"/>
  <c r="D9" i="116"/>
  <c r="C10" i="116"/>
  <c r="C11" i="116"/>
  <c r="C12" i="116"/>
  <c r="C13" i="116"/>
  <c r="C14" i="116"/>
  <c r="C15" i="116"/>
  <c r="C16" i="116"/>
  <c r="C17" i="116"/>
  <c r="C18" i="116"/>
  <c r="C19" i="116"/>
  <c r="C20" i="116"/>
  <c r="C21" i="116"/>
  <c r="C22" i="116"/>
  <c r="C23" i="116"/>
  <c r="C24" i="116"/>
  <c r="C25" i="116"/>
  <c r="C26" i="116"/>
  <c r="C27" i="116"/>
  <c r="C28" i="116"/>
  <c r="C29" i="116"/>
  <c r="C30" i="116"/>
  <c r="C31" i="116"/>
  <c r="C32" i="116"/>
  <c r="C33" i="116"/>
  <c r="C34" i="116"/>
  <c r="C35" i="116"/>
  <c r="C36" i="116"/>
  <c r="C37" i="116"/>
  <c r="C38" i="116"/>
  <c r="C9" i="116"/>
  <c r="D10" i="106"/>
  <c r="D11" i="106"/>
  <c r="D12" i="106"/>
  <c r="D13" i="106"/>
  <c r="D14" i="106"/>
  <c r="D15" i="106"/>
  <c r="D16" i="106"/>
  <c r="D17" i="106"/>
  <c r="D18" i="106"/>
  <c r="D19" i="106"/>
  <c r="D20" i="106"/>
  <c r="D21" i="106"/>
  <c r="D22" i="106"/>
  <c r="D23" i="106"/>
  <c r="D24" i="106"/>
  <c r="D25" i="106"/>
  <c r="D26" i="106"/>
  <c r="D27" i="106"/>
  <c r="D28" i="106"/>
  <c r="D29" i="106"/>
  <c r="D30" i="106"/>
  <c r="D31" i="106"/>
  <c r="D32" i="106"/>
  <c r="D33" i="106"/>
  <c r="D34" i="106"/>
  <c r="D35" i="106"/>
  <c r="D36" i="106"/>
  <c r="D37" i="106"/>
  <c r="D38" i="106"/>
  <c r="D9" i="106"/>
  <c r="C10" i="106"/>
  <c r="C11" i="106"/>
  <c r="C12" i="106"/>
  <c r="C13" i="106"/>
  <c r="C14" i="106"/>
  <c r="C15" i="106"/>
  <c r="C16" i="106"/>
  <c r="C17" i="106"/>
  <c r="C18" i="106"/>
  <c r="C19" i="106"/>
  <c r="C20" i="106"/>
  <c r="C21" i="106"/>
  <c r="C22" i="106"/>
  <c r="C23" i="106"/>
  <c r="C24" i="106"/>
  <c r="C25" i="106"/>
  <c r="C26" i="106"/>
  <c r="C27" i="106"/>
  <c r="C28" i="106"/>
  <c r="C29" i="106"/>
  <c r="C30" i="106"/>
  <c r="C31" i="106"/>
  <c r="C32" i="106"/>
  <c r="C33" i="106"/>
  <c r="C34" i="106"/>
  <c r="C35" i="106"/>
  <c r="C36" i="106"/>
  <c r="C37" i="106"/>
  <c r="C38" i="106"/>
  <c r="C9" i="106"/>
  <c r="C10" i="109"/>
  <c r="C11" i="109"/>
  <c r="C12" i="109"/>
  <c r="C13" i="109"/>
  <c r="C14" i="109"/>
  <c r="C15" i="109"/>
  <c r="C16" i="109"/>
  <c r="C17" i="109"/>
  <c r="C18" i="109"/>
  <c r="C19" i="109"/>
  <c r="C20" i="109"/>
  <c r="C21" i="109"/>
  <c r="C22" i="109"/>
  <c r="C23" i="109"/>
  <c r="C24" i="109"/>
  <c r="C25" i="109"/>
  <c r="C26" i="109"/>
  <c r="C27" i="109"/>
  <c r="C28" i="109"/>
  <c r="C29" i="109"/>
  <c r="C30" i="109"/>
  <c r="C31" i="109"/>
  <c r="C32" i="109"/>
  <c r="C33" i="109"/>
  <c r="C34" i="109"/>
  <c r="C35" i="109"/>
  <c r="C36" i="109"/>
  <c r="C37" i="109"/>
  <c r="C38" i="109"/>
  <c r="C9" i="109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J11" i="106" l="1"/>
  <c r="J12" i="106"/>
  <c r="J13" i="106"/>
  <c r="J14" i="106"/>
  <c r="J15" i="106"/>
  <c r="J16" i="106"/>
  <c r="J17" i="106"/>
  <c r="J18" i="106"/>
  <c r="J19" i="106"/>
  <c r="J20" i="106"/>
  <c r="J21" i="106"/>
  <c r="J22" i="106"/>
  <c r="J23" i="106"/>
  <c r="J24" i="106"/>
  <c r="J25" i="106"/>
  <c r="J26" i="106"/>
  <c r="J27" i="106"/>
  <c r="J28" i="106"/>
  <c r="J29" i="106"/>
  <c r="J30" i="106"/>
  <c r="J31" i="106"/>
  <c r="J32" i="106"/>
  <c r="J33" i="106"/>
  <c r="J34" i="106"/>
  <c r="J35" i="106"/>
  <c r="J36" i="106"/>
  <c r="J37" i="106"/>
  <c r="J38" i="106"/>
  <c r="J10" i="106"/>
  <c r="J9" i="106"/>
  <c r="G9" i="109"/>
  <c r="I16" i="102"/>
  <c r="I17" i="102"/>
  <c r="I18" i="102"/>
  <c r="I19" i="102"/>
  <c r="I20" i="102"/>
  <c r="I21" i="102"/>
  <c r="I22" i="102"/>
  <c r="I23" i="102"/>
  <c r="I24" i="102"/>
  <c r="I25" i="102"/>
  <c r="E19" i="117" s="1"/>
  <c r="J25" i="102"/>
  <c r="I26" i="102"/>
  <c r="I27" i="102"/>
  <c r="I28" i="102"/>
  <c r="I29" i="102"/>
  <c r="I30" i="102"/>
  <c r="I31" i="102"/>
  <c r="I32" i="102"/>
  <c r="I33" i="102"/>
  <c r="I34" i="102"/>
  <c r="I35" i="102"/>
  <c r="I36" i="102"/>
  <c r="I37" i="102"/>
  <c r="G17" i="102"/>
  <c r="G23" i="102"/>
  <c r="G25" i="102"/>
  <c r="G28" i="102"/>
  <c r="G30" i="102"/>
  <c r="G34" i="102"/>
  <c r="G37" i="102"/>
  <c r="D39" i="116"/>
  <c r="C39" i="116"/>
  <c r="G20" i="116"/>
  <c r="H20" i="116" s="1"/>
  <c r="G18" i="116"/>
  <c r="H18" i="116" s="1"/>
  <c r="G17" i="116"/>
  <c r="H17" i="116" s="1"/>
  <c r="G15" i="116"/>
  <c r="H15" i="116" s="1"/>
  <c r="G14" i="116"/>
  <c r="H14" i="116" s="1"/>
  <c r="G12" i="116"/>
  <c r="H12" i="116" s="1"/>
  <c r="G11" i="116"/>
  <c r="H11" i="116" s="1"/>
  <c r="G10" i="116"/>
  <c r="H10" i="116" s="1"/>
  <c r="J8" i="109"/>
  <c r="I39" i="106"/>
  <c r="J42" i="106" s="1"/>
  <c r="F38" i="106"/>
  <c r="F37" i="106"/>
  <c r="F36" i="106"/>
  <c r="F35" i="106"/>
  <c r="F34" i="106"/>
  <c r="F33" i="106"/>
  <c r="F32" i="106"/>
  <c r="F31" i="106"/>
  <c r="F30" i="106"/>
  <c r="F29" i="106"/>
  <c r="F28" i="106"/>
  <c r="F27" i="106"/>
  <c r="F26" i="106"/>
  <c r="F25" i="106"/>
  <c r="F24" i="106"/>
  <c r="F23" i="106"/>
  <c r="F22" i="106"/>
  <c r="F21" i="106"/>
  <c r="F20" i="106"/>
  <c r="F19" i="106"/>
  <c r="F18" i="106"/>
  <c r="F17" i="106"/>
  <c r="F16" i="106"/>
  <c r="F15" i="106"/>
  <c r="F14" i="106"/>
  <c r="F13" i="106"/>
  <c r="F12" i="106"/>
  <c r="F11" i="106"/>
  <c r="F10" i="106"/>
  <c r="F9" i="106"/>
  <c r="D39" i="109"/>
  <c r="C39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C39" i="106"/>
  <c r="D39" i="106"/>
  <c r="I8" i="102"/>
  <c r="G9" i="102"/>
  <c r="I9" i="102"/>
  <c r="G10" i="102"/>
  <c r="I10" i="102"/>
  <c r="I11" i="102"/>
  <c r="I12" i="102"/>
  <c r="G13" i="102"/>
  <c r="I13" i="102"/>
  <c r="I14" i="102"/>
  <c r="I15" i="102"/>
  <c r="C38" i="102"/>
  <c r="D38" i="102"/>
  <c r="G10" i="109"/>
  <c r="O39" i="109"/>
  <c r="O41" i="109" s="1"/>
  <c r="J19" i="109" l="1"/>
  <c r="J30" i="102"/>
  <c r="K30" i="102" s="1"/>
  <c r="L30" i="102" s="1"/>
  <c r="M30" i="102" s="1"/>
  <c r="E24" i="117"/>
  <c r="J29" i="102"/>
  <c r="E23" i="117"/>
  <c r="J28" i="102"/>
  <c r="K28" i="102" s="1"/>
  <c r="L28" i="102" s="1"/>
  <c r="M28" i="102" s="1"/>
  <c r="E22" i="117"/>
  <c r="J27" i="102"/>
  <c r="E21" i="117"/>
  <c r="J26" i="102"/>
  <c r="E20" i="117"/>
  <c r="J37" i="102"/>
  <c r="K37" i="102" s="1"/>
  <c r="L37" i="102" s="1"/>
  <c r="M37" i="102" s="1"/>
  <c r="E31" i="117"/>
  <c r="J36" i="102"/>
  <c r="E30" i="117"/>
  <c r="J35" i="102"/>
  <c r="E29" i="117"/>
  <c r="J34" i="102"/>
  <c r="E28" i="117"/>
  <c r="J33" i="102"/>
  <c r="E27" i="117"/>
  <c r="J32" i="102"/>
  <c r="E26" i="117"/>
  <c r="J31" i="102"/>
  <c r="E25" i="117"/>
  <c r="J23" i="102"/>
  <c r="K23" i="102" s="1"/>
  <c r="L23" i="102" s="1"/>
  <c r="M23" i="102" s="1"/>
  <c r="E17" i="117"/>
  <c r="J12" i="102"/>
  <c r="E6" i="117"/>
  <c r="J10" i="102"/>
  <c r="K10" i="102" s="1"/>
  <c r="L10" i="102" s="1"/>
  <c r="M10" i="102" s="1"/>
  <c r="E4" i="117"/>
  <c r="J22" i="102"/>
  <c r="E16" i="117"/>
  <c r="J19" i="102"/>
  <c r="E13" i="117"/>
  <c r="J18" i="102"/>
  <c r="E12" i="117"/>
  <c r="J16" i="102"/>
  <c r="E10" i="117"/>
  <c r="J9" i="102"/>
  <c r="K9" i="102" s="1"/>
  <c r="L9" i="102" s="1"/>
  <c r="M9" i="102" s="1"/>
  <c r="E3" i="117"/>
  <c r="J8" i="102"/>
  <c r="E2" i="117"/>
  <c r="J15" i="102"/>
  <c r="E9" i="117"/>
  <c r="J14" i="102"/>
  <c r="E8" i="117"/>
  <c r="J13" i="102"/>
  <c r="K13" i="102" s="1"/>
  <c r="L13" i="102" s="1"/>
  <c r="M13" i="102" s="1"/>
  <c r="E7" i="117"/>
  <c r="J21" i="102"/>
  <c r="E15" i="117"/>
  <c r="J11" i="102"/>
  <c r="E5" i="117"/>
  <c r="J17" i="102"/>
  <c r="K17" i="102" s="1"/>
  <c r="L17" i="102" s="1"/>
  <c r="M17" i="102" s="1"/>
  <c r="E11" i="117"/>
  <c r="J24" i="102"/>
  <c r="E18" i="117"/>
  <c r="J20" i="102"/>
  <c r="E14" i="117"/>
  <c r="K30" i="106"/>
  <c r="L30" i="106" s="1"/>
  <c r="K18" i="106"/>
  <c r="L18" i="106" s="1"/>
  <c r="K10" i="106"/>
  <c r="L10" i="106" s="1"/>
  <c r="K15" i="106"/>
  <c r="L15" i="106" s="1"/>
  <c r="K27" i="106"/>
  <c r="L27" i="106" s="1"/>
  <c r="K38" i="106"/>
  <c r="L38" i="106" s="1"/>
  <c r="K31" i="106"/>
  <c r="L31" i="106" s="1"/>
  <c r="K32" i="106"/>
  <c r="L32" i="106" s="1"/>
  <c r="K21" i="106"/>
  <c r="L21" i="106" s="1"/>
  <c r="K33" i="106"/>
  <c r="L33" i="106" s="1"/>
  <c r="K35" i="106"/>
  <c r="L35" i="106" s="1"/>
  <c r="K11" i="106"/>
  <c r="L11" i="106" s="1"/>
  <c r="K17" i="106"/>
  <c r="L17" i="106" s="1"/>
  <c r="K9" i="106"/>
  <c r="L9" i="106" s="1"/>
  <c r="K28" i="106"/>
  <c r="L28" i="106" s="1"/>
  <c r="K16" i="106"/>
  <c r="L16" i="106" s="1"/>
  <c r="K13" i="106"/>
  <c r="L13" i="106" s="1"/>
  <c r="K23" i="106"/>
  <c r="L23" i="106" s="1"/>
  <c r="K29" i="106"/>
  <c r="L29" i="106" s="1"/>
  <c r="K36" i="106"/>
  <c r="L36" i="106" s="1"/>
  <c r="K25" i="106"/>
  <c r="L25" i="106" s="1"/>
  <c r="K37" i="106"/>
  <c r="L37" i="106" s="1"/>
  <c r="K12" i="106"/>
  <c r="L12" i="106" s="1"/>
  <c r="G16" i="116"/>
  <c r="H16" i="116" s="1"/>
  <c r="G13" i="116"/>
  <c r="H13" i="116" s="1"/>
  <c r="G19" i="116"/>
  <c r="H19" i="116" s="1"/>
  <c r="G21" i="116"/>
  <c r="H21" i="116" s="1"/>
  <c r="G22" i="102"/>
  <c r="J33" i="109"/>
  <c r="J11" i="109"/>
  <c r="J27" i="109"/>
  <c r="J28" i="109"/>
  <c r="J13" i="109"/>
  <c r="M8" i="109"/>
  <c r="J26" i="109"/>
  <c r="K25" i="102"/>
  <c r="L25" i="102" s="1"/>
  <c r="M25" i="102" s="1"/>
  <c r="K34" i="102"/>
  <c r="L34" i="102" s="1"/>
  <c r="M34" i="102" s="1"/>
  <c r="G26" i="102"/>
  <c r="G20" i="102"/>
  <c r="J14" i="109"/>
  <c r="J12" i="109"/>
  <c r="K22" i="106"/>
  <c r="L22" i="106" s="1"/>
  <c r="G35" i="102"/>
  <c r="G33" i="102"/>
  <c r="K34" i="106"/>
  <c r="L34" i="106" s="1"/>
  <c r="K26" i="106"/>
  <c r="L26" i="106" s="1"/>
  <c r="J20" i="109"/>
  <c r="F39" i="116"/>
  <c r="J24" i="109"/>
  <c r="J16" i="109"/>
  <c r="J31" i="109"/>
  <c r="J9" i="109"/>
  <c r="J38" i="109"/>
  <c r="J32" i="109"/>
  <c r="J37" i="109"/>
  <c r="J10" i="109"/>
  <c r="J17" i="109"/>
  <c r="J30" i="109"/>
  <c r="K19" i="106"/>
  <c r="L19" i="106" s="1"/>
  <c r="K24" i="106"/>
  <c r="L24" i="106" s="1"/>
  <c r="G24" i="102"/>
  <c r="P8" i="109"/>
  <c r="J18" i="109"/>
  <c r="J25" i="109"/>
  <c r="J21" i="109"/>
  <c r="G8" i="102"/>
  <c r="J29" i="109"/>
  <c r="J36" i="109"/>
  <c r="J22" i="109"/>
  <c r="J35" i="109"/>
  <c r="J15" i="109"/>
  <c r="J34" i="109"/>
  <c r="J23" i="109"/>
  <c r="G15" i="102"/>
  <c r="G11" i="102"/>
  <c r="K11" i="102" s="1"/>
  <c r="L11" i="102" s="1"/>
  <c r="M11" i="102" s="1"/>
  <c r="K14" i="106"/>
  <c r="L14" i="106" s="1"/>
  <c r="K20" i="106"/>
  <c r="L20" i="106" s="1"/>
  <c r="G29" i="102"/>
  <c r="G27" i="102"/>
  <c r="G19" i="102"/>
  <c r="F38" i="102"/>
  <c r="G18" i="102"/>
  <c r="G14" i="102"/>
  <c r="G12" i="102"/>
  <c r="G36" i="102"/>
  <c r="G32" i="102"/>
  <c r="I38" i="102"/>
  <c r="G31" i="102"/>
  <c r="G21" i="102"/>
  <c r="G16" i="102"/>
  <c r="H39" i="116" l="1"/>
  <c r="K39" i="106"/>
  <c r="L39" i="106"/>
  <c r="G39" i="116"/>
  <c r="K35" i="102"/>
  <c r="L35" i="102" s="1"/>
  <c r="K33" i="102"/>
  <c r="L33" i="102" s="1"/>
  <c r="M33" i="102" s="1"/>
  <c r="K12" i="102"/>
  <c r="L12" i="102" s="1"/>
  <c r="M12" i="102" s="1"/>
  <c r="K31" i="102"/>
  <c r="L31" i="102" s="1"/>
  <c r="M31" i="102" s="1"/>
  <c r="K36" i="102"/>
  <c r="L36" i="102" s="1"/>
  <c r="M36" i="102" s="1"/>
  <c r="K32" i="102"/>
  <c r="L32" i="102" s="1"/>
  <c r="M32" i="102" s="1"/>
  <c r="K15" i="102"/>
  <c r="L15" i="102" s="1"/>
  <c r="M15" i="102" s="1"/>
  <c r="K29" i="102"/>
  <c r="L29" i="102" s="1"/>
  <c r="M29" i="102" s="1"/>
  <c r="K22" i="102"/>
  <c r="L22" i="102" s="1"/>
  <c r="M22" i="102" s="1"/>
  <c r="K24" i="102"/>
  <c r="L24" i="102" s="1"/>
  <c r="M24" i="102" s="1"/>
  <c r="K20" i="102"/>
  <c r="L20" i="102" s="1"/>
  <c r="M20" i="102" s="1"/>
  <c r="K8" i="102"/>
  <c r="L8" i="102" s="1"/>
  <c r="M8" i="102" s="1"/>
  <c r="K26" i="102"/>
  <c r="L26" i="102" s="1"/>
  <c r="M26" i="102" s="1"/>
  <c r="M13" i="109"/>
  <c r="K27" i="102"/>
  <c r="L27" i="102" s="1"/>
  <c r="M27" i="102" s="1"/>
  <c r="K16" i="102"/>
  <c r="L16" i="102" s="1"/>
  <c r="M16" i="102" s="1"/>
  <c r="K14" i="102"/>
  <c r="L14" i="102" s="1"/>
  <c r="M14" i="102" s="1"/>
  <c r="K18" i="102"/>
  <c r="L18" i="102" s="1"/>
  <c r="M18" i="102" s="1"/>
  <c r="K19" i="102"/>
  <c r="L19" i="102" s="1"/>
  <c r="M19" i="102" s="1"/>
  <c r="K21" i="102"/>
  <c r="L21" i="102" s="1"/>
  <c r="M21" i="102" s="1"/>
  <c r="M29" i="109"/>
  <c r="L23" i="117"/>
  <c r="F17" i="117"/>
  <c r="L11" i="117"/>
  <c r="L3" i="117"/>
  <c r="L8" i="117"/>
  <c r="L25" i="117"/>
  <c r="L10" i="117"/>
  <c r="L21" i="117"/>
  <c r="L20" i="117"/>
  <c r="L31" i="117"/>
  <c r="L2" i="117"/>
  <c r="F31" i="117"/>
  <c r="M31" i="109"/>
  <c r="M34" i="109"/>
  <c r="M26" i="109"/>
  <c r="M16" i="109"/>
  <c r="M35" i="109"/>
  <c r="M24" i="109"/>
  <c r="M28" i="109"/>
  <c r="M25" i="109"/>
  <c r="M9" i="109"/>
  <c r="M17" i="109"/>
  <c r="M30" i="109"/>
  <c r="M18" i="109"/>
  <c r="P21" i="109"/>
  <c r="M12" i="109"/>
  <c r="M19" i="109"/>
  <c r="M36" i="109"/>
  <c r="M21" i="109"/>
  <c r="M27" i="109"/>
  <c r="M15" i="109"/>
  <c r="M14" i="109"/>
  <c r="L24" i="117"/>
  <c r="L12" i="117"/>
  <c r="L9" i="117"/>
  <c r="L17" i="117"/>
  <c r="L26" i="117"/>
  <c r="L4" i="117"/>
  <c r="L28" i="117"/>
  <c r="L14" i="117"/>
  <c r="L16" i="117"/>
  <c r="L6" i="117"/>
  <c r="L5" i="117"/>
  <c r="L22" i="117"/>
  <c r="L30" i="117"/>
  <c r="L13" i="117"/>
  <c r="L19" i="117"/>
  <c r="L29" i="117"/>
  <c r="L15" i="117"/>
  <c r="L7" i="117"/>
  <c r="L18" i="117"/>
  <c r="F3" i="117"/>
  <c r="F4" i="117"/>
  <c r="F5" i="117"/>
  <c r="M38" i="109"/>
  <c r="M23" i="109"/>
  <c r="M33" i="109"/>
  <c r="P37" i="109"/>
  <c r="M32" i="109"/>
  <c r="M11" i="109"/>
  <c r="M37" i="109"/>
  <c r="M10" i="109"/>
  <c r="M22" i="109"/>
  <c r="M20" i="109"/>
  <c r="F7" i="117"/>
  <c r="F19" i="117"/>
  <c r="F28" i="117"/>
  <c r="F24" i="117"/>
  <c r="P30" i="109"/>
  <c r="P33" i="109"/>
  <c r="P18" i="109"/>
  <c r="P23" i="109"/>
  <c r="P31" i="109"/>
  <c r="P32" i="109"/>
  <c r="P10" i="109"/>
  <c r="P11" i="109"/>
  <c r="P24" i="109"/>
  <c r="Q24" i="109" s="1"/>
  <c r="R24" i="109" s="1"/>
  <c r="P14" i="109"/>
  <c r="P13" i="109"/>
  <c r="P28" i="109"/>
  <c r="P25" i="109"/>
  <c r="P27" i="109"/>
  <c r="P36" i="109"/>
  <c r="P17" i="109"/>
  <c r="P9" i="109"/>
  <c r="P12" i="109"/>
  <c r="P16" i="109"/>
  <c r="P22" i="109"/>
  <c r="P38" i="109"/>
  <c r="P26" i="109"/>
  <c r="P19" i="109"/>
  <c r="P15" i="109"/>
  <c r="P29" i="109"/>
  <c r="L27" i="117"/>
  <c r="F11" i="117"/>
  <c r="P35" i="109"/>
  <c r="P20" i="109"/>
  <c r="P34" i="109"/>
  <c r="I40" i="102"/>
  <c r="F22" i="117"/>
  <c r="F29" i="117" l="1"/>
  <c r="M35" i="102"/>
  <c r="F27" i="117"/>
  <c r="F6" i="117"/>
  <c r="M38" i="102"/>
  <c r="F14" i="117"/>
  <c r="F20" i="117"/>
  <c r="F16" i="117"/>
  <c r="F2" i="117"/>
  <c r="Q13" i="109"/>
  <c r="R13" i="109" s="1"/>
  <c r="F25" i="117"/>
  <c r="F9" i="117"/>
  <c r="F30" i="117"/>
  <c r="F26" i="117"/>
  <c r="H17" i="117"/>
  <c r="F23" i="117"/>
  <c r="F8" i="117"/>
  <c r="F10" i="117"/>
  <c r="F18" i="117"/>
  <c r="F21" i="117"/>
  <c r="L38" i="102"/>
  <c r="F12" i="117"/>
  <c r="F13" i="117"/>
  <c r="F15" i="117"/>
  <c r="Q32" i="109"/>
  <c r="R32" i="109" s="1"/>
  <c r="Q29" i="109"/>
  <c r="R29" i="109" s="1"/>
  <c r="Q21" i="109"/>
  <c r="R21" i="109" s="1"/>
  <c r="Q28" i="109"/>
  <c r="R28" i="109" s="1"/>
  <c r="Q9" i="109"/>
  <c r="R9" i="109" s="1"/>
  <c r="Q31" i="109"/>
  <c r="R31" i="109" s="1"/>
  <c r="Q20" i="109"/>
  <c r="R20" i="109" s="1"/>
  <c r="Q17" i="109"/>
  <c r="R17" i="109" s="1"/>
  <c r="Q35" i="109"/>
  <c r="R35" i="109" s="1"/>
  <c r="Q14" i="109"/>
  <c r="R14" i="109" s="1"/>
  <c r="Q38" i="109"/>
  <c r="R38" i="109" s="1"/>
  <c r="Q34" i="109"/>
  <c r="R34" i="109" s="1"/>
  <c r="Q19" i="109"/>
  <c r="R19" i="109" s="1"/>
  <c r="Q26" i="109"/>
  <c r="R26" i="109" s="1"/>
  <c r="Q16" i="109"/>
  <c r="R16" i="109" s="1"/>
  <c r="Q12" i="109"/>
  <c r="R12" i="109" s="1"/>
  <c r="Q36" i="109"/>
  <c r="R36" i="109" s="1"/>
  <c r="Q18" i="109"/>
  <c r="R18" i="109" s="1"/>
  <c r="Q22" i="109"/>
  <c r="R22" i="109" s="1"/>
  <c r="Q33" i="109"/>
  <c r="R33" i="109" s="1"/>
  <c r="Q15" i="109"/>
  <c r="R15" i="109" s="1"/>
  <c r="Q27" i="109"/>
  <c r="R27" i="109" s="1"/>
  <c r="Q25" i="109"/>
  <c r="R25" i="109" s="1"/>
  <c r="Q30" i="109"/>
  <c r="R30" i="109" s="1"/>
  <c r="Q23" i="109"/>
  <c r="R23" i="109" s="1"/>
  <c r="Q11" i="109"/>
  <c r="R11" i="109" s="1"/>
  <c r="Q10" i="109"/>
  <c r="R10" i="109" s="1"/>
  <c r="Q37" i="109"/>
  <c r="R37" i="109" s="1"/>
  <c r="H6" i="117" l="1"/>
  <c r="Q39" i="109"/>
  <c r="H25" i="117"/>
  <c r="H27" i="117"/>
  <c r="H31" i="117"/>
  <c r="H7" i="117"/>
  <c r="H26" i="117"/>
  <c r="H13" i="117"/>
  <c r="H2" i="117"/>
  <c r="H12" i="117"/>
  <c r="H23" i="117"/>
  <c r="H18" i="117"/>
  <c r="H8" i="117"/>
  <c r="H11" i="117"/>
  <c r="H5" i="117"/>
  <c r="H21" i="117"/>
  <c r="H28" i="117"/>
  <c r="H15" i="117"/>
  <c r="H29" i="117"/>
  <c r="H3" i="117"/>
  <c r="H9" i="117"/>
  <c r="H14" i="117"/>
  <c r="H16" i="117"/>
  <c r="H20" i="117"/>
  <c r="H10" i="117"/>
  <c r="H24" i="117"/>
  <c r="H30" i="117"/>
  <c r="H4" i="117"/>
  <c r="H19" i="117"/>
  <c r="H22" i="117"/>
  <c r="R39" i="109" l="1"/>
</calcChain>
</file>

<file path=xl/sharedStrings.xml><?xml version="1.0" encoding="utf-8"?>
<sst xmlns="http://schemas.openxmlformats.org/spreadsheetml/2006/main" count="119" uniqueCount="61">
  <si>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</si>
  <si>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</si>
  <si>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</si>
  <si>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</si>
  <si>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</si>
  <si>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</si>
  <si>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</si>
  <si>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</si>
  <si>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</si>
  <si>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</si>
  <si>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</si>
  <si>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</si>
  <si>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</si>
  <si>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</si>
  <si>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</si>
  <si>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</si>
  <si>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</si>
  <si>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</si>
  <si>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</si>
  <si>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</si>
  <si>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</si>
  <si>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</si>
  <si>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</si>
  <si>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</si>
  <si>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</si>
  <si>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</si>
  <si>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</si>
  <si>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</si>
  <si>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Used (kWh)</t>
  </si>
  <si>
    <t>RNs &amp; Food Cover is based on actual November &amp; forecasting December 2020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</si>
  <si>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</si>
  <si>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</si>
  <si>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</si>
  <si>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</si>
  <si>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</si>
  <si>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</si>
  <si>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</si>
  <si>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</si>
  <si>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</si>
  <si>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</si>
  <si>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</si>
  <si>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</si>
  <si>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</si>
  <si>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</si>
  <si>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</si>
  <si>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Used (kg)</t>
  </si>
  <si>
    <t xml:space="preserve">Daily Fuel Consumption 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</si>
  <si>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</si>
  <si>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</si>
  <si>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</si>
  <si>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</si>
  <si>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</si>
  <si>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</si>
  <si>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</si>
  <si>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</si>
  <si>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</si>
  <si>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</si>
  <si>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</si>
  <si>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Used (m3)</t>
  </si>
  <si>
    <t>DW 2 Cost  (M3 x IDR 4,000)</t>
  </si>
  <si>
    <r>
      <t>TOTAL Used m</t>
    </r>
    <r>
      <rPr>
        <b/>
        <vertAlign val="superscript"/>
        <sz val="10"/>
        <rFont val="Arial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</si>
</sst>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&quot;$&quot;#,##0.00"/>
    <numFmt numFmtId="167" formatCode="[$$-409]#,##0.00"/>
    <numFmt numFmtId="168" formatCode="[$IDR]\ #,##0_);\([$IDR]\ #,##0\)"/>
    <numFmt numFmtId="169" formatCode="[$IDR]\ #,##0.00_);\([$IDR]\ #,##0.00\)"/>
    <numFmt numFmtId="170" formatCode="[$IDR]\ #,##0.00"/>
  </numFmts>
  <fonts count="17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vertAlign val="superscript"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/>
    <xf numFmtId="0" fontId="5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shrinkToFit="1"/>
    </xf>
    <xf numFmtId="43" fontId="3" fillId="0" borderId="1" xfId="1" applyFont="1" applyFill="1" applyBorder="1" applyAlignment="1">
      <alignment horizontal="center" shrinkToFit="1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shrinkToFit="1"/>
    </xf>
    <xf numFmtId="43" fontId="3" fillId="0" borderId="0" xfId="1" applyFont="1" applyFill="1" applyBorder="1" applyAlignment="1">
      <alignment horizontal="center" shrinkToFit="1"/>
    </xf>
    <xf numFmtId="43" fontId="4" fillId="0" borderId="1" xfId="1" applyFont="1" applyFill="1" applyBorder="1" applyAlignment="1">
      <alignment horizontal="center" shrinkToFit="1"/>
    </xf>
    <xf numFmtId="165" fontId="4" fillId="0" borderId="1" xfId="1" applyNumberFormat="1" applyFont="1" applyFill="1" applyBorder="1" applyAlignment="1">
      <alignment horizontal="center" shrinkToFit="1"/>
    </xf>
    <xf numFmtId="164" fontId="3" fillId="0" borderId="1" xfId="0" applyNumberFormat="1" applyFont="1" applyBorder="1" applyAlignment="1">
      <alignment shrinkToFit="1"/>
    </xf>
    <xf numFmtId="0" fontId="1" fillId="2" borderId="0" xfId="0" applyFont="1" applyFill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41" fontId="4" fillId="0" borderId="1" xfId="2" applyFont="1" applyFill="1" applyBorder="1" applyAlignment="1">
      <alignment horizontal="center" vertical="center" shrinkToFit="1"/>
    </xf>
    <xf numFmtId="43" fontId="3" fillId="0" borderId="0" xfId="1" applyFont="1" applyFill="1" applyBorder="1" applyAlignment="1">
      <alignment horizontal="center" vertical="center" shrinkToFit="1"/>
    </xf>
    <xf numFmtId="41" fontId="2" fillId="0" borderId="0" xfId="2" applyFont="1" applyFill="1" applyBorder="1" applyAlignment="1">
      <alignment shrinkToFit="1"/>
    </xf>
    <xf numFmtId="165" fontId="3" fillId="0" borderId="1" xfId="1" applyNumberFormat="1" applyFont="1" applyFill="1" applyBorder="1" applyAlignment="1">
      <alignment horizontal="center" shrinkToFit="1"/>
    </xf>
    <xf numFmtId="43" fontId="2" fillId="0" borderId="0" xfId="1" applyFont="1" applyFill="1" applyBorder="1" applyAlignment="1">
      <alignment shrinkToFit="1"/>
    </xf>
    <xf numFmtId="165" fontId="3" fillId="0" borderId="0" xfId="1" applyNumberFormat="1" applyFont="1" applyFill="1" applyBorder="1" applyAlignment="1">
      <alignment horizontal="center" shrinkToFit="1"/>
    </xf>
    <xf numFmtId="43" fontId="14" fillId="0" borderId="1" xfId="1" applyFont="1" applyBorder="1"/>
    <xf numFmtId="43" fontId="0" fillId="0" borderId="0" xfId="1" applyFont="1" applyAlignment="1">
      <alignment horizontal="center" vertical="center"/>
    </xf>
    <xf numFmtId="2" fontId="4" fillId="0" borderId="0" xfId="0" applyNumberFormat="1" applyFont="1" applyAlignment="1">
      <alignment horizontal="center" shrinkToFit="1"/>
    </xf>
    <xf numFmtId="43" fontId="4" fillId="0" borderId="0" xfId="1" applyFont="1" applyFill="1" applyBorder="1" applyAlignment="1">
      <alignment horizontal="center" shrinkToFit="1"/>
    </xf>
    <xf numFmtId="165" fontId="4" fillId="0" borderId="0" xfId="1" applyNumberFormat="1" applyFont="1" applyFill="1" applyBorder="1" applyAlignment="1">
      <alignment horizontal="center" shrinkToFit="1"/>
    </xf>
    <xf numFmtId="165" fontId="0" fillId="0" borderId="0" xfId="1" applyNumberFormat="1" applyFont="1" applyAlignment="1">
      <alignment horizontal="center"/>
    </xf>
    <xf numFmtId="165" fontId="11" fillId="0" borderId="1" xfId="5" applyNumberFormat="1" applyFont="1" applyBorder="1"/>
    <xf numFmtId="44" fontId="0" fillId="0" borderId="0" xfId="0" applyNumberFormat="1"/>
    <xf numFmtId="44" fontId="0" fillId="0" borderId="0" xfId="6" applyFont="1"/>
    <xf numFmtId="41" fontId="0" fillId="0" borderId="0" xfId="0" applyNumberFormat="1"/>
    <xf numFmtId="41" fontId="0" fillId="0" borderId="0" xfId="0" applyNumberFormat="1" applyAlignment="1">
      <alignment horizontal="center"/>
    </xf>
    <xf numFmtId="43" fontId="0" fillId="0" borderId="0" xfId="0" applyNumberFormat="1" applyAlignment="1">
      <alignment horizontal="center"/>
    </xf>
    <xf numFmtId="43" fontId="0" fillId="0" borderId="0" xfId="0" applyNumberFormat="1"/>
    <xf numFmtId="167" fontId="0" fillId="0" borderId="0" xfId="0" applyNumberFormat="1"/>
    <xf numFmtId="166" fontId="2" fillId="0" borderId="0" xfId="2" applyNumberFormat="1" applyFont="1" applyFill="1" applyBorder="1" applyAlignment="1">
      <alignment shrinkToFit="1"/>
    </xf>
    <xf numFmtId="41" fontId="2" fillId="0" borderId="0" xfId="2" applyFont="1" applyFill="1" applyBorder="1" applyAlignment="1">
      <alignment horizontal="center" shrinkToFit="1"/>
    </xf>
    <xf numFmtId="166" fontId="7" fillId="0" borderId="0" xfId="2" applyNumberFormat="1" applyFont="1" applyFill="1" applyBorder="1" applyAlignment="1">
      <alignment shrinkToFit="1"/>
    </xf>
    <xf numFmtId="44" fontId="7" fillId="0" borderId="0" xfId="2" applyNumberFormat="1" applyFont="1" applyFill="1" applyBorder="1" applyAlignment="1">
      <alignment shrinkToFit="1"/>
    </xf>
    <xf numFmtId="167" fontId="9" fillId="0" borderId="0" xfId="2" applyNumberFormat="1" applyFont="1" applyFill="1" applyBorder="1" applyAlignment="1">
      <alignment shrinkToFit="1"/>
    </xf>
    <xf numFmtId="0" fontId="0" fillId="10" borderId="0" xfId="0" applyFill="1"/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shrinkToFit="1"/>
    </xf>
    <xf numFmtId="44" fontId="4" fillId="0" borderId="1" xfId="1" applyNumberFormat="1" applyFont="1" applyFill="1" applyBorder="1" applyAlignment="1">
      <alignment horizontal="center" shrinkToFit="1"/>
    </xf>
    <xf numFmtId="0" fontId="6" fillId="0" borderId="3" xfId="0" applyFont="1" applyBorder="1" applyAlignment="1">
      <alignment horizontal="center" vertical="center"/>
    </xf>
    <xf numFmtId="0" fontId="0" fillId="0" borderId="3" xfId="0" applyBorder="1"/>
    <xf numFmtId="166" fontId="0" fillId="0" borderId="1" xfId="0" applyNumberFormat="1" applyBorder="1"/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167" fontId="0" fillId="0" borderId="1" xfId="0" applyNumberFormat="1" applyBorder="1"/>
    <xf numFmtId="169" fontId="7" fillId="0" borderId="0" xfId="2" applyNumberFormat="1" applyFont="1" applyFill="1" applyBorder="1" applyAlignment="1">
      <alignment shrinkToFit="1"/>
    </xf>
    <xf numFmtId="165" fontId="3" fillId="11" borderId="0" xfId="1" applyNumberFormat="1" applyFont="1" applyFill="1" applyBorder="1" applyAlignment="1">
      <alignment horizontal="center" vertical="center" shrinkToFit="1"/>
    </xf>
    <xf numFmtId="170" fontId="2" fillId="0" borderId="0" xfId="2" applyNumberFormat="1" applyFont="1" applyFill="1" applyBorder="1" applyAlignment="1">
      <alignment horizontal="left" indent="1" shrinkToFit="1"/>
    </xf>
    <xf numFmtId="165" fontId="1" fillId="2" borderId="0" xfId="1" applyNumberFormat="1" applyFont="1" applyFill="1" applyAlignment="1">
      <alignment horizontal="center"/>
    </xf>
    <xf numFmtId="165" fontId="6" fillId="0" borderId="0" xfId="1" applyNumberFormat="1" applyFont="1" applyFill="1" applyBorder="1" applyAlignment="1">
      <alignment horizontal="center" shrinkToFit="1"/>
    </xf>
    <xf numFmtId="168" fontId="7" fillId="0" borderId="0" xfId="1" applyNumberFormat="1" applyFont="1" applyFill="1" applyBorder="1" applyAlignment="1">
      <alignment shrinkToFit="1"/>
    </xf>
    <xf numFmtId="168" fontId="9" fillId="0" borderId="0" xfId="2" applyNumberFormat="1" applyFont="1" applyFill="1" applyBorder="1" applyAlignment="1">
      <alignment shrinkToFit="1"/>
    </xf>
    <xf numFmtId="0" fontId="6" fillId="0" borderId="0" xfId="0" applyFont="1" applyAlignment="1">
      <alignment horizontal="center" vertical="center"/>
    </xf>
    <xf numFmtId="41" fontId="9" fillId="11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center"/>
    </xf>
    <xf numFmtId="165" fontId="1" fillId="0" borderId="0" xfId="1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43" fontId="1" fillId="2" borderId="0" xfId="1" applyFont="1" applyFill="1" applyAlignment="1">
      <alignment horizontal="center" vertical="center"/>
    </xf>
    <xf numFmtId="43" fontId="1" fillId="0" borderId="0" xfId="1" applyFont="1" applyAlignment="1">
      <alignment vertical="center"/>
    </xf>
    <xf numFmtId="0" fontId="7" fillId="2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" fontId="6" fillId="2" borderId="0" xfId="0" applyNumberFormat="1" applyFont="1" applyFill="1" applyAlignment="1">
      <alignment horizontal="center" vertical="center"/>
    </xf>
    <xf numFmtId="0" fontId="9" fillId="11" borderId="0" xfId="0" applyFont="1" applyFill="1" applyAlignment="1">
      <alignment horizontal="right"/>
    </xf>
    <xf numFmtId="0" fontId="2" fillId="7" borderId="1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shrinkToFit="1"/>
    </xf>
    <xf numFmtId="17" fontId="6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165" fontId="2" fillId="3" borderId="1" xfId="1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right" vertical="center" indent="1"/>
    </xf>
  </cellXfs>
  <cellStyles count="14">
    <cellStyle name="Comma" xfId="1" builtinId="3"/>
    <cellStyle name="Comma [0]" xfId="2" builtinId="6"/>
    <cellStyle name="Comma 2" xfId="3" xr:uid="{00000000-0005-0000-0000-000002000000}"/>
    <cellStyle name="Comma 3" xfId="4" xr:uid="{00000000-0005-0000-0000-000003000000}"/>
    <cellStyle name="Comma 4" xfId="5" xr:uid="{00000000-0005-0000-0000-000004000000}"/>
    <cellStyle name="Currency" xfId="6" builtinId="4"/>
    <cellStyle name="Currency 2" xfId="7" xr:uid="{00000000-0005-0000-0000-000006000000}"/>
    <cellStyle name="Currency 3" xfId="8" xr:uid="{00000000-0005-0000-0000-000007000000}"/>
    <cellStyle name="Normal" xfId="0" builtinId="0"/>
    <cellStyle name="Normal 2" xfId="9" xr:uid="{00000000-0005-0000-0000-000009000000}"/>
    <cellStyle name="Normal 3" xfId="10" xr:uid="{00000000-0005-0000-0000-00000A000000}"/>
    <cellStyle name="Percent 2" xfId="11" xr:uid="{00000000-0005-0000-0000-00000B000000}"/>
    <cellStyle name="Percent 3" xfId="12" xr:uid="{00000000-0005-0000-0000-00000C000000}"/>
    <cellStyle name="Percent 4" xfId="13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123825</xdr:rowOff>
    </xdr:to>
    <xdr:pic>
      <xdr:nvPicPr>
        <xdr:cNvPr id="37086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96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3</xdr:row>
      <xdr:rowOff>123825</xdr:rowOff>
    </xdr:to>
    <xdr:pic>
      <xdr:nvPicPr>
        <xdr:cNvPr id="38180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pane xSplit="1" ySplit="1" topLeftCell="C2" activePane="bottomRight" state="frozen"/>
      <selection pane="bottomRight" activeCell="O7" sqref="O7"/>
      <selection pane="bottomLeft" activeCell="A2" sqref="A2"/>
      <selection pane="topRight" activeCell="B1" sqref="B1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.75">
      <c r="A1" s="42" t="s">
        <v>0</v>
      </c>
      <c r="B1" s="42" t="s">
        <v>1</v>
      </c>
      <c r="C1" s="43" t="s">
        <v>2</v>
      </c>
      <c r="D1" s="42" t="s">
        <v>3</v>
      </c>
      <c r="E1" s="44" t="s">
        <v>4</v>
      </c>
      <c r="F1" s="45" t="s">
        <v>5</v>
      </c>
      <c r="G1" s="44" t="s">
        <v>6</v>
      </c>
      <c r="H1" s="45" t="s">
        <v>7</v>
      </c>
      <c r="I1" s="44" t="s">
        <v>8</v>
      </c>
      <c r="J1" s="45" t="s">
        <v>9</v>
      </c>
      <c r="K1" s="44" t="s">
        <v>10</v>
      </c>
      <c r="L1" s="46" t="s">
        <v>11</v>
      </c>
      <c r="M1" s="44" t="s">
        <v>12</v>
      </c>
      <c r="N1" s="44" t="s">
        <v>13</v>
      </c>
    </row>
    <row r="2" spans="1:14" ht="15">
      <c r="A2" s="47" t="s">
        <v>14</v>
      </c>
      <c r="B2" s="48">
        <v>1</v>
      </c>
      <c r="C2" s="49">
        <v>9</v>
      </c>
      <c r="D2" s="48">
        <v>2021</v>
      </c>
      <c r="E2" s="50">
        <f>Electricity!F8+Electricity!I8</f>
        <v>5399.99999999992</v>
      </c>
      <c r="F2" s="51">
        <f>Electricity!L8/TOTAL!E2</f>
        <v>1227.6427777777765</v>
      </c>
      <c r="G2" s="50">
        <f>Gas!F9+Gas!I9+Gas!L9+Gas!O9</f>
        <v>45.687960000002491</v>
      </c>
      <c r="H2" s="51">
        <f>Gas!Q9/TOTAL!G2</f>
        <v>14180</v>
      </c>
      <c r="I2" s="50">
        <v>0</v>
      </c>
      <c r="J2" s="52">
        <v>10700</v>
      </c>
      <c r="K2" s="50">
        <f>Water!E9+Water!G9+Water!I9</f>
        <v>263</v>
      </c>
      <c r="L2" s="51">
        <f>Water!K9/TOTAL!K2</f>
        <v>4000</v>
      </c>
      <c r="M2" s="50">
        <f>Electricity!C8</f>
        <v>0</v>
      </c>
      <c r="N2" s="50">
        <f>Electricity!D8</f>
        <v>6</v>
      </c>
    </row>
    <row r="3" spans="1:14" ht="15">
      <c r="A3" s="47" t="s">
        <v>14</v>
      </c>
      <c r="B3" s="48">
        <f>B2+1</f>
        <v>2</v>
      </c>
      <c r="C3" s="49">
        <v>9</v>
      </c>
      <c r="D3" s="48">
        <v>2021</v>
      </c>
      <c r="E3" s="50">
        <f>Electricity!F9+Electricity!I9</f>
        <v>5159.9999999997408</v>
      </c>
      <c r="F3" s="51">
        <f>Electricity!L9/TOTAL!E3</f>
        <v>1236.1782945736481</v>
      </c>
      <c r="G3" s="50">
        <f>Gas!F10+Gas!I10+Gas!L10+Gas!O10</f>
        <v>26.71607999999868</v>
      </c>
      <c r="H3" s="51">
        <f>Gas!Q10/TOTAL!G3</f>
        <v>14180</v>
      </c>
      <c r="I3" s="50">
        <v>0</v>
      </c>
      <c r="J3" s="52">
        <v>10700</v>
      </c>
      <c r="K3" s="50">
        <f>Water!E10+Water!G10+Water!I10</f>
        <v>250</v>
      </c>
      <c r="L3" s="51">
        <f>Water!K10/TOTAL!K3</f>
        <v>4000</v>
      </c>
      <c r="M3" s="50">
        <f>Electricity!C9</f>
        <v>1</v>
      </c>
      <c r="N3" s="50">
        <f>Electricity!D9</f>
        <v>3</v>
      </c>
    </row>
    <row r="4" spans="1:14" ht="15">
      <c r="A4" s="47" t="s">
        <v>14</v>
      </c>
      <c r="B4" s="48">
        <f t="shared" ref="B4:B31" si="0">B3+1</f>
        <v>3</v>
      </c>
      <c r="C4" s="49">
        <v>9</v>
      </c>
      <c r="D4" s="48">
        <v>2021</v>
      </c>
      <c r="E4" s="50">
        <f>Electricity!F10+Electricity!I10</f>
        <v>5600.0000000003074</v>
      </c>
      <c r="F4" s="51">
        <f>Electricity!L10/TOTAL!E4</f>
        <v>1232.6148214285679</v>
      </c>
      <c r="G4" s="50">
        <f>Gas!F11+Gas!I11+Gas!L11+Gas!O11</f>
        <v>43.190599999999264</v>
      </c>
      <c r="H4" s="51">
        <f>Gas!Q11/TOTAL!G4</f>
        <v>14179.999999999998</v>
      </c>
      <c r="I4" s="50">
        <v>0</v>
      </c>
      <c r="J4" s="52">
        <v>10700</v>
      </c>
      <c r="K4" s="50">
        <f>Water!E11+Water!G11+Water!I11</f>
        <v>237</v>
      </c>
      <c r="L4" s="51">
        <f>Water!K11/TOTAL!K4</f>
        <v>4000</v>
      </c>
      <c r="M4" s="50">
        <f>Electricity!C10</f>
        <v>4</v>
      </c>
      <c r="N4" s="50">
        <f>Electricity!D10</f>
        <v>21</v>
      </c>
    </row>
    <row r="5" spans="1:14" ht="15">
      <c r="A5" s="47" t="s">
        <v>14</v>
      </c>
      <c r="B5" s="48">
        <f t="shared" si="0"/>
        <v>4</v>
      </c>
      <c r="C5" s="49">
        <v>9</v>
      </c>
      <c r="D5" s="48">
        <v>2021</v>
      </c>
      <c r="E5" s="50">
        <f>Electricity!F11+Electricity!I11</f>
        <v>5799.9999999996708</v>
      </c>
      <c r="F5" s="51">
        <f>Electricity!L11/TOTAL!E5</f>
        <v>1233.3162068965551</v>
      </c>
      <c r="G5" s="50">
        <f>Gas!F12+Gas!I12+Gas!L12+Gas!O12</f>
        <v>48.628400000000731</v>
      </c>
      <c r="H5" s="51">
        <f>Gas!Q12/TOTAL!G5</f>
        <v>14179.999999999998</v>
      </c>
      <c r="I5" s="50">
        <v>0</v>
      </c>
      <c r="J5" s="52">
        <v>10700</v>
      </c>
      <c r="K5" s="50">
        <f>Water!E12+Water!G12+Water!I12</f>
        <v>269</v>
      </c>
      <c r="L5" s="51">
        <f>Water!K12/TOTAL!K5</f>
        <v>4000</v>
      </c>
      <c r="M5" s="50">
        <f>Electricity!C11</f>
        <v>4</v>
      </c>
      <c r="N5" s="50">
        <f>Electricity!D11</f>
        <v>23</v>
      </c>
    </row>
    <row r="6" spans="1:14" ht="15">
      <c r="A6" s="47" t="s">
        <v>14</v>
      </c>
      <c r="B6" s="48">
        <f t="shared" si="0"/>
        <v>5</v>
      </c>
      <c r="C6" s="49">
        <v>9</v>
      </c>
      <c r="D6" s="48">
        <v>2021</v>
      </c>
      <c r="E6" s="50">
        <f>Electricity!F12+Electricity!I12</f>
        <v>5620.0000000003456</v>
      </c>
      <c r="F6" s="51">
        <f>Electricity!L12/TOTAL!E6</f>
        <v>1236.335409252667</v>
      </c>
      <c r="G6" s="50">
        <f>Gas!F13+Gas!I13+Gas!L13+Gas!O13</f>
        <v>47.299160000001024</v>
      </c>
      <c r="H6" s="51">
        <f>Gas!Q13/TOTAL!G6</f>
        <v>14179.999999999998</v>
      </c>
      <c r="I6" s="50">
        <v>0</v>
      </c>
      <c r="J6" s="52">
        <v>10700</v>
      </c>
      <c r="K6" s="50">
        <f>Water!E13+Water!G13+Water!I13</f>
        <v>250</v>
      </c>
      <c r="L6" s="51">
        <f>Water!K13/TOTAL!K6</f>
        <v>4000</v>
      </c>
      <c r="M6" s="50">
        <f>Electricity!C12</f>
        <v>1</v>
      </c>
      <c r="N6" s="50">
        <f>Electricity!D12</f>
        <v>25</v>
      </c>
    </row>
    <row r="7" spans="1:14" ht="15">
      <c r="A7" s="47" t="s">
        <v>14</v>
      </c>
      <c r="B7" s="48">
        <f t="shared" si="0"/>
        <v>6</v>
      </c>
      <c r="C7" s="49">
        <v>9</v>
      </c>
      <c r="D7" s="48">
        <v>2021</v>
      </c>
      <c r="E7" s="50">
        <f>Electricity!F13+Electricity!I13</f>
        <v>5759.9999999997071</v>
      </c>
      <c r="F7" s="51">
        <f>Electricity!L13/TOTAL!E7</f>
        <v>1231.9933159722266</v>
      </c>
      <c r="G7" s="50">
        <f>Gas!F14+Gas!I14+Gas!L14+Gas!O14</f>
        <v>46.050479999999411</v>
      </c>
      <c r="H7" s="51">
        <f>Gas!Q14/TOTAL!G7</f>
        <v>14180</v>
      </c>
      <c r="I7" s="50">
        <v>0</v>
      </c>
      <c r="J7" s="52">
        <v>10700</v>
      </c>
      <c r="K7" s="50">
        <f>Water!E14+Water!G14+Water!I14</f>
        <v>328</v>
      </c>
      <c r="L7" s="51">
        <f>Water!K14/TOTAL!K7</f>
        <v>4000</v>
      </c>
      <c r="M7" s="50">
        <f>Electricity!C13</f>
        <v>0</v>
      </c>
      <c r="N7" s="50">
        <f>Electricity!D13</f>
        <v>4</v>
      </c>
    </row>
    <row r="8" spans="1:14" ht="15">
      <c r="A8" s="47" t="s">
        <v>14</v>
      </c>
      <c r="B8" s="48">
        <f t="shared" si="0"/>
        <v>7</v>
      </c>
      <c r="C8" s="49">
        <v>9</v>
      </c>
      <c r="D8" s="48">
        <v>2021</v>
      </c>
      <c r="E8" s="50">
        <f>Electricity!F14+Electricity!I14</f>
        <v>5780.0000000002001</v>
      </c>
      <c r="F8" s="51">
        <f>Electricity!L14/TOTAL!E8</f>
        <v>1239.5544117647009</v>
      </c>
      <c r="G8" s="50">
        <f>Gas!F15+Gas!I15+Gas!L15+Gas!O15</f>
        <v>36.544400000000728</v>
      </c>
      <c r="H8" s="51">
        <f>Gas!Q15/TOTAL!G8</f>
        <v>14180.000000000002</v>
      </c>
      <c r="I8" s="50">
        <v>0</v>
      </c>
      <c r="J8" s="52">
        <v>10700</v>
      </c>
      <c r="K8" s="50">
        <f>Water!E15+Water!G15+Water!I15</f>
        <v>245</v>
      </c>
      <c r="L8" s="51">
        <f>Water!K15/TOTAL!K8</f>
        <v>4000</v>
      </c>
      <c r="M8" s="50">
        <f>Electricity!C14</f>
        <v>3</v>
      </c>
      <c r="N8" s="50">
        <f>Electricity!D14</f>
        <v>7</v>
      </c>
    </row>
    <row r="9" spans="1:14" ht="15">
      <c r="A9" s="47" t="s">
        <v>14</v>
      </c>
      <c r="B9" s="48">
        <f t="shared" si="0"/>
        <v>8</v>
      </c>
      <c r="C9" s="49">
        <v>9</v>
      </c>
      <c r="D9" s="48">
        <v>2021</v>
      </c>
      <c r="E9" s="50">
        <f>Electricity!F15+Electricity!I15</f>
        <v>6079.9999999999836</v>
      </c>
      <c r="F9" s="51">
        <f>Electricity!L15/TOTAL!E9</f>
        <v>1238.3421875000008</v>
      </c>
      <c r="G9" s="50">
        <f>Gas!F16+Gas!I16+Gas!L16+Gas!O16</f>
        <v>54.509280000000878</v>
      </c>
      <c r="H9" s="51">
        <f>Gas!Q16/TOTAL!G9</f>
        <v>14180</v>
      </c>
      <c r="I9" s="50">
        <v>0</v>
      </c>
      <c r="J9" s="52">
        <v>10700</v>
      </c>
      <c r="K9" s="50">
        <f>Water!E16+Water!G16+Water!I16</f>
        <v>301</v>
      </c>
      <c r="L9" s="51">
        <f>Water!K16/TOTAL!K9</f>
        <v>4000</v>
      </c>
      <c r="M9" s="50">
        <f>Electricity!C15</f>
        <v>4</v>
      </c>
      <c r="N9" s="50">
        <f>Electricity!D15</f>
        <v>18</v>
      </c>
    </row>
    <row r="10" spans="1:14" ht="15">
      <c r="A10" s="47" t="s">
        <v>14</v>
      </c>
      <c r="B10" s="48">
        <f t="shared" si="0"/>
        <v>9</v>
      </c>
      <c r="C10" s="49">
        <v>9</v>
      </c>
      <c r="D10" s="48">
        <v>2021</v>
      </c>
      <c r="E10" s="50">
        <f>Electricity!F16+Electricity!I16</f>
        <v>5999.9999999999436</v>
      </c>
      <c r="F10" s="51">
        <f>Electricity!L16/TOTAL!E10</f>
        <v>1226.3771666666689</v>
      </c>
      <c r="G10" s="50">
        <f>Gas!F17+Gas!I17+Gas!L17+Gas!O17</f>
        <v>43.714239999999705</v>
      </c>
      <c r="H10" s="51">
        <f>Gas!Q17/TOTAL!G10</f>
        <v>14179.999999999998</v>
      </c>
      <c r="I10" s="50">
        <v>0</v>
      </c>
      <c r="J10" s="52">
        <v>10700</v>
      </c>
      <c r="K10" s="50">
        <f>Water!E17+Water!G17+Water!I17</f>
        <v>268</v>
      </c>
      <c r="L10" s="51">
        <f>Water!K17/TOTAL!K10</f>
        <v>4000</v>
      </c>
      <c r="M10" s="50">
        <f>Electricity!C16</f>
        <v>0</v>
      </c>
      <c r="N10" s="50">
        <f>Electricity!D16</f>
        <v>24</v>
      </c>
    </row>
    <row r="11" spans="1:14" ht="15">
      <c r="A11" s="47" t="s">
        <v>14</v>
      </c>
      <c r="B11" s="48">
        <f t="shared" si="0"/>
        <v>10</v>
      </c>
      <c r="C11" s="49">
        <v>9</v>
      </c>
      <c r="D11" s="48">
        <v>2021</v>
      </c>
      <c r="E11" s="50">
        <f>Electricity!F17+Electricity!I17</f>
        <v>5579.9999999998136</v>
      </c>
      <c r="F11" s="51">
        <f>Electricity!L17/TOTAL!E11</f>
        <v>1230.9088709677428</v>
      </c>
      <c r="G11" s="50">
        <f>Gas!F18+Gas!I18+Gas!L18+Gas!O18</f>
        <v>31.67051999999692</v>
      </c>
      <c r="H11" s="51">
        <f>Gas!Q18/TOTAL!G11</f>
        <v>14180</v>
      </c>
      <c r="I11" s="50">
        <v>0</v>
      </c>
      <c r="J11" s="52">
        <v>10700</v>
      </c>
      <c r="K11" s="50">
        <f>Water!E18+Water!G18+Water!I18</f>
        <v>239</v>
      </c>
      <c r="L11" s="51">
        <f>Water!K18/TOTAL!K11</f>
        <v>4000</v>
      </c>
      <c r="M11" s="50">
        <f>Electricity!C17</f>
        <v>1</v>
      </c>
      <c r="N11" s="50">
        <f>Electricity!D17</f>
        <v>3</v>
      </c>
    </row>
    <row r="12" spans="1:14" ht="15">
      <c r="A12" s="47" t="s">
        <v>14</v>
      </c>
      <c r="B12" s="48">
        <f t="shared" si="0"/>
        <v>11</v>
      </c>
      <c r="C12" s="49">
        <v>9</v>
      </c>
      <c r="D12" s="48">
        <v>2021</v>
      </c>
      <c r="E12" s="50">
        <f>Electricity!F18+Electricity!I18</f>
        <v>5540.000000000362</v>
      </c>
      <c r="F12" s="51">
        <f>Electricity!L18/TOTAL!E12</f>
        <v>1231.572111913355</v>
      </c>
      <c r="G12" s="50">
        <f>Gas!F19+Gas!I19+Gas!L19+Gas!O19</f>
        <v>37.511119999999849</v>
      </c>
      <c r="H12" s="51">
        <f>Gas!Q19/TOTAL!G12</f>
        <v>14180.000000000002</v>
      </c>
      <c r="I12" s="50">
        <v>0</v>
      </c>
      <c r="J12" s="52">
        <v>10700</v>
      </c>
      <c r="K12" s="50">
        <f>Water!E19+Water!G19+Water!I19</f>
        <v>258</v>
      </c>
      <c r="L12" s="51">
        <f>Water!K19/TOTAL!K12</f>
        <v>4000</v>
      </c>
      <c r="M12" s="50">
        <f>Electricity!C18</f>
        <v>3</v>
      </c>
      <c r="N12" s="50">
        <f>Electricity!D18</f>
        <v>10</v>
      </c>
    </row>
    <row r="13" spans="1:14" ht="15">
      <c r="A13" s="47" t="s">
        <v>14</v>
      </c>
      <c r="B13" s="48">
        <f t="shared" si="0"/>
        <v>12</v>
      </c>
      <c r="C13" s="49">
        <v>9</v>
      </c>
      <c r="D13" s="48">
        <v>2021</v>
      </c>
      <c r="E13" s="50">
        <f>Electricity!F19+Electricity!I19</f>
        <v>5679.9999999997799</v>
      </c>
      <c r="F13" s="51">
        <f>Electricity!L19/TOTAL!E13</f>
        <v>1233.3023767605666</v>
      </c>
      <c r="G13" s="50">
        <f>Gas!F20+Gas!I20+Gas!L20+Gas!O20</f>
        <v>46.493560000001757</v>
      </c>
      <c r="H13" s="51">
        <f>Gas!Q20/TOTAL!G13</f>
        <v>14180</v>
      </c>
      <c r="I13" s="50">
        <v>0</v>
      </c>
      <c r="J13" s="52">
        <v>10700</v>
      </c>
      <c r="K13" s="50">
        <f>Water!E20+Water!G20+Water!I20</f>
        <v>200</v>
      </c>
      <c r="L13" s="51">
        <f>Water!K20/TOTAL!K13</f>
        <v>4000</v>
      </c>
      <c r="M13" s="50">
        <f>Electricity!C19</f>
        <v>2</v>
      </c>
      <c r="N13" s="50">
        <f>Electricity!D19</f>
        <v>26</v>
      </c>
    </row>
    <row r="14" spans="1:14" ht="15">
      <c r="A14" s="47" t="s">
        <v>14</v>
      </c>
      <c r="B14" s="48">
        <f t="shared" si="0"/>
        <v>13</v>
      </c>
      <c r="C14" s="49">
        <v>9</v>
      </c>
      <c r="D14" s="48">
        <v>2021</v>
      </c>
      <c r="E14" s="50">
        <f>Electricity!F20+Electricity!I20</f>
        <v>5439.9999999998836</v>
      </c>
      <c r="F14" s="51">
        <f>Electricity!L20/TOTAL!E14</f>
        <v>1226.9913602941169</v>
      </c>
      <c r="G14" s="50">
        <f>Gas!F21+Gas!I21+Gas!L21+Gas!O21</f>
        <v>45.687959999998824</v>
      </c>
      <c r="H14" s="51">
        <f>Gas!Q21/TOTAL!G14</f>
        <v>14179.999999999998</v>
      </c>
      <c r="I14" s="50">
        <v>16</v>
      </c>
      <c r="J14" s="52">
        <v>10700</v>
      </c>
      <c r="K14" s="50">
        <f>Water!E21+Water!G21+Water!I21</f>
        <v>235</v>
      </c>
      <c r="L14" s="51">
        <f>Water!K21/TOTAL!K14</f>
        <v>4000</v>
      </c>
      <c r="M14" s="50">
        <f>Electricity!C20</f>
        <v>0</v>
      </c>
      <c r="N14" s="50">
        <f>Electricity!D20</f>
        <v>5</v>
      </c>
    </row>
    <row r="15" spans="1:14" ht="15">
      <c r="A15" s="47" t="s">
        <v>14</v>
      </c>
      <c r="B15" s="48">
        <f t="shared" si="0"/>
        <v>14</v>
      </c>
      <c r="C15" s="49">
        <v>9</v>
      </c>
      <c r="D15" s="48">
        <v>2021</v>
      </c>
      <c r="E15" s="50">
        <f>Electricity!F21+Electricity!I21</f>
        <v>5660.0000000003092</v>
      </c>
      <c r="F15" s="51">
        <f>Electricity!L21/TOTAL!E15</f>
        <v>1237.6603356890425</v>
      </c>
      <c r="G15" s="50">
        <f>Gas!F22+Gas!I22+Gas!L22+Gas!O22</f>
        <v>41.176600000002928</v>
      </c>
      <c r="H15" s="51">
        <f>Gas!Q22/TOTAL!G15</f>
        <v>14180</v>
      </c>
      <c r="I15" s="50">
        <v>0</v>
      </c>
      <c r="J15" s="52">
        <v>10700</v>
      </c>
      <c r="K15" s="50">
        <f>Water!E22+Water!G22+Water!I22</f>
        <v>270</v>
      </c>
      <c r="L15" s="51">
        <f>Water!K22/TOTAL!K15</f>
        <v>4000</v>
      </c>
      <c r="M15" s="50">
        <f>Electricity!C21</f>
        <v>2</v>
      </c>
      <c r="N15" s="50">
        <f>Electricity!D21</f>
        <v>12</v>
      </c>
    </row>
    <row r="16" spans="1:14" ht="15">
      <c r="A16" s="47" t="s">
        <v>14</v>
      </c>
      <c r="B16" s="48">
        <f t="shared" si="0"/>
        <v>15</v>
      </c>
      <c r="C16" s="49">
        <v>9</v>
      </c>
      <c r="D16" s="48">
        <v>2021</v>
      </c>
      <c r="E16" s="50">
        <f>Electricity!F22+Electricity!I22</f>
        <v>6020.0000000000382</v>
      </c>
      <c r="F16" s="51">
        <f>Electricity!L22/TOTAL!E16</f>
        <v>1239.331810631229</v>
      </c>
      <c r="G16" s="50">
        <f>Gas!F23+Gas!I23+Gas!L23+Gas!O23</f>
        <v>56.36215999999736</v>
      </c>
      <c r="H16" s="51">
        <f>Gas!Q23/TOTAL!G16</f>
        <v>14179.999999999998</v>
      </c>
      <c r="I16" s="50">
        <v>0</v>
      </c>
      <c r="J16" s="52">
        <v>10700</v>
      </c>
      <c r="K16" s="50">
        <f>Water!E23+Water!G23+Water!I23</f>
        <v>266</v>
      </c>
      <c r="L16" s="51">
        <f>Water!K23/TOTAL!K16</f>
        <v>4000</v>
      </c>
      <c r="M16" s="50">
        <f>Electricity!C22</f>
        <v>2</v>
      </c>
      <c r="N16" s="50">
        <f>Electricity!D22</f>
        <v>23</v>
      </c>
    </row>
    <row r="17" spans="1:14" ht="15">
      <c r="A17" s="47" t="s">
        <v>14</v>
      </c>
      <c r="B17" s="48">
        <f t="shared" si="0"/>
        <v>16</v>
      </c>
      <c r="C17" s="49">
        <v>9</v>
      </c>
      <c r="D17" s="48">
        <v>2021</v>
      </c>
      <c r="E17" s="50">
        <f>Electricity!F23+Electricity!I23</f>
        <v>6279.9999999997453</v>
      </c>
      <c r="F17" s="51">
        <f>Electricity!L23/TOTAL!E17</f>
        <v>1229.7386942675196</v>
      </c>
      <c r="G17" s="50">
        <f>Gas!F24+Gas!I24+Gas!L24+Gas!O24</f>
        <v>52.777239999999701</v>
      </c>
      <c r="H17" s="51">
        <f>Gas!Q24/TOTAL!G17</f>
        <v>14180</v>
      </c>
      <c r="I17" s="50">
        <v>0</v>
      </c>
      <c r="J17" s="52">
        <v>10700</v>
      </c>
      <c r="K17" s="50">
        <f>Water!E24+Water!G24+Water!I24</f>
        <v>276</v>
      </c>
      <c r="L17" s="51">
        <f>Water!K24/TOTAL!K17</f>
        <v>4000</v>
      </c>
      <c r="M17" s="50">
        <f>Electricity!C23</f>
        <v>1</v>
      </c>
      <c r="N17" s="50">
        <f>Electricity!D23</f>
        <v>11</v>
      </c>
    </row>
    <row r="18" spans="1:14" ht="15">
      <c r="A18" s="47" t="s">
        <v>14</v>
      </c>
      <c r="B18" s="48">
        <f t="shared" si="0"/>
        <v>17</v>
      </c>
      <c r="C18" s="49">
        <v>9</v>
      </c>
      <c r="D18" s="48">
        <v>2021</v>
      </c>
      <c r="E18" s="50">
        <f>Electricity!F24+Electricity!I24</f>
        <v>6519.9999999999818</v>
      </c>
      <c r="F18" s="51">
        <f>Electricity!L24/TOTAL!E18</f>
        <v>1228.1474693251523</v>
      </c>
      <c r="G18" s="50">
        <f>Gas!F25+Gas!I25+Gas!L25+Gas!O25</f>
        <v>50.360440000001901</v>
      </c>
      <c r="H18" s="51">
        <f>Gas!Q25/TOTAL!G18</f>
        <v>14179.999999999998</v>
      </c>
      <c r="I18" s="50">
        <v>0</v>
      </c>
      <c r="J18" s="52">
        <v>10700</v>
      </c>
      <c r="K18" s="50">
        <f>Water!E25+Water!G25+Water!I25</f>
        <v>278</v>
      </c>
      <c r="L18" s="51">
        <f>Water!K25/TOTAL!K18</f>
        <v>4000</v>
      </c>
      <c r="M18" s="50">
        <f>Electricity!C24</f>
        <v>3</v>
      </c>
      <c r="N18" s="50">
        <f>Electricity!D24</f>
        <v>13</v>
      </c>
    </row>
    <row r="19" spans="1:14" ht="15">
      <c r="A19" s="47" t="s">
        <v>14</v>
      </c>
      <c r="B19" s="48">
        <f t="shared" si="0"/>
        <v>18</v>
      </c>
      <c r="C19" s="49">
        <v>9</v>
      </c>
      <c r="D19" s="48">
        <v>2021</v>
      </c>
      <c r="E19" s="50">
        <f>Electricity!F25+Electricity!I25</f>
        <v>6500.0000000000564</v>
      </c>
      <c r="F19" s="51">
        <f>Electricity!L25/TOTAL!E19</f>
        <v>1230.1740000000011</v>
      </c>
      <c r="G19" s="50">
        <f>Gas!F26+Gas!I26+Gas!L26+Gas!O26</f>
        <v>51.729959999998826</v>
      </c>
      <c r="H19" s="51">
        <f>Gas!Q26/TOTAL!G19</f>
        <v>14180</v>
      </c>
      <c r="I19" s="50">
        <v>0</v>
      </c>
      <c r="J19" s="52">
        <v>10700</v>
      </c>
      <c r="K19" s="50">
        <f>Water!E26+Water!G26+Water!I26</f>
        <v>267</v>
      </c>
      <c r="L19" s="51">
        <f>Water!K26/TOTAL!K19</f>
        <v>4000</v>
      </c>
      <c r="M19" s="50">
        <f>Electricity!C25</f>
        <v>4</v>
      </c>
      <c r="N19" s="50">
        <f>Electricity!D25</f>
        <v>21</v>
      </c>
    </row>
    <row r="20" spans="1:14" ht="15">
      <c r="A20" s="47" t="s">
        <v>14</v>
      </c>
      <c r="B20" s="48">
        <f t="shared" si="0"/>
        <v>19</v>
      </c>
      <c r="C20" s="49">
        <v>9</v>
      </c>
      <c r="D20" s="48">
        <v>2021</v>
      </c>
      <c r="E20" s="50">
        <f>Electricity!F26+Electricity!I26</f>
        <v>6139.9999999998163</v>
      </c>
      <c r="F20" s="51">
        <f>Electricity!L26/TOTAL!E20</f>
        <v>1228.0962540716621</v>
      </c>
      <c r="G20" s="50">
        <f>Gas!F27+Gas!I27+Gas!L27+Gas!O27</f>
        <v>45.244880000000144</v>
      </c>
      <c r="H20" s="51">
        <f>Gas!Q27/TOTAL!G20</f>
        <v>14180</v>
      </c>
      <c r="I20" s="50">
        <v>0</v>
      </c>
      <c r="J20" s="52">
        <v>10700</v>
      </c>
      <c r="K20" s="50">
        <f>Water!E27+Water!G27+Water!I27</f>
        <v>299</v>
      </c>
      <c r="L20" s="51">
        <f>Water!K27/TOTAL!K20</f>
        <v>4000</v>
      </c>
      <c r="M20" s="50">
        <f>Electricity!C26</f>
        <v>30</v>
      </c>
      <c r="N20" s="50">
        <f>Electricity!D26</f>
        <v>30</v>
      </c>
    </row>
    <row r="21" spans="1:14" ht="15">
      <c r="A21" s="47" t="s">
        <v>14</v>
      </c>
      <c r="B21" s="48">
        <f t="shared" si="0"/>
        <v>20</v>
      </c>
      <c r="C21" s="49">
        <v>9</v>
      </c>
      <c r="D21" s="48">
        <v>2021</v>
      </c>
      <c r="E21" s="50">
        <f>Electricity!F27+Electricity!I27</f>
        <v>5880.0000000000528</v>
      </c>
      <c r="F21" s="51">
        <f>Electricity!L27/TOTAL!E21</f>
        <v>1232.0336734693849</v>
      </c>
      <c r="G21" s="50">
        <f>Gas!F28+Gas!I28+Gas!L28+Gas!O28</f>
        <v>31.469119999999851</v>
      </c>
      <c r="H21" s="51">
        <f>Gas!Q28/TOTAL!G21</f>
        <v>14180.000000000002</v>
      </c>
      <c r="I21" s="50">
        <v>0</v>
      </c>
      <c r="J21" s="52">
        <v>10700</v>
      </c>
      <c r="K21" s="50">
        <f>Water!E28+Water!G28+Water!I28</f>
        <v>290</v>
      </c>
      <c r="L21" s="51">
        <f>Water!K28/TOTAL!K21</f>
        <v>4000</v>
      </c>
      <c r="M21" s="50">
        <f>Electricity!C27</f>
        <v>0</v>
      </c>
      <c r="N21" s="50">
        <f>Electricity!D27</f>
        <v>0</v>
      </c>
    </row>
    <row r="22" spans="1:14" ht="15">
      <c r="A22" s="47" t="s">
        <v>14</v>
      </c>
      <c r="B22" s="48">
        <f t="shared" si="0"/>
        <v>21</v>
      </c>
      <c r="C22" s="49">
        <v>9</v>
      </c>
      <c r="D22" s="48">
        <v>2021</v>
      </c>
      <c r="E22" s="50">
        <f>Electricity!F28+Electricity!I28</f>
        <v>6079.9999999999836</v>
      </c>
      <c r="F22" s="51">
        <f>Electricity!L28/TOTAL!E22</f>
        <v>1234.5953125000042</v>
      </c>
      <c r="G22" s="50">
        <f>Gas!F29+Gas!I29+Gas!L29+Gas!O29</f>
        <v>31.348280000000877</v>
      </c>
      <c r="H22" s="51">
        <f>Gas!Q29/TOTAL!G22</f>
        <v>14180.000000000002</v>
      </c>
      <c r="I22" s="50">
        <v>0</v>
      </c>
      <c r="J22" s="52">
        <v>10700</v>
      </c>
      <c r="K22" s="50">
        <f>Water!E29+Water!G29+Water!I29</f>
        <v>290</v>
      </c>
      <c r="L22" s="51">
        <f>Water!K29/TOTAL!K22</f>
        <v>4000</v>
      </c>
      <c r="M22" s="50">
        <f>Electricity!C28</f>
        <v>0</v>
      </c>
      <c r="N22" s="50">
        <f>Electricity!D28</f>
        <v>0</v>
      </c>
    </row>
    <row r="23" spans="1:14" ht="15">
      <c r="A23" s="47" t="s">
        <v>14</v>
      </c>
      <c r="B23" s="48">
        <f t="shared" si="0"/>
        <v>22</v>
      </c>
      <c r="C23" s="49">
        <v>9</v>
      </c>
      <c r="D23" s="48">
        <v>2021</v>
      </c>
      <c r="E23" s="50">
        <f>Electricity!F29+Electricity!I29</f>
        <v>6659.9999999999682</v>
      </c>
      <c r="F23" s="51">
        <f>Electricity!L29/TOTAL!E23</f>
        <v>1238.2465465465443</v>
      </c>
      <c r="G23" s="50">
        <f>Gas!F30+Gas!I30+Gas!L30+Gas!O30</f>
        <v>45.043479999999413</v>
      </c>
      <c r="H23" s="51">
        <f>Gas!Q30/TOTAL!G23</f>
        <v>14179.999999999998</v>
      </c>
      <c r="I23" s="50">
        <v>18</v>
      </c>
      <c r="J23" s="52">
        <v>10700</v>
      </c>
      <c r="K23" s="50">
        <f>Water!E30+Water!G30+Water!I30</f>
        <v>312</v>
      </c>
      <c r="L23" s="51">
        <f>Water!K30/TOTAL!K23</f>
        <v>4000</v>
      </c>
      <c r="M23" s="50">
        <f>Electricity!C29</f>
        <v>0</v>
      </c>
      <c r="N23" s="50">
        <f>Electricity!D29</f>
        <v>0</v>
      </c>
    </row>
    <row r="24" spans="1:14" ht="15">
      <c r="A24" s="47" t="s">
        <v>14</v>
      </c>
      <c r="B24" s="48">
        <f t="shared" si="0"/>
        <v>23</v>
      </c>
      <c r="C24" s="49">
        <v>9</v>
      </c>
      <c r="D24" s="48">
        <v>2021</v>
      </c>
      <c r="E24" s="50">
        <f>Electricity!F30+Electricity!I30</f>
        <v>6800.0000000002956</v>
      </c>
      <c r="F24" s="51">
        <f>Electricity!L30/TOTAL!E24</f>
        <v>1231.1790441176449</v>
      </c>
      <c r="G24" s="50">
        <f>Gas!F31+Gas!I31+Gas!L31+Gas!O31</f>
        <v>51.327160000001022</v>
      </c>
      <c r="H24" s="51">
        <f>Gas!Q31/TOTAL!G24</f>
        <v>14180</v>
      </c>
      <c r="I24" s="50">
        <v>0</v>
      </c>
      <c r="J24" s="52">
        <v>10700</v>
      </c>
      <c r="K24" s="50">
        <f>Water!E31+Water!G31+Water!I31</f>
        <v>300</v>
      </c>
      <c r="L24" s="51">
        <f>Water!K31/TOTAL!K24</f>
        <v>4000</v>
      </c>
      <c r="M24" s="50">
        <f>Electricity!C30</f>
        <v>1</v>
      </c>
      <c r="N24" s="50">
        <f>Electricity!D30</f>
        <v>7</v>
      </c>
    </row>
    <row r="25" spans="1:14" ht="15">
      <c r="A25" s="47" t="s">
        <v>14</v>
      </c>
      <c r="B25" s="48">
        <f t="shared" si="0"/>
        <v>24</v>
      </c>
      <c r="C25" s="49">
        <v>9</v>
      </c>
      <c r="D25" s="48">
        <v>2021</v>
      </c>
      <c r="E25" s="50">
        <f>Electricity!F31+Electricity!I31</f>
        <v>6819.9999999998226</v>
      </c>
      <c r="F25" s="51">
        <f>Electricity!L31/TOTAL!E25</f>
        <v>1230.9088709677465</v>
      </c>
      <c r="G25" s="50">
        <f>Gas!F32+Gas!I32+Gas!L32+Gas!O32</f>
        <v>50.52155999999809</v>
      </c>
      <c r="H25" s="51">
        <f>Gas!Q32/TOTAL!G25</f>
        <v>14180</v>
      </c>
      <c r="I25" s="50">
        <v>0</v>
      </c>
      <c r="J25" s="52">
        <v>10700</v>
      </c>
      <c r="K25" s="50">
        <f>Water!E32+Water!G32+Water!I32</f>
        <v>329</v>
      </c>
      <c r="L25" s="51">
        <f>Water!K32/TOTAL!K25</f>
        <v>4000</v>
      </c>
      <c r="M25" s="50">
        <f>Electricity!C31</f>
        <v>2</v>
      </c>
      <c r="N25" s="50">
        <f>Electricity!D31</f>
        <v>36</v>
      </c>
    </row>
    <row r="26" spans="1:14" ht="15">
      <c r="A26" s="47" t="s">
        <v>14</v>
      </c>
      <c r="B26" s="48">
        <f>B25+1</f>
        <v>25</v>
      </c>
      <c r="C26" s="49">
        <v>9</v>
      </c>
      <c r="D26" s="48">
        <v>2021</v>
      </c>
      <c r="E26" s="50">
        <f>Electricity!F32+Electricity!I32</f>
        <v>6380.0000000001655</v>
      </c>
      <c r="F26" s="51">
        <f>Electricity!L32/TOTAL!E26</f>
        <v>1233.6732758620669</v>
      </c>
      <c r="G26" s="50">
        <f>Gas!F33+Gas!I33+Gas!L33+Gas!O33</f>
        <v>46.171320000002048</v>
      </c>
      <c r="H26" s="51">
        <f>Gas!Q33/TOTAL!G26</f>
        <v>14179.999999999998</v>
      </c>
      <c r="I26" s="50">
        <v>0</v>
      </c>
      <c r="J26" s="52">
        <v>10700</v>
      </c>
      <c r="K26" s="50">
        <f>Water!E33+Water!G33+Water!I33</f>
        <v>325</v>
      </c>
      <c r="L26" s="51">
        <f>Water!K33/TOTAL!K26</f>
        <v>4000</v>
      </c>
      <c r="M26" s="50">
        <f>Electricity!C32</f>
        <v>5</v>
      </c>
      <c r="N26" s="50">
        <f>Electricity!D32</f>
        <v>22</v>
      </c>
    </row>
    <row r="27" spans="1:14" ht="15">
      <c r="A27" s="47" t="s">
        <v>14</v>
      </c>
      <c r="B27" s="48">
        <f t="shared" si="0"/>
        <v>26</v>
      </c>
      <c r="C27" s="49">
        <v>9</v>
      </c>
      <c r="D27" s="48">
        <v>2021</v>
      </c>
      <c r="E27" s="50">
        <f>Electricity!F33+Electricity!I33</f>
        <v>6739.9999999998954</v>
      </c>
      <c r="F27" s="51">
        <f>Electricity!L33/TOTAL!E27</f>
        <v>1235.3791543026709</v>
      </c>
      <c r="G27" s="50">
        <f>Gas!F34+Gas!I34+Gas!L34+Gas!O34</f>
        <v>58.698400000000731</v>
      </c>
      <c r="H27" s="51">
        <f>Gas!Q34/TOTAL!G27</f>
        <v>14179.999999999998</v>
      </c>
      <c r="I27" s="50">
        <v>0</v>
      </c>
      <c r="J27" s="52">
        <v>10700</v>
      </c>
      <c r="K27" s="50">
        <f>Water!E34+Water!G34+Water!I34</f>
        <v>318</v>
      </c>
      <c r="L27" s="51">
        <f>Water!K34/TOTAL!K27</f>
        <v>4000</v>
      </c>
      <c r="M27" s="50">
        <f>Electricity!C33</f>
        <v>5</v>
      </c>
      <c r="N27" s="50">
        <f>Electricity!D33</f>
        <v>11</v>
      </c>
    </row>
    <row r="28" spans="1:14" ht="15">
      <c r="A28" s="47" t="s">
        <v>14</v>
      </c>
      <c r="B28" s="48">
        <f t="shared" si="0"/>
        <v>27</v>
      </c>
      <c r="C28" s="49">
        <v>9</v>
      </c>
      <c r="D28" s="48">
        <v>2021</v>
      </c>
      <c r="E28" s="50">
        <f>Electricity!F34+Electricity!I34</f>
        <v>6759.9999999998772</v>
      </c>
      <c r="F28" s="51">
        <f>Electricity!L34/TOTAL!E28</f>
        <v>1235.0941568047344</v>
      </c>
      <c r="G28" s="50">
        <f>Gas!F35+Gas!I35+Gas!L35+Gas!O35</f>
        <v>55.153759999996623</v>
      </c>
      <c r="H28" s="51">
        <f>Gas!Q35/TOTAL!G28</f>
        <v>14179.999999999998</v>
      </c>
      <c r="I28" s="50">
        <v>0</v>
      </c>
      <c r="J28" s="52">
        <v>10700</v>
      </c>
      <c r="K28" s="50">
        <f>Water!E35+Water!G35+Water!I35</f>
        <v>343</v>
      </c>
      <c r="L28" s="51">
        <f>Water!K35/TOTAL!K28</f>
        <v>4000</v>
      </c>
      <c r="M28" s="50">
        <f>Electricity!C34</f>
        <v>6</v>
      </c>
      <c r="N28" s="50">
        <f>Electricity!D34</f>
        <v>18</v>
      </c>
    </row>
    <row r="29" spans="1:14" ht="15">
      <c r="A29" s="47" t="s">
        <v>14</v>
      </c>
      <c r="B29" s="48">
        <f t="shared" si="0"/>
        <v>28</v>
      </c>
      <c r="C29" s="49">
        <v>9</v>
      </c>
      <c r="D29" s="48">
        <v>2021</v>
      </c>
      <c r="E29" s="50">
        <f>Electricity!F35+Electricity!I35</f>
        <v>6980.0000000001319</v>
      </c>
      <c r="F29" s="51">
        <f>Electricity!L35/TOTAL!E29</f>
        <v>1230.4351002865319</v>
      </c>
      <c r="G29" s="50">
        <f>Gas!F36+Gas!I36+Gas!L36+Gas!O36</f>
        <v>46.775520000000583</v>
      </c>
      <c r="H29" s="51">
        <f>Gas!Q36/TOTAL!G29</f>
        <v>14179.999999999998</v>
      </c>
      <c r="I29" s="50">
        <v>21</v>
      </c>
      <c r="J29" s="52">
        <v>10700</v>
      </c>
      <c r="K29" s="50">
        <f>Water!E36+Water!G36+Water!I36</f>
        <v>339</v>
      </c>
      <c r="L29" s="51">
        <f>Water!K36/TOTAL!K29</f>
        <v>4000</v>
      </c>
      <c r="M29" s="50">
        <f>Electricity!C35</f>
        <v>8</v>
      </c>
      <c r="N29" s="50">
        <f>Electricity!D35</f>
        <v>31</v>
      </c>
    </row>
    <row r="30" spans="1:14" ht="15">
      <c r="A30" s="47" t="s">
        <v>14</v>
      </c>
      <c r="B30" s="48">
        <f t="shared" si="0"/>
        <v>29</v>
      </c>
      <c r="C30" s="49">
        <v>9</v>
      </c>
      <c r="D30" s="48">
        <v>2021</v>
      </c>
      <c r="E30" s="50">
        <f>Electricity!F36+Electricity!I36</f>
        <v>6899.9999999998072</v>
      </c>
      <c r="F30" s="51">
        <f>Electricity!L36/TOTAL!E30</f>
        <v>1238.0978260869585</v>
      </c>
      <c r="G30" s="50">
        <f>Gas!F37+Gas!I37+Gas!L37+Gas!O37</f>
        <v>51.931359999999557</v>
      </c>
      <c r="H30" s="51">
        <f>Gas!Q37/TOTAL!G30</f>
        <v>14179.999999999998</v>
      </c>
      <c r="I30" s="50">
        <v>0</v>
      </c>
      <c r="J30" s="52">
        <v>10700</v>
      </c>
      <c r="K30" s="50">
        <f>Water!E37+Water!G37+Water!I37</f>
        <v>335</v>
      </c>
      <c r="L30" s="51">
        <f>Water!K37/TOTAL!K30</f>
        <v>4000</v>
      </c>
      <c r="M30" s="50">
        <f>Electricity!C36</f>
        <v>13</v>
      </c>
      <c r="N30" s="50">
        <f>Electricity!D36</f>
        <v>40</v>
      </c>
    </row>
    <row r="31" spans="1:14" ht="15">
      <c r="A31" s="47" t="s">
        <v>14</v>
      </c>
      <c r="B31" s="48">
        <f t="shared" si="0"/>
        <v>30</v>
      </c>
      <c r="C31" s="49">
        <v>9</v>
      </c>
      <c r="D31" s="48">
        <v>2021</v>
      </c>
      <c r="E31" s="50">
        <f>Electricity!F37+Electricity!I37</f>
        <v>7420.0000000003001</v>
      </c>
      <c r="F31" s="51">
        <f>Electricity!L37/TOTAL!E31</f>
        <v>1235.7617924528256</v>
      </c>
      <c r="G31" s="50">
        <f>Gas!F38+Gas!I38+Gas!L38+Gas!O38</f>
        <v>49.877080000002344</v>
      </c>
      <c r="H31" s="51">
        <f>Gas!Q38/TOTAL!G31</f>
        <v>14179.999999999998</v>
      </c>
      <c r="I31" s="50">
        <v>0</v>
      </c>
      <c r="J31" s="52">
        <v>10700</v>
      </c>
      <c r="K31" s="50">
        <f>Water!E38+Water!G38+Water!I38</f>
        <v>362</v>
      </c>
      <c r="L31" s="51">
        <f>Water!K38/TOTAL!K31</f>
        <v>4000</v>
      </c>
      <c r="M31" s="50">
        <f>Electricity!C37</f>
        <v>10</v>
      </c>
      <c r="N31" s="50">
        <f>Electricity!D37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2"/>
  <sheetViews>
    <sheetView zoomScale="87" zoomScaleNormal="87" workbookViewId="0">
      <pane xSplit="2" ySplit="7" topLeftCell="C8" activePane="bottomRight" state="frozen"/>
      <selection pane="bottomRight" activeCell="P34" sqref="P34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85546875" customWidth="1"/>
    <col min="3" max="3" width="6.5703125" customWidth="1"/>
    <col min="4" max="4" width="7.5703125" style="6" customWidth="1"/>
    <col min="5" max="5" width="9.42578125" style="1" customWidth="1"/>
    <col min="6" max="6" width="11.28515625" style="1" customWidth="1"/>
    <col min="7" max="7" width="16.5703125" style="1" customWidth="1"/>
    <col min="8" max="8" width="10.28515625" style="1" customWidth="1"/>
    <col min="9" max="9" width="11.140625" style="1" customWidth="1"/>
    <col min="10" max="10" width="16.7109375" style="1" customWidth="1"/>
    <col min="11" max="11" width="16.28515625" style="1" customWidth="1"/>
    <col min="12" max="12" width="23.28515625" bestFit="1" customWidth="1"/>
    <col min="13" max="13" width="16.7109375" customWidth="1"/>
    <col min="14" max="14" width="2.5703125" customWidth="1"/>
    <col min="16" max="16" width="16.7109375" customWidth="1"/>
  </cols>
  <sheetData>
    <row r="1" spans="1:14" ht="15.75">
      <c r="B1" s="84" t="s">
        <v>15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41"/>
      <c r="N1" s="41"/>
    </row>
    <row r="2" spans="1:14" ht="15.75">
      <c r="B2" s="84" t="s">
        <v>16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41"/>
      <c r="N2" s="41"/>
    </row>
    <row r="3" spans="1:14">
      <c r="B3" s="5"/>
      <c r="C3" s="4"/>
      <c r="D3" s="13"/>
      <c r="E3" s="4"/>
      <c r="F3" s="4"/>
      <c r="G3" s="4"/>
      <c r="H3" s="4"/>
      <c r="I3" s="4"/>
      <c r="J3" s="4"/>
      <c r="K3" s="4"/>
      <c r="L3" s="4"/>
      <c r="M3" s="41"/>
      <c r="N3" s="41"/>
    </row>
    <row r="4" spans="1:14">
      <c r="A4" s="7"/>
      <c r="B4" s="87">
        <v>44440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7"/>
    </row>
    <row r="5" spans="1:14" ht="23.25" customHeight="1">
      <c r="A5" s="63"/>
      <c r="B5" s="86" t="s">
        <v>17</v>
      </c>
      <c r="C5" s="86" t="s">
        <v>18</v>
      </c>
      <c r="D5" s="86" t="s">
        <v>13</v>
      </c>
      <c r="E5" s="89" t="s">
        <v>19</v>
      </c>
      <c r="F5" s="89"/>
      <c r="G5" s="89"/>
      <c r="H5" s="85" t="s">
        <v>20</v>
      </c>
      <c r="I5" s="85"/>
      <c r="J5" s="85"/>
      <c r="K5" s="86" t="s">
        <v>21</v>
      </c>
      <c r="L5" s="86" t="s">
        <v>22</v>
      </c>
      <c r="M5" s="86" t="s">
        <v>23</v>
      </c>
      <c r="N5" s="76"/>
    </row>
    <row r="6" spans="1:14" s="6" customFormat="1" ht="48" customHeight="1">
      <c r="A6" s="63"/>
      <c r="B6" s="86"/>
      <c r="C6" s="86"/>
      <c r="D6" s="86"/>
      <c r="E6" s="86" t="s">
        <v>24</v>
      </c>
      <c r="F6" s="86" t="s">
        <v>25</v>
      </c>
      <c r="G6" s="86" t="s">
        <v>26</v>
      </c>
      <c r="H6" s="86" t="s">
        <v>24</v>
      </c>
      <c r="I6" s="86" t="s">
        <v>25</v>
      </c>
      <c r="J6" s="86" t="s">
        <v>27</v>
      </c>
      <c r="K6" s="86"/>
      <c r="L6" s="86"/>
      <c r="M6" s="86"/>
      <c r="N6" s="76"/>
    </row>
    <row r="7" spans="1:14" ht="15.75" customHeight="1">
      <c r="A7" s="64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</row>
    <row r="8" spans="1:14" ht="15.75" customHeight="1">
      <c r="A8" s="64"/>
      <c r="B8" s="61">
        <v>1</v>
      </c>
      <c r="C8" s="28">
        <v>0</v>
      </c>
      <c r="D8" s="28">
        <v>6</v>
      </c>
      <c r="E8" s="10">
        <v>2.2799999999999727</v>
      </c>
      <c r="F8" s="11">
        <f t="shared" ref="F8:F37" si="0">E8*2000</f>
        <v>4559.9999999999454</v>
      </c>
      <c r="G8" s="3">
        <f t="shared" ref="G8:G37" si="1">F8*1035.5</f>
        <v>4721879.9999999432</v>
      </c>
      <c r="H8" s="10">
        <v>0.41999999999998749</v>
      </c>
      <c r="I8" s="11">
        <f t="shared" ref="I8:I15" si="2">H8*2000</f>
        <v>839.99999999997499</v>
      </c>
      <c r="J8" s="3">
        <f t="shared" ref="J8:J15" si="3">I8*1553.25</f>
        <v>1304729.9999999611</v>
      </c>
      <c r="K8" s="10">
        <f t="shared" ref="K8:K15" si="4">G8+J8</f>
        <v>6026609.9999999041</v>
      </c>
      <c r="L8" s="12">
        <f t="shared" ref="L8:L15" si="5">K8*1.1</f>
        <v>6629270.9999998948</v>
      </c>
      <c r="M8" s="68">
        <f>L8/14321</f>
        <v>462.9055931848261</v>
      </c>
      <c r="N8" s="35"/>
    </row>
    <row r="9" spans="1:14" ht="17.100000000000001" customHeight="1">
      <c r="A9" s="64"/>
      <c r="B9" s="61">
        <v>2</v>
      </c>
      <c r="C9" s="28">
        <v>1</v>
      </c>
      <c r="D9" s="28">
        <v>3</v>
      </c>
      <c r="E9" s="10">
        <v>2.1399999999998727</v>
      </c>
      <c r="F9" s="11">
        <f t="shared" si="0"/>
        <v>4279.9999999997453</v>
      </c>
      <c r="G9" s="3">
        <f t="shared" si="1"/>
        <v>4431939.9999997364</v>
      </c>
      <c r="H9" s="10">
        <v>0.43999999999999773</v>
      </c>
      <c r="I9" s="11">
        <f t="shared" si="2"/>
        <v>879.99999999999545</v>
      </c>
      <c r="J9" s="3">
        <f t="shared" si="3"/>
        <v>1366859.999999993</v>
      </c>
      <c r="K9" s="10">
        <f t="shared" si="4"/>
        <v>5798799.9999997299</v>
      </c>
      <c r="L9" s="12">
        <f t="shared" si="5"/>
        <v>6378679.9999997038</v>
      </c>
      <c r="M9" s="68">
        <f t="shared" ref="M9:M37" si="6">L9/14321</f>
        <v>445.40744361425209</v>
      </c>
      <c r="N9" s="35"/>
    </row>
    <row r="10" spans="1:14" ht="17.100000000000001" customHeight="1">
      <c r="A10" s="64"/>
      <c r="B10" s="61">
        <v>3</v>
      </c>
      <c r="C10" s="28">
        <v>4</v>
      </c>
      <c r="D10" s="28">
        <v>21</v>
      </c>
      <c r="E10" s="10">
        <v>2.3400000000001455</v>
      </c>
      <c r="F10" s="11">
        <f t="shared" si="0"/>
        <v>4680.000000000291</v>
      </c>
      <c r="G10" s="3">
        <f t="shared" si="1"/>
        <v>4846140.0000003017</v>
      </c>
      <c r="H10" s="10">
        <v>0.46000000000000796</v>
      </c>
      <c r="I10" s="11">
        <f t="shared" si="2"/>
        <v>920.00000000001592</v>
      </c>
      <c r="J10" s="3">
        <f t="shared" si="3"/>
        <v>1428990.0000000247</v>
      </c>
      <c r="K10" s="10">
        <f t="shared" si="4"/>
        <v>6275130.000000326</v>
      </c>
      <c r="L10" s="12">
        <f t="shared" si="5"/>
        <v>6902643.0000003595</v>
      </c>
      <c r="M10" s="68">
        <f t="shared" si="6"/>
        <v>481.99448362547025</v>
      </c>
      <c r="N10" s="35"/>
    </row>
    <row r="11" spans="1:14" ht="17.100000000000001" customHeight="1">
      <c r="A11" s="64"/>
      <c r="B11" s="61">
        <v>4</v>
      </c>
      <c r="C11" s="28">
        <v>4</v>
      </c>
      <c r="D11" s="28">
        <v>23</v>
      </c>
      <c r="E11" s="10">
        <v>2.4199999999998454</v>
      </c>
      <c r="F11" s="11">
        <f t="shared" si="0"/>
        <v>4839.9999999996908</v>
      </c>
      <c r="G11" s="3">
        <f t="shared" si="1"/>
        <v>5011819.9999996796</v>
      </c>
      <c r="H11" s="10">
        <v>0.47999999999998977</v>
      </c>
      <c r="I11" s="11">
        <f t="shared" si="2"/>
        <v>959.99999999997954</v>
      </c>
      <c r="J11" s="3">
        <f t="shared" si="3"/>
        <v>1491119.9999999681</v>
      </c>
      <c r="K11" s="10">
        <f t="shared" si="4"/>
        <v>6502939.999999648</v>
      </c>
      <c r="L11" s="12">
        <f t="shared" si="5"/>
        <v>7153233.9999996135</v>
      </c>
      <c r="M11" s="68">
        <f t="shared" si="6"/>
        <v>499.4926331959789</v>
      </c>
      <c r="N11" s="35"/>
    </row>
    <row r="12" spans="1:14" ht="17.100000000000001" customHeight="1">
      <c r="A12" s="64"/>
      <c r="B12" s="61">
        <v>5</v>
      </c>
      <c r="C12" s="28">
        <v>1</v>
      </c>
      <c r="D12" s="28">
        <v>25</v>
      </c>
      <c r="E12" s="10">
        <v>2.3300000000001546</v>
      </c>
      <c r="F12" s="11">
        <f t="shared" si="0"/>
        <v>4660.0000000003092</v>
      </c>
      <c r="G12" s="3">
        <f t="shared" si="1"/>
        <v>4825430.0000003204</v>
      </c>
      <c r="H12" s="10">
        <v>0.48000000000001819</v>
      </c>
      <c r="I12" s="11">
        <f t="shared" si="2"/>
        <v>960.00000000003638</v>
      </c>
      <c r="J12" s="3">
        <f t="shared" si="3"/>
        <v>1491120.0000000566</v>
      </c>
      <c r="K12" s="10">
        <f t="shared" si="4"/>
        <v>6316550.0000003772</v>
      </c>
      <c r="L12" s="12">
        <f t="shared" si="5"/>
        <v>6948205.0000004154</v>
      </c>
      <c r="M12" s="68">
        <f t="shared" si="6"/>
        <v>485.17596536557608</v>
      </c>
      <c r="N12" s="35"/>
    </row>
    <row r="13" spans="1:14" ht="17.100000000000001" customHeight="1">
      <c r="A13" s="64"/>
      <c r="B13" s="61">
        <v>6</v>
      </c>
      <c r="C13" s="28">
        <v>0</v>
      </c>
      <c r="D13" s="28">
        <v>4</v>
      </c>
      <c r="E13" s="10">
        <v>2.4099999999998545</v>
      </c>
      <c r="F13" s="11">
        <f t="shared" si="0"/>
        <v>4819.999999999709</v>
      </c>
      <c r="G13" s="3">
        <f t="shared" si="1"/>
        <v>4991109.9999996983</v>
      </c>
      <c r="H13" s="10">
        <v>0.46999999999999886</v>
      </c>
      <c r="I13" s="11">
        <f t="shared" si="2"/>
        <v>939.99999999999773</v>
      </c>
      <c r="J13" s="3">
        <f t="shared" si="3"/>
        <v>1460054.9999999965</v>
      </c>
      <c r="K13" s="10">
        <f t="shared" si="4"/>
        <v>6451164.9999996945</v>
      </c>
      <c r="L13" s="12">
        <f t="shared" si="5"/>
        <v>7096281.4999996647</v>
      </c>
      <c r="M13" s="68">
        <f t="shared" si="6"/>
        <v>495.515781020855</v>
      </c>
      <c r="N13" s="35"/>
    </row>
    <row r="14" spans="1:14" ht="17.100000000000001" customHeight="1">
      <c r="A14" s="64"/>
      <c r="B14" s="61">
        <v>7</v>
      </c>
      <c r="C14" s="28">
        <v>3</v>
      </c>
      <c r="D14" s="28">
        <v>7</v>
      </c>
      <c r="E14" s="10">
        <v>2.3800000000001091</v>
      </c>
      <c r="F14" s="11">
        <f t="shared" si="0"/>
        <v>4760.0000000002183</v>
      </c>
      <c r="G14" s="3">
        <f t="shared" si="1"/>
        <v>4928980.0000002263</v>
      </c>
      <c r="H14" s="10">
        <v>0.50999999999999091</v>
      </c>
      <c r="I14" s="11">
        <f t="shared" si="2"/>
        <v>1019.9999999999818</v>
      </c>
      <c r="J14" s="3">
        <f t="shared" si="3"/>
        <v>1584314.9999999718</v>
      </c>
      <c r="K14" s="10">
        <f t="shared" si="4"/>
        <v>6513295.0000001984</v>
      </c>
      <c r="L14" s="12">
        <f t="shared" si="5"/>
        <v>7164624.5000002189</v>
      </c>
      <c r="M14" s="68">
        <f t="shared" si="6"/>
        <v>500.28800363104665</v>
      </c>
      <c r="N14" s="35"/>
    </row>
    <row r="15" spans="1:14" ht="17.100000000000001" customHeight="1">
      <c r="A15" s="64"/>
      <c r="B15" s="61">
        <v>8</v>
      </c>
      <c r="C15" s="28">
        <v>4</v>
      </c>
      <c r="D15" s="28">
        <v>18</v>
      </c>
      <c r="E15" s="10">
        <v>2.5099999999999909</v>
      </c>
      <c r="F15" s="11">
        <f t="shared" si="0"/>
        <v>5019.9999999999818</v>
      </c>
      <c r="G15" s="3">
        <f t="shared" si="1"/>
        <v>5198209.9999999814</v>
      </c>
      <c r="H15" s="10">
        <v>0.53000000000000114</v>
      </c>
      <c r="I15" s="11">
        <f t="shared" si="2"/>
        <v>1060.0000000000023</v>
      </c>
      <c r="J15" s="3">
        <f t="shared" si="3"/>
        <v>1646445.0000000035</v>
      </c>
      <c r="K15" s="10">
        <f t="shared" si="4"/>
        <v>6844654.9999999851</v>
      </c>
      <c r="L15" s="12">
        <f t="shared" si="5"/>
        <v>7529120.4999999842</v>
      </c>
      <c r="M15" s="68">
        <f t="shared" si="6"/>
        <v>525.73985755184583</v>
      </c>
      <c r="N15" s="35"/>
    </row>
    <row r="16" spans="1:14" ht="17.100000000000001" customHeight="1">
      <c r="A16" s="64"/>
      <c r="B16" s="61">
        <v>9</v>
      </c>
      <c r="C16" s="28">
        <v>0</v>
      </c>
      <c r="D16" s="28">
        <v>24</v>
      </c>
      <c r="E16" s="10">
        <v>2.5399999999999636</v>
      </c>
      <c r="F16" s="11">
        <f t="shared" si="0"/>
        <v>5079.9999999999272</v>
      </c>
      <c r="G16" s="3">
        <f t="shared" si="1"/>
        <v>5260339.9999999246</v>
      </c>
      <c r="H16" s="10">
        <v>0.46000000000000796</v>
      </c>
      <c r="I16" s="11">
        <f t="shared" ref="I16:I37" si="7">H16*2000</f>
        <v>920.00000000001592</v>
      </c>
      <c r="J16" s="3">
        <f t="shared" ref="J16:J37" si="8">I16*1553.25</f>
        <v>1428990.0000000247</v>
      </c>
      <c r="K16" s="10">
        <f t="shared" ref="K16:K37" si="9">G16+J16</f>
        <v>6689329.9999999497</v>
      </c>
      <c r="L16" s="12">
        <f t="shared" ref="L16:L37" si="10">K16*1.1</f>
        <v>7358262.9999999451</v>
      </c>
      <c r="M16" s="68">
        <f t="shared" si="6"/>
        <v>513.80930102646084</v>
      </c>
      <c r="N16" s="35"/>
    </row>
    <row r="17" spans="1:14" ht="17.100000000000001" customHeight="1">
      <c r="A17" s="64"/>
      <c r="B17" s="61">
        <v>10</v>
      </c>
      <c r="C17" s="28">
        <v>1</v>
      </c>
      <c r="D17" s="28">
        <v>3</v>
      </c>
      <c r="E17" s="10">
        <v>2.3399999999999181</v>
      </c>
      <c r="F17" s="11">
        <f t="shared" si="0"/>
        <v>4679.9999999998363</v>
      </c>
      <c r="G17" s="3">
        <f t="shared" si="1"/>
        <v>4846139.9999998305</v>
      </c>
      <c r="H17" s="10">
        <v>0.44999999999998863</v>
      </c>
      <c r="I17" s="11">
        <f t="shared" si="7"/>
        <v>899.99999999997726</v>
      </c>
      <c r="J17" s="3">
        <f t="shared" si="8"/>
        <v>1397924.9999999646</v>
      </c>
      <c r="K17" s="10">
        <f t="shared" si="9"/>
        <v>6244064.9999997951</v>
      </c>
      <c r="L17" s="12">
        <f t="shared" si="10"/>
        <v>6868471.4999997756</v>
      </c>
      <c r="M17" s="68">
        <f t="shared" si="6"/>
        <v>479.608372320353</v>
      </c>
      <c r="N17" s="35"/>
    </row>
    <row r="18" spans="1:14" ht="17.100000000000001" customHeight="1">
      <c r="A18" s="64"/>
      <c r="B18" s="61">
        <v>11</v>
      </c>
      <c r="C18" s="28">
        <v>3</v>
      </c>
      <c r="D18" s="28">
        <v>10</v>
      </c>
      <c r="E18" s="10">
        <v>2.3200000000001637</v>
      </c>
      <c r="F18" s="11">
        <f t="shared" si="0"/>
        <v>4640.0000000003274</v>
      </c>
      <c r="G18" s="3">
        <f t="shared" si="1"/>
        <v>4804720.000000339</v>
      </c>
      <c r="H18" s="10">
        <v>0.45000000000001705</v>
      </c>
      <c r="I18" s="11">
        <f t="shared" si="7"/>
        <v>900.00000000003411</v>
      </c>
      <c r="J18" s="3">
        <f t="shared" si="8"/>
        <v>1397925.0000000531</v>
      </c>
      <c r="K18" s="10">
        <f t="shared" si="9"/>
        <v>6202645.0000003921</v>
      </c>
      <c r="L18" s="12">
        <f t="shared" si="10"/>
        <v>6822909.5000004321</v>
      </c>
      <c r="M18" s="68">
        <f t="shared" si="6"/>
        <v>476.42689058029691</v>
      </c>
      <c r="N18" s="35"/>
    </row>
    <row r="19" spans="1:14" ht="17.100000000000001" customHeight="1">
      <c r="A19" s="64"/>
      <c r="B19" s="61">
        <v>12</v>
      </c>
      <c r="C19" s="28">
        <v>2</v>
      </c>
      <c r="D19" s="28">
        <v>26</v>
      </c>
      <c r="E19" s="10">
        <v>2.3699999999998909</v>
      </c>
      <c r="F19" s="11">
        <f t="shared" si="0"/>
        <v>4739.9999999997817</v>
      </c>
      <c r="G19" s="3">
        <f t="shared" si="1"/>
        <v>4908269.9999997737</v>
      </c>
      <c r="H19" s="10">
        <v>0.46999999999999886</v>
      </c>
      <c r="I19" s="11">
        <f t="shared" si="7"/>
        <v>939.99999999999773</v>
      </c>
      <c r="J19" s="3">
        <f t="shared" si="8"/>
        <v>1460054.9999999965</v>
      </c>
      <c r="K19" s="10">
        <f t="shared" si="9"/>
        <v>6368324.99999977</v>
      </c>
      <c r="L19" s="12">
        <f t="shared" si="10"/>
        <v>7005157.4999997476</v>
      </c>
      <c r="M19" s="68">
        <f t="shared" si="6"/>
        <v>489.15281754065688</v>
      </c>
      <c r="N19" s="35"/>
    </row>
    <row r="20" spans="1:14" ht="17.100000000000001" customHeight="1">
      <c r="A20" s="64"/>
      <c r="B20" s="61">
        <v>13</v>
      </c>
      <c r="C20" s="28">
        <v>0</v>
      </c>
      <c r="D20" s="28">
        <v>5</v>
      </c>
      <c r="E20" s="10">
        <v>2.2999999999999545</v>
      </c>
      <c r="F20" s="11">
        <f t="shared" si="0"/>
        <v>4599.9999999999091</v>
      </c>
      <c r="G20" s="3">
        <f t="shared" si="1"/>
        <v>4763299.9999999059</v>
      </c>
      <c r="H20" s="10">
        <v>0.41999999999998749</v>
      </c>
      <c r="I20" s="11">
        <f t="shared" si="7"/>
        <v>839.99999999997499</v>
      </c>
      <c r="J20" s="3">
        <f t="shared" si="8"/>
        <v>1304729.9999999611</v>
      </c>
      <c r="K20" s="10">
        <f t="shared" si="9"/>
        <v>6068029.9999998668</v>
      </c>
      <c r="L20" s="12">
        <f t="shared" si="10"/>
        <v>6674832.9999998538</v>
      </c>
      <c r="M20" s="68">
        <f t="shared" si="6"/>
        <v>466.08707492492522</v>
      </c>
      <c r="N20" s="35"/>
    </row>
    <row r="21" spans="1:14" ht="17.100000000000001" customHeight="1">
      <c r="A21" s="64"/>
      <c r="B21" s="61">
        <v>14</v>
      </c>
      <c r="C21" s="28">
        <v>2</v>
      </c>
      <c r="D21" s="28">
        <v>12</v>
      </c>
      <c r="E21" s="10">
        <v>2.3400000000001455</v>
      </c>
      <c r="F21" s="11">
        <f t="shared" si="0"/>
        <v>4680.000000000291</v>
      </c>
      <c r="G21" s="3">
        <f t="shared" si="1"/>
        <v>4846140.0000003017</v>
      </c>
      <c r="H21" s="10">
        <v>0.49000000000000909</v>
      </c>
      <c r="I21" s="11">
        <f t="shared" si="7"/>
        <v>980.00000000001819</v>
      </c>
      <c r="J21" s="3">
        <f t="shared" si="8"/>
        <v>1522185.0000000282</v>
      </c>
      <c r="K21" s="10">
        <f t="shared" si="9"/>
        <v>6368325.0000003297</v>
      </c>
      <c r="L21" s="12">
        <f t="shared" si="10"/>
        <v>7005157.5000003632</v>
      </c>
      <c r="M21" s="68">
        <f t="shared" si="6"/>
        <v>489.15281754069991</v>
      </c>
      <c r="N21" s="35"/>
    </row>
    <row r="22" spans="1:14" ht="17.100000000000001" customHeight="1">
      <c r="A22" s="64"/>
      <c r="B22" s="61">
        <v>15</v>
      </c>
      <c r="C22" s="28">
        <v>2</v>
      </c>
      <c r="D22" s="28">
        <v>23</v>
      </c>
      <c r="E22" s="10">
        <v>2.4800000000000182</v>
      </c>
      <c r="F22" s="11">
        <f t="shared" si="0"/>
        <v>4960.0000000000364</v>
      </c>
      <c r="G22" s="3">
        <f t="shared" si="1"/>
        <v>5136080.0000000373</v>
      </c>
      <c r="H22" s="10">
        <v>0.53000000000000114</v>
      </c>
      <c r="I22" s="11">
        <f t="shared" si="7"/>
        <v>1060.0000000000023</v>
      </c>
      <c r="J22" s="3">
        <f t="shared" si="8"/>
        <v>1646445.0000000035</v>
      </c>
      <c r="K22" s="10">
        <f t="shared" si="9"/>
        <v>6782525.000000041</v>
      </c>
      <c r="L22" s="12">
        <f t="shared" si="10"/>
        <v>7460777.5000000456</v>
      </c>
      <c r="M22" s="68">
        <f t="shared" si="6"/>
        <v>520.96763494169716</v>
      </c>
      <c r="N22" s="35"/>
    </row>
    <row r="23" spans="1:14" ht="17.100000000000001" customHeight="1">
      <c r="A23" s="64"/>
      <c r="B23" s="61">
        <v>16</v>
      </c>
      <c r="C23" s="28">
        <v>1</v>
      </c>
      <c r="D23" s="28">
        <v>11</v>
      </c>
      <c r="E23" s="10">
        <v>2.6399999999998727</v>
      </c>
      <c r="F23" s="11">
        <f t="shared" si="0"/>
        <v>5279.9999999997453</v>
      </c>
      <c r="G23" s="3">
        <f t="shared" si="1"/>
        <v>5467439.9999997364</v>
      </c>
      <c r="H23" s="10">
        <v>0.5</v>
      </c>
      <c r="I23" s="11">
        <f t="shared" si="7"/>
        <v>1000</v>
      </c>
      <c r="J23" s="3">
        <f t="shared" si="8"/>
        <v>1553250</v>
      </c>
      <c r="K23" s="10">
        <f t="shared" si="9"/>
        <v>7020689.9999997364</v>
      </c>
      <c r="L23" s="12">
        <f t="shared" si="10"/>
        <v>7722758.9999997104</v>
      </c>
      <c r="M23" s="68">
        <f t="shared" si="6"/>
        <v>539.26115494726002</v>
      </c>
      <c r="N23" s="35"/>
    </row>
    <row r="24" spans="1:14" ht="17.100000000000001" customHeight="1">
      <c r="A24" s="64"/>
      <c r="B24" s="61">
        <v>17</v>
      </c>
      <c r="C24" s="28">
        <v>3</v>
      </c>
      <c r="D24" s="28">
        <v>13</v>
      </c>
      <c r="E24" s="10">
        <v>2.75</v>
      </c>
      <c r="F24" s="11">
        <f t="shared" si="0"/>
        <v>5500</v>
      </c>
      <c r="G24" s="3">
        <f t="shared" si="1"/>
        <v>5695250</v>
      </c>
      <c r="H24" s="10">
        <v>0.50999999999999091</v>
      </c>
      <c r="I24" s="11">
        <f t="shared" si="7"/>
        <v>1019.9999999999818</v>
      </c>
      <c r="J24" s="3">
        <f t="shared" si="8"/>
        <v>1584314.9999999718</v>
      </c>
      <c r="K24" s="10">
        <f t="shared" si="9"/>
        <v>7279564.9999999721</v>
      </c>
      <c r="L24" s="12">
        <f t="shared" si="10"/>
        <v>8007521.4999999702</v>
      </c>
      <c r="M24" s="68">
        <f t="shared" si="6"/>
        <v>559.14541582291531</v>
      </c>
      <c r="N24" s="35"/>
    </row>
    <row r="25" spans="1:14" ht="17.100000000000001" customHeight="1">
      <c r="A25" s="64"/>
      <c r="B25" s="61">
        <v>18</v>
      </c>
      <c r="C25" s="28">
        <v>4</v>
      </c>
      <c r="D25" s="28">
        <v>21</v>
      </c>
      <c r="E25" s="10">
        <v>2.7300000000000182</v>
      </c>
      <c r="F25" s="11">
        <f t="shared" si="0"/>
        <v>5460.0000000000364</v>
      </c>
      <c r="G25" s="3">
        <f t="shared" si="1"/>
        <v>5653830.0000000373</v>
      </c>
      <c r="H25" s="10">
        <v>0.52000000000001023</v>
      </c>
      <c r="I25" s="11">
        <f t="shared" si="7"/>
        <v>1040.0000000000205</v>
      </c>
      <c r="J25" s="3">
        <f t="shared" si="8"/>
        <v>1615380.0000000319</v>
      </c>
      <c r="K25" s="10">
        <f t="shared" si="9"/>
        <v>7269210.0000000689</v>
      </c>
      <c r="L25" s="12">
        <f t="shared" si="10"/>
        <v>7996131.0000000764</v>
      </c>
      <c r="M25" s="68">
        <f t="shared" si="6"/>
        <v>558.35004538789724</v>
      </c>
      <c r="N25" s="35"/>
    </row>
    <row r="26" spans="1:14" ht="17.100000000000001" customHeight="1">
      <c r="A26" s="64"/>
      <c r="B26" s="61">
        <v>19</v>
      </c>
      <c r="C26" s="28">
        <v>30</v>
      </c>
      <c r="D26" s="28">
        <v>30</v>
      </c>
      <c r="E26" s="10">
        <v>2.5899999999999181</v>
      </c>
      <c r="F26" s="11">
        <f t="shared" si="0"/>
        <v>5179.9999999998363</v>
      </c>
      <c r="G26" s="3">
        <f t="shared" si="1"/>
        <v>5363889.9999998305</v>
      </c>
      <c r="H26" s="10">
        <v>0.47999999999998977</v>
      </c>
      <c r="I26" s="11">
        <f t="shared" si="7"/>
        <v>959.99999999997954</v>
      </c>
      <c r="J26" s="3">
        <f t="shared" si="8"/>
        <v>1491119.9999999681</v>
      </c>
      <c r="K26" s="10">
        <f t="shared" si="9"/>
        <v>6855009.9999997988</v>
      </c>
      <c r="L26" s="12">
        <f t="shared" si="10"/>
        <v>7540510.9999997793</v>
      </c>
      <c r="M26" s="68">
        <f t="shared" si="6"/>
        <v>526.53522798685697</v>
      </c>
      <c r="N26" s="35"/>
    </row>
    <row r="27" spans="1:14" ht="17.100000000000001" customHeight="1">
      <c r="A27" s="64"/>
      <c r="B27" s="61">
        <v>20</v>
      </c>
      <c r="C27" s="28">
        <v>0</v>
      </c>
      <c r="D27" s="28">
        <v>0</v>
      </c>
      <c r="E27" s="10">
        <v>2.4600000000000364</v>
      </c>
      <c r="F27" s="11">
        <f t="shared" si="0"/>
        <v>4920.0000000000728</v>
      </c>
      <c r="G27" s="3">
        <f t="shared" si="1"/>
        <v>5094660.0000000754</v>
      </c>
      <c r="H27" s="10">
        <v>0.47999999999998977</v>
      </c>
      <c r="I27" s="11">
        <f t="shared" si="7"/>
        <v>959.99999999997954</v>
      </c>
      <c r="J27" s="3">
        <f t="shared" si="8"/>
        <v>1491119.9999999681</v>
      </c>
      <c r="K27" s="10">
        <f t="shared" si="9"/>
        <v>6585780.0000000438</v>
      </c>
      <c r="L27" s="12">
        <f t="shared" si="10"/>
        <v>7244358.0000000484</v>
      </c>
      <c r="M27" s="68">
        <f t="shared" si="6"/>
        <v>505.85559667621317</v>
      </c>
      <c r="N27" s="35"/>
    </row>
    <row r="28" spans="1:14" ht="17.100000000000001" customHeight="1">
      <c r="A28" s="64"/>
      <c r="B28" s="61">
        <v>21</v>
      </c>
      <c r="C28" s="28">
        <v>0</v>
      </c>
      <c r="D28" s="28">
        <v>0</v>
      </c>
      <c r="E28" s="10">
        <v>2.5299999999999727</v>
      </c>
      <c r="F28" s="11">
        <f t="shared" si="0"/>
        <v>5059.9999999999454</v>
      </c>
      <c r="G28" s="3">
        <f t="shared" si="1"/>
        <v>5239629.9999999432</v>
      </c>
      <c r="H28" s="10">
        <v>0.51000000000001933</v>
      </c>
      <c r="I28" s="11">
        <f t="shared" si="7"/>
        <v>1020.0000000000387</v>
      </c>
      <c r="J28" s="3">
        <f t="shared" si="8"/>
        <v>1584315.0000000601</v>
      </c>
      <c r="K28" s="10">
        <f t="shared" si="9"/>
        <v>6823945.0000000037</v>
      </c>
      <c r="L28" s="12">
        <f t="shared" si="10"/>
        <v>7506339.5000000047</v>
      </c>
      <c r="M28" s="68">
        <f t="shared" si="6"/>
        <v>524.14911668179627</v>
      </c>
      <c r="N28" s="35"/>
    </row>
    <row r="29" spans="1:14" ht="17.100000000000001" customHeight="1">
      <c r="A29" s="64"/>
      <c r="B29" s="61">
        <v>22</v>
      </c>
      <c r="C29" s="28">
        <v>0</v>
      </c>
      <c r="D29" s="28">
        <v>0</v>
      </c>
      <c r="E29" s="10">
        <v>2.75</v>
      </c>
      <c r="F29" s="11">
        <f t="shared" si="0"/>
        <v>5500</v>
      </c>
      <c r="G29" s="3">
        <f t="shared" si="1"/>
        <v>5695250</v>
      </c>
      <c r="H29" s="10">
        <v>0.57999999999998408</v>
      </c>
      <c r="I29" s="11">
        <f t="shared" si="7"/>
        <v>1159.9999999999682</v>
      </c>
      <c r="J29" s="3">
        <f t="shared" si="8"/>
        <v>1801769.9999999506</v>
      </c>
      <c r="K29" s="10">
        <f t="shared" si="9"/>
        <v>7497019.9999999506</v>
      </c>
      <c r="L29" s="12">
        <f t="shared" si="10"/>
        <v>8246721.999999946</v>
      </c>
      <c r="M29" s="68">
        <f t="shared" si="6"/>
        <v>575.84819495844886</v>
      </c>
      <c r="N29" s="35"/>
    </row>
    <row r="30" spans="1:14" ht="17.100000000000001" customHeight="1">
      <c r="A30" s="64"/>
      <c r="B30" s="61">
        <v>23</v>
      </c>
      <c r="C30" s="28">
        <v>1</v>
      </c>
      <c r="D30" s="28">
        <v>7</v>
      </c>
      <c r="E30" s="10">
        <v>2.8500000000001364</v>
      </c>
      <c r="F30" s="11">
        <f t="shared" si="0"/>
        <v>5700.0000000002728</v>
      </c>
      <c r="G30" s="3">
        <f t="shared" si="1"/>
        <v>5902350.0000002822</v>
      </c>
      <c r="H30" s="10">
        <v>0.55000000000001137</v>
      </c>
      <c r="I30" s="11">
        <f t="shared" si="7"/>
        <v>1100.0000000000227</v>
      </c>
      <c r="J30" s="3">
        <f t="shared" si="8"/>
        <v>1708575.0000000354</v>
      </c>
      <c r="K30" s="10">
        <f t="shared" si="9"/>
        <v>7610925.0000003176</v>
      </c>
      <c r="L30" s="12">
        <f t="shared" si="10"/>
        <v>8372017.5000003502</v>
      </c>
      <c r="M30" s="68">
        <f t="shared" si="6"/>
        <v>584.59726974375747</v>
      </c>
      <c r="N30" s="35"/>
    </row>
    <row r="31" spans="1:14" ht="17.100000000000001" customHeight="1">
      <c r="A31" s="64"/>
      <c r="B31" s="61">
        <v>24</v>
      </c>
      <c r="C31" s="28">
        <v>2</v>
      </c>
      <c r="D31" s="28">
        <v>36</v>
      </c>
      <c r="E31" s="10">
        <v>2.8599999999999</v>
      </c>
      <c r="F31" s="11">
        <f t="shared" si="0"/>
        <v>5719.9999999997999</v>
      </c>
      <c r="G31" s="3">
        <f t="shared" si="1"/>
        <v>5923059.9999997932</v>
      </c>
      <c r="H31" s="10">
        <v>0.55000000000001137</v>
      </c>
      <c r="I31" s="11">
        <f t="shared" si="7"/>
        <v>1100.0000000000227</v>
      </c>
      <c r="J31" s="3">
        <f t="shared" si="8"/>
        <v>1708575.0000000354</v>
      </c>
      <c r="K31" s="10">
        <f t="shared" si="9"/>
        <v>7631634.9999998286</v>
      </c>
      <c r="L31" s="12">
        <f t="shared" si="10"/>
        <v>8394798.4999998119</v>
      </c>
      <c r="M31" s="68">
        <f t="shared" si="6"/>
        <v>586.18801061377087</v>
      </c>
      <c r="N31" s="35"/>
    </row>
    <row r="32" spans="1:14" ht="17.100000000000001" customHeight="1">
      <c r="A32" s="64"/>
      <c r="B32" s="61">
        <v>25</v>
      </c>
      <c r="C32" s="28">
        <v>5</v>
      </c>
      <c r="D32" s="28">
        <v>22</v>
      </c>
      <c r="E32" s="10">
        <v>2.6600000000000819</v>
      </c>
      <c r="F32" s="11">
        <f t="shared" si="0"/>
        <v>5320.0000000001637</v>
      </c>
      <c r="G32" s="3">
        <f t="shared" si="1"/>
        <v>5508860.0000001695</v>
      </c>
      <c r="H32" s="10">
        <v>0.53000000000000114</v>
      </c>
      <c r="I32" s="11">
        <f t="shared" si="7"/>
        <v>1060.0000000000023</v>
      </c>
      <c r="J32" s="3">
        <f t="shared" si="8"/>
        <v>1646445.0000000035</v>
      </c>
      <c r="K32" s="10">
        <f t="shared" si="9"/>
        <v>7155305.0000001732</v>
      </c>
      <c r="L32" s="12">
        <f t="shared" si="10"/>
        <v>7870835.5000001909</v>
      </c>
      <c r="M32" s="68">
        <f t="shared" si="6"/>
        <v>549.6009706026249</v>
      </c>
      <c r="N32" s="35"/>
    </row>
    <row r="33" spans="1:16" ht="17.100000000000001" customHeight="1">
      <c r="A33" s="64"/>
      <c r="B33" s="61">
        <v>26</v>
      </c>
      <c r="C33" s="28">
        <v>5</v>
      </c>
      <c r="D33" s="28">
        <v>11</v>
      </c>
      <c r="E33" s="10">
        <v>2.7999999999999545</v>
      </c>
      <c r="F33" s="11">
        <f t="shared" si="0"/>
        <v>5599.9999999999091</v>
      </c>
      <c r="G33" s="3">
        <f t="shared" si="1"/>
        <v>5798799.9999999059</v>
      </c>
      <c r="H33" s="10">
        <v>0.56999999999999318</v>
      </c>
      <c r="I33" s="11">
        <f t="shared" si="7"/>
        <v>1139.9999999999864</v>
      </c>
      <c r="J33" s="3">
        <f t="shared" si="8"/>
        <v>1770704.9999999788</v>
      </c>
      <c r="K33" s="10">
        <f t="shared" si="9"/>
        <v>7569504.9999998845</v>
      </c>
      <c r="L33" s="12">
        <f t="shared" si="10"/>
        <v>8326455.4999998733</v>
      </c>
      <c r="M33" s="68">
        <f t="shared" si="6"/>
        <v>581.4157880036222</v>
      </c>
      <c r="N33" s="35"/>
    </row>
    <row r="34" spans="1:16" ht="17.100000000000001" customHeight="1">
      <c r="A34" s="64"/>
      <c r="B34" s="61">
        <v>27</v>
      </c>
      <c r="C34" s="28">
        <v>6</v>
      </c>
      <c r="D34" s="28">
        <v>18</v>
      </c>
      <c r="E34" s="10">
        <v>2.8099999999999454</v>
      </c>
      <c r="F34" s="11">
        <f t="shared" si="0"/>
        <v>5619.9999999998909</v>
      </c>
      <c r="G34" s="3">
        <f t="shared" si="1"/>
        <v>5819509.9999998873</v>
      </c>
      <c r="H34" s="10">
        <v>0.56999999999999318</v>
      </c>
      <c r="I34" s="11">
        <f t="shared" si="7"/>
        <v>1139.9999999999864</v>
      </c>
      <c r="J34" s="3">
        <f t="shared" si="8"/>
        <v>1770704.9999999788</v>
      </c>
      <c r="K34" s="10">
        <f t="shared" si="9"/>
        <v>7590214.9999998659</v>
      </c>
      <c r="L34" s="12">
        <f t="shared" si="10"/>
        <v>8349236.4999998529</v>
      </c>
      <c r="M34" s="68">
        <f t="shared" si="6"/>
        <v>583.00652887367175</v>
      </c>
      <c r="N34" s="35"/>
    </row>
    <row r="35" spans="1:16" ht="17.100000000000001" customHeight="1">
      <c r="A35" s="64"/>
      <c r="B35" s="61">
        <v>28</v>
      </c>
      <c r="C35" s="28">
        <v>8</v>
      </c>
      <c r="D35" s="28">
        <v>31</v>
      </c>
      <c r="E35" s="10">
        <v>2.9300000000000637</v>
      </c>
      <c r="F35" s="11">
        <f t="shared" si="0"/>
        <v>5860.0000000001273</v>
      </c>
      <c r="G35" s="3">
        <f t="shared" si="1"/>
        <v>6068030.0000001322</v>
      </c>
      <c r="H35" s="10">
        <v>0.56000000000000227</v>
      </c>
      <c r="I35" s="11">
        <f t="shared" si="7"/>
        <v>1120.0000000000045</v>
      </c>
      <c r="J35" s="3">
        <f t="shared" si="8"/>
        <v>1739640.000000007</v>
      </c>
      <c r="K35" s="10">
        <f t="shared" si="9"/>
        <v>7807670.0000001397</v>
      </c>
      <c r="L35" s="12">
        <f t="shared" si="10"/>
        <v>8588437.0000001546</v>
      </c>
      <c r="M35" s="68">
        <f t="shared" si="6"/>
        <v>599.70930800922804</v>
      </c>
      <c r="N35" s="35"/>
    </row>
    <row r="36" spans="1:16" ht="17.100000000000001" customHeight="1">
      <c r="A36" s="64"/>
      <c r="B36" s="61">
        <v>29</v>
      </c>
      <c r="C36" s="28">
        <v>13</v>
      </c>
      <c r="D36" s="28">
        <v>40</v>
      </c>
      <c r="E36" s="10">
        <v>2.8499999999999091</v>
      </c>
      <c r="F36" s="11">
        <f t="shared" si="0"/>
        <v>5699.9999999998181</v>
      </c>
      <c r="G36" s="3">
        <f t="shared" si="1"/>
        <v>5902349.9999998119</v>
      </c>
      <c r="H36" s="10">
        <v>0.59999999999999432</v>
      </c>
      <c r="I36" s="11">
        <f t="shared" si="7"/>
        <v>1199.9999999999886</v>
      </c>
      <c r="J36" s="3">
        <f t="shared" si="8"/>
        <v>1863899.9999999823</v>
      </c>
      <c r="K36" s="10">
        <f t="shared" si="9"/>
        <v>7766249.9999997942</v>
      </c>
      <c r="L36" s="12">
        <f t="shared" si="10"/>
        <v>8542874.9999997746</v>
      </c>
      <c r="M36" s="68">
        <f t="shared" si="6"/>
        <v>596.52782626909959</v>
      </c>
      <c r="N36" s="35"/>
    </row>
    <row r="37" spans="1:16" ht="17.100000000000001" customHeight="1">
      <c r="A37" s="64"/>
      <c r="B37" s="61">
        <v>30</v>
      </c>
      <c r="C37" s="28">
        <v>10</v>
      </c>
      <c r="D37" s="28">
        <v>50</v>
      </c>
      <c r="E37" s="10">
        <v>3.0800000000001546</v>
      </c>
      <c r="F37" s="11">
        <f t="shared" si="0"/>
        <v>6160.0000000003092</v>
      </c>
      <c r="G37" s="3">
        <f t="shared" si="1"/>
        <v>6378680.0000003204</v>
      </c>
      <c r="H37" s="10">
        <v>0.62999999999999545</v>
      </c>
      <c r="I37" s="11">
        <f t="shared" si="7"/>
        <v>1259.9999999999909</v>
      </c>
      <c r="J37" s="3">
        <f t="shared" si="8"/>
        <v>1957094.9999999858</v>
      </c>
      <c r="K37" s="10">
        <f t="shared" si="9"/>
        <v>8335775.0000003064</v>
      </c>
      <c r="L37" s="12">
        <f t="shared" si="10"/>
        <v>9169352.5000003371</v>
      </c>
      <c r="M37" s="68">
        <f t="shared" si="6"/>
        <v>640.27320019554065</v>
      </c>
      <c r="N37" s="35"/>
    </row>
    <row r="38" spans="1:16" ht="15">
      <c r="C38" s="18">
        <f>SUM(C8:C37)</f>
        <v>115</v>
      </c>
      <c r="D38" s="18">
        <f>SUM(D8:D37)</f>
        <v>500</v>
      </c>
      <c r="F38" s="18">
        <f>SUM(F8:F37)</f>
        <v>153579.99999999991</v>
      </c>
      <c r="I38" s="18">
        <f>SUM(I8:I37)</f>
        <v>30399.999999999971</v>
      </c>
      <c r="L38" s="75">
        <f>SUM(L8:L37)</f>
        <v>226875978.99999988</v>
      </c>
      <c r="M38" s="40">
        <f>SUM(M8:M37)</f>
        <v>15842.18832483764</v>
      </c>
      <c r="N38" s="35"/>
      <c r="P38" s="30"/>
    </row>
    <row r="40" spans="1:16" ht="15">
      <c r="G40" s="88" t="s">
        <v>28</v>
      </c>
      <c r="H40" s="88"/>
      <c r="I40" s="77">
        <f>F38+I38</f>
        <v>183979.99999999988</v>
      </c>
      <c r="M40" s="31"/>
      <c r="P40" s="29"/>
    </row>
    <row r="41" spans="1:16">
      <c r="M41" s="34"/>
    </row>
    <row r="42" spans="1:16">
      <c r="A42" t="s">
        <v>29</v>
      </c>
    </row>
  </sheetData>
  <mergeCells count="18">
    <mergeCell ref="G40:H40"/>
    <mergeCell ref="E5:G5"/>
    <mergeCell ref="G6:G7"/>
    <mergeCell ref="H6:H7"/>
    <mergeCell ref="I6:I7"/>
    <mergeCell ref="B1:L1"/>
    <mergeCell ref="B2:L2"/>
    <mergeCell ref="H5:J5"/>
    <mergeCell ref="K5:K7"/>
    <mergeCell ref="L5:L7"/>
    <mergeCell ref="B5:B7"/>
    <mergeCell ref="C5:C7"/>
    <mergeCell ref="B4:M4"/>
    <mergeCell ref="D5:D7"/>
    <mergeCell ref="M5:M7"/>
    <mergeCell ref="E6:E7"/>
    <mergeCell ref="F6:F7"/>
    <mergeCell ref="J6:J7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3"/>
  <sheetViews>
    <sheetView topLeftCell="A3" workbookViewId="0">
      <pane xSplit="2" ySplit="6" topLeftCell="C24" activePane="bottomRight" state="frozen"/>
      <selection pane="bottomRight" activeCell="O41" sqref="O41"/>
      <selection pane="bottomLeft" activeCell="A9" sqref="A9"/>
      <selection pane="topRight" activeCell="C3" sqref="C3"/>
    </sheetView>
  </sheetViews>
  <sheetFormatPr defaultRowHeight="12.75"/>
  <cols>
    <col min="1" max="1" width="2.5703125" customWidth="1"/>
    <col min="2" max="2" width="5.42578125" customWidth="1"/>
    <col min="3" max="3" width="6.42578125" style="1" customWidth="1"/>
    <col min="4" max="4" width="8.42578125" style="6" customWidth="1"/>
    <col min="5" max="5" width="11" style="1" customWidth="1"/>
    <col min="6" max="6" width="9.5703125" style="1" customWidth="1"/>
    <col min="7" max="7" width="11.140625" style="1" customWidth="1"/>
    <col min="8" max="8" width="9.42578125" style="1" customWidth="1"/>
    <col min="9" max="9" width="7.140625" style="1" customWidth="1"/>
    <col min="10" max="10" width="13.7109375" style="1" customWidth="1"/>
    <col min="11" max="11" width="11.140625" style="1" customWidth="1"/>
    <col min="12" max="12" width="6.7109375" style="1" customWidth="1"/>
    <col min="13" max="13" width="13.7109375" style="27" customWidth="1"/>
    <col min="14" max="14" width="8.7109375" style="1" customWidth="1"/>
    <col min="15" max="15" width="6.42578125" style="1" customWidth="1"/>
    <col min="16" max="16" width="11.140625" style="1" customWidth="1"/>
    <col min="17" max="17" width="15" style="6" customWidth="1"/>
    <col min="18" max="18" width="16.28515625" style="1" customWidth="1"/>
    <col min="19" max="19" width="2.5703125" customWidth="1"/>
    <col min="21" max="21" width="21.5703125" customWidth="1"/>
  </cols>
  <sheetData>
    <row r="1" spans="1:19" ht="15.75">
      <c r="B1" s="84" t="s">
        <v>30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</row>
    <row r="2" spans="1:19" ht="15.75">
      <c r="B2" s="84" t="s">
        <v>16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</row>
    <row r="3" spans="1:19">
      <c r="E3" s="8"/>
      <c r="F3" s="9"/>
      <c r="G3" s="9"/>
      <c r="H3" s="9"/>
      <c r="I3" s="9"/>
      <c r="J3" s="9"/>
      <c r="K3" s="9"/>
      <c r="L3" s="9"/>
      <c r="M3" s="21"/>
      <c r="N3" s="8"/>
      <c r="O3" s="9"/>
      <c r="P3" s="9"/>
      <c r="Q3" s="17"/>
    </row>
    <row r="4" spans="1:19">
      <c r="A4" s="7"/>
      <c r="B4" s="91">
        <v>44440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7"/>
    </row>
    <row r="5" spans="1:19" ht="23.25" customHeight="1">
      <c r="A5" s="63"/>
      <c r="B5" s="86" t="s">
        <v>17</v>
      </c>
      <c r="C5" s="86" t="s">
        <v>18</v>
      </c>
      <c r="D5" s="86" t="s">
        <v>13</v>
      </c>
      <c r="E5" s="93" t="s">
        <v>31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2" t="s">
        <v>32</v>
      </c>
      <c r="R5" s="92"/>
      <c r="S5" s="53"/>
    </row>
    <row r="6" spans="1:19" s="6" customFormat="1" ht="48" customHeight="1">
      <c r="A6" s="63"/>
      <c r="B6" s="86"/>
      <c r="C6" s="86"/>
      <c r="D6" s="86"/>
      <c r="E6" s="93" t="s">
        <v>33</v>
      </c>
      <c r="F6" s="93"/>
      <c r="G6" s="93"/>
      <c r="H6" s="93" t="s">
        <v>34</v>
      </c>
      <c r="I6" s="93"/>
      <c r="J6" s="93"/>
      <c r="K6" s="93" t="s">
        <v>35</v>
      </c>
      <c r="L6" s="93"/>
      <c r="M6" s="93"/>
      <c r="N6" s="94" t="s">
        <v>36</v>
      </c>
      <c r="O6" s="94"/>
      <c r="P6" s="94"/>
      <c r="Q6" s="92"/>
      <c r="R6" s="92"/>
      <c r="S6" s="53"/>
    </row>
    <row r="7" spans="1:19" ht="36" customHeight="1">
      <c r="A7" s="64"/>
      <c r="B7" s="86"/>
      <c r="C7" s="86"/>
      <c r="D7" s="86"/>
      <c r="E7" s="86" t="s">
        <v>37</v>
      </c>
      <c r="F7" s="95" t="s">
        <v>38</v>
      </c>
      <c r="G7" s="57" t="s">
        <v>39</v>
      </c>
      <c r="H7" s="86" t="s">
        <v>40</v>
      </c>
      <c r="I7" s="86" t="s">
        <v>38</v>
      </c>
      <c r="J7" s="57" t="s">
        <v>39</v>
      </c>
      <c r="K7" s="86" t="s">
        <v>37</v>
      </c>
      <c r="L7" s="86" t="s">
        <v>38</v>
      </c>
      <c r="M7" s="57" t="s">
        <v>41</v>
      </c>
      <c r="N7" s="86" t="s">
        <v>42</v>
      </c>
      <c r="O7" s="86" t="s">
        <v>38</v>
      </c>
      <c r="P7" s="57" t="s">
        <v>41</v>
      </c>
      <c r="Q7" s="92"/>
      <c r="R7" s="92"/>
      <c r="S7" s="54"/>
    </row>
    <row r="8" spans="1:19" ht="15.75" customHeight="1">
      <c r="A8" s="64"/>
      <c r="B8" s="86"/>
      <c r="C8" s="86"/>
      <c r="D8" s="86"/>
      <c r="E8" s="86"/>
      <c r="F8" s="96"/>
      <c r="G8" s="66">
        <v>14180</v>
      </c>
      <c r="H8" s="86"/>
      <c r="I8" s="86"/>
      <c r="J8" s="66">
        <f>G8</f>
        <v>14180</v>
      </c>
      <c r="K8" s="86"/>
      <c r="L8" s="86"/>
      <c r="M8" s="66">
        <f>J8</f>
        <v>14180</v>
      </c>
      <c r="N8" s="86"/>
      <c r="O8" s="86"/>
      <c r="P8" s="66">
        <f>J8</f>
        <v>14180</v>
      </c>
      <c r="Q8" s="67" t="s">
        <v>43</v>
      </c>
      <c r="R8" s="57" t="s">
        <v>23</v>
      </c>
      <c r="S8" s="54"/>
    </row>
    <row r="9" spans="1:19" ht="17.100000000000001" customHeight="1">
      <c r="A9" s="64"/>
      <c r="B9" s="61">
        <v>1</v>
      </c>
      <c r="C9" s="15">
        <f>Electricity!C8</f>
        <v>0</v>
      </c>
      <c r="D9" s="15">
        <f>Electricity!D8</f>
        <v>6</v>
      </c>
      <c r="E9" s="2">
        <v>8</v>
      </c>
      <c r="F9" s="10">
        <v>38.54796000000249</v>
      </c>
      <c r="G9" s="19">
        <f>F9*$G$8</f>
        <v>546610.07280003536</v>
      </c>
      <c r="H9" s="2"/>
      <c r="I9" s="19"/>
      <c r="J9" s="19">
        <f>I9*$J$8</f>
        <v>0</v>
      </c>
      <c r="K9" s="2"/>
      <c r="L9" s="10">
        <v>0</v>
      </c>
      <c r="M9" s="11">
        <f>L9*$M$8</f>
        <v>0</v>
      </c>
      <c r="N9" s="2"/>
      <c r="O9" s="10">
        <v>7.14</v>
      </c>
      <c r="P9" s="10">
        <f>O9*$P$8</f>
        <v>101245.2</v>
      </c>
      <c r="Q9" s="16">
        <f>P9+G9+J9+M9</f>
        <v>647855.27280003531</v>
      </c>
      <c r="R9" s="62">
        <f>Q9/14321</f>
        <v>45.238130912648231</v>
      </c>
      <c r="S9" s="54"/>
    </row>
    <row r="10" spans="1:19" ht="17.100000000000001" customHeight="1">
      <c r="A10" s="64"/>
      <c r="B10" s="61">
        <v>2</v>
      </c>
      <c r="C10" s="15">
        <f>Electricity!C9</f>
        <v>1</v>
      </c>
      <c r="D10" s="15">
        <f>Electricity!D9</f>
        <v>3</v>
      </c>
      <c r="E10" s="2">
        <v>8</v>
      </c>
      <c r="F10" s="10">
        <v>19.576079999998679</v>
      </c>
      <c r="G10" s="19">
        <f>F10*$G$8</f>
        <v>277588.81439998129</v>
      </c>
      <c r="H10" s="2"/>
      <c r="I10" s="19"/>
      <c r="J10" s="19">
        <f>I10*$J$8</f>
        <v>0</v>
      </c>
      <c r="K10" s="2"/>
      <c r="L10" s="10">
        <v>0</v>
      </c>
      <c r="M10" s="11">
        <f t="shared" ref="M10:M38" si="0">L10*$M$8</f>
        <v>0</v>
      </c>
      <c r="N10" s="2"/>
      <c r="O10" s="10">
        <v>7.14</v>
      </c>
      <c r="P10" s="10">
        <f>O10*$P$8</f>
        <v>101245.2</v>
      </c>
      <c r="Q10" s="16">
        <f>J10+M10+G10+P10</f>
        <v>378834.0143999813</v>
      </c>
      <c r="R10" s="62">
        <f t="shared" ref="R10:R38" si="1">Q10/14321</f>
        <v>26.453041994272837</v>
      </c>
      <c r="S10" s="54"/>
    </row>
    <row r="11" spans="1:19" ht="17.100000000000001" customHeight="1">
      <c r="A11" s="64"/>
      <c r="B11" s="61">
        <v>3</v>
      </c>
      <c r="C11" s="15">
        <f>Electricity!C10</f>
        <v>4</v>
      </c>
      <c r="D11" s="15">
        <f>Electricity!D10</f>
        <v>21</v>
      </c>
      <c r="E11" s="2">
        <v>8</v>
      </c>
      <c r="F11" s="10">
        <v>36.050599999999264</v>
      </c>
      <c r="G11" s="19">
        <f t="shared" ref="G11:G38" si="2">F11*$G$8</f>
        <v>511197.50799998955</v>
      </c>
      <c r="H11" s="2"/>
      <c r="I11" s="19"/>
      <c r="J11" s="19">
        <f t="shared" ref="J11:J38" si="3">I11*$J$8</f>
        <v>0</v>
      </c>
      <c r="K11" s="2"/>
      <c r="L11" s="10">
        <v>0</v>
      </c>
      <c r="M11" s="11">
        <f t="shared" si="0"/>
        <v>0</v>
      </c>
      <c r="N11" s="2"/>
      <c r="O11" s="10">
        <v>7.14</v>
      </c>
      <c r="P11" s="10">
        <f t="shared" ref="P11:P38" si="4">O11*$P$8</f>
        <v>101245.2</v>
      </c>
      <c r="Q11" s="16">
        <f t="shared" ref="Q11:Q38" si="5">J11+M11+G11+P11</f>
        <v>612442.70799998951</v>
      </c>
      <c r="R11" s="62">
        <f t="shared" si="1"/>
        <v>42.765359122965542</v>
      </c>
      <c r="S11" s="54"/>
    </row>
    <row r="12" spans="1:19" ht="17.100000000000001" customHeight="1">
      <c r="A12" s="64"/>
      <c r="B12" s="61">
        <v>4</v>
      </c>
      <c r="C12" s="15">
        <f>Electricity!C11</f>
        <v>4</v>
      </c>
      <c r="D12" s="15">
        <f>Electricity!D11</f>
        <v>23</v>
      </c>
      <c r="E12" s="2">
        <v>8</v>
      </c>
      <c r="F12" s="10">
        <v>41.48840000000073</v>
      </c>
      <c r="G12" s="19">
        <f t="shared" si="2"/>
        <v>588305.51200001035</v>
      </c>
      <c r="H12" s="2"/>
      <c r="I12" s="19"/>
      <c r="J12" s="19">
        <f t="shared" si="3"/>
        <v>0</v>
      </c>
      <c r="K12" s="2"/>
      <c r="L12" s="10">
        <v>0</v>
      </c>
      <c r="M12" s="11">
        <f t="shared" si="0"/>
        <v>0</v>
      </c>
      <c r="N12" s="2"/>
      <c r="O12" s="10">
        <v>7.14</v>
      </c>
      <c r="P12" s="10">
        <f t="shared" si="4"/>
        <v>101245.2</v>
      </c>
      <c r="Q12" s="16">
        <f t="shared" si="5"/>
        <v>689550.7120000103</v>
      </c>
      <c r="R12" s="62">
        <f t="shared" si="1"/>
        <v>48.149620277914273</v>
      </c>
      <c r="S12" s="54"/>
    </row>
    <row r="13" spans="1:19" ht="17.100000000000001" customHeight="1">
      <c r="A13" s="64"/>
      <c r="B13" s="61">
        <v>5</v>
      </c>
      <c r="C13" s="15">
        <f>Electricity!C12</f>
        <v>1</v>
      </c>
      <c r="D13" s="15">
        <f>Electricity!D12</f>
        <v>25</v>
      </c>
      <c r="E13" s="2">
        <v>8</v>
      </c>
      <c r="F13" s="10">
        <v>40.159160000001023</v>
      </c>
      <c r="G13" s="19">
        <f t="shared" si="2"/>
        <v>569456.88880001451</v>
      </c>
      <c r="H13" s="2"/>
      <c r="I13" s="19"/>
      <c r="J13" s="19">
        <f t="shared" si="3"/>
        <v>0</v>
      </c>
      <c r="K13" s="2"/>
      <c r="L13" s="10">
        <v>0</v>
      </c>
      <c r="M13" s="11">
        <f t="shared" si="0"/>
        <v>0</v>
      </c>
      <c r="N13" s="2"/>
      <c r="O13" s="10">
        <v>7.14</v>
      </c>
      <c r="P13" s="10">
        <f t="shared" si="4"/>
        <v>101245.2</v>
      </c>
      <c r="Q13" s="16">
        <f t="shared" si="5"/>
        <v>670702.08880001446</v>
      </c>
      <c r="R13" s="62">
        <f t="shared" si="1"/>
        <v>46.833467551149674</v>
      </c>
      <c r="S13" s="54"/>
    </row>
    <row r="14" spans="1:19" ht="17.100000000000001" customHeight="1">
      <c r="A14" s="64"/>
      <c r="B14" s="61">
        <v>6</v>
      </c>
      <c r="C14" s="15">
        <f>Electricity!C13</f>
        <v>0</v>
      </c>
      <c r="D14" s="15">
        <f>Electricity!D13</f>
        <v>4</v>
      </c>
      <c r="E14" s="2">
        <v>8</v>
      </c>
      <c r="F14" s="10">
        <v>38.91047999999941</v>
      </c>
      <c r="G14" s="19">
        <f t="shared" si="2"/>
        <v>551750.60639999167</v>
      </c>
      <c r="H14" s="2"/>
      <c r="I14" s="19"/>
      <c r="J14" s="19">
        <f t="shared" si="3"/>
        <v>0</v>
      </c>
      <c r="K14" s="2"/>
      <c r="L14" s="10">
        <v>0</v>
      </c>
      <c r="M14" s="11">
        <f t="shared" si="0"/>
        <v>0</v>
      </c>
      <c r="N14" s="2"/>
      <c r="O14" s="10">
        <v>7.14</v>
      </c>
      <c r="P14" s="10">
        <f t="shared" si="4"/>
        <v>101245.2</v>
      </c>
      <c r="Q14" s="16">
        <f t="shared" si="5"/>
        <v>652995.80639999162</v>
      </c>
      <c r="R14" s="62">
        <f t="shared" si="1"/>
        <v>45.597081656308333</v>
      </c>
      <c r="S14" s="54"/>
    </row>
    <row r="15" spans="1:19" ht="17.100000000000001" customHeight="1">
      <c r="A15" s="64"/>
      <c r="B15" s="61">
        <v>7</v>
      </c>
      <c r="C15" s="15">
        <f>Electricity!C14</f>
        <v>3</v>
      </c>
      <c r="D15" s="15">
        <f>Electricity!D14</f>
        <v>7</v>
      </c>
      <c r="E15" s="2">
        <v>8</v>
      </c>
      <c r="F15" s="10">
        <v>29.404400000000731</v>
      </c>
      <c r="G15" s="19">
        <f t="shared" si="2"/>
        <v>416954.39200001035</v>
      </c>
      <c r="H15" s="2"/>
      <c r="I15" s="19"/>
      <c r="J15" s="19">
        <f t="shared" si="3"/>
        <v>0</v>
      </c>
      <c r="K15" s="2"/>
      <c r="L15" s="10">
        <v>0</v>
      </c>
      <c r="M15" s="11">
        <f t="shared" si="0"/>
        <v>0</v>
      </c>
      <c r="N15" s="2"/>
      <c r="O15" s="10">
        <v>7.14</v>
      </c>
      <c r="P15" s="10">
        <f t="shared" si="4"/>
        <v>101245.2</v>
      </c>
      <c r="Q15" s="16">
        <f t="shared" si="5"/>
        <v>518199.59200001037</v>
      </c>
      <c r="R15" s="62">
        <f t="shared" si="1"/>
        <v>36.184595489142545</v>
      </c>
      <c r="S15" s="54"/>
    </row>
    <row r="16" spans="1:19" ht="17.100000000000001" customHeight="1">
      <c r="A16" s="64"/>
      <c r="B16" s="61">
        <v>8</v>
      </c>
      <c r="C16" s="15">
        <f>Electricity!C15</f>
        <v>4</v>
      </c>
      <c r="D16" s="15">
        <f>Electricity!D15</f>
        <v>18</v>
      </c>
      <c r="E16" s="2">
        <v>8</v>
      </c>
      <c r="F16" s="10">
        <v>47.369280000000877</v>
      </c>
      <c r="G16" s="19">
        <f t="shared" si="2"/>
        <v>671696.39040001249</v>
      </c>
      <c r="H16" s="2"/>
      <c r="I16" s="19"/>
      <c r="J16" s="19">
        <f t="shared" si="3"/>
        <v>0</v>
      </c>
      <c r="K16" s="2"/>
      <c r="L16" s="10">
        <v>0</v>
      </c>
      <c r="M16" s="11">
        <f t="shared" si="0"/>
        <v>0</v>
      </c>
      <c r="N16" s="2"/>
      <c r="O16" s="10">
        <v>7.14</v>
      </c>
      <c r="P16" s="10">
        <f t="shared" si="4"/>
        <v>101245.2</v>
      </c>
      <c r="Q16" s="16">
        <f t="shared" si="5"/>
        <v>772941.59040001244</v>
      </c>
      <c r="R16" s="62">
        <f t="shared" si="1"/>
        <v>53.972599008449997</v>
      </c>
      <c r="S16" s="54"/>
    </row>
    <row r="17" spans="1:19" ht="17.100000000000001" customHeight="1">
      <c r="A17" s="64"/>
      <c r="B17" s="61">
        <v>9</v>
      </c>
      <c r="C17" s="15">
        <f>Electricity!C16</f>
        <v>0</v>
      </c>
      <c r="D17" s="15">
        <f>Electricity!D16</f>
        <v>24</v>
      </c>
      <c r="E17" s="2">
        <v>8</v>
      </c>
      <c r="F17" s="10">
        <v>36.574239999999705</v>
      </c>
      <c r="G17" s="19">
        <f t="shared" si="2"/>
        <v>518622.72319999582</v>
      </c>
      <c r="H17" s="2"/>
      <c r="I17" s="19"/>
      <c r="J17" s="19">
        <f t="shared" si="3"/>
        <v>0</v>
      </c>
      <c r="K17" s="2"/>
      <c r="L17" s="10">
        <v>0</v>
      </c>
      <c r="M17" s="11">
        <f t="shared" si="0"/>
        <v>0</v>
      </c>
      <c r="N17" s="2"/>
      <c r="O17" s="10">
        <v>7.14</v>
      </c>
      <c r="P17" s="10">
        <f t="shared" si="4"/>
        <v>101245.2</v>
      </c>
      <c r="Q17" s="16">
        <f t="shared" si="5"/>
        <v>619867.92319999577</v>
      </c>
      <c r="R17" s="62">
        <f t="shared" si="1"/>
        <v>43.283843530479423</v>
      </c>
      <c r="S17" s="54"/>
    </row>
    <row r="18" spans="1:19" ht="17.100000000000001" customHeight="1">
      <c r="A18" s="64"/>
      <c r="B18" s="61">
        <v>10</v>
      </c>
      <c r="C18" s="15">
        <f>Electricity!C17</f>
        <v>1</v>
      </c>
      <c r="D18" s="15">
        <f>Electricity!D17</f>
        <v>3</v>
      </c>
      <c r="E18" s="2">
        <v>8</v>
      </c>
      <c r="F18" s="10">
        <v>24.530519999996919</v>
      </c>
      <c r="G18" s="19">
        <f t="shared" si="2"/>
        <v>347842.7735999563</v>
      </c>
      <c r="H18" s="2"/>
      <c r="I18" s="19"/>
      <c r="J18" s="19">
        <f t="shared" si="3"/>
        <v>0</v>
      </c>
      <c r="K18" s="2"/>
      <c r="L18" s="10">
        <v>0</v>
      </c>
      <c r="M18" s="11">
        <f t="shared" si="0"/>
        <v>0</v>
      </c>
      <c r="N18" s="2"/>
      <c r="O18" s="10">
        <v>7.14</v>
      </c>
      <c r="P18" s="10">
        <f t="shared" si="4"/>
        <v>101245.2</v>
      </c>
      <c r="Q18" s="16">
        <f t="shared" si="5"/>
        <v>449087.97359995631</v>
      </c>
      <c r="R18" s="62">
        <f t="shared" si="1"/>
        <v>31.358702157667505</v>
      </c>
      <c r="S18" s="54"/>
    </row>
    <row r="19" spans="1:19" ht="17.100000000000001" customHeight="1">
      <c r="A19" s="64"/>
      <c r="B19" s="61">
        <v>11</v>
      </c>
      <c r="C19" s="15">
        <f>Electricity!C18</f>
        <v>3</v>
      </c>
      <c r="D19" s="15">
        <f>Electricity!D18</f>
        <v>10</v>
      </c>
      <c r="E19" s="2">
        <v>8</v>
      </c>
      <c r="F19" s="10">
        <v>30.371119999999852</v>
      </c>
      <c r="G19" s="19">
        <f t="shared" si="2"/>
        <v>430662.4815999979</v>
      </c>
      <c r="H19" s="2"/>
      <c r="I19" s="19"/>
      <c r="J19" s="19">
        <f t="shared" si="3"/>
        <v>0</v>
      </c>
      <c r="K19" s="2"/>
      <c r="L19" s="10">
        <v>0</v>
      </c>
      <c r="M19" s="11">
        <f t="shared" si="0"/>
        <v>0</v>
      </c>
      <c r="N19" s="2"/>
      <c r="O19" s="10">
        <v>7.14</v>
      </c>
      <c r="P19" s="10">
        <f t="shared" si="4"/>
        <v>101245.2</v>
      </c>
      <c r="Q19" s="16">
        <f t="shared" si="5"/>
        <v>531907.68159999792</v>
      </c>
      <c r="R19" s="62">
        <f t="shared" si="1"/>
        <v>37.141797472243411</v>
      </c>
      <c r="S19" s="54"/>
    </row>
    <row r="20" spans="1:19" ht="17.100000000000001" customHeight="1">
      <c r="A20" s="64"/>
      <c r="B20" s="61">
        <v>12</v>
      </c>
      <c r="C20" s="15">
        <f>Electricity!C19</f>
        <v>2</v>
      </c>
      <c r="D20" s="15">
        <f>Electricity!D19</f>
        <v>26</v>
      </c>
      <c r="E20" s="2">
        <v>8</v>
      </c>
      <c r="F20" s="10">
        <v>39.353560000001757</v>
      </c>
      <c r="G20" s="19">
        <f t="shared" si="2"/>
        <v>558033.48080002493</v>
      </c>
      <c r="H20" s="2"/>
      <c r="I20" s="19"/>
      <c r="J20" s="19">
        <f t="shared" si="3"/>
        <v>0</v>
      </c>
      <c r="K20" s="2"/>
      <c r="L20" s="10">
        <v>0</v>
      </c>
      <c r="M20" s="11">
        <f t="shared" si="0"/>
        <v>0</v>
      </c>
      <c r="N20" s="2"/>
      <c r="O20" s="10">
        <v>7.14</v>
      </c>
      <c r="P20" s="10">
        <f t="shared" si="4"/>
        <v>101245.2</v>
      </c>
      <c r="Q20" s="16">
        <f t="shared" si="5"/>
        <v>659278.68080002489</v>
      </c>
      <c r="R20" s="62">
        <f t="shared" si="1"/>
        <v>46.035799231898949</v>
      </c>
      <c r="S20" s="54"/>
    </row>
    <row r="21" spans="1:19" ht="17.100000000000001" customHeight="1">
      <c r="A21" s="64"/>
      <c r="B21" s="61">
        <v>13</v>
      </c>
      <c r="C21" s="15">
        <f>Electricity!C20</f>
        <v>0</v>
      </c>
      <c r="D21" s="15">
        <f>Electricity!D20</f>
        <v>5</v>
      </c>
      <c r="E21" s="2">
        <v>8</v>
      </c>
      <c r="F21" s="10">
        <v>38.547959999998824</v>
      </c>
      <c r="G21" s="19">
        <f t="shared" si="2"/>
        <v>546610.07279998332</v>
      </c>
      <c r="H21" s="2"/>
      <c r="I21" s="19"/>
      <c r="J21" s="19">
        <f t="shared" si="3"/>
        <v>0</v>
      </c>
      <c r="K21" s="2"/>
      <c r="L21" s="10">
        <v>0</v>
      </c>
      <c r="M21" s="11">
        <f t="shared" si="0"/>
        <v>0</v>
      </c>
      <c r="N21" s="2"/>
      <c r="O21" s="10">
        <v>7.14</v>
      </c>
      <c r="P21" s="10">
        <f t="shared" si="4"/>
        <v>101245.2</v>
      </c>
      <c r="Q21" s="16">
        <f t="shared" si="5"/>
        <v>647855.27279998327</v>
      </c>
      <c r="R21" s="62">
        <f t="shared" si="1"/>
        <v>45.2381309126446</v>
      </c>
      <c r="S21" s="54"/>
    </row>
    <row r="22" spans="1:19" ht="17.100000000000001" customHeight="1">
      <c r="A22" s="64"/>
      <c r="B22" s="61">
        <v>14</v>
      </c>
      <c r="C22" s="15">
        <f>Electricity!C21</f>
        <v>2</v>
      </c>
      <c r="D22" s="15">
        <f>Electricity!D21</f>
        <v>12</v>
      </c>
      <c r="E22" s="2">
        <v>8</v>
      </c>
      <c r="F22" s="10">
        <v>34.036600000002927</v>
      </c>
      <c r="G22" s="19">
        <f t="shared" si="2"/>
        <v>482638.98800004151</v>
      </c>
      <c r="H22" s="2"/>
      <c r="I22" s="19"/>
      <c r="J22" s="19">
        <f t="shared" si="3"/>
        <v>0</v>
      </c>
      <c r="K22" s="2"/>
      <c r="L22" s="10">
        <v>0</v>
      </c>
      <c r="M22" s="11">
        <f t="shared" si="0"/>
        <v>0</v>
      </c>
      <c r="N22" s="2"/>
      <c r="O22" s="10">
        <v>7.14</v>
      </c>
      <c r="P22" s="10">
        <f t="shared" si="4"/>
        <v>101245.2</v>
      </c>
      <c r="Q22" s="16">
        <f t="shared" si="5"/>
        <v>583884.18800004153</v>
      </c>
      <c r="R22" s="62">
        <f t="shared" si="1"/>
        <v>40.771188324840551</v>
      </c>
      <c r="S22" s="54"/>
    </row>
    <row r="23" spans="1:19" ht="17.100000000000001" customHeight="1">
      <c r="A23" s="64"/>
      <c r="B23" s="61">
        <v>15</v>
      </c>
      <c r="C23" s="15">
        <f>Electricity!C22</f>
        <v>2</v>
      </c>
      <c r="D23" s="15">
        <f>Electricity!D22</f>
        <v>23</v>
      </c>
      <c r="E23" s="2">
        <v>8</v>
      </c>
      <c r="F23" s="10">
        <v>49.222159999997359</v>
      </c>
      <c r="G23" s="19">
        <f t="shared" si="2"/>
        <v>697970.22879996256</v>
      </c>
      <c r="H23" s="2"/>
      <c r="I23" s="19"/>
      <c r="J23" s="19">
        <f t="shared" si="3"/>
        <v>0</v>
      </c>
      <c r="K23" s="2"/>
      <c r="L23" s="10">
        <v>0</v>
      </c>
      <c r="M23" s="11">
        <f t="shared" si="0"/>
        <v>0</v>
      </c>
      <c r="N23" s="2"/>
      <c r="O23" s="10">
        <v>7.14</v>
      </c>
      <c r="P23" s="10">
        <f t="shared" si="4"/>
        <v>101245.2</v>
      </c>
      <c r="Q23" s="16">
        <f t="shared" si="5"/>
        <v>799215.42879996251</v>
      </c>
      <c r="R23" s="62">
        <f t="shared" si="1"/>
        <v>55.807236142724847</v>
      </c>
      <c r="S23" s="54"/>
    </row>
    <row r="24" spans="1:19" ht="17.100000000000001" customHeight="1">
      <c r="A24" s="64"/>
      <c r="B24" s="61">
        <v>16</v>
      </c>
      <c r="C24" s="15">
        <f>Electricity!C23</f>
        <v>1</v>
      </c>
      <c r="D24" s="15">
        <f>Electricity!D23</f>
        <v>11</v>
      </c>
      <c r="E24" s="2">
        <v>8</v>
      </c>
      <c r="F24" s="10">
        <v>45.6372399999997</v>
      </c>
      <c r="G24" s="19">
        <f t="shared" si="2"/>
        <v>647136.06319999578</v>
      </c>
      <c r="H24" s="2"/>
      <c r="I24" s="19"/>
      <c r="J24" s="19">
        <f t="shared" si="3"/>
        <v>0</v>
      </c>
      <c r="K24" s="2"/>
      <c r="L24" s="10">
        <v>0</v>
      </c>
      <c r="M24" s="11">
        <f t="shared" si="0"/>
        <v>0</v>
      </c>
      <c r="N24" s="2"/>
      <c r="O24" s="10">
        <v>7.14</v>
      </c>
      <c r="P24" s="10">
        <f t="shared" si="4"/>
        <v>101245.2</v>
      </c>
      <c r="Q24" s="16">
        <f t="shared" si="5"/>
        <v>748381.26319999574</v>
      </c>
      <c r="R24" s="62">
        <f t="shared" si="1"/>
        <v>52.257612122058219</v>
      </c>
      <c r="S24" s="54"/>
    </row>
    <row r="25" spans="1:19" ht="17.100000000000001" customHeight="1">
      <c r="A25" s="64"/>
      <c r="B25" s="61">
        <v>17</v>
      </c>
      <c r="C25" s="15">
        <f>Electricity!C24</f>
        <v>3</v>
      </c>
      <c r="D25" s="15">
        <f>Electricity!D24</f>
        <v>13</v>
      </c>
      <c r="E25" s="2">
        <v>8</v>
      </c>
      <c r="F25" s="10">
        <v>43.220440000001901</v>
      </c>
      <c r="G25" s="19">
        <f t="shared" si="2"/>
        <v>612865.83920002694</v>
      </c>
      <c r="H25" s="2"/>
      <c r="I25" s="19"/>
      <c r="J25" s="19">
        <f t="shared" si="3"/>
        <v>0</v>
      </c>
      <c r="K25" s="2"/>
      <c r="L25" s="10">
        <v>0</v>
      </c>
      <c r="M25" s="11">
        <f t="shared" si="0"/>
        <v>0</v>
      </c>
      <c r="N25" s="2"/>
      <c r="O25" s="10">
        <v>7.14</v>
      </c>
      <c r="P25" s="10">
        <f t="shared" si="4"/>
        <v>101245.2</v>
      </c>
      <c r="Q25" s="16">
        <f t="shared" si="5"/>
        <v>714111.03920002689</v>
      </c>
      <c r="R25" s="62">
        <f t="shared" si="1"/>
        <v>49.864607164306044</v>
      </c>
      <c r="S25" s="54"/>
    </row>
    <row r="26" spans="1:19" ht="17.100000000000001" customHeight="1">
      <c r="A26" s="64"/>
      <c r="B26" s="61">
        <v>18</v>
      </c>
      <c r="C26" s="15">
        <f>Electricity!C25</f>
        <v>4</v>
      </c>
      <c r="D26" s="15">
        <f>Electricity!D25</f>
        <v>21</v>
      </c>
      <c r="E26" s="2">
        <v>8</v>
      </c>
      <c r="F26" s="10">
        <v>44.589959999998825</v>
      </c>
      <c r="G26" s="19">
        <f t="shared" si="2"/>
        <v>632285.63279998337</v>
      </c>
      <c r="H26" s="2"/>
      <c r="I26" s="19"/>
      <c r="J26" s="19">
        <f t="shared" si="3"/>
        <v>0</v>
      </c>
      <c r="K26" s="2"/>
      <c r="L26" s="10">
        <v>0</v>
      </c>
      <c r="M26" s="11">
        <f t="shared" si="0"/>
        <v>0</v>
      </c>
      <c r="N26" s="2"/>
      <c r="O26" s="10">
        <v>7.14</v>
      </c>
      <c r="P26" s="10">
        <f t="shared" si="4"/>
        <v>101245.2</v>
      </c>
      <c r="Q26" s="16">
        <f t="shared" si="5"/>
        <v>733530.83279998333</v>
      </c>
      <c r="R26" s="62">
        <f t="shared" si="1"/>
        <v>51.220643307030471</v>
      </c>
      <c r="S26" s="54"/>
    </row>
    <row r="27" spans="1:19" ht="17.100000000000001" customHeight="1">
      <c r="A27" s="64"/>
      <c r="B27" s="61">
        <v>19</v>
      </c>
      <c r="C27" s="15">
        <f>Electricity!C26</f>
        <v>30</v>
      </c>
      <c r="D27" s="15">
        <f>Electricity!D26</f>
        <v>30</v>
      </c>
      <c r="E27" s="2">
        <v>8</v>
      </c>
      <c r="F27" s="10">
        <v>38.104880000000144</v>
      </c>
      <c r="G27" s="19">
        <f t="shared" si="2"/>
        <v>540327.19840000209</v>
      </c>
      <c r="H27" s="2"/>
      <c r="I27" s="19"/>
      <c r="J27" s="19">
        <f t="shared" si="3"/>
        <v>0</v>
      </c>
      <c r="K27" s="2"/>
      <c r="L27" s="10">
        <v>0</v>
      </c>
      <c r="M27" s="11">
        <f t="shared" si="0"/>
        <v>0</v>
      </c>
      <c r="N27" s="2"/>
      <c r="O27" s="10">
        <v>7.14</v>
      </c>
      <c r="P27" s="10">
        <f t="shared" si="4"/>
        <v>101245.2</v>
      </c>
      <c r="Q27" s="16">
        <f t="shared" si="5"/>
        <v>641572.39840000204</v>
      </c>
      <c r="R27" s="62">
        <f t="shared" si="1"/>
        <v>44.799413337057608</v>
      </c>
      <c r="S27" s="54"/>
    </row>
    <row r="28" spans="1:19" ht="17.100000000000001" customHeight="1">
      <c r="A28" s="64"/>
      <c r="B28" s="61">
        <v>20</v>
      </c>
      <c r="C28" s="15">
        <f>Electricity!C27</f>
        <v>0</v>
      </c>
      <c r="D28" s="15">
        <f>Electricity!D27</f>
        <v>0</v>
      </c>
      <c r="E28" s="2">
        <v>8</v>
      </c>
      <c r="F28" s="10">
        <v>24.32911999999985</v>
      </c>
      <c r="G28" s="19">
        <f t="shared" si="2"/>
        <v>344986.92159999791</v>
      </c>
      <c r="H28" s="2"/>
      <c r="I28" s="19"/>
      <c r="J28" s="19">
        <f t="shared" si="3"/>
        <v>0</v>
      </c>
      <c r="K28" s="2"/>
      <c r="L28" s="10">
        <v>0</v>
      </c>
      <c r="M28" s="11">
        <f t="shared" si="0"/>
        <v>0</v>
      </c>
      <c r="N28" s="2"/>
      <c r="O28" s="10">
        <v>7.14</v>
      </c>
      <c r="P28" s="10">
        <f t="shared" si="4"/>
        <v>101245.2</v>
      </c>
      <c r="Q28" s="16">
        <f t="shared" si="5"/>
        <v>446232.12159999792</v>
      </c>
      <c r="R28" s="62">
        <f t="shared" si="1"/>
        <v>31.159285077857547</v>
      </c>
      <c r="S28" s="54"/>
    </row>
    <row r="29" spans="1:19" ht="17.100000000000001" customHeight="1">
      <c r="A29" s="64"/>
      <c r="B29" s="61">
        <v>21</v>
      </c>
      <c r="C29" s="15">
        <f>Electricity!C28</f>
        <v>0</v>
      </c>
      <c r="D29" s="15">
        <f>Electricity!D28</f>
        <v>0</v>
      </c>
      <c r="E29" s="2">
        <v>8</v>
      </c>
      <c r="F29" s="10">
        <v>24.208280000000876</v>
      </c>
      <c r="G29" s="19">
        <f t="shared" si="2"/>
        <v>343273.41040001245</v>
      </c>
      <c r="H29" s="2"/>
      <c r="I29" s="19"/>
      <c r="J29" s="19">
        <f t="shared" si="3"/>
        <v>0</v>
      </c>
      <c r="K29" s="2"/>
      <c r="L29" s="10">
        <v>0</v>
      </c>
      <c r="M29" s="11">
        <f t="shared" si="0"/>
        <v>0</v>
      </c>
      <c r="N29" s="2"/>
      <c r="O29" s="10">
        <v>7.14</v>
      </c>
      <c r="P29" s="10">
        <f t="shared" si="4"/>
        <v>101245.2</v>
      </c>
      <c r="Q29" s="16">
        <f t="shared" si="5"/>
        <v>444518.61040001246</v>
      </c>
      <c r="R29" s="62">
        <f t="shared" si="1"/>
        <v>31.039634829970844</v>
      </c>
      <c r="S29" s="54"/>
    </row>
    <row r="30" spans="1:19" ht="17.100000000000001" customHeight="1">
      <c r="A30" s="64"/>
      <c r="B30" s="61">
        <v>22</v>
      </c>
      <c r="C30" s="15">
        <f>Electricity!C29</f>
        <v>0</v>
      </c>
      <c r="D30" s="15">
        <f>Electricity!D29</f>
        <v>0</v>
      </c>
      <c r="E30" s="2">
        <v>8</v>
      </c>
      <c r="F30" s="10">
        <v>37.903479999999412</v>
      </c>
      <c r="G30" s="19">
        <f t="shared" si="2"/>
        <v>537471.34639999166</v>
      </c>
      <c r="H30" s="2"/>
      <c r="I30" s="19"/>
      <c r="J30" s="19">
        <f t="shared" si="3"/>
        <v>0</v>
      </c>
      <c r="K30" s="2"/>
      <c r="L30" s="10">
        <v>0</v>
      </c>
      <c r="M30" s="11">
        <f t="shared" si="0"/>
        <v>0</v>
      </c>
      <c r="N30" s="2"/>
      <c r="O30" s="10">
        <v>7.14</v>
      </c>
      <c r="P30" s="10">
        <f t="shared" si="4"/>
        <v>101245.2</v>
      </c>
      <c r="Q30" s="16">
        <f t="shared" si="5"/>
        <v>638716.54639999161</v>
      </c>
      <c r="R30" s="62">
        <f t="shared" si="1"/>
        <v>44.599996257244023</v>
      </c>
      <c r="S30" s="54"/>
    </row>
    <row r="31" spans="1:19" ht="17.100000000000001" customHeight="1">
      <c r="A31" s="64"/>
      <c r="B31" s="61">
        <v>23</v>
      </c>
      <c r="C31" s="15">
        <f>Electricity!C30</f>
        <v>1</v>
      </c>
      <c r="D31" s="15">
        <f>Electricity!D30</f>
        <v>7</v>
      </c>
      <c r="E31" s="2">
        <v>8</v>
      </c>
      <c r="F31" s="10">
        <v>44.187160000001022</v>
      </c>
      <c r="G31" s="19">
        <f t="shared" si="2"/>
        <v>626573.92880001455</v>
      </c>
      <c r="H31" s="2"/>
      <c r="I31" s="19"/>
      <c r="J31" s="19">
        <f t="shared" si="3"/>
        <v>0</v>
      </c>
      <c r="K31" s="2"/>
      <c r="L31" s="10">
        <v>0</v>
      </c>
      <c r="M31" s="11">
        <f t="shared" si="0"/>
        <v>0</v>
      </c>
      <c r="N31" s="2"/>
      <c r="O31" s="10">
        <v>7.14</v>
      </c>
      <c r="P31" s="10">
        <f t="shared" si="4"/>
        <v>101245.2</v>
      </c>
      <c r="Q31" s="16">
        <f t="shared" si="5"/>
        <v>727819.1288000145</v>
      </c>
      <c r="R31" s="62">
        <f t="shared" si="1"/>
        <v>50.821809147406917</v>
      </c>
      <c r="S31" s="54"/>
    </row>
    <row r="32" spans="1:19" ht="17.100000000000001" customHeight="1">
      <c r="A32" s="64"/>
      <c r="B32" s="61">
        <v>24</v>
      </c>
      <c r="C32" s="15">
        <f>Electricity!C31</f>
        <v>2</v>
      </c>
      <c r="D32" s="15">
        <f>Electricity!D31</f>
        <v>36</v>
      </c>
      <c r="E32" s="2">
        <v>8</v>
      </c>
      <c r="F32" s="10">
        <v>43.381559999998089</v>
      </c>
      <c r="G32" s="19">
        <f t="shared" si="2"/>
        <v>615150.52079997293</v>
      </c>
      <c r="H32" s="2"/>
      <c r="I32" s="19"/>
      <c r="J32" s="19">
        <f t="shared" si="3"/>
        <v>0</v>
      </c>
      <c r="K32" s="2"/>
      <c r="L32" s="10">
        <v>0</v>
      </c>
      <c r="M32" s="11">
        <f t="shared" si="0"/>
        <v>0</v>
      </c>
      <c r="N32" s="2"/>
      <c r="O32" s="10">
        <v>7.14</v>
      </c>
      <c r="P32" s="10">
        <f t="shared" si="4"/>
        <v>101245.2</v>
      </c>
      <c r="Q32" s="16">
        <f t="shared" si="5"/>
        <v>716395.72079997289</v>
      </c>
      <c r="R32" s="62">
        <f t="shared" si="1"/>
        <v>50.024140828152568</v>
      </c>
      <c r="S32" s="54"/>
    </row>
    <row r="33" spans="1:21" ht="17.100000000000001" customHeight="1">
      <c r="A33" s="64"/>
      <c r="B33" s="61">
        <v>25</v>
      </c>
      <c r="C33" s="15">
        <f>Electricity!C32</f>
        <v>5</v>
      </c>
      <c r="D33" s="15">
        <f>Electricity!D32</f>
        <v>22</v>
      </c>
      <c r="E33" s="2">
        <v>8</v>
      </c>
      <c r="F33" s="10">
        <v>39.031320000002047</v>
      </c>
      <c r="G33" s="19">
        <f t="shared" si="2"/>
        <v>553464.11760002899</v>
      </c>
      <c r="H33" s="2"/>
      <c r="I33" s="19"/>
      <c r="J33" s="19">
        <f t="shared" si="3"/>
        <v>0</v>
      </c>
      <c r="K33" s="2"/>
      <c r="L33" s="10">
        <v>0</v>
      </c>
      <c r="M33" s="11">
        <f t="shared" si="0"/>
        <v>0</v>
      </c>
      <c r="N33" s="2"/>
      <c r="O33" s="10">
        <v>7.14</v>
      </c>
      <c r="P33" s="10">
        <f t="shared" si="4"/>
        <v>101245.2</v>
      </c>
      <c r="Q33" s="16">
        <f t="shared" si="5"/>
        <v>654709.31760002894</v>
      </c>
      <c r="R33" s="62">
        <f t="shared" si="1"/>
        <v>45.716731904198653</v>
      </c>
      <c r="S33" s="54"/>
    </row>
    <row r="34" spans="1:21" ht="17.100000000000001" customHeight="1">
      <c r="A34" s="64"/>
      <c r="B34" s="61">
        <v>26</v>
      </c>
      <c r="C34" s="15">
        <f>Electricity!C33</f>
        <v>5</v>
      </c>
      <c r="D34" s="15">
        <f>Electricity!D33</f>
        <v>11</v>
      </c>
      <c r="E34" s="2">
        <v>8</v>
      </c>
      <c r="F34" s="10">
        <v>51.558400000000731</v>
      </c>
      <c r="G34" s="19">
        <f t="shared" si="2"/>
        <v>731098.11200001033</v>
      </c>
      <c r="H34" s="2"/>
      <c r="I34" s="19"/>
      <c r="J34" s="19">
        <f t="shared" si="3"/>
        <v>0</v>
      </c>
      <c r="K34" s="2"/>
      <c r="L34" s="10">
        <v>0</v>
      </c>
      <c r="M34" s="11">
        <f t="shared" si="0"/>
        <v>0</v>
      </c>
      <c r="N34" s="2"/>
      <c r="O34" s="10">
        <v>7.14</v>
      </c>
      <c r="P34" s="10">
        <f t="shared" si="4"/>
        <v>101245.2</v>
      </c>
      <c r="Q34" s="16">
        <f t="shared" si="5"/>
        <v>832343.31200001028</v>
      </c>
      <c r="R34" s="62">
        <f t="shared" si="1"/>
        <v>58.120474268557381</v>
      </c>
      <c r="S34" s="54"/>
    </row>
    <row r="35" spans="1:21" ht="17.100000000000001" customHeight="1">
      <c r="A35" s="64"/>
      <c r="B35" s="61">
        <v>27</v>
      </c>
      <c r="C35" s="15">
        <f>Electricity!C34</f>
        <v>6</v>
      </c>
      <c r="D35" s="15">
        <f>Electricity!D34</f>
        <v>18</v>
      </c>
      <c r="E35" s="2">
        <v>8</v>
      </c>
      <c r="F35" s="10">
        <v>48.013759999996623</v>
      </c>
      <c r="G35" s="19">
        <f t="shared" si="2"/>
        <v>680835.11679995211</v>
      </c>
      <c r="H35" s="2"/>
      <c r="I35" s="19"/>
      <c r="J35" s="19">
        <f t="shared" si="3"/>
        <v>0</v>
      </c>
      <c r="K35" s="2"/>
      <c r="L35" s="10">
        <v>0</v>
      </c>
      <c r="M35" s="11">
        <f t="shared" si="0"/>
        <v>0</v>
      </c>
      <c r="N35" s="2"/>
      <c r="O35" s="10">
        <v>7.14</v>
      </c>
      <c r="P35" s="10">
        <f t="shared" si="4"/>
        <v>101245.2</v>
      </c>
      <c r="Q35" s="16">
        <f t="shared" si="5"/>
        <v>782080.31679995207</v>
      </c>
      <c r="R35" s="62">
        <f t="shared" si="1"/>
        <v>54.610733663846943</v>
      </c>
      <c r="S35" s="54"/>
    </row>
    <row r="36" spans="1:21" ht="17.100000000000001" customHeight="1">
      <c r="A36" s="64"/>
      <c r="B36" s="61">
        <v>28</v>
      </c>
      <c r="C36" s="15">
        <f>Electricity!C35</f>
        <v>8</v>
      </c>
      <c r="D36" s="15">
        <f>Electricity!D35</f>
        <v>31</v>
      </c>
      <c r="E36" s="2">
        <v>8</v>
      </c>
      <c r="F36" s="10">
        <v>39.635520000000582</v>
      </c>
      <c r="G36" s="19">
        <f t="shared" si="2"/>
        <v>562031.67360000825</v>
      </c>
      <c r="H36" s="2"/>
      <c r="I36" s="19"/>
      <c r="J36" s="19">
        <f t="shared" si="3"/>
        <v>0</v>
      </c>
      <c r="K36" s="2"/>
      <c r="L36" s="10">
        <v>0</v>
      </c>
      <c r="M36" s="11">
        <f t="shared" si="0"/>
        <v>0</v>
      </c>
      <c r="N36" s="2"/>
      <c r="O36" s="10">
        <v>7.14</v>
      </c>
      <c r="P36" s="10">
        <f t="shared" si="4"/>
        <v>101245.2</v>
      </c>
      <c r="Q36" s="16">
        <f t="shared" si="5"/>
        <v>663276.8736000082</v>
      </c>
      <c r="R36" s="62">
        <f t="shared" si="1"/>
        <v>46.314983143635793</v>
      </c>
      <c r="S36" s="54"/>
    </row>
    <row r="37" spans="1:21" ht="17.100000000000001" customHeight="1">
      <c r="A37" s="64"/>
      <c r="B37" s="61">
        <v>29</v>
      </c>
      <c r="C37" s="15">
        <f>Electricity!C36</f>
        <v>13</v>
      </c>
      <c r="D37" s="15">
        <f>Electricity!D36</f>
        <v>40</v>
      </c>
      <c r="E37" s="2">
        <v>8</v>
      </c>
      <c r="F37" s="10">
        <v>44.791359999999557</v>
      </c>
      <c r="G37" s="19">
        <f t="shared" si="2"/>
        <v>635141.48479999369</v>
      </c>
      <c r="H37" s="2"/>
      <c r="I37" s="19"/>
      <c r="J37" s="19">
        <f t="shared" si="3"/>
        <v>0</v>
      </c>
      <c r="K37" s="2"/>
      <c r="L37" s="10">
        <v>0</v>
      </c>
      <c r="M37" s="11">
        <f t="shared" si="0"/>
        <v>0</v>
      </c>
      <c r="N37" s="2"/>
      <c r="O37" s="10">
        <v>7.14</v>
      </c>
      <c r="P37" s="10">
        <f t="shared" si="4"/>
        <v>101245.2</v>
      </c>
      <c r="Q37" s="16">
        <f t="shared" si="5"/>
        <v>736386.68479999364</v>
      </c>
      <c r="R37" s="62">
        <f t="shared" si="1"/>
        <v>51.42006038684405</v>
      </c>
      <c r="S37" s="54"/>
    </row>
    <row r="38" spans="1:21" ht="17.100000000000001" customHeight="1">
      <c r="A38" s="64"/>
      <c r="B38" s="61">
        <v>30</v>
      </c>
      <c r="C38" s="15">
        <f>Electricity!C37</f>
        <v>10</v>
      </c>
      <c r="D38" s="15">
        <f>Electricity!D37</f>
        <v>50</v>
      </c>
      <c r="E38" s="2">
        <v>8</v>
      </c>
      <c r="F38" s="10">
        <v>42.737080000002344</v>
      </c>
      <c r="G38" s="19">
        <f t="shared" si="2"/>
        <v>606011.79440003319</v>
      </c>
      <c r="H38" s="2"/>
      <c r="I38" s="19"/>
      <c r="J38" s="19">
        <f t="shared" si="3"/>
        <v>0</v>
      </c>
      <c r="K38" s="2"/>
      <c r="L38" s="10">
        <v>0</v>
      </c>
      <c r="M38" s="11">
        <f t="shared" si="0"/>
        <v>0</v>
      </c>
      <c r="N38" s="2"/>
      <c r="O38" s="10">
        <v>7.14</v>
      </c>
      <c r="P38" s="10">
        <f t="shared" si="4"/>
        <v>101245.2</v>
      </c>
      <c r="Q38" s="16">
        <f t="shared" si="5"/>
        <v>707256.99440003315</v>
      </c>
      <c r="R38" s="62">
        <f t="shared" si="1"/>
        <v>49.386006172755614</v>
      </c>
      <c r="S38" s="54"/>
    </row>
    <row r="39" spans="1:21" ht="15.75">
      <c r="C39" s="37">
        <f>SUM(C9:C38)</f>
        <v>115</v>
      </c>
      <c r="D39" s="37">
        <f>SUM(D9:D38)</f>
        <v>500</v>
      </c>
      <c r="E39" s="18"/>
      <c r="F39" s="18">
        <f>SUM(F9:F38)</f>
        <v>1155.4720800000018</v>
      </c>
      <c r="G39" s="9"/>
      <c r="H39" s="9"/>
      <c r="I39" s="18" t="s">
        <v>44</v>
      </c>
      <c r="J39" s="9"/>
      <c r="K39" s="9"/>
      <c r="L39" s="18" t="s">
        <v>44</v>
      </c>
      <c r="M39" s="9"/>
      <c r="N39" s="8"/>
      <c r="O39" s="18">
        <f>SUM(O9:O38)</f>
        <v>214.19999999999982</v>
      </c>
      <c r="P39" s="9"/>
      <c r="Q39" s="69">
        <f>SUM(Q9:Q38)</f>
        <v>19421950.094400033</v>
      </c>
      <c r="R39" s="39">
        <f>SUM(R9:R38)</f>
        <v>1356.1867253962732</v>
      </c>
      <c r="U39" s="30"/>
    </row>
    <row r="40" spans="1:21">
      <c r="E40" s="24"/>
      <c r="F40" s="25"/>
      <c r="G40" s="21"/>
      <c r="H40" s="21"/>
      <c r="I40" s="21"/>
      <c r="J40" s="21"/>
      <c r="K40" s="21"/>
      <c r="L40" s="21"/>
      <c r="M40" s="21"/>
      <c r="N40" s="8"/>
      <c r="O40" s="25"/>
      <c r="P40" s="26"/>
      <c r="Q40" s="18"/>
      <c r="R40" s="21"/>
      <c r="U40" s="29"/>
    </row>
    <row r="41" spans="1:21">
      <c r="B41" s="78" t="s">
        <v>29</v>
      </c>
      <c r="E41" s="8"/>
      <c r="F41" s="9"/>
      <c r="G41" s="9"/>
      <c r="H41" s="9"/>
      <c r="I41" s="9"/>
      <c r="J41" s="9"/>
      <c r="K41" s="9"/>
      <c r="L41" s="9"/>
      <c r="M41" s="90" t="s">
        <v>45</v>
      </c>
      <c r="N41" s="90"/>
      <c r="O41" s="70">
        <f>F39+O39</f>
        <v>1369.6720800000016</v>
      </c>
      <c r="Q41" s="17"/>
      <c r="R41" s="32"/>
    </row>
    <row r="42" spans="1:21">
      <c r="E42" s="79"/>
      <c r="F42" s="79"/>
      <c r="G42" s="79"/>
      <c r="H42" s="79"/>
      <c r="I42" s="79"/>
      <c r="J42" s="79"/>
      <c r="K42" s="79"/>
      <c r="L42" s="79"/>
      <c r="M42" s="80"/>
      <c r="N42" s="79"/>
      <c r="O42" s="79"/>
      <c r="P42" s="81"/>
      <c r="R42" s="33"/>
    </row>
    <row r="43" spans="1:21">
      <c r="R43" s="33"/>
    </row>
  </sheetData>
  <mergeCells count="21">
    <mergeCell ref="M41:N41"/>
    <mergeCell ref="B4:R4"/>
    <mergeCell ref="B1:R1"/>
    <mergeCell ref="B2:R2"/>
    <mergeCell ref="Q5:R7"/>
    <mergeCell ref="E6:G6"/>
    <mergeCell ref="H6:J6"/>
    <mergeCell ref="B5:B8"/>
    <mergeCell ref="C5:C8"/>
    <mergeCell ref="D5:D8"/>
    <mergeCell ref="E5:P5"/>
    <mergeCell ref="K6:M6"/>
    <mergeCell ref="N6:P6"/>
    <mergeCell ref="H7:H8"/>
    <mergeCell ref="F7:F8"/>
    <mergeCell ref="I7:I8"/>
    <mergeCell ref="E7:E8"/>
    <mergeCell ref="K7:K8"/>
    <mergeCell ref="L7:L8"/>
    <mergeCell ref="N7:N8"/>
    <mergeCell ref="O7:O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2"/>
  <sheetViews>
    <sheetView workbookViewId="0">
      <pane xSplit="2" ySplit="8" topLeftCell="C17" activePane="bottomRight" state="frozen"/>
      <selection pane="bottomRight" activeCell="K35" sqref="K35"/>
      <selection pane="bottomLeft" activeCell="A9" sqref="A9"/>
      <selection pane="topRight" activeCell="C1" sqref="C1"/>
    </sheetView>
  </sheetViews>
  <sheetFormatPr defaultRowHeight="12.75"/>
  <cols>
    <col min="1" max="1" width="2.5703125" customWidth="1"/>
    <col min="2" max="2" width="5.42578125" customWidth="1"/>
    <col min="3" max="3" width="6.42578125" customWidth="1"/>
    <col min="4" max="4" width="8.42578125" style="6" customWidth="1"/>
    <col min="5" max="5" width="9.85546875" style="6" customWidth="1"/>
    <col min="6" max="6" width="8" style="23" bestFit="1" customWidth="1"/>
    <col min="7" max="7" width="13.28515625" style="23" bestFit="1" customWidth="1"/>
    <col min="8" max="8" width="16.28515625" style="1" customWidth="1"/>
    <col min="9" max="9" width="2.5703125" customWidth="1"/>
    <col min="11" max="11" width="21.5703125" customWidth="1"/>
  </cols>
  <sheetData>
    <row r="1" spans="1:9" ht="15.75">
      <c r="B1" s="84" t="s">
        <v>46</v>
      </c>
      <c r="C1" s="84"/>
      <c r="D1" s="84"/>
      <c r="E1" s="84"/>
      <c r="F1" s="84"/>
      <c r="G1" s="84"/>
      <c r="H1" s="84"/>
    </row>
    <row r="2" spans="1:9" ht="15.75">
      <c r="B2" s="84" t="s">
        <v>16</v>
      </c>
      <c r="C2" s="84"/>
      <c r="D2" s="84"/>
      <c r="E2" s="84"/>
      <c r="F2" s="84"/>
      <c r="G2" s="84"/>
      <c r="H2" s="84"/>
    </row>
    <row r="3" spans="1:9">
      <c r="B3" s="5"/>
      <c r="C3" s="4"/>
      <c r="D3" s="13"/>
      <c r="E3" s="13"/>
      <c r="F3" s="82"/>
      <c r="G3" s="82"/>
      <c r="H3" s="4"/>
    </row>
    <row r="4" spans="1:9">
      <c r="A4" s="55"/>
      <c r="B4" s="91">
        <v>44440</v>
      </c>
      <c r="C4" s="91"/>
      <c r="D4" s="91"/>
      <c r="E4" s="91"/>
      <c r="F4" s="91"/>
      <c r="G4" s="91"/>
      <c r="H4" s="91"/>
      <c r="I4" s="7"/>
    </row>
    <row r="5" spans="1:9" ht="12.75" customHeight="1">
      <c r="A5" s="56"/>
      <c r="B5" s="86" t="s">
        <v>17</v>
      </c>
      <c r="C5" s="86" t="s">
        <v>18</v>
      </c>
      <c r="D5" s="86" t="s">
        <v>13</v>
      </c>
      <c r="E5" s="86" t="s">
        <v>47</v>
      </c>
      <c r="F5" s="86"/>
      <c r="G5" s="86"/>
      <c r="H5" s="86" t="s">
        <v>23</v>
      </c>
      <c r="I5" s="53"/>
    </row>
    <row r="6" spans="1:9">
      <c r="A6" s="56"/>
      <c r="B6" s="86"/>
      <c r="C6" s="86"/>
      <c r="D6" s="86"/>
      <c r="E6" s="86"/>
      <c r="F6" s="86"/>
      <c r="G6" s="86"/>
      <c r="H6" s="86"/>
      <c r="I6" s="53"/>
    </row>
    <row r="7" spans="1:9" s="6" customFormat="1" ht="31.5" customHeight="1">
      <c r="A7" s="56"/>
      <c r="B7" s="86"/>
      <c r="C7" s="86"/>
      <c r="D7" s="86"/>
      <c r="E7" s="57" t="s">
        <v>37</v>
      </c>
      <c r="F7" s="97" t="s">
        <v>48</v>
      </c>
      <c r="G7" s="58" t="s">
        <v>41</v>
      </c>
      <c r="H7" s="86"/>
      <c r="I7" s="53"/>
    </row>
    <row r="8" spans="1:9" s="6" customFormat="1">
      <c r="A8" s="56"/>
      <c r="B8" s="86"/>
      <c r="C8" s="86"/>
      <c r="D8" s="86"/>
      <c r="E8" s="59">
        <v>2112</v>
      </c>
      <c r="F8" s="97"/>
      <c r="G8" s="58">
        <v>10700</v>
      </c>
      <c r="H8" s="86"/>
      <c r="I8" s="53"/>
    </row>
    <row r="9" spans="1:9" ht="17.100000000000001" customHeight="1">
      <c r="A9" s="60"/>
      <c r="B9" s="61">
        <v>1</v>
      </c>
      <c r="C9" s="28">
        <f>Electricity!C8</f>
        <v>0</v>
      </c>
      <c r="D9" s="28">
        <f>Electricity!D8</f>
        <v>6</v>
      </c>
      <c r="E9" s="14">
        <v>2112</v>
      </c>
      <c r="F9" s="22">
        <v>0</v>
      </c>
      <c r="G9" s="22">
        <f t="shared" ref="G9:G21" si="0">F9*$G$8</f>
        <v>0</v>
      </c>
      <c r="H9" s="62">
        <f>G9/14321</f>
        <v>0</v>
      </c>
      <c r="I9" s="54"/>
    </row>
    <row r="10" spans="1:9" ht="17.100000000000001" customHeight="1">
      <c r="A10" s="60"/>
      <c r="B10" s="61">
        <v>2</v>
      </c>
      <c r="C10" s="28">
        <f>Electricity!C9</f>
        <v>1</v>
      </c>
      <c r="D10" s="28">
        <f>Electricity!D9</f>
        <v>3</v>
      </c>
      <c r="E10" s="14">
        <v>2112</v>
      </c>
      <c r="F10" s="22">
        <v>0</v>
      </c>
      <c r="G10" s="22">
        <f>F10*$G$8</f>
        <v>0</v>
      </c>
      <c r="H10" s="62">
        <f t="shared" ref="H10:H38" si="1">G10/14321</f>
        <v>0</v>
      </c>
      <c r="I10" s="54"/>
    </row>
    <row r="11" spans="1:9" ht="17.100000000000001" customHeight="1">
      <c r="A11" s="60"/>
      <c r="B11" s="61">
        <v>3</v>
      </c>
      <c r="C11" s="28">
        <f>Electricity!C10</f>
        <v>4</v>
      </c>
      <c r="D11" s="28">
        <f>Electricity!D10</f>
        <v>21</v>
      </c>
      <c r="E11" s="14">
        <v>2112</v>
      </c>
      <c r="F11" s="22">
        <v>0</v>
      </c>
      <c r="G11" s="22">
        <f t="shared" si="0"/>
        <v>0</v>
      </c>
      <c r="H11" s="62">
        <f t="shared" si="1"/>
        <v>0</v>
      </c>
      <c r="I11" s="54"/>
    </row>
    <row r="12" spans="1:9" ht="17.100000000000001" customHeight="1">
      <c r="A12" s="60"/>
      <c r="B12" s="61">
        <v>4</v>
      </c>
      <c r="C12" s="28">
        <f>Electricity!C11</f>
        <v>4</v>
      </c>
      <c r="D12" s="28">
        <f>Electricity!D11</f>
        <v>23</v>
      </c>
      <c r="E12" s="14">
        <v>2112</v>
      </c>
      <c r="F12" s="22">
        <v>0</v>
      </c>
      <c r="G12" s="22">
        <f t="shared" si="0"/>
        <v>0</v>
      </c>
      <c r="H12" s="62">
        <f t="shared" si="1"/>
        <v>0</v>
      </c>
      <c r="I12" s="54"/>
    </row>
    <row r="13" spans="1:9" ht="17.100000000000001" customHeight="1">
      <c r="A13" s="60"/>
      <c r="B13" s="61">
        <v>5</v>
      </c>
      <c r="C13" s="28">
        <f>Electricity!C12</f>
        <v>1</v>
      </c>
      <c r="D13" s="28">
        <f>Electricity!D12</f>
        <v>25</v>
      </c>
      <c r="E13" s="14">
        <v>2112</v>
      </c>
      <c r="F13" s="22">
        <v>0</v>
      </c>
      <c r="G13" s="22">
        <f t="shared" si="0"/>
        <v>0</v>
      </c>
      <c r="H13" s="62">
        <f t="shared" si="1"/>
        <v>0</v>
      </c>
      <c r="I13" s="54"/>
    </row>
    <row r="14" spans="1:9" ht="17.100000000000001" customHeight="1">
      <c r="A14" s="60"/>
      <c r="B14" s="61">
        <v>6</v>
      </c>
      <c r="C14" s="28">
        <f>Electricity!C13</f>
        <v>0</v>
      </c>
      <c r="D14" s="28">
        <f>Electricity!D13</f>
        <v>4</v>
      </c>
      <c r="E14" s="14">
        <v>2112</v>
      </c>
      <c r="F14" s="22">
        <v>0</v>
      </c>
      <c r="G14" s="22">
        <f t="shared" si="0"/>
        <v>0</v>
      </c>
      <c r="H14" s="62">
        <f t="shared" si="1"/>
        <v>0</v>
      </c>
      <c r="I14" s="54"/>
    </row>
    <row r="15" spans="1:9" ht="17.100000000000001" customHeight="1">
      <c r="A15" s="60"/>
      <c r="B15" s="61">
        <v>7</v>
      </c>
      <c r="C15" s="28">
        <f>Electricity!C14</f>
        <v>3</v>
      </c>
      <c r="D15" s="28">
        <f>Electricity!D14</f>
        <v>7</v>
      </c>
      <c r="E15" s="14">
        <v>2112</v>
      </c>
      <c r="F15" s="22">
        <v>0</v>
      </c>
      <c r="G15" s="22">
        <f t="shared" si="0"/>
        <v>0</v>
      </c>
      <c r="H15" s="62">
        <f t="shared" si="1"/>
        <v>0</v>
      </c>
      <c r="I15" s="54"/>
    </row>
    <row r="16" spans="1:9" ht="17.100000000000001" customHeight="1">
      <c r="A16" s="60"/>
      <c r="B16" s="61">
        <v>8</v>
      </c>
      <c r="C16" s="28">
        <f>Electricity!C15</f>
        <v>4</v>
      </c>
      <c r="D16" s="28">
        <f>Electricity!D15</f>
        <v>18</v>
      </c>
      <c r="E16" s="14">
        <v>2112</v>
      </c>
      <c r="F16" s="22">
        <v>0</v>
      </c>
      <c r="G16" s="22">
        <f t="shared" si="0"/>
        <v>0</v>
      </c>
      <c r="H16" s="62">
        <f t="shared" si="1"/>
        <v>0</v>
      </c>
      <c r="I16" s="54"/>
    </row>
    <row r="17" spans="1:9" ht="17.100000000000001" customHeight="1">
      <c r="A17" s="60"/>
      <c r="B17" s="61">
        <v>9</v>
      </c>
      <c r="C17" s="28">
        <f>Electricity!C16</f>
        <v>0</v>
      </c>
      <c r="D17" s="28">
        <f>Electricity!D16</f>
        <v>24</v>
      </c>
      <c r="E17" s="14">
        <v>2112</v>
      </c>
      <c r="F17" s="22">
        <v>0</v>
      </c>
      <c r="G17" s="22">
        <f t="shared" si="0"/>
        <v>0</v>
      </c>
      <c r="H17" s="62">
        <f t="shared" si="1"/>
        <v>0</v>
      </c>
      <c r="I17" s="54"/>
    </row>
    <row r="18" spans="1:9" ht="17.100000000000001" customHeight="1">
      <c r="A18" s="60"/>
      <c r="B18" s="61">
        <v>10</v>
      </c>
      <c r="C18" s="28">
        <f>Electricity!C17</f>
        <v>1</v>
      </c>
      <c r="D18" s="28">
        <f>Electricity!D17</f>
        <v>3</v>
      </c>
      <c r="E18" s="14">
        <v>2112</v>
      </c>
      <c r="F18" s="22">
        <v>0</v>
      </c>
      <c r="G18" s="22">
        <f t="shared" si="0"/>
        <v>0</v>
      </c>
      <c r="H18" s="62">
        <f t="shared" si="1"/>
        <v>0</v>
      </c>
      <c r="I18" s="54"/>
    </row>
    <row r="19" spans="1:9" ht="17.100000000000001" customHeight="1">
      <c r="A19" s="60"/>
      <c r="B19" s="61">
        <v>11</v>
      </c>
      <c r="C19" s="28">
        <f>Electricity!C18</f>
        <v>3</v>
      </c>
      <c r="D19" s="28">
        <f>Electricity!D18</f>
        <v>10</v>
      </c>
      <c r="E19" s="14">
        <v>2112</v>
      </c>
      <c r="F19" s="22">
        <v>0</v>
      </c>
      <c r="G19" s="22">
        <f t="shared" si="0"/>
        <v>0</v>
      </c>
      <c r="H19" s="62">
        <f t="shared" si="1"/>
        <v>0</v>
      </c>
      <c r="I19" s="54"/>
    </row>
    <row r="20" spans="1:9" ht="17.100000000000001" customHeight="1">
      <c r="A20" s="60"/>
      <c r="B20" s="61">
        <v>12</v>
      </c>
      <c r="C20" s="28">
        <f>Electricity!C19</f>
        <v>2</v>
      </c>
      <c r="D20" s="28">
        <f>Electricity!D19</f>
        <v>26</v>
      </c>
      <c r="E20" s="14">
        <v>2112</v>
      </c>
      <c r="F20" s="22">
        <v>0</v>
      </c>
      <c r="G20" s="22">
        <f t="shared" si="0"/>
        <v>0</v>
      </c>
      <c r="H20" s="62">
        <f t="shared" si="1"/>
        <v>0</v>
      </c>
      <c r="I20" s="54"/>
    </row>
    <row r="21" spans="1:9" ht="17.100000000000001" customHeight="1">
      <c r="A21" s="60"/>
      <c r="B21" s="61">
        <v>13</v>
      </c>
      <c r="C21" s="28">
        <f>Electricity!C20</f>
        <v>0</v>
      </c>
      <c r="D21" s="28">
        <f>Electricity!D20</f>
        <v>5</v>
      </c>
      <c r="E21" s="14">
        <v>2112</v>
      </c>
      <c r="F21" s="22">
        <v>16</v>
      </c>
      <c r="G21" s="22">
        <f t="shared" si="0"/>
        <v>171200</v>
      </c>
      <c r="H21" s="62">
        <f t="shared" si="1"/>
        <v>11.954472453040989</v>
      </c>
      <c r="I21" s="54"/>
    </row>
    <row r="22" spans="1:9" ht="17.100000000000001" customHeight="1">
      <c r="A22" s="60"/>
      <c r="B22" s="61">
        <v>14</v>
      </c>
      <c r="C22" s="28">
        <f>Electricity!C21</f>
        <v>2</v>
      </c>
      <c r="D22" s="28">
        <f>Electricity!D21</f>
        <v>12</v>
      </c>
      <c r="E22" s="14">
        <v>2128</v>
      </c>
      <c r="F22" s="22">
        <v>0</v>
      </c>
      <c r="G22" s="22">
        <f>F22*$G$8</f>
        <v>0</v>
      </c>
      <c r="H22" s="62">
        <f t="shared" si="1"/>
        <v>0</v>
      </c>
      <c r="I22" s="54"/>
    </row>
    <row r="23" spans="1:9" ht="17.100000000000001" customHeight="1">
      <c r="A23" s="60"/>
      <c r="B23" s="61">
        <v>15</v>
      </c>
      <c r="C23" s="28">
        <f>Electricity!C22</f>
        <v>2</v>
      </c>
      <c r="D23" s="28">
        <f>Electricity!D22</f>
        <v>23</v>
      </c>
      <c r="E23" s="14">
        <v>2128</v>
      </c>
      <c r="F23" s="22">
        <v>0</v>
      </c>
      <c r="G23" s="22">
        <f t="shared" ref="G23:G37" si="2">F23*$G$8</f>
        <v>0</v>
      </c>
      <c r="H23" s="62">
        <f t="shared" si="1"/>
        <v>0</v>
      </c>
      <c r="I23" s="54"/>
    </row>
    <row r="24" spans="1:9" ht="17.100000000000001" customHeight="1">
      <c r="A24" s="60"/>
      <c r="B24" s="61">
        <v>16</v>
      </c>
      <c r="C24" s="28">
        <f>Electricity!C23</f>
        <v>1</v>
      </c>
      <c r="D24" s="28">
        <f>Electricity!D23</f>
        <v>11</v>
      </c>
      <c r="E24" s="14">
        <v>2128</v>
      </c>
      <c r="F24" s="22">
        <v>0</v>
      </c>
      <c r="G24" s="22">
        <f t="shared" si="2"/>
        <v>0</v>
      </c>
      <c r="H24" s="62">
        <f t="shared" si="1"/>
        <v>0</v>
      </c>
      <c r="I24" s="54"/>
    </row>
    <row r="25" spans="1:9" ht="17.100000000000001" customHeight="1">
      <c r="A25" s="60"/>
      <c r="B25" s="61">
        <v>17</v>
      </c>
      <c r="C25" s="28">
        <f>Electricity!C24</f>
        <v>3</v>
      </c>
      <c r="D25" s="28">
        <f>Electricity!D24</f>
        <v>13</v>
      </c>
      <c r="E25" s="14">
        <v>2128</v>
      </c>
      <c r="F25" s="22">
        <v>0</v>
      </c>
      <c r="G25" s="22">
        <f t="shared" si="2"/>
        <v>0</v>
      </c>
      <c r="H25" s="62">
        <f t="shared" si="1"/>
        <v>0</v>
      </c>
      <c r="I25" s="54"/>
    </row>
    <row r="26" spans="1:9" ht="17.100000000000001" customHeight="1">
      <c r="A26" s="60"/>
      <c r="B26" s="61">
        <v>18</v>
      </c>
      <c r="C26" s="28">
        <f>Electricity!C25</f>
        <v>4</v>
      </c>
      <c r="D26" s="28">
        <f>Electricity!D25</f>
        <v>21</v>
      </c>
      <c r="E26" s="14">
        <v>2128</v>
      </c>
      <c r="F26" s="22">
        <v>0</v>
      </c>
      <c r="G26" s="22">
        <f t="shared" si="2"/>
        <v>0</v>
      </c>
      <c r="H26" s="62">
        <f t="shared" si="1"/>
        <v>0</v>
      </c>
      <c r="I26" s="54"/>
    </row>
    <row r="27" spans="1:9" ht="17.100000000000001" customHeight="1">
      <c r="A27" s="60"/>
      <c r="B27" s="61">
        <v>19</v>
      </c>
      <c r="C27" s="28">
        <f>Electricity!C26</f>
        <v>30</v>
      </c>
      <c r="D27" s="28">
        <f>Electricity!D26</f>
        <v>30</v>
      </c>
      <c r="E27" s="14">
        <v>2128</v>
      </c>
      <c r="F27" s="22">
        <v>0</v>
      </c>
      <c r="G27" s="22">
        <f t="shared" si="2"/>
        <v>0</v>
      </c>
      <c r="H27" s="62">
        <f t="shared" si="1"/>
        <v>0</v>
      </c>
      <c r="I27" s="54"/>
    </row>
    <row r="28" spans="1:9" ht="17.100000000000001" customHeight="1">
      <c r="A28" s="60"/>
      <c r="B28" s="61">
        <v>20</v>
      </c>
      <c r="C28" s="28">
        <f>Electricity!C27</f>
        <v>0</v>
      </c>
      <c r="D28" s="28">
        <f>Electricity!D27</f>
        <v>0</v>
      </c>
      <c r="E28" s="14">
        <v>2128</v>
      </c>
      <c r="F28" s="22">
        <v>0</v>
      </c>
      <c r="G28" s="22">
        <f t="shared" si="2"/>
        <v>0</v>
      </c>
      <c r="H28" s="62">
        <f t="shared" si="1"/>
        <v>0</v>
      </c>
      <c r="I28" s="54"/>
    </row>
    <row r="29" spans="1:9" ht="17.100000000000001" customHeight="1">
      <c r="A29" s="60"/>
      <c r="B29" s="61">
        <v>21</v>
      </c>
      <c r="C29" s="28">
        <f>Electricity!C28</f>
        <v>0</v>
      </c>
      <c r="D29" s="28">
        <f>Electricity!D28</f>
        <v>0</v>
      </c>
      <c r="E29" s="14">
        <v>2128</v>
      </c>
      <c r="F29" s="22">
        <v>0</v>
      </c>
      <c r="G29" s="22">
        <f t="shared" si="2"/>
        <v>0</v>
      </c>
      <c r="H29" s="62">
        <f t="shared" si="1"/>
        <v>0</v>
      </c>
      <c r="I29" s="54"/>
    </row>
    <row r="30" spans="1:9" ht="17.100000000000001" customHeight="1">
      <c r="A30" s="60"/>
      <c r="B30" s="61">
        <v>22</v>
      </c>
      <c r="C30" s="28">
        <f>Electricity!C29</f>
        <v>0</v>
      </c>
      <c r="D30" s="28">
        <f>Electricity!D29</f>
        <v>0</v>
      </c>
      <c r="E30" s="14">
        <v>2128</v>
      </c>
      <c r="F30" s="22">
        <v>18</v>
      </c>
      <c r="G30" s="22">
        <f t="shared" si="2"/>
        <v>192600</v>
      </c>
      <c r="H30" s="62">
        <f t="shared" si="1"/>
        <v>13.448781509671113</v>
      </c>
      <c r="I30" s="54"/>
    </row>
    <row r="31" spans="1:9" ht="17.100000000000001" customHeight="1">
      <c r="A31" s="60"/>
      <c r="B31" s="61">
        <v>23</v>
      </c>
      <c r="C31" s="28">
        <f>Electricity!C30</f>
        <v>1</v>
      </c>
      <c r="D31" s="28">
        <f>Electricity!D30</f>
        <v>7</v>
      </c>
      <c r="E31" s="14">
        <v>2146</v>
      </c>
      <c r="F31" s="22">
        <v>0</v>
      </c>
      <c r="G31" s="22">
        <f t="shared" si="2"/>
        <v>0</v>
      </c>
      <c r="H31" s="62">
        <f t="shared" si="1"/>
        <v>0</v>
      </c>
      <c r="I31" s="54"/>
    </row>
    <row r="32" spans="1:9" ht="17.100000000000001" customHeight="1">
      <c r="A32" s="60"/>
      <c r="B32" s="61">
        <v>24</v>
      </c>
      <c r="C32" s="28">
        <f>Electricity!C31</f>
        <v>2</v>
      </c>
      <c r="D32" s="28">
        <f>Electricity!D31</f>
        <v>36</v>
      </c>
      <c r="E32" s="14">
        <v>2146</v>
      </c>
      <c r="F32" s="22">
        <v>0</v>
      </c>
      <c r="G32" s="22">
        <f t="shared" si="2"/>
        <v>0</v>
      </c>
      <c r="H32" s="62">
        <f t="shared" si="1"/>
        <v>0</v>
      </c>
      <c r="I32" s="54"/>
    </row>
    <row r="33" spans="1:11" ht="17.100000000000001" customHeight="1">
      <c r="A33" s="60"/>
      <c r="B33" s="61">
        <v>25</v>
      </c>
      <c r="C33" s="28">
        <f>Electricity!C32</f>
        <v>5</v>
      </c>
      <c r="D33" s="28">
        <f>Electricity!D32</f>
        <v>22</v>
      </c>
      <c r="E33" s="14">
        <v>2146</v>
      </c>
      <c r="F33" s="22">
        <v>0</v>
      </c>
      <c r="G33" s="22">
        <f t="shared" si="2"/>
        <v>0</v>
      </c>
      <c r="H33" s="62">
        <f t="shared" si="1"/>
        <v>0</v>
      </c>
      <c r="I33" s="54"/>
    </row>
    <row r="34" spans="1:11" ht="17.100000000000001" customHeight="1">
      <c r="A34" s="60"/>
      <c r="B34" s="61">
        <v>26</v>
      </c>
      <c r="C34" s="28">
        <f>Electricity!C33</f>
        <v>5</v>
      </c>
      <c r="D34" s="28">
        <f>Electricity!D33</f>
        <v>11</v>
      </c>
      <c r="E34" s="14">
        <v>2146</v>
      </c>
      <c r="F34" s="22">
        <v>0</v>
      </c>
      <c r="G34" s="22">
        <f t="shared" si="2"/>
        <v>0</v>
      </c>
      <c r="H34" s="62">
        <f t="shared" si="1"/>
        <v>0</v>
      </c>
      <c r="I34" s="54"/>
    </row>
    <row r="35" spans="1:11" ht="17.100000000000001" customHeight="1">
      <c r="A35" s="60"/>
      <c r="B35" s="61">
        <v>27</v>
      </c>
      <c r="C35" s="28">
        <f>Electricity!C34</f>
        <v>6</v>
      </c>
      <c r="D35" s="28">
        <f>Electricity!D34</f>
        <v>18</v>
      </c>
      <c r="E35" s="14">
        <v>2146</v>
      </c>
      <c r="F35" s="22">
        <v>0</v>
      </c>
      <c r="G35" s="22">
        <f t="shared" si="2"/>
        <v>0</v>
      </c>
      <c r="H35" s="62">
        <f t="shared" si="1"/>
        <v>0</v>
      </c>
      <c r="I35" s="54"/>
    </row>
    <row r="36" spans="1:11" ht="17.100000000000001" customHeight="1">
      <c r="A36" s="60"/>
      <c r="B36" s="61">
        <v>28</v>
      </c>
      <c r="C36" s="28">
        <f>Electricity!C35</f>
        <v>8</v>
      </c>
      <c r="D36" s="28">
        <f>Electricity!D35</f>
        <v>31</v>
      </c>
      <c r="E36" s="14">
        <v>2146</v>
      </c>
      <c r="F36" s="22">
        <v>21</v>
      </c>
      <c r="G36" s="22">
        <f t="shared" si="2"/>
        <v>224700</v>
      </c>
      <c r="H36" s="62">
        <f t="shared" si="1"/>
        <v>15.690245094616298</v>
      </c>
      <c r="I36" s="54"/>
    </row>
    <row r="37" spans="1:11" ht="17.100000000000001" customHeight="1">
      <c r="A37" s="60"/>
      <c r="B37" s="61">
        <v>29</v>
      </c>
      <c r="C37" s="28">
        <f>Electricity!C36</f>
        <v>13</v>
      </c>
      <c r="D37" s="28">
        <f>Electricity!D36</f>
        <v>40</v>
      </c>
      <c r="E37" s="14">
        <v>2167</v>
      </c>
      <c r="F37" s="22">
        <v>0</v>
      </c>
      <c r="G37" s="22">
        <f t="shared" si="2"/>
        <v>0</v>
      </c>
      <c r="H37" s="62">
        <f t="shared" si="1"/>
        <v>0</v>
      </c>
      <c r="I37" s="54"/>
    </row>
    <row r="38" spans="1:11" ht="17.100000000000001" customHeight="1">
      <c r="A38" s="60"/>
      <c r="B38" s="61">
        <v>30</v>
      </c>
      <c r="C38" s="28">
        <f>Electricity!C37</f>
        <v>10</v>
      </c>
      <c r="D38" s="28">
        <f>Electricity!D37</f>
        <v>50</v>
      </c>
      <c r="E38" s="14">
        <v>2167</v>
      </c>
      <c r="F38" s="22">
        <v>0</v>
      </c>
      <c r="G38" s="22">
        <f>F38*$G$8</f>
        <v>0</v>
      </c>
      <c r="H38" s="62">
        <f t="shared" si="1"/>
        <v>0</v>
      </c>
      <c r="I38" s="54"/>
    </row>
    <row r="39" spans="1:11" ht="21.6" customHeight="1">
      <c r="C39" s="18">
        <f>SUM(C9:C38)</f>
        <v>115</v>
      </c>
      <c r="D39" s="18">
        <f>SUM(D9:D38)</f>
        <v>500</v>
      </c>
      <c r="E39" s="18">
        <v>2167</v>
      </c>
      <c r="F39" s="18">
        <f>SUM(F9:F38)</f>
        <v>55</v>
      </c>
      <c r="G39" s="71">
        <f>SUM(G9:G38)</f>
        <v>588500</v>
      </c>
      <c r="H39" s="36">
        <f>SUM(H9:H38)</f>
        <v>41.093499057328401</v>
      </c>
      <c r="K39" s="30"/>
    </row>
    <row r="40" spans="1:11">
      <c r="E40" s="18"/>
      <c r="F40" s="20"/>
      <c r="G40" s="20"/>
      <c r="H40" s="21"/>
    </row>
    <row r="41" spans="1:11">
      <c r="C41" t="s">
        <v>29</v>
      </c>
      <c r="E41" s="79"/>
      <c r="F41" s="83"/>
      <c r="G41" s="83"/>
    </row>
    <row r="42" spans="1:11">
      <c r="E42" s="79"/>
      <c r="F42" s="83"/>
      <c r="G42" s="83"/>
    </row>
  </sheetData>
  <mergeCells count="9">
    <mergeCell ref="B5:B8"/>
    <mergeCell ref="C5:C8"/>
    <mergeCell ref="B1:H1"/>
    <mergeCell ref="B2:H2"/>
    <mergeCell ref="B4:H4"/>
    <mergeCell ref="D5:D8"/>
    <mergeCell ref="F7:F8"/>
    <mergeCell ref="H5:H8"/>
    <mergeCell ref="E5:G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O42"/>
  <sheetViews>
    <sheetView topLeftCell="A8" zoomScaleNormal="100" workbookViewId="0">
      <selection activeCell="O37" sqref="O37"/>
    </sheetView>
  </sheetViews>
  <sheetFormatPr defaultRowHeight="12.75"/>
  <cols>
    <col min="1" max="1" width="2.5703125" customWidth="1"/>
    <col min="2" max="2" width="4.7109375" customWidth="1"/>
    <col min="3" max="3" width="6.42578125" customWidth="1"/>
    <col min="4" max="4" width="6.42578125" style="6" customWidth="1"/>
    <col min="5" max="5" width="9.42578125" style="1" customWidth="1"/>
    <col min="6" max="6" width="16.5703125" style="1" customWidth="1"/>
    <col min="7" max="7" width="10.28515625" style="1" customWidth="1"/>
    <col min="8" max="8" width="16.7109375" style="1" customWidth="1"/>
    <col min="9" max="9" width="10.28515625" style="1" customWidth="1"/>
    <col min="10" max="10" width="16.7109375" style="1" customWidth="1"/>
    <col min="11" max="11" width="16.28515625" style="27" customWidth="1"/>
    <col min="12" max="12" width="19.7109375" customWidth="1"/>
    <col min="13" max="13" width="2.5703125" customWidth="1"/>
    <col min="15" max="15" width="20.5703125" customWidth="1"/>
  </cols>
  <sheetData>
    <row r="2" spans="1:13" ht="15.75">
      <c r="B2" s="84" t="s">
        <v>49</v>
      </c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3" ht="15.75">
      <c r="B3" s="84" t="s">
        <v>16</v>
      </c>
      <c r="C3" s="84"/>
      <c r="D3" s="84"/>
      <c r="E3" s="84"/>
      <c r="F3" s="84"/>
      <c r="G3" s="84"/>
      <c r="H3" s="84"/>
      <c r="I3" s="84"/>
      <c r="J3" s="84"/>
      <c r="K3" s="84"/>
      <c r="L3" s="84"/>
    </row>
    <row r="4" spans="1:13">
      <c r="B4" s="5"/>
      <c r="C4" s="4"/>
      <c r="D4" s="13"/>
      <c r="E4" s="4"/>
      <c r="F4" s="4"/>
      <c r="G4" s="4"/>
      <c r="H4" s="4"/>
      <c r="I4" s="4"/>
      <c r="J4" s="4"/>
      <c r="K4" s="72"/>
    </row>
    <row r="5" spans="1:13">
      <c r="A5" s="7"/>
      <c r="B5" s="87">
        <v>44440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7"/>
    </row>
    <row r="6" spans="1:13" ht="23.25" customHeight="1">
      <c r="A6" s="63"/>
      <c r="B6" s="86" t="s">
        <v>17</v>
      </c>
      <c r="C6" s="86" t="s">
        <v>50</v>
      </c>
      <c r="D6" s="86" t="s">
        <v>13</v>
      </c>
      <c r="E6" s="93" t="s">
        <v>51</v>
      </c>
      <c r="F6" s="93"/>
      <c r="G6" s="94" t="s">
        <v>52</v>
      </c>
      <c r="H6" s="94"/>
      <c r="I6" s="94"/>
      <c r="J6" s="94"/>
      <c r="K6" s="98" t="s">
        <v>53</v>
      </c>
      <c r="L6" s="86" t="s">
        <v>54</v>
      </c>
      <c r="M6" s="53"/>
    </row>
    <row r="7" spans="1:13" s="6" customFormat="1" ht="48" customHeight="1">
      <c r="A7" s="63"/>
      <c r="B7" s="86"/>
      <c r="C7" s="86"/>
      <c r="D7" s="86"/>
      <c r="E7" s="86" t="s">
        <v>55</v>
      </c>
      <c r="F7" s="86" t="s">
        <v>56</v>
      </c>
      <c r="G7" s="86" t="s">
        <v>55</v>
      </c>
      <c r="H7" s="86" t="s">
        <v>57</v>
      </c>
      <c r="I7" s="86" t="s">
        <v>58</v>
      </c>
      <c r="J7" s="86" t="s">
        <v>59</v>
      </c>
      <c r="K7" s="98"/>
      <c r="L7" s="86"/>
      <c r="M7" s="53"/>
    </row>
    <row r="8" spans="1:13" ht="15.75" customHeight="1">
      <c r="A8" s="64"/>
      <c r="B8" s="86"/>
      <c r="C8" s="86"/>
      <c r="D8" s="86"/>
      <c r="E8" s="86"/>
      <c r="F8" s="86"/>
      <c r="G8" s="86"/>
      <c r="H8" s="86"/>
      <c r="I8" s="86"/>
      <c r="J8" s="86"/>
      <c r="K8" s="98"/>
      <c r="L8" s="86"/>
      <c r="M8" s="54"/>
    </row>
    <row r="9" spans="1:13" ht="15.75" customHeight="1">
      <c r="A9" s="64"/>
      <c r="B9" s="61">
        <v>1</v>
      </c>
      <c r="C9" s="28">
        <f>Electricity!C8</f>
        <v>0</v>
      </c>
      <c r="D9" s="28">
        <f>Electricity!D8</f>
        <v>6</v>
      </c>
      <c r="E9" s="10">
        <v>0</v>
      </c>
      <c r="F9" s="3">
        <f>E9*13582</f>
        <v>0</v>
      </c>
      <c r="G9" s="10">
        <v>52</v>
      </c>
      <c r="H9" s="3">
        <f>G9*4000</f>
        <v>208000</v>
      </c>
      <c r="I9" s="10">
        <v>211</v>
      </c>
      <c r="J9" s="3">
        <f>I9*4000</f>
        <v>844000</v>
      </c>
      <c r="K9" s="11">
        <f t="shared" ref="K9:K38" si="0">F9+H9+J9</f>
        <v>1052000</v>
      </c>
      <c r="L9" s="65">
        <f>K9/14321</f>
        <v>73.458557363312622</v>
      </c>
      <c r="M9" s="54"/>
    </row>
    <row r="10" spans="1:13" ht="17.100000000000001" customHeight="1">
      <c r="A10" s="64"/>
      <c r="B10" s="61">
        <v>2</v>
      </c>
      <c r="C10" s="28">
        <f>Electricity!C9</f>
        <v>1</v>
      </c>
      <c r="D10" s="28">
        <f>Electricity!D9</f>
        <v>3</v>
      </c>
      <c r="E10" s="10">
        <v>0</v>
      </c>
      <c r="F10" s="3">
        <f>E10*13582</f>
        <v>0</v>
      </c>
      <c r="G10" s="10">
        <v>100</v>
      </c>
      <c r="H10" s="3">
        <f>G10*4000</f>
        <v>400000</v>
      </c>
      <c r="I10" s="10">
        <v>150</v>
      </c>
      <c r="J10" s="3">
        <f>I10*4000</f>
        <v>600000</v>
      </c>
      <c r="K10" s="11">
        <f t="shared" si="0"/>
        <v>1000000</v>
      </c>
      <c r="L10" s="65">
        <f t="shared" ref="L10:L38" si="1">K10/14321</f>
        <v>69.827526010753445</v>
      </c>
      <c r="M10" s="54"/>
    </row>
    <row r="11" spans="1:13" ht="17.100000000000001" customHeight="1">
      <c r="A11" s="64"/>
      <c r="B11" s="61">
        <v>3</v>
      </c>
      <c r="C11" s="28">
        <f>Electricity!C10</f>
        <v>4</v>
      </c>
      <c r="D11" s="28">
        <f>Electricity!D10</f>
        <v>21</v>
      </c>
      <c r="E11" s="10">
        <v>0</v>
      </c>
      <c r="F11" s="3">
        <f t="shared" ref="F11:F38" si="2">E11*13582</f>
        <v>0</v>
      </c>
      <c r="G11" s="10">
        <v>5</v>
      </c>
      <c r="H11" s="3">
        <f t="shared" ref="H11:H38" si="3">G11*4000</f>
        <v>20000</v>
      </c>
      <c r="I11" s="10">
        <v>232</v>
      </c>
      <c r="J11" s="3">
        <f t="shared" ref="J11:J38" si="4">I11*4000</f>
        <v>928000</v>
      </c>
      <c r="K11" s="11">
        <f t="shared" si="0"/>
        <v>948000</v>
      </c>
      <c r="L11" s="65">
        <f t="shared" si="1"/>
        <v>66.196494658194254</v>
      </c>
      <c r="M11" s="54"/>
    </row>
    <row r="12" spans="1:13" ht="17.100000000000001" customHeight="1">
      <c r="A12" s="64"/>
      <c r="B12" s="61">
        <v>4</v>
      </c>
      <c r="C12" s="28">
        <f>Electricity!C11</f>
        <v>4</v>
      </c>
      <c r="D12" s="28">
        <f>Electricity!D11</f>
        <v>23</v>
      </c>
      <c r="E12" s="10">
        <v>0</v>
      </c>
      <c r="F12" s="3">
        <f t="shared" si="2"/>
        <v>0</v>
      </c>
      <c r="G12" s="10">
        <v>101</v>
      </c>
      <c r="H12" s="3">
        <f t="shared" si="3"/>
        <v>404000</v>
      </c>
      <c r="I12" s="10">
        <v>168</v>
      </c>
      <c r="J12" s="3">
        <f t="shared" si="4"/>
        <v>672000</v>
      </c>
      <c r="K12" s="11">
        <f t="shared" si="0"/>
        <v>1076000</v>
      </c>
      <c r="L12" s="65">
        <f t="shared" si="1"/>
        <v>75.1344179875707</v>
      </c>
      <c r="M12" s="54"/>
    </row>
    <row r="13" spans="1:13" ht="17.100000000000001" customHeight="1">
      <c r="A13" s="64"/>
      <c r="B13" s="61">
        <v>5</v>
      </c>
      <c r="C13" s="28">
        <f>Electricity!C12</f>
        <v>1</v>
      </c>
      <c r="D13" s="28">
        <f>Electricity!D12</f>
        <v>25</v>
      </c>
      <c r="E13" s="10">
        <v>0</v>
      </c>
      <c r="F13" s="3">
        <f t="shared" si="2"/>
        <v>0</v>
      </c>
      <c r="G13" s="10">
        <v>48</v>
      </c>
      <c r="H13" s="3">
        <f t="shared" si="3"/>
        <v>192000</v>
      </c>
      <c r="I13" s="10">
        <v>202</v>
      </c>
      <c r="J13" s="3">
        <f t="shared" si="4"/>
        <v>808000</v>
      </c>
      <c r="K13" s="11">
        <f t="shared" si="0"/>
        <v>1000000</v>
      </c>
      <c r="L13" s="65">
        <f t="shared" si="1"/>
        <v>69.827526010753445</v>
      </c>
      <c r="M13" s="54"/>
    </row>
    <row r="14" spans="1:13" ht="17.100000000000001" customHeight="1">
      <c r="A14" s="64"/>
      <c r="B14" s="61">
        <v>6</v>
      </c>
      <c r="C14" s="28">
        <f>Electricity!C13</f>
        <v>0</v>
      </c>
      <c r="D14" s="28">
        <f>Electricity!D13</f>
        <v>4</v>
      </c>
      <c r="E14" s="10">
        <v>0</v>
      </c>
      <c r="F14" s="3">
        <f t="shared" si="2"/>
        <v>0</v>
      </c>
      <c r="G14" s="10">
        <v>97</v>
      </c>
      <c r="H14" s="3">
        <f t="shared" si="3"/>
        <v>388000</v>
      </c>
      <c r="I14" s="10">
        <v>231</v>
      </c>
      <c r="J14" s="3">
        <f t="shared" si="4"/>
        <v>924000</v>
      </c>
      <c r="K14" s="11">
        <f t="shared" si="0"/>
        <v>1312000</v>
      </c>
      <c r="L14" s="65">
        <f t="shared" si="1"/>
        <v>91.613714126108519</v>
      </c>
      <c r="M14" s="54"/>
    </row>
    <row r="15" spans="1:13" ht="17.100000000000001" customHeight="1">
      <c r="A15" s="64"/>
      <c r="B15" s="61">
        <v>7</v>
      </c>
      <c r="C15" s="28">
        <f>Electricity!C14</f>
        <v>3</v>
      </c>
      <c r="D15" s="28">
        <f>Electricity!D14</f>
        <v>7</v>
      </c>
      <c r="E15" s="10">
        <v>0</v>
      </c>
      <c r="F15" s="3">
        <f t="shared" si="2"/>
        <v>0</v>
      </c>
      <c r="G15" s="10">
        <v>56</v>
      </c>
      <c r="H15" s="3">
        <f t="shared" si="3"/>
        <v>224000</v>
      </c>
      <c r="I15" s="10">
        <v>189</v>
      </c>
      <c r="J15" s="3">
        <f t="shared" si="4"/>
        <v>756000</v>
      </c>
      <c r="K15" s="11">
        <f t="shared" si="0"/>
        <v>980000</v>
      </c>
      <c r="L15" s="65">
        <f t="shared" si="1"/>
        <v>68.430975490538373</v>
      </c>
      <c r="M15" s="54"/>
    </row>
    <row r="16" spans="1:13" ht="17.100000000000001" customHeight="1">
      <c r="A16" s="64"/>
      <c r="B16" s="61">
        <v>8</v>
      </c>
      <c r="C16" s="28">
        <f>Electricity!C15</f>
        <v>4</v>
      </c>
      <c r="D16" s="28">
        <f>Electricity!D15</f>
        <v>18</v>
      </c>
      <c r="E16" s="10">
        <v>0</v>
      </c>
      <c r="F16" s="3">
        <f t="shared" si="2"/>
        <v>0</v>
      </c>
      <c r="G16" s="10">
        <v>68</v>
      </c>
      <c r="H16" s="3">
        <f t="shared" si="3"/>
        <v>272000</v>
      </c>
      <c r="I16" s="10">
        <v>233</v>
      </c>
      <c r="J16" s="3">
        <f t="shared" si="4"/>
        <v>932000</v>
      </c>
      <c r="K16" s="11">
        <f t="shared" si="0"/>
        <v>1204000</v>
      </c>
      <c r="L16" s="65">
        <f t="shared" si="1"/>
        <v>84.072341316947146</v>
      </c>
      <c r="M16" s="54"/>
    </row>
    <row r="17" spans="1:13" ht="17.100000000000001" customHeight="1">
      <c r="A17" s="64"/>
      <c r="B17" s="61">
        <v>9</v>
      </c>
      <c r="C17" s="28">
        <f>Electricity!C16</f>
        <v>0</v>
      </c>
      <c r="D17" s="28">
        <f>Electricity!D16</f>
        <v>24</v>
      </c>
      <c r="E17" s="10">
        <v>0</v>
      </c>
      <c r="F17" s="3">
        <f t="shared" si="2"/>
        <v>0</v>
      </c>
      <c r="G17" s="10">
        <v>108</v>
      </c>
      <c r="H17" s="3">
        <f t="shared" si="3"/>
        <v>432000</v>
      </c>
      <c r="I17" s="10">
        <v>160</v>
      </c>
      <c r="J17" s="3">
        <f t="shared" si="4"/>
        <v>640000</v>
      </c>
      <c r="K17" s="11">
        <f t="shared" si="0"/>
        <v>1072000</v>
      </c>
      <c r="L17" s="65">
        <f t="shared" si="1"/>
        <v>74.85510788352768</v>
      </c>
      <c r="M17" s="54"/>
    </row>
    <row r="18" spans="1:13" ht="17.100000000000001" customHeight="1">
      <c r="A18" s="64"/>
      <c r="B18" s="61">
        <v>10</v>
      </c>
      <c r="C18" s="28">
        <f>Electricity!C17</f>
        <v>1</v>
      </c>
      <c r="D18" s="28">
        <f>Electricity!D17</f>
        <v>3</v>
      </c>
      <c r="E18" s="10">
        <v>0</v>
      </c>
      <c r="F18" s="3">
        <f t="shared" si="2"/>
        <v>0</v>
      </c>
      <c r="G18" s="10">
        <v>0</v>
      </c>
      <c r="H18" s="3">
        <f t="shared" si="3"/>
        <v>0</v>
      </c>
      <c r="I18" s="10">
        <v>239</v>
      </c>
      <c r="J18" s="3">
        <f t="shared" si="4"/>
        <v>956000</v>
      </c>
      <c r="K18" s="11">
        <f t="shared" si="0"/>
        <v>956000</v>
      </c>
      <c r="L18" s="65">
        <f t="shared" si="1"/>
        <v>66.755114866280294</v>
      </c>
      <c r="M18" s="54"/>
    </row>
    <row r="19" spans="1:13" ht="17.100000000000001" customHeight="1">
      <c r="A19" s="64"/>
      <c r="B19" s="61">
        <v>11</v>
      </c>
      <c r="C19" s="28">
        <f>Electricity!C18</f>
        <v>3</v>
      </c>
      <c r="D19" s="28">
        <f>Electricity!D18</f>
        <v>10</v>
      </c>
      <c r="E19" s="10">
        <v>0</v>
      </c>
      <c r="F19" s="3">
        <f t="shared" si="2"/>
        <v>0</v>
      </c>
      <c r="G19" s="10">
        <v>0</v>
      </c>
      <c r="H19" s="3">
        <f t="shared" si="3"/>
        <v>0</v>
      </c>
      <c r="I19" s="10">
        <v>258</v>
      </c>
      <c r="J19" s="3">
        <f t="shared" si="4"/>
        <v>1032000</v>
      </c>
      <c r="K19" s="11">
        <f t="shared" si="0"/>
        <v>1032000</v>
      </c>
      <c r="L19" s="65">
        <f t="shared" si="1"/>
        <v>72.062006843097549</v>
      </c>
      <c r="M19" s="54"/>
    </row>
    <row r="20" spans="1:13" ht="17.100000000000001" customHeight="1">
      <c r="A20" s="64"/>
      <c r="B20" s="61">
        <v>12</v>
      </c>
      <c r="C20" s="28">
        <f>Electricity!C19</f>
        <v>2</v>
      </c>
      <c r="D20" s="28">
        <f>Electricity!D19</f>
        <v>26</v>
      </c>
      <c r="E20" s="10">
        <v>0</v>
      </c>
      <c r="F20" s="3">
        <f t="shared" si="2"/>
        <v>0</v>
      </c>
      <c r="G20" s="10">
        <v>0</v>
      </c>
      <c r="H20" s="3">
        <f>G20*4000</f>
        <v>0</v>
      </c>
      <c r="I20" s="10">
        <v>200</v>
      </c>
      <c r="J20" s="3">
        <f t="shared" si="4"/>
        <v>800000</v>
      </c>
      <c r="K20" s="11">
        <f t="shared" si="0"/>
        <v>800000</v>
      </c>
      <c r="L20" s="65">
        <f t="shared" si="1"/>
        <v>55.86202080860275</v>
      </c>
      <c r="M20" s="54"/>
    </row>
    <row r="21" spans="1:13" ht="17.100000000000001" customHeight="1">
      <c r="A21" s="64"/>
      <c r="B21" s="61">
        <v>13</v>
      </c>
      <c r="C21" s="28">
        <f>Electricity!C20</f>
        <v>0</v>
      </c>
      <c r="D21" s="28">
        <f>Electricity!D20</f>
        <v>5</v>
      </c>
      <c r="E21" s="10">
        <v>0</v>
      </c>
      <c r="F21" s="3">
        <f t="shared" si="2"/>
        <v>0</v>
      </c>
      <c r="G21" s="10">
        <v>0</v>
      </c>
      <c r="H21" s="3">
        <f t="shared" si="3"/>
        <v>0</v>
      </c>
      <c r="I21" s="10">
        <v>235</v>
      </c>
      <c r="J21" s="3">
        <f t="shared" si="4"/>
        <v>940000</v>
      </c>
      <c r="K21" s="11">
        <f t="shared" si="0"/>
        <v>940000</v>
      </c>
      <c r="L21" s="65">
        <f t="shared" si="1"/>
        <v>65.637874450108228</v>
      </c>
      <c r="M21" s="54"/>
    </row>
    <row r="22" spans="1:13" ht="17.100000000000001" customHeight="1">
      <c r="A22" s="64"/>
      <c r="B22" s="61">
        <v>14</v>
      </c>
      <c r="C22" s="28">
        <f>Electricity!C21</f>
        <v>2</v>
      </c>
      <c r="D22" s="28">
        <f>Electricity!D21</f>
        <v>12</v>
      </c>
      <c r="E22" s="10">
        <v>0</v>
      </c>
      <c r="F22" s="3">
        <f t="shared" si="2"/>
        <v>0</v>
      </c>
      <c r="G22" s="10">
        <v>47</v>
      </c>
      <c r="H22" s="3">
        <f t="shared" si="3"/>
        <v>188000</v>
      </c>
      <c r="I22" s="10">
        <v>223</v>
      </c>
      <c r="J22" s="3">
        <f t="shared" si="4"/>
        <v>892000</v>
      </c>
      <c r="K22" s="11">
        <f t="shared" si="0"/>
        <v>1080000</v>
      </c>
      <c r="L22" s="65">
        <f t="shared" si="1"/>
        <v>75.41372809161372</v>
      </c>
      <c r="M22" s="54"/>
    </row>
    <row r="23" spans="1:13" ht="17.100000000000001" customHeight="1">
      <c r="A23" s="64"/>
      <c r="B23" s="61">
        <v>15</v>
      </c>
      <c r="C23" s="28">
        <f>Electricity!C22</f>
        <v>2</v>
      </c>
      <c r="D23" s="28">
        <f>Electricity!D22</f>
        <v>23</v>
      </c>
      <c r="E23" s="10">
        <v>0</v>
      </c>
      <c r="F23" s="3">
        <f t="shared" si="2"/>
        <v>0</v>
      </c>
      <c r="G23" s="10">
        <v>107</v>
      </c>
      <c r="H23" s="3">
        <f t="shared" si="3"/>
        <v>428000</v>
      </c>
      <c r="I23" s="10">
        <v>159</v>
      </c>
      <c r="J23" s="3">
        <f t="shared" si="4"/>
        <v>636000</v>
      </c>
      <c r="K23" s="11">
        <f t="shared" si="0"/>
        <v>1064000</v>
      </c>
      <c r="L23" s="65">
        <f t="shared" si="1"/>
        <v>74.296487675441654</v>
      </c>
      <c r="M23" s="54"/>
    </row>
    <row r="24" spans="1:13" ht="17.100000000000001" customHeight="1">
      <c r="A24" s="64"/>
      <c r="B24" s="61">
        <v>16</v>
      </c>
      <c r="C24" s="28">
        <f>Electricity!C23</f>
        <v>1</v>
      </c>
      <c r="D24" s="28">
        <f>Electricity!D23</f>
        <v>11</v>
      </c>
      <c r="E24" s="10">
        <v>0</v>
      </c>
      <c r="F24" s="3">
        <f t="shared" si="2"/>
        <v>0</v>
      </c>
      <c r="G24" s="10">
        <v>112</v>
      </c>
      <c r="H24" s="3">
        <f t="shared" si="3"/>
        <v>448000</v>
      </c>
      <c r="I24" s="10">
        <v>164</v>
      </c>
      <c r="J24" s="3">
        <f t="shared" si="4"/>
        <v>656000</v>
      </c>
      <c r="K24" s="11">
        <f t="shared" si="0"/>
        <v>1104000</v>
      </c>
      <c r="L24" s="65">
        <f t="shared" si="1"/>
        <v>77.089588715871798</v>
      </c>
      <c r="M24" s="54"/>
    </row>
    <row r="25" spans="1:13" ht="17.100000000000001" customHeight="1">
      <c r="A25" s="64"/>
      <c r="B25" s="61">
        <v>17</v>
      </c>
      <c r="C25" s="28">
        <f>Electricity!C24</f>
        <v>3</v>
      </c>
      <c r="D25" s="28">
        <f>Electricity!D24</f>
        <v>13</v>
      </c>
      <c r="E25" s="10">
        <v>0</v>
      </c>
      <c r="F25" s="3">
        <f t="shared" si="2"/>
        <v>0</v>
      </c>
      <c r="G25" s="10">
        <v>116</v>
      </c>
      <c r="H25" s="3">
        <f t="shared" si="3"/>
        <v>464000</v>
      </c>
      <c r="I25" s="10">
        <v>162</v>
      </c>
      <c r="J25" s="3">
        <f t="shared" si="4"/>
        <v>648000</v>
      </c>
      <c r="K25" s="11">
        <f t="shared" si="0"/>
        <v>1112000</v>
      </c>
      <c r="L25" s="65">
        <f t="shared" si="1"/>
        <v>77.648208923957824</v>
      </c>
      <c r="M25" s="54"/>
    </row>
    <row r="26" spans="1:13" ht="17.100000000000001" customHeight="1">
      <c r="A26" s="64"/>
      <c r="B26" s="61">
        <v>18</v>
      </c>
      <c r="C26" s="28">
        <f>Electricity!C25</f>
        <v>4</v>
      </c>
      <c r="D26" s="28">
        <f>Electricity!D25</f>
        <v>21</v>
      </c>
      <c r="E26" s="10">
        <v>0</v>
      </c>
      <c r="F26" s="3">
        <f t="shared" si="2"/>
        <v>0</v>
      </c>
      <c r="G26" s="10">
        <v>21</v>
      </c>
      <c r="H26" s="3">
        <f t="shared" si="3"/>
        <v>84000</v>
      </c>
      <c r="I26" s="10">
        <v>246</v>
      </c>
      <c r="J26" s="3">
        <f t="shared" si="4"/>
        <v>984000</v>
      </c>
      <c r="K26" s="11">
        <f t="shared" si="0"/>
        <v>1068000</v>
      </c>
      <c r="L26" s="65">
        <f t="shared" si="1"/>
        <v>74.575797779484674</v>
      </c>
      <c r="M26" s="54"/>
    </row>
    <row r="27" spans="1:13" ht="17.100000000000001" customHeight="1">
      <c r="A27" s="64"/>
      <c r="B27" s="61">
        <v>19</v>
      </c>
      <c r="C27" s="28">
        <f>Electricity!C26</f>
        <v>30</v>
      </c>
      <c r="D27" s="28">
        <f>Electricity!D26</f>
        <v>30</v>
      </c>
      <c r="E27" s="10">
        <v>0</v>
      </c>
      <c r="F27" s="3">
        <f t="shared" si="2"/>
        <v>0</v>
      </c>
      <c r="G27" s="10">
        <v>120</v>
      </c>
      <c r="H27" s="3">
        <f t="shared" si="3"/>
        <v>480000</v>
      </c>
      <c r="I27" s="10">
        <v>179</v>
      </c>
      <c r="J27" s="3">
        <f t="shared" si="4"/>
        <v>716000</v>
      </c>
      <c r="K27" s="11">
        <f t="shared" si="0"/>
        <v>1196000</v>
      </c>
      <c r="L27" s="65">
        <f t="shared" si="1"/>
        <v>83.51372110886112</v>
      </c>
      <c r="M27" s="54"/>
    </row>
    <row r="28" spans="1:13" ht="17.100000000000001" customHeight="1">
      <c r="A28" s="64"/>
      <c r="B28" s="61">
        <v>20</v>
      </c>
      <c r="C28" s="28">
        <f>Electricity!C27</f>
        <v>0</v>
      </c>
      <c r="D28" s="28">
        <f>Electricity!D27</f>
        <v>0</v>
      </c>
      <c r="E28" s="10">
        <v>0</v>
      </c>
      <c r="F28" s="3">
        <f t="shared" si="2"/>
        <v>0</v>
      </c>
      <c r="G28" s="10">
        <v>64</v>
      </c>
      <c r="H28" s="3">
        <f t="shared" si="3"/>
        <v>256000</v>
      </c>
      <c r="I28" s="10">
        <v>226</v>
      </c>
      <c r="J28" s="3">
        <f t="shared" si="4"/>
        <v>904000</v>
      </c>
      <c r="K28" s="11">
        <f t="shared" si="0"/>
        <v>1160000</v>
      </c>
      <c r="L28" s="65">
        <f t="shared" si="1"/>
        <v>80.999930172473995</v>
      </c>
      <c r="M28" s="54"/>
    </row>
    <row r="29" spans="1:13" ht="17.100000000000001" customHeight="1">
      <c r="A29" s="64"/>
      <c r="B29" s="61">
        <v>21</v>
      </c>
      <c r="C29" s="28">
        <f>Electricity!C28</f>
        <v>0</v>
      </c>
      <c r="D29" s="28">
        <f>Electricity!D28</f>
        <v>0</v>
      </c>
      <c r="E29" s="10">
        <v>0</v>
      </c>
      <c r="F29" s="3">
        <f t="shared" si="2"/>
        <v>0</v>
      </c>
      <c r="G29" s="10">
        <v>118</v>
      </c>
      <c r="H29" s="3">
        <f t="shared" si="3"/>
        <v>472000</v>
      </c>
      <c r="I29" s="10">
        <v>172</v>
      </c>
      <c r="J29" s="3">
        <f t="shared" si="4"/>
        <v>688000</v>
      </c>
      <c r="K29" s="11">
        <f t="shared" si="0"/>
        <v>1160000</v>
      </c>
      <c r="L29" s="65">
        <f t="shared" si="1"/>
        <v>80.999930172473995</v>
      </c>
      <c r="M29" s="54"/>
    </row>
    <row r="30" spans="1:13" ht="17.100000000000001" customHeight="1">
      <c r="A30" s="64"/>
      <c r="B30" s="61">
        <v>22</v>
      </c>
      <c r="C30" s="28">
        <f>Electricity!C29</f>
        <v>0</v>
      </c>
      <c r="D30" s="28">
        <f>Electricity!D29</f>
        <v>0</v>
      </c>
      <c r="E30" s="10">
        <v>0</v>
      </c>
      <c r="F30" s="3">
        <f t="shared" si="2"/>
        <v>0</v>
      </c>
      <c r="G30" s="10">
        <v>127</v>
      </c>
      <c r="H30" s="3">
        <f t="shared" si="3"/>
        <v>508000</v>
      </c>
      <c r="I30" s="10">
        <v>185</v>
      </c>
      <c r="J30" s="3">
        <f t="shared" si="4"/>
        <v>740000</v>
      </c>
      <c r="K30" s="11">
        <f t="shared" si="0"/>
        <v>1248000</v>
      </c>
      <c r="L30" s="65">
        <f t="shared" si="1"/>
        <v>87.144752461420296</v>
      </c>
      <c r="M30" s="54"/>
    </row>
    <row r="31" spans="1:13" ht="17.100000000000001" customHeight="1">
      <c r="A31" s="64"/>
      <c r="B31" s="61">
        <v>23</v>
      </c>
      <c r="C31" s="28">
        <f>Electricity!C30</f>
        <v>1</v>
      </c>
      <c r="D31" s="28">
        <f>Electricity!D30</f>
        <v>7</v>
      </c>
      <c r="E31" s="10">
        <v>0</v>
      </c>
      <c r="F31" s="3">
        <f t="shared" si="2"/>
        <v>0</v>
      </c>
      <c r="G31" s="10">
        <v>120</v>
      </c>
      <c r="H31" s="3">
        <f t="shared" si="3"/>
        <v>480000</v>
      </c>
      <c r="I31" s="10">
        <v>180</v>
      </c>
      <c r="J31" s="3">
        <f t="shared" si="4"/>
        <v>720000</v>
      </c>
      <c r="K31" s="11">
        <f t="shared" si="0"/>
        <v>1200000</v>
      </c>
      <c r="L31" s="65">
        <f t="shared" si="1"/>
        <v>83.793031212904125</v>
      </c>
      <c r="M31" s="54"/>
    </row>
    <row r="32" spans="1:13" ht="17.100000000000001" customHeight="1">
      <c r="A32" s="64"/>
      <c r="B32" s="61">
        <v>24</v>
      </c>
      <c r="C32" s="28">
        <f>Electricity!C31</f>
        <v>2</v>
      </c>
      <c r="D32" s="28">
        <f>Electricity!D31</f>
        <v>36</v>
      </c>
      <c r="E32" s="10">
        <v>0</v>
      </c>
      <c r="F32" s="3">
        <f t="shared" si="2"/>
        <v>0</v>
      </c>
      <c r="G32" s="10">
        <v>133</v>
      </c>
      <c r="H32" s="3">
        <f t="shared" si="3"/>
        <v>532000</v>
      </c>
      <c r="I32" s="10">
        <v>196</v>
      </c>
      <c r="J32" s="3">
        <f t="shared" si="4"/>
        <v>784000</v>
      </c>
      <c r="K32" s="11">
        <f t="shared" si="0"/>
        <v>1316000</v>
      </c>
      <c r="L32" s="65">
        <f t="shared" si="1"/>
        <v>91.893024230151525</v>
      </c>
      <c r="M32" s="54"/>
    </row>
    <row r="33" spans="1:15" ht="17.100000000000001" customHeight="1">
      <c r="A33" s="64"/>
      <c r="B33" s="61">
        <v>25</v>
      </c>
      <c r="C33" s="28">
        <f>Electricity!C32</f>
        <v>5</v>
      </c>
      <c r="D33" s="28">
        <f>Electricity!D32</f>
        <v>22</v>
      </c>
      <c r="E33" s="10">
        <v>0</v>
      </c>
      <c r="F33" s="3">
        <f t="shared" si="2"/>
        <v>0</v>
      </c>
      <c r="G33" s="10">
        <v>131</v>
      </c>
      <c r="H33" s="3">
        <f t="shared" si="3"/>
        <v>524000</v>
      </c>
      <c r="I33" s="10">
        <v>194</v>
      </c>
      <c r="J33" s="3">
        <f t="shared" si="4"/>
        <v>776000</v>
      </c>
      <c r="K33" s="11">
        <f t="shared" si="0"/>
        <v>1300000</v>
      </c>
      <c r="L33" s="65">
        <f t="shared" si="1"/>
        <v>90.775783813979473</v>
      </c>
      <c r="M33" s="54"/>
    </row>
    <row r="34" spans="1:15" ht="17.100000000000001" customHeight="1">
      <c r="A34" s="64"/>
      <c r="B34" s="61">
        <v>26</v>
      </c>
      <c r="C34" s="28">
        <f>Electricity!C33</f>
        <v>5</v>
      </c>
      <c r="D34" s="28">
        <f>Electricity!D33</f>
        <v>11</v>
      </c>
      <c r="E34" s="10">
        <v>0</v>
      </c>
      <c r="F34" s="3">
        <f t="shared" si="2"/>
        <v>0</v>
      </c>
      <c r="G34" s="10">
        <v>129</v>
      </c>
      <c r="H34" s="3">
        <f t="shared" si="3"/>
        <v>516000</v>
      </c>
      <c r="I34" s="10">
        <v>189</v>
      </c>
      <c r="J34" s="3">
        <f t="shared" si="4"/>
        <v>756000</v>
      </c>
      <c r="K34" s="11">
        <f t="shared" si="0"/>
        <v>1272000</v>
      </c>
      <c r="L34" s="65">
        <f t="shared" si="1"/>
        <v>88.820613085678374</v>
      </c>
      <c r="M34" s="54"/>
    </row>
    <row r="35" spans="1:15" ht="17.100000000000001" customHeight="1">
      <c r="A35" s="64"/>
      <c r="B35" s="61">
        <v>27</v>
      </c>
      <c r="C35" s="28">
        <f>Electricity!C34</f>
        <v>6</v>
      </c>
      <c r="D35" s="28">
        <f>Electricity!D34</f>
        <v>18</v>
      </c>
      <c r="E35" s="10">
        <v>0</v>
      </c>
      <c r="F35" s="3">
        <f t="shared" si="2"/>
        <v>0</v>
      </c>
      <c r="G35" s="10">
        <v>124</v>
      </c>
      <c r="H35" s="3">
        <f t="shared" si="3"/>
        <v>496000</v>
      </c>
      <c r="I35" s="10">
        <v>219</v>
      </c>
      <c r="J35" s="3">
        <f t="shared" si="4"/>
        <v>876000</v>
      </c>
      <c r="K35" s="11">
        <f t="shared" si="0"/>
        <v>1372000</v>
      </c>
      <c r="L35" s="65">
        <f t="shared" si="1"/>
        <v>95.803365686753722</v>
      </c>
      <c r="M35" s="54"/>
    </row>
    <row r="36" spans="1:15" ht="17.100000000000001" customHeight="1">
      <c r="A36" s="64"/>
      <c r="B36" s="61">
        <v>28</v>
      </c>
      <c r="C36" s="28">
        <f>Electricity!C35</f>
        <v>8</v>
      </c>
      <c r="D36" s="28">
        <f>Electricity!D35</f>
        <v>31</v>
      </c>
      <c r="E36" s="10">
        <v>0</v>
      </c>
      <c r="F36" s="3">
        <f t="shared" si="2"/>
        <v>0</v>
      </c>
      <c r="G36" s="10">
        <v>137</v>
      </c>
      <c r="H36" s="3">
        <f t="shared" si="3"/>
        <v>548000</v>
      </c>
      <c r="I36" s="10">
        <v>202</v>
      </c>
      <c r="J36" s="3">
        <f t="shared" si="4"/>
        <v>808000</v>
      </c>
      <c r="K36" s="11">
        <f t="shared" si="0"/>
        <v>1356000</v>
      </c>
      <c r="L36" s="65">
        <f t="shared" si="1"/>
        <v>94.68612527058167</v>
      </c>
      <c r="M36" s="54"/>
    </row>
    <row r="37" spans="1:15" ht="17.100000000000001" customHeight="1">
      <c r="A37" s="64"/>
      <c r="B37" s="61">
        <v>29</v>
      </c>
      <c r="C37" s="28">
        <f>Electricity!C36</f>
        <v>13</v>
      </c>
      <c r="D37" s="28">
        <f>Electricity!D36</f>
        <v>40</v>
      </c>
      <c r="E37" s="10">
        <v>0</v>
      </c>
      <c r="F37" s="3">
        <f t="shared" si="2"/>
        <v>0</v>
      </c>
      <c r="G37" s="10">
        <v>90</v>
      </c>
      <c r="H37" s="3">
        <f t="shared" si="3"/>
        <v>360000</v>
      </c>
      <c r="I37" s="10">
        <v>245</v>
      </c>
      <c r="J37" s="3">
        <f t="shared" si="4"/>
        <v>980000</v>
      </c>
      <c r="K37" s="11">
        <f t="shared" si="0"/>
        <v>1340000</v>
      </c>
      <c r="L37" s="65">
        <f t="shared" si="1"/>
        <v>93.568884854409603</v>
      </c>
      <c r="M37" s="54"/>
    </row>
    <row r="38" spans="1:15" ht="17.100000000000001" customHeight="1">
      <c r="A38" s="64"/>
      <c r="B38" s="61">
        <v>30</v>
      </c>
      <c r="C38" s="28">
        <f>Electricity!C37</f>
        <v>10</v>
      </c>
      <c r="D38" s="28">
        <f>Electricity!D37</f>
        <v>50</v>
      </c>
      <c r="E38" s="10">
        <v>0</v>
      </c>
      <c r="F38" s="3">
        <f t="shared" si="2"/>
        <v>0</v>
      </c>
      <c r="G38" s="10">
        <v>125</v>
      </c>
      <c r="H38" s="3">
        <f t="shared" si="3"/>
        <v>500000</v>
      </c>
      <c r="I38" s="10">
        <v>237</v>
      </c>
      <c r="J38" s="3">
        <f t="shared" si="4"/>
        <v>948000</v>
      </c>
      <c r="K38" s="11">
        <f t="shared" si="0"/>
        <v>1448000</v>
      </c>
      <c r="L38" s="65">
        <f t="shared" si="1"/>
        <v>101.11025766357098</v>
      </c>
      <c r="M38" s="54"/>
    </row>
    <row r="39" spans="1:15" ht="15.75">
      <c r="C39" s="18">
        <f>SUM(C9:C38)</f>
        <v>115</v>
      </c>
      <c r="D39" s="18">
        <f>SUM(D9:D38)</f>
        <v>500</v>
      </c>
      <c r="E39" s="18">
        <v>0</v>
      </c>
      <c r="G39" s="18">
        <f>SUM(G9:G38)</f>
        <v>2456</v>
      </c>
      <c r="I39" s="18">
        <f>SUM(I9:I38)</f>
        <v>6086</v>
      </c>
      <c r="K39" s="74">
        <f>SUM(K9:K38)</f>
        <v>34168000</v>
      </c>
      <c r="L39" s="38">
        <f>SUM(L9:L38)</f>
        <v>2385.8669087354233</v>
      </c>
      <c r="O39" s="30"/>
    </row>
    <row r="40" spans="1:15">
      <c r="I40" s="32"/>
      <c r="L40" s="31"/>
    </row>
    <row r="41" spans="1:15">
      <c r="C41" t="s">
        <v>29</v>
      </c>
      <c r="E41" s="6"/>
      <c r="F41" s="6"/>
      <c r="G41" s="6"/>
      <c r="H41" s="6"/>
      <c r="L41" s="34"/>
    </row>
    <row r="42" spans="1:15" ht="14.25">
      <c r="E42" s="6"/>
      <c r="F42" s="6"/>
      <c r="G42" s="6"/>
      <c r="H42" s="100" t="s">
        <v>60</v>
      </c>
      <c r="I42" s="100"/>
      <c r="J42" s="73">
        <f>G39+I39</f>
        <v>8542</v>
      </c>
    </row>
  </sheetData>
  <mergeCells count="17">
    <mergeCell ref="H42:I42"/>
    <mergeCell ref="B2:L2"/>
    <mergeCell ref="F7:F8"/>
    <mergeCell ref="G7:G8"/>
    <mergeCell ref="H7:H8"/>
    <mergeCell ref="I7:I8"/>
    <mergeCell ref="J7:J8"/>
    <mergeCell ref="C6:C8"/>
    <mergeCell ref="D6:D8"/>
    <mergeCell ref="K6:K8"/>
    <mergeCell ref="L6:L8"/>
    <mergeCell ref="E7:E8"/>
    <mergeCell ref="B6:B8"/>
    <mergeCell ref="G6:J6"/>
    <mergeCell ref="B5:L5"/>
    <mergeCell ref="B3:L3"/>
    <mergeCell ref="E6:F6"/>
  </mergeCells>
  <pageMargins left="1.5748031496062993" right="0.19685039370078741" top="0.78740157480314965" bottom="0" header="0.51181102362204722" footer="0.51181102362204722"/>
  <pageSetup paperSize="9" scale="72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581097-46D6-4656-80FC-CE8C93EF0169}"/>
</file>

<file path=customXml/itemProps2.xml><?xml version="1.0" encoding="utf-8"?>
<ds:datastoreItem xmlns:ds="http://schemas.openxmlformats.org/officeDocument/2006/customXml" ds:itemID="{EAF74799-1DD9-4688-9302-886A30683086}"/>
</file>

<file path=customXml/itemProps3.xml><?xml version="1.0" encoding="utf-8"?>
<ds:datastoreItem xmlns:ds="http://schemas.openxmlformats.org/officeDocument/2006/customXml" ds:itemID="{FB139B49-91F4-4851-96BF-A5F87A832A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FSRB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/>
  <cp:revision/>
  <dcterms:created xsi:type="dcterms:W3CDTF">2009-02-11T09:03:59Z</dcterms:created>
  <dcterms:modified xsi:type="dcterms:W3CDTF">2023-02-18T05:32:35Z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