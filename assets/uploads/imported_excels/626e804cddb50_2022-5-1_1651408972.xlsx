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AV36" i="7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7" i="7" l="1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<sst xmlns="http://schemas.openxmlformats.org/spreadsheetml/2006/main" count="128" uniqueCount="49">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</sst>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62980</v>
      </c>
      <c r="F22" s="11">
        <v>5.0000000000000001E-3</v>
      </c>
      <c r="G22" s="12">
        <f>Submetering!R22</f>
        <v>595.823534</v>
      </c>
      <c r="H22" s="11">
        <v>0.52800000000000002</v>
      </c>
      <c r="I22" s="12">
        <f>Hotel!B27</f>
        <v>67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56590</v>
      </c>
      <c r="F23" s="11">
        <v>5.0000000000000001E-3</v>
      </c>
      <c r="G23" s="12">
        <f>Submetering!R23</f>
        <v>592.41666499999997</v>
      </c>
      <c r="H23" s="11">
        <v>0.52800000000000002</v>
      </c>
      <c r="I23" s="12">
        <f>Hotel!B28</f>
        <v>47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57000</v>
      </c>
      <c r="F24" s="11">
        <v>5.0000000000000001E-3</v>
      </c>
      <c r="G24" s="12">
        <f>Submetering!R24</f>
        <v>508.38056299999994</v>
      </c>
      <c r="H24" s="11">
        <v>0.52800000000000002</v>
      </c>
      <c r="I24" s="12">
        <f>Hotel!B29</f>
        <v>55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61280</v>
      </c>
      <c r="F25" s="11">
        <v>5.0000000000000001E-3</v>
      </c>
      <c r="G25" s="12">
        <f>Submetering!R25</f>
        <v>690.45878399999992</v>
      </c>
      <c r="H25" s="11">
        <v>0.52800000000000002</v>
      </c>
      <c r="I25" s="12">
        <f>Hotel!B30</f>
        <v>40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55880</v>
      </c>
      <c r="F26" s="11">
        <v>5.0000000000000001E-3</v>
      </c>
      <c r="G26" s="12">
        <f>Submetering!R26</f>
        <v>599.23040300000002</v>
      </c>
      <c r="H26" s="11">
        <v>0.52800000000000002</v>
      </c>
      <c r="I26" s="12">
        <f>Hotel!B31</f>
        <v>54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500.80974300000003</v>
      </c>
      <c r="H27" s="11">
        <v>0.52800000000000002</v>
      </c>
      <c r="I27" s="12">
        <f>Hotel!B32</f>
        <v>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58000</v>
      </c>
      <c r="F28" s="11">
        <v>5.0000000000000001E-3</v>
      </c>
      <c r="G28" s="12">
        <f>Submetering!R28</f>
        <v>847.17475800000011</v>
      </c>
      <c r="H28" s="11">
        <v>0.52800000000000002</v>
      </c>
      <c r="I28" s="12">
        <f>Hotel!B33</f>
        <v>25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56680</v>
      </c>
      <c r="F29" s="11">
        <v>5.0000000000000001E-3</v>
      </c>
      <c r="G29" s="12">
        <f>Submetering!R29</f>
        <v>584.46730400000001</v>
      </c>
      <c r="H29" s="11">
        <v>0.52800000000000002</v>
      </c>
      <c r="I29" s="12">
        <f>Hotel!B34</f>
        <v>37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56690</v>
      </c>
      <c r="F30" s="11">
        <v>5.0000000000000001E-3</v>
      </c>
      <c r="G30" s="12">
        <f>Submetering!R30</f>
        <v>141.19579300000001</v>
      </c>
      <c r="H30" s="11">
        <v>0.52800000000000002</v>
      </c>
      <c r="I30" s="12">
        <f>Hotel!B35</f>
        <v>39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89960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27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6070</v>
      </c>
      <c r="F22" s="4">
        <f>Hotel!R27</f>
        <v>9260</v>
      </c>
      <c r="G22" s="4">
        <f>Hotel!S27</f>
        <v>50</v>
      </c>
      <c r="H22" s="4">
        <f>Hotel!T27</f>
        <v>1650</v>
      </c>
      <c r="I22" s="4">
        <f>Hotel!U27</f>
        <v>4860</v>
      </c>
      <c r="J22" s="4">
        <f>Hotel!V27</f>
        <v>4050</v>
      </c>
      <c r="K22" s="4">
        <f>Hotel!W27</f>
        <v>4900</v>
      </c>
      <c r="L22" s="4">
        <f>Hotel!X27</f>
        <v>3540</v>
      </c>
      <c r="M22" s="4">
        <f>Hotel!Y27</f>
        <v>3790</v>
      </c>
      <c r="N22" s="4">
        <f>Hotel!Z27</f>
        <v>2510</v>
      </c>
      <c r="O22" s="4">
        <f>Hotel!AA27</f>
        <v>2850</v>
      </c>
      <c r="P22" s="4">
        <f>Hotel!AB27</f>
        <v>7390</v>
      </c>
      <c r="Q22" s="4">
        <f>Hotel!AC27</f>
        <v>12060</v>
      </c>
      <c r="R22" s="4">
        <f>Hotel!AV27*0.00378541*100</f>
        <v>595.823534</v>
      </c>
      <c r="S22" s="4">
        <f>Hotel!B27</f>
        <v>67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11280</v>
      </c>
      <c r="F23" s="4">
        <f>Hotel!R28</f>
        <v>1820</v>
      </c>
      <c r="G23" s="4">
        <f>Hotel!S28</f>
        <v>40</v>
      </c>
      <c r="H23" s="4">
        <f>Hotel!T28</f>
        <v>1520</v>
      </c>
      <c r="I23" s="4">
        <f>Hotel!U28</f>
        <v>4480</v>
      </c>
      <c r="J23" s="4">
        <f>Hotel!V28</f>
        <v>3590</v>
      </c>
      <c r="K23" s="4">
        <f>Hotel!W28</f>
        <v>4150</v>
      </c>
      <c r="L23" s="4">
        <f>Hotel!X28</f>
        <v>3390</v>
      </c>
      <c r="M23" s="4">
        <f>Hotel!Y28</f>
        <v>3560</v>
      </c>
      <c r="N23" s="4">
        <f>Hotel!Z28</f>
        <v>2270</v>
      </c>
      <c r="O23" s="4">
        <f>Hotel!AA28</f>
        <v>2660</v>
      </c>
      <c r="P23" s="4">
        <f>Hotel!AB28</f>
        <v>6800</v>
      </c>
      <c r="Q23" s="4">
        <f>Hotel!AC28</f>
        <v>11030</v>
      </c>
      <c r="R23" s="4">
        <f>Hotel!AV28*0.00378541*100</f>
        <v>592.41666499999997</v>
      </c>
      <c r="S23" s="4">
        <f>Hotel!B28</f>
        <v>47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11250</v>
      </c>
      <c r="F24" s="4">
        <f>Hotel!R29</f>
        <v>1860</v>
      </c>
      <c r="G24" s="4">
        <f>Hotel!S29</f>
        <v>30</v>
      </c>
      <c r="H24" s="4">
        <f>Hotel!T29</f>
        <v>1510</v>
      </c>
      <c r="I24" s="4">
        <f>Hotel!U29</f>
        <v>4330</v>
      </c>
      <c r="J24" s="4">
        <f>Hotel!V29</f>
        <v>3660</v>
      </c>
      <c r="K24" s="4">
        <f>Hotel!W29</f>
        <v>4310</v>
      </c>
      <c r="L24" s="4">
        <f>Hotel!X29</f>
        <v>3380</v>
      </c>
      <c r="M24" s="4">
        <f>Hotel!Y29</f>
        <v>3540</v>
      </c>
      <c r="N24" s="4">
        <f>Hotel!Z29</f>
        <v>2370</v>
      </c>
      <c r="O24" s="4">
        <f>Hotel!AA29</f>
        <v>2690</v>
      </c>
      <c r="P24" s="4">
        <f>Hotel!AB29</f>
        <v>6720</v>
      </c>
      <c r="Q24" s="4">
        <f>Hotel!AC29</f>
        <v>11350</v>
      </c>
      <c r="R24" s="4">
        <f>Hotel!AV29*0.00378541*100</f>
        <v>508.38056299999994</v>
      </c>
      <c r="S24" s="4">
        <f>Hotel!B29</f>
        <v>55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12040</v>
      </c>
      <c r="F25" s="4">
        <f>Hotel!R30</f>
        <v>1970</v>
      </c>
      <c r="G25" s="4">
        <f>Hotel!S30</f>
        <v>10</v>
      </c>
      <c r="H25" s="4">
        <f>Hotel!T30</f>
        <v>1560</v>
      </c>
      <c r="I25" s="4">
        <f>Hotel!U30</f>
        <v>4800</v>
      </c>
      <c r="J25" s="4">
        <f>Hotel!V30</f>
        <v>4050</v>
      </c>
      <c r="K25" s="4">
        <f>Hotel!W30</f>
        <v>4850</v>
      </c>
      <c r="L25" s="4">
        <f>Hotel!X30</f>
        <v>3710</v>
      </c>
      <c r="M25" s="4">
        <f>Hotel!Y30</f>
        <v>3690</v>
      </c>
      <c r="N25" s="4">
        <f>Hotel!Z30</f>
        <v>2500</v>
      </c>
      <c r="O25" s="4">
        <f>Hotel!AA30</f>
        <v>2960</v>
      </c>
      <c r="P25" s="4">
        <f>Hotel!AB30</f>
        <v>7150</v>
      </c>
      <c r="Q25" s="4">
        <f>Hotel!AC30</f>
        <v>11990</v>
      </c>
      <c r="R25" s="4">
        <f>Hotel!AV30*0.00378541*100</f>
        <v>690.45878399999992</v>
      </c>
      <c r="S25" s="4">
        <f>Hotel!B30</f>
        <v>40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11190</v>
      </c>
      <c r="F26" s="4">
        <f>Hotel!R31</f>
        <v>1790</v>
      </c>
      <c r="G26" s="4">
        <f>Hotel!S31</f>
        <v>0</v>
      </c>
      <c r="H26" s="4">
        <f>Hotel!T31</f>
        <v>1420</v>
      </c>
      <c r="I26" s="4">
        <f>Hotel!U31</f>
        <v>4310</v>
      </c>
      <c r="J26" s="4">
        <f>Hotel!V31</f>
        <v>3590</v>
      </c>
      <c r="K26" s="4">
        <f>Hotel!W31</f>
        <v>4340</v>
      </c>
      <c r="L26" s="4">
        <f>Hotel!X31</f>
        <v>3300</v>
      </c>
      <c r="M26" s="4">
        <f>Hotel!Y31</f>
        <v>3290</v>
      </c>
      <c r="N26" s="4">
        <f>Hotel!Z31</f>
        <v>2350</v>
      </c>
      <c r="O26" s="4">
        <f>Hotel!AA31</f>
        <v>2660</v>
      </c>
      <c r="P26" s="4">
        <f>Hotel!AB31</f>
        <v>6410</v>
      </c>
      <c r="Q26" s="4">
        <f>Hotel!AC31</f>
        <v>11230</v>
      </c>
      <c r="R26" s="4">
        <f>Hotel!AV31*0.00378541*100</f>
        <v>599.23040300000002</v>
      </c>
      <c r="S26" s="4">
        <f>Hotel!B31</f>
        <v>54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11850</v>
      </c>
      <c r="F27" s="4">
        <f>Hotel!R32</f>
        <v>1810</v>
      </c>
      <c r="G27" s="4">
        <f>Hotel!S32</f>
        <v>0</v>
      </c>
      <c r="H27" s="4">
        <f>Hotel!T32</f>
        <v>1290</v>
      </c>
      <c r="I27" s="4">
        <f>Hotel!U32</f>
        <v>4210</v>
      </c>
      <c r="J27" s="4">
        <f>Hotel!V32</f>
        <v>3820</v>
      </c>
      <c r="K27" s="4">
        <f>Hotel!W32</f>
        <v>4120</v>
      </c>
      <c r="L27" s="4">
        <f>Hotel!X32</f>
        <v>3380</v>
      </c>
      <c r="M27" s="4">
        <f>Hotel!Y32</f>
        <v>3430</v>
      </c>
      <c r="N27" s="4">
        <f>Hotel!Z32</f>
        <v>2340</v>
      </c>
      <c r="O27" s="4">
        <f>Hotel!AA32</f>
        <v>2550</v>
      </c>
      <c r="P27" s="4">
        <f>Hotel!AB32</f>
        <v>6370</v>
      </c>
      <c r="Q27" s="4">
        <f>Hotel!AC32</f>
        <v>10750</v>
      </c>
      <c r="R27" s="4">
        <f>Hotel!AV32*0.00378541*100</f>
        <v>500.80974300000003</v>
      </c>
      <c r="S27" s="4">
        <f>Hotel!B32</f>
        <v>43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12230</v>
      </c>
      <c r="F28" s="4">
        <f>Hotel!R33</f>
        <v>1910</v>
      </c>
      <c r="G28" s="4">
        <f>Hotel!S33</f>
        <v>0</v>
      </c>
      <c r="H28" s="4">
        <f>Hotel!T33</f>
        <v>1280</v>
      </c>
      <c r="I28" s="4">
        <f>Hotel!U33</f>
        <v>4540</v>
      </c>
      <c r="J28" s="4">
        <f>Hotel!V33</f>
        <v>3860</v>
      </c>
      <c r="K28" s="4">
        <f>Hotel!W33</f>
        <v>4320</v>
      </c>
      <c r="L28" s="4">
        <f>Hotel!X33</f>
        <v>3460</v>
      </c>
      <c r="M28" s="4">
        <f>Hotel!Y33</f>
        <v>3550</v>
      </c>
      <c r="N28" s="4">
        <f>Hotel!Z33</f>
        <v>2360</v>
      </c>
      <c r="O28" s="4">
        <f>Hotel!AA33</f>
        <v>2660</v>
      </c>
      <c r="P28" s="4">
        <f>Hotel!AB33</f>
        <v>6530</v>
      </c>
      <c r="Q28" s="4">
        <f>Hotel!AC33</f>
        <v>11300</v>
      </c>
      <c r="R28" s="4">
        <f>Hotel!AV33*0.00378541*100</f>
        <v>847.17475800000011</v>
      </c>
      <c r="S28" s="4">
        <f>Hotel!B33</f>
        <v>25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11530</v>
      </c>
      <c r="F29" s="4">
        <f>Hotel!R34</f>
        <v>1890</v>
      </c>
      <c r="G29" s="4">
        <f>Hotel!S34</f>
        <v>0</v>
      </c>
      <c r="H29" s="4">
        <f>Hotel!T34</f>
        <v>1300</v>
      </c>
      <c r="I29" s="4">
        <f>Hotel!U34</f>
        <v>4390</v>
      </c>
      <c r="J29" s="4">
        <f>Hotel!V34</f>
        <v>3780</v>
      </c>
      <c r="K29" s="4">
        <f>Hotel!W34</f>
        <v>4310</v>
      </c>
      <c r="L29" s="4">
        <f>Hotel!X34</f>
        <v>3490</v>
      </c>
      <c r="M29" s="4">
        <f>Hotel!Y34</f>
        <v>3490</v>
      </c>
      <c r="N29" s="4">
        <f>Hotel!Z34</f>
        <v>2380</v>
      </c>
      <c r="O29" s="4">
        <f>Hotel!AA34</f>
        <v>2560</v>
      </c>
      <c r="P29" s="4">
        <f>Hotel!AB34</f>
        <v>6410</v>
      </c>
      <c r="Q29" s="4">
        <f>Hotel!AC34</f>
        <v>11150</v>
      </c>
      <c r="R29" s="4">
        <f>Hotel!AV34*0.00378541*100</f>
        <v>584.46730400000001</v>
      </c>
      <c r="S29" s="4">
        <f>Hotel!B34</f>
        <v>37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12010</v>
      </c>
      <c r="F30" s="4">
        <f>Hotel!R35</f>
        <v>1840</v>
      </c>
      <c r="G30" s="4">
        <f>Hotel!S35</f>
        <v>0</v>
      </c>
      <c r="H30" s="4">
        <f>Hotel!T35</f>
        <v>1200</v>
      </c>
      <c r="I30" s="4">
        <f>Hotel!U35</f>
        <v>4310</v>
      </c>
      <c r="J30" s="4">
        <f>Hotel!V35</f>
        <v>3620</v>
      </c>
      <c r="K30" s="4">
        <f>Hotel!W35</f>
        <v>4320</v>
      </c>
      <c r="L30" s="4">
        <f>Hotel!X35</f>
        <v>3440</v>
      </c>
      <c r="M30" s="4">
        <f>Hotel!Y35</f>
        <v>3520</v>
      </c>
      <c r="N30" s="4">
        <f>Hotel!Z35</f>
        <v>2380</v>
      </c>
      <c r="O30" s="4">
        <f>Hotel!AA35</f>
        <v>2660</v>
      </c>
      <c r="P30" s="4">
        <f>Hotel!AB35</f>
        <v>6640</v>
      </c>
      <c r="Q30" s="4">
        <f>Hotel!AC35</f>
        <v>10750</v>
      </c>
      <c r="R30" s="4">
        <f>Hotel!AV35*0.00378541*100</f>
        <v>141.19579300000001</v>
      </c>
      <c r="S30" s="4">
        <f>Hotel!B35</f>
        <v>39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19450</v>
      </c>
      <c r="F31" s="4">
        <f>Hotel!R36</f>
        <v>2970</v>
      </c>
      <c r="G31" s="4">
        <f>Hotel!S36</f>
        <v>0</v>
      </c>
      <c r="H31" s="4">
        <f>Hotel!T36</f>
        <v>1960</v>
      </c>
      <c r="I31" s="4">
        <f>Hotel!U36</f>
        <v>6590</v>
      </c>
      <c r="J31" s="4">
        <f>Hotel!V36</f>
        <v>6070</v>
      </c>
      <c r="K31" s="4">
        <f>Hotel!W36</f>
        <v>6160</v>
      </c>
      <c r="L31" s="4">
        <f>Hotel!X36</f>
        <v>5420</v>
      </c>
      <c r="M31" s="4">
        <f>Hotel!Y36</f>
        <v>5610</v>
      </c>
      <c r="N31" s="4">
        <f>Hotel!Z36</f>
        <v>3840</v>
      </c>
      <c r="O31" s="4">
        <f>Hotel!AA36</f>
        <v>4140</v>
      </c>
      <c r="P31" s="4">
        <f>Hotel!AB36</f>
        <v>10180</v>
      </c>
      <c r="Q31" s="4">
        <f>Hotel!AC36</f>
        <v>17570</v>
      </c>
      <c r="R31" s="4">
        <f>Hotel!AV36*0.00378541*100</f>
        <v>0</v>
      </c>
      <c r="S31" s="4">
        <f>Hotel!B36</f>
        <v>27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V38" sqref="AV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5">
        <f t="shared" si="14"/>
        <v>4.1539999999999999</v>
      </c>
    </row>
    <row r="25" spans="1:49" x14ac:dyDescent="0.25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5">
        <f t="shared" si="14"/>
        <v>4.3380000000000001</v>
      </c>
    </row>
    <row r="26" spans="1:49" x14ac:dyDescent="0.25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5">
        <f t="shared" si="14"/>
        <v>3.3359999999999999</v>
      </c>
    </row>
    <row r="27" spans="1:49" x14ac:dyDescent="0.25">
      <c r="A27" s="23">
        <v>44672</v>
      </c>
      <c r="B27" s="40">
        <v>67</v>
      </c>
      <c r="C27" s="24">
        <v>7843200</v>
      </c>
      <c r="D27" s="24">
        <v>18547030</v>
      </c>
      <c r="E27" s="24">
        <v>3201450</v>
      </c>
      <c r="F27" s="24">
        <v>3992990</v>
      </c>
      <c r="G27" s="24">
        <v>11871330</v>
      </c>
      <c r="H27" s="24">
        <v>6751830</v>
      </c>
      <c r="I27" s="24">
        <v>5910460</v>
      </c>
      <c r="J27" s="24">
        <v>7302530</v>
      </c>
      <c r="K27" s="24">
        <v>10845910</v>
      </c>
      <c r="L27" s="24">
        <v>4651970</v>
      </c>
      <c r="M27" s="24">
        <v>8889850</v>
      </c>
      <c r="N27" s="24">
        <v>14305840</v>
      </c>
      <c r="O27" s="24">
        <v>19983280</v>
      </c>
      <c r="Q27" s="37">
        <f t="shared" si="33"/>
        <v>6070</v>
      </c>
      <c r="R27" s="37">
        <f t="shared" si="18"/>
        <v>9260</v>
      </c>
      <c r="S27" s="37">
        <f t="shared" si="33"/>
        <v>50</v>
      </c>
      <c r="T27" s="37">
        <f t="shared" si="33"/>
        <v>1650</v>
      </c>
      <c r="U27" s="37">
        <f t="shared" si="33"/>
        <v>4860</v>
      </c>
      <c r="V27" s="37">
        <f t="shared" si="33"/>
        <v>4050</v>
      </c>
      <c r="W27" s="37">
        <f t="shared" si="33"/>
        <v>4900</v>
      </c>
      <c r="X27" s="37">
        <f t="shared" si="33"/>
        <v>3540</v>
      </c>
      <c r="Y27" s="37">
        <f t="shared" si="33"/>
        <v>3790</v>
      </c>
      <c r="Z27" s="37">
        <f t="shared" si="33"/>
        <v>2510</v>
      </c>
      <c r="AA27" s="37">
        <f t="shared" si="33"/>
        <v>2850</v>
      </c>
      <c r="AB27" s="37">
        <f t="shared" si="33"/>
        <v>7390</v>
      </c>
      <c r="AC27" s="37">
        <f t="shared" si="33"/>
        <v>12060</v>
      </c>
      <c r="AD27" s="35">
        <f t="shared" si="29"/>
        <v>62980</v>
      </c>
      <c r="AF27" s="20">
        <f t="shared" si="1"/>
        <v>30.35</v>
      </c>
      <c r="AG27" s="20">
        <f t="shared" si="2"/>
        <v>46.300000000000004</v>
      </c>
      <c r="AH27" s="20">
        <f t="shared" si="3"/>
        <v>0.25</v>
      </c>
      <c r="AI27" s="20">
        <f t="shared" si="4"/>
        <v>8.25</v>
      </c>
      <c r="AJ27" s="20">
        <f t="shared" si="5"/>
        <v>24.3</v>
      </c>
      <c r="AK27" s="20">
        <f t="shared" si="6"/>
        <v>20.25</v>
      </c>
      <c r="AL27" s="20">
        <f t="shared" si="7"/>
        <v>24.5</v>
      </c>
      <c r="AM27" s="20">
        <f t="shared" si="8"/>
        <v>17.7</v>
      </c>
      <c r="AN27" s="20">
        <f t="shared" si="9"/>
        <v>18.95</v>
      </c>
      <c r="AO27" s="20">
        <f t="shared" si="10"/>
        <v>12.55</v>
      </c>
      <c r="AP27" s="20">
        <f t="shared" si="11"/>
        <v>14.25</v>
      </c>
      <c r="AQ27" s="20">
        <f t="shared" si="12"/>
        <v>36.950000000000003</v>
      </c>
      <c r="AR27" s="20">
        <f t="shared" si="13"/>
        <v>60.300000000000004</v>
      </c>
      <c r="AS27" s="35">
        <f t="shared" si="30"/>
        <v>314.89999999999998</v>
      </c>
      <c r="AU27" s="47">
        <v>651712</v>
      </c>
      <c r="AV27" s="37">
        <f>IF((AU27-AU26&lt;0),"0",AU27-AU26)</f>
        <v>1574</v>
      </c>
      <c r="AW27" s="35">
        <f t="shared" si="14"/>
        <v>3.1480000000000001</v>
      </c>
    </row>
    <row r="28" spans="1:49" x14ac:dyDescent="0.25">
      <c r="A28" s="23">
        <v>44673</v>
      </c>
      <c r="B28" s="40">
        <v>47</v>
      </c>
      <c r="C28" s="24">
        <v>7854480</v>
      </c>
      <c r="D28" s="24">
        <v>18548850</v>
      </c>
      <c r="E28" s="24">
        <v>3201490</v>
      </c>
      <c r="F28" s="24">
        <v>3994510</v>
      </c>
      <c r="G28" s="24">
        <v>11875810</v>
      </c>
      <c r="H28" s="24">
        <v>6755420</v>
      </c>
      <c r="I28" s="24">
        <v>5914610</v>
      </c>
      <c r="J28" s="24">
        <v>7305920</v>
      </c>
      <c r="K28" s="24">
        <v>10849470</v>
      </c>
      <c r="L28" s="24">
        <v>4654240</v>
      </c>
      <c r="M28" s="24">
        <v>8892510</v>
      </c>
      <c r="N28" s="24">
        <v>14312640</v>
      </c>
      <c r="O28" s="24">
        <v>19994310</v>
      </c>
      <c r="Q28" s="37">
        <f t="shared" si="17"/>
        <v>11280</v>
      </c>
      <c r="R28" s="37">
        <f t="shared" si="18"/>
        <v>1820</v>
      </c>
      <c r="S28" s="37">
        <f t="shared" si="16"/>
        <v>40</v>
      </c>
      <c r="T28" s="37">
        <f t="shared" si="19"/>
        <v>1520</v>
      </c>
      <c r="U28" s="37">
        <f t="shared" si="20"/>
        <v>4480</v>
      </c>
      <c r="V28" s="37">
        <f t="shared" si="21"/>
        <v>3590</v>
      </c>
      <c r="W28" s="37">
        <f t="shared" si="22"/>
        <v>4150</v>
      </c>
      <c r="X28" s="37">
        <f t="shared" si="23"/>
        <v>3390</v>
      </c>
      <c r="Y28" s="37">
        <f t="shared" si="24"/>
        <v>3560</v>
      </c>
      <c r="Z28" s="37">
        <f t="shared" si="25"/>
        <v>2270</v>
      </c>
      <c r="AA28" s="37">
        <f t="shared" si="26"/>
        <v>2660</v>
      </c>
      <c r="AB28" s="37">
        <f t="shared" si="27"/>
        <v>6800</v>
      </c>
      <c r="AC28" s="37">
        <f t="shared" si="28"/>
        <v>11030</v>
      </c>
      <c r="AD28" s="35">
        <f t="shared" si="29"/>
        <v>56590</v>
      </c>
      <c r="AF28" s="20">
        <f t="shared" si="1"/>
        <v>56.4</v>
      </c>
      <c r="AG28" s="20">
        <f t="shared" si="2"/>
        <v>9.1</v>
      </c>
      <c r="AH28" s="20">
        <f t="shared" si="3"/>
        <v>0.2</v>
      </c>
      <c r="AI28" s="20">
        <f t="shared" si="4"/>
        <v>7.6000000000000005</v>
      </c>
      <c r="AJ28" s="20">
        <f t="shared" si="5"/>
        <v>22.400000000000002</v>
      </c>
      <c r="AK28" s="20">
        <f t="shared" si="6"/>
        <v>17.95</v>
      </c>
      <c r="AL28" s="20">
        <f t="shared" si="7"/>
        <v>20.75</v>
      </c>
      <c r="AM28" s="20">
        <f t="shared" si="8"/>
        <v>16.95</v>
      </c>
      <c r="AN28" s="20">
        <f t="shared" si="9"/>
        <v>17.8</v>
      </c>
      <c r="AO28" s="20">
        <f t="shared" si="10"/>
        <v>11.35</v>
      </c>
      <c r="AP28" s="20">
        <f t="shared" si="11"/>
        <v>13.3</v>
      </c>
      <c r="AQ28" s="20">
        <f t="shared" si="12"/>
        <v>34</v>
      </c>
      <c r="AR28" s="20">
        <f t="shared" si="13"/>
        <v>55.15</v>
      </c>
      <c r="AS28" s="35">
        <f t="shared" si="30"/>
        <v>282.95</v>
      </c>
      <c r="AU28" s="47">
        <v>653277</v>
      </c>
      <c r="AV28" s="37">
        <f>IF((AU28-AU27&lt;0),"0",AU28-AU27)</f>
        <v>1565</v>
      </c>
      <c r="AW28" s="35">
        <f t="shared" si="14"/>
        <v>3.13</v>
      </c>
    </row>
    <row r="29" spans="1:49" x14ac:dyDescent="0.25">
      <c r="A29" s="23">
        <v>44674</v>
      </c>
      <c r="B29" s="40">
        <v>55</v>
      </c>
      <c r="C29" s="24">
        <v>7865730</v>
      </c>
      <c r="D29" s="24">
        <v>18550710</v>
      </c>
      <c r="E29" s="24">
        <v>3201520</v>
      </c>
      <c r="F29" s="24">
        <v>3996020</v>
      </c>
      <c r="G29" s="24">
        <v>11880140</v>
      </c>
      <c r="H29" s="24">
        <v>6759080</v>
      </c>
      <c r="I29" s="24">
        <v>5918920</v>
      </c>
      <c r="J29" s="24">
        <v>7309300</v>
      </c>
      <c r="K29" s="24">
        <v>10853010</v>
      </c>
      <c r="L29" s="24">
        <v>4656610</v>
      </c>
      <c r="M29" s="24">
        <v>8895200</v>
      </c>
      <c r="N29" s="24">
        <v>14319360</v>
      </c>
      <c r="O29" s="24">
        <v>20005660</v>
      </c>
      <c r="Q29" s="37">
        <f t="shared" si="17"/>
        <v>11250</v>
      </c>
      <c r="R29" s="37">
        <f t="shared" si="18"/>
        <v>1860</v>
      </c>
      <c r="S29" s="37">
        <f t="shared" si="16"/>
        <v>30</v>
      </c>
      <c r="T29" s="37">
        <f t="shared" si="19"/>
        <v>1510</v>
      </c>
      <c r="U29" s="37">
        <f t="shared" si="20"/>
        <v>4330</v>
      </c>
      <c r="V29" s="37">
        <f t="shared" si="21"/>
        <v>3660</v>
      </c>
      <c r="W29" s="37">
        <f t="shared" si="22"/>
        <v>4310</v>
      </c>
      <c r="X29" s="37">
        <f t="shared" si="23"/>
        <v>3380</v>
      </c>
      <c r="Y29" s="37">
        <f t="shared" si="24"/>
        <v>3540</v>
      </c>
      <c r="Z29" s="37">
        <f t="shared" si="25"/>
        <v>2370</v>
      </c>
      <c r="AA29" s="37">
        <f t="shared" si="26"/>
        <v>2690</v>
      </c>
      <c r="AB29" s="37">
        <f t="shared" si="27"/>
        <v>6720</v>
      </c>
      <c r="AC29" s="37">
        <f t="shared" si="28"/>
        <v>11350</v>
      </c>
      <c r="AD29" s="35">
        <f t="shared" si="29"/>
        <v>57000</v>
      </c>
      <c r="AF29" s="20">
        <f t="shared" si="1"/>
        <v>56.25</v>
      </c>
      <c r="AG29" s="20">
        <f t="shared" si="2"/>
        <v>9.3000000000000007</v>
      </c>
      <c r="AH29" s="20">
        <f t="shared" si="3"/>
        <v>0.15</v>
      </c>
      <c r="AI29" s="20">
        <f t="shared" si="4"/>
        <v>7.55</v>
      </c>
      <c r="AJ29" s="20">
        <f t="shared" si="5"/>
        <v>21.650000000000002</v>
      </c>
      <c r="AK29" s="20">
        <f t="shared" si="6"/>
        <v>18.3</v>
      </c>
      <c r="AL29" s="20">
        <f t="shared" si="7"/>
        <v>21.55</v>
      </c>
      <c r="AM29" s="20">
        <f t="shared" si="8"/>
        <v>16.899999999999999</v>
      </c>
      <c r="AN29" s="20">
        <f t="shared" si="9"/>
        <v>17.7</v>
      </c>
      <c r="AO29" s="20">
        <f t="shared" si="10"/>
        <v>11.85</v>
      </c>
      <c r="AP29" s="20">
        <f t="shared" si="11"/>
        <v>13.450000000000001</v>
      </c>
      <c r="AQ29" s="20">
        <f t="shared" si="12"/>
        <v>33.6</v>
      </c>
      <c r="AR29" s="20">
        <f t="shared" si="13"/>
        <v>56.75</v>
      </c>
      <c r="AS29" s="35">
        <f t="shared" si="30"/>
        <v>285</v>
      </c>
      <c r="AU29" s="47">
        <v>654620</v>
      </c>
      <c r="AV29" s="37">
        <f>IF((AU29-AU28&lt;0),"0",AU29-AU28)</f>
        <v>1343</v>
      </c>
      <c r="AW29" s="35">
        <f t="shared" si="14"/>
        <v>2.6859999999999999</v>
      </c>
    </row>
    <row r="30" spans="1:49" x14ac:dyDescent="0.25">
      <c r="A30" s="23">
        <v>44675</v>
      </c>
      <c r="B30" s="40">
        <v>40</v>
      </c>
      <c r="C30" s="24">
        <v>7877770</v>
      </c>
      <c r="D30" s="24">
        <v>18552680</v>
      </c>
      <c r="E30" s="24">
        <v>3201530</v>
      </c>
      <c r="F30" s="24">
        <v>3997580</v>
      </c>
      <c r="G30" s="24">
        <v>11884940</v>
      </c>
      <c r="H30" s="24">
        <v>6763130</v>
      </c>
      <c r="I30" s="24">
        <v>5923770</v>
      </c>
      <c r="J30" s="24">
        <v>7313010</v>
      </c>
      <c r="K30" s="24">
        <v>10856700</v>
      </c>
      <c r="L30" s="24">
        <v>4659110</v>
      </c>
      <c r="M30" s="24">
        <v>8898160</v>
      </c>
      <c r="N30" s="24">
        <v>14326510</v>
      </c>
      <c r="O30" s="24">
        <v>20017650</v>
      </c>
      <c r="Q30" s="37">
        <f t="shared" si="17"/>
        <v>12040</v>
      </c>
      <c r="R30" s="37">
        <f t="shared" si="18"/>
        <v>1970</v>
      </c>
      <c r="S30" s="37">
        <f t="shared" si="16"/>
        <v>10</v>
      </c>
      <c r="T30" s="37">
        <f t="shared" si="19"/>
        <v>1560</v>
      </c>
      <c r="U30" s="37">
        <f t="shared" si="20"/>
        <v>4800</v>
      </c>
      <c r="V30" s="37">
        <f t="shared" si="21"/>
        <v>4050</v>
      </c>
      <c r="W30" s="37">
        <f t="shared" si="22"/>
        <v>4850</v>
      </c>
      <c r="X30" s="37">
        <f t="shared" si="23"/>
        <v>3710</v>
      </c>
      <c r="Y30" s="37">
        <f t="shared" si="24"/>
        <v>3690</v>
      </c>
      <c r="Z30" s="37">
        <f t="shared" si="25"/>
        <v>2500</v>
      </c>
      <c r="AA30" s="37">
        <f t="shared" si="26"/>
        <v>2960</v>
      </c>
      <c r="AB30" s="37">
        <f t="shared" si="27"/>
        <v>7150</v>
      </c>
      <c r="AC30" s="37">
        <f t="shared" si="28"/>
        <v>11990</v>
      </c>
      <c r="AD30" s="35">
        <f t="shared" si="29"/>
        <v>61280</v>
      </c>
      <c r="AF30" s="20">
        <f t="shared" si="1"/>
        <v>60.2</v>
      </c>
      <c r="AG30" s="20">
        <f t="shared" si="2"/>
        <v>9.85</v>
      </c>
      <c r="AH30" s="20">
        <f t="shared" si="3"/>
        <v>0.05</v>
      </c>
      <c r="AI30" s="20">
        <f t="shared" si="4"/>
        <v>7.8</v>
      </c>
      <c r="AJ30" s="20">
        <f t="shared" si="5"/>
        <v>24</v>
      </c>
      <c r="AK30" s="20">
        <f t="shared" si="6"/>
        <v>20.25</v>
      </c>
      <c r="AL30" s="20">
        <f t="shared" si="7"/>
        <v>24.25</v>
      </c>
      <c r="AM30" s="20">
        <f t="shared" si="8"/>
        <v>18.55</v>
      </c>
      <c r="AN30" s="20">
        <f t="shared" si="9"/>
        <v>18.45</v>
      </c>
      <c r="AO30" s="20">
        <f t="shared" si="10"/>
        <v>12.5</v>
      </c>
      <c r="AP30" s="20">
        <f t="shared" si="11"/>
        <v>14.8</v>
      </c>
      <c r="AQ30" s="20">
        <f t="shared" si="12"/>
        <v>35.75</v>
      </c>
      <c r="AR30" s="20">
        <f t="shared" si="13"/>
        <v>59.95</v>
      </c>
      <c r="AS30" s="35">
        <f t="shared" si="30"/>
        <v>306.39999999999998</v>
      </c>
      <c r="AU30" s="47">
        <v>656444</v>
      </c>
      <c r="AV30" s="37">
        <f t="shared" ref="AV30:AV36" si="34">IF((AU30-AU29&lt;0),"0",AU30-AU29)</f>
        <v>1824</v>
      </c>
      <c r="AW30" s="35">
        <f t="shared" si="14"/>
        <v>3.6480000000000001</v>
      </c>
    </row>
    <row r="31" spans="1:49" x14ac:dyDescent="0.25">
      <c r="A31" s="23">
        <v>44676</v>
      </c>
      <c r="B31" s="40">
        <v>54</v>
      </c>
      <c r="C31" s="24">
        <v>7888960</v>
      </c>
      <c r="D31" s="24">
        <v>18554470</v>
      </c>
      <c r="E31" s="24">
        <v>3201530</v>
      </c>
      <c r="F31" s="24">
        <v>3999000</v>
      </c>
      <c r="G31" s="24">
        <v>11889250</v>
      </c>
      <c r="H31" s="24">
        <v>6766720</v>
      </c>
      <c r="I31" s="24">
        <v>5928110</v>
      </c>
      <c r="J31" s="24">
        <v>7316310</v>
      </c>
      <c r="K31" s="24">
        <v>10859990</v>
      </c>
      <c r="L31" s="24">
        <v>4661460</v>
      </c>
      <c r="M31" s="24">
        <v>8900820</v>
      </c>
      <c r="N31" s="24">
        <v>14332920</v>
      </c>
      <c r="O31" s="24">
        <v>20028880</v>
      </c>
      <c r="Q31" s="37">
        <f>IF((C31-C30&lt;0), "0",C31-C30)</f>
        <v>11190</v>
      </c>
      <c r="R31" s="37">
        <f t="shared" si="18"/>
        <v>1790</v>
      </c>
      <c r="S31" s="37">
        <f t="shared" si="16"/>
        <v>0</v>
      </c>
      <c r="T31" s="37">
        <f t="shared" si="19"/>
        <v>1420</v>
      </c>
      <c r="U31" s="37">
        <f t="shared" si="20"/>
        <v>4310</v>
      </c>
      <c r="V31" s="37">
        <f t="shared" si="21"/>
        <v>3590</v>
      </c>
      <c r="W31" s="37">
        <f t="shared" si="22"/>
        <v>4340</v>
      </c>
      <c r="X31" s="37">
        <f t="shared" si="23"/>
        <v>3300</v>
      </c>
      <c r="Y31" s="37">
        <f t="shared" si="24"/>
        <v>3290</v>
      </c>
      <c r="Z31" s="37">
        <f t="shared" si="25"/>
        <v>2350</v>
      </c>
      <c r="AA31" s="37">
        <f t="shared" si="26"/>
        <v>2660</v>
      </c>
      <c r="AB31" s="37">
        <f t="shared" si="27"/>
        <v>6410</v>
      </c>
      <c r="AC31" s="37">
        <f t="shared" si="28"/>
        <v>11230</v>
      </c>
      <c r="AD31" s="35">
        <f t="shared" si="29"/>
        <v>55880</v>
      </c>
      <c r="AF31" s="20">
        <f t="shared" si="1"/>
        <v>55.95</v>
      </c>
      <c r="AG31" s="20">
        <f t="shared" si="2"/>
        <v>8.9500000000000011</v>
      </c>
      <c r="AH31" s="20">
        <f t="shared" si="3"/>
        <v>0</v>
      </c>
      <c r="AI31" s="20">
        <f t="shared" si="4"/>
        <v>7.1000000000000005</v>
      </c>
      <c r="AJ31" s="20">
        <f t="shared" si="5"/>
        <v>21.55</v>
      </c>
      <c r="AK31" s="20">
        <f t="shared" si="6"/>
        <v>17.95</v>
      </c>
      <c r="AL31" s="20">
        <f t="shared" si="7"/>
        <v>21.7</v>
      </c>
      <c r="AM31" s="20">
        <f t="shared" si="8"/>
        <v>16.5</v>
      </c>
      <c r="AN31" s="20">
        <f t="shared" si="9"/>
        <v>16.45</v>
      </c>
      <c r="AO31" s="20">
        <f t="shared" si="10"/>
        <v>11.75</v>
      </c>
      <c r="AP31" s="20">
        <f t="shared" si="11"/>
        <v>13.3</v>
      </c>
      <c r="AQ31" s="20">
        <f t="shared" si="12"/>
        <v>32.049999999999997</v>
      </c>
      <c r="AR31" s="20">
        <f t="shared" si="13"/>
        <v>56.15</v>
      </c>
      <c r="AS31" s="35">
        <f t="shared" si="30"/>
        <v>279.39999999999998</v>
      </c>
      <c r="AU31" s="47">
        <v>658027</v>
      </c>
      <c r="AV31" s="37">
        <f t="shared" si="34"/>
        <v>1583</v>
      </c>
      <c r="AW31" s="35">
        <f t="shared" si="14"/>
        <v>3.1659999999999999</v>
      </c>
    </row>
    <row r="32" spans="1:49" x14ac:dyDescent="0.25">
      <c r="A32" s="23">
        <v>44677</v>
      </c>
      <c r="B32" s="40">
        <v>43</v>
      </c>
      <c r="C32" s="24">
        <v>7900810</v>
      </c>
      <c r="D32" s="24">
        <v>18556280</v>
      </c>
      <c r="E32" s="24">
        <v>3201530</v>
      </c>
      <c r="F32" s="24">
        <v>4000290</v>
      </c>
      <c r="G32" s="24">
        <v>11893460</v>
      </c>
      <c r="H32" s="24">
        <v>6770540</v>
      </c>
      <c r="I32" s="24">
        <v>5932230</v>
      </c>
      <c r="J32" s="24">
        <v>7319690</v>
      </c>
      <c r="K32" s="24">
        <v>10863420</v>
      </c>
      <c r="L32" s="24">
        <v>4663800</v>
      </c>
      <c r="M32" s="24">
        <v>8903370</v>
      </c>
      <c r="N32" s="24">
        <v>14339290</v>
      </c>
      <c r="O32" s="24">
        <v>20039630</v>
      </c>
      <c r="Q32" s="37">
        <f>IF((C32-C31&lt;0), "0",C32-C31)</f>
        <v>11850</v>
      </c>
      <c r="R32" s="37">
        <f t="shared" si="18"/>
        <v>1810</v>
      </c>
      <c r="S32" s="37">
        <f t="shared" si="16"/>
        <v>0</v>
      </c>
      <c r="T32" s="37">
        <f t="shared" si="19"/>
        <v>1290</v>
      </c>
      <c r="U32" s="37">
        <f t="shared" si="20"/>
        <v>4210</v>
      </c>
      <c r="V32" s="37">
        <f t="shared" si="21"/>
        <v>3820</v>
      </c>
      <c r="W32" s="37">
        <f t="shared" si="22"/>
        <v>4120</v>
      </c>
      <c r="X32" s="37">
        <f t="shared" si="23"/>
        <v>3380</v>
      </c>
      <c r="Y32" s="37">
        <f t="shared" si="24"/>
        <v>3430</v>
      </c>
      <c r="Z32" s="37">
        <f t="shared" si="25"/>
        <v>2340</v>
      </c>
      <c r="AA32" s="37">
        <f t="shared" si="26"/>
        <v>2550</v>
      </c>
      <c r="AB32" s="37">
        <f t="shared" si="27"/>
        <v>6370</v>
      </c>
      <c r="AC32" s="37">
        <f t="shared" si="28"/>
        <v>10750</v>
      </c>
      <c r="AD32" s="35">
        <f t="shared" si="29"/>
        <v>55920</v>
      </c>
      <c r="AF32" s="20">
        <f t="shared" si="1"/>
        <v>59.25</v>
      </c>
      <c r="AG32" s="20">
        <f t="shared" si="2"/>
        <v>9.0500000000000007</v>
      </c>
      <c r="AH32" s="20">
        <f t="shared" si="3"/>
        <v>0</v>
      </c>
      <c r="AI32" s="20">
        <f t="shared" si="4"/>
        <v>6.45</v>
      </c>
      <c r="AJ32" s="20">
        <f t="shared" si="5"/>
        <v>21.05</v>
      </c>
      <c r="AK32" s="20">
        <f t="shared" si="6"/>
        <v>19.100000000000001</v>
      </c>
      <c r="AL32" s="20">
        <f t="shared" si="7"/>
        <v>20.6</v>
      </c>
      <c r="AM32" s="20">
        <f t="shared" si="8"/>
        <v>16.899999999999999</v>
      </c>
      <c r="AN32" s="20">
        <f t="shared" si="9"/>
        <v>17.150000000000002</v>
      </c>
      <c r="AO32" s="20">
        <f t="shared" si="10"/>
        <v>11.700000000000001</v>
      </c>
      <c r="AP32" s="20">
        <f t="shared" si="11"/>
        <v>12.75</v>
      </c>
      <c r="AQ32" s="20">
        <f t="shared" si="12"/>
        <v>31.85</v>
      </c>
      <c r="AR32" s="20">
        <f t="shared" si="13"/>
        <v>53.75</v>
      </c>
      <c r="AS32" s="35">
        <f t="shared" si="30"/>
        <v>279.60000000000002</v>
      </c>
      <c r="AU32" s="47">
        <v>659350</v>
      </c>
      <c r="AV32" s="37">
        <f t="shared" si="34"/>
        <v>1323</v>
      </c>
      <c r="AW32" s="35">
        <f t="shared" si="14"/>
        <v>2.6459999999999999</v>
      </c>
    </row>
    <row r="33" spans="1:49" x14ac:dyDescent="0.25">
      <c r="A33" s="23">
        <v>44678</v>
      </c>
      <c r="B33" s="40">
        <v>25</v>
      </c>
      <c r="C33" s="24">
        <v>7913040</v>
      </c>
      <c r="D33" s="24">
        <v>18558190</v>
      </c>
      <c r="E33" s="24">
        <v>3201530</v>
      </c>
      <c r="F33" s="24">
        <v>4001570</v>
      </c>
      <c r="G33" s="24">
        <v>11898000</v>
      </c>
      <c r="H33" s="24">
        <v>6774400</v>
      </c>
      <c r="I33" s="24">
        <v>5936550</v>
      </c>
      <c r="J33" s="24">
        <v>7323150</v>
      </c>
      <c r="K33" s="24">
        <v>10866970</v>
      </c>
      <c r="L33" s="24">
        <v>4666160</v>
      </c>
      <c r="M33" s="24">
        <v>8906030</v>
      </c>
      <c r="N33" s="24">
        <v>14345820</v>
      </c>
      <c r="O33" s="24">
        <v>20050930</v>
      </c>
      <c r="Q33" s="37">
        <f>IF((C33-C32&lt;0), "0",C33-C32)</f>
        <v>12230</v>
      </c>
      <c r="R33" s="37">
        <f t="shared" si="18"/>
        <v>1910</v>
      </c>
      <c r="S33" s="37">
        <f t="shared" si="16"/>
        <v>0</v>
      </c>
      <c r="T33" s="37">
        <f t="shared" si="19"/>
        <v>1280</v>
      </c>
      <c r="U33" s="37">
        <f t="shared" si="20"/>
        <v>4540</v>
      </c>
      <c r="V33" s="37">
        <f t="shared" si="21"/>
        <v>3860</v>
      </c>
      <c r="W33" s="37">
        <f t="shared" si="22"/>
        <v>4320</v>
      </c>
      <c r="X33" s="37">
        <f t="shared" si="23"/>
        <v>3460</v>
      </c>
      <c r="Y33" s="37">
        <f t="shared" si="24"/>
        <v>3550</v>
      </c>
      <c r="Z33" s="37">
        <f t="shared" si="25"/>
        <v>2360</v>
      </c>
      <c r="AA33" s="37">
        <f t="shared" si="26"/>
        <v>2660</v>
      </c>
      <c r="AB33" s="37">
        <f t="shared" si="27"/>
        <v>6530</v>
      </c>
      <c r="AC33" s="37">
        <f t="shared" si="28"/>
        <v>11300</v>
      </c>
      <c r="AD33" s="35">
        <f t="shared" si="29"/>
        <v>58000</v>
      </c>
      <c r="AF33" s="20">
        <f t="shared" si="1"/>
        <v>61.15</v>
      </c>
      <c r="AG33" s="20">
        <f t="shared" si="2"/>
        <v>9.5500000000000007</v>
      </c>
      <c r="AH33" s="20">
        <f t="shared" si="3"/>
        <v>0</v>
      </c>
      <c r="AI33" s="20">
        <f t="shared" si="4"/>
        <v>6.4</v>
      </c>
      <c r="AJ33" s="20">
        <f t="shared" si="5"/>
        <v>22.7</v>
      </c>
      <c r="AK33" s="20">
        <f t="shared" si="6"/>
        <v>19.3</v>
      </c>
      <c r="AL33" s="20">
        <f t="shared" si="7"/>
        <v>21.6</v>
      </c>
      <c r="AM33" s="20">
        <f t="shared" si="8"/>
        <v>17.3</v>
      </c>
      <c r="AN33" s="20">
        <f t="shared" si="9"/>
        <v>17.75</v>
      </c>
      <c r="AO33" s="20">
        <f t="shared" si="10"/>
        <v>11.8</v>
      </c>
      <c r="AP33" s="20">
        <f t="shared" si="11"/>
        <v>13.3</v>
      </c>
      <c r="AQ33" s="20">
        <f t="shared" si="12"/>
        <v>32.65</v>
      </c>
      <c r="AR33" s="20">
        <f t="shared" si="13"/>
        <v>56.5</v>
      </c>
      <c r="AS33" s="35">
        <f t="shared" si="30"/>
        <v>290.00000000000006</v>
      </c>
      <c r="AU33" s="47">
        <v>661588</v>
      </c>
      <c r="AV33" s="37">
        <f t="shared" si="34"/>
        <v>2238</v>
      </c>
      <c r="AW33" s="35">
        <f t="shared" si="14"/>
        <v>4.476</v>
      </c>
    </row>
    <row r="34" spans="1:49" x14ac:dyDescent="0.25">
      <c r="A34" s="23">
        <v>44679</v>
      </c>
      <c r="B34" s="51">
        <v>37</v>
      </c>
      <c r="C34" s="50">
        <v>7924570</v>
      </c>
      <c r="D34" s="24">
        <v>18560080</v>
      </c>
      <c r="E34" s="24">
        <v>3201530</v>
      </c>
      <c r="F34" s="24">
        <v>4002870</v>
      </c>
      <c r="G34" s="24">
        <v>11902390</v>
      </c>
      <c r="H34" s="24">
        <v>6778180</v>
      </c>
      <c r="I34" s="24">
        <v>5940860</v>
      </c>
      <c r="J34" s="24">
        <v>7326640</v>
      </c>
      <c r="K34" s="24">
        <v>10870460</v>
      </c>
      <c r="L34" s="24">
        <v>4668540</v>
      </c>
      <c r="M34" s="24">
        <v>8908590</v>
      </c>
      <c r="N34" s="24">
        <v>14352230</v>
      </c>
      <c r="O34" s="24">
        <v>20062080</v>
      </c>
      <c r="Q34" s="37">
        <f>IF((C34-C33&lt;0), "0",C34-C33)</f>
        <v>11530</v>
      </c>
      <c r="R34" s="37">
        <f t="shared" si="18"/>
        <v>1890</v>
      </c>
      <c r="S34" s="37">
        <f t="shared" si="16"/>
        <v>0</v>
      </c>
      <c r="T34" s="37">
        <f t="shared" si="19"/>
        <v>1300</v>
      </c>
      <c r="U34" s="37">
        <f t="shared" si="20"/>
        <v>4390</v>
      </c>
      <c r="V34" s="37">
        <f t="shared" si="21"/>
        <v>3780</v>
      </c>
      <c r="W34" s="37">
        <f t="shared" si="22"/>
        <v>4310</v>
      </c>
      <c r="X34" s="37">
        <f t="shared" si="23"/>
        <v>3490</v>
      </c>
      <c r="Y34" s="37">
        <f t="shared" si="24"/>
        <v>3490</v>
      </c>
      <c r="Z34" s="37">
        <f t="shared" si="25"/>
        <v>2380</v>
      </c>
      <c r="AA34" s="37">
        <f t="shared" si="26"/>
        <v>2560</v>
      </c>
      <c r="AB34" s="37">
        <f t="shared" si="27"/>
        <v>6410</v>
      </c>
      <c r="AC34" s="37">
        <f t="shared" si="28"/>
        <v>11150</v>
      </c>
      <c r="AD34" s="35">
        <f t="shared" si="29"/>
        <v>56680</v>
      </c>
      <c r="AF34" s="20">
        <f>Q34*$D$39</f>
        <v>57.65</v>
      </c>
      <c r="AG34" s="20">
        <f t="shared" si="2"/>
        <v>9.4500000000000011</v>
      </c>
      <c r="AH34" s="20">
        <f t="shared" si="3"/>
        <v>0</v>
      </c>
      <c r="AI34" s="20">
        <f t="shared" si="4"/>
        <v>6.5</v>
      </c>
      <c r="AJ34" s="20">
        <f t="shared" si="5"/>
        <v>21.95</v>
      </c>
      <c r="AK34" s="20">
        <f t="shared" si="6"/>
        <v>18.900000000000002</v>
      </c>
      <c r="AL34" s="20">
        <f t="shared" si="7"/>
        <v>21.55</v>
      </c>
      <c r="AM34" s="20">
        <f t="shared" si="8"/>
        <v>17.45</v>
      </c>
      <c r="AN34" s="20">
        <f t="shared" si="9"/>
        <v>17.45</v>
      </c>
      <c r="AO34" s="20">
        <f t="shared" si="10"/>
        <v>11.9</v>
      </c>
      <c r="AP34" s="20">
        <f t="shared" si="11"/>
        <v>12.8</v>
      </c>
      <c r="AQ34" s="20">
        <f t="shared" si="12"/>
        <v>32.049999999999997</v>
      </c>
      <c r="AR34" s="20">
        <f t="shared" si="13"/>
        <v>55.75</v>
      </c>
      <c r="AS34" s="35">
        <f>SUM(AF34:AR34)</f>
        <v>283.39999999999998</v>
      </c>
      <c r="AU34" s="47">
        <v>663132</v>
      </c>
      <c r="AV34" s="37">
        <f t="shared" si="34"/>
        <v>1544</v>
      </c>
      <c r="AW34" s="35">
        <f t="shared" si="14"/>
        <v>3.0880000000000001</v>
      </c>
    </row>
    <row r="35" spans="1:49" x14ac:dyDescent="0.25">
      <c r="A35" s="23">
        <v>44680</v>
      </c>
      <c r="B35" s="40">
        <v>39</v>
      </c>
      <c r="C35" s="24">
        <v>7936580</v>
      </c>
      <c r="D35" s="24">
        <v>18561920</v>
      </c>
      <c r="E35" s="24">
        <v>3201530</v>
      </c>
      <c r="F35" s="24">
        <v>4004070</v>
      </c>
      <c r="G35" s="24">
        <v>11906700</v>
      </c>
      <c r="H35" s="24">
        <v>6781800</v>
      </c>
      <c r="I35" s="24">
        <v>5945180</v>
      </c>
      <c r="J35" s="24">
        <v>7330080</v>
      </c>
      <c r="K35" s="24">
        <v>10873980</v>
      </c>
      <c r="L35" s="24">
        <v>4670920</v>
      </c>
      <c r="M35" s="24">
        <v>8911250</v>
      </c>
      <c r="N35" s="24">
        <v>14358870</v>
      </c>
      <c r="O35" s="24">
        <v>20072830</v>
      </c>
      <c r="Q35" s="37">
        <f>IF((C35-C34&lt;0), "0",C35-C34)</f>
        <v>12010</v>
      </c>
      <c r="R35" s="37">
        <f t="shared" si="18"/>
        <v>1840</v>
      </c>
      <c r="S35" s="37">
        <f t="shared" si="16"/>
        <v>0</v>
      </c>
      <c r="T35" s="37">
        <f t="shared" si="19"/>
        <v>1200</v>
      </c>
      <c r="U35" s="37">
        <f t="shared" si="20"/>
        <v>4310</v>
      </c>
      <c r="V35" s="37">
        <f t="shared" si="21"/>
        <v>3620</v>
      </c>
      <c r="W35" s="37">
        <f t="shared" si="22"/>
        <v>4320</v>
      </c>
      <c r="X35" s="37">
        <f t="shared" si="23"/>
        <v>3440</v>
      </c>
      <c r="Y35" s="37">
        <f t="shared" si="24"/>
        <v>3520</v>
      </c>
      <c r="Z35" s="37">
        <f t="shared" si="25"/>
        <v>2380</v>
      </c>
      <c r="AA35" s="37">
        <f t="shared" si="26"/>
        <v>2660</v>
      </c>
      <c r="AB35" s="37">
        <f t="shared" si="27"/>
        <v>6640</v>
      </c>
      <c r="AC35" s="37">
        <f t="shared" si="28"/>
        <v>10750</v>
      </c>
      <c r="AD35" s="35">
        <f t="shared" si="29"/>
        <v>56690</v>
      </c>
      <c r="AF35" s="20">
        <f t="shared" si="1"/>
        <v>60.050000000000004</v>
      </c>
      <c r="AG35" s="20">
        <f t="shared" si="2"/>
        <v>9.2000000000000011</v>
      </c>
      <c r="AH35" s="20">
        <f t="shared" si="3"/>
        <v>0</v>
      </c>
      <c r="AI35" s="20">
        <f t="shared" si="4"/>
        <v>6</v>
      </c>
      <c r="AJ35" s="20">
        <f t="shared" si="5"/>
        <v>21.55</v>
      </c>
      <c r="AK35" s="20">
        <f t="shared" si="6"/>
        <v>18.100000000000001</v>
      </c>
      <c r="AL35" s="20">
        <f t="shared" si="7"/>
        <v>21.6</v>
      </c>
      <c r="AM35" s="20">
        <f t="shared" si="8"/>
        <v>17.2</v>
      </c>
      <c r="AN35" s="20">
        <f t="shared" si="9"/>
        <v>17.600000000000001</v>
      </c>
      <c r="AO35" s="20">
        <f t="shared" si="10"/>
        <v>11.9</v>
      </c>
      <c r="AP35" s="20">
        <f t="shared" si="11"/>
        <v>13.3</v>
      </c>
      <c r="AQ35" s="20">
        <f t="shared" si="12"/>
        <v>33.200000000000003</v>
      </c>
      <c r="AR35" s="20">
        <f t="shared" si="13"/>
        <v>53.75</v>
      </c>
      <c r="AS35" s="35">
        <f>SUM(AF35:AR35)</f>
        <v>283.45</v>
      </c>
      <c r="AU35" s="47">
        <v>663505</v>
      </c>
      <c r="AV35" s="37">
        <f t="shared" si="34"/>
        <v>373</v>
      </c>
      <c r="AW35" s="35">
        <f t="shared" si="14"/>
        <v>0.746</v>
      </c>
    </row>
    <row r="36" spans="1:49" x14ac:dyDescent="0.25">
      <c r="A36" s="23">
        <v>44681</v>
      </c>
      <c r="B36" s="40">
        <v>27</v>
      </c>
      <c r="C36" s="24">
        <v>7956030</v>
      </c>
      <c r="D36" s="24">
        <v>18564890</v>
      </c>
      <c r="E36" s="24">
        <v>3201530</v>
      </c>
      <c r="F36" s="24">
        <v>4006030</v>
      </c>
      <c r="G36" s="24">
        <v>11913290</v>
      </c>
      <c r="H36" s="24">
        <v>6787870</v>
      </c>
      <c r="I36" s="24">
        <v>5951340</v>
      </c>
      <c r="J36" s="52">
        <v>7335500</v>
      </c>
      <c r="K36" s="24">
        <v>10879590</v>
      </c>
      <c r="L36" s="24">
        <v>4674760</v>
      </c>
      <c r="M36" s="24">
        <v>8915390</v>
      </c>
      <c r="N36" s="24">
        <v>14369050</v>
      </c>
      <c r="O36" s="24">
        <v>20090400</v>
      </c>
      <c r="Q36" s="37">
        <f t="shared" ref="Q36:AA36" si="35">IF((C36-C35&lt;0), "0",C36-C35)</f>
        <v>19450</v>
      </c>
      <c r="R36" s="37">
        <f t="shared" si="18"/>
        <v>2970</v>
      </c>
      <c r="S36" s="37">
        <f t="shared" si="35"/>
        <v>0</v>
      </c>
      <c r="T36" s="37">
        <f t="shared" si="35"/>
        <v>1960</v>
      </c>
      <c r="U36" s="37">
        <f t="shared" si="35"/>
        <v>6590</v>
      </c>
      <c r="V36" s="37">
        <f t="shared" si="35"/>
        <v>6070</v>
      </c>
      <c r="W36" s="37">
        <f t="shared" si="35"/>
        <v>6160</v>
      </c>
      <c r="X36" s="37">
        <f t="shared" si="23"/>
        <v>5420</v>
      </c>
      <c r="Y36" s="37">
        <f t="shared" si="35"/>
        <v>5610</v>
      </c>
      <c r="Z36" s="37">
        <f t="shared" si="35"/>
        <v>3840</v>
      </c>
      <c r="AA36" s="37">
        <f t="shared" si="35"/>
        <v>4140</v>
      </c>
      <c r="AB36" s="37">
        <f t="shared" si="27"/>
        <v>10180</v>
      </c>
      <c r="AC36" s="37">
        <f t="shared" si="28"/>
        <v>17570</v>
      </c>
      <c r="AD36" s="35">
        <f t="shared" si="29"/>
        <v>89960</v>
      </c>
      <c r="AF36" s="20">
        <f t="shared" si="1"/>
        <v>97.25</v>
      </c>
      <c r="AG36" s="20">
        <f t="shared" si="2"/>
        <v>14.85</v>
      </c>
      <c r="AH36" s="20">
        <f t="shared" si="3"/>
        <v>0</v>
      </c>
      <c r="AI36" s="20">
        <f t="shared" si="4"/>
        <v>9.8000000000000007</v>
      </c>
      <c r="AJ36" s="20">
        <f t="shared" si="5"/>
        <v>32.950000000000003</v>
      </c>
      <c r="AK36" s="20">
        <f t="shared" si="6"/>
        <v>30.35</v>
      </c>
      <c r="AL36" s="20">
        <f t="shared" si="7"/>
        <v>30.8</v>
      </c>
      <c r="AM36" s="20">
        <f t="shared" si="8"/>
        <v>27.1</v>
      </c>
      <c r="AN36" s="20">
        <f t="shared" si="9"/>
        <v>28.05</v>
      </c>
      <c r="AO36" s="20">
        <f t="shared" si="10"/>
        <v>19.2</v>
      </c>
      <c r="AP36" s="20">
        <f t="shared" si="11"/>
        <v>20.7</v>
      </c>
      <c r="AQ36" s="20">
        <f t="shared" si="12"/>
        <v>50.9</v>
      </c>
      <c r="AR36" s="20">
        <f t="shared" si="13"/>
        <v>87.850000000000009</v>
      </c>
      <c r="AS36" s="35">
        <f>SUM(AF36:AR36)</f>
        <v>449.79999999999995</v>
      </c>
      <c r="AU36" s="47">
        <v>663505</v>
      </c>
      <c r="AV36" s="37">
        <f t="shared" si="34"/>
        <v>0</v>
      </c>
      <c r="AW36" s="35">
        <f t="shared" ref="AW36:AW37" si="36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 t="str">
        <f t="shared" ref="AV37" si="59">IF((AU37-AU36&lt;0),"0",AU37-AU36)</f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129420</v>
      </c>
      <c r="R38" s="38">
        <f t="shared" ref="R38:AD38" si="60">SUM(R7:R37)</f>
        <v>279440</v>
      </c>
      <c r="S38" s="38">
        <f t="shared" si="60"/>
        <v>720</v>
      </c>
      <c r="T38" s="38">
        <f t="shared" si="60"/>
        <v>44990</v>
      </c>
      <c r="U38" s="38">
        <f t="shared" si="60"/>
        <v>137400</v>
      </c>
      <c r="V38" s="38">
        <f t="shared" si="60"/>
        <v>116740</v>
      </c>
      <c r="W38" s="38">
        <f t="shared" si="60"/>
        <v>132350</v>
      </c>
      <c r="X38" s="38">
        <f t="shared" si="60"/>
        <v>109190</v>
      </c>
      <c r="Y38" s="38">
        <f t="shared" si="60"/>
        <v>113570</v>
      </c>
      <c r="Z38" s="38">
        <f t="shared" si="60"/>
        <v>72230</v>
      </c>
      <c r="AA38" s="38">
        <f t="shared" si="60"/>
        <v>82290</v>
      </c>
      <c r="AB38" s="38">
        <f t="shared" si="60"/>
        <v>207020</v>
      </c>
      <c r="AC38" s="38">
        <f t="shared" si="60"/>
        <v>308610</v>
      </c>
      <c r="AD38" s="38">
        <f t="shared" si="60"/>
        <v>1733970</v>
      </c>
      <c r="AF38" s="35">
        <f>SUM(AF7:AF37)</f>
        <v>647.09999999999991</v>
      </c>
      <c r="AG38" s="35">
        <f t="shared" ref="AG38:AS38" si="61">SUM(AG7:AG37)</f>
        <v>1397.1999999999996</v>
      </c>
      <c r="AH38" s="35">
        <f t="shared" si="61"/>
        <v>3.5999999999999996</v>
      </c>
      <c r="AI38" s="35">
        <f t="shared" si="61"/>
        <v>224.95000000000002</v>
      </c>
      <c r="AJ38" s="35">
        <f t="shared" si="61"/>
        <v>687</v>
      </c>
      <c r="AK38" s="35">
        <f t="shared" si="61"/>
        <v>583.70000000000005</v>
      </c>
      <c r="AL38" s="35">
        <f t="shared" si="61"/>
        <v>661.75</v>
      </c>
      <c r="AM38" s="35">
        <f t="shared" si="61"/>
        <v>545.95000000000005</v>
      </c>
      <c r="AN38" s="35">
        <f t="shared" si="61"/>
        <v>567.85</v>
      </c>
      <c r="AO38" s="35">
        <f t="shared" si="61"/>
        <v>361.15000000000003</v>
      </c>
      <c r="AP38" s="35">
        <f t="shared" si="61"/>
        <v>411.45000000000005</v>
      </c>
      <c r="AQ38" s="35">
        <f t="shared" si="61"/>
        <v>1035.1000000000001</v>
      </c>
      <c r="AR38" s="35">
        <f t="shared" si="61"/>
        <v>1543.0500000000002</v>
      </c>
      <c r="AS38" s="35">
        <f t="shared" si="61"/>
        <v>8669.8499999999967</v>
      </c>
      <c r="AU38" s="48"/>
      <c r="AV38" s="34">
        <f>SUM(AV7:AV37)</f>
        <v>46113</v>
      </c>
      <c r="AW38" s="35">
        <f>SUM(AW7:AW37)</f>
        <v>92.225999999999971</v>
      </c>
    </row>
    <row r="39" spans="1:49" x14ac:dyDescent="0.25">
      <c r="B39" s="39">
        <f>SUM(B7:B36)</f>
        <v>1333</v>
      </c>
      <c r="D39">
        <v>5.0000000000000001E-3</v>
      </c>
      <c r="AV39" s="36">
        <f>AV38*0.00378541*1000</f>
        <v>174556.61133000001</v>
      </c>
    </row>
    <row r="40" spans="1:49" x14ac:dyDescent="0.25">
      <c r="D40">
        <v>2E-3</v>
      </c>
      <c r="AV40">
        <f>AV39/31</f>
        <v>5630.8584300000002</v>
      </c>
    </row>
    <row r="41" spans="1:49" x14ac:dyDescent="0.25">
      <c r="AV41">
        <f>AV38*0.00378541</f>
        <v>174.55661133000001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2022-05-01T12:41:57Z</dcterms:modified>
</cp:coreProperties>
</file>