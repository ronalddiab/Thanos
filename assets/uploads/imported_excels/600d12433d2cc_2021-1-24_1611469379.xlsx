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1" i="3" l="1"/>
  <c r="F21" i="3"/>
  <c r="E20" i="3"/>
  <c r="F20" i="3" l="1"/>
  <c r="E19" i="3"/>
  <c r="F19" i="3" l="1"/>
  <c r="E18" i="3"/>
  <c r="F18" i="3" l="1"/>
  <c r="E17" i="3"/>
  <c r="F17" i="3" l="1"/>
  <c r="G18" i="3" l="1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E16" i="3" l="1"/>
  <c r="F16" i="3" l="1"/>
  <c r="E15" i="3"/>
  <c r="F15" i="3" l="1"/>
  <c r="E14" i="3"/>
  <c r="F14" i="3" l="1"/>
  <c r="E13" i="3"/>
  <c r="F13" i="3" l="1"/>
  <c r="E12" i="3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BH16" i="3" s="1"/>
  <c r="EU24" i="4"/>
  <c r="ET24" i="4"/>
  <c r="ER24" i="4"/>
  <c r="EQ24" i="4"/>
  <c r="BC16" i="3" s="1"/>
  <c r="EP24" i="4"/>
  <c r="EO24" i="4"/>
  <c r="EN24" i="4"/>
  <c r="EM24" i="4"/>
  <c r="BE16" i="3" s="1"/>
  <c r="EL24" i="4"/>
  <c r="EK24" i="4"/>
  <c r="EJ24" i="4"/>
  <c r="EI24" i="4"/>
  <c r="BB16" i="3" s="1"/>
  <c r="EH24" i="4"/>
  <c r="EG24" i="4"/>
  <c r="EE24" i="4"/>
  <c r="ED24" i="4"/>
  <c r="AZ16" i="3" s="1"/>
  <c r="EC24" i="4"/>
  <c r="EB24" i="4"/>
  <c r="EA24" i="4"/>
  <c r="DZ24" i="4"/>
  <c r="AX16" i="3" s="1"/>
  <c r="DY24" i="4"/>
  <c r="DX24" i="4"/>
  <c r="DW24" i="4"/>
  <c r="DV24" i="4"/>
  <c r="DU24" i="4"/>
  <c r="DT24" i="4"/>
  <c r="DR24" i="4"/>
  <c r="DQ24" i="4"/>
  <c r="AT16" i="3" s="1"/>
  <c r="DP24" i="4"/>
  <c r="DO24" i="4"/>
  <c r="DN24" i="4"/>
  <c r="DM24" i="4"/>
  <c r="AS16" i="3" s="1"/>
  <c r="DL24" i="4"/>
  <c r="DK24" i="4"/>
  <c r="DJ24" i="4"/>
  <c r="DI24" i="4"/>
  <c r="AQ16" i="3" s="1"/>
  <c r="DH24" i="4"/>
  <c r="DG24" i="4"/>
  <c r="DF24" i="4"/>
  <c r="DE24" i="4"/>
  <c r="AO16" i="3" s="1"/>
  <c r="DD24" i="4"/>
  <c r="DC24" i="4"/>
  <c r="DB24" i="4"/>
  <c r="DA24" i="4"/>
  <c r="AM16" i="3" s="1"/>
  <c r="CZ24" i="4"/>
  <c r="CY24" i="4"/>
  <c r="CX24" i="4"/>
  <c r="CW24" i="4"/>
  <c r="AK16" i="3" s="1"/>
  <c r="CU24" i="4"/>
  <c r="CT24" i="4"/>
  <c r="CS24" i="4"/>
  <c r="CR24" i="4"/>
  <c r="CQ24" i="4"/>
  <c r="AB16" i="3" s="1"/>
  <c r="CP24" i="4"/>
  <c r="CO24" i="4"/>
  <c r="CN24" i="4"/>
  <c r="AA16" i="3" s="1"/>
  <c r="CM24" i="4"/>
  <c r="CL24" i="4"/>
  <c r="CK24" i="4"/>
  <c r="CJ24" i="4"/>
  <c r="CI24" i="4"/>
  <c r="AI16" i="3" s="1"/>
  <c r="CH24" i="4"/>
  <c r="CG24" i="4"/>
  <c r="CF24" i="4"/>
  <c r="CE24" i="4"/>
  <c r="AG16" i="3" s="1"/>
  <c r="CD24" i="4"/>
  <c r="CC24" i="4"/>
  <c r="CB24" i="4"/>
  <c r="CA24" i="4"/>
  <c r="AE16" i="3" s="1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W16" i="3" s="1"/>
  <c r="AX24" i="4"/>
  <c r="AW24" i="4"/>
  <c r="AV24" i="4"/>
  <c r="V16" i="3" s="1"/>
  <c r="AU24" i="4"/>
  <c r="AT24" i="4"/>
  <c r="AS24" i="4"/>
  <c r="AR24" i="4"/>
  <c r="AQ24" i="4"/>
  <c r="AP24" i="4"/>
  <c r="AO24" i="4"/>
  <c r="AN24" i="4"/>
  <c r="AM24" i="4"/>
  <c r="S16" i="3" s="1"/>
  <c r="AL24" i="4"/>
  <c r="AK24" i="4"/>
  <c r="AJ24" i="4"/>
  <c r="R16" i="3" s="1"/>
  <c r="AI24" i="4"/>
  <c r="AH24" i="4"/>
  <c r="AG24" i="4"/>
  <c r="AF24" i="4"/>
  <c r="AE24" i="4"/>
  <c r="AD24" i="4"/>
  <c r="AC24" i="4"/>
  <c r="AB24" i="4"/>
  <c r="AA24" i="4"/>
  <c r="O16" i="3" s="1"/>
  <c r="Z24" i="4"/>
  <c r="Y24" i="4"/>
  <c r="X24" i="4"/>
  <c r="N16" i="3" s="1"/>
  <c r="W24" i="4"/>
  <c r="V24" i="4"/>
  <c r="U24" i="4"/>
  <c r="S24" i="4"/>
  <c r="R24" i="4"/>
  <c r="L16" i="3" s="1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H16" i="3" s="1"/>
  <c r="E24" i="4"/>
  <c r="D24" i="4"/>
  <c r="C24" i="4"/>
  <c r="G16" i="3" s="1"/>
  <c r="B24" i="4"/>
  <c r="FC23" i="4"/>
  <c r="FB23" i="4"/>
  <c r="FA23" i="4"/>
  <c r="EZ23" i="4"/>
  <c r="BI15" i="3" s="1"/>
  <c r="EY23" i="4"/>
  <c r="EX23" i="4"/>
  <c r="EW23" i="4"/>
  <c r="EV23" i="4"/>
  <c r="BH15" i="3" s="1"/>
  <c r="EU23" i="4"/>
  <c r="ET23" i="4"/>
  <c r="ER23" i="4"/>
  <c r="EQ23" i="4"/>
  <c r="BC15" i="3" s="1"/>
  <c r="EP23" i="4"/>
  <c r="EO23" i="4"/>
  <c r="EN23" i="4"/>
  <c r="EM23" i="4"/>
  <c r="BE15" i="3" s="1"/>
  <c r="EL23" i="4"/>
  <c r="EK23" i="4"/>
  <c r="EJ23" i="4"/>
  <c r="EI23" i="4"/>
  <c r="BB15" i="3" s="1"/>
  <c r="EH23" i="4"/>
  <c r="EG23" i="4"/>
  <c r="EE23" i="4"/>
  <c r="ED23" i="4"/>
  <c r="AZ15" i="3" s="1"/>
  <c r="EC23" i="4"/>
  <c r="EB23" i="4"/>
  <c r="EA23" i="4"/>
  <c r="DZ23" i="4"/>
  <c r="AX15" i="3" s="1"/>
  <c r="DY23" i="4"/>
  <c r="DX23" i="4"/>
  <c r="DW23" i="4"/>
  <c r="DV23" i="4"/>
  <c r="DU23" i="4"/>
  <c r="DT23" i="4"/>
  <c r="DR23" i="4"/>
  <c r="DQ23" i="4"/>
  <c r="AT15" i="3" s="1"/>
  <c r="DP23" i="4"/>
  <c r="DO23" i="4"/>
  <c r="DN23" i="4"/>
  <c r="DM23" i="4"/>
  <c r="AS15" i="3" s="1"/>
  <c r="DL23" i="4"/>
  <c r="DK23" i="4"/>
  <c r="DJ23" i="4"/>
  <c r="DI23" i="4"/>
  <c r="AQ15" i="3" s="1"/>
  <c r="DH23" i="4"/>
  <c r="DG23" i="4"/>
  <c r="DF23" i="4"/>
  <c r="DE23" i="4"/>
  <c r="AO15" i="3" s="1"/>
  <c r="DD23" i="4"/>
  <c r="DC23" i="4"/>
  <c r="DB23" i="4"/>
  <c r="DA23" i="4"/>
  <c r="AM15" i="3" s="1"/>
  <c r="CZ23" i="4"/>
  <c r="CY23" i="4"/>
  <c r="CX23" i="4"/>
  <c r="CW23" i="4"/>
  <c r="AK15" i="3" s="1"/>
  <c r="CU23" i="4"/>
  <c r="CT23" i="4"/>
  <c r="CS23" i="4"/>
  <c r="CR23" i="4"/>
  <c r="CQ23" i="4"/>
  <c r="CP23" i="4"/>
  <c r="CO23" i="4"/>
  <c r="CN23" i="4"/>
  <c r="AA15" i="3" s="1"/>
  <c r="CM23" i="4"/>
  <c r="CL23" i="4"/>
  <c r="CK23" i="4"/>
  <c r="Z15" i="3" s="1"/>
  <c r="CJ23" i="4"/>
  <c r="CI23" i="4"/>
  <c r="CH23" i="4"/>
  <c r="CG23" i="4"/>
  <c r="AH15" i="3" s="1"/>
  <c r="CF23" i="4"/>
  <c r="CE23" i="4"/>
  <c r="CD23" i="4"/>
  <c r="CC23" i="4"/>
  <c r="AF15" i="3" s="1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AX23" i="4"/>
  <c r="AW23" i="4"/>
  <c r="AV23" i="4"/>
  <c r="V15" i="3" s="1"/>
  <c r="AU23" i="4"/>
  <c r="AT23" i="4"/>
  <c r="AS23" i="4"/>
  <c r="U15" i="3" s="1"/>
  <c r="AR23" i="4"/>
  <c r="AQ23" i="4"/>
  <c r="AP23" i="4"/>
  <c r="AO23" i="4"/>
  <c r="AN23" i="4"/>
  <c r="AM23" i="4"/>
  <c r="AL23" i="4"/>
  <c r="AK23" i="4"/>
  <c r="AJ23" i="4"/>
  <c r="R15" i="3" s="1"/>
  <c r="AI23" i="4"/>
  <c r="AH23" i="4"/>
  <c r="AG23" i="4"/>
  <c r="Q15" i="3" s="1"/>
  <c r="AF23" i="4"/>
  <c r="AE23" i="4"/>
  <c r="AD23" i="4"/>
  <c r="AC23" i="4"/>
  <c r="AB23" i="4"/>
  <c r="AA23" i="4"/>
  <c r="Z23" i="4"/>
  <c r="Y23" i="4"/>
  <c r="X23" i="4"/>
  <c r="N15" i="3" s="1"/>
  <c r="W23" i="4"/>
  <c r="V23" i="4"/>
  <c r="U23" i="4"/>
  <c r="M15" i="3" s="1"/>
  <c r="S23" i="4"/>
  <c r="R23" i="4"/>
  <c r="Q23" i="4"/>
  <c r="P23" i="4"/>
  <c r="O23" i="4"/>
  <c r="K15" i="3" s="1"/>
  <c r="N23" i="4"/>
  <c r="M23" i="4"/>
  <c r="L23" i="4"/>
  <c r="K23" i="4"/>
  <c r="J23" i="4"/>
  <c r="I23" i="4"/>
  <c r="H23" i="4"/>
  <c r="G23" i="4"/>
  <c r="F23" i="4"/>
  <c r="E23" i="4"/>
  <c r="D23" i="4"/>
  <c r="C23" i="4"/>
  <c r="G15" i="3" s="1"/>
  <c r="B23" i="4"/>
  <c r="FC22" i="4"/>
  <c r="FB22" i="4"/>
  <c r="BK14" i="3" s="1"/>
  <c r="FA22" i="4"/>
  <c r="EZ22" i="4"/>
  <c r="EY22" i="4"/>
  <c r="EX22" i="4"/>
  <c r="BJ14" i="3" s="1"/>
  <c r="EW22" i="4"/>
  <c r="EV22" i="4"/>
  <c r="EU22" i="4"/>
  <c r="ET22" i="4"/>
  <c r="BG14" i="3" s="1"/>
  <c r="ER22" i="4"/>
  <c r="EQ22" i="4"/>
  <c r="EP22" i="4"/>
  <c r="EO22" i="4"/>
  <c r="BF14" i="3" s="1"/>
  <c r="EN22" i="4"/>
  <c r="EM22" i="4"/>
  <c r="EL22" i="4"/>
  <c r="EK22" i="4"/>
  <c r="BD14" i="3" s="1"/>
  <c r="EJ22" i="4"/>
  <c r="EI22" i="4"/>
  <c r="EH22" i="4"/>
  <c r="EG22" i="4"/>
  <c r="BA14" i="3" s="1"/>
  <c r="EE22" i="4"/>
  <c r="ED22" i="4"/>
  <c r="EC22" i="4"/>
  <c r="EB22" i="4"/>
  <c r="AY14" i="3" s="1"/>
  <c r="EA22" i="4"/>
  <c r="DZ22" i="4"/>
  <c r="DY22" i="4"/>
  <c r="DX22" i="4"/>
  <c r="AW14" i="3" s="1"/>
  <c r="DW22" i="4"/>
  <c r="DV22" i="4"/>
  <c r="DU22" i="4"/>
  <c r="DT22" i="4"/>
  <c r="AU14" i="3" s="1"/>
  <c r="DR22" i="4"/>
  <c r="DQ22" i="4"/>
  <c r="DP22" i="4"/>
  <c r="DO22" i="4"/>
  <c r="AR14" i="3" s="1"/>
  <c r="DN22" i="4"/>
  <c r="DM22" i="4"/>
  <c r="DL22" i="4"/>
  <c r="DK22" i="4"/>
  <c r="AP14" i="3" s="1"/>
  <c r="DJ22" i="4"/>
  <c r="DI22" i="4"/>
  <c r="DH22" i="4"/>
  <c r="DG22" i="4"/>
  <c r="AN14" i="3" s="1"/>
  <c r="DF22" i="4"/>
  <c r="DE22" i="4"/>
  <c r="DD22" i="4"/>
  <c r="DC22" i="4"/>
  <c r="AL14" i="3" s="1"/>
  <c r="DB22" i="4"/>
  <c r="DA22" i="4"/>
  <c r="CZ22" i="4"/>
  <c r="CY22" i="4"/>
  <c r="AJ14" i="3" s="1"/>
  <c r="CX22" i="4"/>
  <c r="CW22" i="4"/>
  <c r="CU22" i="4"/>
  <c r="CT22" i="4"/>
  <c r="AC14" i="3" s="1"/>
  <c r="CS22" i="4"/>
  <c r="CR22" i="4"/>
  <c r="CQ22" i="4"/>
  <c r="CP22" i="4"/>
  <c r="CO22" i="4"/>
  <c r="CN22" i="4"/>
  <c r="CM22" i="4"/>
  <c r="CL22" i="4"/>
  <c r="CK22" i="4"/>
  <c r="Z14" i="3" s="1"/>
  <c r="CJ22" i="4"/>
  <c r="CI22" i="4"/>
  <c r="CH22" i="4"/>
  <c r="CG22" i="4"/>
  <c r="AH14" i="3" s="1"/>
  <c r="CF22" i="4"/>
  <c r="CE22" i="4"/>
  <c r="CD22" i="4"/>
  <c r="CC22" i="4"/>
  <c r="AF14" i="3" s="1"/>
  <c r="CB22" i="4"/>
  <c r="CA22" i="4"/>
  <c r="BZ22" i="4"/>
  <c r="BY22" i="4"/>
  <c r="AD14" i="3" s="1"/>
  <c r="BX22" i="4"/>
  <c r="BW22" i="4"/>
  <c r="BV22" i="4"/>
  <c r="BT22" i="4"/>
  <c r="BS22" i="4"/>
  <c r="BH22" i="4"/>
  <c r="BG22" i="4"/>
  <c r="BF22" i="4"/>
  <c r="Y14" i="3" s="1"/>
  <c r="BE22" i="4"/>
  <c r="BD22" i="4"/>
  <c r="BC22" i="4"/>
  <c r="X14" i="3" s="1"/>
  <c r="BB22" i="4"/>
  <c r="BA22" i="4"/>
  <c r="AZ22" i="4"/>
  <c r="AX22" i="4"/>
  <c r="AW22" i="4"/>
  <c r="AV22" i="4"/>
  <c r="AU22" i="4"/>
  <c r="AT22" i="4"/>
  <c r="AS22" i="4"/>
  <c r="U14" i="3" s="1"/>
  <c r="AR22" i="4"/>
  <c r="AQ22" i="4"/>
  <c r="AP22" i="4"/>
  <c r="T14" i="3" s="1"/>
  <c r="AO22" i="4"/>
  <c r="AN22" i="4"/>
  <c r="AM22" i="4"/>
  <c r="AL22" i="4"/>
  <c r="AK22" i="4"/>
  <c r="AJ22" i="4"/>
  <c r="AI22" i="4"/>
  <c r="AH22" i="4"/>
  <c r="AG22" i="4"/>
  <c r="Q14" i="3" s="1"/>
  <c r="AF22" i="4"/>
  <c r="AE22" i="4"/>
  <c r="AD22" i="4"/>
  <c r="P14" i="3" s="1"/>
  <c r="AC22" i="4"/>
  <c r="AB22" i="4"/>
  <c r="AA22" i="4"/>
  <c r="Z22" i="4"/>
  <c r="Y22" i="4"/>
  <c r="X22" i="4"/>
  <c r="W22" i="4"/>
  <c r="V22" i="4"/>
  <c r="U22" i="4"/>
  <c r="M14" i="3" s="1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BK13" i="3" s="1"/>
  <c r="FA21" i="4"/>
  <c r="EZ21" i="4"/>
  <c r="EY21" i="4"/>
  <c r="EX21" i="4"/>
  <c r="BJ13" i="3" s="1"/>
  <c r="EW21" i="4"/>
  <c r="EV21" i="4"/>
  <c r="EU21" i="4"/>
  <c r="ET21" i="4"/>
  <c r="BG13" i="3" s="1"/>
  <c r="ER21" i="4"/>
  <c r="EQ21" i="4"/>
  <c r="EP21" i="4"/>
  <c r="EO21" i="4"/>
  <c r="BF13" i="3" s="1"/>
  <c r="EN21" i="4"/>
  <c r="EM21" i="4"/>
  <c r="EL21" i="4"/>
  <c r="EK21" i="4"/>
  <c r="BD13" i="3" s="1"/>
  <c r="EJ21" i="4"/>
  <c r="EI21" i="4"/>
  <c r="EH21" i="4"/>
  <c r="EG21" i="4"/>
  <c r="BA13" i="3" s="1"/>
  <c r="EE21" i="4"/>
  <c r="ED21" i="4"/>
  <c r="EC21" i="4"/>
  <c r="EB21" i="4"/>
  <c r="AY13" i="3" s="1"/>
  <c r="EA21" i="4"/>
  <c r="DZ21" i="4"/>
  <c r="DY21" i="4"/>
  <c r="DX21" i="4"/>
  <c r="AW13" i="3" s="1"/>
  <c r="DW21" i="4"/>
  <c r="DV21" i="4"/>
  <c r="DU21" i="4"/>
  <c r="DT21" i="4"/>
  <c r="AU13" i="3" s="1"/>
  <c r="DR21" i="4"/>
  <c r="DQ21" i="4"/>
  <c r="DP21" i="4"/>
  <c r="DO21" i="4"/>
  <c r="AR13" i="3" s="1"/>
  <c r="DN21" i="4"/>
  <c r="DM21" i="4"/>
  <c r="DL21" i="4"/>
  <c r="DK21" i="4"/>
  <c r="AP13" i="3" s="1"/>
  <c r="DJ21" i="4"/>
  <c r="DI21" i="4"/>
  <c r="DH21" i="4"/>
  <c r="DG21" i="4"/>
  <c r="AN13" i="3" s="1"/>
  <c r="DF21" i="4"/>
  <c r="DE21" i="4"/>
  <c r="DD21" i="4"/>
  <c r="DC21" i="4"/>
  <c r="AL13" i="3" s="1"/>
  <c r="DB21" i="4"/>
  <c r="DA21" i="4"/>
  <c r="CZ21" i="4"/>
  <c r="CY21" i="4"/>
  <c r="AJ13" i="3" s="1"/>
  <c r="CX21" i="4"/>
  <c r="CW21" i="4"/>
  <c r="CU21" i="4"/>
  <c r="CT21" i="4"/>
  <c r="AC13" i="3" s="1"/>
  <c r="CS21" i="4"/>
  <c r="CR21" i="4"/>
  <c r="CQ21" i="4"/>
  <c r="AB13" i="3" s="1"/>
  <c r="CP21" i="4"/>
  <c r="CO21" i="4"/>
  <c r="CN21" i="4"/>
  <c r="CM21" i="4"/>
  <c r="CL21" i="4"/>
  <c r="CK21" i="4"/>
  <c r="CJ21" i="4"/>
  <c r="CI21" i="4"/>
  <c r="AI13" i="3" s="1"/>
  <c r="CH21" i="4"/>
  <c r="CG21" i="4"/>
  <c r="CF21" i="4"/>
  <c r="CE21" i="4"/>
  <c r="AG13" i="3" s="1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X13" i="3" s="1"/>
  <c r="BB21" i="4"/>
  <c r="BA21" i="4"/>
  <c r="AZ21" i="4"/>
  <c r="W13" i="3" s="1"/>
  <c r="AX21" i="4"/>
  <c r="AW21" i="4"/>
  <c r="AV21" i="4"/>
  <c r="AU21" i="4"/>
  <c r="AT21" i="4"/>
  <c r="AS21" i="4"/>
  <c r="AR21" i="4"/>
  <c r="AQ21" i="4"/>
  <c r="AP21" i="4"/>
  <c r="T13" i="3" s="1"/>
  <c r="AO21" i="4"/>
  <c r="AN21" i="4"/>
  <c r="AM21" i="4"/>
  <c r="S13" i="3" s="1"/>
  <c r="AL21" i="4"/>
  <c r="AK21" i="4"/>
  <c r="AJ21" i="4"/>
  <c r="AI21" i="4"/>
  <c r="AH21" i="4"/>
  <c r="AG21" i="4"/>
  <c r="AF21" i="4"/>
  <c r="AE21" i="4"/>
  <c r="AD21" i="4"/>
  <c r="P13" i="3" s="1"/>
  <c r="AC21" i="4"/>
  <c r="AB21" i="4"/>
  <c r="AA21" i="4"/>
  <c r="O13" i="3" s="1"/>
  <c r="Z21" i="4"/>
  <c r="Y21" i="4"/>
  <c r="X21" i="4"/>
  <c r="W21" i="4"/>
  <c r="V21" i="4"/>
  <c r="U21" i="4"/>
  <c r="S21" i="4"/>
  <c r="R21" i="4"/>
  <c r="L13" i="3" s="1"/>
  <c r="Q21" i="4"/>
  <c r="P21" i="4"/>
  <c r="O21" i="4"/>
  <c r="N21" i="4"/>
  <c r="M21" i="4"/>
  <c r="L21" i="4"/>
  <c r="K21" i="4"/>
  <c r="J21" i="4"/>
  <c r="I21" i="4"/>
  <c r="H21" i="4"/>
  <c r="G21" i="4"/>
  <c r="F21" i="4"/>
  <c r="H13" i="3" s="1"/>
  <c r="E21" i="4"/>
  <c r="D21" i="4"/>
  <c r="C21" i="4"/>
  <c r="B21" i="4"/>
  <c r="FC20" i="4"/>
  <c r="FB20" i="4"/>
  <c r="FA20" i="4"/>
  <c r="EZ20" i="4"/>
  <c r="BI12" i="3" s="1"/>
  <c r="EY20" i="4"/>
  <c r="EX20" i="4"/>
  <c r="EW20" i="4"/>
  <c r="EV20" i="4"/>
  <c r="BH12" i="3" s="1"/>
  <c r="EU20" i="4"/>
  <c r="ET20" i="4"/>
  <c r="ER20" i="4"/>
  <c r="EQ20" i="4"/>
  <c r="BC12" i="3" s="1"/>
  <c r="EP20" i="4"/>
  <c r="EO20" i="4"/>
  <c r="EN20" i="4"/>
  <c r="EM20" i="4"/>
  <c r="BE12" i="3" s="1"/>
  <c r="EL20" i="4"/>
  <c r="EK20" i="4"/>
  <c r="EJ20" i="4"/>
  <c r="EI20" i="4"/>
  <c r="BB12" i="3" s="1"/>
  <c r="EH20" i="4"/>
  <c r="EG20" i="4"/>
  <c r="EE20" i="4"/>
  <c r="ED20" i="4"/>
  <c r="AZ12" i="3" s="1"/>
  <c r="EC20" i="4"/>
  <c r="EB20" i="4"/>
  <c r="EA20" i="4"/>
  <c r="DZ20" i="4"/>
  <c r="AX12" i="3" s="1"/>
  <c r="DY20" i="4"/>
  <c r="DX20" i="4"/>
  <c r="DW20" i="4"/>
  <c r="DV20" i="4"/>
  <c r="DU20" i="4"/>
  <c r="DT20" i="4"/>
  <c r="DR20" i="4"/>
  <c r="DQ20" i="4"/>
  <c r="AT12" i="3" s="1"/>
  <c r="DP20" i="4"/>
  <c r="DO20" i="4"/>
  <c r="DN20" i="4"/>
  <c r="DM20" i="4"/>
  <c r="AS12" i="3" s="1"/>
  <c r="DL20" i="4"/>
  <c r="DK20" i="4"/>
  <c r="DJ20" i="4"/>
  <c r="DI20" i="4"/>
  <c r="AQ12" i="3" s="1"/>
  <c r="DH20" i="4"/>
  <c r="DG20" i="4"/>
  <c r="DF20" i="4"/>
  <c r="DE20" i="4"/>
  <c r="AO12" i="3" s="1"/>
  <c r="DD20" i="4"/>
  <c r="DC20" i="4"/>
  <c r="DB20" i="4"/>
  <c r="DA20" i="4"/>
  <c r="AM12" i="3" s="1"/>
  <c r="CZ20" i="4"/>
  <c r="CY20" i="4"/>
  <c r="CX20" i="4"/>
  <c r="CW20" i="4"/>
  <c r="AK12" i="3" s="1"/>
  <c r="CU20" i="4"/>
  <c r="CT20" i="4"/>
  <c r="CS20" i="4"/>
  <c r="CR20" i="4"/>
  <c r="CQ20" i="4"/>
  <c r="AB12" i="3" s="1"/>
  <c r="CP20" i="4"/>
  <c r="CO20" i="4"/>
  <c r="CN20" i="4"/>
  <c r="AA12" i="3" s="1"/>
  <c r="CM20" i="4"/>
  <c r="CL20" i="4"/>
  <c r="CK20" i="4"/>
  <c r="CJ20" i="4"/>
  <c r="CI20" i="4"/>
  <c r="AI12" i="3" s="1"/>
  <c r="CH20" i="4"/>
  <c r="CG20" i="4"/>
  <c r="CF20" i="4"/>
  <c r="CE20" i="4"/>
  <c r="AG12" i="3" s="1"/>
  <c r="CD20" i="4"/>
  <c r="CC20" i="4"/>
  <c r="CB20" i="4"/>
  <c r="CA20" i="4"/>
  <c r="AE12" i="3" s="1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W12" i="3" s="1"/>
  <c r="AX20" i="4"/>
  <c r="AW20" i="4"/>
  <c r="AV20" i="4"/>
  <c r="V12" i="3" s="1"/>
  <c r="AU20" i="4"/>
  <c r="AT20" i="4"/>
  <c r="AS20" i="4"/>
  <c r="AR20" i="4"/>
  <c r="AQ20" i="4"/>
  <c r="AP20" i="4"/>
  <c r="AO20" i="4"/>
  <c r="AN20" i="4"/>
  <c r="AM20" i="4"/>
  <c r="S12" i="3" s="1"/>
  <c r="AL20" i="4"/>
  <c r="AK20" i="4"/>
  <c r="AJ20" i="4"/>
  <c r="R12" i="3" s="1"/>
  <c r="AI20" i="4"/>
  <c r="AH20" i="4"/>
  <c r="AG20" i="4"/>
  <c r="AF20" i="4"/>
  <c r="AE20" i="4"/>
  <c r="AD20" i="4"/>
  <c r="AC20" i="4"/>
  <c r="AB20" i="4"/>
  <c r="AA20" i="4"/>
  <c r="O12" i="3" s="1"/>
  <c r="Z20" i="4"/>
  <c r="Y20" i="4"/>
  <c r="X20" i="4"/>
  <c r="N12" i="3" s="1"/>
  <c r="W20" i="4"/>
  <c r="V20" i="4"/>
  <c r="U20" i="4"/>
  <c r="S20" i="4"/>
  <c r="R20" i="4"/>
  <c r="L12" i="3" s="1"/>
  <c r="Q20" i="4"/>
  <c r="P20" i="4"/>
  <c r="O20" i="4"/>
  <c r="K12" i="3" s="1"/>
  <c r="N20" i="4"/>
  <c r="M20" i="4"/>
  <c r="L20" i="4"/>
  <c r="K20" i="4"/>
  <c r="J20" i="4"/>
  <c r="I20" i="4"/>
  <c r="H20" i="4"/>
  <c r="G20" i="4"/>
  <c r="F20" i="4"/>
  <c r="H12" i="3" s="1"/>
  <c r="E20" i="4"/>
  <c r="D20" i="4"/>
  <c r="C20" i="4"/>
  <c r="G12" i="3" s="1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12" i="3" l="1"/>
  <c r="Q12" i="3"/>
  <c r="U12" i="3"/>
  <c r="Y12" i="3"/>
  <c r="AD12" i="3"/>
  <c r="AF12" i="3"/>
  <c r="AH12" i="3"/>
  <c r="Z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AF16" i="3"/>
  <c r="AH16" i="3"/>
  <c r="Z16" i="3"/>
  <c r="I12" i="3"/>
  <c r="J12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I16" i="3"/>
  <c r="J16" i="3"/>
  <c r="I15" i="3"/>
  <c r="J15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M3" i="3"/>
  <c r="Q3" i="3"/>
  <c r="U3" i="3"/>
  <c r="Y3" i="3"/>
  <c r="AD4" i="3"/>
  <c r="AH4" i="3"/>
  <c r="N5" i="3"/>
  <c r="V5" i="3"/>
  <c r="I11" i="3"/>
  <c r="J11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AF11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Q11" i="3"/>
  <c r="U11" i="3"/>
  <c r="AH11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M11" i="3"/>
  <c r="Y11" i="3"/>
  <c r="AD11" i="3"/>
  <c r="Z11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AD3" i="3"/>
  <c r="Z4" i="3"/>
  <c r="BC5" i="3"/>
  <c r="AT5" i="3"/>
  <c r="R5" i="3"/>
  <c r="I4" i="3"/>
  <c r="AH3" i="3"/>
  <c r="V4" i="3"/>
  <c r="N4" i="3"/>
  <c r="J5" i="3"/>
  <c r="B32" i="3"/>
  <c r="G32" i="1"/>
  <c r="B32" i="1"/>
  <c r="I32" i="1"/>
  <c r="K32" i="1"/>
  <c r="M32" i="1"/>
  <c r="N32" i="1"/>
  <c r="E32" i="1" l="1"/>
  <c r="N10" i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<sst xmlns="http://schemas.openxmlformats.org/spreadsheetml/2006/main" count="412" uniqueCount="203">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</sst>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9">
          <cell r="B9">
            <v>0.93</v>
          </cell>
          <cell r="E9">
            <v>699794</v>
          </cell>
          <cell r="G9">
            <v>559</v>
          </cell>
          <cell r="H9">
            <v>802507</v>
          </cell>
          <cell r="J9">
            <v>469</v>
          </cell>
          <cell r="K9">
            <v>105127</v>
          </cell>
          <cell r="N9">
            <v>714973</v>
          </cell>
          <cell r="Q9">
            <v>163777</v>
          </cell>
          <cell r="S9">
            <v>141282</v>
          </cell>
          <cell r="U9">
            <v>77</v>
          </cell>
          <cell r="V9">
            <v>14896</v>
          </cell>
          <cell r="AC9">
            <v>6234552.2400000002</v>
          </cell>
          <cell r="AD9">
            <v>2971.9199999989942</v>
          </cell>
          <cell r="AF9">
            <v>12185797.68</v>
          </cell>
          <cell r="AG9">
            <v>4482.2400000002235</v>
          </cell>
          <cell r="AI9">
            <v>11532608.640000001</v>
          </cell>
          <cell r="AJ9">
            <v>97.439999999478459</v>
          </cell>
          <cell r="AL9">
            <v>14839673.52</v>
          </cell>
          <cell r="AM9">
            <v>48.720000000670552</v>
          </cell>
          <cell r="AO9">
            <v>15009024.24</v>
          </cell>
          <cell r="AP9">
            <v>8282.4000000003725</v>
          </cell>
          <cell r="AR9">
            <v>13656557.039999999</v>
          </cell>
          <cell r="AS9">
            <v>5359.2000000011176</v>
          </cell>
          <cell r="AU9">
            <v>11688074.16</v>
          </cell>
          <cell r="AV9">
            <v>4238.6399999987334</v>
          </cell>
          <cell r="AX9">
            <v>11285939.280000001</v>
          </cell>
          <cell r="AY9">
            <v>4141.1999999992549</v>
          </cell>
          <cell r="BA9">
            <v>9033126.4800000004</v>
          </cell>
          <cell r="BB9">
            <v>3069.359999999404</v>
          </cell>
          <cell r="BD9">
            <v>13648566.959999999</v>
          </cell>
          <cell r="BE9">
            <v>5895.1200000010431</v>
          </cell>
          <cell r="BK9">
            <v>57638300</v>
          </cell>
          <cell r="BL9">
            <v>0</v>
          </cell>
          <cell r="BN9">
            <v>61713100</v>
          </cell>
          <cell r="BO9">
            <v>0</v>
          </cell>
          <cell r="BQ9">
            <v>55604100</v>
          </cell>
          <cell r="BR9">
            <v>38300</v>
          </cell>
          <cell r="BT9">
            <v>5615110</v>
          </cell>
          <cell r="BW9">
            <v>0.6</v>
          </cell>
          <cell r="BX9">
            <v>-0.18000000000000005</v>
          </cell>
          <cell r="BZ9">
            <v>51069</v>
          </cell>
          <cell r="CB9">
            <v>43018</v>
          </cell>
          <cell r="CD9">
            <v>14750</v>
          </cell>
          <cell r="CF9">
            <v>18706</v>
          </cell>
          <cell r="CH9">
            <v>20194</v>
          </cell>
          <cell r="CJ9">
            <v>45946</v>
          </cell>
          <cell r="CL9">
            <v>201708</v>
          </cell>
          <cell r="CM9">
            <v>93</v>
          </cell>
          <cell r="CO9">
            <v>149867</v>
          </cell>
          <cell r="CP9">
            <v>101</v>
          </cell>
          <cell r="CR9">
            <v>277004</v>
          </cell>
          <cell r="CS9">
            <v>322</v>
          </cell>
          <cell r="CU9">
            <v>536154</v>
          </cell>
          <cell r="CX9">
            <v>4186</v>
          </cell>
          <cell r="CZ9">
            <v>1997</v>
          </cell>
          <cell r="DB9">
            <v>22287</v>
          </cell>
          <cell r="DD9">
            <v>23206</v>
          </cell>
          <cell r="DF9">
            <v>15935</v>
          </cell>
          <cell r="DH9">
            <v>19082</v>
          </cell>
          <cell r="DJ9">
            <v>825</v>
          </cell>
          <cell r="DL9">
            <v>3616</v>
          </cell>
          <cell r="DN9">
            <v>188</v>
          </cell>
          <cell r="DP9">
            <v>1843</v>
          </cell>
          <cell r="DR9">
            <v>22801</v>
          </cell>
          <cell r="DU9">
            <v>54.2</v>
          </cell>
          <cell r="DW9">
            <v>5885.9</v>
          </cell>
          <cell r="DY9">
            <v>42.1</v>
          </cell>
          <cell r="EA9">
            <v>254034</v>
          </cell>
          <cell r="EC9">
            <v>635729</v>
          </cell>
          <cell r="EG9">
            <v>123900</v>
          </cell>
          <cell r="EJ9">
            <v>8641300</v>
          </cell>
          <cell r="EL9">
            <v>706230</v>
          </cell>
          <cell r="EN9">
            <v>5546600</v>
          </cell>
          <cell r="EP9">
            <v>1994500</v>
          </cell>
          <cell r="ER9">
            <v>730300</v>
          </cell>
          <cell r="ET9">
            <v>12269000</v>
          </cell>
          <cell r="EW9">
            <v>32609</v>
          </cell>
          <cell r="EY9">
            <v>27885</v>
          </cell>
          <cell r="FA9">
            <v>0</v>
          </cell>
          <cell r="FC9">
            <v>48673</v>
          </cell>
          <cell r="FE9">
            <v>27579</v>
          </cell>
        </row>
        <row r="10">
          <cell r="B10">
            <v>0.89</v>
          </cell>
          <cell r="E10">
            <v>700362</v>
          </cell>
          <cell r="H10">
            <v>803044</v>
          </cell>
          <cell r="K10">
            <v>105206</v>
          </cell>
          <cell r="N10">
            <v>715130</v>
          </cell>
          <cell r="Q10">
            <v>163777</v>
          </cell>
          <cell r="S10">
            <v>141299</v>
          </cell>
          <cell r="V10">
            <v>14911</v>
          </cell>
          <cell r="AC10">
            <v>6237524.1599999992</v>
          </cell>
          <cell r="AF10">
            <v>12190279.92</v>
          </cell>
          <cell r="AI10">
            <v>11532706.08</v>
          </cell>
          <cell r="AL10">
            <v>14839722.24</v>
          </cell>
          <cell r="AO10">
            <v>15017306.640000001</v>
          </cell>
          <cell r="AR10">
            <v>13661916.24</v>
          </cell>
          <cell r="AU10">
            <v>11692312.799999999</v>
          </cell>
          <cell r="AX10">
            <v>11290080.48</v>
          </cell>
          <cell r="BA10">
            <v>9036195.8399999999</v>
          </cell>
          <cell r="BD10">
            <v>13654462.08</v>
          </cell>
          <cell r="BK10">
            <v>57638300</v>
          </cell>
          <cell r="BN10">
            <v>61713100</v>
          </cell>
          <cell r="BQ10">
            <v>55642400</v>
          </cell>
          <cell r="BT10">
            <v>5621840</v>
          </cell>
          <cell r="BW10">
            <v>0.78</v>
          </cell>
          <cell r="BX10"/>
          <cell r="BZ10">
            <v>51069</v>
          </cell>
          <cell r="CB10">
            <v>43018</v>
          </cell>
          <cell r="CD10">
            <v>14750</v>
          </cell>
          <cell r="CF10">
            <v>18706</v>
          </cell>
          <cell r="CH10">
            <v>20194</v>
          </cell>
          <cell r="CJ10">
            <v>45946</v>
          </cell>
          <cell r="CL10">
            <v>201801</v>
          </cell>
          <cell r="CO10">
            <v>149968</v>
          </cell>
          <cell r="CR10">
            <v>277326</v>
          </cell>
          <cell r="CU10">
            <v>536404</v>
          </cell>
          <cell r="CX10">
            <v>4186</v>
          </cell>
          <cell r="CZ10">
            <v>1997</v>
          </cell>
          <cell r="DB10">
            <v>22304</v>
          </cell>
          <cell r="DD10">
            <v>23222</v>
          </cell>
          <cell r="DF10">
            <v>15949</v>
          </cell>
          <cell r="DH10">
            <v>19090</v>
          </cell>
          <cell r="DJ10">
            <v>825</v>
          </cell>
          <cell r="DL10">
            <v>3616</v>
          </cell>
          <cell r="DN10">
            <v>196</v>
          </cell>
          <cell r="DP10">
            <v>1849</v>
          </cell>
          <cell r="DR10">
            <v>22807</v>
          </cell>
          <cell r="DU10">
            <v>64.2</v>
          </cell>
          <cell r="DW10">
            <v>5891.2</v>
          </cell>
          <cell r="DY10">
            <v>49.4</v>
          </cell>
          <cell r="EA10">
            <v>254034</v>
          </cell>
          <cell r="EC10">
            <v>636252</v>
          </cell>
          <cell r="EG10">
            <v>124052</v>
          </cell>
          <cell r="EJ10">
            <v>8643800</v>
          </cell>
          <cell r="EL10">
            <v>706490</v>
          </cell>
          <cell r="EN10">
            <v>5547800</v>
          </cell>
          <cell r="EP10">
            <v>1994500</v>
          </cell>
          <cell r="ER10">
            <v>730440</v>
          </cell>
          <cell r="ET10">
            <v>12271400</v>
          </cell>
          <cell r="EW10">
            <v>32622</v>
          </cell>
          <cell r="EY10">
            <v>27906</v>
          </cell>
          <cell r="FA10">
            <v>0</v>
          </cell>
          <cell r="FC10">
            <v>48673</v>
          </cell>
          <cell r="FE10">
            <v>27609</v>
          </cell>
        </row>
        <row r="11">
          <cell r="B11">
            <v>0.87</v>
          </cell>
          <cell r="E11">
            <v>700905</v>
          </cell>
          <cell r="F11">
            <v>543</v>
          </cell>
          <cell r="G11">
            <v>604</v>
          </cell>
          <cell r="H11">
            <v>803513</v>
          </cell>
          <cell r="I11">
            <v>469</v>
          </cell>
          <cell r="J11">
            <v>489</v>
          </cell>
          <cell r="K11">
            <v>105372</v>
          </cell>
          <cell r="L11">
            <v>166</v>
          </cell>
          <cell r="N11">
            <v>715324</v>
          </cell>
          <cell r="O11">
            <v>194</v>
          </cell>
          <cell r="Q11">
            <v>163777</v>
          </cell>
          <cell r="R11">
            <v>0</v>
          </cell>
          <cell r="S11">
            <v>141340</v>
          </cell>
          <cell r="T11">
            <v>41</v>
          </cell>
          <cell r="U11">
            <v>103</v>
          </cell>
          <cell r="V11">
            <v>14935</v>
          </cell>
          <cell r="W11">
            <v>24</v>
          </cell>
          <cell r="AC11">
            <v>6241373.04</v>
          </cell>
          <cell r="AD11">
            <v>3848.8800000008196</v>
          </cell>
          <cell r="AF11">
            <v>12194762.16</v>
          </cell>
          <cell r="AG11">
            <v>4482.2400000002235</v>
          </cell>
          <cell r="AI11">
            <v>11539185.84</v>
          </cell>
          <cell r="AJ11">
            <v>6479.7599999997765</v>
          </cell>
          <cell r="AL11">
            <v>14839819.68</v>
          </cell>
          <cell r="AM11">
            <v>97.439999999478459</v>
          </cell>
          <cell r="AO11">
            <v>15017745.119999999</v>
          </cell>
          <cell r="AP11">
            <v>438.47999999858439</v>
          </cell>
          <cell r="AR11">
            <v>13667372.880000001</v>
          </cell>
          <cell r="AS11">
            <v>5456.640000000596</v>
          </cell>
          <cell r="AU11">
            <v>11696551.439999999</v>
          </cell>
          <cell r="AV11">
            <v>4238.640000000596</v>
          </cell>
          <cell r="AX11">
            <v>11294075.52</v>
          </cell>
          <cell r="AY11">
            <v>3995.0399999991059</v>
          </cell>
          <cell r="BA11">
            <v>9039411.3599999994</v>
          </cell>
          <cell r="BB11">
            <v>3215.519999999553</v>
          </cell>
          <cell r="BD11">
            <v>13660357.199999999</v>
          </cell>
          <cell r="BE11">
            <v>5895.1199999991804</v>
          </cell>
          <cell r="BK11">
            <v>57673500</v>
          </cell>
          <cell r="BL11">
            <v>35200</v>
          </cell>
          <cell r="BN11">
            <v>61713100</v>
          </cell>
          <cell r="BO11">
            <v>0</v>
          </cell>
          <cell r="BQ11">
            <v>55644900</v>
          </cell>
          <cell r="BR11">
            <v>2500</v>
          </cell>
          <cell r="BT11">
            <v>5628060</v>
          </cell>
          <cell r="BU11">
            <v>6220</v>
          </cell>
          <cell r="BW11">
            <v>0.69</v>
          </cell>
          <cell r="BX11">
            <v>9.000000000000008E-2</v>
          </cell>
          <cell r="BZ11">
            <v>51069</v>
          </cell>
          <cell r="CA11">
            <v>0</v>
          </cell>
          <cell r="CB11">
            <v>43018</v>
          </cell>
          <cell r="CC11">
            <v>0</v>
          </cell>
          <cell r="CD11">
            <v>14750</v>
          </cell>
          <cell r="CE11">
            <v>0</v>
          </cell>
          <cell r="CF11">
            <v>18706</v>
          </cell>
          <cell r="CG11">
            <v>0</v>
          </cell>
          <cell r="CH11">
            <v>20194</v>
          </cell>
          <cell r="CI11">
            <v>0</v>
          </cell>
          <cell r="CJ11">
            <v>45946</v>
          </cell>
          <cell r="CK11">
            <v>0</v>
          </cell>
          <cell r="CL11">
            <v>201893</v>
          </cell>
          <cell r="CM11">
            <v>92</v>
          </cell>
          <cell r="CO11">
            <v>150070</v>
          </cell>
          <cell r="CP11">
            <v>102</v>
          </cell>
          <cell r="CR11">
            <v>277668</v>
          </cell>
          <cell r="CS11">
            <v>342</v>
          </cell>
          <cell r="CU11">
            <v>536651</v>
          </cell>
          <cell r="CV11">
            <v>247</v>
          </cell>
          <cell r="CX11">
            <v>4186</v>
          </cell>
          <cell r="CY11">
            <v>0</v>
          </cell>
          <cell r="CZ11">
            <v>1997</v>
          </cell>
          <cell r="DA11">
            <v>0</v>
          </cell>
          <cell r="DB11">
            <v>22319</v>
          </cell>
          <cell r="DC11">
            <v>15</v>
          </cell>
          <cell r="DD11">
            <v>23236</v>
          </cell>
          <cell r="DE11">
            <v>14</v>
          </cell>
          <cell r="DF11">
            <v>15962</v>
          </cell>
          <cell r="DG11">
            <v>13</v>
          </cell>
          <cell r="DH11">
            <v>19100</v>
          </cell>
          <cell r="DI11">
            <v>10</v>
          </cell>
          <cell r="DJ11">
            <v>825</v>
          </cell>
          <cell r="DK11">
            <v>0</v>
          </cell>
          <cell r="DL11">
            <v>3616</v>
          </cell>
          <cell r="DM11">
            <v>0</v>
          </cell>
          <cell r="DN11">
            <v>204</v>
          </cell>
          <cell r="DO11">
            <v>8</v>
          </cell>
          <cell r="DP11">
            <v>1854</v>
          </cell>
          <cell r="DQ11">
            <v>5</v>
          </cell>
          <cell r="DR11">
            <v>22819</v>
          </cell>
          <cell r="DS11">
            <v>12</v>
          </cell>
          <cell r="DU11">
            <v>74</v>
          </cell>
          <cell r="DV11">
            <v>9.7999999999999972</v>
          </cell>
          <cell r="DW11">
            <v>5896.3</v>
          </cell>
          <cell r="DX11">
            <v>5.1000000000003638</v>
          </cell>
          <cell r="DY11">
            <v>56.9</v>
          </cell>
          <cell r="DZ11">
            <v>7.5</v>
          </cell>
          <cell r="EA11">
            <v>254034</v>
          </cell>
          <cell r="EB11">
            <v>0</v>
          </cell>
          <cell r="EC11">
            <v>636780</v>
          </cell>
          <cell r="ED11">
            <v>528</v>
          </cell>
          <cell r="EG11">
            <v>124201</v>
          </cell>
          <cell r="EH11">
            <v>149</v>
          </cell>
          <cell r="EJ11">
            <v>8646000</v>
          </cell>
          <cell r="EK11">
            <v>2200</v>
          </cell>
          <cell r="EL11">
            <v>706730</v>
          </cell>
          <cell r="EM11">
            <v>240</v>
          </cell>
          <cell r="EN11">
            <v>5549000</v>
          </cell>
          <cell r="EO11">
            <v>1200</v>
          </cell>
          <cell r="EP11">
            <v>1994500</v>
          </cell>
          <cell r="EQ11">
            <v>0</v>
          </cell>
          <cell r="ER11">
            <v>730570</v>
          </cell>
          <cell r="ES11">
            <v>130</v>
          </cell>
          <cell r="ET11">
            <v>12273500</v>
          </cell>
          <cell r="EU11">
            <v>2100</v>
          </cell>
          <cell r="EW11">
            <v>32635</v>
          </cell>
          <cell r="EX11">
            <v>13</v>
          </cell>
          <cell r="EY11">
            <v>27929</v>
          </cell>
          <cell r="EZ11">
            <v>23</v>
          </cell>
          <cell r="FA11">
            <v>0</v>
          </cell>
          <cell r="FB11">
            <v>0</v>
          </cell>
          <cell r="FC11">
            <v>48673</v>
          </cell>
          <cell r="FD11">
            <v>0</v>
          </cell>
          <cell r="FE11">
            <v>27640</v>
          </cell>
          <cell r="FF11">
            <v>31</v>
          </cell>
        </row>
        <row r="12">
          <cell r="B12">
            <v>0.84</v>
          </cell>
          <cell r="E12">
            <v>701418</v>
          </cell>
          <cell r="F12">
            <v>513</v>
          </cell>
          <cell r="G12">
            <v>620</v>
          </cell>
          <cell r="H12">
            <v>803961</v>
          </cell>
          <cell r="I12">
            <v>448</v>
          </cell>
          <cell r="J12">
            <v>536</v>
          </cell>
          <cell r="K12">
            <v>105510</v>
          </cell>
          <cell r="L12">
            <v>138</v>
          </cell>
          <cell r="N12">
            <v>715497</v>
          </cell>
          <cell r="O12">
            <v>173</v>
          </cell>
          <cell r="Q12">
            <v>163777</v>
          </cell>
          <cell r="R12">
            <v>0</v>
          </cell>
          <cell r="S12">
            <v>141377</v>
          </cell>
          <cell r="T12">
            <v>37</v>
          </cell>
          <cell r="U12">
            <v>84</v>
          </cell>
          <cell r="V12">
            <v>14948</v>
          </cell>
          <cell r="W12">
            <v>13</v>
          </cell>
          <cell r="AC12">
            <v>6245075.7599999998</v>
          </cell>
          <cell r="AD12">
            <v>3702.7199999997392</v>
          </cell>
          <cell r="AF12">
            <v>12199146.959999999</v>
          </cell>
          <cell r="AG12">
            <v>4384.7999999988824</v>
          </cell>
          <cell r="AI12">
            <v>11545227.119999999</v>
          </cell>
          <cell r="AJ12">
            <v>6041.2799999993294</v>
          </cell>
          <cell r="AL12">
            <v>14839917.119999999</v>
          </cell>
          <cell r="AM12">
            <v>97.439999999478459</v>
          </cell>
          <cell r="AO12">
            <v>15017745.119999999</v>
          </cell>
          <cell r="AP12">
            <v>0</v>
          </cell>
          <cell r="AR12">
            <v>13672842.720000001</v>
          </cell>
          <cell r="AS12">
            <v>5469.839999999851</v>
          </cell>
          <cell r="AU12">
            <v>11700692.640000001</v>
          </cell>
          <cell r="AV12">
            <v>4141.2000000011176</v>
          </cell>
          <cell r="AX12">
            <v>11297973.119999999</v>
          </cell>
          <cell r="AY12">
            <v>3897.5999999996275</v>
          </cell>
          <cell r="BA12">
            <v>9042383.2800000012</v>
          </cell>
          <cell r="BB12">
            <v>2971.9200000017881</v>
          </cell>
          <cell r="BD12">
            <v>13666154.880000001</v>
          </cell>
          <cell r="BE12">
            <v>5797.6800000015646</v>
          </cell>
          <cell r="BK12">
            <v>57708000</v>
          </cell>
          <cell r="BL12">
            <v>34500</v>
          </cell>
          <cell r="BN12">
            <v>61713100</v>
          </cell>
          <cell r="BO12">
            <v>0</v>
          </cell>
          <cell r="BQ12">
            <v>55644900</v>
          </cell>
          <cell r="BR12">
            <v>0</v>
          </cell>
          <cell r="BT12">
            <v>5633390</v>
          </cell>
          <cell r="BU12">
            <v>5330</v>
          </cell>
          <cell r="BW12">
            <v>0.6</v>
          </cell>
          <cell r="BX12">
            <v>8.9999999999999969E-2</v>
          </cell>
          <cell r="BZ12">
            <v>51123</v>
          </cell>
          <cell r="CA12">
            <v>54</v>
          </cell>
          <cell r="CB12">
            <v>43058</v>
          </cell>
          <cell r="CC12">
            <v>40</v>
          </cell>
          <cell r="CD12">
            <v>14769</v>
          </cell>
          <cell r="CE12">
            <v>19</v>
          </cell>
          <cell r="CF12">
            <v>18734</v>
          </cell>
          <cell r="CG12">
            <v>28</v>
          </cell>
          <cell r="CH12">
            <v>20231</v>
          </cell>
          <cell r="CI12">
            <v>37</v>
          </cell>
          <cell r="CJ12">
            <v>46024</v>
          </cell>
          <cell r="CK12">
            <v>78</v>
          </cell>
          <cell r="CL12">
            <v>201986</v>
          </cell>
          <cell r="CM12">
            <v>93</v>
          </cell>
          <cell r="CO12">
            <v>150170</v>
          </cell>
          <cell r="CP12">
            <v>100</v>
          </cell>
          <cell r="CR12">
            <v>278034</v>
          </cell>
          <cell r="CS12">
            <v>366</v>
          </cell>
          <cell r="CU12">
            <v>536899</v>
          </cell>
          <cell r="CV12">
            <v>248</v>
          </cell>
          <cell r="CX12">
            <v>4186</v>
          </cell>
          <cell r="CY12">
            <v>0</v>
          </cell>
          <cell r="CZ12">
            <v>1997</v>
          </cell>
          <cell r="DA12">
            <v>0</v>
          </cell>
          <cell r="DB12">
            <v>22337</v>
          </cell>
          <cell r="DC12">
            <v>18</v>
          </cell>
          <cell r="DD12">
            <v>23248</v>
          </cell>
          <cell r="DE12">
            <v>12</v>
          </cell>
          <cell r="DF12">
            <v>15975</v>
          </cell>
          <cell r="DG12">
            <v>13</v>
          </cell>
          <cell r="DH12">
            <v>19109</v>
          </cell>
          <cell r="DI12">
            <v>9</v>
          </cell>
          <cell r="DJ12">
            <v>825</v>
          </cell>
          <cell r="DK12">
            <v>0</v>
          </cell>
          <cell r="DL12">
            <v>3616</v>
          </cell>
          <cell r="DM12">
            <v>0</v>
          </cell>
          <cell r="DN12">
            <v>212</v>
          </cell>
          <cell r="DO12">
            <v>8</v>
          </cell>
          <cell r="DP12">
            <v>1856</v>
          </cell>
          <cell r="DQ12">
            <v>2</v>
          </cell>
          <cell r="DR12">
            <v>22823</v>
          </cell>
          <cell r="DS12">
            <v>4</v>
          </cell>
          <cell r="DU12">
            <v>82.9</v>
          </cell>
          <cell r="DV12">
            <v>8.9000000000000057</v>
          </cell>
          <cell r="DW12">
            <v>5901.2</v>
          </cell>
          <cell r="DX12">
            <v>4.8999999999996362</v>
          </cell>
          <cell r="DY12">
            <v>64.2</v>
          </cell>
          <cell r="DZ12">
            <v>7.3000000000000043</v>
          </cell>
          <cell r="EA12">
            <v>254034</v>
          </cell>
          <cell r="EB12">
            <v>0</v>
          </cell>
          <cell r="EC12">
            <v>637277</v>
          </cell>
          <cell r="ED12">
            <v>497</v>
          </cell>
          <cell r="EG12">
            <v>124348</v>
          </cell>
          <cell r="EH12">
            <v>147</v>
          </cell>
          <cell r="EJ12">
            <v>8647600</v>
          </cell>
          <cell r="EK12">
            <v>1600</v>
          </cell>
          <cell r="EL12">
            <v>706960</v>
          </cell>
          <cell r="EM12">
            <v>230</v>
          </cell>
          <cell r="EN12">
            <v>5549900</v>
          </cell>
          <cell r="EO12">
            <v>900</v>
          </cell>
          <cell r="EP12">
            <v>1994500</v>
          </cell>
          <cell r="EQ12">
            <v>0</v>
          </cell>
          <cell r="ER12">
            <v>730700</v>
          </cell>
          <cell r="ES12">
            <v>130</v>
          </cell>
          <cell r="ET12">
            <v>12275500</v>
          </cell>
          <cell r="EU12">
            <v>2000</v>
          </cell>
          <cell r="EW12">
            <v>32648</v>
          </cell>
          <cell r="EX12">
            <v>13</v>
          </cell>
          <cell r="EY12">
            <v>27949</v>
          </cell>
          <cell r="EZ12">
            <v>20</v>
          </cell>
          <cell r="FA12">
            <v>0</v>
          </cell>
          <cell r="FB12">
            <v>0</v>
          </cell>
          <cell r="FC12">
            <v>48764</v>
          </cell>
          <cell r="FD12">
            <v>91</v>
          </cell>
          <cell r="FE12">
            <v>27669</v>
          </cell>
          <cell r="FF12">
            <v>29</v>
          </cell>
        </row>
        <row r="13">
          <cell r="B13">
            <v>0.8</v>
          </cell>
          <cell r="E13">
            <v>701972</v>
          </cell>
          <cell r="F13">
            <v>554</v>
          </cell>
          <cell r="G13">
            <v>617</v>
          </cell>
          <cell r="H13">
            <v>804426</v>
          </cell>
          <cell r="I13">
            <v>465</v>
          </cell>
          <cell r="J13">
            <v>627</v>
          </cell>
          <cell r="K13">
            <v>105654</v>
          </cell>
          <cell r="L13">
            <v>144</v>
          </cell>
          <cell r="N13">
            <v>715682</v>
          </cell>
          <cell r="O13">
            <v>185</v>
          </cell>
          <cell r="Q13">
            <v>163777</v>
          </cell>
          <cell r="R13">
            <v>0</v>
          </cell>
          <cell r="S13">
            <v>141411</v>
          </cell>
          <cell r="T13">
            <v>34</v>
          </cell>
          <cell r="U13">
            <v>102</v>
          </cell>
          <cell r="V13">
            <v>14959</v>
          </cell>
          <cell r="W13">
            <v>11</v>
          </cell>
          <cell r="AC13">
            <v>6248632.3200000003</v>
          </cell>
          <cell r="AD13">
            <v>3556.5600000005215</v>
          </cell>
          <cell r="AF13">
            <v>12203677.92</v>
          </cell>
          <cell r="AG13">
            <v>4530.9600000008941</v>
          </cell>
          <cell r="AI13">
            <v>11551317.119999999</v>
          </cell>
          <cell r="AJ13">
            <v>6090</v>
          </cell>
          <cell r="AL13">
            <v>14840014.559999999</v>
          </cell>
          <cell r="AM13">
            <v>97.439999999478459</v>
          </cell>
          <cell r="AO13">
            <v>15017745.119999999</v>
          </cell>
          <cell r="AP13">
            <v>0</v>
          </cell>
          <cell r="AR13">
            <v>13678383.6</v>
          </cell>
          <cell r="AS13">
            <v>5540.8799999989569</v>
          </cell>
          <cell r="AU13">
            <v>11704736.4</v>
          </cell>
          <cell r="AV13">
            <v>4043.7599999997765</v>
          </cell>
          <cell r="AX13">
            <v>11301870.719999999</v>
          </cell>
          <cell r="AY13">
            <v>3897.5999999996275</v>
          </cell>
          <cell r="BA13">
            <v>9045403.9199999999</v>
          </cell>
          <cell r="BB13">
            <v>3020.6399999987334</v>
          </cell>
          <cell r="BD13">
            <v>13671708.959999999</v>
          </cell>
          <cell r="BE13">
            <v>5554.0799999982119</v>
          </cell>
          <cell r="BK13">
            <v>57740400</v>
          </cell>
          <cell r="BL13">
            <v>32400</v>
          </cell>
          <cell r="BN13">
            <v>61713100</v>
          </cell>
          <cell r="BO13">
            <v>0</v>
          </cell>
          <cell r="BQ13">
            <v>55644900</v>
          </cell>
          <cell r="BR13">
            <v>0</v>
          </cell>
          <cell r="BT13">
            <v>5639370</v>
          </cell>
          <cell r="BU13">
            <v>5980</v>
          </cell>
          <cell r="BW13">
            <v>0.5</v>
          </cell>
          <cell r="BX13">
            <v>9.9999999999999978E-2</v>
          </cell>
          <cell r="BZ13">
            <v>51140</v>
          </cell>
          <cell r="CA13">
            <v>17</v>
          </cell>
          <cell r="CB13">
            <v>43069</v>
          </cell>
          <cell r="CC13">
            <v>11</v>
          </cell>
          <cell r="CD13">
            <v>14774</v>
          </cell>
          <cell r="CE13">
            <v>5</v>
          </cell>
          <cell r="CF13">
            <v>18744</v>
          </cell>
          <cell r="CG13">
            <v>10</v>
          </cell>
          <cell r="CH13">
            <v>20243</v>
          </cell>
          <cell r="CI13">
            <v>12</v>
          </cell>
          <cell r="CJ13">
            <v>46042</v>
          </cell>
          <cell r="CK13">
            <v>18</v>
          </cell>
          <cell r="CL13">
            <v>202084</v>
          </cell>
          <cell r="CM13">
            <v>98</v>
          </cell>
          <cell r="CO13">
            <v>150272</v>
          </cell>
          <cell r="CP13">
            <v>102</v>
          </cell>
          <cell r="CR13">
            <v>278411</v>
          </cell>
          <cell r="CS13">
            <v>377</v>
          </cell>
          <cell r="CU13">
            <v>537140</v>
          </cell>
          <cell r="CV13">
            <v>241</v>
          </cell>
          <cell r="CX13">
            <v>4222</v>
          </cell>
          <cell r="CY13">
            <v>36</v>
          </cell>
          <cell r="CZ13">
            <v>2032</v>
          </cell>
          <cell r="DA13">
            <v>35</v>
          </cell>
          <cell r="DB13">
            <v>22353</v>
          </cell>
          <cell r="DC13">
            <v>16</v>
          </cell>
          <cell r="DD13">
            <v>23262</v>
          </cell>
          <cell r="DE13">
            <v>14</v>
          </cell>
          <cell r="DF13">
            <v>15987</v>
          </cell>
          <cell r="DG13">
            <v>12</v>
          </cell>
          <cell r="DH13">
            <v>19117</v>
          </cell>
          <cell r="DI13">
            <v>8</v>
          </cell>
          <cell r="DJ13">
            <v>825</v>
          </cell>
          <cell r="DK13">
            <v>0</v>
          </cell>
          <cell r="DL13">
            <v>3616</v>
          </cell>
          <cell r="DM13">
            <v>0</v>
          </cell>
          <cell r="DN13">
            <v>220</v>
          </cell>
          <cell r="DO13">
            <v>8</v>
          </cell>
          <cell r="DP13">
            <v>1859</v>
          </cell>
          <cell r="DQ13">
            <v>3</v>
          </cell>
          <cell r="DR13">
            <v>22826</v>
          </cell>
          <cell r="DS13">
            <v>3</v>
          </cell>
          <cell r="DU13">
            <v>92.1</v>
          </cell>
          <cell r="DV13">
            <v>9.1999999999999886</v>
          </cell>
          <cell r="DW13">
            <v>5906</v>
          </cell>
          <cell r="DX13">
            <v>4.8000000000001819</v>
          </cell>
          <cell r="DY13">
            <v>72.099999999999994</v>
          </cell>
          <cell r="DZ13">
            <v>7.8999999999999915</v>
          </cell>
          <cell r="EA13">
            <v>254034</v>
          </cell>
          <cell r="EB13">
            <v>0</v>
          </cell>
          <cell r="EC13">
            <v>637754</v>
          </cell>
          <cell r="ED13">
            <v>477</v>
          </cell>
          <cell r="EG13">
            <v>124508</v>
          </cell>
          <cell r="EH13">
            <v>160</v>
          </cell>
          <cell r="EJ13">
            <v>8648900</v>
          </cell>
          <cell r="EK13">
            <v>1300</v>
          </cell>
          <cell r="EL13">
            <v>707180</v>
          </cell>
          <cell r="EM13">
            <v>220</v>
          </cell>
          <cell r="EN13">
            <v>5550900</v>
          </cell>
          <cell r="EO13">
            <v>1000</v>
          </cell>
          <cell r="EP13">
            <v>1994500</v>
          </cell>
          <cell r="EQ13">
            <v>0</v>
          </cell>
          <cell r="ER13">
            <v>730820</v>
          </cell>
          <cell r="ES13">
            <v>120</v>
          </cell>
          <cell r="ET13">
            <v>12277100</v>
          </cell>
          <cell r="EU13">
            <v>1600</v>
          </cell>
          <cell r="EW13">
            <v>32662</v>
          </cell>
          <cell r="EX13">
            <v>14</v>
          </cell>
          <cell r="EY13">
            <v>27973</v>
          </cell>
          <cell r="EZ13">
            <v>24</v>
          </cell>
          <cell r="FA13">
            <v>0</v>
          </cell>
          <cell r="FB13">
            <v>0</v>
          </cell>
          <cell r="FC13">
            <v>48764</v>
          </cell>
          <cell r="FD13">
            <v>0</v>
          </cell>
          <cell r="FE13">
            <v>27693</v>
          </cell>
          <cell r="FF13">
            <v>24</v>
          </cell>
        </row>
        <row r="14">
          <cell r="B14">
            <v>0.79</v>
          </cell>
          <cell r="E14">
            <v>702478</v>
          </cell>
          <cell r="F14">
            <v>506</v>
          </cell>
          <cell r="G14">
            <v>588</v>
          </cell>
          <cell r="H14">
            <v>804857</v>
          </cell>
          <cell r="I14">
            <v>431</v>
          </cell>
          <cell r="J14">
            <v>321</v>
          </cell>
          <cell r="K14">
            <v>105807</v>
          </cell>
          <cell r="L14">
            <v>153</v>
          </cell>
          <cell r="N14">
            <v>715862</v>
          </cell>
          <cell r="O14">
            <v>180</v>
          </cell>
          <cell r="Q14">
            <v>163777</v>
          </cell>
          <cell r="R14">
            <v>0</v>
          </cell>
          <cell r="S14">
            <v>141445</v>
          </cell>
          <cell r="T14">
            <v>34</v>
          </cell>
          <cell r="U14">
            <v>102</v>
          </cell>
          <cell r="V14">
            <v>14971</v>
          </cell>
          <cell r="W14">
            <v>12</v>
          </cell>
          <cell r="AC14">
            <v>6252383.7599999998</v>
          </cell>
          <cell r="AD14">
            <v>3751.4399999994785</v>
          </cell>
          <cell r="AF14">
            <v>12208160.16</v>
          </cell>
          <cell r="AG14">
            <v>4482.2400000002235</v>
          </cell>
          <cell r="AI14">
            <v>11556968.640000001</v>
          </cell>
          <cell r="AJ14">
            <v>5651.5200000014156</v>
          </cell>
          <cell r="AL14">
            <v>14840063.280000001</v>
          </cell>
          <cell r="AM14">
            <v>48.720000002533197</v>
          </cell>
          <cell r="AO14">
            <v>15017745.119999999</v>
          </cell>
          <cell r="AP14">
            <v>0</v>
          </cell>
          <cell r="AR14">
            <v>13683694.08</v>
          </cell>
          <cell r="AS14">
            <v>5310.480000000447</v>
          </cell>
          <cell r="AU14">
            <v>11708682.719999999</v>
          </cell>
          <cell r="AV14">
            <v>3946.3199999984354</v>
          </cell>
          <cell r="AX14">
            <v>11305914.48</v>
          </cell>
          <cell r="AY14">
            <v>4043.7600000016391</v>
          </cell>
          <cell r="BA14">
            <v>9048375.8399999999</v>
          </cell>
          <cell r="BB14">
            <v>2971.9199999999255</v>
          </cell>
          <cell r="BD14">
            <v>13677360.48</v>
          </cell>
          <cell r="BE14">
            <v>5651.5200000014156</v>
          </cell>
          <cell r="BK14">
            <v>57771900</v>
          </cell>
          <cell r="BL14">
            <v>31500</v>
          </cell>
          <cell r="BN14">
            <v>61713100</v>
          </cell>
          <cell r="BO14">
            <v>0</v>
          </cell>
          <cell r="BQ14">
            <v>55644900</v>
          </cell>
          <cell r="BR14">
            <v>0</v>
          </cell>
          <cell r="BT14">
            <v>5644870</v>
          </cell>
          <cell r="BU14">
            <v>5500</v>
          </cell>
          <cell r="BW14">
            <v>0.64</v>
          </cell>
          <cell r="BX14">
            <v>-0.14000000000000001</v>
          </cell>
          <cell r="BZ14">
            <v>51158</v>
          </cell>
          <cell r="CA14">
            <v>18</v>
          </cell>
          <cell r="CB14">
            <v>43082</v>
          </cell>
          <cell r="CC14">
            <v>13</v>
          </cell>
          <cell r="CD14">
            <v>14782</v>
          </cell>
          <cell r="CE14">
            <v>8</v>
          </cell>
          <cell r="CF14">
            <v>18752</v>
          </cell>
          <cell r="CG14">
            <v>8</v>
          </cell>
          <cell r="CH14">
            <v>20258</v>
          </cell>
          <cell r="CI14">
            <v>15</v>
          </cell>
          <cell r="CJ14">
            <v>46071</v>
          </cell>
          <cell r="CK14">
            <v>29</v>
          </cell>
          <cell r="CL14">
            <v>202173</v>
          </cell>
          <cell r="CM14">
            <v>89</v>
          </cell>
          <cell r="CO14">
            <v>150370</v>
          </cell>
          <cell r="CP14">
            <v>98</v>
          </cell>
          <cell r="CR14">
            <v>278793</v>
          </cell>
          <cell r="CS14">
            <v>382</v>
          </cell>
          <cell r="CU14">
            <v>537395</v>
          </cell>
          <cell r="CV14">
            <v>255</v>
          </cell>
          <cell r="CX14">
            <v>4224</v>
          </cell>
          <cell r="CY14">
            <v>2</v>
          </cell>
          <cell r="CZ14">
            <v>2036</v>
          </cell>
          <cell r="DA14">
            <v>4</v>
          </cell>
          <cell r="DB14">
            <v>22367</v>
          </cell>
          <cell r="DC14">
            <v>14</v>
          </cell>
          <cell r="DD14">
            <v>23274</v>
          </cell>
          <cell r="DE14">
            <v>12</v>
          </cell>
          <cell r="DF14">
            <v>16000</v>
          </cell>
          <cell r="DG14">
            <v>13</v>
          </cell>
          <cell r="DH14">
            <v>19125</v>
          </cell>
          <cell r="DI14">
            <v>8</v>
          </cell>
          <cell r="DJ14">
            <v>825</v>
          </cell>
          <cell r="DK14">
            <v>0</v>
          </cell>
          <cell r="DL14">
            <v>3616</v>
          </cell>
          <cell r="DM14">
            <v>0</v>
          </cell>
          <cell r="DN14">
            <v>228</v>
          </cell>
          <cell r="DO14">
            <v>8</v>
          </cell>
          <cell r="DP14">
            <v>1862</v>
          </cell>
          <cell r="DQ14">
            <v>3</v>
          </cell>
          <cell r="DR14">
            <v>22832</v>
          </cell>
          <cell r="DS14">
            <v>6</v>
          </cell>
          <cell r="DU14">
            <v>100.1</v>
          </cell>
          <cell r="DV14">
            <v>8</v>
          </cell>
          <cell r="DW14">
            <v>5911</v>
          </cell>
          <cell r="DX14">
            <v>5</v>
          </cell>
          <cell r="DY14">
            <v>79</v>
          </cell>
          <cell r="DZ14">
            <v>6.9000000000000057</v>
          </cell>
          <cell r="EA14">
            <v>254034</v>
          </cell>
          <cell r="EB14">
            <v>0</v>
          </cell>
          <cell r="EC14">
            <v>638212</v>
          </cell>
          <cell r="ED14">
            <v>458</v>
          </cell>
          <cell r="EG14">
            <v>124643</v>
          </cell>
          <cell r="EH14">
            <v>135</v>
          </cell>
          <cell r="EJ14">
            <v>8650200</v>
          </cell>
          <cell r="EK14">
            <v>1300</v>
          </cell>
          <cell r="EL14">
            <v>707400</v>
          </cell>
          <cell r="EM14">
            <v>220</v>
          </cell>
          <cell r="EN14">
            <v>5551800</v>
          </cell>
          <cell r="EO14">
            <v>900</v>
          </cell>
          <cell r="EP14">
            <v>1994500</v>
          </cell>
          <cell r="EQ14">
            <v>0</v>
          </cell>
          <cell r="ER14">
            <v>730950</v>
          </cell>
          <cell r="ES14">
            <v>130</v>
          </cell>
          <cell r="ET14">
            <v>12277900</v>
          </cell>
          <cell r="EU14">
            <v>800</v>
          </cell>
          <cell r="EW14">
            <v>32672</v>
          </cell>
          <cell r="EX14">
            <v>10</v>
          </cell>
          <cell r="EY14">
            <v>27990</v>
          </cell>
          <cell r="EZ14">
            <v>17</v>
          </cell>
          <cell r="FA14">
            <v>0</v>
          </cell>
          <cell r="FB14">
            <v>0</v>
          </cell>
          <cell r="FC14">
            <v>48764</v>
          </cell>
          <cell r="FD14">
            <v>0</v>
          </cell>
          <cell r="FE14">
            <v>27719</v>
          </cell>
          <cell r="FF14">
            <v>26</v>
          </cell>
        </row>
        <row r="15">
          <cell r="B15">
            <v>0.9</v>
          </cell>
          <cell r="E15">
            <v>703000</v>
          </cell>
          <cell r="F15">
            <v>522</v>
          </cell>
          <cell r="G15">
            <v>553</v>
          </cell>
          <cell r="H15">
            <v>805304</v>
          </cell>
          <cell r="I15">
            <v>447</v>
          </cell>
          <cell r="J15">
            <v>469</v>
          </cell>
          <cell r="K15">
            <v>105973</v>
          </cell>
          <cell r="L15">
            <v>166</v>
          </cell>
          <cell r="N15">
            <v>716066</v>
          </cell>
          <cell r="O15">
            <v>204</v>
          </cell>
          <cell r="Q15">
            <v>163777</v>
          </cell>
          <cell r="R15">
            <v>0</v>
          </cell>
          <cell r="S15">
            <v>141478</v>
          </cell>
          <cell r="T15">
            <v>33</v>
          </cell>
          <cell r="U15">
            <v>58</v>
          </cell>
          <cell r="V15">
            <v>14982</v>
          </cell>
          <cell r="W15">
            <v>11</v>
          </cell>
          <cell r="AC15">
            <v>6256135.2000000002</v>
          </cell>
          <cell r="AD15">
            <v>3751.4400000004098</v>
          </cell>
          <cell r="AF15">
            <v>12212691.119999999</v>
          </cell>
          <cell r="AG15">
            <v>4530.9599999990314</v>
          </cell>
          <cell r="AI15">
            <v>11562912.48</v>
          </cell>
          <cell r="AJ15">
            <v>5943.839999999851</v>
          </cell>
          <cell r="AL15">
            <v>14840160.719999999</v>
          </cell>
          <cell r="AM15">
            <v>97.439999997615814</v>
          </cell>
          <cell r="AO15">
            <v>15017745.119999999</v>
          </cell>
          <cell r="AP15">
            <v>0</v>
          </cell>
          <cell r="AR15">
            <v>13689004.559999999</v>
          </cell>
          <cell r="AS15">
            <v>5310.4799999985844</v>
          </cell>
          <cell r="AU15">
            <v>11712726.48</v>
          </cell>
          <cell r="AV15">
            <v>4043.7600000016391</v>
          </cell>
          <cell r="AX15">
            <v>11310006.959999999</v>
          </cell>
          <cell r="AY15">
            <v>4092.4799999985844</v>
          </cell>
          <cell r="BA15">
            <v>9051688.7999999989</v>
          </cell>
          <cell r="BB15">
            <v>3312.9599999990314</v>
          </cell>
          <cell r="BD15">
            <v>13683206.880000001</v>
          </cell>
          <cell r="BE15">
            <v>5846.4000000003725</v>
          </cell>
          <cell r="BK15">
            <v>57804300</v>
          </cell>
          <cell r="BL15">
            <v>32400</v>
          </cell>
          <cell r="BN15">
            <v>61713100</v>
          </cell>
          <cell r="BO15">
            <v>0</v>
          </cell>
          <cell r="BQ15">
            <v>55644900</v>
          </cell>
          <cell r="BR15">
            <v>0</v>
          </cell>
          <cell r="BT15">
            <v>5650150</v>
          </cell>
          <cell r="BU15">
            <v>5280</v>
          </cell>
          <cell r="BW15">
            <v>0.56999999999999995</v>
          </cell>
          <cell r="BX15">
            <v>7.0000000000000062E-2</v>
          </cell>
          <cell r="BZ15">
            <v>51177</v>
          </cell>
          <cell r="CA15">
            <v>19</v>
          </cell>
          <cell r="CB15">
            <v>43095</v>
          </cell>
          <cell r="CC15">
            <v>13</v>
          </cell>
          <cell r="CD15">
            <v>14788</v>
          </cell>
          <cell r="CE15">
            <v>6</v>
          </cell>
          <cell r="CF15">
            <v>18761</v>
          </cell>
          <cell r="CG15">
            <v>9</v>
          </cell>
          <cell r="CH15">
            <v>20269</v>
          </cell>
          <cell r="CI15">
            <v>11</v>
          </cell>
          <cell r="CJ15">
            <v>46095</v>
          </cell>
          <cell r="CK15">
            <v>24</v>
          </cell>
          <cell r="CL15">
            <v>202263</v>
          </cell>
          <cell r="CM15">
            <v>90</v>
          </cell>
          <cell r="CO15">
            <v>150472</v>
          </cell>
          <cell r="CP15">
            <v>102</v>
          </cell>
          <cell r="CR15">
            <v>279163</v>
          </cell>
          <cell r="CS15">
            <v>370</v>
          </cell>
          <cell r="CU15">
            <v>537656</v>
          </cell>
          <cell r="CV15">
            <v>261</v>
          </cell>
          <cell r="CX15">
            <v>4224</v>
          </cell>
          <cell r="CY15">
            <v>0</v>
          </cell>
          <cell r="CZ15">
            <v>2036</v>
          </cell>
          <cell r="DA15">
            <v>0</v>
          </cell>
          <cell r="DB15">
            <v>22383</v>
          </cell>
          <cell r="DC15">
            <v>16</v>
          </cell>
          <cell r="DD15">
            <v>23290</v>
          </cell>
          <cell r="DE15">
            <v>16</v>
          </cell>
          <cell r="DF15">
            <v>16014</v>
          </cell>
          <cell r="DG15">
            <v>14</v>
          </cell>
          <cell r="DH15">
            <v>19134</v>
          </cell>
          <cell r="DI15">
            <v>9</v>
          </cell>
          <cell r="DJ15">
            <v>825</v>
          </cell>
          <cell r="DK15">
            <v>0</v>
          </cell>
          <cell r="DL15">
            <v>3616</v>
          </cell>
          <cell r="DM15">
            <v>0</v>
          </cell>
          <cell r="DN15">
            <v>235</v>
          </cell>
          <cell r="DO15">
            <v>7</v>
          </cell>
          <cell r="DP15">
            <v>1865</v>
          </cell>
          <cell r="DQ15">
            <v>3</v>
          </cell>
          <cell r="DR15">
            <v>22844</v>
          </cell>
          <cell r="DS15">
            <v>12</v>
          </cell>
          <cell r="DU15">
            <v>109</v>
          </cell>
          <cell r="DV15">
            <v>8.9000000000000057</v>
          </cell>
          <cell r="DW15">
            <v>5915.9</v>
          </cell>
          <cell r="DX15">
            <v>4.8999999999996362</v>
          </cell>
          <cell r="DY15">
            <v>86.4</v>
          </cell>
          <cell r="DZ15">
            <v>7.4000000000000057</v>
          </cell>
          <cell r="EA15">
            <v>254034</v>
          </cell>
          <cell r="EB15">
            <v>0</v>
          </cell>
          <cell r="EC15">
            <v>638673</v>
          </cell>
          <cell r="ED15">
            <v>461</v>
          </cell>
          <cell r="EG15">
            <v>124794</v>
          </cell>
          <cell r="EH15">
            <v>151</v>
          </cell>
          <cell r="EJ15">
            <v>8651600</v>
          </cell>
          <cell r="EK15">
            <v>1400</v>
          </cell>
          <cell r="EL15">
            <v>707620</v>
          </cell>
          <cell r="EM15">
            <v>220</v>
          </cell>
          <cell r="EN15">
            <v>5552800</v>
          </cell>
          <cell r="EO15">
            <v>1000</v>
          </cell>
          <cell r="EP15">
            <v>1994500</v>
          </cell>
          <cell r="EQ15">
            <v>0</v>
          </cell>
          <cell r="ER15">
            <v>731080</v>
          </cell>
          <cell r="ES15">
            <v>130</v>
          </cell>
          <cell r="ET15">
            <v>12278900</v>
          </cell>
          <cell r="EU15">
            <v>1000</v>
          </cell>
          <cell r="EW15">
            <v>32681</v>
          </cell>
          <cell r="EX15">
            <v>9</v>
          </cell>
          <cell r="EY15">
            <v>28012</v>
          </cell>
          <cell r="EZ15">
            <v>22</v>
          </cell>
          <cell r="FA15">
            <v>0</v>
          </cell>
          <cell r="FB15">
            <v>0</v>
          </cell>
          <cell r="FC15">
            <v>48764</v>
          </cell>
          <cell r="FD15">
            <v>0</v>
          </cell>
          <cell r="FE15">
            <v>27748</v>
          </cell>
          <cell r="FF15">
            <v>29</v>
          </cell>
        </row>
        <row r="16">
          <cell r="B16">
            <v>0.95</v>
          </cell>
          <cell r="E16">
            <v>703538</v>
          </cell>
          <cell r="F16">
            <v>538</v>
          </cell>
          <cell r="G16">
            <v>519</v>
          </cell>
          <cell r="H16">
            <v>805784</v>
          </cell>
          <cell r="I16">
            <v>480</v>
          </cell>
          <cell r="J16">
            <v>432</v>
          </cell>
          <cell r="K16">
            <v>106147</v>
          </cell>
          <cell r="L16">
            <v>174</v>
          </cell>
          <cell r="N16">
            <v>716236</v>
          </cell>
          <cell r="O16">
            <v>170</v>
          </cell>
          <cell r="Q16">
            <v>163777</v>
          </cell>
          <cell r="R16">
            <v>0</v>
          </cell>
          <cell r="S16">
            <v>141510</v>
          </cell>
          <cell r="T16">
            <v>32</v>
          </cell>
          <cell r="U16">
            <v>78</v>
          </cell>
          <cell r="V16">
            <v>14992</v>
          </cell>
          <cell r="W16">
            <v>10</v>
          </cell>
          <cell r="AC16">
            <v>6259984.0800000001</v>
          </cell>
          <cell r="AD16">
            <v>3848.8799999998882</v>
          </cell>
          <cell r="AF16">
            <v>12217368.24</v>
          </cell>
          <cell r="AG16">
            <v>4677.1200000010431</v>
          </cell>
          <cell r="AI16">
            <v>11568661.439999999</v>
          </cell>
          <cell r="AJ16">
            <v>5748.9599999990314</v>
          </cell>
          <cell r="AL16">
            <v>14840209.439999999</v>
          </cell>
          <cell r="AM16">
            <v>48.720000000670552</v>
          </cell>
          <cell r="AO16">
            <v>15017745.119999999</v>
          </cell>
          <cell r="AP16">
            <v>0</v>
          </cell>
          <cell r="AR16">
            <v>13694509.919999998</v>
          </cell>
          <cell r="AS16">
            <v>5505.359999999404</v>
          </cell>
          <cell r="AU16">
            <v>11716672.799999999</v>
          </cell>
          <cell r="AV16">
            <v>3946.3199999984354</v>
          </cell>
          <cell r="AX16">
            <v>11314294.319999998</v>
          </cell>
          <cell r="AY16">
            <v>4287.359999999404</v>
          </cell>
          <cell r="BA16">
            <v>9055196.6400000006</v>
          </cell>
          <cell r="BB16">
            <v>3507.8400000017136</v>
          </cell>
          <cell r="BD16">
            <v>13688712.24</v>
          </cell>
          <cell r="BE16">
            <v>5505.359999999404</v>
          </cell>
          <cell r="BK16">
            <v>57836700</v>
          </cell>
          <cell r="BL16">
            <v>32400</v>
          </cell>
          <cell r="BN16">
            <v>61713100</v>
          </cell>
          <cell r="BO16">
            <v>0</v>
          </cell>
          <cell r="BQ16">
            <v>55644900</v>
          </cell>
          <cell r="BR16">
            <v>0</v>
          </cell>
          <cell r="BT16">
            <v>5655870</v>
          </cell>
          <cell r="BU16">
            <v>5720</v>
          </cell>
          <cell r="BW16">
            <v>0.7</v>
          </cell>
          <cell r="BX16">
            <v>-0.13</v>
          </cell>
          <cell r="BZ16">
            <v>51194</v>
          </cell>
          <cell r="CA16">
            <v>17</v>
          </cell>
          <cell r="CB16">
            <v>43108</v>
          </cell>
          <cell r="CC16">
            <v>13</v>
          </cell>
          <cell r="CD16">
            <v>14794</v>
          </cell>
          <cell r="CE16">
            <v>6</v>
          </cell>
          <cell r="CF16">
            <v>18770</v>
          </cell>
          <cell r="CG16">
            <v>9</v>
          </cell>
          <cell r="CH16">
            <v>20285</v>
          </cell>
          <cell r="CI16">
            <v>16</v>
          </cell>
          <cell r="CJ16">
            <v>46121</v>
          </cell>
          <cell r="CK16">
            <v>26</v>
          </cell>
          <cell r="CL16">
            <v>202351</v>
          </cell>
          <cell r="CM16">
            <v>88</v>
          </cell>
          <cell r="CO16">
            <v>150573</v>
          </cell>
          <cell r="CP16">
            <v>101</v>
          </cell>
          <cell r="CR16">
            <v>279558</v>
          </cell>
          <cell r="CS16">
            <v>395</v>
          </cell>
          <cell r="CU16">
            <v>537909</v>
          </cell>
          <cell r="CV16">
            <v>253</v>
          </cell>
          <cell r="CX16">
            <v>4224</v>
          </cell>
          <cell r="CY16">
            <v>0</v>
          </cell>
          <cell r="CZ16">
            <v>2036</v>
          </cell>
          <cell r="DA16">
            <v>0</v>
          </cell>
          <cell r="DB16">
            <v>22401.1</v>
          </cell>
          <cell r="DC16">
            <v>18.099999999998545</v>
          </cell>
          <cell r="DD16">
            <v>23308</v>
          </cell>
          <cell r="DE16">
            <v>18</v>
          </cell>
          <cell r="DF16">
            <v>16028</v>
          </cell>
          <cell r="DG16">
            <v>14</v>
          </cell>
          <cell r="DH16">
            <v>19143.2</v>
          </cell>
          <cell r="DI16">
            <v>9.2000000000007276</v>
          </cell>
          <cell r="DJ16">
            <v>825</v>
          </cell>
          <cell r="DK16">
            <v>0</v>
          </cell>
          <cell r="DL16">
            <v>3616</v>
          </cell>
          <cell r="DM16">
            <v>0</v>
          </cell>
          <cell r="DN16">
            <v>242</v>
          </cell>
          <cell r="DO16">
            <v>7</v>
          </cell>
          <cell r="DP16">
            <v>1870</v>
          </cell>
          <cell r="DQ16">
            <v>5</v>
          </cell>
          <cell r="DR16">
            <v>22856</v>
          </cell>
          <cell r="DS16">
            <v>12</v>
          </cell>
          <cell r="DU16">
            <v>117.4</v>
          </cell>
          <cell r="DV16">
            <v>8.4000000000000057</v>
          </cell>
          <cell r="DW16">
            <v>5921</v>
          </cell>
          <cell r="DX16">
            <v>5.1000000000003638</v>
          </cell>
          <cell r="DY16">
            <v>93.2</v>
          </cell>
          <cell r="DZ16">
            <v>6.7999999999999972</v>
          </cell>
          <cell r="EA16">
            <v>254034</v>
          </cell>
          <cell r="EB16">
            <v>0</v>
          </cell>
          <cell r="EC16">
            <v>639169</v>
          </cell>
          <cell r="ED16">
            <v>496</v>
          </cell>
          <cell r="EG16">
            <v>124940</v>
          </cell>
          <cell r="EH16">
            <v>146</v>
          </cell>
          <cell r="EJ16">
            <v>8652900</v>
          </cell>
          <cell r="EK16">
            <v>1300</v>
          </cell>
          <cell r="EL16">
            <v>707840</v>
          </cell>
          <cell r="EM16">
            <v>220</v>
          </cell>
          <cell r="EN16">
            <v>5553700</v>
          </cell>
          <cell r="EO16">
            <v>900</v>
          </cell>
          <cell r="EP16">
            <v>1994500</v>
          </cell>
          <cell r="EQ16">
            <v>0</v>
          </cell>
          <cell r="ER16">
            <v>731210</v>
          </cell>
          <cell r="ES16">
            <v>130</v>
          </cell>
          <cell r="ET16">
            <v>12280800</v>
          </cell>
          <cell r="EU16">
            <v>1900</v>
          </cell>
          <cell r="EW16">
            <v>32691</v>
          </cell>
          <cell r="EX16">
            <v>10</v>
          </cell>
          <cell r="EY16">
            <v>28033</v>
          </cell>
          <cell r="EZ16">
            <v>21</v>
          </cell>
          <cell r="FA16">
            <v>0</v>
          </cell>
          <cell r="FB16">
            <v>0</v>
          </cell>
          <cell r="FC16">
            <v>48764</v>
          </cell>
          <cell r="FD16">
            <v>0</v>
          </cell>
          <cell r="FE16">
            <v>27779</v>
          </cell>
          <cell r="FF16">
            <v>31</v>
          </cell>
        </row>
        <row r="17">
          <cell r="B17">
            <v>0.98</v>
          </cell>
          <cell r="E17">
            <v>704128</v>
          </cell>
          <cell r="F17">
            <v>590</v>
          </cell>
          <cell r="G17">
            <v>561</v>
          </cell>
          <cell r="H17">
            <v>806287</v>
          </cell>
          <cell r="I17">
            <v>503</v>
          </cell>
          <cell r="J17">
            <v>461</v>
          </cell>
          <cell r="K17">
            <v>106211</v>
          </cell>
          <cell r="L17">
            <v>64</v>
          </cell>
          <cell r="N17">
            <v>716306</v>
          </cell>
          <cell r="O17">
            <v>70</v>
          </cell>
          <cell r="Q17">
            <v>163777</v>
          </cell>
          <cell r="R17">
            <v>0</v>
          </cell>
          <cell r="S17">
            <v>141540</v>
          </cell>
          <cell r="T17">
            <v>30</v>
          </cell>
          <cell r="U17">
            <v>81</v>
          </cell>
          <cell r="V17">
            <v>15003</v>
          </cell>
          <cell r="W17">
            <v>11</v>
          </cell>
          <cell r="AC17">
            <v>6263735.5200000005</v>
          </cell>
          <cell r="AD17">
            <v>3751.4400000004098</v>
          </cell>
          <cell r="AF17">
            <v>12221947.92</v>
          </cell>
          <cell r="AG17">
            <v>4579.679999999702</v>
          </cell>
          <cell r="AI17">
            <v>11574118.08</v>
          </cell>
          <cell r="AJ17">
            <v>5456.640000000596</v>
          </cell>
          <cell r="AL17">
            <v>14840258.16</v>
          </cell>
          <cell r="AM17">
            <v>48.720000000670552</v>
          </cell>
          <cell r="AO17">
            <v>15017745.119999999</v>
          </cell>
          <cell r="AP17">
            <v>0</v>
          </cell>
          <cell r="AR17">
            <v>13699771.68</v>
          </cell>
          <cell r="AS17">
            <v>5261.7600000016391</v>
          </cell>
          <cell r="AU17">
            <v>11720472.959999999</v>
          </cell>
          <cell r="AV17">
            <v>3800.160000000149</v>
          </cell>
          <cell r="AX17">
            <v>11318581.68</v>
          </cell>
          <cell r="AY17">
            <v>4287.3600000012666</v>
          </cell>
          <cell r="BA17">
            <v>9058558.3199999984</v>
          </cell>
          <cell r="BB17">
            <v>3361.6799999978393</v>
          </cell>
          <cell r="BD17">
            <v>13694315.039999999</v>
          </cell>
          <cell r="BE17">
            <v>5602.7999999988824</v>
          </cell>
          <cell r="BK17">
            <v>57866800</v>
          </cell>
          <cell r="BL17">
            <v>30100</v>
          </cell>
          <cell r="BN17">
            <v>61713100</v>
          </cell>
          <cell r="BO17">
            <v>0</v>
          </cell>
          <cell r="BQ17">
            <v>55644900</v>
          </cell>
          <cell r="BR17">
            <v>0</v>
          </cell>
          <cell r="BT17">
            <v>5662040</v>
          </cell>
          <cell r="BU17">
            <v>6170</v>
          </cell>
          <cell r="BW17">
            <v>0.63</v>
          </cell>
          <cell r="BX17">
            <v>6.9999999999999951E-2</v>
          </cell>
          <cell r="BZ17">
            <v>51212</v>
          </cell>
          <cell r="CA17">
            <v>18</v>
          </cell>
          <cell r="CB17">
            <v>43122</v>
          </cell>
          <cell r="CC17">
            <v>14</v>
          </cell>
          <cell r="CD17">
            <v>14800</v>
          </cell>
          <cell r="CE17">
            <v>6</v>
          </cell>
          <cell r="CF17">
            <v>18778</v>
          </cell>
          <cell r="CG17">
            <v>8</v>
          </cell>
          <cell r="CH17">
            <v>20300</v>
          </cell>
          <cell r="CI17">
            <v>15</v>
          </cell>
          <cell r="CJ17">
            <v>46146</v>
          </cell>
          <cell r="CK17">
            <v>25</v>
          </cell>
          <cell r="CL17">
            <v>202439</v>
          </cell>
          <cell r="CM17">
            <v>88</v>
          </cell>
          <cell r="CO17">
            <v>150678</v>
          </cell>
          <cell r="CP17">
            <v>105</v>
          </cell>
          <cell r="CR17">
            <v>279971</v>
          </cell>
          <cell r="CS17">
            <v>413</v>
          </cell>
          <cell r="CU17">
            <v>538168</v>
          </cell>
          <cell r="CV17">
            <v>259</v>
          </cell>
          <cell r="CX17">
            <v>4224</v>
          </cell>
          <cell r="CY17">
            <v>0</v>
          </cell>
          <cell r="CZ17">
            <v>2036</v>
          </cell>
          <cell r="DA17">
            <v>0</v>
          </cell>
          <cell r="DB17">
            <v>22419.200000000001</v>
          </cell>
          <cell r="DC17">
            <v>18.100000000002183</v>
          </cell>
          <cell r="DD17">
            <v>23327.4</v>
          </cell>
          <cell r="DE17">
            <v>19.400000000001455</v>
          </cell>
          <cell r="DF17">
            <v>16042.4</v>
          </cell>
          <cell r="DG17">
            <v>14.399999999999636</v>
          </cell>
          <cell r="DH17">
            <v>19151.900000000001</v>
          </cell>
          <cell r="DI17">
            <v>8.7000000000007276</v>
          </cell>
          <cell r="DJ17">
            <v>825</v>
          </cell>
          <cell r="DK17">
            <v>0</v>
          </cell>
          <cell r="DL17">
            <v>3616</v>
          </cell>
          <cell r="DM17">
            <v>0</v>
          </cell>
          <cell r="DN17">
            <v>242</v>
          </cell>
          <cell r="DO17">
            <v>0</v>
          </cell>
          <cell r="DP17">
            <v>1874</v>
          </cell>
          <cell r="DQ17">
            <v>4</v>
          </cell>
          <cell r="DR17">
            <v>22862</v>
          </cell>
          <cell r="DS17">
            <v>6</v>
          </cell>
          <cell r="DU17">
            <v>126.2</v>
          </cell>
          <cell r="DV17">
            <v>8.7999999999999972</v>
          </cell>
          <cell r="DW17">
            <v>5926.1</v>
          </cell>
          <cell r="DX17">
            <v>5.1000000000003638</v>
          </cell>
          <cell r="DY17">
            <v>100.4</v>
          </cell>
          <cell r="DZ17">
            <v>7.2000000000000028</v>
          </cell>
          <cell r="EA17">
            <v>254034</v>
          </cell>
          <cell r="EB17">
            <v>0</v>
          </cell>
          <cell r="EC17">
            <v>639669</v>
          </cell>
          <cell r="ED17">
            <v>500</v>
          </cell>
          <cell r="EG17">
            <v>125088</v>
          </cell>
          <cell r="EH17">
            <v>148</v>
          </cell>
          <cell r="EJ17">
            <v>8654100</v>
          </cell>
          <cell r="EK17">
            <v>1200</v>
          </cell>
          <cell r="EL17">
            <v>708070</v>
          </cell>
          <cell r="EM17">
            <v>230</v>
          </cell>
          <cell r="EN17">
            <v>5554500</v>
          </cell>
          <cell r="EO17">
            <v>800</v>
          </cell>
          <cell r="EP17">
            <v>1994500</v>
          </cell>
          <cell r="EQ17">
            <v>0</v>
          </cell>
          <cell r="ER17">
            <v>731340</v>
          </cell>
          <cell r="ES17">
            <v>130</v>
          </cell>
          <cell r="ET17">
            <v>12280800</v>
          </cell>
          <cell r="EU17">
            <v>0</v>
          </cell>
          <cell r="EW17">
            <v>32703</v>
          </cell>
          <cell r="EX17">
            <v>12</v>
          </cell>
          <cell r="EY17">
            <v>28056</v>
          </cell>
          <cell r="EZ17">
            <v>23</v>
          </cell>
          <cell r="FA17">
            <v>0</v>
          </cell>
          <cell r="FB17">
            <v>0</v>
          </cell>
          <cell r="FC17">
            <v>48830</v>
          </cell>
          <cell r="FD17">
            <v>66</v>
          </cell>
          <cell r="FE17">
            <v>27809</v>
          </cell>
          <cell r="FF17">
            <v>30</v>
          </cell>
        </row>
        <row r="18">
          <cell r="B18">
            <v>0.92</v>
          </cell>
          <cell r="E18">
            <v>704624</v>
          </cell>
          <cell r="F18">
            <v>496</v>
          </cell>
          <cell r="G18">
            <v>527</v>
          </cell>
          <cell r="H18">
            <v>806718</v>
          </cell>
          <cell r="I18">
            <v>431</v>
          </cell>
          <cell r="J18">
            <v>452</v>
          </cell>
          <cell r="K18">
            <v>106333</v>
          </cell>
          <cell r="L18">
            <v>122</v>
          </cell>
          <cell r="N18">
            <v>716471</v>
          </cell>
          <cell r="O18">
            <v>165</v>
          </cell>
          <cell r="Q18">
            <v>163777</v>
          </cell>
          <cell r="R18">
            <v>0</v>
          </cell>
          <cell r="S18">
            <v>141570</v>
          </cell>
          <cell r="T18">
            <v>30</v>
          </cell>
          <cell r="U18">
            <v>80</v>
          </cell>
          <cell r="V18">
            <v>15009</v>
          </cell>
          <cell r="W18">
            <v>6</v>
          </cell>
          <cell r="AC18">
            <v>6265733.04</v>
          </cell>
          <cell r="AD18">
            <v>1997.519999999553</v>
          </cell>
          <cell r="AF18">
            <v>12226527.6</v>
          </cell>
          <cell r="AG18">
            <v>4579.679999999702</v>
          </cell>
          <cell r="AI18">
            <v>11575238.640000001</v>
          </cell>
          <cell r="AJ18">
            <v>1120.5600000005215</v>
          </cell>
          <cell r="AL18">
            <v>14846153.280000001</v>
          </cell>
          <cell r="AM18">
            <v>5895.1200000010431</v>
          </cell>
          <cell r="AO18">
            <v>15017793.84</v>
          </cell>
          <cell r="AP18">
            <v>48.720000000670552</v>
          </cell>
          <cell r="AR18">
            <v>13704789.84</v>
          </cell>
          <cell r="AS18">
            <v>5018.160000000149</v>
          </cell>
          <cell r="AU18">
            <v>11724224.4</v>
          </cell>
          <cell r="AV18">
            <v>3751.4400000013411</v>
          </cell>
          <cell r="AX18">
            <v>11322625.439999999</v>
          </cell>
          <cell r="AY18">
            <v>4043.7599999997765</v>
          </cell>
          <cell r="BA18">
            <v>9061676.4000000004</v>
          </cell>
          <cell r="BB18">
            <v>3118.0800000019372</v>
          </cell>
          <cell r="BD18">
            <v>13699771.68</v>
          </cell>
          <cell r="BE18">
            <v>5456.640000000596</v>
          </cell>
          <cell r="BK18">
            <v>57868700</v>
          </cell>
          <cell r="BL18">
            <v>1900</v>
          </cell>
          <cell r="BN18">
            <v>61739100</v>
          </cell>
          <cell r="BO18">
            <v>26000</v>
          </cell>
          <cell r="BQ18">
            <v>55644900</v>
          </cell>
          <cell r="BR18">
            <v>0</v>
          </cell>
          <cell r="BT18">
            <v>5667240</v>
          </cell>
          <cell r="BU18">
            <v>5200</v>
          </cell>
          <cell r="BW18">
            <v>0.69</v>
          </cell>
          <cell r="BX18">
            <v>-5.9999999999999942E-2</v>
          </cell>
          <cell r="BZ18">
            <v>51228</v>
          </cell>
          <cell r="CA18">
            <v>16</v>
          </cell>
          <cell r="CB18">
            <v>43137</v>
          </cell>
          <cell r="CC18">
            <v>15</v>
          </cell>
          <cell r="CD18">
            <v>14807</v>
          </cell>
          <cell r="CE18">
            <v>7</v>
          </cell>
          <cell r="CF18">
            <v>18786</v>
          </cell>
          <cell r="CG18">
            <v>8</v>
          </cell>
          <cell r="CH18">
            <v>20316</v>
          </cell>
          <cell r="CI18">
            <v>16</v>
          </cell>
          <cell r="CJ18">
            <v>46160</v>
          </cell>
          <cell r="CK18">
            <v>14</v>
          </cell>
          <cell r="CL18">
            <v>202525</v>
          </cell>
          <cell r="CM18">
            <v>86</v>
          </cell>
          <cell r="CO18">
            <v>150777</v>
          </cell>
          <cell r="CP18">
            <v>99</v>
          </cell>
          <cell r="CR18">
            <v>280387</v>
          </cell>
          <cell r="CS18">
            <v>416</v>
          </cell>
          <cell r="CU18">
            <v>538421</v>
          </cell>
          <cell r="CV18">
            <v>253</v>
          </cell>
          <cell r="CX18">
            <v>4224</v>
          </cell>
          <cell r="CY18">
            <v>0</v>
          </cell>
          <cell r="CZ18">
            <v>2036</v>
          </cell>
          <cell r="DA18">
            <v>0</v>
          </cell>
          <cell r="DB18">
            <v>22434.2</v>
          </cell>
          <cell r="DC18">
            <v>15</v>
          </cell>
          <cell r="DD18">
            <v>23338.799999999999</v>
          </cell>
          <cell r="DE18">
            <v>11.399999999997817</v>
          </cell>
          <cell r="DF18">
            <v>16056.4</v>
          </cell>
          <cell r="DG18">
            <v>14</v>
          </cell>
          <cell r="DH18">
            <v>19160.3</v>
          </cell>
          <cell r="DI18">
            <v>8.3999999999978172</v>
          </cell>
          <cell r="DJ18">
            <v>825</v>
          </cell>
          <cell r="DK18">
            <v>0</v>
          </cell>
          <cell r="DL18">
            <v>3616</v>
          </cell>
          <cell r="DM18">
            <v>0</v>
          </cell>
          <cell r="DN18">
            <v>258</v>
          </cell>
          <cell r="DO18">
            <v>16</v>
          </cell>
          <cell r="DP18">
            <v>1877</v>
          </cell>
          <cell r="DQ18">
            <v>3</v>
          </cell>
          <cell r="DR18">
            <v>22873</v>
          </cell>
          <cell r="DS18">
            <v>11</v>
          </cell>
          <cell r="DU18">
            <v>134.80000000000001</v>
          </cell>
          <cell r="DV18">
            <v>8.6000000000000085</v>
          </cell>
          <cell r="DW18">
            <v>5931.1</v>
          </cell>
          <cell r="DX18">
            <v>5</v>
          </cell>
          <cell r="DY18">
            <v>107.7</v>
          </cell>
          <cell r="DZ18">
            <v>7.2999999999999972</v>
          </cell>
          <cell r="EA18">
            <v>254034</v>
          </cell>
          <cell r="EB18">
            <v>0</v>
          </cell>
          <cell r="EC18">
            <v>640149</v>
          </cell>
          <cell r="ED18">
            <v>480</v>
          </cell>
          <cell r="EG18">
            <v>125239.1</v>
          </cell>
          <cell r="EH18">
            <v>151.10000000000582</v>
          </cell>
          <cell r="EJ18">
            <v>8654100</v>
          </cell>
          <cell r="EK18">
            <v>0</v>
          </cell>
          <cell r="EL18">
            <v>708070</v>
          </cell>
          <cell r="EM18">
            <v>0</v>
          </cell>
          <cell r="EN18">
            <v>5554500</v>
          </cell>
          <cell r="EO18">
            <v>0</v>
          </cell>
          <cell r="EP18">
            <v>1994500</v>
          </cell>
          <cell r="EQ18">
            <v>0</v>
          </cell>
          <cell r="ER18">
            <v>731340</v>
          </cell>
          <cell r="ES18">
            <v>0</v>
          </cell>
          <cell r="ET18">
            <v>12280800</v>
          </cell>
          <cell r="EU18">
            <v>0</v>
          </cell>
          <cell r="EW18">
            <v>32714</v>
          </cell>
          <cell r="EX18">
            <v>11</v>
          </cell>
          <cell r="EY18">
            <v>28076</v>
          </cell>
          <cell r="EZ18">
            <v>20</v>
          </cell>
          <cell r="FA18">
            <v>0</v>
          </cell>
          <cell r="FB18">
            <v>0</v>
          </cell>
          <cell r="FC18">
            <v>48830</v>
          </cell>
          <cell r="FD18">
            <v>0</v>
          </cell>
          <cell r="FE18">
            <v>27839</v>
          </cell>
          <cell r="FF18">
            <v>30</v>
          </cell>
        </row>
        <row r="19">
          <cell r="B19">
            <v>0.93</v>
          </cell>
          <cell r="E19">
            <v>705119</v>
          </cell>
          <cell r="F19">
            <v>495</v>
          </cell>
          <cell r="G19">
            <v>733</v>
          </cell>
          <cell r="H19">
            <v>807141</v>
          </cell>
          <cell r="I19">
            <v>423</v>
          </cell>
          <cell r="J19">
            <v>581</v>
          </cell>
          <cell r="K19">
            <v>106496</v>
          </cell>
          <cell r="L19">
            <v>163</v>
          </cell>
          <cell r="N19">
            <v>716642</v>
          </cell>
          <cell r="O19">
            <v>171</v>
          </cell>
          <cell r="Q19">
            <v>163777</v>
          </cell>
          <cell r="R19">
            <v>0</v>
          </cell>
          <cell r="S19">
            <v>141600</v>
          </cell>
          <cell r="T19">
            <v>30</v>
          </cell>
          <cell r="U19">
            <v>70</v>
          </cell>
          <cell r="V19">
            <v>15009</v>
          </cell>
          <cell r="W19">
            <v>0</v>
          </cell>
          <cell r="AC19">
            <v>6267633.1200000001</v>
          </cell>
          <cell r="AD19">
            <v>1900.0800000000745</v>
          </cell>
          <cell r="AF19">
            <v>12231009.84</v>
          </cell>
          <cell r="AG19">
            <v>4482.2400000002235</v>
          </cell>
          <cell r="AI19">
            <v>11576115.6</v>
          </cell>
          <cell r="AJ19">
            <v>876.95999999903142</v>
          </cell>
          <cell r="AL19">
            <v>14852535.6</v>
          </cell>
          <cell r="AM19">
            <v>6382.3199999984354</v>
          </cell>
          <cell r="AO19">
            <v>15017793.84</v>
          </cell>
          <cell r="AP19">
            <v>0</v>
          </cell>
          <cell r="AR19">
            <v>13710392.640000001</v>
          </cell>
          <cell r="AS19">
            <v>5602.8000000007451</v>
          </cell>
          <cell r="AU19">
            <v>11727975.84</v>
          </cell>
          <cell r="AV19">
            <v>3751.4399999994785</v>
          </cell>
          <cell r="AX19">
            <v>11326571.76</v>
          </cell>
          <cell r="AY19">
            <v>3946.320000000298</v>
          </cell>
          <cell r="BA19">
            <v>9064697.040000001</v>
          </cell>
          <cell r="BB19">
            <v>3020.640000000596</v>
          </cell>
          <cell r="BD19">
            <v>13705277.039999999</v>
          </cell>
          <cell r="BE19">
            <v>5505.359999999404</v>
          </cell>
          <cell r="BK19">
            <v>57868700</v>
          </cell>
          <cell r="BL19">
            <v>0</v>
          </cell>
          <cell r="BN19">
            <v>61767100</v>
          </cell>
          <cell r="BO19">
            <v>28000</v>
          </cell>
          <cell r="BQ19">
            <v>55644900</v>
          </cell>
          <cell r="BR19">
            <v>0</v>
          </cell>
          <cell r="BT19">
            <v>5672170</v>
          </cell>
          <cell r="BU19">
            <v>4930</v>
          </cell>
          <cell r="BW19">
            <v>0.75</v>
          </cell>
          <cell r="BX19">
            <v>-6.0000000000000053E-2</v>
          </cell>
          <cell r="BZ19">
            <v>51246</v>
          </cell>
          <cell r="CA19">
            <v>18</v>
          </cell>
          <cell r="CB19">
            <v>43152</v>
          </cell>
          <cell r="CC19">
            <v>15</v>
          </cell>
          <cell r="CD19">
            <v>14813</v>
          </cell>
          <cell r="CE19">
            <v>6</v>
          </cell>
          <cell r="CF19">
            <v>18794</v>
          </cell>
          <cell r="CG19">
            <v>8</v>
          </cell>
          <cell r="CH19">
            <v>20330</v>
          </cell>
          <cell r="CI19">
            <v>14</v>
          </cell>
          <cell r="CJ19">
            <v>46179</v>
          </cell>
          <cell r="CK19">
            <v>19</v>
          </cell>
          <cell r="CL19">
            <v>202613</v>
          </cell>
          <cell r="CM19">
            <v>88</v>
          </cell>
          <cell r="CO19">
            <v>150879</v>
          </cell>
          <cell r="CP19">
            <v>102</v>
          </cell>
          <cell r="CR19">
            <v>280952</v>
          </cell>
          <cell r="CS19">
            <v>565</v>
          </cell>
          <cell r="CU19">
            <v>538678</v>
          </cell>
          <cell r="CV19">
            <v>257</v>
          </cell>
          <cell r="CX19">
            <v>4224</v>
          </cell>
          <cell r="CY19">
            <v>0</v>
          </cell>
          <cell r="CZ19">
            <v>2036</v>
          </cell>
          <cell r="DA19">
            <v>0</v>
          </cell>
          <cell r="DB19">
            <v>22447</v>
          </cell>
          <cell r="DC19">
            <v>12.799999999999272</v>
          </cell>
          <cell r="DD19">
            <v>23352</v>
          </cell>
          <cell r="DE19">
            <v>13.200000000000728</v>
          </cell>
          <cell r="DF19">
            <v>16069</v>
          </cell>
          <cell r="DG19">
            <v>12.600000000000364</v>
          </cell>
          <cell r="DH19">
            <v>19168</v>
          </cell>
          <cell r="DI19">
            <v>7.7000000000007276</v>
          </cell>
          <cell r="DJ19">
            <v>825</v>
          </cell>
          <cell r="DK19">
            <v>0</v>
          </cell>
          <cell r="DL19">
            <v>3616</v>
          </cell>
          <cell r="DM19">
            <v>0</v>
          </cell>
          <cell r="DN19">
            <v>265</v>
          </cell>
          <cell r="DO19">
            <v>7</v>
          </cell>
          <cell r="DP19">
            <v>1879</v>
          </cell>
          <cell r="DQ19">
            <v>2</v>
          </cell>
          <cell r="DR19">
            <v>22885</v>
          </cell>
          <cell r="DS19">
            <v>12</v>
          </cell>
          <cell r="DU19">
            <v>143.30000000000001</v>
          </cell>
          <cell r="DV19">
            <v>8.5</v>
          </cell>
          <cell r="DW19">
            <v>5935.8</v>
          </cell>
          <cell r="DX19">
            <v>4.6999999999998181</v>
          </cell>
          <cell r="DY19">
            <v>114.8</v>
          </cell>
          <cell r="DZ19">
            <v>7.0999999999999943</v>
          </cell>
          <cell r="EA19">
            <v>254034</v>
          </cell>
          <cell r="EB19">
            <v>0</v>
          </cell>
          <cell r="EC19">
            <v>640589</v>
          </cell>
          <cell r="ED19">
            <v>440</v>
          </cell>
          <cell r="EG19">
            <v>125391</v>
          </cell>
          <cell r="EH19">
            <v>151.89999999999418</v>
          </cell>
          <cell r="EJ19">
            <v>8654100</v>
          </cell>
          <cell r="EK19">
            <v>0</v>
          </cell>
          <cell r="EL19">
            <v>708070</v>
          </cell>
          <cell r="EM19">
            <v>0</v>
          </cell>
          <cell r="EN19">
            <v>5554500</v>
          </cell>
          <cell r="EO19">
            <v>0</v>
          </cell>
          <cell r="EP19">
            <v>1994500</v>
          </cell>
          <cell r="EQ19">
            <v>0</v>
          </cell>
          <cell r="ER19">
            <v>731340</v>
          </cell>
          <cell r="ES19">
            <v>0</v>
          </cell>
          <cell r="ET19">
            <v>12280800</v>
          </cell>
          <cell r="EU19">
            <v>0</v>
          </cell>
          <cell r="EW19">
            <v>32728</v>
          </cell>
          <cell r="EX19">
            <v>14</v>
          </cell>
          <cell r="EY19">
            <v>28095</v>
          </cell>
          <cell r="EZ19">
            <v>19</v>
          </cell>
          <cell r="FA19">
            <v>0</v>
          </cell>
          <cell r="FB19">
            <v>0</v>
          </cell>
          <cell r="FC19">
            <v>48862</v>
          </cell>
          <cell r="FD19">
            <v>32</v>
          </cell>
          <cell r="FE19">
            <v>27867</v>
          </cell>
          <cell r="FF19">
            <v>28</v>
          </cell>
        </row>
        <row r="20">
          <cell r="B20">
            <v>0.84</v>
          </cell>
          <cell r="E20">
            <v>705585</v>
          </cell>
          <cell r="F20">
            <v>466</v>
          </cell>
          <cell r="G20">
            <v>430</v>
          </cell>
          <cell r="H20">
            <v>807553</v>
          </cell>
          <cell r="I20">
            <v>412</v>
          </cell>
          <cell r="J20">
            <v>351</v>
          </cell>
          <cell r="K20">
            <v>106651</v>
          </cell>
          <cell r="L20">
            <v>155</v>
          </cell>
          <cell r="N20">
            <v>716819</v>
          </cell>
          <cell r="O20">
            <v>177</v>
          </cell>
          <cell r="Q20">
            <v>163777</v>
          </cell>
          <cell r="R20">
            <v>0</v>
          </cell>
          <cell r="S20">
            <v>141628</v>
          </cell>
          <cell r="T20">
            <v>28</v>
          </cell>
          <cell r="U20">
            <v>62</v>
          </cell>
          <cell r="V20">
            <v>15009</v>
          </cell>
          <cell r="W20">
            <v>0</v>
          </cell>
          <cell r="AC20">
            <v>6269484.4799999995</v>
          </cell>
          <cell r="AD20">
            <v>1851.359999999404</v>
          </cell>
          <cell r="AF20">
            <v>12235540.799999999</v>
          </cell>
          <cell r="AG20">
            <v>4530.9599999990314</v>
          </cell>
          <cell r="AI20">
            <v>11576943.84</v>
          </cell>
          <cell r="AJ20">
            <v>828.24000000022352</v>
          </cell>
          <cell r="AL20">
            <v>14858625.6</v>
          </cell>
          <cell r="AM20">
            <v>6090</v>
          </cell>
          <cell r="AO20">
            <v>15017793.84</v>
          </cell>
          <cell r="AP20">
            <v>0</v>
          </cell>
          <cell r="AR20">
            <v>13715849.280000001</v>
          </cell>
          <cell r="AS20">
            <v>5456.640000000596</v>
          </cell>
          <cell r="AU20">
            <v>11731873.439999999</v>
          </cell>
          <cell r="AV20">
            <v>3897.5999999996275</v>
          </cell>
          <cell r="AX20">
            <v>11330371.92</v>
          </cell>
          <cell r="AY20">
            <v>3800.160000000149</v>
          </cell>
          <cell r="BA20">
            <v>9068010</v>
          </cell>
          <cell r="BB20">
            <v>3312.9599999990314</v>
          </cell>
          <cell r="BD20">
            <v>13710831.119999999</v>
          </cell>
          <cell r="BE20">
            <v>5554.0800000000745</v>
          </cell>
          <cell r="BK20">
            <v>57868700</v>
          </cell>
          <cell r="BL20">
            <v>0</v>
          </cell>
          <cell r="BN20">
            <v>61793900</v>
          </cell>
          <cell r="BO20">
            <v>26800</v>
          </cell>
          <cell r="BQ20">
            <v>55644900</v>
          </cell>
          <cell r="BR20">
            <v>0</v>
          </cell>
          <cell r="BT20">
            <v>5676010</v>
          </cell>
          <cell r="BU20">
            <v>3840</v>
          </cell>
          <cell r="BW20">
            <v>0.65</v>
          </cell>
          <cell r="BX20">
            <v>9.9999999999999978E-2</v>
          </cell>
          <cell r="BZ20">
            <v>51262</v>
          </cell>
          <cell r="CA20">
            <v>16</v>
          </cell>
          <cell r="CB20">
            <v>43156</v>
          </cell>
          <cell r="CC20">
            <v>4</v>
          </cell>
          <cell r="CD20">
            <v>14820</v>
          </cell>
          <cell r="CE20">
            <v>7</v>
          </cell>
          <cell r="CF20">
            <v>18802</v>
          </cell>
          <cell r="CG20">
            <v>8</v>
          </cell>
          <cell r="CH20">
            <v>20346</v>
          </cell>
          <cell r="CI20">
            <v>16</v>
          </cell>
          <cell r="CJ20">
            <v>46199</v>
          </cell>
          <cell r="CK20">
            <v>20</v>
          </cell>
          <cell r="CL20">
            <v>202724</v>
          </cell>
          <cell r="CM20">
            <v>111</v>
          </cell>
          <cell r="CO20">
            <v>150978</v>
          </cell>
          <cell r="CP20">
            <v>99</v>
          </cell>
          <cell r="CR20">
            <v>281521</v>
          </cell>
          <cell r="CS20">
            <v>569</v>
          </cell>
          <cell r="CU20">
            <v>538935</v>
          </cell>
          <cell r="CV20">
            <v>257</v>
          </cell>
          <cell r="CX20">
            <v>4296</v>
          </cell>
          <cell r="CY20">
            <v>72</v>
          </cell>
          <cell r="CZ20">
            <v>2054</v>
          </cell>
          <cell r="DA20">
            <v>18</v>
          </cell>
          <cell r="DB20">
            <v>22460</v>
          </cell>
          <cell r="DC20">
            <v>13</v>
          </cell>
          <cell r="DD20">
            <v>23364</v>
          </cell>
          <cell r="DE20">
            <v>12</v>
          </cell>
          <cell r="DF20">
            <v>16081</v>
          </cell>
          <cell r="DG20">
            <v>12</v>
          </cell>
          <cell r="DH20">
            <v>19175</v>
          </cell>
          <cell r="DI20">
            <v>7</v>
          </cell>
          <cell r="DJ20">
            <v>825</v>
          </cell>
          <cell r="DK20">
            <v>0</v>
          </cell>
          <cell r="DL20">
            <v>3616</v>
          </cell>
          <cell r="DM20">
            <v>0</v>
          </cell>
          <cell r="DN20">
            <v>273</v>
          </cell>
          <cell r="DO20">
            <v>8</v>
          </cell>
          <cell r="DP20">
            <v>1881</v>
          </cell>
          <cell r="DQ20">
            <v>2</v>
          </cell>
          <cell r="DR20">
            <v>22898</v>
          </cell>
          <cell r="DS20">
            <v>13</v>
          </cell>
          <cell r="DU20">
            <v>151.4</v>
          </cell>
          <cell r="DV20">
            <v>8.0999999999999943</v>
          </cell>
          <cell r="DW20">
            <v>5940.3</v>
          </cell>
          <cell r="DX20">
            <v>4.5</v>
          </cell>
          <cell r="DY20">
            <v>121.7</v>
          </cell>
          <cell r="DZ20">
            <v>6.9000000000000057</v>
          </cell>
          <cell r="EA20">
            <v>254042</v>
          </cell>
          <cell r="EB20">
            <v>8</v>
          </cell>
          <cell r="EC20">
            <v>641029</v>
          </cell>
          <cell r="ED20">
            <v>440</v>
          </cell>
          <cell r="EG20">
            <v>125537</v>
          </cell>
          <cell r="EH20">
            <v>146</v>
          </cell>
          <cell r="EJ20">
            <v>8657700</v>
          </cell>
          <cell r="EK20">
            <v>3600</v>
          </cell>
          <cell r="EL20">
            <v>708710</v>
          </cell>
          <cell r="EM20">
            <v>640</v>
          </cell>
          <cell r="EN20">
            <v>5557000</v>
          </cell>
          <cell r="EO20">
            <v>2500</v>
          </cell>
          <cell r="EP20">
            <v>1994600</v>
          </cell>
          <cell r="EQ20">
            <v>100</v>
          </cell>
          <cell r="ER20">
            <v>731720</v>
          </cell>
          <cell r="ES20">
            <v>380</v>
          </cell>
          <cell r="ET20">
            <v>12282900</v>
          </cell>
          <cell r="EU20">
            <v>2100</v>
          </cell>
          <cell r="EW20">
            <v>32740</v>
          </cell>
          <cell r="EX20">
            <v>12</v>
          </cell>
          <cell r="EY20">
            <v>28113</v>
          </cell>
          <cell r="EZ20">
            <v>18</v>
          </cell>
          <cell r="FA20">
            <v>0</v>
          </cell>
          <cell r="FB20">
            <v>0</v>
          </cell>
          <cell r="FC20">
            <v>48862</v>
          </cell>
          <cell r="FD20">
            <v>0</v>
          </cell>
          <cell r="FE20">
            <v>27895</v>
          </cell>
          <cell r="FF20">
            <v>28</v>
          </cell>
        </row>
        <row r="21">
          <cell r="B21">
            <v>0.85</v>
          </cell>
          <cell r="E21">
            <v>706070</v>
          </cell>
          <cell r="F21">
            <v>485</v>
          </cell>
          <cell r="G21">
            <v>620</v>
          </cell>
          <cell r="H21">
            <v>807963</v>
          </cell>
          <cell r="I21">
            <v>410</v>
          </cell>
          <cell r="J21">
            <v>593</v>
          </cell>
          <cell r="K21">
            <v>106730</v>
          </cell>
          <cell r="L21">
            <v>79</v>
          </cell>
          <cell r="N21">
            <v>716914</v>
          </cell>
          <cell r="O21">
            <v>95</v>
          </cell>
          <cell r="Q21">
            <v>163777</v>
          </cell>
          <cell r="R21">
            <v>0</v>
          </cell>
          <cell r="S21">
            <v>141657</v>
          </cell>
          <cell r="T21">
            <v>29</v>
          </cell>
          <cell r="U21">
            <v>49</v>
          </cell>
          <cell r="V21">
            <v>15009</v>
          </cell>
          <cell r="W21">
            <v>0</v>
          </cell>
          <cell r="AC21">
            <v>6271140.96</v>
          </cell>
          <cell r="AD21">
            <v>1656.480000000447</v>
          </cell>
          <cell r="AF21">
            <v>12240023.040000001</v>
          </cell>
          <cell r="AG21">
            <v>4482.2400000020862</v>
          </cell>
          <cell r="AI21">
            <v>11577090</v>
          </cell>
          <cell r="AJ21">
            <v>146.16000000014901</v>
          </cell>
          <cell r="AL21">
            <v>14865105.359999999</v>
          </cell>
          <cell r="AM21">
            <v>6479.7599999997765</v>
          </cell>
          <cell r="AO21">
            <v>15017793.84</v>
          </cell>
          <cell r="AP21">
            <v>0</v>
          </cell>
          <cell r="AR21">
            <v>13721159.76</v>
          </cell>
          <cell r="AS21">
            <v>5310.4799999985844</v>
          </cell>
          <cell r="AU21">
            <v>11735965.92</v>
          </cell>
          <cell r="AV21">
            <v>4092.480000000447</v>
          </cell>
          <cell r="AX21">
            <v>11334269.52</v>
          </cell>
          <cell r="AY21">
            <v>3897.5999999996275</v>
          </cell>
          <cell r="BA21">
            <v>9071517.8399999999</v>
          </cell>
          <cell r="BB21">
            <v>3507.839999999851</v>
          </cell>
          <cell r="BD21">
            <v>13716239.039999999</v>
          </cell>
          <cell r="BE21">
            <v>5407.9199999999255</v>
          </cell>
          <cell r="BK21">
            <v>57868700</v>
          </cell>
          <cell r="BL21">
            <v>0</v>
          </cell>
          <cell r="BN21">
            <v>61820000</v>
          </cell>
          <cell r="BO21">
            <v>26100</v>
          </cell>
          <cell r="BQ21">
            <v>55644900</v>
          </cell>
          <cell r="BR21">
            <v>0</v>
          </cell>
          <cell r="BT21">
            <v>5680360</v>
          </cell>
          <cell r="BU21">
            <v>4350</v>
          </cell>
          <cell r="BW21">
            <v>0.56000000000000005</v>
          </cell>
          <cell r="BX21">
            <v>8.9999999999999969E-2</v>
          </cell>
          <cell r="BZ21">
            <v>51276</v>
          </cell>
          <cell r="CA21">
            <v>14</v>
          </cell>
          <cell r="CB21">
            <v>43182</v>
          </cell>
          <cell r="CC21">
            <v>26</v>
          </cell>
          <cell r="CD21">
            <v>14828</v>
          </cell>
          <cell r="CE21">
            <v>8</v>
          </cell>
          <cell r="CF21">
            <v>18818</v>
          </cell>
          <cell r="CG21">
            <v>16</v>
          </cell>
          <cell r="CH21">
            <v>20361</v>
          </cell>
          <cell r="CI21">
            <v>15</v>
          </cell>
          <cell r="CJ21">
            <v>46199</v>
          </cell>
          <cell r="CK21">
            <v>0</v>
          </cell>
          <cell r="CL21">
            <v>202790</v>
          </cell>
          <cell r="CM21">
            <v>66</v>
          </cell>
          <cell r="CO21">
            <v>151078</v>
          </cell>
          <cell r="CP21">
            <v>100</v>
          </cell>
          <cell r="CR21">
            <v>282082</v>
          </cell>
          <cell r="CS21">
            <v>561</v>
          </cell>
          <cell r="CU21">
            <v>539201</v>
          </cell>
          <cell r="CV21">
            <v>266</v>
          </cell>
          <cell r="CX21">
            <v>4296</v>
          </cell>
          <cell r="CY21">
            <v>0</v>
          </cell>
          <cell r="CZ21">
            <v>2054</v>
          </cell>
          <cell r="DA21">
            <v>0</v>
          </cell>
          <cell r="DB21">
            <v>22472</v>
          </cell>
          <cell r="DC21">
            <v>12</v>
          </cell>
          <cell r="DD21">
            <v>23378</v>
          </cell>
          <cell r="DE21">
            <v>14</v>
          </cell>
          <cell r="DF21">
            <v>16095</v>
          </cell>
          <cell r="DG21">
            <v>14</v>
          </cell>
          <cell r="DH21">
            <v>19183</v>
          </cell>
          <cell r="DI21">
            <v>8</v>
          </cell>
          <cell r="DJ21">
            <v>826</v>
          </cell>
          <cell r="DK21">
            <v>1</v>
          </cell>
          <cell r="DL21">
            <v>3616</v>
          </cell>
          <cell r="DM21">
            <v>0</v>
          </cell>
          <cell r="DN21">
            <v>281</v>
          </cell>
          <cell r="DO21">
            <v>8</v>
          </cell>
          <cell r="DP21">
            <v>1882</v>
          </cell>
          <cell r="DQ21">
            <v>1</v>
          </cell>
          <cell r="DR21">
            <v>22898</v>
          </cell>
          <cell r="DS21">
            <v>0</v>
          </cell>
          <cell r="DU21">
            <v>159.5</v>
          </cell>
          <cell r="DV21">
            <v>8.0999999999999943</v>
          </cell>
          <cell r="DW21">
            <v>5944.9</v>
          </cell>
          <cell r="DX21">
            <v>4.5999999999994543</v>
          </cell>
          <cell r="DY21">
            <v>128.80000000000001</v>
          </cell>
          <cell r="DZ21">
            <v>7.1000000000000085</v>
          </cell>
          <cell r="EA21">
            <v>254068</v>
          </cell>
          <cell r="EB21">
            <v>26</v>
          </cell>
          <cell r="EC21">
            <v>641468</v>
          </cell>
          <cell r="ED21">
            <v>439</v>
          </cell>
          <cell r="EG21">
            <v>125694</v>
          </cell>
          <cell r="EH21">
            <v>157</v>
          </cell>
          <cell r="EJ21">
            <v>8657700</v>
          </cell>
          <cell r="EK21">
            <v>0</v>
          </cell>
          <cell r="EL21">
            <v>708710</v>
          </cell>
          <cell r="EM21">
            <v>0</v>
          </cell>
          <cell r="EN21">
            <v>5557000</v>
          </cell>
          <cell r="EO21">
            <v>0</v>
          </cell>
          <cell r="EP21">
            <v>1994600</v>
          </cell>
          <cell r="EQ21">
            <v>0</v>
          </cell>
          <cell r="ER21">
            <v>731720</v>
          </cell>
          <cell r="ES21">
            <v>0</v>
          </cell>
          <cell r="ET21">
            <v>12282900</v>
          </cell>
          <cell r="EU21">
            <v>0</v>
          </cell>
          <cell r="EW21">
            <v>32752</v>
          </cell>
          <cell r="EX21">
            <v>12</v>
          </cell>
          <cell r="EY21">
            <v>28131</v>
          </cell>
          <cell r="EZ21">
            <v>18</v>
          </cell>
          <cell r="FA21">
            <v>0</v>
          </cell>
          <cell r="FB21">
            <v>0</v>
          </cell>
          <cell r="FC21">
            <v>48887</v>
          </cell>
          <cell r="FD21">
            <v>25</v>
          </cell>
          <cell r="FE21">
            <v>27929</v>
          </cell>
          <cell r="FF21">
            <v>34</v>
          </cell>
        </row>
        <row r="22">
          <cell r="B22">
            <v>0.93</v>
          </cell>
          <cell r="E22">
            <v>706523</v>
          </cell>
          <cell r="F22">
            <v>453</v>
          </cell>
          <cell r="G22">
            <v>467</v>
          </cell>
          <cell r="H22">
            <v>808356</v>
          </cell>
          <cell r="I22">
            <v>393</v>
          </cell>
          <cell r="J22">
            <v>435</v>
          </cell>
          <cell r="K22">
            <v>106870</v>
          </cell>
          <cell r="L22">
            <v>140</v>
          </cell>
          <cell r="N22">
            <v>717078</v>
          </cell>
          <cell r="O22">
            <v>164</v>
          </cell>
          <cell r="Q22">
            <v>163777</v>
          </cell>
          <cell r="R22">
            <v>0</v>
          </cell>
          <cell r="S22">
            <v>141687</v>
          </cell>
          <cell r="T22">
            <v>30</v>
          </cell>
          <cell r="U22">
            <v>57</v>
          </cell>
          <cell r="V22">
            <v>15009</v>
          </cell>
          <cell r="W22">
            <v>0</v>
          </cell>
          <cell r="AC22">
            <v>6273041.04</v>
          </cell>
          <cell r="AD22">
            <v>1900.0800000000745</v>
          </cell>
          <cell r="AF22">
            <v>12244505.280000001</v>
          </cell>
          <cell r="AG22">
            <v>4482.2400000002235</v>
          </cell>
          <cell r="AI22">
            <v>11577187.439999999</v>
          </cell>
          <cell r="AJ22">
            <v>97.439999999478459</v>
          </cell>
          <cell r="AL22">
            <v>14872754.4</v>
          </cell>
          <cell r="AM22">
            <v>7649.0400000009686</v>
          </cell>
          <cell r="AO22">
            <v>15017793.84</v>
          </cell>
          <cell r="AP22">
            <v>0</v>
          </cell>
          <cell r="AR22">
            <v>13726567.68</v>
          </cell>
          <cell r="AS22">
            <v>5407.9199999999255</v>
          </cell>
          <cell r="AU22">
            <v>11739863.52</v>
          </cell>
          <cell r="AV22">
            <v>3897.5999999996275</v>
          </cell>
          <cell r="AX22">
            <v>11338264.559999999</v>
          </cell>
          <cell r="AY22">
            <v>3995.0399999991059</v>
          </cell>
          <cell r="BA22">
            <v>9074733.3599999994</v>
          </cell>
          <cell r="BB22">
            <v>3215.519999999553</v>
          </cell>
          <cell r="BD22">
            <v>13721793.119999999</v>
          </cell>
          <cell r="BE22">
            <v>5554.0800000000745</v>
          </cell>
          <cell r="BK22">
            <v>57868700</v>
          </cell>
          <cell r="BL22">
            <v>0</v>
          </cell>
          <cell r="BN22">
            <v>61849400</v>
          </cell>
          <cell r="BO22">
            <v>29400</v>
          </cell>
          <cell r="BQ22">
            <v>55644900</v>
          </cell>
          <cell r="BR22">
            <v>0</v>
          </cell>
          <cell r="BT22">
            <v>5684220</v>
          </cell>
          <cell r="BU22">
            <v>3860</v>
          </cell>
          <cell r="BW22">
            <v>0.65</v>
          </cell>
          <cell r="BX22">
            <v>-8.9999999999999969E-2</v>
          </cell>
          <cell r="BZ22">
            <v>51288</v>
          </cell>
          <cell r="CA22">
            <v>12</v>
          </cell>
          <cell r="CB22">
            <v>43195</v>
          </cell>
          <cell r="CC22">
            <v>13</v>
          </cell>
          <cell r="CD22">
            <v>14833</v>
          </cell>
          <cell r="CE22">
            <v>5</v>
          </cell>
          <cell r="CF22">
            <v>18824</v>
          </cell>
          <cell r="CG22">
            <v>6</v>
          </cell>
          <cell r="CH22">
            <v>20364</v>
          </cell>
          <cell r="CI22">
            <v>3</v>
          </cell>
          <cell r="CJ22">
            <v>46263</v>
          </cell>
          <cell r="CK22">
            <v>64</v>
          </cell>
          <cell r="CL22">
            <v>202878</v>
          </cell>
          <cell r="CM22">
            <v>88</v>
          </cell>
          <cell r="CO22">
            <v>151177</v>
          </cell>
          <cell r="CP22">
            <v>99</v>
          </cell>
          <cell r="CR22">
            <v>282550</v>
          </cell>
          <cell r="CS22">
            <v>468</v>
          </cell>
          <cell r="CU22">
            <v>539449</v>
          </cell>
          <cell r="CV22">
            <v>248</v>
          </cell>
          <cell r="CX22">
            <v>4296</v>
          </cell>
          <cell r="CY22">
            <v>0</v>
          </cell>
          <cell r="CZ22">
            <v>2054</v>
          </cell>
          <cell r="DA22">
            <v>0</v>
          </cell>
          <cell r="DB22">
            <v>22488</v>
          </cell>
          <cell r="DC22">
            <v>16</v>
          </cell>
          <cell r="DD22">
            <v>23391</v>
          </cell>
          <cell r="DE22">
            <v>13</v>
          </cell>
          <cell r="DF22">
            <v>16107</v>
          </cell>
          <cell r="DG22">
            <v>12</v>
          </cell>
          <cell r="DH22">
            <v>19190</v>
          </cell>
          <cell r="DI22">
            <v>7</v>
          </cell>
          <cell r="DJ22">
            <v>826</v>
          </cell>
          <cell r="DK22">
            <v>0</v>
          </cell>
          <cell r="DL22">
            <v>3616</v>
          </cell>
          <cell r="DM22">
            <v>0</v>
          </cell>
          <cell r="DN22">
            <v>289</v>
          </cell>
          <cell r="DO22">
            <v>8</v>
          </cell>
          <cell r="DP22">
            <v>1884</v>
          </cell>
          <cell r="DQ22">
            <v>2</v>
          </cell>
          <cell r="DR22">
            <v>22898</v>
          </cell>
          <cell r="DS22">
            <v>0</v>
          </cell>
          <cell r="DU22">
            <v>168</v>
          </cell>
          <cell r="DV22">
            <v>8.5</v>
          </cell>
          <cell r="DW22">
            <v>5949.5</v>
          </cell>
          <cell r="DX22">
            <v>4.6000000000003638</v>
          </cell>
          <cell r="DY22">
            <v>135.69999999999999</v>
          </cell>
          <cell r="DZ22">
            <v>6.8999999999999773</v>
          </cell>
          <cell r="EA22">
            <v>254092.72</v>
          </cell>
          <cell r="EB22">
            <v>24.720000000001164</v>
          </cell>
          <cell r="EC22">
            <v>641927</v>
          </cell>
          <cell r="ED22">
            <v>459</v>
          </cell>
          <cell r="EG22">
            <v>125847</v>
          </cell>
          <cell r="EH22">
            <v>153</v>
          </cell>
          <cell r="EJ22">
            <v>8660600</v>
          </cell>
          <cell r="EK22">
            <v>2900</v>
          </cell>
          <cell r="EL22">
            <v>709150</v>
          </cell>
          <cell r="EM22">
            <v>440</v>
          </cell>
          <cell r="EN22">
            <v>5558800</v>
          </cell>
          <cell r="EO22">
            <v>1800</v>
          </cell>
          <cell r="EP22">
            <v>1994600</v>
          </cell>
          <cell r="EQ22">
            <v>0</v>
          </cell>
          <cell r="ER22">
            <v>731990</v>
          </cell>
          <cell r="ES22">
            <v>270</v>
          </cell>
          <cell r="ET22">
            <v>12284700</v>
          </cell>
          <cell r="EU22">
            <v>1800</v>
          </cell>
          <cell r="EW22">
            <v>32764</v>
          </cell>
          <cell r="EX22">
            <v>12</v>
          </cell>
          <cell r="EY22">
            <v>28147</v>
          </cell>
          <cell r="EZ22">
            <v>16</v>
          </cell>
          <cell r="FA22">
            <v>0</v>
          </cell>
          <cell r="FB22">
            <v>0</v>
          </cell>
          <cell r="FC22">
            <v>48887</v>
          </cell>
          <cell r="FD22">
            <v>0</v>
          </cell>
          <cell r="FE22">
            <v>27956</v>
          </cell>
          <cell r="FF22">
            <v>27</v>
          </cell>
        </row>
        <row r="23">
          <cell r="B23">
            <v>0.96</v>
          </cell>
          <cell r="E23">
            <v>707027</v>
          </cell>
          <cell r="F23">
            <v>504</v>
          </cell>
          <cell r="G23">
            <v>477</v>
          </cell>
          <cell r="H23">
            <v>808786</v>
          </cell>
          <cell r="I23">
            <v>430</v>
          </cell>
          <cell r="J23">
            <v>400</v>
          </cell>
          <cell r="K23">
            <v>107041</v>
          </cell>
          <cell r="L23">
            <v>171</v>
          </cell>
          <cell r="N23">
            <v>717279</v>
          </cell>
          <cell r="O23">
            <v>201</v>
          </cell>
          <cell r="Q23">
            <v>163777</v>
          </cell>
          <cell r="R23">
            <v>0</v>
          </cell>
          <cell r="S23">
            <v>141724</v>
          </cell>
          <cell r="T23">
            <v>37</v>
          </cell>
          <cell r="U23">
            <v>38</v>
          </cell>
          <cell r="V23">
            <v>15009</v>
          </cell>
          <cell r="W23">
            <v>0</v>
          </cell>
          <cell r="AC23">
            <v>6274989.8399999999</v>
          </cell>
          <cell r="AD23">
            <v>1948.7999999998137</v>
          </cell>
          <cell r="AF23">
            <v>12249133.68</v>
          </cell>
          <cell r="AG23">
            <v>4628.3999999985099</v>
          </cell>
          <cell r="AI23">
            <v>11577236.16</v>
          </cell>
          <cell r="AJ23">
            <v>48.720000000670552</v>
          </cell>
          <cell r="AL23">
            <v>14881036.799999999</v>
          </cell>
          <cell r="AM23">
            <v>8282.3999999985099</v>
          </cell>
          <cell r="AO23">
            <v>15017842.559999999</v>
          </cell>
          <cell r="AP23">
            <v>48.719999998807907</v>
          </cell>
          <cell r="AR23">
            <v>13732024.319999998</v>
          </cell>
          <cell r="AS23">
            <v>5456.6399999987334</v>
          </cell>
          <cell r="AU23">
            <v>11743663.68</v>
          </cell>
          <cell r="AV23">
            <v>3800.160000000149</v>
          </cell>
          <cell r="AX23">
            <v>11342357.040000001</v>
          </cell>
          <cell r="AY23">
            <v>4092.4800000023097</v>
          </cell>
          <cell r="BA23">
            <v>9077754</v>
          </cell>
          <cell r="BB23">
            <v>3020.640000000596</v>
          </cell>
          <cell r="BD23">
            <v>13727395.919999998</v>
          </cell>
          <cell r="BE23">
            <v>5602.7999999988824</v>
          </cell>
          <cell r="BK23">
            <v>57868700</v>
          </cell>
          <cell r="BL23">
            <v>0</v>
          </cell>
          <cell r="BN23">
            <v>61881900</v>
          </cell>
          <cell r="BO23">
            <v>32500</v>
          </cell>
          <cell r="BQ23">
            <v>55644900</v>
          </cell>
          <cell r="BR23">
            <v>0</v>
          </cell>
          <cell r="BT23">
            <v>5688730</v>
          </cell>
          <cell r="BU23">
            <v>4510</v>
          </cell>
          <cell r="BW23">
            <v>0.72</v>
          </cell>
          <cell r="BX23">
            <v>-6.9999999999999951E-2</v>
          </cell>
          <cell r="BZ23">
            <v>51307</v>
          </cell>
          <cell r="CA23">
            <v>19</v>
          </cell>
          <cell r="CB23">
            <v>43212</v>
          </cell>
          <cell r="CC23">
            <v>17</v>
          </cell>
          <cell r="CD23">
            <v>14840</v>
          </cell>
          <cell r="CE23">
            <v>7</v>
          </cell>
          <cell r="CF23">
            <v>18833</v>
          </cell>
          <cell r="CG23">
            <v>9</v>
          </cell>
          <cell r="CH23">
            <v>20376</v>
          </cell>
          <cell r="CI23">
            <v>12</v>
          </cell>
          <cell r="CJ23">
            <v>46287</v>
          </cell>
          <cell r="CK23">
            <v>24</v>
          </cell>
          <cell r="CL23">
            <v>202970</v>
          </cell>
          <cell r="CM23">
            <v>92</v>
          </cell>
          <cell r="CO23">
            <v>151281</v>
          </cell>
          <cell r="CP23">
            <v>104</v>
          </cell>
          <cell r="CR23">
            <v>283007</v>
          </cell>
          <cell r="CS23">
            <v>457</v>
          </cell>
          <cell r="CU23">
            <v>539718</v>
          </cell>
          <cell r="CV23">
            <v>269</v>
          </cell>
          <cell r="CX23">
            <v>4313</v>
          </cell>
          <cell r="CY23">
            <v>17</v>
          </cell>
          <cell r="CZ23">
            <v>2100</v>
          </cell>
          <cell r="DA23">
            <v>46</v>
          </cell>
          <cell r="DB23">
            <v>22503</v>
          </cell>
          <cell r="DC23">
            <v>15</v>
          </cell>
          <cell r="DD23">
            <v>23405</v>
          </cell>
          <cell r="DE23">
            <v>14</v>
          </cell>
          <cell r="DF23">
            <v>16121</v>
          </cell>
          <cell r="DG23">
            <v>14</v>
          </cell>
          <cell r="DH23">
            <v>19197</v>
          </cell>
          <cell r="DI23">
            <v>7</v>
          </cell>
          <cell r="DJ23">
            <v>826</v>
          </cell>
          <cell r="DK23">
            <v>0</v>
          </cell>
          <cell r="DL23">
            <v>3616</v>
          </cell>
          <cell r="DM23">
            <v>0</v>
          </cell>
          <cell r="DN23">
            <v>297</v>
          </cell>
          <cell r="DO23">
            <v>8</v>
          </cell>
          <cell r="DP23">
            <v>1885</v>
          </cell>
          <cell r="DQ23">
            <v>1</v>
          </cell>
          <cell r="DR23">
            <v>22907</v>
          </cell>
          <cell r="DS23">
            <v>9</v>
          </cell>
          <cell r="DU23">
            <v>176.3</v>
          </cell>
          <cell r="DV23">
            <v>8.3000000000000114</v>
          </cell>
          <cell r="DW23">
            <v>5954.6</v>
          </cell>
          <cell r="DX23">
            <v>5.1000000000003638</v>
          </cell>
          <cell r="DY23">
            <v>142.69999999999999</v>
          </cell>
          <cell r="DZ23">
            <v>7</v>
          </cell>
          <cell r="EA23">
            <v>254118.94</v>
          </cell>
          <cell r="EB23">
            <v>26.220000000001164</v>
          </cell>
          <cell r="EC23">
            <v>642417</v>
          </cell>
          <cell r="ED23">
            <v>490</v>
          </cell>
          <cell r="EG23">
            <v>126001</v>
          </cell>
          <cell r="EH23">
            <v>154</v>
          </cell>
          <cell r="EJ23">
            <v>8662100</v>
          </cell>
          <cell r="EK23">
            <v>1500</v>
          </cell>
          <cell r="EL23">
            <v>709370</v>
          </cell>
          <cell r="EM23">
            <v>220</v>
          </cell>
          <cell r="EN23">
            <v>5559800</v>
          </cell>
          <cell r="EO23">
            <v>1000</v>
          </cell>
          <cell r="EP23">
            <v>1994600</v>
          </cell>
          <cell r="EQ23">
            <v>0</v>
          </cell>
          <cell r="ER23">
            <v>732130</v>
          </cell>
          <cell r="ES23">
            <v>140</v>
          </cell>
          <cell r="ET23">
            <v>12286500</v>
          </cell>
          <cell r="EU23">
            <v>1800</v>
          </cell>
          <cell r="EW23">
            <v>32776</v>
          </cell>
          <cell r="EX23">
            <v>12</v>
          </cell>
          <cell r="EY23">
            <v>28165</v>
          </cell>
          <cell r="EZ23">
            <v>18</v>
          </cell>
          <cell r="FA23">
            <v>0</v>
          </cell>
          <cell r="FB23">
            <v>0</v>
          </cell>
          <cell r="FC23">
            <v>48916</v>
          </cell>
          <cell r="FD23">
            <v>29</v>
          </cell>
          <cell r="FE23">
            <v>27983</v>
          </cell>
          <cell r="FF23">
            <v>27</v>
          </cell>
        </row>
        <row r="24">
          <cell r="B24">
            <v>0.9</v>
          </cell>
          <cell r="E24">
            <v>707537</v>
          </cell>
          <cell r="F24">
            <v>510</v>
          </cell>
          <cell r="G24">
            <v>472</v>
          </cell>
          <cell r="H24">
            <v>809227</v>
          </cell>
          <cell r="I24">
            <v>441</v>
          </cell>
          <cell r="J24">
            <v>414</v>
          </cell>
          <cell r="K24">
            <v>107176</v>
          </cell>
          <cell r="L24">
            <v>135</v>
          </cell>
          <cell r="N24">
            <v>717459</v>
          </cell>
          <cell r="O24">
            <v>180</v>
          </cell>
          <cell r="Q24">
            <v>163777</v>
          </cell>
          <cell r="R24">
            <v>0</v>
          </cell>
          <cell r="S24">
            <v>141757</v>
          </cell>
          <cell r="T24">
            <v>33</v>
          </cell>
          <cell r="U24">
            <v>39</v>
          </cell>
          <cell r="V24">
            <v>15009</v>
          </cell>
          <cell r="W24">
            <v>0</v>
          </cell>
          <cell r="AC24">
            <v>6276841.2000000002</v>
          </cell>
          <cell r="AD24">
            <v>1851.3600000003353</v>
          </cell>
          <cell r="AF24">
            <v>12253469.76</v>
          </cell>
          <cell r="AG24">
            <v>4336.0800000000745</v>
          </cell>
          <cell r="AI24">
            <v>11577333.6</v>
          </cell>
          <cell r="AJ24">
            <v>97.439999999478459</v>
          </cell>
          <cell r="AL24">
            <v>14889075.6</v>
          </cell>
          <cell r="AM24">
            <v>8038.8000000007451</v>
          </cell>
          <cell r="AO24">
            <v>15017891.280000001</v>
          </cell>
          <cell r="AP24">
            <v>48.720000002533197</v>
          </cell>
          <cell r="AR24">
            <v>13737334.799999999</v>
          </cell>
          <cell r="AS24">
            <v>5310.480000000447</v>
          </cell>
          <cell r="AU24">
            <v>11747317.68</v>
          </cell>
          <cell r="AV24">
            <v>3654</v>
          </cell>
          <cell r="AX24">
            <v>11346108.48</v>
          </cell>
          <cell r="AY24">
            <v>3751.4399999994785</v>
          </cell>
          <cell r="BA24">
            <v>9080774.6400000006</v>
          </cell>
          <cell r="BB24">
            <v>3020.640000000596</v>
          </cell>
          <cell r="BD24">
            <v>13732852.559999999</v>
          </cell>
          <cell r="BE24">
            <v>5456.640000000596</v>
          </cell>
          <cell r="BK24">
            <v>57868700</v>
          </cell>
          <cell r="BL24">
            <v>0</v>
          </cell>
          <cell r="BN24">
            <v>61915700</v>
          </cell>
          <cell r="BO24">
            <v>33800</v>
          </cell>
          <cell r="BQ24">
            <v>55644900</v>
          </cell>
          <cell r="BR24">
            <v>0</v>
          </cell>
          <cell r="BT24">
            <v>5693500</v>
          </cell>
          <cell r="BU24">
            <v>4770</v>
          </cell>
          <cell r="BW24">
            <v>0.65</v>
          </cell>
          <cell r="BX24">
            <v>6.9999999999999951E-2</v>
          </cell>
          <cell r="BZ24">
            <v>51307</v>
          </cell>
          <cell r="CA24">
            <v>0</v>
          </cell>
          <cell r="CB24">
            <v>43212</v>
          </cell>
          <cell r="CC24">
            <v>0</v>
          </cell>
          <cell r="CD24">
            <v>14840</v>
          </cell>
          <cell r="CE24">
            <v>0</v>
          </cell>
          <cell r="CF24">
            <v>18833</v>
          </cell>
          <cell r="CG24">
            <v>0</v>
          </cell>
          <cell r="CH24">
            <v>20376</v>
          </cell>
          <cell r="CI24">
            <v>0</v>
          </cell>
          <cell r="CJ24">
            <v>46287</v>
          </cell>
          <cell r="CK24">
            <v>0</v>
          </cell>
          <cell r="CL24">
            <v>203056</v>
          </cell>
          <cell r="CM24">
            <v>86</v>
          </cell>
          <cell r="CO24">
            <v>151379</v>
          </cell>
          <cell r="CP24">
            <v>98</v>
          </cell>
          <cell r="CR24">
            <v>283400</v>
          </cell>
          <cell r="CS24">
            <v>393</v>
          </cell>
          <cell r="CU24">
            <v>539968</v>
          </cell>
          <cell r="CV24">
            <v>250</v>
          </cell>
          <cell r="CX24">
            <v>4313</v>
          </cell>
          <cell r="CY24">
            <v>0</v>
          </cell>
          <cell r="CZ24">
            <v>2100</v>
          </cell>
          <cell r="DA24">
            <v>0</v>
          </cell>
          <cell r="DB24">
            <v>22520</v>
          </cell>
          <cell r="DC24">
            <v>17</v>
          </cell>
          <cell r="DD24">
            <v>23420</v>
          </cell>
          <cell r="DE24">
            <v>15</v>
          </cell>
          <cell r="DF24">
            <v>16134</v>
          </cell>
          <cell r="DG24">
            <v>13</v>
          </cell>
          <cell r="DH24">
            <v>19205</v>
          </cell>
          <cell r="DI24">
            <v>8</v>
          </cell>
          <cell r="DJ24">
            <v>826</v>
          </cell>
          <cell r="DK24">
            <v>0</v>
          </cell>
          <cell r="DL24">
            <v>3616</v>
          </cell>
          <cell r="DM24">
            <v>0</v>
          </cell>
          <cell r="DN24">
            <v>305</v>
          </cell>
          <cell r="DO24">
            <v>8</v>
          </cell>
          <cell r="DP24">
            <v>1888</v>
          </cell>
          <cell r="DQ24">
            <v>3</v>
          </cell>
          <cell r="DR24">
            <v>22918</v>
          </cell>
          <cell r="DS24">
            <v>11</v>
          </cell>
          <cell r="DU24">
            <v>184.9</v>
          </cell>
          <cell r="DV24">
            <v>8.5999999999999943</v>
          </cell>
          <cell r="DW24">
            <v>5959.5</v>
          </cell>
          <cell r="DX24">
            <v>4.8999999999996362</v>
          </cell>
          <cell r="DY24">
            <v>149.69999999999999</v>
          </cell>
          <cell r="DZ24">
            <v>7</v>
          </cell>
          <cell r="EA24">
            <v>254128</v>
          </cell>
          <cell r="EB24">
            <v>9.0599999999976717</v>
          </cell>
          <cell r="EC24">
            <v>642938</v>
          </cell>
          <cell r="ED24">
            <v>521</v>
          </cell>
          <cell r="EG24">
            <v>126151</v>
          </cell>
          <cell r="EH24">
            <v>150</v>
          </cell>
          <cell r="EJ24">
            <v>8663900</v>
          </cell>
          <cell r="EK24">
            <v>1800</v>
          </cell>
          <cell r="EL24">
            <v>709600</v>
          </cell>
          <cell r="EM24">
            <v>230</v>
          </cell>
          <cell r="EN24">
            <v>5561000</v>
          </cell>
          <cell r="EO24">
            <v>1200</v>
          </cell>
          <cell r="EP24">
            <v>1994600</v>
          </cell>
          <cell r="EQ24">
            <v>0</v>
          </cell>
          <cell r="ER24">
            <v>732280</v>
          </cell>
          <cell r="ES24">
            <v>150</v>
          </cell>
          <cell r="ET24">
            <v>12288500</v>
          </cell>
          <cell r="EU24">
            <v>2000</v>
          </cell>
          <cell r="EW24">
            <v>32786</v>
          </cell>
          <cell r="EX24">
            <v>10</v>
          </cell>
          <cell r="EY24">
            <v>28183</v>
          </cell>
          <cell r="EZ24">
            <v>18</v>
          </cell>
          <cell r="FA24">
            <v>0</v>
          </cell>
          <cell r="FB24">
            <v>0</v>
          </cell>
          <cell r="FC24">
            <v>48916</v>
          </cell>
          <cell r="FD24">
            <v>0</v>
          </cell>
          <cell r="FE24">
            <v>28012</v>
          </cell>
          <cell r="FF24">
            <v>29</v>
          </cell>
        </row>
        <row r="25">
          <cell r="B25">
            <v>0.89</v>
          </cell>
          <cell r="E25">
            <v>708009</v>
          </cell>
          <cell r="F25">
            <v>472</v>
          </cell>
          <cell r="G25">
            <v>445</v>
          </cell>
          <cell r="H25">
            <v>809613</v>
          </cell>
          <cell r="I25">
            <v>386</v>
          </cell>
          <cell r="J25">
            <v>407</v>
          </cell>
          <cell r="K25">
            <v>107307</v>
          </cell>
          <cell r="L25">
            <v>131</v>
          </cell>
          <cell r="N25">
            <v>717631</v>
          </cell>
          <cell r="O25">
            <v>172</v>
          </cell>
          <cell r="Q25">
            <v>163777</v>
          </cell>
          <cell r="R25">
            <v>0</v>
          </cell>
          <cell r="S25">
            <v>141793</v>
          </cell>
          <cell r="T25">
            <v>36</v>
          </cell>
          <cell r="U25">
            <v>37</v>
          </cell>
          <cell r="V25">
            <v>15009</v>
          </cell>
          <cell r="W25">
            <v>0</v>
          </cell>
          <cell r="AC25">
            <v>6278643.8399999999</v>
          </cell>
          <cell r="AD25">
            <v>1802.6399999996647</v>
          </cell>
          <cell r="AF25">
            <v>12257952</v>
          </cell>
          <cell r="AG25">
            <v>4482.2400000002235</v>
          </cell>
          <cell r="AI25">
            <v>11577479.76</v>
          </cell>
          <cell r="AJ25">
            <v>146.16000000014901</v>
          </cell>
          <cell r="AL25">
            <v>14891609.039999999</v>
          </cell>
          <cell r="AM25">
            <v>2533.4399999994785</v>
          </cell>
          <cell r="AO25">
            <v>15023591.52</v>
          </cell>
          <cell r="AP25">
            <v>5700.2399999983609</v>
          </cell>
          <cell r="AR25">
            <v>13742596.559999999</v>
          </cell>
          <cell r="AS25">
            <v>5261.7599999997765</v>
          </cell>
          <cell r="AU25">
            <v>11751117.84</v>
          </cell>
          <cell r="AV25">
            <v>3800.160000000149</v>
          </cell>
          <cell r="AX25">
            <v>11349811.199999999</v>
          </cell>
          <cell r="AY25">
            <v>3702.7199999988079</v>
          </cell>
          <cell r="BA25">
            <v>9083892.7199999988</v>
          </cell>
          <cell r="BB25">
            <v>3118.0799999982119</v>
          </cell>
          <cell r="BD25">
            <v>13738211.76</v>
          </cell>
          <cell r="BE25">
            <v>5359.2000000011176</v>
          </cell>
          <cell r="BK25">
            <v>57868700</v>
          </cell>
          <cell r="BL25">
            <v>0</v>
          </cell>
          <cell r="BN25">
            <v>61926300</v>
          </cell>
          <cell r="BO25">
            <v>10600</v>
          </cell>
          <cell r="BQ25">
            <v>55667100</v>
          </cell>
          <cell r="BR25">
            <v>22200</v>
          </cell>
          <cell r="BT25">
            <v>5697530</v>
          </cell>
          <cell r="BU25">
            <v>4030</v>
          </cell>
          <cell r="BW25">
            <v>0.75</v>
          </cell>
          <cell r="BX25">
            <v>-9.9999999999999978E-2</v>
          </cell>
          <cell r="BZ25">
            <v>51307</v>
          </cell>
          <cell r="CA25">
            <v>0</v>
          </cell>
          <cell r="CB25">
            <v>43212</v>
          </cell>
          <cell r="CC25">
            <v>0</v>
          </cell>
          <cell r="CD25">
            <v>14840</v>
          </cell>
          <cell r="CE25">
            <v>0</v>
          </cell>
          <cell r="CF25">
            <v>18833</v>
          </cell>
          <cell r="CG25">
            <v>0</v>
          </cell>
          <cell r="CH25">
            <v>20376</v>
          </cell>
          <cell r="CI25">
            <v>0</v>
          </cell>
          <cell r="CJ25">
            <v>46287</v>
          </cell>
          <cell r="CK25">
            <v>0</v>
          </cell>
          <cell r="CL25">
            <v>203143</v>
          </cell>
          <cell r="CM25">
            <v>87</v>
          </cell>
          <cell r="CO25">
            <v>151479</v>
          </cell>
          <cell r="CP25">
            <v>100</v>
          </cell>
          <cell r="CR25">
            <v>283794</v>
          </cell>
          <cell r="CS25">
            <v>394</v>
          </cell>
          <cell r="CU25">
            <v>540224</v>
          </cell>
          <cell r="CV25">
            <v>256</v>
          </cell>
          <cell r="CX25">
            <v>4313</v>
          </cell>
          <cell r="CY25">
            <v>0</v>
          </cell>
          <cell r="CZ25">
            <v>2100</v>
          </cell>
          <cell r="DA25">
            <v>0</v>
          </cell>
          <cell r="DB25">
            <v>22534</v>
          </cell>
          <cell r="DC25">
            <v>14</v>
          </cell>
          <cell r="DD25">
            <v>23433</v>
          </cell>
          <cell r="DE25">
            <v>13</v>
          </cell>
          <cell r="DF25">
            <v>16147</v>
          </cell>
          <cell r="DG25">
            <v>13</v>
          </cell>
          <cell r="DH25">
            <v>19214</v>
          </cell>
          <cell r="DI25">
            <v>9</v>
          </cell>
          <cell r="DJ25">
            <v>826</v>
          </cell>
          <cell r="DK25">
            <v>0</v>
          </cell>
          <cell r="DL25">
            <v>3616</v>
          </cell>
          <cell r="DM25">
            <v>0</v>
          </cell>
          <cell r="DN25">
            <v>313</v>
          </cell>
          <cell r="DO25">
            <v>8</v>
          </cell>
          <cell r="DP25">
            <v>1891</v>
          </cell>
          <cell r="DQ25">
            <v>3</v>
          </cell>
          <cell r="DR25">
            <v>22922</v>
          </cell>
          <cell r="DS25">
            <v>4</v>
          </cell>
          <cell r="DU25">
            <v>193</v>
          </cell>
          <cell r="DV25">
            <v>8.0999999999999943</v>
          </cell>
          <cell r="DW25">
            <v>5964.6</v>
          </cell>
          <cell r="DX25">
            <v>5.1000000000003638</v>
          </cell>
          <cell r="DY25">
            <v>156</v>
          </cell>
          <cell r="DZ25">
            <v>6.3000000000000114</v>
          </cell>
          <cell r="EA25">
            <v>254155</v>
          </cell>
          <cell r="EB25">
            <v>27</v>
          </cell>
          <cell r="EC25">
            <v>643463</v>
          </cell>
          <cell r="ED25">
            <v>525</v>
          </cell>
          <cell r="EG25">
            <v>126300</v>
          </cell>
          <cell r="EH25">
            <v>149</v>
          </cell>
          <cell r="EJ25">
            <v>8665600</v>
          </cell>
          <cell r="EK25">
            <v>1700</v>
          </cell>
          <cell r="EL25">
            <v>709850</v>
          </cell>
          <cell r="EM25">
            <v>250</v>
          </cell>
          <cell r="EN25">
            <v>5562200</v>
          </cell>
          <cell r="EO25">
            <v>1200</v>
          </cell>
          <cell r="EP25">
            <v>1994600</v>
          </cell>
          <cell r="EQ25">
            <v>0</v>
          </cell>
          <cell r="ER25">
            <v>732430</v>
          </cell>
          <cell r="ES25">
            <v>150</v>
          </cell>
          <cell r="ET25">
            <v>12290800</v>
          </cell>
          <cell r="EU25">
            <v>2300</v>
          </cell>
          <cell r="EW25">
            <v>32798</v>
          </cell>
          <cell r="EX25">
            <v>12</v>
          </cell>
          <cell r="EY25">
            <v>28202</v>
          </cell>
          <cell r="EZ25">
            <v>19</v>
          </cell>
          <cell r="FA25">
            <v>0</v>
          </cell>
          <cell r="FB25">
            <v>0</v>
          </cell>
          <cell r="FC25">
            <v>48916</v>
          </cell>
          <cell r="FD25">
            <v>0</v>
          </cell>
          <cell r="FE25">
            <v>28041</v>
          </cell>
          <cell r="FF25">
            <v>29</v>
          </cell>
        </row>
        <row r="26">
          <cell r="B26">
            <v>0.83</v>
          </cell>
          <cell r="E26">
            <v>708436</v>
          </cell>
          <cell r="F26">
            <v>427</v>
          </cell>
          <cell r="G26">
            <v>498</v>
          </cell>
          <cell r="H26">
            <v>809988</v>
          </cell>
          <cell r="I26">
            <v>375</v>
          </cell>
          <cell r="J26">
            <v>452</v>
          </cell>
          <cell r="K26">
            <v>107439</v>
          </cell>
          <cell r="L26">
            <v>132</v>
          </cell>
          <cell r="N26">
            <v>717808</v>
          </cell>
          <cell r="O26">
            <v>177</v>
          </cell>
          <cell r="Q26">
            <v>163777</v>
          </cell>
          <cell r="R26">
            <v>0</v>
          </cell>
          <cell r="S26">
            <v>141830</v>
          </cell>
          <cell r="T26">
            <v>37</v>
          </cell>
          <cell r="U26">
            <v>63</v>
          </cell>
          <cell r="V26">
            <v>15009</v>
          </cell>
          <cell r="W26">
            <v>0</v>
          </cell>
          <cell r="AC26">
            <v>6280446.4799999995</v>
          </cell>
          <cell r="AD26">
            <v>1802.6399999996647</v>
          </cell>
          <cell r="AF26">
            <v>12262434.24</v>
          </cell>
          <cell r="AG26">
            <v>4482.2400000002235</v>
          </cell>
          <cell r="AI26">
            <v>11577625.92</v>
          </cell>
          <cell r="AJ26">
            <v>146.16000000014901</v>
          </cell>
          <cell r="AL26">
            <v>14891609.039999999</v>
          </cell>
          <cell r="AM26">
            <v>0</v>
          </cell>
          <cell r="AO26">
            <v>15031776.48</v>
          </cell>
          <cell r="AP26">
            <v>8184.9600000008941</v>
          </cell>
          <cell r="AR26">
            <v>13747955.76</v>
          </cell>
          <cell r="AS26">
            <v>5359.2000000011176</v>
          </cell>
          <cell r="AU26">
            <v>11755015.439999999</v>
          </cell>
          <cell r="AV26">
            <v>3897.5999999996275</v>
          </cell>
          <cell r="AX26">
            <v>11353465.199999999</v>
          </cell>
          <cell r="AY26">
            <v>3654</v>
          </cell>
          <cell r="BA26">
            <v>9087205.6799999997</v>
          </cell>
          <cell r="BB26">
            <v>3312.9600000008941</v>
          </cell>
          <cell r="BD26">
            <v>13743522.24</v>
          </cell>
          <cell r="BE26">
            <v>5310.480000000447</v>
          </cell>
          <cell r="BK26">
            <v>57868700</v>
          </cell>
          <cell r="BL26">
            <v>0</v>
          </cell>
          <cell r="BN26">
            <v>61926300</v>
          </cell>
          <cell r="BO26">
            <v>0</v>
          </cell>
          <cell r="BQ26">
            <v>55698500</v>
          </cell>
          <cell r="BR26">
            <v>31400</v>
          </cell>
          <cell r="BT26">
            <v>5701360</v>
          </cell>
          <cell r="BU26">
            <v>3830</v>
          </cell>
          <cell r="BW26">
            <v>0.67</v>
          </cell>
          <cell r="BX26">
            <v>7.999999999999996E-2</v>
          </cell>
          <cell r="BZ26">
            <v>51307</v>
          </cell>
          <cell r="CA26">
            <v>0</v>
          </cell>
          <cell r="CB26">
            <v>43212</v>
          </cell>
          <cell r="CC26">
            <v>0</v>
          </cell>
          <cell r="CD26">
            <v>14840</v>
          </cell>
          <cell r="CE26">
            <v>0</v>
          </cell>
          <cell r="CF26">
            <v>18833</v>
          </cell>
          <cell r="CG26">
            <v>0</v>
          </cell>
          <cell r="CH26">
            <v>20376</v>
          </cell>
          <cell r="CI26">
            <v>0</v>
          </cell>
          <cell r="CJ26">
            <v>46287</v>
          </cell>
          <cell r="CK26">
            <v>0</v>
          </cell>
          <cell r="CL26">
            <v>203235</v>
          </cell>
          <cell r="CM26">
            <v>92</v>
          </cell>
          <cell r="CO26">
            <v>151573</v>
          </cell>
          <cell r="CP26">
            <v>94</v>
          </cell>
          <cell r="CR26">
            <v>284182</v>
          </cell>
          <cell r="CS26">
            <v>388</v>
          </cell>
          <cell r="CU26">
            <v>540487</v>
          </cell>
          <cell r="CV26">
            <v>263</v>
          </cell>
          <cell r="CX26">
            <v>4333</v>
          </cell>
          <cell r="CY26">
            <v>20</v>
          </cell>
          <cell r="CZ26">
            <v>2118</v>
          </cell>
          <cell r="DA26">
            <v>18</v>
          </cell>
          <cell r="DB26">
            <v>22546</v>
          </cell>
          <cell r="DC26">
            <v>12</v>
          </cell>
          <cell r="DD26">
            <v>23442</v>
          </cell>
          <cell r="DE26">
            <v>9</v>
          </cell>
          <cell r="DF26">
            <v>16160</v>
          </cell>
          <cell r="DG26">
            <v>13</v>
          </cell>
          <cell r="DH26">
            <v>19222</v>
          </cell>
          <cell r="DI26">
            <v>8</v>
          </cell>
          <cell r="DJ26">
            <v>826</v>
          </cell>
          <cell r="DK26">
            <v>0</v>
          </cell>
          <cell r="DL26">
            <v>3616</v>
          </cell>
          <cell r="DM26">
            <v>0</v>
          </cell>
          <cell r="DN26">
            <v>320</v>
          </cell>
          <cell r="DO26">
            <v>7</v>
          </cell>
          <cell r="DP26">
            <v>1894</v>
          </cell>
          <cell r="DQ26">
            <v>3</v>
          </cell>
          <cell r="DR26">
            <v>22922</v>
          </cell>
          <cell r="DS26">
            <v>0</v>
          </cell>
          <cell r="DU26">
            <v>201</v>
          </cell>
          <cell r="DV26">
            <v>8</v>
          </cell>
          <cell r="DW26">
            <v>5969.2</v>
          </cell>
          <cell r="DX26">
            <v>4.5999999999994543</v>
          </cell>
          <cell r="DY26">
            <v>162.80000000000001</v>
          </cell>
          <cell r="DZ26">
            <v>6.8000000000000114</v>
          </cell>
          <cell r="EA26">
            <v>254186</v>
          </cell>
          <cell r="EB26">
            <v>31</v>
          </cell>
          <cell r="EC26">
            <v>643952</v>
          </cell>
          <cell r="ED26">
            <v>489</v>
          </cell>
          <cell r="EG26">
            <v>126448</v>
          </cell>
          <cell r="EH26">
            <v>148</v>
          </cell>
          <cell r="EJ26">
            <v>8667000</v>
          </cell>
          <cell r="EK26">
            <v>1400</v>
          </cell>
          <cell r="EL26">
            <v>710070</v>
          </cell>
          <cell r="EM26">
            <v>220</v>
          </cell>
          <cell r="EN26">
            <v>5563300</v>
          </cell>
          <cell r="EO26">
            <v>1100</v>
          </cell>
          <cell r="EP26">
            <v>1994700</v>
          </cell>
          <cell r="EQ26">
            <v>100</v>
          </cell>
          <cell r="ER26">
            <v>732580</v>
          </cell>
          <cell r="ES26">
            <v>150</v>
          </cell>
          <cell r="ET26">
            <v>12292700</v>
          </cell>
          <cell r="EU26">
            <v>1900</v>
          </cell>
          <cell r="EW26">
            <v>32813</v>
          </cell>
          <cell r="EX26">
            <v>15</v>
          </cell>
          <cell r="EY26">
            <v>28219</v>
          </cell>
          <cell r="EZ26">
            <v>17</v>
          </cell>
          <cell r="FA26">
            <v>0</v>
          </cell>
          <cell r="FB26">
            <v>0</v>
          </cell>
          <cell r="FC26">
            <v>48956</v>
          </cell>
          <cell r="FD26">
            <v>40</v>
          </cell>
          <cell r="FE26">
            <v>28067</v>
          </cell>
          <cell r="FF26">
            <v>26</v>
          </cell>
        </row>
        <row r="27">
          <cell r="B27">
            <v>0.86</v>
          </cell>
          <cell r="E27">
            <v>708909</v>
          </cell>
          <cell r="F27">
            <v>473</v>
          </cell>
          <cell r="G27">
            <v>556</v>
          </cell>
          <cell r="H27">
            <v>810361</v>
          </cell>
          <cell r="I27">
            <v>373</v>
          </cell>
          <cell r="J27">
            <v>454</v>
          </cell>
          <cell r="K27">
            <v>107646</v>
          </cell>
          <cell r="L27">
            <v>207</v>
          </cell>
          <cell r="N27">
            <v>718016</v>
          </cell>
          <cell r="O27">
            <v>208</v>
          </cell>
          <cell r="Q27">
            <v>163777</v>
          </cell>
          <cell r="R27">
            <v>0</v>
          </cell>
          <cell r="S27">
            <v>141871</v>
          </cell>
          <cell r="T27">
            <v>41</v>
          </cell>
          <cell r="U27">
            <v>69</v>
          </cell>
          <cell r="V27">
            <v>11</v>
          </cell>
          <cell r="W27">
            <v>11</v>
          </cell>
          <cell r="AC27">
            <v>6282200.3999999994</v>
          </cell>
          <cell r="AD27">
            <v>1753.9199999999255</v>
          </cell>
          <cell r="AF27">
            <v>12266916.48</v>
          </cell>
          <cell r="AG27">
            <v>4482.2400000002235</v>
          </cell>
          <cell r="AI27">
            <v>11577820.799999999</v>
          </cell>
          <cell r="AJ27">
            <v>194.87999999895692</v>
          </cell>
          <cell r="AL27">
            <v>14891657.76</v>
          </cell>
          <cell r="AM27">
            <v>48.720000000670552</v>
          </cell>
          <cell r="AO27">
            <v>15041082</v>
          </cell>
          <cell r="AP27">
            <v>9305.519999999553</v>
          </cell>
          <cell r="AR27">
            <v>13753022.640000001</v>
          </cell>
          <cell r="AS27">
            <v>5066.8800000008196</v>
          </cell>
          <cell r="AU27">
            <v>11759010.48</v>
          </cell>
          <cell r="AV27">
            <v>3995.0400000009686</v>
          </cell>
          <cell r="AX27">
            <v>11357265.359999999</v>
          </cell>
          <cell r="AY27">
            <v>3800.160000000149</v>
          </cell>
          <cell r="BA27">
            <v>9090469.9199999999</v>
          </cell>
          <cell r="BB27">
            <v>3264.2400000002235</v>
          </cell>
          <cell r="BD27">
            <v>13748735.280000001</v>
          </cell>
          <cell r="BE27">
            <v>5213.0400000009686</v>
          </cell>
          <cell r="BK27">
            <v>57868700</v>
          </cell>
          <cell r="BL27">
            <v>0</v>
          </cell>
          <cell r="BN27">
            <v>61926300</v>
          </cell>
          <cell r="BO27">
            <v>0</v>
          </cell>
          <cell r="BQ27">
            <v>55736400</v>
          </cell>
          <cell r="BR27">
            <v>37900</v>
          </cell>
          <cell r="BT27">
            <v>5705590</v>
          </cell>
          <cell r="BU27">
            <v>4230</v>
          </cell>
          <cell r="BW27">
            <v>0.6</v>
          </cell>
          <cell r="BX27">
            <v>7.0000000000000062E-2</v>
          </cell>
          <cell r="BZ27">
            <v>51307</v>
          </cell>
          <cell r="CA27">
            <v>0</v>
          </cell>
          <cell r="CB27">
            <v>43212</v>
          </cell>
          <cell r="CC27">
            <v>0</v>
          </cell>
          <cell r="CD27">
            <v>14840</v>
          </cell>
          <cell r="CE27">
            <v>0</v>
          </cell>
          <cell r="CF27">
            <v>18833</v>
          </cell>
          <cell r="CG27">
            <v>0</v>
          </cell>
          <cell r="CH27">
            <v>20376</v>
          </cell>
          <cell r="CI27">
            <v>0</v>
          </cell>
          <cell r="CJ27">
            <v>46287</v>
          </cell>
          <cell r="CK27">
            <v>0</v>
          </cell>
          <cell r="CL27">
            <v>203324</v>
          </cell>
          <cell r="CM27">
            <v>89</v>
          </cell>
          <cell r="CO27">
            <v>151671</v>
          </cell>
          <cell r="CP27">
            <v>98</v>
          </cell>
          <cell r="CR27">
            <v>284480</v>
          </cell>
          <cell r="CS27">
            <v>298</v>
          </cell>
          <cell r="CU27">
            <v>540748</v>
          </cell>
          <cell r="CV27">
            <v>261</v>
          </cell>
          <cell r="CX27">
            <v>4339</v>
          </cell>
          <cell r="CY27">
            <v>6</v>
          </cell>
          <cell r="CZ27">
            <v>2122</v>
          </cell>
          <cell r="DA27">
            <v>4</v>
          </cell>
          <cell r="DB27">
            <v>22559</v>
          </cell>
          <cell r="DC27">
            <v>13</v>
          </cell>
          <cell r="DD27">
            <v>23455</v>
          </cell>
          <cell r="DE27">
            <v>13</v>
          </cell>
          <cell r="DF27">
            <v>16173</v>
          </cell>
          <cell r="DG27">
            <v>13</v>
          </cell>
          <cell r="DH27">
            <v>19233</v>
          </cell>
          <cell r="DI27">
            <v>11</v>
          </cell>
          <cell r="DJ27">
            <v>826</v>
          </cell>
          <cell r="DK27">
            <v>0</v>
          </cell>
          <cell r="DL27">
            <v>3616</v>
          </cell>
          <cell r="DM27">
            <v>0</v>
          </cell>
          <cell r="DN27">
            <v>327</v>
          </cell>
          <cell r="DO27">
            <v>7</v>
          </cell>
          <cell r="DP27">
            <v>1894</v>
          </cell>
          <cell r="DQ27">
            <v>0</v>
          </cell>
          <cell r="DR27">
            <v>22922</v>
          </cell>
          <cell r="DS27">
            <v>0</v>
          </cell>
          <cell r="DU27">
            <v>209</v>
          </cell>
          <cell r="DV27">
            <v>8</v>
          </cell>
          <cell r="DW27">
            <v>5974</v>
          </cell>
          <cell r="DX27">
            <v>4.8000000000001819</v>
          </cell>
          <cell r="DY27">
            <v>169</v>
          </cell>
          <cell r="DZ27">
            <v>6.1999999999999886</v>
          </cell>
          <cell r="EA27">
            <v>254210</v>
          </cell>
          <cell r="EB27">
            <v>24</v>
          </cell>
          <cell r="EC27">
            <v>644449</v>
          </cell>
          <cell r="ED27">
            <v>497</v>
          </cell>
          <cell r="EG27">
            <v>126595</v>
          </cell>
          <cell r="EH27">
            <v>147</v>
          </cell>
          <cell r="EJ27">
            <v>8669300</v>
          </cell>
          <cell r="EK27">
            <v>2300</v>
          </cell>
          <cell r="EL27">
            <v>710310</v>
          </cell>
          <cell r="EM27">
            <v>240</v>
          </cell>
          <cell r="EN27">
            <v>5564700</v>
          </cell>
          <cell r="EO27">
            <v>1400</v>
          </cell>
          <cell r="EP27">
            <v>1994700</v>
          </cell>
          <cell r="EQ27">
            <v>0</v>
          </cell>
          <cell r="ER27">
            <v>732730</v>
          </cell>
          <cell r="ES27">
            <v>150</v>
          </cell>
          <cell r="ET27">
            <v>12295100</v>
          </cell>
          <cell r="EU27">
            <v>2400</v>
          </cell>
          <cell r="EW27">
            <v>32823</v>
          </cell>
          <cell r="EX27">
            <v>10</v>
          </cell>
          <cell r="EY27">
            <v>28236</v>
          </cell>
          <cell r="EZ27">
            <v>17</v>
          </cell>
          <cell r="FA27">
            <v>0</v>
          </cell>
          <cell r="FB27">
            <v>0</v>
          </cell>
          <cell r="FC27">
            <v>48969</v>
          </cell>
          <cell r="FD27">
            <v>13</v>
          </cell>
          <cell r="FE27">
            <v>28090</v>
          </cell>
          <cell r="FF27">
            <v>23</v>
          </cell>
        </row>
        <row r="28">
          <cell r="B28">
            <v>0.8</v>
          </cell>
          <cell r="E28">
            <v>709408</v>
          </cell>
          <cell r="F28">
            <v>499</v>
          </cell>
          <cell r="G28">
            <v>516</v>
          </cell>
          <cell r="H28">
            <v>810783</v>
          </cell>
          <cell r="I28">
            <v>422</v>
          </cell>
          <cell r="J28">
            <v>458</v>
          </cell>
          <cell r="K28">
            <v>107852</v>
          </cell>
          <cell r="L28">
            <v>206</v>
          </cell>
          <cell r="N28">
            <v>718272</v>
          </cell>
          <cell r="O28">
            <v>256</v>
          </cell>
          <cell r="Q28">
            <v>163777</v>
          </cell>
          <cell r="R28">
            <v>0</v>
          </cell>
          <cell r="S28">
            <v>141903</v>
          </cell>
          <cell r="T28">
            <v>32</v>
          </cell>
          <cell r="U28">
            <v>71</v>
          </cell>
          <cell r="V28">
            <v>18</v>
          </cell>
          <cell r="W28">
            <v>7</v>
          </cell>
          <cell r="AC28">
            <v>6284003.04</v>
          </cell>
          <cell r="AD28">
            <v>1802.640000000596</v>
          </cell>
          <cell r="AF28">
            <v>12271350</v>
          </cell>
          <cell r="AG28">
            <v>4433.519999999553</v>
          </cell>
          <cell r="AI28">
            <v>11578015.68</v>
          </cell>
          <cell r="AJ28">
            <v>194.88000000081956</v>
          </cell>
          <cell r="AL28">
            <v>14891706.48</v>
          </cell>
          <cell r="AM28">
            <v>48.720000000670552</v>
          </cell>
          <cell r="AO28">
            <v>15050436.24</v>
          </cell>
          <cell r="AP28">
            <v>9354.2400000002235</v>
          </cell>
          <cell r="AR28">
            <v>13758333.119999999</v>
          </cell>
          <cell r="AS28">
            <v>5310.4799999985844</v>
          </cell>
          <cell r="AU28">
            <v>11762956.799999999</v>
          </cell>
          <cell r="AV28">
            <v>3946.3199999984354</v>
          </cell>
          <cell r="AX28">
            <v>11361162.959999999</v>
          </cell>
          <cell r="AY28">
            <v>3897.5999999996275</v>
          </cell>
          <cell r="BA28">
            <v>9093685.4399999995</v>
          </cell>
          <cell r="BB28">
            <v>3215.519999999553</v>
          </cell>
          <cell r="BD28">
            <v>13754094.48</v>
          </cell>
          <cell r="BE28">
            <v>5359.1999999992549</v>
          </cell>
          <cell r="BK28">
            <v>57868700</v>
          </cell>
          <cell r="BL28">
            <v>0</v>
          </cell>
          <cell r="BN28">
            <v>61926300</v>
          </cell>
          <cell r="BO28">
            <v>0</v>
          </cell>
          <cell r="BQ28">
            <v>55773700</v>
          </cell>
          <cell r="BR28">
            <v>37300</v>
          </cell>
          <cell r="BT28">
            <v>5710250</v>
          </cell>
          <cell r="BU28">
            <v>4660</v>
          </cell>
          <cell r="BW28">
            <v>0.7</v>
          </cell>
          <cell r="BX28">
            <v>-9.9999999999999978E-2</v>
          </cell>
          <cell r="BZ28">
            <v>51307</v>
          </cell>
          <cell r="CA28">
            <v>0</v>
          </cell>
          <cell r="CB28">
            <v>43212</v>
          </cell>
          <cell r="CC28">
            <v>0</v>
          </cell>
          <cell r="CD28">
            <v>14840</v>
          </cell>
          <cell r="CE28">
            <v>0</v>
          </cell>
          <cell r="CF28">
            <v>18833</v>
          </cell>
          <cell r="CG28">
            <v>0</v>
          </cell>
          <cell r="CH28">
            <v>20376</v>
          </cell>
          <cell r="CI28">
            <v>0</v>
          </cell>
          <cell r="CJ28">
            <v>46287</v>
          </cell>
          <cell r="CK28">
            <v>0</v>
          </cell>
          <cell r="CL28">
            <v>203414</v>
          </cell>
          <cell r="CM28">
            <v>90</v>
          </cell>
          <cell r="CO28">
            <v>151766</v>
          </cell>
          <cell r="CP28">
            <v>95</v>
          </cell>
          <cell r="CR28">
            <v>284786</v>
          </cell>
          <cell r="CS28">
            <v>306</v>
          </cell>
          <cell r="CU28">
            <v>541010</v>
          </cell>
          <cell r="CV28">
            <v>262</v>
          </cell>
          <cell r="CX28">
            <v>4339</v>
          </cell>
          <cell r="CY28">
            <v>0</v>
          </cell>
          <cell r="CZ28">
            <v>2122</v>
          </cell>
          <cell r="DA28">
            <v>0</v>
          </cell>
          <cell r="DB28">
            <v>22572</v>
          </cell>
          <cell r="DC28">
            <v>13</v>
          </cell>
          <cell r="DD28">
            <v>23463</v>
          </cell>
          <cell r="DE28">
            <v>8</v>
          </cell>
          <cell r="DF28">
            <v>16185</v>
          </cell>
          <cell r="DG28">
            <v>12</v>
          </cell>
          <cell r="DH28">
            <v>19244</v>
          </cell>
          <cell r="DI28">
            <v>11</v>
          </cell>
          <cell r="DJ28">
            <v>826</v>
          </cell>
          <cell r="DK28">
            <v>0</v>
          </cell>
          <cell r="DL28">
            <v>3616</v>
          </cell>
          <cell r="DM28">
            <v>0</v>
          </cell>
          <cell r="DN28">
            <v>334</v>
          </cell>
          <cell r="DO28">
            <v>7</v>
          </cell>
          <cell r="DP28">
            <v>1895</v>
          </cell>
          <cell r="DQ28">
            <v>1</v>
          </cell>
          <cell r="DR28">
            <v>22922</v>
          </cell>
          <cell r="DS28">
            <v>0</v>
          </cell>
          <cell r="DU28">
            <v>217</v>
          </cell>
          <cell r="DV28">
            <v>8</v>
          </cell>
          <cell r="DW28">
            <v>5978.6</v>
          </cell>
          <cell r="DX28">
            <v>4.6000000000003638</v>
          </cell>
          <cell r="DY28">
            <v>176</v>
          </cell>
          <cell r="DZ28">
            <v>7</v>
          </cell>
          <cell r="EA28">
            <v>254245</v>
          </cell>
          <cell r="EB28">
            <v>35</v>
          </cell>
          <cell r="EC28">
            <v>644960</v>
          </cell>
          <cell r="ED28">
            <v>511</v>
          </cell>
          <cell r="EG28">
            <v>126747</v>
          </cell>
          <cell r="EH28">
            <v>152</v>
          </cell>
          <cell r="EJ28">
            <v>8671500</v>
          </cell>
          <cell r="EK28">
            <v>2200</v>
          </cell>
          <cell r="EL28">
            <v>710550</v>
          </cell>
          <cell r="EM28">
            <v>240</v>
          </cell>
          <cell r="EN28">
            <v>5566000</v>
          </cell>
          <cell r="EO28">
            <v>1300</v>
          </cell>
          <cell r="EP28">
            <v>1994700</v>
          </cell>
          <cell r="EQ28">
            <v>0</v>
          </cell>
          <cell r="ER28">
            <v>732880</v>
          </cell>
          <cell r="ES28">
            <v>150</v>
          </cell>
          <cell r="ET28">
            <v>12297600</v>
          </cell>
          <cell r="EU28">
            <v>2500</v>
          </cell>
          <cell r="EW28">
            <v>32835</v>
          </cell>
          <cell r="EX28">
            <v>12</v>
          </cell>
          <cell r="EY28">
            <v>28253</v>
          </cell>
          <cell r="EZ28">
            <v>17</v>
          </cell>
          <cell r="FA28">
            <v>0</v>
          </cell>
          <cell r="FB28">
            <v>0</v>
          </cell>
          <cell r="FC28">
            <v>48981</v>
          </cell>
          <cell r="FD28">
            <v>12</v>
          </cell>
          <cell r="FE28">
            <v>28116</v>
          </cell>
          <cell r="FF28">
            <v>26</v>
          </cell>
        </row>
        <row r="29">
          <cell r="B29">
            <v>0.76</v>
          </cell>
          <cell r="E29">
            <v>709867</v>
          </cell>
          <cell r="F29">
            <v>459</v>
          </cell>
          <cell r="G29">
            <v>534</v>
          </cell>
          <cell r="H29">
            <v>811160</v>
          </cell>
          <cell r="I29">
            <v>377</v>
          </cell>
          <cell r="J29">
            <v>412</v>
          </cell>
          <cell r="K29">
            <v>108060</v>
          </cell>
          <cell r="L29">
            <v>208</v>
          </cell>
          <cell r="N29">
            <v>718527</v>
          </cell>
          <cell r="O29">
            <v>255</v>
          </cell>
          <cell r="Q29">
            <v>163777</v>
          </cell>
          <cell r="R29">
            <v>0</v>
          </cell>
          <cell r="S29">
            <v>141944</v>
          </cell>
          <cell r="T29">
            <v>41</v>
          </cell>
          <cell r="U29">
            <v>74</v>
          </cell>
          <cell r="V29">
            <v>33</v>
          </cell>
          <cell r="W29">
            <v>15</v>
          </cell>
          <cell r="AC29">
            <v>6285903.1200000001</v>
          </cell>
          <cell r="AD29">
            <v>1900.0800000000745</v>
          </cell>
          <cell r="AF29">
            <v>12275734.799999999</v>
          </cell>
          <cell r="AG29">
            <v>4384.7999999988824</v>
          </cell>
          <cell r="AI29">
            <v>11578843.92</v>
          </cell>
          <cell r="AJ29">
            <v>828.24000000022352</v>
          </cell>
          <cell r="AL29">
            <v>14891755.199999999</v>
          </cell>
          <cell r="AM29">
            <v>48.719999998807907</v>
          </cell>
          <cell r="AO29">
            <v>15058669.919999998</v>
          </cell>
          <cell r="AP29">
            <v>8233.6799999978393</v>
          </cell>
          <cell r="AR29">
            <v>13763741.039999999</v>
          </cell>
          <cell r="AS29">
            <v>5407.9199999999255</v>
          </cell>
          <cell r="AU29">
            <v>11767098</v>
          </cell>
          <cell r="AV29">
            <v>4141.2000000011176</v>
          </cell>
          <cell r="AX29">
            <v>11365109.280000001</v>
          </cell>
          <cell r="AY29">
            <v>3946.3200000021607</v>
          </cell>
          <cell r="BA29">
            <v>9096900.959999999</v>
          </cell>
          <cell r="BB29">
            <v>3215.519999999553</v>
          </cell>
          <cell r="BD29">
            <v>13759648.559999999</v>
          </cell>
          <cell r="BE29">
            <v>5554.0799999982119</v>
          </cell>
          <cell r="BK29">
            <v>57868700</v>
          </cell>
          <cell r="BL29">
            <v>0</v>
          </cell>
          <cell r="BN29">
            <v>61926300</v>
          </cell>
          <cell r="BO29">
            <v>0</v>
          </cell>
          <cell r="BQ29">
            <v>55809700</v>
          </cell>
          <cell r="BR29">
            <v>36000</v>
          </cell>
          <cell r="BT29">
            <v>5714180</v>
          </cell>
          <cell r="BU29">
            <v>3930</v>
          </cell>
          <cell r="BW29">
            <v>0.64</v>
          </cell>
          <cell r="BX29">
            <v>5.9999999999999942E-2</v>
          </cell>
          <cell r="BZ29">
            <v>51410</v>
          </cell>
          <cell r="CA29">
            <v>103</v>
          </cell>
          <cell r="CB29">
            <v>43306</v>
          </cell>
          <cell r="CC29">
            <v>94</v>
          </cell>
          <cell r="CD29">
            <v>14882</v>
          </cell>
          <cell r="CE29">
            <v>42</v>
          </cell>
          <cell r="CF29">
            <v>18887</v>
          </cell>
          <cell r="CG29">
            <v>54</v>
          </cell>
          <cell r="CH29">
            <v>20440</v>
          </cell>
          <cell r="CI29">
            <v>64</v>
          </cell>
          <cell r="CJ29">
            <v>46430</v>
          </cell>
          <cell r="CK29">
            <v>143</v>
          </cell>
          <cell r="CL29">
            <v>203503</v>
          </cell>
          <cell r="CM29">
            <v>89</v>
          </cell>
          <cell r="CO29">
            <v>151863</v>
          </cell>
          <cell r="CP29">
            <v>97</v>
          </cell>
          <cell r="CR29">
            <v>285145</v>
          </cell>
          <cell r="CS29">
            <v>359</v>
          </cell>
          <cell r="CU29">
            <v>541275</v>
          </cell>
          <cell r="CV29">
            <v>265</v>
          </cell>
          <cell r="CX29">
            <v>4339</v>
          </cell>
          <cell r="CY29">
            <v>0</v>
          </cell>
          <cell r="CZ29">
            <v>2122</v>
          </cell>
          <cell r="DA29">
            <v>0</v>
          </cell>
          <cell r="DB29">
            <v>22585</v>
          </cell>
          <cell r="DC29">
            <v>13</v>
          </cell>
          <cell r="DD29">
            <v>23479</v>
          </cell>
          <cell r="DE29">
            <v>16</v>
          </cell>
          <cell r="DF29">
            <v>16197</v>
          </cell>
          <cell r="DG29">
            <v>12</v>
          </cell>
          <cell r="DH29">
            <v>19255</v>
          </cell>
          <cell r="DI29">
            <v>11</v>
          </cell>
          <cell r="DJ29">
            <v>826</v>
          </cell>
          <cell r="DK29">
            <v>0</v>
          </cell>
          <cell r="DL29">
            <v>3616</v>
          </cell>
          <cell r="DM29">
            <v>0</v>
          </cell>
          <cell r="DN29">
            <v>341</v>
          </cell>
          <cell r="DO29">
            <v>7</v>
          </cell>
          <cell r="DP29">
            <v>1895</v>
          </cell>
          <cell r="DQ29">
            <v>0</v>
          </cell>
          <cell r="DR29">
            <v>22922</v>
          </cell>
          <cell r="DS29">
            <v>0</v>
          </cell>
          <cell r="DU29">
            <v>225</v>
          </cell>
          <cell r="DV29">
            <v>8</v>
          </cell>
          <cell r="DW29">
            <v>5983.7</v>
          </cell>
          <cell r="DX29">
            <v>5.0999999999994543</v>
          </cell>
          <cell r="DY29">
            <v>182</v>
          </cell>
          <cell r="DZ29">
            <v>6</v>
          </cell>
          <cell r="EA29">
            <v>254268</v>
          </cell>
          <cell r="EB29">
            <v>23</v>
          </cell>
          <cell r="EC29">
            <v>645478</v>
          </cell>
          <cell r="ED29">
            <v>518</v>
          </cell>
          <cell r="EG29">
            <v>126898</v>
          </cell>
          <cell r="EH29">
            <v>151</v>
          </cell>
          <cell r="EJ29">
            <v>8673500</v>
          </cell>
          <cell r="EK29">
            <v>2000</v>
          </cell>
          <cell r="EL29">
            <v>710790</v>
          </cell>
          <cell r="EM29">
            <v>240</v>
          </cell>
          <cell r="EN29">
            <v>5567400</v>
          </cell>
          <cell r="EO29">
            <v>1400</v>
          </cell>
          <cell r="EP29">
            <v>1994700</v>
          </cell>
          <cell r="EQ29">
            <v>0</v>
          </cell>
          <cell r="ER29">
            <v>733030</v>
          </cell>
          <cell r="ES29">
            <v>150</v>
          </cell>
          <cell r="ET29">
            <v>12300300</v>
          </cell>
          <cell r="EU29">
            <v>2700</v>
          </cell>
          <cell r="EW29">
            <v>32848</v>
          </cell>
          <cell r="EX29">
            <v>13</v>
          </cell>
          <cell r="EY29">
            <v>28271</v>
          </cell>
          <cell r="EZ29">
            <v>18</v>
          </cell>
          <cell r="FA29">
            <v>0</v>
          </cell>
          <cell r="FB29">
            <v>0</v>
          </cell>
          <cell r="FC29">
            <v>48981</v>
          </cell>
          <cell r="FD29">
            <v>0</v>
          </cell>
          <cell r="FE29">
            <v>28142</v>
          </cell>
          <cell r="FF29">
            <v>26</v>
          </cell>
        </row>
        <row r="30">
          <cell r="B30">
            <v>0.83</v>
          </cell>
          <cell r="E30">
            <v>710388</v>
          </cell>
          <cell r="F30">
            <v>521</v>
          </cell>
          <cell r="G30">
            <v>433</v>
          </cell>
          <cell r="H30">
            <v>811594</v>
          </cell>
          <cell r="I30">
            <v>434</v>
          </cell>
          <cell r="J30">
            <v>402</v>
          </cell>
          <cell r="K30">
            <v>108207</v>
          </cell>
          <cell r="L30">
            <v>147</v>
          </cell>
          <cell r="N30">
            <v>718735</v>
          </cell>
          <cell r="O30">
            <v>208</v>
          </cell>
          <cell r="Q30">
            <v>163777</v>
          </cell>
          <cell r="R30">
            <v>0</v>
          </cell>
          <cell r="S30">
            <v>141982</v>
          </cell>
          <cell r="T30">
            <v>38</v>
          </cell>
          <cell r="U30">
            <v>50</v>
          </cell>
          <cell r="V30">
            <v>42</v>
          </cell>
          <cell r="W30">
            <v>9</v>
          </cell>
          <cell r="AC30">
            <v>6287754.4799999995</v>
          </cell>
          <cell r="AD30">
            <v>1851.359999999404</v>
          </cell>
          <cell r="AF30">
            <v>12280217.040000001</v>
          </cell>
          <cell r="AG30">
            <v>4482.2400000020862</v>
          </cell>
          <cell r="AI30">
            <v>11579818.319999998</v>
          </cell>
          <cell r="AJ30">
            <v>974.39999999850988</v>
          </cell>
          <cell r="AL30">
            <v>14891852.640000001</v>
          </cell>
          <cell r="AM30">
            <v>97.440000001341105</v>
          </cell>
          <cell r="AO30">
            <v>15066757.439999999</v>
          </cell>
          <cell r="AP30">
            <v>8087.5200000014156</v>
          </cell>
          <cell r="AR30">
            <v>13769197.68</v>
          </cell>
          <cell r="AS30">
            <v>5456.640000000596</v>
          </cell>
          <cell r="AU30">
            <v>11771190.48</v>
          </cell>
          <cell r="AV30">
            <v>4092.480000000447</v>
          </cell>
          <cell r="AX30">
            <v>11368958.16</v>
          </cell>
          <cell r="AY30">
            <v>3848.8799999989569</v>
          </cell>
          <cell r="BA30">
            <v>9100067.7599999998</v>
          </cell>
          <cell r="BB30">
            <v>3166.8000000007451</v>
          </cell>
          <cell r="BD30">
            <v>13765105.199999999</v>
          </cell>
          <cell r="BE30">
            <v>5456.640000000596</v>
          </cell>
          <cell r="BK30">
            <v>57868700</v>
          </cell>
          <cell r="BL30">
            <v>0</v>
          </cell>
          <cell r="BN30">
            <v>61926300</v>
          </cell>
          <cell r="BO30">
            <v>0</v>
          </cell>
          <cell r="BQ30">
            <v>55846500</v>
          </cell>
          <cell r="BR30">
            <v>36800</v>
          </cell>
          <cell r="BT30">
            <v>5718860</v>
          </cell>
          <cell r="BU30">
            <v>4680</v>
          </cell>
          <cell r="BW30">
            <v>0.55000000000000004</v>
          </cell>
          <cell r="BX30">
            <v>8.9999999999999969E-2</v>
          </cell>
          <cell r="BZ30">
            <v>51425</v>
          </cell>
          <cell r="CA30">
            <v>15</v>
          </cell>
          <cell r="CB30">
            <v>43323</v>
          </cell>
          <cell r="CC30">
            <v>17</v>
          </cell>
          <cell r="CD30">
            <v>14889</v>
          </cell>
          <cell r="CE30">
            <v>7</v>
          </cell>
          <cell r="CF30">
            <v>18896</v>
          </cell>
          <cell r="CG30">
            <v>9</v>
          </cell>
          <cell r="CH30">
            <v>20451</v>
          </cell>
          <cell r="CI30">
            <v>11</v>
          </cell>
          <cell r="CJ30">
            <v>46453</v>
          </cell>
          <cell r="CK30">
            <v>23</v>
          </cell>
          <cell r="CL30">
            <v>203591</v>
          </cell>
          <cell r="CM30">
            <v>88</v>
          </cell>
          <cell r="CO30">
            <v>151959</v>
          </cell>
          <cell r="CP30">
            <v>96</v>
          </cell>
          <cell r="CR30">
            <v>285589</v>
          </cell>
          <cell r="CS30">
            <v>444</v>
          </cell>
          <cell r="CU30">
            <v>541534</v>
          </cell>
          <cell r="CV30">
            <v>259</v>
          </cell>
          <cell r="CX30">
            <v>4339</v>
          </cell>
          <cell r="CY30">
            <v>0</v>
          </cell>
          <cell r="CZ30">
            <v>2122</v>
          </cell>
          <cell r="DA30">
            <v>0</v>
          </cell>
          <cell r="DB30">
            <v>22601</v>
          </cell>
          <cell r="DC30">
            <v>16</v>
          </cell>
          <cell r="DD30">
            <v>23490</v>
          </cell>
          <cell r="DE30">
            <v>11</v>
          </cell>
          <cell r="DF30">
            <v>16211</v>
          </cell>
          <cell r="DG30">
            <v>14</v>
          </cell>
          <cell r="DH30">
            <v>19266</v>
          </cell>
          <cell r="DI30">
            <v>11</v>
          </cell>
          <cell r="DJ30">
            <v>826</v>
          </cell>
          <cell r="DK30">
            <v>0</v>
          </cell>
          <cell r="DL30">
            <v>3616</v>
          </cell>
          <cell r="DM30">
            <v>0</v>
          </cell>
          <cell r="DN30">
            <v>349</v>
          </cell>
          <cell r="DO30">
            <v>8</v>
          </cell>
          <cell r="DP30">
            <v>1897</v>
          </cell>
          <cell r="DQ30">
            <v>2</v>
          </cell>
          <cell r="DR30">
            <v>22922</v>
          </cell>
          <cell r="DS30">
            <v>0</v>
          </cell>
          <cell r="DU30">
            <v>233</v>
          </cell>
          <cell r="DV30">
            <v>8</v>
          </cell>
          <cell r="DW30">
            <v>5988.7</v>
          </cell>
          <cell r="DX30">
            <v>5</v>
          </cell>
          <cell r="DY30">
            <v>189.1</v>
          </cell>
          <cell r="DZ30">
            <v>7.0999999999999943</v>
          </cell>
          <cell r="EA30">
            <v>254290</v>
          </cell>
          <cell r="EB30">
            <v>22</v>
          </cell>
          <cell r="EC30">
            <v>646008</v>
          </cell>
          <cell r="ED30">
            <v>530</v>
          </cell>
          <cell r="EG30">
            <v>127052</v>
          </cell>
          <cell r="EH30">
            <v>154</v>
          </cell>
          <cell r="EJ30">
            <v>8675400</v>
          </cell>
          <cell r="EK30">
            <v>1900</v>
          </cell>
          <cell r="EL30">
            <v>711020</v>
          </cell>
          <cell r="EM30">
            <v>230</v>
          </cell>
          <cell r="EN30">
            <v>5568600</v>
          </cell>
          <cell r="EO30">
            <v>1200</v>
          </cell>
          <cell r="EP30">
            <v>1994700</v>
          </cell>
          <cell r="EQ30">
            <v>0</v>
          </cell>
          <cell r="ER30">
            <v>733180</v>
          </cell>
          <cell r="ES30">
            <v>150</v>
          </cell>
          <cell r="ET30">
            <v>12302600</v>
          </cell>
          <cell r="EU30">
            <v>2300</v>
          </cell>
          <cell r="EW30">
            <v>32859</v>
          </cell>
          <cell r="EX30">
            <v>11</v>
          </cell>
          <cell r="EY30">
            <v>28289</v>
          </cell>
          <cell r="EZ30">
            <v>18</v>
          </cell>
          <cell r="FA30">
            <v>0</v>
          </cell>
          <cell r="FB30">
            <v>0</v>
          </cell>
          <cell r="FC30">
            <v>48981</v>
          </cell>
          <cell r="FD30">
            <v>0</v>
          </cell>
          <cell r="FE30">
            <v>28169</v>
          </cell>
          <cell r="FF30">
            <v>27</v>
          </cell>
        </row>
        <row r="31">
          <cell r="B31">
            <v>0.92</v>
          </cell>
          <cell r="E31">
            <v>710911</v>
          </cell>
          <cell r="F31">
            <v>523</v>
          </cell>
          <cell r="G31">
            <v>528</v>
          </cell>
          <cell r="H31">
            <v>812051</v>
          </cell>
          <cell r="I31">
            <v>457</v>
          </cell>
          <cell r="J31">
            <v>436</v>
          </cell>
          <cell r="K31">
            <v>108374</v>
          </cell>
          <cell r="L31">
            <v>167</v>
          </cell>
          <cell r="N31">
            <v>718893</v>
          </cell>
          <cell r="O31">
            <v>158</v>
          </cell>
          <cell r="Q31">
            <v>163777</v>
          </cell>
          <cell r="R31">
            <v>0</v>
          </cell>
          <cell r="S31">
            <v>141998</v>
          </cell>
          <cell r="T31">
            <v>16</v>
          </cell>
          <cell r="U31">
            <v>66</v>
          </cell>
          <cell r="V31">
            <v>53</v>
          </cell>
          <cell r="W31">
            <v>11</v>
          </cell>
          <cell r="AC31">
            <v>6289654.5599999996</v>
          </cell>
          <cell r="AD31">
            <v>1900.0800000000745</v>
          </cell>
          <cell r="AF31">
            <v>12284601.84</v>
          </cell>
          <cell r="AG31">
            <v>4384.7999999988824</v>
          </cell>
          <cell r="AI31">
            <v>11579915.76</v>
          </cell>
          <cell r="AJ31">
            <v>97.440000001341105</v>
          </cell>
          <cell r="AL31">
            <v>14891852.640000001</v>
          </cell>
          <cell r="AM31">
            <v>0</v>
          </cell>
          <cell r="AO31">
            <v>15074942.4</v>
          </cell>
          <cell r="AP31">
            <v>8184.9600000008941</v>
          </cell>
          <cell r="AR31">
            <v>13774556.880000001</v>
          </cell>
          <cell r="AS31">
            <v>5359.2000000011176</v>
          </cell>
          <cell r="AU31">
            <v>11775234.24</v>
          </cell>
          <cell r="AV31">
            <v>4043.7599999997765</v>
          </cell>
          <cell r="AX31">
            <v>11373050.640000001</v>
          </cell>
          <cell r="AY31">
            <v>4092.480000000447</v>
          </cell>
          <cell r="BA31">
            <v>9103185.8399999999</v>
          </cell>
          <cell r="BB31">
            <v>3118.0800000000745</v>
          </cell>
          <cell r="BD31">
            <v>13770415.68</v>
          </cell>
          <cell r="BE31">
            <v>5310.480000000447</v>
          </cell>
          <cell r="BK31">
            <v>57868700</v>
          </cell>
          <cell r="BL31">
            <v>0</v>
          </cell>
          <cell r="BN31">
            <v>61926300</v>
          </cell>
          <cell r="BO31">
            <v>0</v>
          </cell>
          <cell r="BQ31">
            <v>55877200</v>
          </cell>
          <cell r="BR31">
            <v>30700</v>
          </cell>
          <cell r="BT31">
            <v>5723970</v>
          </cell>
          <cell r="BU31">
            <v>5110</v>
          </cell>
          <cell r="BW31">
            <v>0.63</v>
          </cell>
          <cell r="BX31">
            <v>-7.999999999999996E-2</v>
          </cell>
          <cell r="BZ31"/>
          <cell r="CA31">
            <v>-51425</v>
          </cell>
          <cell r="CB31"/>
          <cell r="CC31">
            <v>-43323</v>
          </cell>
          <cell r="CD31"/>
          <cell r="CE31">
            <v>-14889</v>
          </cell>
          <cell r="CF31"/>
          <cell r="CG31">
            <v>-18896</v>
          </cell>
          <cell r="CH31"/>
          <cell r="CI31">
            <v>-20451</v>
          </cell>
          <cell r="CJ31"/>
          <cell r="CK31">
            <v>-46453</v>
          </cell>
          <cell r="CL31">
            <v>203681</v>
          </cell>
          <cell r="CM31">
            <v>90</v>
          </cell>
          <cell r="CO31">
            <v>152057</v>
          </cell>
          <cell r="CP31">
            <v>98</v>
          </cell>
          <cell r="CR31">
            <v>286055</v>
          </cell>
          <cell r="CS31">
            <v>466</v>
          </cell>
          <cell r="CU31">
            <v>541797</v>
          </cell>
          <cell r="CV31">
            <v>263</v>
          </cell>
          <cell r="CX31">
            <v>4367</v>
          </cell>
          <cell r="CY31">
            <v>28</v>
          </cell>
          <cell r="CZ31">
            <v>2141</v>
          </cell>
          <cell r="DA31">
            <v>19</v>
          </cell>
          <cell r="DB31">
            <v>22616</v>
          </cell>
          <cell r="DC31">
            <v>15</v>
          </cell>
          <cell r="DD31">
            <v>23506</v>
          </cell>
          <cell r="DE31">
            <v>16</v>
          </cell>
          <cell r="DF31">
            <v>16224</v>
          </cell>
          <cell r="DG31">
            <v>13</v>
          </cell>
          <cell r="DH31">
            <v>19278</v>
          </cell>
          <cell r="DI31">
            <v>12</v>
          </cell>
          <cell r="DJ31">
            <v>826</v>
          </cell>
          <cell r="DK31">
            <v>0</v>
          </cell>
          <cell r="DL31">
            <v>3616</v>
          </cell>
          <cell r="DM31">
            <v>0</v>
          </cell>
          <cell r="DN31">
            <v>357</v>
          </cell>
          <cell r="DO31">
            <v>8</v>
          </cell>
          <cell r="DP31">
            <v>1898</v>
          </cell>
          <cell r="DQ31">
            <v>1</v>
          </cell>
          <cell r="DR31">
            <v>22922</v>
          </cell>
          <cell r="DS31">
            <v>0</v>
          </cell>
          <cell r="DU31">
            <v>242.4</v>
          </cell>
          <cell r="DV31">
            <v>9.4000000000000057</v>
          </cell>
          <cell r="DW31">
            <v>5993.6</v>
          </cell>
          <cell r="DX31">
            <v>4.9000000000005457</v>
          </cell>
          <cell r="DY31">
            <v>195.6</v>
          </cell>
          <cell r="DZ31">
            <v>6.5</v>
          </cell>
          <cell r="EA31">
            <v>254305</v>
          </cell>
          <cell r="EB31">
            <v>15</v>
          </cell>
          <cell r="EC31">
            <v>646492</v>
          </cell>
          <cell r="ED31">
            <v>484</v>
          </cell>
          <cell r="EG31">
            <v>127204</v>
          </cell>
          <cell r="EH31">
            <v>152</v>
          </cell>
          <cell r="EJ31">
            <v>8677000</v>
          </cell>
          <cell r="EK31">
            <v>1600</v>
          </cell>
          <cell r="EL31">
            <v>711250</v>
          </cell>
          <cell r="EM31">
            <v>230</v>
          </cell>
          <cell r="EN31">
            <v>5569600</v>
          </cell>
          <cell r="EO31">
            <v>1000</v>
          </cell>
          <cell r="EP31">
            <v>1994700</v>
          </cell>
          <cell r="EQ31">
            <v>0</v>
          </cell>
          <cell r="ER31">
            <v>733330</v>
          </cell>
          <cell r="ES31">
            <v>150</v>
          </cell>
          <cell r="ET31">
            <v>12304200</v>
          </cell>
          <cell r="EU31">
            <v>1600</v>
          </cell>
          <cell r="EW31">
            <v>32869</v>
          </cell>
          <cell r="EX31">
            <v>10</v>
          </cell>
          <cell r="EY31">
            <v>28306</v>
          </cell>
          <cell r="EZ31">
            <v>17</v>
          </cell>
          <cell r="FA31">
            <v>0</v>
          </cell>
          <cell r="FB31">
            <v>0</v>
          </cell>
          <cell r="FC31">
            <v>49028</v>
          </cell>
          <cell r="FD31">
            <v>47</v>
          </cell>
          <cell r="FE31">
            <v>28200</v>
          </cell>
          <cell r="FF31">
            <v>31</v>
          </cell>
        </row>
        <row r="32">
          <cell r="B32"/>
          <cell r="E32"/>
          <cell r="F32">
            <v>-710911</v>
          </cell>
          <cell r="G32">
            <v>562</v>
          </cell>
          <cell r="H32"/>
          <cell r="I32">
            <v>-812051</v>
          </cell>
          <cell r="J32">
            <v>458</v>
          </cell>
          <cell r="K32"/>
          <cell r="L32">
            <v>-108374</v>
          </cell>
          <cell r="N32"/>
          <cell r="O32">
            <v>-718893</v>
          </cell>
          <cell r="Q32"/>
          <cell r="R32">
            <v>-163777</v>
          </cell>
          <cell r="S32"/>
          <cell r="T32">
            <v>-141998</v>
          </cell>
          <cell r="U32">
            <v>83</v>
          </cell>
          <cell r="V32"/>
          <cell r="W32">
            <v>-53</v>
          </cell>
          <cell r="AC32"/>
          <cell r="AD32">
            <v>-6289654.5599999996</v>
          </cell>
          <cell r="AF32"/>
          <cell r="AG32">
            <v>-12284601.84</v>
          </cell>
          <cell r="AI32"/>
          <cell r="AJ32">
            <v>-11579915.76</v>
          </cell>
          <cell r="AL32"/>
          <cell r="AM32">
            <v>-14891852.640000001</v>
          </cell>
          <cell r="AO32"/>
          <cell r="AP32">
            <v>-15074942.4</v>
          </cell>
          <cell r="AR32"/>
          <cell r="AS32">
            <v>-13774556.880000001</v>
          </cell>
          <cell r="AU32"/>
          <cell r="AV32">
            <v>-11775234.24</v>
          </cell>
          <cell r="AX32"/>
          <cell r="AY32">
            <v>-11373050.640000001</v>
          </cell>
          <cell r="BA32"/>
          <cell r="BB32">
            <v>-9103185.8399999999</v>
          </cell>
          <cell r="BD32"/>
          <cell r="BE32">
            <v>-13770415.68</v>
          </cell>
          <cell r="BK32"/>
          <cell r="BL32">
            <v>-57868700</v>
          </cell>
          <cell r="BN32"/>
          <cell r="BO32">
            <v>-61926300</v>
          </cell>
          <cell r="BQ32"/>
          <cell r="BR32">
            <v>-55877200</v>
          </cell>
          <cell r="BT32"/>
          <cell r="BU32">
            <v>-5723970</v>
          </cell>
          <cell r="BW32"/>
          <cell r="BX32">
            <v>0.63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-203681</v>
          </cell>
          <cell r="CO32"/>
          <cell r="CP32">
            <v>-152057</v>
          </cell>
          <cell r="CR32"/>
          <cell r="CS32">
            <v>-286055</v>
          </cell>
          <cell r="CU32"/>
          <cell r="CV32">
            <v>-541797</v>
          </cell>
          <cell r="CX32"/>
          <cell r="CY32">
            <v>-4367</v>
          </cell>
          <cell r="CZ32"/>
          <cell r="DA32">
            <v>-2141</v>
          </cell>
          <cell r="DB32"/>
          <cell r="DC32">
            <v>-22616</v>
          </cell>
          <cell r="DD32"/>
          <cell r="DE32">
            <v>-23506</v>
          </cell>
          <cell r="DF32"/>
          <cell r="DG32">
            <v>-16224</v>
          </cell>
          <cell r="DH32"/>
          <cell r="DI32">
            <v>-19278</v>
          </cell>
          <cell r="DJ32">
            <v>826</v>
          </cell>
          <cell r="DK32">
            <v>0</v>
          </cell>
          <cell r="DL32"/>
          <cell r="DM32">
            <v>-3616</v>
          </cell>
          <cell r="DN32"/>
          <cell r="DO32">
            <v>-357</v>
          </cell>
          <cell r="DP32"/>
          <cell r="DQ32">
            <v>-1898</v>
          </cell>
          <cell r="DR32"/>
          <cell r="DS32">
            <v>-22922</v>
          </cell>
          <cell r="DU32"/>
          <cell r="DV32">
            <v>-242.4</v>
          </cell>
          <cell r="DW32"/>
          <cell r="DX32">
            <v>-5993.6</v>
          </cell>
          <cell r="DY32"/>
          <cell r="DZ32">
            <v>-195.6</v>
          </cell>
          <cell r="EA32"/>
          <cell r="EB32">
            <v>-254305</v>
          </cell>
          <cell r="EC32"/>
          <cell r="ED32">
            <v>-646492</v>
          </cell>
          <cell r="EG32"/>
          <cell r="EH32">
            <v>-127204</v>
          </cell>
          <cell r="EJ32"/>
          <cell r="EK32">
            <v>-8677000</v>
          </cell>
          <cell r="EL32"/>
          <cell r="EM32">
            <v>-711250</v>
          </cell>
          <cell r="EN32"/>
          <cell r="EO32">
            <v>-5569600</v>
          </cell>
          <cell r="EP32"/>
          <cell r="EQ32">
            <v>-1994700</v>
          </cell>
          <cell r="ER32"/>
          <cell r="ES32">
            <v>-733330</v>
          </cell>
          <cell r="ET32"/>
          <cell r="EU32">
            <v>-12304200</v>
          </cell>
          <cell r="EW32"/>
          <cell r="EX32">
            <v>-32869</v>
          </cell>
          <cell r="EY32"/>
          <cell r="EZ32">
            <v>-28306</v>
          </cell>
          <cell r="FA32">
            <v>0</v>
          </cell>
          <cell r="FB32">
            <v>0</v>
          </cell>
          <cell r="FC32"/>
          <cell r="FD32">
            <v>-49028</v>
          </cell>
          <cell r="FE32"/>
          <cell r="FF32">
            <v>-28200</v>
          </cell>
        </row>
        <row r="33">
          <cell r="B33"/>
          <cell r="E33"/>
          <cell r="F33">
            <v>0</v>
          </cell>
          <cell r="G33">
            <v>578</v>
          </cell>
          <cell r="H33"/>
          <cell r="I33">
            <v>0</v>
          </cell>
          <cell r="J33">
            <v>503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62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>
            <v>826</v>
          </cell>
          <cell r="DK33">
            <v>0</v>
          </cell>
          <cell r="DL33"/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508</v>
          </cell>
          <cell r="H34"/>
          <cell r="I34">
            <v>0</v>
          </cell>
          <cell r="J34">
            <v>452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71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>
            <v>826</v>
          </cell>
          <cell r="DK34">
            <v>0</v>
          </cell>
          <cell r="DL34"/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513</v>
          </cell>
          <cell r="H35"/>
          <cell r="I35">
            <v>0</v>
          </cell>
          <cell r="J35">
            <v>413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0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>
            <v>826</v>
          </cell>
          <cell r="DK35">
            <v>0</v>
          </cell>
          <cell r="DL35"/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464</v>
          </cell>
          <cell r="H36"/>
          <cell r="I36">
            <v>0</v>
          </cell>
          <cell r="J36">
            <v>433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96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>
            <v>826</v>
          </cell>
          <cell r="DK36">
            <v>0</v>
          </cell>
          <cell r="DL36"/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494</v>
          </cell>
          <cell r="H37"/>
          <cell r="I37">
            <v>0</v>
          </cell>
          <cell r="J37">
            <v>424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49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>
            <v>826</v>
          </cell>
          <cell r="DK37">
            <v>0</v>
          </cell>
          <cell r="DL37"/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>
            <v>530</v>
          </cell>
          <cell r="H38"/>
          <cell r="I38">
            <v>0</v>
          </cell>
          <cell r="J38">
            <v>427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56</v>
          </cell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>
            <v>826</v>
          </cell>
          <cell r="DK38">
            <v>0</v>
          </cell>
          <cell r="DL38"/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>
            <v>0</v>
          </cell>
          <cell r="FB38">
            <v>0</v>
          </cell>
          <cell r="FC38"/>
          <cell r="FD38">
            <v>0</v>
          </cell>
          <cell r="FE38"/>
          <cell r="FF38">
            <v>0</v>
          </cell>
        </row>
        <row r="39">
          <cell r="B39"/>
          <cell r="E39"/>
          <cell r="F39">
            <v>0</v>
          </cell>
          <cell r="G39">
            <v>523</v>
          </cell>
          <cell r="H39"/>
          <cell r="I39">
            <v>0</v>
          </cell>
          <cell r="J39">
            <v>477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55</v>
          </cell>
          <cell r="V39"/>
          <cell r="W39">
            <v>0</v>
          </cell>
          <cell r="AC39"/>
          <cell r="AD39">
            <v>0</v>
          </cell>
          <cell r="AF39"/>
          <cell r="AG39">
            <v>0</v>
          </cell>
          <cell r="AI39"/>
          <cell r="AJ39">
            <v>0</v>
          </cell>
          <cell r="AL39"/>
          <cell r="AM39">
            <v>0</v>
          </cell>
          <cell r="AO39"/>
          <cell r="AP39">
            <v>0</v>
          </cell>
          <cell r="AR39"/>
          <cell r="AS39">
            <v>0</v>
          </cell>
          <cell r="AU39"/>
          <cell r="AV39">
            <v>0</v>
          </cell>
          <cell r="AX39"/>
          <cell r="AY39">
            <v>0</v>
          </cell>
          <cell r="BA39"/>
          <cell r="BB39">
            <v>0</v>
          </cell>
          <cell r="BD39"/>
          <cell r="BE39">
            <v>0</v>
          </cell>
          <cell r="BK39"/>
          <cell r="BL39">
            <v>0</v>
          </cell>
          <cell r="BN39"/>
          <cell r="BO39">
            <v>0</v>
          </cell>
          <cell r="BQ39"/>
          <cell r="BR39">
            <v>0</v>
          </cell>
          <cell r="BT39"/>
          <cell r="BU39">
            <v>0</v>
          </cell>
          <cell r="BW39"/>
          <cell r="BX39">
            <v>0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O39"/>
          <cell r="CP39">
            <v>0</v>
          </cell>
          <cell r="CR39"/>
          <cell r="CS39">
            <v>0</v>
          </cell>
          <cell r="CU39"/>
          <cell r="CV39">
            <v>0</v>
          </cell>
          <cell r="CX39"/>
          <cell r="CY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>
            <v>826</v>
          </cell>
          <cell r="DK39">
            <v>0</v>
          </cell>
          <cell r="DL39"/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U39"/>
          <cell r="DV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G39"/>
          <cell r="EH39">
            <v>0</v>
          </cell>
          <cell r="EJ39"/>
          <cell r="EK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W39"/>
          <cell r="EX39">
            <v>0</v>
          </cell>
          <cell r="EY39"/>
          <cell r="EZ39"/>
          <cell r="FA39">
            <v>0</v>
          </cell>
          <cell r="FB39">
            <v>0</v>
          </cell>
          <cell r="FC39"/>
          <cell r="FD39">
            <v>0</v>
          </cell>
          <cell r="FE39"/>
          <cell r="FF39">
            <v>0</v>
          </cell>
        </row>
        <row r="40">
          <cell r="B40"/>
          <cell r="E40"/>
          <cell r="F40">
            <v>0</v>
          </cell>
          <cell r="G40">
            <v>559</v>
          </cell>
          <cell r="H40"/>
          <cell r="I40">
            <v>0</v>
          </cell>
          <cell r="J40">
            <v>462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S40"/>
          <cell r="T40">
            <v>0</v>
          </cell>
          <cell r="U40">
            <v>109</v>
          </cell>
          <cell r="V40"/>
          <cell r="W40">
            <v>0</v>
          </cell>
          <cell r="AC40"/>
          <cell r="AD40">
            <v>0</v>
          </cell>
          <cell r="AF40"/>
          <cell r="AG40">
            <v>0</v>
          </cell>
          <cell r="AI40"/>
          <cell r="AJ40">
            <v>0</v>
          </cell>
          <cell r="AL40"/>
          <cell r="AM40">
            <v>0</v>
          </cell>
          <cell r="AO40"/>
          <cell r="AP40">
            <v>0</v>
          </cell>
          <cell r="AR40"/>
          <cell r="AS40">
            <v>0</v>
          </cell>
          <cell r="AU40"/>
          <cell r="AV40">
            <v>0</v>
          </cell>
          <cell r="AX40"/>
          <cell r="AY40">
            <v>0</v>
          </cell>
          <cell r="BA40"/>
          <cell r="BB40">
            <v>0</v>
          </cell>
          <cell r="BD40"/>
          <cell r="BE40">
            <v>0</v>
          </cell>
          <cell r="BK40"/>
          <cell r="BL40">
            <v>0</v>
          </cell>
          <cell r="BN40"/>
          <cell r="BO40">
            <v>0</v>
          </cell>
          <cell r="BQ40"/>
          <cell r="BR40">
            <v>0</v>
          </cell>
          <cell r="BT40"/>
          <cell r="BU40">
            <v>0</v>
          </cell>
          <cell r="BW40"/>
          <cell r="BX40">
            <v>0</v>
          </cell>
          <cell r="BZ40"/>
          <cell r="CA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O40"/>
          <cell r="CP40">
            <v>0</v>
          </cell>
          <cell r="CR40"/>
          <cell r="CS40">
            <v>0</v>
          </cell>
          <cell r="CU40"/>
          <cell r="CV40">
            <v>0</v>
          </cell>
          <cell r="CX40"/>
          <cell r="CY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>
            <v>826</v>
          </cell>
          <cell r="DK40">
            <v>0</v>
          </cell>
          <cell r="DL40"/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U40"/>
          <cell r="DV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G40"/>
          <cell r="EH40">
            <v>0</v>
          </cell>
          <cell r="EJ40"/>
          <cell r="EK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W40"/>
          <cell r="EX40">
            <v>0</v>
          </cell>
          <cell r="EY40"/>
          <cell r="EZ40"/>
          <cell r="FA40">
            <v>0</v>
          </cell>
          <cell r="FB40">
            <v>0</v>
          </cell>
          <cell r="FC40"/>
          <cell r="FD40">
            <v>0</v>
          </cell>
          <cell r="FE40"/>
          <cell r="FF40">
            <v>0</v>
          </cell>
        </row>
      </sheetData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E12" sqref="E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2021</v>
      </c>
      <c r="E2" s="3">
        <f>Submetering!M2+Submetering!N2+Submetering!O2+Submetering!P2+Submetering!Q2+Submetering!R2+Submetering!S2+Submetering!T2+Submetering!U2+Submetering!V2</f>
        <v>38586.239999999292</v>
      </c>
      <c r="F2">
        <v>0.44447999999999999</v>
      </c>
      <c r="G2" s="3">
        <f>Submetering!Z2+Submetering!AA2+Submetering!AB2</f>
        <v>975.2399999999999</v>
      </c>
      <c r="H2" s="238">
        <f>1.39/0.52</f>
        <v>2.6730769230769229</v>
      </c>
      <c r="I2" s="3">
        <f>Submetering!G2</f>
        <v>568</v>
      </c>
      <c r="J2">
        <v>13.83</v>
      </c>
      <c r="K2" s="3">
        <f>Submetering!I2</f>
        <v>157</v>
      </c>
      <c r="L2">
        <v>1.2</v>
      </c>
      <c r="M2" s="238">
        <f>Submetering!E2</f>
        <v>210.93</v>
      </c>
      <c r="N2">
        <f>Submetering!F2</f>
        <v>457</v>
      </c>
    </row>
    <row r="3" spans="1:14" x14ac:dyDescent="0.25">
      <c r="A3" t="s">
        <v>59</v>
      </c>
      <c r="B3">
        <f>B2+1</f>
        <v>2</v>
      </c>
      <c r="C3">
        <v>1</v>
      </c>
      <c r="D3">
        <v>2021</v>
      </c>
      <c r="E3" s="3">
        <f>Submetering!M3+Submetering!N3+Submetering!O3+Submetering!P3+Submetering!Q3+Submetering!R3+Submetering!S3+Submetering!T3+Submetering!U3+Submetering!V3</f>
        <v>38147.759999997914</v>
      </c>
      <c r="F3">
        <v>0.44447999999999999</v>
      </c>
      <c r="G3" s="3">
        <f>Submetering!Z3+Submetering!AA3+Submetering!AB3</f>
        <v>1013.04</v>
      </c>
      <c r="H3" s="238">
        <f t="shared" ref="H3:H32" si="0">1.39/0.52</f>
        <v>2.6730769230769229</v>
      </c>
      <c r="I3" s="3">
        <f>Submetering!G3</f>
        <v>543</v>
      </c>
      <c r="J3">
        <v>13.83</v>
      </c>
      <c r="K3" s="3">
        <f>Submetering!I3</f>
        <v>194</v>
      </c>
      <c r="L3">
        <v>1.2</v>
      </c>
      <c r="M3" s="238">
        <f>Submetering!E3</f>
        <v>206.19</v>
      </c>
      <c r="N3">
        <f>Submetering!F3</f>
        <v>446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2021</v>
      </c>
      <c r="E4" s="3">
        <f>Submetering!M4+Submetering!N4+Submetering!O4+Submetering!P4+Submetering!Q4+Submetering!R4+Submetering!S4+Submetering!T4+Submetering!U4+Submetering!V4</f>
        <v>36504.480000001378</v>
      </c>
      <c r="F4">
        <v>0.44447999999999999</v>
      </c>
      <c r="G4" s="3">
        <f>Submetering!Z4+Submetering!AA4+Submetering!AB4</f>
        <v>1056.51</v>
      </c>
      <c r="H4" s="238">
        <f t="shared" si="0"/>
        <v>2.6730769230769229</v>
      </c>
      <c r="I4" s="3">
        <f>Submetering!G4</f>
        <v>513</v>
      </c>
      <c r="J4">
        <v>13.83</v>
      </c>
      <c r="K4" s="3">
        <f>Submetering!I4</f>
        <v>173</v>
      </c>
      <c r="L4">
        <v>1.2</v>
      </c>
      <c r="M4" s="238">
        <f>Submetering!E4</f>
        <v>199.07999999999998</v>
      </c>
      <c r="N4">
        <f>Submetering!F4</f>
        <v>425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2021</v>
      </c>
      <c r="E5" s="3">
        <f>Submetering!M5+Submetering!N5+Submetering!O5+Submetering!P5+Submetering!Q5+Submetering!R5+Submetering!S5+Submetering!T5+Submetering!U5+Submetering!V5</f>
        <v>36331.9199999962</v>
      </c>
      <c r="F5">
        <v>0.44447999999999999</v>
      </c>
      <c r="G5" s="3">
        <f>Submetering!Z5+Submetering!AA5+Submetering!AB5</f>
        <v>1090.53</v>
      </c>
      <c r="H5" s="238">
        <f t="shared" si="0"/>
        <v>2.6730769230769229</v>
      </c>
      <c r="I5" s="3">
        <f>Submetering!G5</f>
        <v>554</v>
      </c>
      <c r="J5">
        <v>13.83</v>
      </c>
      <c r="K5" s="3">
        <f>Submetering!I5</f>
        <v>185</v>
      </c>
      <c r="L5">
        <v>1.2</v>
      </c>
      <c r="M5" s="238">
        <f>Submetering!E5</f>
        <v>189.60000000000002</v>
      </c>
      <c r="N5">
        <f>Submetering!F5</f>
        <v>392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2021</v>
      </c>
      <c r="E6" s="3">
        <f>Submetering!M6+Submetering!N6+Submetering!O6+Submetering!P6+Submetering!Q6+Submetering!R6+Submetering!S6+Submetering!T6+Submetering!U6+Submetering!V6</f>
        <v>35857.920000005513</v>
      </c>
      <c r="F6">
        <v>0.44447999999999999</v>
      </c>
      <c r="G6" s="3">
        <f>Submetering!Z6+Submetering!AA6+Submetering!AB6</f>
        <v>1075.4099999999999</v>
      </c>
      <c r="H6" s="238">
        <f t="shared" si="0"/>
        <v>2.6730769230769229</v>
      </c>
      <c r="I6" s="3">
        <f>Submetering!G6</f>
        <v>506</v>
      </c>
      <c r="J6">
        <v>13.83</v>
      </c>
      <c r="K6" s="3">
        <f>Submetering!I6</f>
        <v>180</v>
      </c>
      <c r="L6">
        <v>1.2</v>
      </c>
      <c r="M6" s="238">
        <f>Submetering!E6</f>
        <v>187.23000000000002</v>
      </c>
      <c r="N6">
        <f>Submetering!F6</f>
        <v>369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2021</v>
      </c>
      <c r="E7" s="3">
        <f>Submetering!M7+Submetering!N7+Submetering!O7+Submetering!P7+Submetering!Q7+Submetering!R7+Submetering!S7+Submetering!T7+Submetering!U7+Submetering!V7</f>
        <v>36929.75999999512</v>
      </c>
      <c r="F7">
        <v>0.44447999999999999</v>
      </c>
      <c r="G7" s="3">
        <f>Submetering!Z7+Submetering!AA7+Submetering!AB7</f>
        <v>1062.1799999999998</v>
      </c>
      <c r="H7" s="238">
        <f t="shared" si="0"/>
        <v>2.6730769230769229</v>
      </c>
      <c r="I7" s="3">
        <f>Submetering!G7</f>
        <v>522</v>
      </c>
      <c r="J7">
        <v>13.83</v>
      </c>
      <c r="K7" s="3">
        <f>Submetering!I7</f>
        <v>204</v>
      </c>
      <c r="L7">
        <v>1.2</v>
      </c>
      <c r="M7" s="238">
        <f>Submetering!E7</f>
        <v>213.3</v>
      </c>
      <c r="N7">
        <f>Submetering!F7</f>
        <v>429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2021</v>
      </c>
      <c r="E8" s="275">
        <f>Submetering!M8+Submetering!N8+Submetering!O8+Submetering!P8+Submetering!Q8+Submetering!R8+Submetering!S8+Submetering!T8+Submetering!U8+Submetering!V8</f>
        <v>37075.919999998994</v>
      </c>
      <c r="F8" s="276">
        <v>0.44447999999999999</v>
      </c>
      <c r="G8" s="275">
        <f>Submetering!Z8+Submetering!AA8+Submetering!AB8</f>
        <v>1103.76</v>
      </c>
      <c r="H8" s="238">
        <f t="shared" si="0"/>
        <v>2.6730769230769229</v>
      </c>
      <c r="I8" s="275">
        <f>Submetering!G8</f>
        <v>538</v>
      </c>
      <c r="J8" s="276">
        <v>13.83</v>
      </c>
      <c r="K8" s="275">
        <f>Submetering!I8</f>
        <v>170</v>
      </c>
      <c r="L8" s="276">
        <v>1.2</v>
      </c>
      <c r="M8" s="277">
        <f>Submetering!E8</f>
        <v>225.14999999999998</v>
      </c>
      <c r="N8">
        <f>Submetering!F8</f>
        <v>447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2021</v>
      </c>
      <c r="E9" s="3">
        <f>Submetering!M9+Submetering!N9+Submetering!O9+Submetering!P9+Submetering!Q9+Submetering!R9+Submetering!S9+Submetering!T9+Submetering!U9+Submetering!V9</f>
        <v>36150.240000001155</v>
      </c>
      <c r="F9">
        <v>0.44447999999999999</v>
      </c>
      <c r="G9" s="3">
        <f>Submetering!Z9+Submetering!AA9+Submetering!AB9</f>
        <v>1145.3399999999999</v>
      </c>
      <c r="H9" s="238">
        <f t="shared" si="0"/>
        <v>2.6730769230769229</v>
      </c>
      <c r="I9" s="3">
        <f>Submetering!G9</f>
        <v>590</v>
      </c>
      <c r="J9">
        <v>13.83</v>
      </c>
      <c r="K9" s="3">
        <f>Submetering!I9</f>
        <v>70</v>
      </c>
      <c r="L9">
        <v>1.2</v>
      </c>
      <c r="M9" s="238">
        <f>Submetering!E9</f>
        <v>232.26</v>
      </c>
      <c r="N9">
        <f>Submetering!F9</f>
        <v>471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2021</v>
      </c>
      <c r="E10" s="3">
        <f>Submetering!M10+Submetering!N10+Submetering!O10+Submetering!P10+Submetering!Q10+Submetering!R10+Submetering!S10+Submetering!T10+Submetering!U10+Submetering!V10</f>
        <v>35029.68000000529</v>
      </c>
      <c r="F10">
        <v>0.44447999999999999</v>
      </c>
      <c r="G10" s="3">
        <f>Submetering!Z10+Submetering!AA10+Submetering!AB10</f>
        <v>1135.8899999999999</v>
      </c>
      <c r="H10" s="238">
        <f t="shared" si="0"/>
        <v>2.6730769230769229</v>
      </c>
      <c r="I10" s="3">
        <f>Submetering!G10</f>
        <v>496</v>
      </c>
      <c r="J10">
        <v>13.83</v>
      </c>
      <c r="K10" s="3">
        <f>Submetering!I10</f>
        <v>165</v>
      </c>
      <c r="L10">
        <v>1.2</v>
      </c>
      <c r="M10" s="238">
        <f>Submetering!E10</f>
        <v>218.04000000000002</v>
      </c>
      <c r="N10">
        <f>Submetering!F10</f>
        <v>446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2021</v>
      </c>
      <c r="E11" s="3">
        <f>Submetering!M11+Submetering!N11+Submetering!O11+Submetering!P11+Submetering!Q11+Submetering!R11+Submetering!S11+Submetering!T11+Submetering!U11+Submetering!V11</f>
        <v>35468.159999998286</v>
      </c>
      <c r="F11">
        <v>0.44447999999999999</v>
      </c>
      <c r="G11" s="3">
        <f>Submetering!Z11+Submetering!AA11+Submetering!AB11</f>
        <v>1426.9499999999998</v>
      </c>
      <c r="H11" s="238">
        <f t="shared" si="0"/>
        <v>2.6730769230769229</v>
      </c>
      <c r="I11" s="3">
        <f>Submetering!G11</f>
        <v>495</v>
      </c>
      <c r="J11">
        <v>13.83</v>
      </c>
      <c r="K11" s="3">
        <f>Submetering!I11</f>
        <v>171</v>
      </c>
      <c r="L11">
        <v>1.2</v>
      </c>
      <c r="M11" s="238">
        <f>Submetering!E11</f>
        <v>220.41000000000003</v>
      </c>
      <c r="N11">
        <f>Submetering!F11</f>
        <v>430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2021</v>
      </c>
      <c r="E12" s="3">
        <f>Submetering!M12+Submetering!N12+Submetering!O12+Submetering!P12+Submetering!Q12+Submetering!R12+Submetering!S12+Submetering!T12+Submetering!U12+Submetering!V12</f>
        <v>35321.999999998137</v>
      </c>
      <c r="F12">
        <v>0.44447999999999999</v>
      </c>
      <c r="G12" s="3">
        <f>Submetering!Z12+Submetering!AA12+Submetering!AB12</f>
        <v>1472.31</v>
      </c>
      <c r="H12" s="238">
        <f t="shared" si="0"/>
        <v>2.6730769230769229</v>
      </c>
      <c r="I12" s="3">
        <f>Submetering!G12</f>
        <v>466</v>
      </c>
      <c r="J12">
        <v>13.83</v>
      </c>
      <c r="K12" s="3">
        <f>Submetering!I12</f>
        <v>177</v>
      </c>
      <c r="L12">
        <v>1.2</v>
      </c>
      <c r="M12" s="238">
        <f>Submetering!E12</f>
        <v>199.07999999999998</v>
      </c>
      <c r="N12">
        <f>Submetering!F12</f>
        <v>418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2021</v>
      </c>
      <c r="E13" s="3">
        <f>Submetering!M13+Submetering!N13+Submetering!O13+Submetering!P13+Submetering!Q13+Submetering!R13+Submetering!S13+Submetering!T13+Submetering!U13+Submetering!V13</f>
        <v>34980.960000000894</v>
      </c>
      <c r="F13">
        <v>0.44447999999999999</v>
      </c>
      <c r="G13" s="3">
        <f>Submetering!Z13+Submetering!AA13+Submetering!AB13</f>
        <v>1374.03</v>
      </c>
      <c r="H13" s="238">
        <f t="shared" si="0"/>
        <v>2.6730769230769229</v>
      </c>
      <c r="I13" s="3">
        <f>Submetering!G13</f>
        <v>485</v>
      </c>
      <c r="J13">
        <v>13.83</v>
      </c>
      <c r="K13" s="3">
        <f>Submetering!I13</f>
        <v>95</v>
      </c>
      <c r="L13">
        <v>1.2</v>
      </c>
      <c r="M13" s="238">
        <f>Submetering!E13</f>
        <v>201.45</v>
      </c>
      <c r="N13">
        <f>Submetering!F13</f>
        <v>409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2021</v>
      </c>
      <c r="E14" s="3">
        <f>Submetering!M14+Submetering!N14+Submetering!O14+Submetering!P14+Submetering!Q14+Submetering!R14+Submetering!S14+Submetering!T14+Submetering!U14+Submetering!V14</f>
        <v>36198.959999999031</v>
      </c>
      <c r="F14">
        <v>0.44447999999999999</v>
      </c>
      <c r="G14" s="3">
        <f>Submetering!Z14+Submetering!AA14+Submetering!AB14</f>
        <v>1237.9499999999998</v>
      </c>
      <c r="H14" s="238">
        <f t="shared" si="0"/>
        <v>2.6730769230769229</v>
      </c>
      <c r="I14" s="3">
        <f>Submetering!G14</f>
        <v>453</v>
      </c>
      <c r="J14">
        <v>13.83</v>
      </c>
      <c r="K14" s="3">
        <f>Submetering!I14</f>
        <v>164</v>
      </c>
      <c r="L14">
        <v>1.2</v>
      </c>
      <c r="M14" s="238">
        <f>Submetering!E14</f>
        <v>220.41000000000003</v>
      </c>
      <c r="N14">
        <f>Submetering!F14</f>
        <v>412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2021</v>
      </c>
      <c r="E15" s="3">
        <f>Submetering!M15+Submetering!N15+Submetering!O15+Submetering!P15+Submetering!Q15+Submetering!R15+Submetering!S15+Submetering!T15+Submetering!U15+Submetering!V15</f>
        <v>36929.759999996983</v>
      </c>
      <c r="F15">
        <v>0.44447999999999999</v>
      </c>
      <c r="G15" s="3">
        <f>Submetering!Z15+Submetering!AA15+Submetering!AB15</f>
        <v>1234.1699999999998</v>
      </c>
      <c r="H15" s="238">
        <f t="shared" si="0"/>
        <v>2.6730769230769229</v>
      </c>
      <c r="I15" s="3">
        <f>Submetering!G15</f>
        <v>504</v>
      </c>
      <c r="J15">
        <v>13.83</v>
      </c>
      <c r="K15" s="3">
        <f>Submetering!I15</f>
        <v>201</v>
      </c>
      <c r="L15">
        <v>1.2</v>
      </c>
      <c r="M15" s="238">
        <f>Submetering!E15</f>
        <v>227.51999999999998</v>
      </c>
      <c r="N15">
        <f>Submetering!F15</f>
        <v>418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2021</v>
      </c>
      <c r="E16" s="3">
        <f>Submetering!M16+Submetering!N16+Submetering!O16+Submetering!P16+Submetering!Q16+Submetering!R16+Submetering!S16+Submetering!T16+Submetering!U16+Submetering!V16</f>
        <v>35565.600000004284</v>
      </c>
      <c r="F16">
        <v>0.44447999999999999</v>
      </c>
      <c r="G16" s="3">
        <f>Submetering!Z16+Submetering!AA16+Submetering!AB16</f>
        <v>1090.53</v>
      </c>
      <c r="H16" s="238">
        <f t="shared" si="0"/>
        <v>2.6730769230769229</v>
      </c>
      <c r="I16" s="3">
        <f>Submetering!G16</f>
        <v>510</v>
      </c>
      <c r="J16">
        <v>13.83</v>
      </c>
      <c r="K16" s="3">
        <f>Submetering!I16</f>
        <v>180</v>
      </c>
      <c r="L16">
        <v>1.2</v>
      </c>
      <c r="M16" s="238">
        <f>Submetering!E16</f>
        <v>213.3</v>
      </c>
      <c r="N16">
        <f>Submetering!F16</f>
        <v>398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2021</v>
      </c>
      <c r="E17" s="3">
        <f>Submetering!M17+Submetering!N17+Submetering!O17+Submetering!P17+Submetering!Q17+Submetering!R17+Submetering!S17+Submetering!T17+Submetering!U17+Submetering!V17</f>
        <v>35906.639999995939</v>
      </c>
      <c r="F17">
        <v>0.44447999999999999</v>
      </c>
      <c r="G17" s="3">
        <f>Submetering!Z17+Submetering!AA17+Submetering!AB17</f>
        <v>1098.0899999999999</v>
      </c>
      <c r="H17" s="238">
        <f t="shared" si="0"/>
        <v>2.6730769230769229</v>
      </c>
      <c r="I17" s="3">
        <f>Submetering!G17</f>
        <v>472</v>
      </c>
      <c r="J17">
        <v>13.83</v>
      </c>
      <c r="K17" s="3">
        <f>Submetering!I17</f>
        <v>172</v>
      </c>
      <c r="L17">
        <v>1.2</v>
      </c>
      <c r="M17" s="238">
        <f>Submetering!E17</f>
        <v>210.93</v>
      </c>
      <c r="N17">
        <f>Submetering!F17</f>
        <v>391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2021</v>
      </c>
      <c r="E18" s="3">
        <f>Submetering!M18+Submetering!N18+Submetering!O18+Submetering!P18+Submetering!Q18+Submetering!R18+Submetering!S18+Submetering!T18+Submetering!U18+Submetering!V18</f>
        <v>36150.240000003017</v>
      </c>
      <c r="F18">
        <v>0.44447999999999999</v>
      </c>
      <c r="G18" s="3">
        <f>Submetering!Z18+Submetering!AA18+Submetering!AB18</f>
        <v>1084.8599999999999</v>
      </c>
      <c r="H18" s="238">
        <f t="shared" si="0"/>
        <v>2.6730769230769229</v>
      </c>
      <c r="I18" s="3">
        <f>Submetering!G18</f>
        <v>427</v>
      </c>
      <c r="J18">
        <v>13.83</v>
      </c>
      <c r="K18" s="3">
        <f>Submetering!I18</f>
        <v>177</v>
      </c>
      <c r="L18">
        <v>1.2</v>
      </c>
      <c r="M18" s="238">
        <f>Submetering!E18</f>
        <v>196.70999999999998</v>
      </c>
      <c r="N18">
        <f>Submetering!F18</f>
        <v>379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2021</v>
      </c>
      <c r="E19" s="3">
        <f>Submetering!M19+Submetering!N19+Submetering!O19+Submetering!P19+Submetering!Q19+Submetering!R19+Submetering!S19+Submetering!T19+Submetering!U19+Submetering!V19</f>
        <v>37124.640000002459</v>
      </c>
      <c r="F19">
        <v>0.44447999999999999</v>
      </c>
      <c r="G19" s="3">
        <f>Submetering!Z19+Submetering!AA19+Submetering!AB19</f>
        <v>916.65</v>
      </c>
      <c r="H19" s="238">
        <f t="shared" si="0"/>
        <v>2.6730769230769229</v>
      </c>
      <c r="I19" s="3">
        <f>Submetering!G19</f>
        <v>473</v>
      </c>
      <c r="J19">
        <v>13.83</v>
      </c>
      <c r="K19" s="3">
        <f>Submetering!I19</f>
        <v>208</v>
      </c>
      <c r="L19">
        <v>1.2</v>
      </c>
      <c r="M19" s="238">
        <f>Submetering!E19</f>
        <v>203.82</v>
      </c>
      <c r="N19">
        <f>Submetering!F19</f>
        <v>394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2021</v>
      </c>
      <c r="E20" s="3">
        <f>Submetering!M20+Submetering!N20+Submetering!O20+Submetering!P20+Submetering!Q20+Submetering!R20+Submetering!S20+Submetering!T20+Submetering!U20+Submetering!V20</f>
        <v>37563.119999997318</v>
      </c>
      <c r="F20">
        <v>0.44447999999999999</v>
      </c>
      <c r="G20" s="3">
        <f>Submetering!Z20+Submetering!AA20+Submetering!AB20</f>
        <v>927.9899999999999</v>
      </c>
      <c r="H20" s="238">
        <f t="shared" si="0"/>
        <v>2.6730769230769229</v>
      </c>
      <c r="I20" s="3">
        <f>Submetering!G20</f>
        <v>499</v>
      </c>
      <c r="J20">
        <v>13.83</v>
      </c>
      <c r="K20" s="3">
        <f>Submetering!I20</f>
        <v>256</v>
      </c>
      <c r="L20">
        <v>1.2</v>
      </c>
      <c r="M20" s="238">
        <f>Submetering!E20</f>
        <v>189.60000000000002</v>
      </c>
      <c r="N20">
        <f>Submetering!F20</f>
        <v>363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2021</v>
      </c>
      <c r="E21" s="3">
        <f>Submetering!M21+Submetering!N21+Submetering!O21+Submetering!P21+Submetering!Q21+Submetering!R21+Submetering!S21+Submetering!T21+Submetering!U21+Submetering!V21</f>
        <v>37660.559999996796</v>
      </c>
      <c r="F21">
        <v>0.44447999999999999</v>
      </c>
      <c r="G21" s="3">
        <f>Submetering!Z21+Submetering!AA21+Submetering!AB21</f>
        <v>1030.05</v>
      </c>
      <c r="H21" s="238">
        <f t="shared" si="0"/>
        <v>2.6730769230769229</v>
      </c>
      <c r="I21" s="3">
        <f>Submetering!G21</f>
        <v>459</v>
      </c>
      <c r="J21">
        <v>13.83</v>
      </c>
      <c r="K21" s="3">
        <f>Submetering!I21</f>
        <v>255</v>
      </c>
      <c r="L21">
        <v>1.2</v>
      </c>
      <c r="M21" s="238">
        <f>Submetering!E21</f>
        <v>180.12</v>
      </c>
      <c r="N21">
        <f>Submetering!F21</f>
        <v>329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2.6730769230769229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2.6730769230769229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2.6730769230769229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2.6730769230769229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2.6730769230769229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2.6730769230769229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2.6730769230769229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2.6730769230769229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2.6730769230769229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2.6730769230769229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2.6730769230769229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2" sqref="F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</v>
      </c>
      <c r="D2">
        <v>2021</v>
      </c>
      <c r="E2" s="78">
        <f>237*0.89</f>
        <v>210.93</v>
      </c>
      <c r="F2" s="79">
        <f>364+93</f>
        <v>457</v>
      </c>
      <c r="G2" s="3">
        <f>'DJB Daily Readings'!C10-'DJB Daily Readings'!C9</f>
        <v>568</v>
      </c>
      <c r="H2" s="3">
        <f>'DJB Daily Readings'!F10-'DJB Daily Readings'!F9</f>
        <v>537</v>
      </c>
      <c r="I2" s="3">
        <f>'DJB Daily Readings'!K10-'DJB Daily Readings'!K9</f>
        <v>157</v>
      </c>
      <c r="J2" s="3">
        <f>'DJB Daily Readings'!K10-'DJB Daily Readings'!K9</f>
        <v>157</v>
      </c>
      <c r="K2" s="3">
        <f>'DJB Daily Readings'!O10-'DJB Daily Readings'!O9</f>
        <v>17</v>
      </c>
      <c r="L2" s="3">
        <f>'DJB Daily Readings'!R10-'DJB Daily Readings'!R9</f>
        <v>15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97.439999999478459</v>
      </c>
      <c r="P2" s="3">
        <f>'DJB Daily Readings'!AD10-'DJB Daily Readings'!AD9</f>
        <v>48.720000000670552</v>
      </c>
      <c r="Q2" s="3">
        <f>'DJB Daily Readings'!AG10-'DJB Daily Readings'!AG9</f>
        <v>8282.4000000003725</v>
      </c>
      <c r="R2" s="3">
        <f>'DJB Daily Readings'!AJ10-'DJB Daily Readings'!AJ9</f>
        <v>5359.2000000011176</v>
      </c>
      <c r="S2" s="3">
        <f>'DJB Daily Readings'!AM10-'DJB Daily Readings'!AM9</f>
        <v>4238.6399999987334</v>
      </c>
      <c r="T2" s="3">
        <f>'DJB Daily Readings'!AP10-'DJB Daily Readings'!AP9</f>
        <v>4141.1999999992549</v>
      </c>
      <c r="U2" s="3">
        <f>'DJB Daily Readings'!AS10-'DJB Daily Readings'!AS9</f>
        <v>3069.359999999404</v>
      </c>
      <c r="V2" s="3">
        <f>'DJB Daily Readings'!AV10-'DJB Daily Readings'!AV9</f>
        <v>5895.1200000010431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38300</v>
      </c>
      <c r="Z2" s="3">
        <f>('DJB Daily Readings'!CK10-'DJB Daily Readings'!CK9)*1.89</f>
        <v>175.76999999999998</v>
      </c>
      <c r="AA2" s="3">
        <f>('DJB Daily Readings'!CN10-'DJB Daily Readings'!CN9)*1.89</f>
        <v>190.89</v>
      </c>
      <c r="AB2" s="3">
        <f>('DJB Daily Readings'!CQ10-'DJB Daily Readings'!CQ9)*1.89</f>
        <v>608.57999999999993</v>
      </c>
      <c r="AC2" s="3">
        <f>'DJB Daily Readings'!CT10-'DJB Daily Readings'!CT9</f>
        <v>250</v>
      </c>
      <c r="AD2" s="84">
        <f>('DJB Daily Readings'!BY10-'DJB Daily Readings'!BY9)*1.89</f>
        <v>0</v>
      </c>
      <c r="AE2" s="84">
        <f>('DJB Daily Readings'!CA10-'DJB Daily Readings'!CA9)*1.89</f>
        <v>0</v>
      </c>
      <c r="AF2" s="84">
        <f>('DJB Daily Readings'!CC10-'DJB Daily Readings'!CC9)*1.89</f>
        <v>0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0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16</v>
      </c>
      <c r="AM2" s="82">
        <f>'DJB Daily Readings'!DA10-'DJB Daily Readings'!DA9</f>
        <v>17</v>
      </c>
      <c r="AN2" s="82">
        <f>'DJB Daily Readings'!DG10-'DJB Daily Readings'!DG9</f>
        <v>8</v>
      </c>
      <c r="AO2" s="82">
        <f>'DJB Daily Readings'!DE10-'DJB Daily Readings'!DE9</f>
        <v>14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8</v>
      </c>
      <c r="AT2" s="82">
        <f>'DJB Daily Readings'!DQ10-'DJB Daily Readings'!DQ9</f>
        <v>6</v>
      </c>
      <c r="AU2" s="82">
        <f>'DJB Daily Readings'!DT10-'DJB Daily Readings'!DT9</f>
        <v>10</v>
      </c>
      <c r="AW2" s="82">
        <f>'DJB Daily Readings'!DX10-'DJB Daily Readings'!DX9</f>
        <v>7.2999999999999972</v>
      </c>
      <c r="AX2" s="82">
        <f>'DJB Daily Readings'!DZ10-'DJB Daily Readings'!DZ9</f>
        <v>0</v>
      </c>
      <c r="AY2" s="82">
        <f>'DJB Daily Readings'!EB10-'DJB Daily Readings'!EB9</f>
        <v>523</v>
      </c>
      <c r="AZ2" s="82">
        <f>'DJB Daily Readings'!ED10-'DJB Daily Readings'!ED9</f>
        <v>152</v>
      </c>
      <c r="BA2" s="82">
        <f>'DJB Daily Readings'!EG10-'DJB Daily Readings'!EG9</f>
        <v>2500</v>
      </c>
      <c r="BB2" s="82">
        <f>'DJB Daily Readings'!EI10-'DJB Daily Readings'!EI9</f>
        <v>260</v>
      </c>
      <c r="BC2" s="82">
        <f>'DJB Daily Readings'!EQ10-'DJB Daily Readings'!EQ9</f>
        <v>2400</v>
      </c>
      <c r="BD2" s="82">
        <f>'DJB Daily Readings'!EK10-'DJB Daily Readings'!EK9</f>
        <v>1200</v>
      </c>
      <c r="BE2" s="82">
        <f>'DJB Daily Readings'!EM10-'DJB Daily Readings'!EM9</f>
        <v>0</v>
      </c>
      <c r="BF2" s="82">
        <f>'DJB Daily Readings'!EO10-'DJB Daily Readings'!EO9</f>
        <v>140</v>
      </c>
      <c r="BG2" s="82">
        <f>('DJB Daily Readings'!ET10-'DJB Daily Readings'!ET9)*1.89</f>
        <v>24.57</v>
      </c>
      <c r="BH2" s="82">
        <f>('DJB Daily Readings'!EV10-'DJB Daily Readings'!EV9)*1.89</f>
        <v>39.69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1</v>
      </c>
      <c r="D3">
        <v>2021</v>
      </c>
      <c r="E3" s="78">
        <f>237*0.87</f>
        <v>206.19</v>
      </c>
      <c r="F3" s="79">
        <f>349+97</f>
        <v>446</v>
      </c>
      <c r="G3" s="3">
        <f>'DJB Daily Readings'!C11-'DJB Daily Readings'!C10</f>
        <v>543</v>
      </c>
      <c r="H3" s="3">
        <f>'DJB Daily Readings'!F11-'DJB Daily Readings'!F10</f>
        <v>469</v>
      </c>
      <c r="I3" s="3">
        <f>'DJB Daily Readings'!K11-'DJB Daily Readings'!K10</f>
        <v>194</v>
      </c>
      <c r="J3" s="3">
        <f>'DJB Daily Readings'!K11-'DJB Daily Readings'!K10</f>
        <v>194</v>
      </c>
      <c r="K3" s="3">
        <f>'DJB Daily Readings'!O11-'DJB Daily Readings'!O10</f>
        <v>41</v>
      </c>
      <c r="L3" s="3">
        <f>'DJB Daily Readings'!R11-'DJB Daily Readings'!R10</f>
        <v>24</v>
      </c>
      <c r="M3" s="3">
        <f>'DJB Daily Readings'!U11-'DJB Daily Readings'!U10</f>
        <v>3848.8800000008196</v>
      </c>
      <c r="N3" s="3">
        <f>'DJB Daily Readings'!X11-'DJB Daily Readings'!X10</f>
        <v>4482.2400000002235</v>
      </c>
      <c r="O3" s="3">
        <f>'DJB Daily Readings'!AA11-'DJB Daily Readings'!AA10</f>
        <v>6479.7599999997765</v>
      </c>
      <c r="P3" s="3">
        <f>'DJB Daily Readings'!AD11-'DJB Daily Readings'!AD10</f>
        <v>97.439999999478459</v>
      </c>
      <c r="Q3" s="3">
        <f>'DJB Daily Readings'!AG11-'DJB Daily Readings'!AG10</f>
        <v>438.47999999858439</v>
      </c>
      <c r="R3" s="3">
        <f>'DJB Daily Readings'!AJ11-'DJB Daily Readings'!AJ10</f>
        <v>5456.640000000596</v>
      </c>
      <c r="S3" s="3">
        <f>'DJB Daily Readings'!AM11-'DJB Daily Readings'!AM10</f>
        <v>4238.640000000596</v>
      </c>
      <c r="T3" s="3">
        <f>'DJB Daily Readings'!AP11-'DJB Daily Readings'!AP10</f>
        <v>3995.0399999991059</v>
      </c>
      <c r="U3" s="3">
        <f>'DJB Daily Readings'!AS11-'DJB Daily Readings'!AS10</f>
        <v>3215.519999999553</v>
      </c>
      <c r="V3" s="3">
        <f>'DJB Daily Readings'!AV11-'DJB Daily Readings'!AV10</f>
        <v>5895.1199999991804</v>
      </c>
      <c r="W3" s="3">
        <f>'DJB Daily Readings'!AZ11-'DJB Daily Readings'!AZ10</f>
        <v>35200</v>
      </c>
      <c r="X3" s="3">
        <f>'DJB Daily Readings'!BC11-'DJB Daily Readings'!BC10</f>
        <v>0</v>
      </c>
      <c r="Y3" s="3">
        <f>'DJB Daily Readings'!BF11-'DJB Daily Readings'!BF10</f>
        <v>2500</v>
      </c>
      <c r="Z3" s="3">
        <f>('DJB Daily Readings'!CK11-'DJB Daily Readings'!CK10)*1.89</f>
        <v>173.88</v>
      </c>
      <c r="AA3" s="3">
        <f>('DJB Daily Readings'!CN11-'DJB Daily Readings'!CN10)*1.89</f>
        <v>192.78</v>
      </c>
      <c r="AB3" s="3">
        <f>('DJB Daily Readings'!CQ11-'DJB Daily Readings'!CQ10)*1.89</f>
        <v>646.38</v>
      </c>
      <c r="AC3" s="3">
        <f>'DJB Daily Readings'!CT11-'DJB Daily Readings'!CT10</f>
        <v>247</v>
      </c>
      <c r="AD3" s="84">
        <f>('DJB Daily Readings'!BY11-'DJB Daily Readings'!BY10)*1.89</f>
        <v>0</v>
      </c>
      <c r="AE3" s="84">
        <f>('DJB Daily Readings'!CA11-'DJB Daily Readings'!CA10)*1.89</f>
        <v>0</v>
      </c>
      <c r="AF3" s="84">
        <f>('DJB Daily Readings'!CC11-'DJB Daily Readings'!CC10)*1.89</f>
        <v>0</v>
      </c>
      <c r="AG3" s="84">
        <f>('DJB Daily Readings'!CE11-'DJB Daily Readings'!CE10)*1.89</f>
        <v>0</v>
      </c>
      <c r="AH3" s="84">
        <f>('DJB Daily Readings'!CG11-'DJB Daily Readings'!CG10)*1.89</f>
        <v>0</v>
      </c>
      <c r="AI3" s="84">
        <f>('DJB Daily Readings'!CI11-'DJB Daily Readings'!CI10)*1.89</f>
        <v>0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14</v>
      </c>
      <c r="AM3" s="82">
        <f>'DJB Daily Readings'!DA11-'DJB Daily Readings'!DA10</f>
        <v>15</v>
      </c>
      <c r="AN3" s="82">
        <f>'DJB Daily Readings'!DG11-'DJB Daily Readings'!DG10</f>
        <v>10</v>
      </c>
      <c r="AO3" s="82">
        <f>'DJB Daily Readings'!DE11-'DJB Daily Readings'!DE10</f>
        <v>13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5</v>
      </c>
      <c r="AS3" s="82">
        <f>'DJB Daily Readings'!DM11-'DJB Daily Readings'!DM10</f>
        <v>8</v>
      </c>
      <c r="AT3" s="82">
        <f>'DJB Daily Readings'!DQ11-'DJB Daily Readings'!DQ10</f>
        <v>12</v>
      </c>
      <c r="AU3" s="82">
        <f>'DJB Daily Readings'!DT11-'DJB Daily Readings'!DT10</f>
        <v>9.7999999999999972</v>
      </c>
      <c r="AW3" s="82">
        <f>'DJB Daily Readings'!DX11-'DJB Daily Readings'!DX10</f>
        <v>7.5</v>
      </c>
      <c r="AX3" s="82">
        <f>'DJB Daily Readings'!DZ11-'DJB Daily Readings'!DZ10</f>
        <v>0</v>
      </c>
      <c r="AY3" s="82">
        <f>'DJB Daily Readings'!EB11-'DJB Daily Readings'!EB10</f>
        <v>528</v>
      </c>
      <c r="AZ3" s="82">
        <f>'DJB Daily Readings'!ED11-'DJB Daily Readings'!ED10</f>
        <v>149</v>
      </c>
      <c r="BA3" s="82">
        <f>'DJB Daily Readings'!EG11-'DJB Daily Readings'!EG10</f>
        <v>2200</v>
      </c>
      <c r="BB3" s="82">
        <f>'DJB Daily Readings'!EI11-'DJB Daily Readings'!EI10</f>
        <v>240</v>
      </c>
      <c r="BC3" s="82">
        <f>'DJB Daily Readings'!EQ11-'DJB Daily Readings'!EQ10</f>
        <v>2100</v>
      </c>
      <c r="BD3" s="82">
        <f>'DJB Daily Readings'!EK11-'DJB Daily Readings'!EK10</f>
        <v>1200</v>
      </c>
      <c r="BE3" s="82">
        <f>'DJB Daily Readings'!EM11-'DJB Daily Readings'!EM10</f>
        <v>0</v>
      </c>
      <c r="BF3" s="82">
        <f>'DJB Daily Readings'!EO11-'DJB Daily Readings'!EO10</f>
        <v>130</v>
      </c>
      <c r="BG3" s="82">
        <f>('DJB Daily Readings'!ET11-'DJB Daily Readings'!ET10)*1.89</f>
        <v>24.57</v>
      </c>
      <c r="BH3" s="82">
        <f>('DJB Daily Readings'!EV11-'DJB Daily Readings'!EV10)*1.89</f>
        <v>43.47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2021</v>
      </c>
      <c r="E4" s="78">
        <f>237*0.84</f>
        <v>199.07999999999998</v>
      </c>
      <c r="F4" s="79">
        <f>340+85</f>
        <v>425</v>
      </c>
      <c r="G4" s="3">
        <f>'DJB Daily Readings'!C12-'DJB Daily Readings'!C11</f>
        <v>513</v>
      </c>
      <c r="H4" s="3">
        <f>'DJB Daily Readings'!F12-'DJB Daily Readings'!F11</f>
        <v>448</v>
      </c>
      <c r="I4" s="3">
        <f>'DJB Daily Readings'!K12-'DJB Daily Readings'!K11</f>
        <v>173</v>
      </c>
      <c r="J4" s="3">
        <f>'DJB Daily Readings'!K12-'DJB Daily Readings'!K11</f>
        <v>173</v>
      </c>
      <c r="K4" s="3">
        <f>'DJB Daily Readings'!O12-'DJB Daily Readings'!O11</f>
        <v>37</v>
      </c>
      <c r="L4" s="3">
        <f>'DJB Daily Readings'!R12-'DJB Daily Readings'!R11</f>
        <v>13</v>
      </c>
      <c r="M4" s="3">
        <f>'DJB Daily Readings'!U12-'DJB Daily Readings'!U11</f>
        <v>3702.7199999997392</v>
      </c>
      <c r="N4" s="3">
        <f>'DJB Daily Readings'!X12-'DJB Daily Readings'!X11</f>
        <v>4384.7999999988824</v>
      </c>
      <c r="O4" s="3">
        <f>'DJB Daily Readings'!AA12-'DJB Daily Readings'!AA11</f>
        <v>6041.2799999993294</v>
      </c>
      <c r="P4" s="3">
        <f>'DJB Daily Readings'!AD12-'DJB Daily Readings'!AD11</f>
        <v>97.439999999478459</v>
      </c>
      <c r="Q4" s="3">
        <f>'DJB Daily Readings'!AG12-'DJB Daily Readings'!AG11</f>
        <v>0</v>
      </c>
      <c r="R4" s="3">
        <f>'DJB Daily Readings'!AJ12-'DJB Daily Readings'!AJ11</f>
        <v>5469.839999999851</v>
      </c>
      <c r="S4" s="3">
        <f>'DJB Daily Readings'!AM12-'DJB Daily Readings'!AM11</f>
        <v>4141.2000000011176</v>
      </c>
      <c r="T4" s="3">
        <f>'DJB Daily Readings'!AP12-'DJB Daily Readings'!AP11</f>
        <v>3897.5999999996275</v>
      </c>
      <c r="U4" s="3">
        <f>'DJB Daily Readings'!AS12-'DJB Daily Readings'!AS11</f>
        <v>2971.9200000017881</v>
      </c>
      <c r="V4" s="3">
        <f>'DJB Daily Readings'!AV12-'DJB Daily Readings'!AV11</f>
        <v>5797.6800000015646</v>
      </c>
      <c r="W4" s="3">
        <f>'DJB Daily Readings'!AZ12-'DJB Daily Readings'!AZ11</f>
        <v>34500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175.76999999999998</v>
      </c>
      <c r="AA4" s="3">
        <f>('DJB Daily Readings'!CN12-'DJB Daily Readings'!CN11)*1.89</f>
        <v>189</v>
      </c>
      <c r="AB4" s="3">
        <f>('DJB Daily Readings'!CQ12-'DJB Daily Readings'!CQ11)*1.89</f>
        <v>691.74</v>
      </c>
      <c r="AC4" s="3">
        <f>'DJB Daily Readings'!CT12-'DJB Daily Readings'!CT11</f>
        <v>248</v>
      </c>
      <c r="AD4" s="84">
        <f>('DJB Daily Readings'!BY12-'DJB Daily Readings'!BY11)*1.89</f>
        <v>102.05999999999999</v>
      </c>
      <c r="AE4" s="84">
        <f>('DJB Daily Readings'!CA12-'DJB Daily Readings'!CA11)*1.89</f>
        <v>75.599999999999994</v>
      </c>
      <c r="AF4" s="84">
        <f>('DJB Daily Readings'!CC12-'DJB Daily Readings'!CC11)*1.89</f>
        <v>35.909999999999997</v>
      </c>
      <c r="AG4" s="84">
        <f>('DJB Daily Readings'!CE12-'DJB Daily Readings'!CE11)*1.89</f>
        <v>52.919999999999995</v>
      </c>
      <c r="AH4" s="84">
        <f>('DJB Daily Readings'!CG12-'DJB Daily Readings'!CG11)*1.89</f>
        <v>69.929999999999993</v>
      </c>
      <c r="AI4" s="84">
        <f>('DJB Daily Readings'!CI12-'DJB Daily Readings'!CI11)*1.89</f>
        <v>147.41999999999999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12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13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2</v>
      </c>
      <c r="AS4" s="82">
        <f>'DJB Daily Readings'!DM12-'DJB Daily Readings'!DM11</f>
        <v>8</v>
      </c>
      <c r="AT4" s="82">
        <f>'DJB Daily Readings'!DQ12-'DJB Daily Readings'!DQ11</f>
        <v>4</v>
      </c>
      <c r="AU4" s="82">
        <f>'DJB Daily Readings'!DT12-'DJB Daily Readings'!DT11</f>
        <v>8.9000000000000057</v>
      </c>
      <c r="AW4" s="82">
        <f>'DJB Daily Readings'!DX12-'DJB Daily Readings'!DX11</f>
        <v>7.3000000000000043</v>
      </c>
      <c r="AX4" s="82">
        <f>'DJB Daily Readings'!DZ12-'DJB Daily Readings'!DZ11</f>
        <v>0</v>
      </c>
      <c r="AY4" s="82">
        <f>'DJB Daily Readings'!EB12-'DJB Daily Readings'!EB11</f>
        <v>497</v>
      </c>
      <c r="AZ4" s="82">
        <f>'DJB Daily Readings'!ED12-'DJB Daily Readings'!ED11</f>
        <v>147</v>
      </c>
      <c r="BA4" s="82">
        <f>'DJB Daily Readings'!EG12-'DJB Daily Readings'!EG11</f>
        <v>1600</v>
      </c>
      <c r="BB4" s="82">
        <f>'DJB Daily Readings'!EI12-'DJB Daily Readings'!EI11</f>
        <v>230</v>
      </c>
      <c r="BC4" s="82">
        <f>'DJB Daily Readings'!EQ12-'DJB Daily Readings'!EQ11</f>
        <v>2000</v>
      </c>
      <c r="BD4" s="82">
        <f>'DJB Daily Readings'!EK12-'DJB Daily Readings'!EK11</f>
        <v>900</v>
      </c>
      <c r="BE4" s="82">
        <f>'DJB Daily Readings'!EM12-'DJB Daily Readings'!EM11</f>
        <v>0</v>
      </c>
      <c r="BF4" s="82">
        <f>'DJB Daily Readings'!EO12-'DJB Daily Readings'!EO11</f>
        <v>130</v>
      </c>
      <c r="BG4" s="82">
        <f>('DJB Daily Readings'!ET12-'DJB Daily Readings'!ET11)*1.89</f>
        <v>24.57</v>
      </c>
      <c r="BH4" s="82">
        <f>('DJB Daily Readings'!EV12-'DJB Daily Readings'!EV11)*1.89</f>
        <v>37.799999999999997</v>
      </c>
      <c r="BI4" s="82">
        <f>('DJB Daily Readings'!EZ12-'DJB Daily Readings'!EZ11)*1.89</f>
        <v>171.98999999999998</v>
      </c>
      <c r="BJ4" s="82">
        <f>('DJB Daily Readings'!EX12-'DJB Daily Readings'!EX11)*1.89</f>
        <v>0</v>
      </c>
      <c r="BK4" s="82">
        <f>('DJB Daily Readings'!FB12-'DJB Daily Readings'!FB11)*1.89</f>
        <v>54.809999999999995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2021</v>
      </c>
      <c r="E5" s="78">
        <f>237*0.8</f>
        <v>189.60000000000002</v>
      </c>
      <c r="F5" s="79">
        <f>308+84</f>
        <v>392</v>
      </c>
      <c r="G5" s="3">
        <f>'DJB Daily Readings'!C13-'DJB Daily Readings'!C12</f>
        <v>554</v>
      </c>
      <c r="H5" s="3">
        <f>'DJB Daily Readings'!F13-'DJB Daily Readings'!F12</f>
        <v>465</v>
      </c>
      <c r="I5" s="3">
        <f>'DJB Daily Readings'!K13-'DJB Daily Readings'!K12</f>
        <v>185</v>
      </c>
      <c r="J5" s="3">
        <f>'DJB Daily Readings'!K13-'DJB Daily Readings'!K12</f>
        <v>185</v>
      </c>
      <c r="K5" s="3">
        <f>'DJB Daily Readings'!O13-'DJB Daily Readings'!O12</f>
        <v>34</v>
      </c>
      <c r="L5" s="3">
        <f>'DJB Daily Readings'!R13-'DJB Daily Readings'!R12</f>
        <v>11</v>
      </c>
      <c r="M5" s="3">
        <f>'DJB Daily Readings'!U13-'DJB Daily Readings'!U12</f>
        <v>3556.5600000005215</v>
      </c>
      <c r="N5" s="3">
        <f>'DJB Daily Readings'!X13-'DJB Daily Readings'!X12</f>
        <v>4530.9600000008941</v>
      </c>
      <c r="O5" s="3">
        <f>'DJB Daily Readings'!AA13-'DJB Daily Readings'!AA12</f>
        <v>6090</v>
      </c>
      <c r="P5" s="3">
        <f>'DJB Daily Readings'!AD13-'DJB Daily Readings'!AD12</f>
        <v>97.439999999478459</v>
      </c>
      <c r="Q5" s="3">
        <f>'DJB Daily Readings'!AG13-'DJB Daily Readings'!AG12</f>
        <v>0</v>
      </c>
      <c r="R5" s="3">
        <f>'DJB Daily Readings'!AJ13-'DJB Daily Readings'!AJ12</f>
        <v>5540.8799999989569</v>
      </c>
      <c r="S5" s="3">
        <f>'DJB Daily Readings'!AM13-'DJB Daily Readings'!AM12</f>
        <v>4043.7599999997765</v>
      </c>
      <c r="T5" s="3">
        <f>'DJB Daily Readings'!AP13-'DJB Daily Readings'!AP12</f>
        <v>3897.5999999996275</v>
      </c>
      <c r="U5" s="3">
        <f>'DJB Daily Readings'!AS13-'DJB Daily Readings'!AS12</f>
        <v>3020.6399999987334</v>
      </c>
      <c r="V5" s="3">
        <f>'DJB Daily Readings'!AV13-'DJB Daily Readings'!AV12</f>
        <v>5554.0799999982119</v>
      </c>
      <c r="W5" s="3">
        <f>'DJB Daily Readings'!AZ13-'DJB Daily Readings'!AZ12</f>
        <v>32400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185.22</v>
      </c>
      <c r="AA5" s="3">
        <f>('DJB Daily Readings'!CN13-'DJB Daily Readings'!CN12)*1.89</f>
        <v>192.78</v>
      </c>
      <c r="AB5" s="3">
        <f>('DJB Daily Readings'!CQ13-'DJB Daily Readings'!CQ12)*1.89</f>
        <v>712.53</v>
      </c>
      <c r="AC5" s="3">
        <f>'DJB Daily Readings'!CT13-'DJB Daily Readings'!CT12</f>
        <v>241</v>
      </c>
      <c r="AD5" s="84">
        <f>('DJB Daily Readings'!BY13-'DJB Daily Readings'!BY12)*1.89</f>
        <v>32.129999999999995</v>
      </c>
      <c r="AE5" s="84">
        <f>('DJB Daily Readings'!CA13-'DJB Daily Readings'!CA12)*1.89</f>
        <v>20.79</v>
      </c>
      <c r="AF5" s="84">
        <f>('DJB Daily Readings'!CC13-'DJB Daily Readings'!CC12)*1.89</f>
        <v>9.4499999999999993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34.019999999999996</v>
      </c>
      <c r="AJ5" s="81">
        <f>'DJB Daily Readings'!CY13-'DJB Daily Readings'!CY12</f>
        <v>35</v>
      </c>
      <c r="AK5" s="81">
        <f>'DJB Daily Readings'!CW13-'DJB Daily Readings'!CW12</f>
        <v>36</v>
      </c>
      <c r="AL5" s="82">
        <f>'DJB Daily Readings'!DC13-'DJB Daily Readings'!DC12</f>
        <v>14</v>
      </c>
      <c r="AM5" s="82">
        <f>'DJB Daily Readings'!DA13-'DJB Daily Readings'!DA12</f>
        <v>16</v>
      </c>
      <c r="AN5" s="82">
        <f>'DJB Daily Readings'!DG13-'DJB Daily Readings'!DG12</f>
        <v>8</v>
      </c>
      <c r="AO5" s="82">
        <f>'DJB Daily Readings'!DE13-'DJB Daily Readings'!DE12</f>
        <v>12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3</v>
      </c>
      <c r="AS5" s="82">
        <f>'DJB Daily Readings'!DM13-'DJB Daily Readings'!DM12</f>
        <v>8</v>
      </c>
      <c r="AT5" s="82">
        <f>'DJB Daily Readings'!DQ13-'DJB Daily Readings'!DQ12</f>
        <v>3</v>
      </c>
      <c r="AU5" s="82">
        <f>'DJB Daily Readings'!DT13-'DJB Daily Readings'!DT12</f>
        <v>9.1999999999999886</v>
      </c>
      <c r="AW5" s="82">
        <f>'DJB Daily Readings'!DX13-'DJB Daily Readings'!DX12</f>
        <v>7.8999999999999915</v>
      </c>
      <c r="AX5" s="82">
        <f>'DJB Daily Readings'!DZ13-'DJB Daily Readings'!DZ12</f>
        <v>0</v>
      </c>
      <c r="AY5" s="82">
        <f>'DJB Daily Readings'!EB13-'DJB Daily Readings'!EB12</f>
        <v>477</v>
      </c>
      <c r="AZ5" s="82">
        <f>'DJB Daily Readings'!ED13-'DJB Daily Readings'!ED12</f>
        <v>160</v>
      </c>
      <c r="BA5" s="82">
        <f>'DJB Daily Readings'!EG13-'DJB Daily Readings'!EG12</f>
        <v>1300</v>
      </c>
      <c r="BB5" s="82">
        <f>'DJB Daily Readings'!EI13-'DJB Daily Readings'!EI12</f>
        <v>220</v>
      </c>
      <c r="BC5" s="82">
        <f>'DJB Daily Readings'!EQ13-'DJB Daily Readings'!EQ12</f>
        <v>1600</v>
      </c>
      <c r="BD5" s="82">
        <f>'DJB Daily Readings'!EK13-'DJB Daily Readings'!EK12</f>
        <v>1000</v>
      </c>
      <c r="BE5" s="82">
        <f>'DJB Daily Readings'!EM13-'DJB Daily Readings'!EM12</f>
        <v>0</v>
      </c>
      <c r="BF5" s="82">
        <f>'DJB Daily Readings'!EO13-'DJB Daily Readings'!EO12</f>
        <v>120</v>
      </c>
      <c r="BG5" s="82">
        <f>('DJB Daily Readings'!ET13-'DJB Daily Readings'!ET12)*1.89</f>
        <v>26.459999999999997</v>
      </c>
      <c r="BH5" s="82">
        <f>('DJB Daily Readings'!EV13-'DJB Daily Readings'!EV12)*1.89</f>
        <v>45.36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2021</v>
      </c>
      <c r="E6" s="78">
        <f>237*0.79</f>
        <v>187.23000000000002</v>
      </c>
      <c r="F6" s="79">
        <f>290+79</f>
        <v>369</v>
      </c>
      <c r="G6" s="3">
        <f>'DJB Daily Readings'!C14-'DJB Daily Readings'!C13</f>
        <v>506</v>
      </c>
      <c r="H6" s="3">
        <f>'DJB Daily Readings'!F14-'DJB Daily Readings'!F13</f>
        <v>431</v>
      </c>
      <c r="I6" s="3">
        <f>'DJB Daily Readings'!K14-'DJB Daily Readings'!K13</f>
        <v>180</v>
      </c>
      <c r="J6" s="3">
        <f>'DJB Daily Readings'!K14-'DJB Daily Readings'!K13</f>
        <v>180</v>
      </c>
      <c r="K6" s="3">
        <f>'DJB Daily Readings'!O14-'DJB Daily Readings'!O13</f>
        <v>34</v>
      </c>
      <c r="L6" s="3">
        <f>'DJB Daily Readings'!R14-'DJB Daily Readings'!R13</f>
        <v>12</v>
      </c>
      <c r="M6" s="3">
        <f>'DJB Daily Readings'!U14-'DJB Daily Readings'!U13</f>
        <v>3751.4399999994785</v>
      </c>
      <c r="N6" s="3">
        <f>'DJB Daily Readings'!X14-'DJB Daily Readings'!X13</f>
        <v>4482.2400000002235</v>
      </c>
      <c r="O6" s="3">
        <f>'DJB Daily Readings'!AA14-'DJB Daily Readings'!AA13</f>
        <v>5651.5200000014156</v>
      </c>
      <c r="P6" s="3">
        <f>'DJB Daily Readings'!AD14-'DJB Daily Readings'!AD13</f>
        <v>48.720000002533197</v>
      </c>
      <c r="Q6" s="3">
        <f>'DJB Daily Readings'!AG14-'DJB Daily Readings'!AG13</f>
        <v>0</v>
      </c>
      <c r="R6" s="3">
        <f>'DJB Daily Readings'!AJ14-'DJB Daily Readings'!AJ13</f>
        <v>5310.480000000447</v>
      </c>
      <c r="S6" s="3">
        <f>'DJB Daily Readings'!AM14-'DJB Daily Readings'!AM13</f>
        <v>3946.3199999984354</v>
      </c>
      <c r="T6" s="3">
        <f>'DJB Daily Readings'!AP14-'DJB Daily Readings'!AP13</f>
        <v>4043.7600000016391</v>
      </c>
      <c r="U6" s="3">
        <f>'DJB Daily Readings'!AS14-'DJB Daily Readings'!AS13</f>
        <v>2971.9199999999255</v>
      </c>
      <c r="V6" s="3">
        <f>'DJB Daily Readings'!AV14-'DJB Daily Readings'!AV13</f>
        <v>5651.5200000014156</v>
      </c>
      <c r="W6" s="3">
        <f>'DJB Daily Readings'!AZ14-'DJB Daily Readings'!AZ13</f>
        <v>31500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168.20999999999998</v>
      </c>
      <c r="AA6" s="3">
        <f>('DJB Daily Readings'!CN14-'DJB Daily Readings'!CN13)*1.89</f>
        <v>185.22</v>
      </c>
      <c r="AB6" s="3">
        <f>('DJB Daily Readings'!CQ14-'DJB Daily Readings'!CQ13)*1.89</f>
        <v>721.98</v>
      </c>
      <c r="AC6" s="3">
        <f>'DJB Daily Readings'!CT14-'DJB Daily Readings'!CT13</f>
        <v>255</v>
      </c>
      <c r="AD6" s="84">
        <f>('DJB Daily Readings'!BY14-'DJB Daily Readings'!BY13)*1.89</f>
        <v>34.019999999999996</v>
      </c>
      <c r="AE6" s="84">
        <f>('DJB Daily Readings'!CA14-'DJB Daily Readings'!CA13)*1.89</f>
        <v>24.57</v>
      </c>
      <c r="AF6" s="84">
        <f>('DJB Daily Readings'!CC14-'DJB Daily Readings'!CC13)*1.89</f>
        <v>15.12</v>
      </c>
      <c r="AG6" s="84">
        <f>('DJB Daily Readings'!CE14-'DJB Daily Readings'!CE13)*1.89</f>
        <v>15.12</v>
      </c>
      <c r="AH6" s="84">
        <f>('DJB Daily Readings'!CG14-'DJB Daily Readings'!CG13)*1.89</f>
        <v>28.349999999999998</v>
      </c>
      <c r="AI6" s="84">
        <f>('DJB Daily Readings'!CI14-'DJB Daily Readings'!CI13)*1.89</f>
        <v>54.809999999999995</v>
      </c>
      <c r="AJ6" s="81">
        <f>'DJB Daily Readings'!CY14-'DJB Daily Readings'!CY13</f>
        <v>4</v>
      </c>
      <c r="AK6" s="81">
        <f>'DJB Daily Readings'!CW14-'DJB Daily Readings'!CW13</f>
        <v>2</v>
      </c>
      <c r="AL6" s="82">
        <f>'DJB Daily Readings'!DC14-'DJB Daily Readings'!DC13</f>
        <v>12</v>
      </c>
      <c r="AM6" s="82">
        <f>'DJB Daily Readings'!DA14-'DJB Daily Readings'!DA13</f>
        <v>14</v>
      </c>
      <c r="AN6" s="82">
        <f>'DJB Daily Readings'!DG14-'DJB Daily Readings'!DG13</f>
        <v>8</v>
      </c>
      <c r="AO6" s="82">
        <f>'DJB Daily Readings'!DE14-'DJB Daily Readings'!DE13</f>
        <v>13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3</v>
      </c>
      <c r="AS6" s="82">
        <f>'DJB Daily Readings'!DM14-'DJB Daily Readings'!DM13</f>
        <v>8</v>
      </c>
      <c r="AT6" s="82">
        <f>'DJB Daily Readings'!DQ14-'DJB Daily Readings'!DQ13</f>
        <v>6</v>
      </c>
      <c r="AU6" s="82">
        <f>'DJB Daily Readings'!DT14-'DJB Daily Readings'!DT13</f>
        <v>8</v>
      </c>
      <c r="AW6" s="82">
        <f>'DJB Daily Readings'!DX14-'DJB Daily Readings'!DX13</f>
        <v>6.9000000000000057</v>
      </c>
      <c r="AX6" s="82">
        <f>'DJB Daily Readings'!DZ14-'DJB Daily Readings'!DZ13</f>
        <v>0</v>
      </c>
      <c r="AY6" s="82">
        <f>'DJB Daily Readings'!EB14-'DJB Daily Readings'!EB13</f>
        <v>458</v>
      </c>
      <c r="AZ6" s="82">
        <f>'DJB Daily Readings'!ED14-'DJB Daily Readings'!ED13</f>
        <v>135</v>
      </c>
      <c r="BA6" s="82">
        <f>'DJB Daily Readings'!EG14-'DJB Daily Readings'!EG13</f>
        <v>1300</v>
      </c>
      <c r="BB6" s="82">
        <f>'DJB Daily Readings'!EI14-'DJB Daily Readings'!EI13</f>
        <v>220</v>
      </c>
      <c r="BC6" s="82">
        <f>'DJB Daily Readings'!EQ14-'DJB Daily Readings'!EQ13</f>
        <v>800</v>
      </c>
      <c r="BD6" s="82">
        <f>'DJB Daily Readings'!EK14-'DJB Daily Readings'!EK13</f>
        <v>900</v>
      </c>
      <c r="BE6" s="82">
        <f>'DJB Daily Readings'!EM14-'DJB Daily Readings'!EM13</f>
        <v>0</v>
      </c>
      <c r="BF6" s="82">
        <f>'DJB Daily Readings'!EO14-'DJB Daily Readings'!EO13</f>
        <v>130</v>
      </c>
      <c r="BG6" s="82">
        <f>('DJB Daily Readings'!ET14-'DJB Daily Readings'!ET13)*1.89</f>
        <v>18.899999999999999</v>
      </c>
      <c r="BH6" s="82">
        <f>('DJB Daily Readings'!EV14-'DJB Daily Readings'!EV13)*1.89</f>
        <v>32.129999999999995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49.14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2021</v>
      </c>
      <c r="E7" s="78">
        <f>237*0.9</f>
        <v>213.3</v>
      </c>
      <c r="F7" s="79">
        <f>341+88</f>
        <v>429</v>
      </c>
      <c r="G7" s="3">
        <f>'DJB Daily Readings'!C15-'DJB Daily Readings'!C14</f>
        <v>522</v>
      </c>
      <c r="H7" s="3">
        <f>'DJB Daily Readings'!F15-'DJB Daily Readings'!F14</f>
        <v>447</v>
      </c>
      <c r="I7" s="3">
        <f>'DJB Daily Readings'!K15-'DJB Daily Readings'!K14</f>
        <v>204</v>
      </c>
      <c r="J7" s="3">
        <f>'DJB Daily Readings'!K15-'DJB Daily Readings'!K14</f>
        <v>204</v>
      </c>
      <c r="K7" s="3">
        <f>'DJB Daily Readings'!O15-'DJB Daily Readings'!O14</f>
        <v>33</v>
      </c>
      <c r="L7" s="3">
        <f>'DJB Daily Readings'!R15-'DJB Daily Readings'!R14</f>
        <v>11</v>
      </c>
      <c r="M7" s="3">
        <f>'DJB Daily Readings'!U15-'DJB Daily Readings'!U14</f>
        <v>3751.4400000004098</v>
      </c>
      <c r="N7" s="3">
        <f>'DJB Daily Readings'!X15-'DJB Daily Readings'!X14</f>
        <v>4530.9599999990314</v>
      </c>
      <c r="O7" s="3">
        <f>'DJB Daily Readings'!AA15-'DJB Daily Readings'!AA14</f>
        <v>5943.839999999851</v>
      </c>
      <c r="P7" s="3">
        <f>'DJB Daily Readings'!AD15-'DJB Daily Readings'!AD14</f>
        <v>97.439999997615814</v>
      </c>
      <c r="Q7" s="3">
        <f>'DJB Daily Readings'!AG15-'DJB Daily Readings'!AG14</f>
        <v>0</v>
      </c>
      <c r="R7" s="3">
        <f>'DJB Daily Readings'!AJ15-'DJB Daily Readings'!AJ14</f>
        <v>5310.4799999985844</v>
      </c>
      <c r="S7" s="3">
        <f>'DJB Daily Readings'!AM15-'DJB Daily Readings'!AM14</f>
        <v>4043.7600000016391</v>
      </c>
      <c r="T7" s="3">
        <f>'DJB Daily Readings'!AP15-'DJB Daily Readings'!AP14</f>
        <v>4092.4799999985844</v>
      </c>
      <c r="U7" s="3">
        <f>'DJB Daily Readings'!AS15-'DJB Daily Readings'!AS14</f>
        <v>3312.9599999990314</v>
      </c>
      <c r="V7" s="3">
        <f>'DJB Daily Readings'!AV15-'DJB Daily Readings'!AV14</f>
        <v>5846.4000000003725</v>
      </c>
      <c r="W7" s="3">
        <f>'DJB Daily Readings'!AZ15-'DJB Daily Readings'!AZ14</f>
        <v>32400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170.1</v>
      </c>
      <c r="AA7" s="3">
        <f>('DJB Daily Readings'!CN15-'DJB Daily Readings'!CN14)*1.89</f>
        <v>192.78</v>
      </c>
      <c r="AB7" s="3">
        <f>('DJB Daily Readings'!CQ15-'DJB Daily Readings'!CQ14)*1.89</f>
        <v>699.3</v>
      </c>
      <c r="AC7" s="3">
        <f>'DJB Daily Readings'!CT15-'DJB Daily Readings'!CT14</f>
        <v>261</v>
      </c>
      <c r="AD7" s="84">
        <f>('DJB Daily Readings'!BY15-'DJB Daily Readings'!BY14)*1.89</f>
        <v>35.909999999999997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16</v>
      </c>
      <c r="AM7" s="82">
        <f>'DJB Daily Readings'!DA15-'DJB Daily Readings'!DA14</f>
        <v>16</v>
      </c>
      <c r="AN7" s="82">
        <f>'DJB Daily Readings'!DG15-'DJB Daily Readings'!DG14</f>
        <v>9</v>
      </c>
      <c r="AO7" s="82">
        <f>'DJB Daily Readings'!DE15-'DJB Daily Readings'!DE14</f>
        <v>14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3</v>
      </c>
      <c r="AS7" s="82">
        <f>'DJB Daily Readings'!DM15-'DJB Daily Readings'!DM14</f>
        <v>7</v>
      </c>
      <c r="AT7" s="82">
        <f>'DJB Daily Readings'!DQ15-'DJB Daily Readings'!DQ14</f>
        <v>12</v>
      </c>
      <c r="AU7" s="82">
        <f>'DJB Daily Readings'!DT15-'DJB Daily Readings'!DT14</f>
        <v>8.9000000000000057</v>
      </c>
      <c r="AW7" s="82">
        <f>'DJB Daily Readings'!DX15-'DJB Daily Readings'!DX14</f>
        <v>7.4000000000000057</v>
      </c>
      <c r="AX7" s="82">
        <f>'DJB Daily Readings'!DZ15-'DJB Daily Readings'!DZ14</f>
        <v>0</v>
      </c>
      <c r="AY7" s="82">
        <f>'DJB Daily Readings'!EB15-'DJB Daily Readings'!EB14</f>
        <v>461</v>
      </c>
      <c r="AZ7" s="82">
        <f>'DJB Daily Readings'!ED15-'DJB Daily Readings'!ED14</f>
        <v>151</v>
      </c>
      <c r="BA7" s="82">
        <f>'DJB Daily Readings'!EG15-'DJB Daily Readings'!EG14</f>
        <v>1400</v>
      </c>
      <c r="BB7" s="82">
        <f>'DJB Daily Readings'!EI15-'DJB Daily Readings'!EI14</f>
        <v>220</v>
      </c>
      <c r="BC7" s="82">
        <f>'DJB Daily Readings'!EQ15-'DJB Daily Readings'!EQ14</f>
        <v>1000</v>
      </c>
      <c r="BD7" s="82">
        <f>'DJB Daily Readings'!EK15-'DJB Daily Readings'!EK14</f>
        <v>1000</v>
      </c>
      <c r="BE7" s="82">
        <f>'DJB Daily Readings'!EM15-'DJB Daily Readings'!EM14</f>
        <v>0</v>
      </c>
      <c r="BF7" s="82">
        <f>'DJB Daily Readings'!EO15-'DJB Daily Readings'!EO14</f>
        <v>130</v>
      </c>
      <c r="BG7" s="82">
        <f>('DJB Daily Readings'!ET15-'DJB Daily Readings'!ET14)*1.89</f>
        <v>17.009999999999998</v>
      </c>
      <c r="BH7" s="82">
        <f>('DJB Daily Readings'!EV15-'DJB Daily Readings'!EV14)*1.89</f>
        <v>41.58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54.809999999999995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2021</v>
      </c>
      <c r="E8" s="78">
        <f>237*0.95</f>
        <v>225.14999999999998</v>
      </c>
      <c r="F8" s="79">
        <f>353+94</f>
        <v>447</v>
      </c>
      <c r="G8" s="3">
        <f>'DJB Daily Readings'!C16-'DJB Daily Readings'!C15</f>
        <v>538</v>
      </c>
      <c r="H8" s="3">
        <f>'DJB Daily Readings'!F16-'DJB Daily Readings'!F15</f>
        <v>480</v>
      </c>
      <c r="I8" s="3">
        <f>'DJB Daily Readings'!K16-'DJB Daily Readings'!K15</f>
        <v>170</v>
      </c>
      <c r="J8" s="3">
        <f>'DJB Daily Readings'!K16-'DJB Daily Readings'!K15</f>
        <v>170</v>
      </c>
      <c r="K8" s="3">
        <f>'DJB Daily Readings'!O16-'DJB Daily Readings'!O15</f>
        <v>32</v>
      </c>
      <c r="L8" s="3">
        <f>'DJB Daily Readings'!R16-'DJB Daily Readings'!R15</f>
        <v>10</v>
      </c>
      <c r="M8" s="3">
        <f>'DJB Daily Readings'!U16-'DJB Daily Readings'!U15</f>
        <v>3848.8799999998882</v>
      </c>
      <c r="N8" s="3">
        <f>'DJB Daily Readings'!X16-'DJB Daily Readings'!X15</f>
        <v>4677.1200000010431</v>
      </c>
      <c r="O8" s="3">
        <f>'DJB Daily Readings'!AA16-'DJB Daily Readings'!AA15</f>
        <v>5748.9599999990314</v>
      </c>
      <c r="P8" s="3">
        <f>'DJB Daily Readings'!AD16-'DJB Daily Readings'!AD15</f>
        <v>48.720000000670552</v>
      </c>
      <c r="Q8" s="3">
        <f>'DJB Daily Readings'!AG16-'DJB Daily Readings'!AG15</f>
        <v>0</v>
      </c>
      <c r="R8" s="3">
        <f>'DJB Daily Readings'!AJ16-'DJB Daily Readings'!AJ15</f>
        <v>5505.359999999404</v>
      </c>
      <c r="S8" s="3">
        <f>'DJB Daily Readings'!AM16-'DJB Daily Readings'!AM15</f>
        <v>3946.3199999984354</v>
      </c>
      <c r="T8" s="3">
        <f>'DJB Daily Readings'!AP16-'DJB Daily Readings'!AP15</f>
        <v>4287.359999999404</v>
      </c>
      <c r="U8" s="3">
        <f>'DJB Daily Readings'!AS16-'DJB Daily Readings'!AS15</f>
        <v>3507.8400000017136</v>
      </c>
      <c r="V8" s="3">
        <f>'DJB Daily Readings'!AV16-'DJB Daily Readings'!AV15</f>
        <v>5505.359999999404</v>
      </c>
      <c r="W8" s="3">
        <f>'DJB Daily Readings'!AZ16-'DJB Daily Readings'!AZ15</f>
        <v>32400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166.32</v>
      </c>
      <c r="AA8" s="3">
        <f>('DJB Daily Readings'!CN16-'DJB Daily Readings'!CN15)*1.89</f>
        <v>190.89</v>
      </c>
      <c r="AB8" s="3">
        <f>('DJB Daily Readings'!CQ16-'DJB Daily Readings'!CQ15)*1.89</f>
        <v>746.55</v>
      </c>
      <c r="AC8" s="3">
        <f>'DJB Daily Readings'!CT16-'DJB Daily Readings'!CT15</f>
        <v>253</v>
      </c>
      <c r="AD8" s="84">
        <f>('DJB Daily Readings'!BY16-'DJB Daily Readings'!BY15)*1.89</f>
        <v>32.129999999999995</v>
      </c>
      <c r="AE8" s="84">
        <f>('DJB Daily Readings'!CA16-'DJB Daily Readings'!CA15)*1.89</f>
        <v>24.57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30.24</v>
      </c>
      <c r="AI8" s="84">
        <f>('DJB Daily Readings'!CI16-'DJB Daily Readings'!CI15)*1.89</f>
        <v>49.14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18</v>
      </c>
      <c r="AM8" s="82">
        <f>'DJB Daily Readings'!DA16-'DJB Daily Readings'!DA15</f>
        <v>18.099999999998545</v>
      </c>
      <c r="AN8" s="82">
        <f>'DJB Daily Readings'!DG16-'DJB Daily Readings'!DG15</f>
        <v>9.2000000000007276</v>
      </c>
      <c r="AO8" s="82">
        <f>'DJB Daily Readings'!DE16-'DJB Daily Readings'!DE15</f>
        <v>14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5</v>
      </c>
      <c r="AS8" s="82">
        <f>'DJB Daily Readings'!DM16-'DJB Daily Readings'!DM15</f>
        <v>7</v>
      </c>
      <c r="AT8" s="82">
        <f>'DJB Daily Readings'!DQ16-'DJB Daily Readings'!DQ15</f>
        <v>12</v>
      </c>
      <c r="AU8" s="82">
        <f>'DJB Daily Readings'!DT16-'DJB Daily Readings'!DT15</f>
        <v>8.4000000000000057</v>
      </c>
      <c r="AW8" s="82">
        <f>'DJB Daily Readings'!DX16-'DJB Daily Readings'!DX15</f>
        <v>6.7999999999999972</v>
      </c>
      <c r="AX8" s="82">
        <f>'DJB Daily Readings'!DZ16-'DJB Daily Readings'!DZ15</f>
        <v>0</v>
      </c>
      <c r="AY8" s="82">
        <f>'DJB Daily Readings'!EB16-'DJB Daily Readings'!EB15</f>
        <v>496</v>
      </c>
      <c r="AZ8" s="82">
        <f>'DJB Daily Readings'!ED16-'DJB Daily Readings'!ED15</f>
        <v>146</v>
      </c>
      <c r="BA8" s="82">
        <f>'DJB Daily Readings'!EG16-'DJB Daily Readings'!EG15</f>
        <v>1300</v>
      </c>
      <c r="BB8" s="82">
        <f>'DJB Daily Readings'!EI16-'DJB Daily Readings'!EI15</f>
        <v>220</v>
      </c>
      <c r="BC8" s="82">
        <f>'DJB Daily Readings'!EQ16-'DJB Daily Readings'!EQ15</f>
        <v>1900</v>
      </c>
      <c r="BD8" s="82">
        <f>'DJB Daily Readings'!EK16-'DJB Daily Readings'!EK15</f>
        <v>900</v>
      </c>
      <c r="BE8" s="82">
        <f>'DJB Daily Readings'!EM16-'DJB Daily Readings'!EM15</f>
        <v>0</v>
      </c>
      <c r="BF8" s="82">
        <f>'DJB Daily Readings'!EO16-'DJB Daily Readings'!EO15</f>
        <v>130</v>
      </c>
      <c r="BG8" s="82">
        <f>('DJB Daily Readings'!ET16-'DJB Daily Readings'!ET15)*1.89</f>
        <v>18.899999999999999</v>
      </c>
      <c r="BH8" s="82">
        <f>('DJB Daily Readings'!EV16-'DJB Daily Readings'!EV15)*1.89</f>
        <v>39.69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2021</v>
      </c>
      <c r="E9" s="78">
        <f>237*0.98</f>
        <v>232.26</v>
      </c>
      <c r="F9" s="79">
        <f>374+97</f>
        <v>471</v>
      </c>
      <c r="G9" s="3">
        <f>'DJB Daily Readings'!C17-'DJB Daily Readings'!C16</f>
        <v>590</v>
      </c>
      <c r="H9" s="3">
        <f>'DJB Daily Readings'!F17-'DJB Daily Readings'!F16</f>
        <v>503</v>
      </c>
      <c r="I9" s="3">
        <f>'DJB Daily Readings'!K17-'DJB Daily Readings'!K16</f>
        <v>70</v>
      </c>
      <c r="J9" s="3">
        <f>'DJB Daily Readings'!K17-'DJB Daily Readings'!K16</f>
        <v>70</v>
      </c>
      <c r="K9" s="3">
        <f>'DJB Daily Readings'!O17-'DJB Daily Readings'!O16</f>
        <v>30</v>
      </c>
      <c r="L9" s="3">
        <f>'DJB Daily Readings'!R17-'DJB Daily Readings'!R16</f>
        <v>11</v>
      </c>
      <c r="M9" s="3">
        <f>'DJB Daily Readings'!U17-'DJB Daily Readings'!U16</f>
        <v>3751.4400000004098</v>
      </c>
      <c r="N9" s="3">
        <f>'DJB Daily Readings'!X17-'DJB Daily Readings'!X16</f>
        <v>4579.679999999702</v>
      </c>
      <c r="O9" s="3">
        <f>'DJB Daily Readings'!AA17-'DJB Daily Readings'!AA16</f>
        <v>5456.640000000596</v>
      </c>
      <c r="P9" s="3">
        <f>'DJB Daily Readings'!AD17-'DJB Daily Readings'!AD16</f>
        <v>48.720000000670552</v>
      </c>
      <c r="Q9" s="3">
        <f>'DJB Daily Readings'!AG17-'DJB Daily Readings'!AG16</f>
        <v>0</v>
      </c>
      <c r="R9" s="3">
        <f>'DJB Daily Readings'!AJ17-'DJB Daily Readings'!AJ16</f>
        <v>5261.7600000016391</v>
      </c>
      <c r="S9" s="3">
        <f>'DJB Daily Readings'!AM17-'DJB Daily Readings'!AM16</f>
        <v>3800.160000000149</v>
      </c>
      <c r="T9" s="3">
        <f>'DJB Daily Readings'!AP17-'DJB Daily Readings'!AP16</f>
        <v>4287.3600000012666</v>
      </c>
      <c r="U9" s="3">
        <f>'DJB Daily Readings'!AS17-'DJB Daily Readings'!AS16</f>
        <v>3361.6799999978393</v>
      </c>
      <c r="V9" s="3">
        <f>'DJB Daily Readings'!AV17-'DJB Daily Readings'!AV16</f>
        <v>5602.7999999988824</v>
      </c>
      <c r="W9" s="3">
        <f>'DJB Daily Readings'!AZ17-'DJB Daily Readings'!AZ16</f>
        <v>30100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166.32</v>
      </c>
      <c r="AA9" s="3">
        <f>('DJB Daily Readings'!CN17-'DJB Daily Readings'!CN16)*1.89</f>
        <v>198.45</v>
      </c>
      <c r="AB9" s="3">
        <f>('DJB Daily Readings'!CQ17-'DJB Daily Readings'!CQ16)*1.89</f>
        <v>780.56999999999994</v>
      </c>
      <c r="AC9" s="3">
        <f>'DJB Daily Readings'!CT17-'DJB Daily Readings'!CT16</f>
        <v>259</v>
      </c>
      <c r="AD9" s="84">
        <f>('DJB Daily Readings'!BY17-'DJB Daily Readings'!BY16)*1.89</f>
        <v>34.019999999999996</v>
      </c>
      <c r="AE9" s="84">
        <f>('DJB Daily Readings'!CA17-'DJB Daily Readings'!CA16)*1.89</f>
        <v>26.459999999999997</v>
      </c>
      <c r="AF9" s="84">
        <f>('DJB Daily Readings'!CC17-'DJB Daily Readings'!CC16)*1.89</f>
        <v>11.34</v>
      </c>
      <c r="AG9" s="84">
        <f>('DJB Daily Readings'!CE17-'DJB Daily Readings'!CE16)*1.89</f>
        <v>15.12</v>
      </c>
      <c r="AH9" s="84">
        <f>('DJB Daily Readings'!CG17-'DJB Daily Readings'!CG16)*1.89</f>
        <v>28.349999999999998</v>
      </c>
      <c r="AI9" s="84">
        <f>('DJB Daily Readings'!CI17-'DJB Daily Readings'!CI16)*1.89</f>
        <v>47.25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19.400000000001455</v>
      </c>
      <c r="AM9" s="82">
        <f>'DJB Daily Readings'!DA17-'DJB Daily Readings'!DA16</f>
        <v>18.100000000002183</v>
      </c>
      <c r="AN9" s="82">
        <f>'DJB Daily Readings'!DG17-'DJB Daily Readings'!DG16</f>
        <v>8.7000000000007276</v>
      </c>
      <c r="AO9" s="82">
        <f>'DJB Daily Readings'!DE17-'DJB Daily Readings'!DE16</f>
        <v>14.399999999999636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4</v>
      </c>
      <c r="AS9" s="82">
        <f>'DJB Daily Readings'!DM17-'DJB Daily Readings'!DM16</f>
        <v>0</v>
      </c>
      <c r="AT9" s="82">
        <f>'DJB Daily Readings'!DQ17-'DJB Daily Readings'!DQ16</f>
        <v>6</v>
      </c>
      <c r="AU9" s="82">
        <f>'DJB Daily Readings'!DT17-'DJB Daily Readings'!DT16</f>
        <v>8.7999999999999972</v>
      </c>
      <c r="AW9" s="82">
        <f>'DJB Daily Readings'!DX17-'DJB Daily Readings'!DX16</f>
        <v>7.2000000000000028</v>
      </c>
      <c r="AX9" s="82">
        <f>'DJB Daily Readings'!DZ17-'DJB Daily Readings'!DZ16</f>
        <v>0</v>
      </c>
      <c r="AY9" s="82">
        <f>'DJB Daily Readings'!EB17-'DJB Daily Readings'!EB16</f>
        <v>500</v>
      </c>
      <c r="AZ9" s="82">
        <f>'DJB Daily Readings'!ED17-'DJB Daily Readings'!ED16</f>
        <v>148</v>
      </c>
      <c r="BA9" s="82">
        <f>'DJB Daily Readings'!EG17-'DJB Daily Readings'!EG16</f>
        <v>1200</v>
      </c>
      <c r="BB9" s="82">
        <f>'DJB Daily Readings'!EI17-'DJB Daily Readings'!EI16</f>
        <v>230</v>
      </c>
      <c r="BC9" s="82">
        <f>'DJB Daily Readings'!EQ17-'DJB Daily Readings'!EQ16</f>
        <v>0</v>
      </c>
      <c r="BD9" s="82">
        <f>'DJB Daily Readings'!EK17-'DJB Daily Readings'!EK16</f>
        <v>800</v>
      </c>
      <c r="BE9" s="82">
        <f>'DJB Daily Readings'!EM17-'DJB Daily Readings'!EM16</f>
        <v>0</v>
      </c>
      <c r="BF9" s="82">
        <f>'DJB Daily Readings'!EO17-'DJB Daily Readings'!EO16</f>
        <v>130</v>
      </c>
      <c r="BG9" s="82">
        <f>('DJB Daily Readings'!ET17-'DJB Daily Readings'!ET16)*1.89</f>
        <v>22.68</v>
      </c>
      <c r="BH9" s="82">
        <f>('DJB Daily Readings'!EV17-'DJB Daily Readings'!EV16)*1.89</f>
        <v>43.47</v>
      </c>
      <c r="BI9" s="82">
        <f>('DJB Daily Readings'!EZ17-'DJB Daily Readings'!EZ16)*1.89</f>
        <v>124.74</v>
      </c>
      <c r="BJ9" s="82">
        <f>('DJB Daily Readings'!EX17-'DJB Daily Readings'!EX16)*1.89</f>
        <v>0</v>
      </c>
      <c r="BK9" s="82">
        <f>('DJB Daily Readings'!FB17-'DJB Daily Readings'!FB16)*1.89</f>
        <v>56.699999999999996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2021</v>
      </c>
      <c r="E10" s="78">
        <f>237*0.92</f>
        <v>218.04000000000002</v>
      </c>
      <c r="F10" s="79">
        <f>365+81</f>
        <v>446</v>
      </c>
      <c r="G10" s="3">
        <f>'DJB Daily Readings'!C18-'DJB Daily Readings'!C17</f>
        <v>496</v>
      </c>
      <c r="H10" s="3">
        <f>'DJB Daily Readings'!F18-'DJB Daily Readings'!F17</f>
        <v>431</v>
      </c>
      <c r="I10" s="3">
        <f>'DJB Daily Readings'!K18-'DJB Daily Readings'!K17</f>
        <v>165</v>
      </c>
      <c r="J10" s="3">
        <f>'DJB Daily Readings'!K18-'DJB Daily Readings'!K17</f>
        <v>165</v>
      </c>
      <c r="K10" s="3">
        <f>'DJB Daily Readings'!O18-'DJB Daily Readings'!O17</f>
        <v>30</v>
      </c>
      <c r="L10" s="3">
        <f>'DJB Daily Readings'!R18-'DJB Daily Readings'!R17</f>
        <v>6</v>
      </c>
      <c r="M10" s="3">
        <f>'DJB Daily Readings'!U18-'DJB Daily Readings'!U17</f>
        <v>1997.519999999553</v>
      </c>
      <c r="N10" s="3">
        <f>'DJB Daily Readings'!X18-'DJB Daily Readings'!X17</f>
        <v>4579.679999999702</v>
      </c>
      <c r="O10" s="3">
        <f>'DJB Daily Readings'!AA18-'DJB Daily Readings'!AA17</f>
        <v>1120.5600000005215</v>
      </c>
      <c r="P10" s="3">
        <f>'DJB Daily Readings'!AD18-'DJB Daily Readings'!AD17</f>
        <v>5895.1200000010431</v>
      </c>
      <c r="Q10" s="3">
        <f>'DJB Daily Readings'!AG18-'DJB Daily Readings'!AG17</f>
        <v>48.720000000670552</v>
      </c>
      <c r="R10" s="3">
        <f>'DJB Daily Readings'!AJ18-'DJB Daily Readings'!AJ17</f>
        <v>5018.160000000149</v>
      </c>
      <c r="S10" s="3">
        <f>'DJB Daily Readings'!AM18-'DJB Daily Readings'!AM17</f>
        <v>3751.4400000013411</v>
      </c>
      <c r="T10" s="3">
        <f>'DJB Daily Readings'!AP18-'DJB Daily Readings'!AP17</f>
        <v>4043.7599999997765</v>
      </c>
      <c r="U10" s="3">
        <f>'DJB Daily Readings'!AS18-'DJB Daily Readings'!AS17</f>
        <v>3118.0800000019372</v>
      </c>
      <c r="V10" s="3">
        <f>'DJB Daily Readings'!AV18-'DJB Daily Readings'!AV17</f>
        <v>5456.640000000596</v>
      </c>
      <c r="W10" s="3">
        <f>'DJB Daily Readings'!AZ18-'DJB Daily Readings'!AZ17</f>
        <v>1900</v>
      </c>
      <c r="X10" s="3">
        <f>'DJB Daily Readings'!BC18-'DJB Daily Readings'!BC17</f>
        <v>26000</v>
      </c>
      <c r="Y10" s="3">
        <f>'DJB Daily Readings'!BF18-'DJB Daily Readings'!BF17</f>
        <v>0</v>
      </c>
      <c r="Z10" s="3">
        <f>('DJB Daily Readings'!CK18-'DJB Daily Readings'!CK17)*1.89</f>
        <v>162.54</v>
      </c>
      <c r="AA10" s="3">
        <f>('DJB Daily Readings'!CN18-'DJB Daily Readings'!CN17)*1.89</f>
        <v>187.10999999999999</v>
      </c>
      <c r="AB10" s="3">
        <f>('DJB Daily Readings'!CQ18-'DJB Daily Readings'!CQ17)*1.89</f>
        <v>786.24</v>
      </c>
      <c r="AC10" s="3">
        <f>'DJB Daily Readings'!CT18-'DJB Daily Readings'!CT17</f>
        <v>253</v>
      </c>
      <c r="AD10" s="84">
        <f>('DJB Daily Readings'!BY18-'DJB Daily Readings'!BY17)*1.89</f>
        <v>30.24</v>
      </c>
      <c r="AE10" s="84">
        <f>('DJB Daily Readings'!CA18-'DJB Daily Readings'!CA17)*1.89</f>
        <v>28.349999999999998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30.24</v>
      </c>
      <c r="AI10" s="84">
        <f>('DJB Daily Readings'!CI18-'DJB Daily Readings'!CI17)*1.89</f>
        <v>26.459999999999997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11.399999999997817</v>
      </c>
      <c r="AM10" s="82">
        <f>'DJB Daily Readings'!DA18-'DJB Daily Readings'!DA17</f>
        <v>15</v>
      </c>
      <c r="AN10" s="82">
        <f>'DJB Daily Readings'!DG18-'DJB Daily Readings'!DG17</f>
        <v>8.3999999999978172</v>
      </c>
      <c r="AO10" s="82">
        <f>'DJB Daily Readings'!DE18-'DJB Daily Readings'!DE17</f>
        <v>14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3</v>
      </c>
      <c r="AS10" s="82">
        <f>'DJB Daily Readings'!DM18-'DJB Daily Readings'!DM17</f>
        <v>16</v>
      </c>
      <c r="AT10" s="82">
        <f>'DJB Daily Readings'!DQ18-'DJB Daily Readings'!DQ17</f>
        <v>11</v>
      </c>
      <c r="AU10" s="82">
        <f>'DJB Daily Readings'!DT18-'DJB Daily Readings'!DT17</f>
        <v>8.6000000000000085</v>
      </c>
      <c r="AW10" s="82">
        <f>'DJB Daily Readings'!DX18-'DJB Daily Readings'!DX17</f>
        <v>7.2999999999999972</v>
      </c>
      <c r="AX10" s="82">
        <f>'DJB Daily Readings'!DZ18-'DJB Daily Readings'!DZ17</f>
        <v>0</v>
      </c>
      <c r="AY10" s="82">
        <f>'DJB Daily Readings'!EB18-'DJB Daily Readings'!EB17</f>
        <v>480</v>
      </c>
      <c r="AZ10" s="82">
        <f>'DJB Daily Readings'!ED18-'DJB Daily Readings'!ED17</f>
        <v>151.10000000000582</v>
      </c>
      <c r="BA10" s="82">
        <f>'DJB Daily Readings'!EG18-'DJB Daily Readings'!EG17</f>
        <v>0</v>
      </c>
      <c r="BB10" s="82">
        <f>'DJB Daily Readings'!EI18-'DJB Daily Readings'!EI17</f>
        <v>0</v>
      </c>
      <c r="BC10" s="82">
        <f>'DJB Daily Readings'!EQ18-'DJB Daily Readings'!EQ17</f>
        <v>0</v>
      </c>
      <c r="BD10" s="82">
        <f>'DJB Daily Readings'!EK18-'DJB Daily Readings'!EK17</f>
        <v>0</v>
      </c>
      <c r="BE10" s="82">
        <f>'DJB Daily Readings'!EM18-'DJB Daily Readings'!EM17</f>
        <v>0</v>
      </c>
      <c r="BF10" s="82">
        <f>'DJB Daily Readings'!EO18-'DJB Daily Readings'!EO17</f>
        <v>0</v>
      </c>
      <c r="BG10" s="82">
        <f>('DJB Daily Readings'!ET18-'DJB Daily Readings'!ET17)*1.89</f>
        <v>20.79</v>
      </c>
      <c r="BH10" s="82">
        <f>('DJB Daily Readings'!EV18-'DJB Daily Readings'!EV17)*1.89</f>
        <v>37.799999999999997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2021</v>
      </c>
      <c r="E11" s="78">
        <f>237*0.93</f>
        <v>220.41000000000003</v>
      </c>
      <c r="F11" s="79">
        <f>356+74</f>
        <v>430</v>
      </c>
      <c r="G11" s="3">
        <f>'DJB Daily Readings'!C19-'DJB Daily Readings'!C18</f>
        <v>495</v>
      </c>
      <c r="H11" s="3">
        <f>'DJB Daily Readings'!F19-'DJB Daily Readings'!F18</f>
        <v>423</v>
      </c>
      <c r="I11" s="3">
        <f>'DJB Daily Readings'!K19-'DJB Daily Readings'!K18</f>
        <v>171</v>
      </c>
      <c r="J11" s="3">
        <f>'DJB Daily Readings'!K19-'DJB Daily Readings'!K18</f>
        <v>171</v>
      </c>
      <c r="K11" s="3">
        <f>'DJB Daily Readings'!O19-'DJB Daily Readings'!O18</f>
        <v>30</v>
      </c>
      <c r="L11" s="3">
        <f>'DJB Daily Readings'!R19-'DJB Daily Readings'!R18</f>
        <v>0</v>
      </c>
      <c r="M11" s="3">
        <f>'DJB Daily Readings'!U19-'DJB Daily Readings'!U18</f>
        <v>1900.0800000000745</v>
      </c>
      <c r="N11" s="3">
        <f>'DJB Daily Readings'!X19-'DJB Daily Readings'!X18</f>
        <v>4482.2400000002235</v>
      </c>
      <c r="O11" s="3">
        <f>'DJB Daily Readings'!AA19-'DJB Daily Readings'!AA18</f>
        <v>876.95999999903142</v>
      </c>
      <c r="P11" s="3">
        <f>'DJB Daily Readings'!AD19-'DJB Daily Readings'!AD18</f>
        <v>6382.3199999984354</v>
      </c>
      <c r="Q11" s="3">
        <f>'DJB Daily Readings'!AG19-'DJB Daily Readings'!AG18</f>
        <v>0</v>
      </c>
      <c r="R11" s="3">
        <f>'DJB Daily Readings'!AJ19-'DJB Daily Readings'!AJ18</f>
        <v>5602.8000000007451</v>
      </c>
      <c r="S11" s="3">
        <f>'DJB Daily Readings'!AM19-'DJB Daily Readings'!AM18</f>
        <v>3751.4399999994785</v>
      </c>
      <c r="T11" s="3">
        <f>'DJB Daily Readings'!AP19-'DJB Daily Readings'!AP18</f>
        <v>3946.320000000298</v>
      </c>
      <c r="U11" s="3">
        <f>'DJB Daily Readings'!AS19-'DJB Daily Readings'!AS18</f>
        <v>3020.640000000596</v>
      </c>
      <c r="V11" s="3">
        <f>'DJB Daily Readings'!AV19-'DJB Daily Readings'!AV18</f>
        <v>5505.359999999404</v>
      </c>
      <c r="W11" s="3">
        <f>'DJB Daily Readings'!AZ19-'DJB Daily Readings'!AZ18</f>
        <v>0</v>
      </c>
      <c r="X11" s="3">
        <f>'DJB Daily Readings'!BC19-'DJB Daily Readings'!BC18</f>
        <v>28000</v>
      </c>
      <c r="Y11" s="3">
        <f>'DJB Daily Readings'!BF19-'DJB Daily Readings'!BF18</f>
        <v>0</v>
      </c>
      <c r="Z11" s="3">
        <f>('DJB Daily Readings'!CK19-'DJB Daily Readings'!CK18)*1.89</f>
        <v>166.32</v>
      </c>
      <c r="AA11" s="3">
        <f>('DJB Daily Readings'!CN19-'DJB Daily Readings'!CN18)*1.89</f>
        <v>192.78</v>
      </c>
      <c r="AB11" s="3">
        <f>('DJB Daily Readings'!CQ19-'DJB Daily Readings'!CQ18)*1.89</f>
        <v>1067.8499999999999</v>
      </c>
      <c r="AC11" s="3">
        <f>'DJB Daily Readings'!CT19-'DJB Daily Readings'!CT18</f>
        <v>257</v>
      </c>
      <c r="AD11" s="84">
        <f>('DJB Daily Readings'!BY19-'DJB Daily Readings'!BY18)*1.89</f>
        <v>34.019999999999996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15.12</v>
      </c>
      <c r="AH11" s="84">
        <f>('DJB Daily Readings'!CG19-'DJB Daily Readings'!CG18)*1.89</f>
        <v>26.459999999999997</v>
      </c>
      <c r="AI11" s="84">
        <f>('DJB Daily Readings'!CI19-'DJB Daily Readings'!CI18)*1.89</f>
        <v>35.909999999999997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13.200000000000728</v>
      </c>
      <c r="AM11" s="82">
        <f>'DJB Daily Readings'!DA19-'DJB Daily Readings'!DA18</f>
        <v>12.799999999999272</v>
      </c>
      <c r="AN11" s="82">
        <f>'DJB Daily Readings'!DG19-'DJB Daily Readings'!DG18</f>
        <v>7.7000000000007276</v>
      </c>
      <c r="AO11" s="82">
        <f>'DJB Daily Readings'!DE19-'DJB Daily Readings'!DE18</f>
        <v>12.600000000000364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2</v>
      </c>
      <c r="AS11" s="82">
        <f>'DJB Daily Readings'!DM19-'DJB Daily Readings'!DM18</f>
        <v>7</v>
      </c>
      <c r="AT11" s="82">
        <f>'DJB Daily Readings'!DQ19-'DJB Daily Readings'!DQ18</f>
        <v>12</v>
      </c>
      <c r="AU11" s="82">
        <f>'DJB Daily Readings'!DT19-'DJB Daily Readings'!DT18</f>
        <v>8.5</v>
      </c>
      <c r="AW11" s="82">
        <f>'DJB Daily Readings'!DX19-'DJB Daily Readings'!DX18</f>
        <v>7.0999999999999943</v>
      </c>
      <c r="AX11" s="82">
        <f>'DJB Daily Readings'!DZ19-'DJB Daily Readings'!DZ18</f>
        <v>0</v>
      </c>
      <c r="AY11" s="82">
        <f>'DJB Daily Readings'!EB19-'DJB Daily Readings'!EB18</f>
        <v>440</v>
      </c>
      <c r="AZ11" s="82">
        <f>'DJB Daily Readings'!ED19-'DJB Daily Readings'!ED18</f>
        <v>151.89999999999418</v>
      </c>
      <c r="BA11" s="82">
        <f>'DJB Daily Readings'!EG19-'DJB Daily Readings'!EG18</f>
        <v>0</v>
      </c>
      <c r="BB11" s="82">
        <f>'DJB Daily Readings'!EI19-'DJB Daily Readings'!EI18</f>
        <v>0</v>
      </c>
      <c r="BC11" s="82">
        <f>'DJB Daily Readings'!EQ19-'DJB Daily Readings'!EQ18</f>
        <v>0</v>
      </c>
      <c r="BD11" s="82">
        <f>'DJB Daily Readings'!EK19-'DJB Daily Readings'!EK18</f>
        <v>0</v>
      </c>
      <c r="BE11" s="82">
        <f>'DJB Daily Readings'!EM19-'DJB Daily Readings'!EM18</f>
        <v>0</v>
      </c>
      <c r="BF11" s="82">
        <f>'DJB Daily Readings'!EO19-'DJB Daily Readings'!EO18</f>
        <v>0</v>
      </c>
      <c r="BG11" s="82">
        <f>('DJB Daily Readings'!ET19-'DJB Daily Readings'!ET18)*1.89</f>
        <v>26.459999999999997</v>
      </c>
      <c r="BH11" s="82">
        <f>('DJB Daily Readings'!EV19-'DJB Daily Readings'!EV18)*1.89</f>
        <v>35.909999999999997</v>
      </c>
      <c r="BI11" s="82">
        <f>('DJB Daily Readings'!EZ19-'DJB Daily Readings'!EZ18)*1.89</f>
        <v>60.48</v>
      </c>
      <c r="BJ11" s="82">
        <f>('DJB Daily Readings'!EX19-'DJB Daily Readings'!EX18)*1.89</f>
        <v>0</v>
      </c>
      <c r="BK11" s="82">
        <f>('DJB Daily Readings'!FB19-'DJB Daily Readings'!FB18)*1.89</f>
        <v>52.919999999999995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2021</v>
      </c>
      <c r="E12" s="78">
        <f>237*0.84</f>
        <v>199.07999999999998</v>
      </c>
      <c r="F12" s="79">
        <f>348+70</f>
        <v>418</v>
      </c>
      <c r="G12" s="3">
        <f>'DJB Daily Readings'!C20-'DJB Daily Readings'!C19</f>
        <v>466</v>
      </c>
      <c r="H12" s="3">
        <f>'DJB Daily Readings'!F20-'DJB Daily Readings'!F19</f>
        <v>412</v>
      </c>
      <c r="I12" s="3">
        <f>'DJB Daily Readings'!K20-'DJB Daily Readings'!K19</f>
        <v>177</v>
      </c>
      <c r="J12" s="3">
        <f>'DJB Daily Readings'!K20-'DJB Daily Readings'!K19</f>
        <v>177</v>
      </c>
      <c r="K12" s="3">
        <f>'DJB Daily Readings'!O20-'DJB Daily Readings'!O19</f>
        <v>28</v>
      </c>
      <c r="L12" s="3">
        <f>'DJB Daily Readings'!R20-'DJB Daily Readings'!R19</f>
        <v>0</v>
      </c>
      <c r="M12" s="3">
        <f>'DJB Daily Readings'!U20-'DJB Daily Readings'!U19</f>
        <v>1851.359999999404</v>
      </c>
      <c r="N12" s="3">
        <f>'DJB Daily Readings'!X20-'DJB Daily Readings'!X19</f>
        <v>4530.9599999990314</v>
      </c>
      <c r="O12" s="3">
        <f>'DJB Daily Readings'!AA20-'DJB Daily Readings'!AA19</f>
        <v>828.24000000022352</v>
      </c>
      <c r="P12" s="3">
        <f>'DJB Daily Readings'!AD20-'DJB Daily Readings'!AD19</f>
        <v>6090</v>
      </c>
      <c r="Q12" s="3">
        <f>'DJB Daily Readings'!AG20-'DJB Daily Readings'!AG19</f>
        <v>0</v>
      </c>
      <c r="R12" s="3">
        <f>'DJB Daily Readings'!AJ20-'DJB Daily Readings'!AJ19</f>
        <v>5456.640000000596</v>
      </c>
      <c r="S12" s="3">
        <f>'DJB Daily Readings'!AM20-'DJB Daily Readings'!AM19</f>
        <v>3897.5999999996275</v>
      </c>
      <c r="T12" s="3">
        <f>'DJB Daily Readings'!AP20-'DJB Daily Readings'!AP19</f>
        <v>3800.160000000149</v>
      </c>
      <c r="U12" s="3">
        <f>'DJB Daily Readings'!AS20-'DJB Daily Readings'!AS19</f>
        <v>3312.9599999990314</v>
      </c>
      <c r="V12" s="3">
        <f>'DJB Daily Readings'!AV20-'DJB Daily Readings'!AV19</f>
        <v>5554.0800000000745</v>
      </c>
      <c r="W12" s="3">
        <f>'DJB Daily Readings'!AZ20-'DJB Daily Readings'!AZ19</f>
        <v>0</v>
      </c>
      <c r="X12" s="3">
        <f>'DJB Daily Readings'!BC20-'DJB Daily Readings'!BC19</f>
        <v>26800</v>
      </c>
      <c r="Y12" s="3">
        <f>'DJB Daily Readings'!BF20-'DJB Daily Readings'!BF19</f>
        <v>0</v>
      </c>
      <c r="Z12" s="3">
        <f>('DJB Daily Readings'!CK20-'DJB Daily Readings'!CK19)*1.89</f>
        <v>209.79</v>
      </c>
      <c r="AA12" s="3">
        <f>('DJB Daily Readings'!CN20-'DJB Daily Readings'!CN19)*1.89</f>
        <v>187.10999999999999</v>
      </c>
      <c r="AB12" s="3">
        <f>('DJB Daily Readings'!CQ20-'DJB Daily Readings'!CQ19)*1.89</f>
        <v>1075.4099999999999</v>
      </c>
      <c r="AC12" s="3">
        <f>'DJB Daily Readings'!CT20-'DJB Daily Readings'!CT19</f>
        <v>257</v>
      </c>
      <c r="AD12" s="84">
        <f>('DJB Daily Readings'!BY20-'DJB Daily Readings'!BY19)*1.89</f>
        <v>30.24</v>
      </c>
      <c r="AE12" s="84">
        <f>('DJB Daily Readings'!CA20-'DJB Daily Readings'!CA19)*1.89</f>
        <v>7.56</v>
      </c>
      <c r="AF12" s="84">
        <f>('DJB Daily Readings'!CC20-'DJB Daily Readings'!CC19)*1.89</f>
        <v>13.229999999999999</v>
      </c>
      <c r="AG12" s="84">
        <f>('DJB Daily Readings'!CE20-'DJB Daily Readings'!CE19)*1.89</f>
        <v>15.12</v>
      </c>
      <c r="AH12" s="84">
        <f>('DJB Daily Readings'!CG20-'DJB Daily Readings'!CG19)*1.89</f>
        <v>30.24</v>
      </c>
      <c r="AI12" s="84">
        <f>('DJB Daily Readings'!CI20-'DJB Daily Readings'!CI19)*1.89</f>
        <v>37.799999999999997</v>
      </c>
      <c r="AJ12" s="81">
        <f>'DJB Daily Readings'!CY20-'DJB Daily Readings'!CY19</f>
        <v>18</v>
      </c>
      <c r="AK12" s="81">
        <f>'DJB Daily Readings'!CW20-'DJB Daily Readings'!CW19</f>
        <v>72</v>
      </c>
      <c r="AL12" s="82">
        <f>'DJB Daily Readings'!DC20-'DJB Daily Readings'!DC19</f>
        <v>12</v>
      </c>
      <c r="AM12" s="82">
        <f>'DJB Daily Readings'!DA20-'DJB Daily Readings'!DA19</f>
        <v>13</v>
      </c>
      <c r="AN12" s="82">
        <f>'DJB Daily Readings'!DG20-'DJB Daily Readings'!DG19</f>
        <v>7</v>
      </c>
      <c r="AO12" s="82">
        <f>'DJB Daily Readings'!DE20-'DJB Daily Readings'!DE19</f>
        <v>12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2</v>
      </c>
      <c r="AS12" s="82">
        <f>'DJB Daily Readings'!DM20-'DJB Daily Readings'!DM19</f>
        <v>8</v>
      </c>
      <c r="AT12" s="82">
        <f>'DJB Daily Readings'!DQ20-'DJB Daily Readings'!DQ19</f>
        <v>13</v>
      </c>
      <c r="AU12" s="82">
        <f>'DJB Daily Readings'!DT20-'DJB Daily Readings'!DT19</f>
        <v>8.0999999999999943</v>
      </c>
      <c r="AW12" s="82">
        <f>'DJB Daily Readings'!DX20-'DJB Daily Readings'!DX19</f>
        <v>6.9000000000000057</v>
      </c>
      <c r="AX12" s="82">
        <f>'DJB Daily Readings'!DZ20-'DJB Daily Readings'!DZ19</f>
        <v>8</v>
      </c>
      <c r="AY12" s="82">
        <f>'DJB Daily Readings'!EB20-'DJB Daily Readings'!EB19</f>
        <v>440</v>
      </c>
      <c r="AZ12" s="82">
        <f>'DJB Daily Readings'!ED20-'DJB Daily Readings'!ED19</f>
        <v>146</v>
      </c>
      <c r="BA12" s="82">
        <f>'DJB Daily Readings'!EG20-'DJB Daily Readings'!EG19</f>
        <v>3600</v>
      </c>
      <c r="BB12" s="82">
        <f>'DJB Daily Readings'!EI20-'DJB Daily Readings'!EI19</f>
        <v>640</v>
      </c>
      <c r="BC12" s="82">
        <f>'DJB Daily Readings'!EQ20-'DJB Daily Readings'!EQ19</f>
        <v>2100</v>
      </c>
      <c r="BD12" s="82">
        <f>'DJB Daily Readings'!EK20-'DJB Daily Readings'!EK19</f>
        <v>2500</v>
      </c>
      <c r="BE12" s="82">
        <f>'DJB Daily Readings'!EM20-'DJB Daily Readings'!EM19</f>
        <v>100</v>
      </c>
      <c r="BF12" s="82">
        <f>'DJB Daily Readings'!EO20-'DJB Daily Readings'!EO19</f>
        <v>380</v>
      </c>
      <c r="BG12" s="82">
        <f>('DJB Daily Readings'!ET20-'DJB Daily Readings'!ET19)*1.89</f>
        <v>22.68</v>
      </c>
      <c r="BH12" s="82">
        <f>('DJB Daily Readings'!EV20-'DJB Daily Readings'!EV19)*1.89</f>
        <v>34.019999999999996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52.919999999999995</v>
      </c>
    </row>
    <row r="13" spans="1:65" x14ac:dyDescent="0.25">
      <c r="A13" t="s">
        <v>59</v>
      </c>
      <c r="B13">
        <f t="shared" si="0"/>
        <v>12</v>
      </c>
      <c r="C13">
        <v>1</v>
      </c>
      <c r="D13">
        <v>2021</v>
      </c>
      <c r="E13" s="78">
        <f>237*0.85</f>
        <v>201.45</v>
      </c>
      <c r="F13" s="79">
        <f>342+67</f>
        <v>409</v>
      </c>
      <c r="G13" s="3">
        <f>'DJB Daily Readings'!C21-'DJB Daily Readings'!C20</f>
        <v>485</v>
      </c>
      <c r="H13" s="3">
        <f>'DJB Daily Readings'!F21-'DJB Daily Readings'!F20</f>
        <v>410</v>
      </c>
      <c r="I13" s="3">
        <f>'DJB Daily Readings'!K21-'DJB Daily Readings'!K20</f>
        <v>95</v>
      </c>
      <c r="J13" s="3">
        <f>'DJB Daily Readings'!K21-'DJB Daily Readings'!K20</f>
        <v>95</v>
      </c>
      <c r="K13" s="3">
        <f>'DJB Daily Readings'!O21-'DJB Daily Readings'!O20</f>
        <v>29</v>
      </c>
      <c r="L13" s="3">
        <f>'DJB Daily Readings'!R21-'DJB Daily Readings'!R20</f>
        <v>0</v>
      </c>
      <c r="M13" s="3">
        <f>'DJB Daily Readings'!U21-'DJB Daily Readings'!U20</f>
        <v>1656.480000000447</v>
      </c>
      <c r="N13" s="3">
        <f>'DJB Daily Readings'!X21-'DJB Daily Readings'!X20</f>
        <v>4482.2400000020862</v>
      </c>
      <c r="O13" s="3">
        <f>'DJB Daily Readings'!AA21-'DJB Daily Readings'!AA20</f>
        <v>146.16000000014901</v>
      </c>
      <c r="P13" s="3">
        <f>'DJB Daily Readings'!AD21-'DJB Daily Readings'!AD20</f>
        <v>6479.7599999997765</v>
      </c>
      <c r="Q13" s="3">
        <f>'DJB Daily Readings'!AG21-'DJB Daily Readings'!AG20</f>
        <v>0</v>
      </c>
      <c r="R13" s="3">
        <f>'DJB Daily Readings'!AJ21-'DJB Daily Readings'!AJ20</f>
        <v>5310.4799999985844</v>
      </c>
      <c r="S13" s="3">
        <f>'DJB Daily Readings'!AM21-'DJB Daily Readings'!AM20</f>
        <v>4092.480000000447</v>
      </c>
      <c r="T13" s="3">
        <f>'DJB Daily Readings'!AP21-'DJB Daily Readings'!AP20</f>
        <v>3897.5999999996275</v>
      </c>
      <c r="U13" s="3">
        <f>'DJB Daily Readings'!AS21-'DJB Daily Readings'!AS20</f>
        <v>3507.839999999851</v>
      </c>
      <c r="V13" s="3">
        <f>'DJB Daily Readings'!AV21-'DJB Daily Readings'!AV20</f>
        <v>5407.9199999999255</v>
      </c>
      <c r="W13" s="3">
        <f>'DJB Daily Readings'!AZ21-'DJB Daily Readings'!AZ20</f>
        <v>0</v>
      </c>
      <c r="X13" s="3">
        <f>'DJB Daily Readings'!BC21-'DJB Daily Readings'!BC20</f>
        <v>26100</v>
      </c>
      <c r="Y13" s="3">
        <f>'DJB Daily Readings'!BF21-'DJB Daily Readings'!BF20</f>
        <v>0</v>
      </c>
      <c r="Z13" s="3">
        <f>('DJB Daily Readings'!CK21-'DJB Daily Readings'!CK20)*1.89</f>
        <v>124.74</v>
      </c>
      <c r="AA13" s="3">
        <f>('DJB Daily Readings'!CN21-'DJB Daily Readings'!CN20)*1.89</f>
        <v>189</v>
      </c>
      <c r="AB13" s="3">
        <f>('DJB Daily Readings'!CQ21-'DJB Daily Readings'!CQ20)*1.89</f>
        <v>1060.29</v>
      </c>
      <c r="AC13" s="3">
        <f>'DJB Daily Readings'!CT21-'DJB Daily Readings'!CT20</f>
        <v>266</v>
      </c>
      <c r="AD13" s="84">
        <f>('DJB Daily Readings'!BY21-'DJB Daily Readings'!BY20)*1.89</f>
        <v>26.459999999999997</v>
      </c>
      <c r="AE13" s="84">
        <f>('DJB Daily Readings'!CA21-'DJB Daily Readings'!CA20)*1.89</f>
        <v>49.14</v>
      </c>
      <c r="AF13" s="84">
        <f>('DJB Daily Readings'!CC21-'DJB Daily Readings'!CC20)*1.89</f>
        <v>15.12</v>
      </c>
      <c r="AG13" s="84">
        <f>('DJB Daily Readings'!CE21-'DJB Daily Readings'!CE20)*1.89</f>
        <v>30.24</v>
      </c>
      <c r="AH13" s="84">
        <f>('DJB Daily Readings'!CG21-'DJB Daily Readings'!CG20)*1.89</f>
        <v>28.349999999999998</v>
      </c>
      <c r="AI13" s="84">
        <f>('DJB Daily Readings'!CI21-'DJB Daily Readings'!CI20)*1.89</f>
        <v>0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14</v>
      </c>
      <c r="AM13" s="82">
        <f>'DJB Daily Readings'!DA21-'DJB Daily Readings'!DA20</f>
        <v>12</v>
      </c>
      <c r="AN13" s="82">
        <f>'DJB Daily Readings'!DG21-'DJB Daily Readings'!DG20</f>
        <v>8</v>
      </c>
      <c r="AO13" s="82">
        <f>'DJB Daily Readings'!DE21-'DJB Daily Readings'!DE20</f>
        <v>14</v>
      </c>
      <c r="AP13" s="82">
        <f>'DJB Daily Readings'!DK21-'DJB Daily Readings'!DK20</f>
        <v>0</v>
      </c>
      <c r="AQ13" s="82">
        <f>'DJB Daily Readings'!DI21-'DJB Daily Readings'!DI20</f>
        <v>1</v>
      </c>
      <c r="AR13" s="82">
        <f>'DJB Daily Readings'!DO21-'DJB Daily Readings'!DO20</f>
        <v>1</v>
      </c>
      <c r="AS13" s="82">
        <f>'DJB Daily Readings'!DM21-'DJB Daily Readings'!DM20</f>
        <v>8</v>
      </c>
      <c r="AT13" s="82">
        <f>'DJB Daily Readings'!DQ21-'DJB Daily Readings'!DQ20</f>
        <v>0</v>
      </c>
      <c r="AU13" s="82">
        <f>'DJB Daily Readings'!DT21-'DJB Daily Readings'!DT20</f>
        <v>8.0999999999999943</v>
      </c>
      <c r="AW13" s="82">
        <f>'DJB Daily Readings'!DX21-'DJB Daily Readings'!DX20</f>
        <v>7.1000000000000085</v>
      </c>
      <c r="AX13" s="82">
        <f>'DJB Daily Readings'!DZ21-'DJB Daily Readings'!DZ20</f>
        <v>26</v>
      </c>
      <c r="AY13" s="82">
        <f>'DJB Daily Readings'!EB21-'DJB Daily Readings'!EB20</f>
        <v>439</v>
      </c>
      <c r="AZ13" s="82">
        <f>'DJB Daily Readings'!ED21-'DJB Daily Readings'!ED20</f>
        <v>157</v>
      </c>
      <c r="BA13" s="82">
        <f>'DJB Daily Readings'!EG21-'DJB Daily Readings'!EG20</f>
        <v>0</v>
      </c>
      <c r="BB13" s="82">
        <f>'DJB Daily Readings'!EI21-'DJB Daily Readings'!EI20</f>
        <v>0</v>
      </c>
      <c r="BC13" s="82">
        <f>'DJB Daily Readings'!EQ21-'DJB Daily Readings'!EQ20</f>
        <v>0</v>
      </c>
      <c r="BD13" s="82">
        <f>'DJB Daily Readings'!EK21-'DJB Daily Readings'!EK20</f>
        <v>0</v>
      </c>
      <c r="BE13" s="82">
        <f>'DJB Daily Readings'!EM21-'DJB Daily Readings'!EM20</f>
        <v>0</v>
      </c>
      <c r="BF13" s="82">
        <f>'DJB Daily Readings'!EO21-'DJB Daily Readings'!EO20</f>
        <v>0</v>
      </c>
      <c r="BG13" s="82">
        <f>('DJB Daily Readings'!ET21-'DJB Daily Readings'!ET20)*1.89</f>
        <v>22.68</v>
      </c>
      <c r="BH13" s="82">
        <f>('DJB Daily Readings'!EV21-'DJB Daily Readings'!EV20)*1.89</f>
        <v>34.019999999999996</v>
      </c>
      <c r="BI13" s="82">
        <f>('DJB Daily Readings'!EZ21-'DJB Daily Readings'!EZ20)*1.89</f>
        <v>47.25</v>
      </c>
      <c r="BJ13" s="82">
        <f>('DJB Daily Readings'!EX21-'DJB Daily Readings'!EX20)*1.89</f>
        <v>0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1</v>
      </c>
      <c r="D14">
        <v>2021</v>
      </c>
      <c r="E14" s="78">
        <f>237*0.93</f>
        <v>220.41000000000003</v>
      </c>
      <c r="F14" s="79">
        <f>354+58</f>
        <v>412</v>
      </c>
      <c r="G14" s="3">
        <f>'DJB Daily Readings'!C22-'DJB Daily Readings'!C21</f>
        <v>453</v>
      </c>
      <c r="H14" s="3">
        <f>'DJB Daily Readings'!F22-'DJB Daily Readings'!F21</f>
        <v>393</v>
      </c>
      <c r="I14" s="3">
        <f>'DJB Daily Readings'!K22-'DJB Daily Readings'!K21</f>
        <v>164</v>
      </c>
      <c r="J14" s="3">
        <f>'DJB Daily Readings'!K22-'DJB Daily Readings'!K21</f>
        <v>164</v>
      </c>
      <c r="K14" s="3">
        <f>'DJB Daily Readings'!O22-'DJB Daily Readings'!O21</f>
        <v>30</v>
      </c>
      <c r="L14" s="3">
        <f>'DJB Daily Readings'!R22-'DJB Daily Readings'!R21</f>
        <v>0</v>
      </c>
      <c r="M14" s="3">
        <f>'DJB Daily Readings'!U22-'DJB Daily Readings'!U21</f>
        <v>1900.0800000000745</v>
      </c>
      <c r="N14" s="3">
        <f>'DJB Daily Readings'!X22-'DJB Daily Readings'!X21</f>
        <v>4482.2400000002235</v>
      </c>
      <c r="O14" s="3">
        <f>'DJB Daily Readings'!AA22-'DJB Daily Readings'!AA21</f>
        <v>97.439999999478459</v>
      </c>
      <c r="P14" s="3">
        <f>'DJB Daily Readings'!AD22-'DJB Daily Readings'!AD21</f>
        <v>7649.0400000009686</v>
      </c>
      <c r="Q14" s="3">
        <f>'DJB Daily Readings'!AG22-'DJB Daily Readings'!AG21</f>
        <v>0</v>
      </c>
      <c r="R14" s="3">
        <f>'DJB Daily Readings'!AJ22-'DJB Daily Readings'!AJ21</f>
        <v>5407.9199999999255</v>
      </c>
      <c r="S14" s="3">
        <f>'DJB Daily Readings'!AM22-'DJB Daily Readings'!AM21</f>
        <v>3897.5999999996275</v>
      </c>
      <c r="T14" s="3">
        <f>'DJB Daily Readings'!AP22-'DJB Daily Readings'!AP21</f>
        <v>3995.0399999991059</v>
      </c>
      <c r="U14" s="3">
        <f>'DJB Daily Readings'!AS22-'DJB Daily Readings'!AS21</f>
        <v>3215.519999999553</v>
      </c>
      <c r="V14" s="3">
        <f>'DJB Daily Readings'!AV22-'DJB Daily Readings'!AV21</f>
        <v>5554.0800000000745</v>
      </c>
      <c r="W14" s="3">
        <f>'DJB Daily Readings'!AZ22-'DJB Daily Readings'!AZ21</f>
        <v>0</v>
      </c>
      <c r="X14" s="3">
        <f>'DJB Daily Readings'!BC22-'DJB Daily Readings'!BC21</f>
        <v>29400</v>
      </c>
      <c r="Y14" s="3">
        <f>'DJB Daily Readings'!BF22-'DJB Daily Readings'!BF21</f>
        <v>0</v>
      </c>
      <c r="Z14" s="3">
        <f>('DJB Daily Readings'!CK22-'DJB Daily Readings'!CK21)*1.89</f>
        <v>166.32</v>
      </c>
      <c r="AA14" s="3">
        <f>('DJB Daily Readings'!CN22-'DJB Daily Readings'!CN21)*1.89</f>
        <v>187.10999999999999</v>
      </c>
      <c r="AB14" s="3">
        <f>('DJB Daily Readings'!CQ22-'DJB Daily Readings'!CQ21)*1.89</f>
        <v>884.52</v>
      </c>
      <c r="AC14" s="3">
        <f>'DJB Daily Readings'!CT22-'DJB Daily Readings'!CT21</f>
        <v>248</v>
      </c>
      <c r="AD14" s="84">
        <f>('DJB Daily Readings'!BY22-'DJB Daily Readings'!BY21)*1.89</f>
        <v>22.68</v>
      </c>
      <c r="AE14" s="84">
        <f>('DJB Daily Readings'!CA22-'DJB Daily Readings'!CA21)*1.89</f>
        <v>24.57</v>
      </c>
      <c r="AF14" s="84">
        <f>('DJB Daily Readings'!CC22-'DJB Daily Readings'!CC21)*1.89</f>
        <v>9.4499999999999993</v>
      </c>
      <c r="AG14" s="84">
        <f>('DJB Daily Readings'!CE22-'DJB Daily Readings'!CE21)*1.89</f>
        <v>11.34</v>
      </c>
      <c r="AH14" s="84">
        <f>('DJB Daily Readings'!CG22-'DJB Daily Readings'!CG21)*1.89</f>
        <v>5.67</v>
      </c>
      <c r="AI14" s="84">
        <f>('DJB Daily Readings'!CI22-'DJB Daily Readings'!CI21)*1.89</f>
        <v>120.96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13</v>
      </c>
      <c r="AM14" s="82">
        <f>'DJB Daily Readings'!DA22-'DJB Daily Readings'!DA21</f>
        <v>16</v>
      </c>
      <c r="AN14" s="82">
        <f>'DJB Daily Readings'!DG22-'DJB Daily Readings'!DG21</f>
        <v>7</v>
      </c>
      <c r="AO14" s="82">
        <f>'DJB Daily Readings'!DE22-'DJB Daily Readings'!DE21</f>
        <v>12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2</v>
      </c>
      <c r="AS14" s="82">
        <f>'DJB Daily Readings'!DM22-'DJB Daily Readings'!DM21</f>
        <v>8</v>
      </c>
      <c r="AT14" s="82">
        <f>'DJB Daily Readings'!DQ22-'DJB Daily Readings'!DQ21</f>
        <v>0</v>
      </c>
      <c r="AU14" s="82">
        <f>'DJB Daily Readings'!DT22-'DJB Daily Readings'!DT21</f>
        <v>8.5</v>
      </c>
      <c r="AW14" s="82">
        <f>'DJB Daily Readings'!DX22-'DJB Daily Readings'!DX21</f>
        <v>6.8999999999999773</v>
      </c>
      <c r="AX14" s="82">
        <f>'DJB Daily Readings'!DZ22-'DJB Daily Readings'!DZ21</f>
        <v>24.720000000001164</v>
      </c>
      <c r="AY14" s="82">
        <f>'DJB Daily Readings'!EB22-'DJB Daily Readings'!EB21</f>
        <v>459</v>
      </c>
      <c r="AZ14" s="82">
        <f>'DJB Daily Readings'!ED22-'DJB Daily Readings'!ED21</f>
        <v>153</v>
      </c>
      <c r="BA14" s="82">
        <f>'DJB Daily Readings'!EG22-'DJB Daily Readings'!EG21</f>
        <v>2900</v>
      </c>
      <c r="BB14" s="82">
        <f>'DJB Daily Readings'!EI22-'DJB Daily Readings'!EI21</f>
        <v>440</v>
      </c>
      <c r="BC14" s="82">
        <f>'DJB Daily Readings'!EQ22-'DJB Daily Readings'!EQ21</f>
        <v>1800</v>
      </c>
      <c r="BD14" s="82">
        <f>'DJB Daily Readings'!EK22-'DJB Daily Readings'!EK21</f>
        <v>1800</v>
      </c>
      <c r="BE14" s="82">
        <f>'DJB Daily Readings'!EM22-'DJB Daily Readings'!EM21</f>
        <v>0</v>
      </c>
      <c r="BF14" s="82">
        <f>'DJB Daily Readings'!EO22-'DJB Daily Readings'!EO21</f>
        <v>270</v>
      </c>
      <c r="BG14" s="82">
        <f>('DJB Daily Readings'!ET22-'DJB Daily Readings'!ET21)*1.89</f>
        <v>22.68</v>
      </c>
      <c r="BH14" s="82">
        <f>('DJB Daily Readings'!EV22-'DJB Daily Readings'!EV21)*1.89</f>
        <v>30.24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51.029999999999994</v>
      </c>
    </row>
    <row r="15" spans="1:65" x14ac:dyDescent="0.25">
      <c r="A15" t="s">
        <v>59</v>
      </c>
      <c r="B15">
        <f t="shared" si="0"/>
        <v>14</v>
      </c>
      <c r="C15">
        <v>1</v>
      </c>
      <c r="D15">
        <v>2021</v>
      </c>
      <c r="E15" s="78">
        <f>237*0.96</f>
        <v>227.51999999999998</v>
      </c>
      <c r="F15" s="79">
        <f>365+53</f>
        <v>418</v>
      </c>
      <c r="G15" s="3">
        <f>'DJB Daily Readings'!C23-'DJB Daily Readings'!C22</f>
        <v>504</v>
      </c>
      <c r="H15" s="3">
        <f>'DJB Daily Readings'!F23-'DJB Daily Readings'!F22</f>
        <v>430</v>
      </c>
      <c r="I15" s="3">
        <f>'DJB Daily Readings'!K23-'DJB Daily Readings'!K22</f>
        <v>201</v>
      </c>
      <c r="J15" s="3">
        <f>'DJB Daily Readings'!K23-'DJB Daily Readings'!K22</f>
        <v>201</v>
      </c>
      <c r="K15" s="3">
        <f>'DJB Daily Readings'!O23-'DJB Daily Readings'!O22</f>
        <v>37</v>
      </c>
      <c r="L15" s="3">
        <f>'DJB Daily Readings'!R23-'DJB Daily Readings'!R22</f>
        <v>0</v>
      </c>
      <c r="M15" s="3">
        <f>'DJB Daily Readings'!U23-'DJB Daily Readings'!U22</f>
        <v>1948.7999999998137</v>
      </c>
      <c r="N15" s="3">
        <f>'DJB Daily Readings'!X23-'DJB Daily Readings'!X22</f>
        <v>4628.3999999985099</v>
      </c>
      <c r="O15" s="3">
        <f>'DJB Daily Readings'!AA23-'DJB Daily Readings'!AA22</f>
        <v>48.720000000670552</v>
      </c>
      <c r="P15" s="3">
        <f>'DJB Daily Readings'!AD23-'DJB Daily Readings'!AD22</f>
        <v>8282.3999999985099</v>
      </c>
      <c r="Q15" s="3">
        <f>'DJB Daily Readings'!AG23-'DJB Daily Readings'!AG22</f>
        <v>48.719999998807907</v>
      </c>
      <c r="R15" s="3">
        <f>'DJB Daily Readings'!AJ23-'DJB Daily Readings'!AJ22</f>
        <v>5456.6399999987334</v>
      </c>
      <c r="S15" s="3">
        <f>'DJB Daily Readings'!AM23-'DJB Daily Readings'!AM22</f>
        <v>3800.160000000149</v>
      </c>
      <c r="T15" s="3">
        <f>'DJB Daily Readings'!AP23-'DJB Daily Readings'!AP22</f>
        <v>4092.4800000023097</v>
      </c>
      <c r="U15" s="3">
        <f>'DJB Daily Readings'!AS23-'DJB Daily Readings'!AS22</f>
        <v>3020.640000000596</v>
      </c>
      <c r="V15" s="3">
        <f>'DJB Daily Readings'!AV23-'DJB Daily Readings'!AV22</f>
        <v>5602.7999999988824</v>
      </c>
      <c r="W15" s="3">
        <f>'DJB Daily Readings'!AZ23-'DJB Daily Readings'!AZ22</f>
        <v>0</v>
      </c>
      <c r="X15" s="3">
        <f>'DJB Daily Readings'!BC23-'DJB Daily Readings'!BC22</f>
        <v>32500</v>
      </c>
      <c r="Y15" s="3">
        <f>'DJB Daily Readings'!BF23-'DJB Daily Readings'!BF22</f>
        <v>0</v>
      </c>
      <c r="Z15" s="3">
        <f>('DJB Daily Readings'!CK23-'DJB Daily Readings'!CK22)*1.89</f>
        <v>173.88</v>
      </c>
      <c r="AA15" s="3">
        <f>('DJB Daily Readings'!CN23-'DJB Daily Readings'!CN22)*1.89</f>
        <v>196.56</v>
      </c>
      <c r="AB15" s="3">
        <f>('DJB Daily Readings'!CQ23-'DJB Daily Readings'!CQ22)*1.89</f>
        <v>863.7299999999999</v>
      </c>
      <c r="AC15" s="3">
        <f>'DJB Daily Readings'!CT23-'DJB Daily Readings'!CT22</f>
        <v>269</v>
      </c>
      <c r="AD15" s="84">
        <f>('DJB Daily Readings'!BY23-'DJB Daily Readings'!BY22)*1.89</f>
        <v>35.909999999999997</v>
      </c>
      <c r="AE15" s="84">
        <f>('DJB Daily Readings'!CA23-'DJB Daily Readings'!CA22)*1.89</f>
        <v>32.129999999999995</v>
      </c>
      <c r="AF15" s="84">
        <f>('DJB Daily Readings'!CC23-'DJB Daily Readings'!CC22)*1.89</f>
        <v>13.229999999999999</v>
      </c>
      <c r="AG15" s="84">
        <f>('DJB Daily Readings'!CE23-'DJB Daily Readings'!CE22)*1.89</f>
        <v>17.009999999999998</v>
      </c>
      <c r="AH15" s="84">
        <f>('DJB Daily Readings'!CG23-'DJB Daily Readings'!CG22)*1.89</f>
        <v>22.68</v>
      </c>
      <c r="AI15" s="84">
        <f>('DJB Daily Readings'!CI23-'DJB Daily Readings'!CI22)*1.89</f>
        <v>45.36</v>
      </c>
      <c r="AJ15" s="81">
        <f>'DJB Daily Readings'!CY23-'DJB Daily Readings'!CY22</f>
        <v>46</v>
      </c>
      <c r="AK15" s="81">
        <f>'DJB Daily Readings'!CW23-'DJB Daily Readings'!CW22</f>
        <v>17</v>
      </c>
      <c r="AL15" s="82">
        <f>'DJB Daily Readings'!DC23-'DJB Daily Readings'!DC22</f>
        <v>14</v>
      </c>
      <c r="AM15" s="82">
        <f>'DJB Daily Readings'!DA23-'DJB Daily Readings'!DA22</f>
        <v>15</v>
      </c>
      <c r="AN15" s="82">
        <f>'DJB Daily Readings'!DG23-'DJB Daily Readings'!DG22</f>
        <v>7</v>
      </c>
      <c r="AO15" s="82">
        <f>'DJB Daily Readings'!DE23-'DJB Daily Readings'!DE22</f>
        <v>14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1</v>
      </c>
      <c r="AS15" s="82">
        <f>'DJB Daily Readings'!DM23-'DJB Daily Readings'!DM22</f>
        <v>8</v>
      </c>
      <c r="AT15" s="82">
        <f>'DJB Daily Readings'!DQ23-'DJB Daily Readings'!DQ22</f>
        <v>9</v>
      </c>
      <c r="AU15" s="82">
        <f>'DJB Daily Readings'!DT23-'DJB Daily Readings'!DT22</f>
        <v>8.3000000000000114</v>
      </c>
      <c r="AW15" s="82">
        <f>'DJB Daily Readings'!DX23-'DJB Daily Readings'!DX22</f>
        <v>7</v>
      </c>
      <c r="AX15" s="82">
        <f>'DJB Daily Readings'!DZ23-'DJB Daily Readings'!DZ22</f>
        <v>26.220000000001164</v>
      </c>
      <c r="AY15" s="82">
        <f>'DJB Daily Readings'!EB23-'DJB Daily Readings'!EB22</f>
        <v>490</v>
      </c>
      <c r="AZ15" s="82">
        <f>'DJB Daily Readings'!ED23-'DJB Daily Readings'!ED22</f>
        <v>154</v>
      </c>
      <c r="BA15" s="82">
        <f>'DJB Daily Readings'!EG23-'DJB Daily Readings'!EG22</f>
        <v>1500</v>
      </c>
      <c r="BB15" s="82">
        <f>'DJB Daily Readings'!EI23-'DJB Daily Readings'!EI22</f>
        <v>220</v>
      </c>
      <c r="BC15" s="82">
        <f>'DJB Daily Readings'!EQ23-'DJB Daily Readings'!EQ22</f>
        <v>1800</v>
      </c>
      <c r="BD15" s="82">
        <f>'DJB Daily Readings'!EK23-'DJB Daily Readings'!EK22</f>
        <v>1000</v>
      </c>
      <c r="BE15" s="82">
        <f>'DJB Daily Readings'!EM23-'DJB Daily Readings'!EM22</f>
        <v>0</v>
      </c>
      <c r="BF15" s="82">
        <f>'DJB Daily Readings'!EO23-'DJB Daily Readings'!EO22</f>
        <v>140</v>
      </c>
      <c r="BG15" s="82">
        <f>('DJB Daily Readings'!ET23-'DJB Daily Readings'!ET22)*1.89</f>
        <v>22.68</v>
      </c>
      <c r="BH15" s="82">
        <f>('DJB Daily Readings'!EV23-'DJB Daily Readings'!EV22)*1.89</f>
        <v>34.019999999999996</v>
      </c>
      <c r="BI15" s="82">
        <f>('DJB Daily Readings'!EZ23-'DJB Daily Readings'!EZ22)*1.89</f>
        <v>54.809999999999995</v>
      </c>
      <c r="BJ15" s="82">
        <f>('DJB Daily Readings'!EX23-'DJB Daily Readings'!EX22)*1.89</f>
        <v>0</v>
      </c>
      <c r="BK15" s="82">
        <f>('DJB Daily Readings'!FB23-'DJB Daily Readings'!FB22)*1.89</f>
        <v>51.029999999999994</v>
      </c>
    </row>
    <row r="16" spans="1:65" x14ac:dyDescent="0.25">
      <c r="A16" t="s">
        <v>59</v>
      </c>
      <c r="B16">
        <f t="shared" si="0"/>
        <v>15</v>
      </c>
      <c r="C16">
        <v>1</v>
      </c>
      <c r="D16">
        <v>2021</v>
      </c>
      <c r="E16" s="78">
        <f>237*0.9</f>
        <v>213.3</v>
      </c>
      <c r="F16" s="79">
        <f>347+51</f>
        <v>398</v>
      </c>
      <c r="G16" s="3">
        <f>'DJB Daily Readings'!C24-'DJB Daily Readings'!C23</f>
        <v>510</v>
      </c>
      <c r="H16" s="3">
        <f>'DJB Daily Readings'!F24-'DJB Daily Readings'!F23</f>
        <v>441</v>
      </c>
      <c r="I16" s="3">
        <f>'DJB Daily Readings'!K24-'DJB Daily Readings'!K23</f>
        <v>180</v>
      </c>
      <c r="J16" s="3">
        <f>'DJB Daily Readings'!K24-'DJB Daily Readings'!K23</f>
        <v>180</v>
      </c>
      <c r="K16" s="3">
        <f>'DJB Daily Readings'!O24-'DJB Daily Readings'!O23</f>
        <v>33</v>
      </c>
      <c r="L16" s="3">
        <f>'DJB Daily Readings'!R24-'DJB Daily Readings'!R23</f>
        <v>0</v>
      </c>
      <c r="M16" s="3">
        <f>'DJB Daily Readings'!U24-'DJB Daily Readings'!U23</f>
        <v>1851.3600000003353</v>
      </c>
      <c r="N16" s="3">
        <f>'DJB Daily Readings'!X24-'DJB Daily Readings'!X23</f>
        <v>4336.0800000000745</v>
      </c>
      <c r="O16" s="3">
        <f>'DJB Daily Readings'!AA24-'DJB Daily Readings'!AA23</f>
        <v>97.439999999478459</v>
      </c>
      <c r="P16" s="3">
        <f>'DJB Daily Readings'!AD24-'DJB Daily Readings'!AD23</f>
        <v>8038.8000000007451</v>
      </c>
      <c r="Q16" s="3">
        <f>'DJB Daily Readings'!AG24-'DJB Daily Readings'!AG23</f>
        <v>48.720000002533197</v>
      </c>
      <c r="R16" s="3">
        <f>'DJB Daily Readings'!AJ24-'DJB Daily Readings'!AJ23</f>
        <v>5310.480000000447</v>
      </c>
      <c r="S16" s="3">
        <f>'DJB Daily Readings'!AM24-'DJB Daily Readings'!AM23</f>
        <v>3654</v>
      </c>
      <c r="T16" s="3">
        <f>'DJB Daily Readings'!AP24-'DJB Daily Readings'!AP23</f>
        <v>3751.4399999994785</v>
      </c>
      <c r="U16" s="3">
        <f>'DJB Daily Readings'!AS24-'DJB Daily Readings'!AS23</f>
        <v>3020.640000000596</v>
      </c>
      <c r="V16" s="3">
        <f>'DJB Daily Readings'!AV24-'DJB Daily Readings'!AV23</f>
        <v>5456.640000000596</v>
      </c>
      <c r="W16" s="3">
        <f>'DJB Daily Readings'!AZ24-'DJB Daily Readings'!AZ23</f>
        <v>0</v>
      </c>
      <c r="X16" s="3">
        <f>'DJB Daily Readings'!BC24-'DJB Daily Readings'!BC23</f>
        <v>33800</v>
      </c>
      <c r="Y16" s="3">
        <f>'DJB Daily Readings'!BF24-'DJB Daily Readings'!BF23</f>
        <v>0</v>
      </c>
      <c r="Z16" s="3">
        <f>('DJB Daily Readings'!CK24-'DJB Daily Readings'!CK23)*1.89</f>
        <v>162.54</v>
      </c>
      <c r="AA16" s="3">
        <f>('DJB Daily Readings'!CN24-'DJB Daily Readings'!CN23)*1.89</f>
        <v>185.22</v>
      </c>
      <c r="AB16" s="3">
        <f>('DJB Daily Readings'!CQ24-'DJB Daily Readings'!CQ23)*1.89</f>
        <v>742.77</v>
      </c>
      <c r="AC16" s="3">
        <f>'DJB Daily Readings'!CT24-'DJB Daily Readings'!CT23</f>
        <v>250</v>
      </c>
      <c r="AD16" s="84">
        <f>('DJB Daily Readings'!BY24-'DJB Daily Readings'!BY23)*1.89</f>
        <v>0</v>
      </c>
      <c r="AE16" s="84">
        <f>('DJB Daily Readings'!CA24-'DJB Daily Readings'!CA23)*1.89</f>
        <v>0</v>
      </c>
      <c r="AF16" s="84">
        <f>('DJB Daily Readings'!CC24-'DJB Daily Readings'!CC23)*1.89</f>
        <v>0</v>
      </c>
      <c r="AG16" s="84">
        <f>('DJB Daily Readings'!CE24-'DJB Daily Readings'!CE23)*1.89</f>
        <v>0</v>
      </c>
      <c r="AH16" s="84">
        <f>('DJB Daily Readings'!CG24-'DJB Daily Readings'!CG23)*1.89</f>
        <v>0</v>
      </c>
      <c r="AI16" s="84">
        <f>('DJB Daily Readings'!CI24-'DJB Daily Readings'!CI23)*1.89</f>
        <v>0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15</v>
      </c>
      <c r="AM16" s="82">
        <f>'DJB Daily Readings'!DA24-'DJB Daily Readings'!DA23</f>
        <v>17</v>
      </c>
      <c r="AN16" s="82">
        <f>'DJB Daily Readings'!DG24-'DJB Daily Readings'!DG23</f>
        <v>8</v>
      </c>
      <c r="AO16" s="82">
        <f>'DJB Daily Readings'!DE24-'DJB Daily Readings'!DE23</f>
        <v>13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3</v>
      </c>
      <c r="AS16" s="82">
        <f>'DJB Daily Readings'!DM24-'DJB Daily Readings'!DM23</f>
        <v>8</v>
      </c>
      <c r="AT16" s="82">
        <f>'DJB Daily Readings'!DQ24-'DJB Daily Readings'!DQ23</f>
        <v>11</v>
      </c>
      <c r="AU16" s="82">
        <f>'DJB Daily Readings'!DT24-'DJB Daily Readings'!DT23</f>
        <v>8.5999999999999943</v>
      </c>
      <c r="AW16" s="82">
        <f>'DJB Daily Readings'!DX24-'DJB Daily Readings'!DX23</f>
        <v>7</v>
      </c>
      <c r="AX16" s="82">
        <f>'DJB Daily Readings'!DZ24-'DJB Daily Readings'!DZ23</f>
        <v>9.0599999999976717</v>
      </c>
      <c r="AY16" s="82">
        <f>'DJB Daily Readings'!EB24-'DJB Daily Readings'!EB23</f>
        <v>521</v>
      </c>
      <c r="AZ16" s="82">
        <f>'DJB Daily Readings'!ED24-'DJB Daily Readings'!ED23</f>
        <v>150</v>
      </c>
      <c r="BA16" s="82">
        <f>'DJB Daily Readings'!EG24-'DJB Daily Readings'!EG23</f>
        <v>1800</v>
      </c>
      <c r="BB16" s="82">
        <f>'DJB Daily Readings'!EI24-'DJB Daily Readings'!EI23</f>
        <v>230</v>
      </c>
      <c r="BC16" s="82">
        <f>'DJB Daily Readings'!EQ24-'DJB Daily Readings'!EQ23</f>
        <v>2000</v>
      </c>
      <c r="BD16" s="82">
        <f>'DJB Daily Readings'!EK24-'DJB Daily Readings'!EK23</f>
        <v>1200</v>
      </c>
      <c r="BE16" s="82">
        <f>'DJB Daily Readings'!EM24-'DJB Daily Readings'!EM23</f>
        <v>0</v>
      </c>
      <c r="BF16" s="82">
        <f>'DJB Daily Readings'!EO24-'DJB Daily Readings'!EO23</f>
        <v>150</v>
      </c>
      <c r="BG16" s="82">
        <f>('DJB Daily Readings'!ET24-'DJB Daily Readings'!ET23)*1.89</f>
        <v>18.899999999999999</v>
      </c>
      <c r="BH16" s="82">
        <f>('DJB Daily Readings'!EV24-'DJB Daily Readings'!EV23)*1.89</f>
        <v>34.019999999999996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54.809999999999995</v>
      </c>
    </row>
    <row r="17" spans="1:63" x14ac:dyDescent="0.25">
      <c r="A17" t="s">
        <v>59</v>
      </c>
      <c r="B17">
        <f t="shared" si="0"/>
        <v>16</v>
      </c>
      <c r="C17">
        <v>1</v>
      </c>
      <c r="D17">
        <v>2021</v>
      </c>
      <c r="E17" s="78">
        <f>237*0.89</f>
        <v>210.93</v>
      </c>
      <c r="F17" s="79">
        <f>337+54</f>
        <v>391</v>
      </c>
      <c r="G17" s="3">
        <f>'DJB Daily Readings'!C25-'DJB Daily Readings'!C24</f>
        <v>472</v>
      </c>
      <c r="H17" s="3">
        <f>'DJB Daily Readings'!F25-'DJB Daily Readings'!F24</f>
        <v>386</v>
      </c>
      <c r="I17" s="3">
        <f>'DJB Daily Readings'!K25-'DJB Daily Readings'!K24</f>
        <v>172</v>
      </c>
      <c r="J17" s="3">
        <f>'DJB Daily Readings'!K25-'DJB Daily Readings'!K24</f>
        <v>172</v>
      </c>
      <c r="K17" s="3">
        <f>'DJB Daily Readings'!O25-'DJB Daily Readings'!O24</f>
        <v>36</v>
      </c>
      <c r="L17" s="3">
        <f>'DJB Daily Readings'!R25-'DJB Daily Readings'!R24</f>
        <v>0</v>
      </c>
      <c r="M17" s="3">
        <f>'DJB Daily Readings'!U25-'DJB Daily Readings'!U24</f>
        <v>1802.6399999996647</v>
      </c>
      <c r="N17" s="3">
        <f>'DJB Daily Readings'!X25-'DJB Daily Readings'!X24</f>
        <v>4482.2400000002235</v>
      </c>
      <c r="O17" s="3">
        <f>'DJB Daily Readings'!AA25-'DJB Daily Readings'!AA24</f>
        <v>146.16000000014901</v>
      </c>
      <c r="P17" s="3">
        <f>'DJB Daily Readings'!AD25-'DJB Daily Readings'!AD24</f>
        <v>2533.4399999994785</v>
      </c>
      <c r="Q17" s="3">
        <f>'DJB Daily Readings'!AG25-'DJB Daily Readings'!AG24</f>
        <v>5700.2399999983609</v>
      </c>
      <c r="R17" s="3">
        <f>'DJB Daily Readings'!AJ25-'DJB Daily Readings'!AJ24</f>
        <v>5261.7599999997765</v>
      </c>
      <c r="S17" s="3">
        <f>'DJB Daily Readings'!AM25-'DJB Daily Readings'!AM24</f>
        <v>3800.160000000149</v>
      </c>
      <c r="T17" s="3">
        <f>'DJB Daily Readings'!AP25-'DJB Daily Readings'!AP24</f>
        <v>3702.7199999988079</v>
      </c>
      <c r="U17" s="3">
        <f>'DJB Daily Readings'!AS25-'DJB Daily Readings'!AS24</f>
        <v>3118.0799999982119</v>
      </c>
      <c r="V17" s="3">
        <f>'DJB Daily Readings'!AV25-'DJB Daily Readings'!AV24</f>
        <v>5359.2000000011176</v>
      </c>
      <c r="W17" s="3">
        <f>'DJB Daily Readings'!AZ25-'DJB Daily Readings'!AZ24</f>
        <v>0</v>
      </c>
      <c r="X17" s="3">
        <f>'DJB Daily Readings'!BC25-'DJB Daily Readings'!BC24</f>
        <v>10600</v>
      </c>
      <c r="Y17" s="3">
        <f>'DJB Daily Readings'!BF25-'DJB Daily Readings'!BF24</f>
        <v>22200</v>
      </c>
      <c r="Z17" s="3">
        <f>('DJB Daily Readings'!CK25-'DJB Daily Readings'!CK24)*1.89</f>
        <v>164.42999999999998</v>
      </c>
      <c r="AA17" s="3">
        <f>('DJB Daily Readings'!CN25-'DJB Daily Readings'!CN24)*1.89</f>
        <v>189</v>
      </c>
      <c r="AB17" s="3">
        <f>('DJB Daily Readings'!CQ25-'DJB Daily Readings'!CQ24)*1.89</f>
        <v>744.66</v>
      </c>
      <c r="AC17" s="3">
        <f>'DJB Daily Readings'!CT25-'DJB Daily Readings'!CT24</f>
        <v>256</v>
      </c>
      <c r="AD17" s="84">
        <f>('DJB Daily Readings'!BY25-'DJB Daily Readings'!BY24)*1.89</f>
        <v>0</v>
      </c>
      <c r="AE17" s="84">
        <f>('DJB Daily Readings'!CA25-'DJB Daily Readings'!CA24)*1.89</f>
        <v>0</v>
      </c>
      <c r="AF17" s="84">
        <f>('DJB Daily Readings'!CC25-'DJB Daily Readings'!CC24)*1.89</f>
        <v>0</v>
      </c>
      <c r="AG17" s="84">
        <f>('DJB Daily Readings'!CE25-'DJB Daily Readings'!CE24)*1.89</f>
        <v>0</v>
      </c>
      <c r="AH17" s="84">
        <f>('DJB Daily Readings'!CG25-'DJB Daily Readings'!CG24)*1.89</f>
        <v>0</v>
      </c>
      <c r="AI17" s="84">
        <f>('DJB Daily Readings'!CI25-'DJB Daily Readings'!CI24)*1.89</f>
        <v>0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13</v>
      </c>
      <c r="AM17" s="82">
        <f>'DJB Daily Readings'!DA25-'DJB Daily Readings'!DA24</f>
        <v>14</v>
      </c>
      <c r="AN17" s="82">
        <f>'DJB Daily Readings'!DG25-'DJB Daily Readings'!DG24</f>
        <v>9</v>
      </c>
      <c r="AO17" s="82">
        <f>'DJB Daily Readings'!DE25-'DJB Daily Readings'!DE24</f>
        <v>13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3</v>
      </c>
      <c r="AS17" s="82">
        <f>'DJB Daily Readings'!DM25-'DJB Daily Readings'!DM24</f>
        <v>8</v>
      </c>
      <c r="AT17" s="82">
        <f>'DJB Daily Readings'!DQ25-'DJB Daily Readings'!DQ24</f>
        <v>4</v>
      </c>
      <c r="AU17" s="82">
        <f>'DJB Daily Readings'!DT25-'DJB Daily Readings'!DT24</f>
        <v>8.0999999999999943</v>
      </c>
      <c r="AW17" s="82">
        <f>'DJB Daily Readings'!DX25-'DJB Daily Readings'!DX24</f>
        <v>6.3000000000000114</v>
      </c>
      <c r="AX17" s="82">
        <f>'DJB Daily Readings'!DZ25-'DJB Daily Readings'!DZ24</f>
        <v>27</v>
      </c>
      <c r="AY17" s="82">
        <f>'DJB Daily Readings'!EB25-'DJB Daily Readings'!EB24</f>
        <v>525</v>
      </c>
      <c r="AZ17" s="82">
        <f>'DJB Daily Readings'!ED25-'DJB Daily Readings'!ED24</f>
        <v>149</v>
      </c>
      <c r="BA17" s="82">
        <f>'DJB Daily Readings'!EG25-'DJB Daily Readings'!EG24</f>
        <v>1700</v>
      </c>
      <c r="BB17" s="82">
        <f>'DJB Daily Readings'!EI25-'DJB Daily Readings'!EI24</f>
        <v>250</v>
      </c>
      <c r="BC17" s="82">
        <f>'DJB Daily Readings'!EQ25-'DJB Daily Readings'!EQ24</f>
        <v>2300</v>
      </c>
      <c r="BD17" s="82">
        <f>'DJB Daily Readings'!EK25-'DJB Daily Readings'!EK24</f>
        <v>1200</v>
      </c>
      <c r="BE17" s="82">
        <f>'DJB Daily Readings'!EM25-'DJB Daily Readings'!EM24</f>
        <v>0</v>
      </c>
      <c r="BF17" s="82">
        <f>'DJB Daily Readings'!EO25-'DJB Daily Readings'!EO24</f>
        <v>150</v>
      </c>
      <c r="BG17" s="82">
        <f>('DJB Daily Readings'!ET25-'DJB Daily Readings'!ET24)*1.89</f>
        <v>22.68</v>
      </c>
      <c r="BH17" s="82">
        <f>('DJB Daily Readings'!EV25-'DJB Daily Readings'!EV24)*1.89</f>
        <v>35.909999999999997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54.809999999999995</v>
      </c>
    </row>
    <row r="18" spans="1:63" x14ac:dyDescent="0.25">
      <c r="A18" t="s">
        <v>59</v>
      </c>
      <c r="B18">
        <f t="shared" si="0"/>
        <v>17</v>
      </c>
      <c r="C18">
        <v>1</v>
      </c>
      <c r="D18">
        <v>2021</v>
      </c>
      <c r="E18" s="78">
        <f>237*0.83</f>
        <v>196.70999999999998</v>
      </c>
      <c r="F18" s="79">
        <f>328+51</f>
        <v>379</v>
      </c>
      <c r="G18" s="3">
        <f>'DJB Daily Readings'!C26-'DJB Daily Readings'!C25</f>
        <v>427</v>
      </c>
      <c r="H18" s="3">
        <f>'DJB Daily Readings'!F26-'DJB Daily Readings'!F25</f>
        <v>375</v>
      </c>
      <c r="I18" s="3">
        <f>'DJB Daily Readings'!K26-'DJB Daily Readings'!K25</f>
        <v>177</v>
      </c>
      <c r="J18" s="3">
        <f>'DJB Daily Readings'!K26-'DJB Daily Readings'!K25</f>
        <v>177</v>
      </c>
      <c r="K18" s="3">
        <f>'DJB Daily Readings'!O26-'DJB Daily Readings'!O25</f>
        <v>37</v>
      </c>
      <c r="L18" s="3">
        <f>'DJB Daily Readings'!R26-'DJB Daily Readings'!R25</f>
        <v>0</v>
      </c>
      <c r="M18" s="3">
        <f>'DJB Daily Readings'!U26-'DJB Daily Readings'!U25</f>
        <v>1802.6399999996647</v>
      </c>
      <c r="N18" s="3">
        <f>'DJB Daily Readings'!X26-'DJB Daily Readings'!X25</f>
        <v>4482.2400000002235</v>
      </c>
      <c r="O18" s="3">
        <f>'DJB Daily Readings'!AA26-'DJB Daily Readings'!AA25</f>
        <v>146.16000000014901</v>
      </c>
      <c r="P18" s="3">
        <f>'DJB Daily Readings'!AD26-'DJB Daily Readings'!AD25</f>
        <v>0</v>
      </c>
      <c r="Q18" s="3">
        <f>'DJB Daily Readings'!AG26-'DJB Daily Readings'!AG25</f>
        <v>8184.9600000008941</v>
      </c>
      <c r="R18" s="3">
        <f>'DJB Daily Readings'!AJ26-'DJB Daily Readings'!AJ25</f>
        <v>5359.2000000011176</v>
      </c>
      <c r="S18" s="3">
        <f>'DJB Daily Readings'!AM26-'DJB Daily Readings'!AM25</f>
        <v>3897.5999999996275</v>
      </c>
      <c r="T18" s="3">
        <f>'DJB Daily Readings'!AP26-'DJB Daily Readings'!AP25</f>
        <v>3654</v>
      </c>
      <c r="U18" s="3">
        <f>'DJB Daily Readings'!AS26-'DJB Daily Readings'!AS25</f>
        <v>3312.9600000008941</v>
      </c>
      <c r="V18" s="3">
        <f>'DJB Daily Readings'!AV26-'DJB Daily Readings'!AV25</f>
        <v>5310.480000000447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31400</v>
      </c>
      <c r="Z18" s="3">
        <f>('DJB Daily Readings'!CK26-'DJB Daily Readings'!CK25)*1.89</f>
        <v>173.88</v>
      </c>
      <c r="AA18" s="3">
        <f>('DJB Daily Readings'!CN26-'DJB Daily Readings'!CN25)*1.89</f>
        <v>177.66</v>
      </c>
      <c r="AB18" s="3">
        <f>('DJB Daily Readings'!CQ26-'DJB Daily Readings'!CQ25)*1.89</f>
        <v>733.31999999999994</v>
      </c>
      <c r="AC18" s="3">
        <f>'DJB Daily Readings'!CT26-'DJB Daily Readings'!CT25</f>
        <v>263</v>
      </c>
      <c r="AD18" s="84">
        <f>('DJB Daily Readings'!BY26-'DJB Daily Readings'!BY25)*1.89</f>
        <v>0</v>
      </c>
      <c r="AE18" s="84">
        <f>('DJB Daily Readings'!CA26-'DJB Daily Readings'!CA25)*1.89</f>
        <v>0</v>
      </c>
      <c r="AF18" s="84">
        <f>('DJB Daily Readings'!CC26-'DJB Daily Readings'!CC25)*1.89</f>
        <v>0</v>
      </c>
      <c r="AG18" s="84">
        <f>('DJB Daily Readings'!CE26-'DJB Daily Readings'!CE25)*1.89</f>
        <v>0</v>
      </c>
      <c r="AH18" s="84">
        <f>('DJB Daily Readings'!CG26-'DJB Daily Readings'!CG25)*1.89</f>
        <v>0</v>
      </c>
      <c r="AI18" s="84">
        <f>('DJB Daily Readings'!CI26-'DJB Daily Readings'!CI25)*1.89</f>
        <v>0</v>
      </c>
      <c r="AJ18" s="81">
        <f>'DJB Daily Readings'!CY26-'DJB Daily Readings'!CY25</f>
        <v>18</v>
      </c>
      <c r="AK18" s="81">
        <f>'DJB Daily Readings'!CW26-'DJB Daily Readings'!CW25</f>
        <v>20</v>
      </c>
      <c r="AL18" s="82">
        <f>'DJB Daily Readings'!DC26-'DJB Daily Readings'!DC25</f>
        <v>9</v>
      </c>
      <c r="AM18" s="82">
        <f>'DJB Daily Readings'!DA26-'DJB Daily Readings'!DA25</f>
        <v>12</v>
      </c>
      <c r="AN18" s="82">
        <f>'DJB Daily Readings'!DG26-'DJB Daily Readings'!DG25</f>
        <v>8</v>
      </c>
      <c r="AO18" s="82">
        <f>'DJB Daily Readings'!DE26-'DJB Daily Readings'!DE25</f>
        <v>13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3</v>
      </c>
      <c r="AS18" s="82">
        <f>'DJB Daily Readings'!DM26-'DJB Daily Readings'!DM25</f>
        <v>7</v>
      </c>
      <c r="AT18" s="82">
        <f>'DJB Daily Readings'!DQ26-'DJB Daily Readings'!DQ25</f>
        <v>0</v>
      </c>
      <c r="AU18" s="82">
        <f>'DJB Daily Readings'!DT26-'DJB Daily Readings'!DT25</f>
        <v>8</v>
      </c>
      <c r="AW18" s="82">
        <f>'DJB Daily Readings'!DX26-'DJB Daily Readings'!DX25</f>
        <v>6.8000000000000114</v>
      </c>
      <c r="AX18" s="82">
        <f>'DJB Daily Readings'!DZ26-'DJB Daily Readings'!DZ25</f>
        <v>31</v>
      </c>
      <c r="AY18" s="82">
        <f>'DJB Daily Readings'!EB26-'DJB Daily Readings'!EB25</f>
        <v>489</v>
      </c>
      <c r="AZ18" s="82">
        <f>'DJB Daily Readings'!ED26-'DJB Daily Readings'!ED25</f>
        <v>148</v>
      </c>
      <c r="BA18" s="82">
        <f>'DJB Daily Readings'!EG26-'DJB Daily Readings'!EG25</f>
        <v>1400</v>
      </c>
      <c r="BB18" s="82">
        <f>'DJB Daily Readings'!EI26-'DJB Daily Readings'!EI25</f>
        <v>220</v>
      </c>
      <c r="BC18" s="82">
        <f>'DJB Daily Readings'!EQ26-'DJB Daily Readings'!EQ25</f>
        <v>1900</v>
      </c>
      <c r="BD18" s="82">
        <f>'DJB Daily Readings'!EK26-'DJB Daily Readings'!EK25</f>
        <v>1100</v>
      </c>
      <c r="BE18" s="82">
        <f>'DJB Daily Readings'!EM26-'DJB Daily Readings'!EM25</f>
        <v>100</v>
      </c>
      <c r="BF18" s="82">
        <f>'DJB Daily Readings'!EO26-'DJB Daily Readings'!EO25</f>
        <v>150</v>
      </c>
      <c r="BG18" s="82">
        <f>('DJB Daily Readings'!ET26-'DJB Daily Readings'!ET25)*1.89</f>
        <v>28.349999999999998</v>
      </c>
      <c r="BH18" s="82">
        <f>('DJB Daily Readings'!EV26-'DJB Daily Readings'!EV25)*1.89</f>
        <v>32.129999999999995</v>
      </c>
      <c r="BI18" s="82">
        <f>('DJB Daily Readings'!EZ26-'DJB Daily Readings'!EZ25)*1.89</f>
        <v>75.599999999999994</v>
      </c>
      <c r="BJ18" s="82">
        <f>('DJB Daily Readings'!EX26-'DJB Daily Readings'!EX25)*1.89</f>
        <v>0</v>
      </c>
      <c r="BK18" s="82">
        <f>('DJB Daily Readings'!FB26-'DJB Daily Readings'!FB25)*1.89</f>
        <v>49.14</v>
      </c>
    </row>
    <row r="19" spans="1:63" x14ac:dyDescent="0.25">
      <c r="A19" t="s">
        <v>59</v>
      </c>
      <c r="B19">
        <f t="shared" si="0"/>
        <v>18</v>
      </c>
      <c r="C19">
        <v>1</v>
      </c>
      <c r="D19">
        <v>2021</v>
      </c>
      <c r="E19" s="78">
        <f>237*0.86</f>
        <v>203.82</v>
      </c>
      <c r="F19" s="79">
        <f>344+50</f>
        <v>394</v>
      </c>
      <c r="G19" s="3">
        <f>'DJB Daily Readings'!C27-'DJB Daily Readings'!C26</f>
        <v>473</v>
      </c>
      <c r="H19" s="3">
        <f>'DJB Daily Readings'!F27-'DJB Daily Readings'!F26</f>
        <v>373</v>
      </c>
      <c r="I19" s="3">
        <f>'DJB Daily Readings'!K27-'DJB Daily Readings'!K26</f>
        <v>208</v>
      </c>
      <c r="J19" s="3">
        <f>'DJB Daily Readings'!K27-'DJB Daily Readings'!K26</f>
        <v>208</v>
      </c>
      <c r="K19" s="3">
        <f>'DJB Daily Readings'!O27-'DJB Daily Readings'!O26</f>
        <v>41</v>
      </c>
      <c r="L19" s="3">
        <f>'DJB Daily Readings'!R27-'DJB Daily Readings'!R26</f>
        <v>-14998</v>
      </c>
      <c r="M19" s="3">
        <f>'DJB Daily Readings'!U27-'DJB Daily Readings'!U26</f>
        <v>1753.9199999999255</v>
      </c>
      <c r="N19" s="3">
        <f>'DJB Daily Readings'!X27-'DJB Daily Readings'!X26</f>
        <v>4482.2400000002235</v>
      </c>
      <c r="O19" s="3">
        <f>'DJB Daily Readings'!AA27-'DJB Daily Readings'!AA26</f>
        <v>194.87999999895692</v>
      </c>
      <c r="P19" s="3">
        <f>'DJB Daily Readings'!AD27-'DJB Daily Readings'!AD26</f>
        <v>48.720000000670552</v>
      </c>
      <c r="Q19" s="3">
        <f>'DJB Daily Readings'!AG27-'DJB Daily Readings'!AG26</f>
        <v>9305.519999999553</v>
      </c>
      <c r="R19" s="3">
        <f>'DJB Daily Readings'!AJ27-'DJB Daily Readings'!AJ26</f>
        <v>5066.8800000008196</v>
      </c>
      <c r="S19" s="3">
        <f>'DJB Daily Readings'!AM27-'DJB Daily Readings'!AM26</f>
        <v>3995.0400000009686</v>
      </c>
      <c r="T19" s="3">
        <f>'DJB Daily Readings'!AP27-'DJB Daily Readings'!AP26</f>
        <v>3800.160000000149</v>
      </c>
      <c r="U19" s="3">
        <f>'DJB Daily Readings'!AS27-'DJB Daily Readings'!AS26</f>
        <v>3264.2400000002235</v>
      </c>
      <c r="V19" s="3">
        <f>'DJB Daily Readings'!AV27-'DJB Daily Readings'!AV26</f>
        <v>5213.0400000009686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37900</v>
      </c>
      <c r="Z19" s="3">
        <f>('DJB Daily Readings'!CK27-'DJB Daily Readings'!CK26)*1.89</f>
        <v>168.20999999999998</v>
      </c>
      <c r="AA19" s="3">
        <f>('DJB Daily Readings'!CN27-'DJB Daily Readings'!CN26)*1.89</f>
        <v>185.22</v>
      </c>
      <c r="AB19" s="3">
        <f>('DJB Daily Readings'!CQ27-'DJB Daily Readings'!CQ26)*1.89</f>
        <v>563.22</v>
      </c>
      <c r="AC19" s="3">
        <f>'DJB Daily Readings'!CT27-'DJB Daily Readings'!CT26</f>
        <v>261</v>
      </c>
      <c r="AD19" s="84">
        <f>('DJB Daily Readings'!BY27-'DJB Daily Readings'!BY26)*1.89</f>
        <v>0</v>
      </c>
      <c r="AE19" s="84">
        <f>('DJB Daily Readings'!CA27-'DJB Daily Readings'!CA26)*1.89</f>
        <v>0</v>
      </c>
      <c r="AF19" s="84">
        <f>('DJB Daily Readings'!CC27-'DJB Daily Readings'!CC26)*1.89</f>
        <v>0</v>
      </c>
      <c r="AG19" s="84">
        <f>('DJB Daily Readings'!CE27-'DJB Daily Readings'!CE26)*1.89</f>
        <v>0</v>
      </c>
      <c r="AH19" s="84">
        <f>('DJB Daily Readings'!CG27-'DJB Daily Readings'!CG26)*1.89</f>
        <v>0</v>
      </c>
      <c r="AI19" s="84">
        <f>('DJB Daily Readings'!CI27-'DJB Daily Readings'!CI26)*1.89</f>
        <v>0</v>
      </c>
      <c r="AJ19" s="81">
        <f>'DJB Daily Readings'!CY27-'DJB Daily Readings'!CY26</f>
        <v>4</v>
      </c>
      <c r="AK19" s="81">
        <f>'DJB Daily Readings'!CW27-'DJB Daily Readings'!CW26</f>
        <v>6</v>
      </c>
      <c r="AL19" s="82">
        <f>'DJB Daily Readings'!DC27-'DJB Daily Readings'!DC26</f>
        <v>13</v>
      </c>
      <c r="AM19" s="82">
        <f>'DJB Daily Readings'!DA27-'DJB Daily Readings'!DA26</f>
        <v>13</v>
      </c>
      <c r="AN19" s="82">
        <f>'DJB Daily Readings'!DG27-'DJB Daily Readings'!DG26</f>
        <v>11</v>
      </c>
      <c r="AO19" s="82">
        <f>'DJB Daily Readings'!DE27-'DJB Daily Readings'!DE26</f>
        <v>13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0</v>
      </c>
      <c r="AS19" s="82">
        <f>'DJB Daily Readings'!DM27-'DJB Daily Readings'!DM26</f>
        <v>7</v>
      </c>
      <c r="AT19" s="82">
        <f>'DJB Daily Readings'!DQ27-'DJB Daily Readings'!DQ26</f>
        <v>0</v>
      </c>
      <c r="AU19" s="82">
        <f>'DJB Daily Readings'!DT27-'DJB Daily Readings'!DT26</f>
        <v>8</v>
      </c>
      <c r="AW19" s="82">
        <f>'DJB Daily Readings'!DX27-'DJB Daily Readings'!DX26</f>
        <v>6.1999999999999886</v>
      </c>
      <c r="AX19" s="82">
        <f>'DJB Daily Readings'!DZ27-'DJB Daily Readings'!DZ26</f>
        <v>24</v>
      </c>
      <c r="AY19" s="82">
        <f>'DJB Daily Readings'!EB27-'DJB Daily Readings'!EB26</f>
        <v>497</v>
      </c>
      <c r="AZ19" s="82">
        <f>'DJB Daily Readings'!ED27-'DJB Daily Readings'!ED26</f>
        <v>147</v>
      </c>
      <c r="BA19" s="82">
        <f>'DJB Daily Readings'!EG27-'DJB Daily Readings'!EG26</f>
        <v>2300</v>
      </c>
      <c r="BB19" s="82">
        <f>'DJB Daily Readings'!EI27-'DJB Daily Readings'!EI26</f>
        <v>240</v>
      </c>
      <c r="BC19" s="82">
        <f>'DJB Daily Readings'!EQ27-'DJB Daily Readings'!EQ26</f>
        <v>2400</v>
      </c>
      <c r="BD19" s="82">
        <f>'DJB Daily Readings'!EK27-'DJB Daily Readings'!EK26</f>
        <v>1400</v>
      </c>
      <c r="BE19" s="82">
        <f>'DJB Daily Readings'!EM27-'DJB Daily Readings'!EM26</f>
        <v>0</v>
      </c>
      <c r="BF19" s="82">
        <f>'DJB Daily Readings'!EO27-'DJB Daily Readings'!EO26</f>
        <v>150</v>
      </c>
      <c r="BG19" s="82">
        <f>('DJB Daily Readings'!ET27-'DJB Daily Readings'!ET26)*1.89</f>
        <v>18.899999999999999</v>
      </c>
      <c r="BH19" s="82">
        <f>('DJB Daily Readings'!EV27-'DJB Daily Readings'!EV26)*1.89</f>
        <v>32.129999999999995</v>
      </c>
      <c r="BI19" s="82">
        <f>('DJB Daily Readings'!EZ27-'DJB Daily Readings'!EZ26)*1.89</f>
        <v>24.57</v>
      </c>
      <c r="BJ19" s="82">
        <f>('DJB Daily Readings'!EX27-'DJB Daily Readings'!EX26)*1.89</f>
        <v>0</v>
      </c>
      <c r="BK19" s="82">
        <f>('DJB Daily Readings'!FB27-'DJB Daily Readings'!FB26)*1.89</f>
        <v>43.47</v>
      </c>
    </row>
    <row r="20" spans="1:63" x14ac:dyDescent="0.25">
      <c r="A20" t="s">
        <v>59</v>
      </c>
      <c r="B20">
        <f t="shared" si="0"/>
        <v>19</v>
      </c>
      <c r="C20">
        <v>1</v>
      </c>
      <c r="D20">
        <v>2021</v>
      </c>
      <c r="E20" s="78">
        <f>237*0.8</f>
        <v>189.60000000000002</v>
      </c>
      <c r="F20" s="79">
        <f>321+42</f>
        <v>363</v>
      </c>
      <c r="G20" s="3">
        <f>'DJB Daily Readings'!C28-'DJB Daily Readings'!C27</f>
        <v>499</v>
      </c>
      <c r="H20" s="3">
        <f>'DJB Daily Readings'!F28-'DJB Daily Readings'!F27</f>
        <v>422</v>
      </c>
      <c r="I20" s="3">
        <f>'DJB Daily Readings'!K28-'DJB Daily Readings'!K27</f>
        <v>256</v>
      </c>
      <c r="J20" s="3">
        <f>'DJB Daily Readings'!K28-'DJB Daily Readings'!K27</f>
        <v>256</v>
      </c>
      <c r="K20" s="3">
        <f>'DJB Daily Readings'!O28-'DJB Daily Readings'!O27</f>
        <v>32</v>
      </c>
      <c r="L20" s="3">
        <f>'DJB Daily Readings'!R28-'DJB Daily Readings'!R27</f>
        <v>7</v>
      </c>
      <c r="M20" s="3">
        <f>'DJB Daily Readings'!U28-'DJB Daily Readings'!U27</f>
        <v>1802.640000000596</v>
      </c>
      <c r="N20" s="3">
        <f>'DJB Daily Readings'!X28-'DJB Daily Readings'!X27</f>
        <v>4433.519999999553</v>
      </c>
      <c r="O20" s="3">
        <f>'DJB Daily Readings'!AA28-'DJB Daily Readings'!AA27</f>
        <v>194.88000000081956</v>
      </c>
      <c r="P20" s="3">
        <f>'DJB Daily Readings'!AD28-'DJB Daily Readings'!AD27</f>
        <v>48.720000000670552</v>
      </c>
      <c r="Q20" s="3">
        <f>'DJB Daily Readings'!AG28-'DJB Daily Readings'!AG27</f>
        <v>9354.2400000002235</v>
      </c>
      <c r="R20" s="3">
        <f>'DJB Daily Readings'!AJ28-'DJB Daily Readings'!AJ27</f>
        <v>5310.4799999985844</v>
      </c>
      <c r="S20" s="3">
        <f>'DJB Daily Readings'!AM28-'DJB Daily Readings'!AM27</f>
        <v>3946.3199999984354</v>
      </c>
      <c r="T20" s="3">
        <f>'DJB Daily Readings'!AP28-'DJB Daily Readings'!AP27</f>
        <v>3897.5999999996275</v>
      </c>
      <c r="U20" s="3">
        <f>'DJB Daily Readings'!AS28-'DJB Daily Readings'!AS27</f>
        <v>3215.519999999553</v>
      </c>
      <c r="V20" s="3">
        <f>'DJB Daily Readings'!AV28-'DJB Daily Readings'!AV27</f>
        <v>5359.1999999992549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37300</v>
      </c>
      <c r="Z20" s="3">
        <f>('DJB Daily Readings'!CK28-'DJB Daily Readings'!CK27)*1.89</f>
        <v>170.1</v>
      </c>
      <c r="AA20" s="3">
        <f>('DJB Daily Readings'!CN28-'DJB Daily Readings'!CN27)*1.89</f>
        <v>179.54999999999998</v>
      </c>
      <c r="AB20" s="3">
        <f>('DJB Daily Readings'!CQ28-'DJB Daily Readings'!CQ27)*1.89</f>
        <v>578.33999999999992</v>
      </c>
      <c r="AC20" s="3">
        <f>'DJB Daily Readings'!CT28-'DJB Daily Readings'!CT27</f>
        <v>262</v>
      </c>
      <c r="AD20" s="84">
        <f>('DJB Daily Readings'!BY28-'DJB Daily Readings'!BY27)*1.89</f>
        <v>0</v>
      </c>
      <c r="AE20" s="84">
        <f>('DJB Daily Readings'!CA28-'DJB Daily Readings'!CA27)*1.89</f>
        <v>0</v>
      </c>
      <c r="AF20" s="84">
        <f>('DJB Daily Readings'!CC28-'DJB Daily Readings'!CC27)*1.89</f>
        <v>0</v>
      </c>
      <c r="AG20" s="84">
        <f>('DJB Daily Readings'!CE28-'DJB Daily Readings'!CE27)*1.89</f>
        <v>0</v>
      </c>
      <c r="AH20" s="84">
        <f>('DJB Daily Readings'!CG28-'DJB Daily Readings'!CG27)*1.89</f>
        <v>0</v>
      </c>
      <c r="AI20" s="84">
        <f>('DJB Daily Readings'!CI28-'DJB Daily Readings'!CI27)*1.89</f>
        <v>0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8</v>
      </c>
      <c r="AM20" s="82">
        <f>'DJB Daily Readings'!DA28-'DJB Daily Readings'!DA27</f>
        <v>13</v>
      </c>
      <c r="AN20" s="82">
        <f>'DJB Daily Readings'!DG28-'DJB Daily Readings'!DG27</f>
        <v>11</v>
      </c>
      <c r="AO20" s="82">
        <f>'DJB Daily Readings'!DE28-'DJB Daily Readings'!DE27</f>
        <v>12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1</v>
      </c>
      <c r="AS20" s="82">
        <f>'DJB Daily Readings'!DM28-'DJB Daily Readings'!DM27</f>
        <v>7</v>
      </c>
      <c r="AT20" s="82">
        <f>'DJB Daily Readings'!DQ28-'DJB Daily Readings'!DQ27</f>
        <v>0</v>
      </c>
      <c r="AU20" s="82">
        <f>'DJB Daily Readings'!DT28-'DJB Daily Readings'!DT27</f>
        <v>8</v>
      </c>
      <c r="AW20" s="82">
        <f>'DJB Daily Readings'!DX28-'DJB Daily Readings'!DX27</f>
        <v>7</v>
      </c>
      <c r="AX20" s="82">
        <f>'DJB Daily Readings'!DZ28-'DJB Daily Readings'!DZ27</f>
        <v>35</v>
      </c>
      <c r="AY20" s="82">
        <f>'DJB Daily Readings'!EB28-'DJB Daily Readings'!EB27</f>
        <v>511</v>
      </c>
      <c r="AZ20" s="82">
        <f>'DJB Daily Readings'!ED28-'DJB Daily Readings'!ED27</f>
        <v>152</v>
      </c>
      <c r="BA20" s="82">
        <f>'DJB Daily Readings'!EG28-'DJB Daily Readings'!EG27</f>
        <v>2200</v>
      </c>
      <c r="BB20" s="82">
        <f>'DJB Daily Readings'!EI28-'DJB Daily Readings'!EI27</f>
        <v>240</v>
      </c>
      <c r="BC20" s="82">
        <f>'DJB Daily Readings'!EQ28-'DJB Daily Readings'!EQ27</f>
        <v>2500</v>
      </c>
      <c r="BD20" s="82">
        <f>'DJB Daily Readings'!EK28-'DJB Daily Readings'!EK27</f>
        <v>1300</v>
      </c>
      <c r="BE20" s="82">
        <f>'DJB Daily Readings'!EM28-'DJB Daily Readings'!EM27</f>
        <v>0</v>
      </c>
      <c r="BF20" s="82">
        <f>'DJB Daily Readings'!EO28-'DJB Daily Readings'!EO27</f>
        <v>150</v>
      </c>
      <c r="BG20" s="82">
        <f>('DJB Daily Readings'!ET28-'DJB Daily Readings'!ET27)*1.89</f>
        <v>22.68</v>
      </c>
      <c r="BH20" s="82">
        <f>('DJB Daily Readings'!EV28-'DJB Daily Readings'!EV27)*1.89</f>
        <v>32.129999999999995</v>
      </c>
      <c r="BI20" s="82">
        <f>('DJB Daily Readings'!EZ28-'DJB Daily Readings'!EZ27)*1.89</f>
        <v>22.68</v>
      </c>
      <c r="BJ20" s="82">
        <f>('DJB Daily Readings'!EX28-'DJB Daily Readings'!EX27)*1.89</f>
        <v>0</v>
      </c>
      <c r="BK20" s="82">
        <f>('DJB Daily Readings'!FB28-'DJB Daily Readings'!FB27)*1.89</f>
        <v>49.14</v>
      </c>
    </row>
    <row r="21" spans="1:63" x14ac:dyDescent="0.25">
      <c r="A21" t="s">
        <v>59</v>
      </c>
      <c r="B21">
        <f t="shared" si="0"/>
        <v>20</v>
      </c>
      <c r="C21">
        <v>1</v>
      </c>
      <c r="D21">
        <v>2021</v>
      </c>
      <c r="E21" s="78">
        <f>237*0.76</f>
        <v>180.12</v>
      </c>
      <c r="F21" s="79">
        <f>292+37</f>
        <v>329</v>
      </c>
      <c r="G21" s="3">
        <f>'DJB Daily Readings'!C29-'DJB Daily Readings'!C28</f>
        <v>459</v>
      </c>
      <c r="H21" s="3">
        <f>'DJB Daily Readings'!F29-'DJB Daily Readings'!F28</f>
        <v>377</v>
      </c>
      <c r="I21" s="3">
        <f>'DJB Daily Readings'!K29-'DJB Daily Readings'!K28</f>
        <v>255</v>
      </c>
      <c r="J21" s="3">
        <f>'DJB Daily Readings'!K29-'DJB Daily Readings'!K28</f>
        <v>255</v>
      </c>
      <c r="K21" s="3">
        <f>'DJB Daily Readings'!O29-'DJB Daily Readings'!O28</f>
        <v>41</v>
      </c>
      <c r="L21" s="3">
        <f>'DJB Daily Readings'!R29-'DJB Daily Readings'!R28</f>
        <v>15</v>
      </c>
      <c r="M21" s="3">
        <f>'DJB Daily Readings'!U29-'DJB Daily Readings'!U28</f>
        <v>1900.0800000000745</v>
      </c>
      <c r="N21" s="3">
        <f>'DJB Daily Readings'!X29-'DJB Daily Readings'!X28</f>
        <v>4384.7999999988824</v>
      </c>
      <c r="O21" s="3">
        <f>'DJB Daily Readings'!AA29-'DJB Daily Readings'!AA28</f>
        <v>828.24000000022352</v>
      </c>
      <c r="P21" s="3">
        <f>'DJB Daily Readings'!AD29-'DJB Daily Readings'!AD28</f>
        <v>48.719999998807907</v>
      </c>
      <c r="Q21" s="3">
        <f>'DJB Daily Readings'!AG29-'DJB Daily Readings'!AG28</f>
        <v>8233.6799999978393</v>
      </c>
      <c r="R21" s="3">
        <f>'DJB Daily Readings'!AJ29-'DJB Daily Readings'!AJ28</f>
        <v>5407.9199999999255</v>
      </c>
      <c r="S21" s="3">
        <f>'DJB Daily Readings'!AM29-'DJB Daily Readings'!AM28</f>
        <v>4141.2000000011176</v>
      </c>
      <c r="T21" s="3">
        <f>'DJB Daily Readings'!AP29-'DJB Daily Readings'!AP28</f>
        <v>3946.3200000021607</v>
      </c>
      <c r="U21" s="3">
        <f>'DJB Daily Readings'!AS29-'DJB Daily Readings'!AS28</f>
        <v>3215.519999999553</v>
      </c>
      <c r="V21" s="3">
        <f>'DJB Daily Readings'!AV29-'DJB Daily Readings'!AV28</f>
        <v>5554.0799999982119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36000</v>
      </c>
      <c r="Z21" s="3">
        <f>('DJB Daily Readings'!CK29-'DJB Daily Readings'!CK28)*1.89</f>
        <v>168.20999999999998</v>
      </c>
      <c r="AA21" s="3">
        <f>('DJB Daily Readings'!CN29-'DJB Daily Readings'!CN28)*1.89</f>
        <v>183.32999999999998</v>
      </c>
      <c r="AB21" s="3">
        <f>('DJB Daily Readings'!CQ29-'DJB Daily Readings'!CQ28)*1.89</f>
        <v>678.51</v>
      </c>
      <c r="AC21" s="3">
        <f>'DJB Daily Readings'!CT29-'DJB Daily Readings'!CT28</f>
        <v>265</v>
      </c>
      <c r="AD21" s="84">
        <f>('DJB Daily Readings'!BY29-'DJB Daily Readings'!BY28)*1.89</f>
        <v>194.67</v>
      </c>
      <c r="AE21" s="84">
        <f>('DJB Daily Readings'!CA29-'DJB Daily Readings'!CA28)*1.89</f>
        <v>177.66</v>
      </c>
      <c r="AF21" s="84">
        <f>('DJB Daily Readings'!CC29-'DJB Daily Readings'!CC28)*1.89</f>
        <v>79.38</v>
      </c>
      <c r="AG21" s="84">
        <f>('DJB Daily Readings'!CE29-'DJB Daily Readings'!CE28)*1.89</f>
        <v>102.05999999999999</v>
      </c>
      <c r="AH21" s="84">
        <f>('DJB Daily Readings'!CG29-'DJB Daily Readings'!CG28)*1.89</f>
        <v>120.96</v>
      </c>
      <c r="AI21" s="84">
        <f>('DJB Daily Readings'!CI29-'DJB Daily Readings'!CI28)*1.89</f>
        <v>270.27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16</v>
      </c>
      <c r="AM21" s="82">
        <f>'DJB Daily Readings'!DA29-'DJB Daily Readings'!DA28</f>
        <v>13</v>
      </c>
      <c r="AN21" s="82">
        <f>'DJB Daily Readings'!DG29-'DJB Daily Readings'!DG28</f>
        <v>11</v>
      </c>
      <c r="AO21" s="82">
        <f>'DJB Daily Readings'!DE29-'DJB Daily Readings'!DE28</f>
        <v>12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0</v>
      </c>
      <c r="AS21" s="82">
        <f>'DJB Daily Readings'!DM29-'DJB Daily Readings'!DM28</f>
        <v>7</v>
      </c>
      <c r="AT21" s="82">
        <f>'DJB Daily Readings'!DQ29-'DJB Daily Readings'!DQ28</f>
        <v>0</v>
      </c>
      <c r="AU21" s="82">
        <f>'DJB Daily Readings'!DT29-'DJB Daily Readings'!DT28</f>
        <v>8</v>
      </c>
      <c r="AW21" s="82">
        <f>'DJB Daily Readings'!DX29-'DJB Daily Readings'!DX28</f>
        <v>6</v>
      </c>
      <c r="AX21" s="82">
        <f>'DJB Daily Readings'!DZ29-'DJB Daily Readings'!DZ28</f>
        <v>23</v>
      </c>
      <c r="AY21" s="82">
        <f>'DJB Daily Readings'!EB29-'DJB Daily Readings'!EB28</f>
        <v>518</v>
      </c>
      <c r="AZ21" s="82">
        <f>'DJB Daily Readings'!ED29-'DJB Daily Readings'!ED28</f>
        <v>151</v>
      </c>
      <c r="BA21" s="82">
        <f>'DJB Daily Readings'!EG29-'DJB Daily Readings'!EG28</f>
        <v>2000</v>
      </c>
      <c r="BB21" s="82">
        <f>'DJB Daily Readings'!EI29-'DJB Daily Readings'!EI28</f>
        <v>240</v>
      </c>
      <c r="BC21" s="82">
        <f>'DJB Daily Readings'!EQ29-'DJB Daily Readings'!EQ28</f>
        <v>2700</v>
      </c>
      <c r="BD21" s="82">
        <f>'DJB Daily Readings'!EK29-'DJB Daily Readings'!EK28</f>
        <v>1400</v>
      </c>
      <c r="BE21" s="82">
        <f>'DJB Daily Readings'!EM29-'DJB Daily Readings'!EM28</f>
        <v>0</v>
      </c>
      <c r="BF21" s="82">
        <f>'DJB Daily Readings'!EO29-'DJB Daily Readings'!EO28</f>
        <v>150</v>
      </c>
      <c r="BG21" s="82">
        <f>('DJB Daily Readings'!ET29-'DJB Daily Readings'!ET28)*1.89</f>
        <v>24.57</v>
      </c>
      <c r="BH21" s="82">
        <f>('DJB Daily Readings'!EV29-'DJB Daily Readings'!EV28)*1.89</f>
        <v>34.019999999999996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49.14</v>
      </c>
    </row>
    <row r="22" spans="1:63" x14ac:dyDescent="0.25">
      <c r="A22" t="s">
        <v>59</v>
      </c>
      <c r="B22">
        <f t="shared" si="0"/>
        <v>21</v>
      </c>
      <c r="C22">
        <v>1</v>
      </c>
      <c r="D22">
        <v>2021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1</v>
      </c>
      <c r="D23">
        <v>2021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1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</v>
      </c>
      <c r="D31">
        <v>2021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1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H29" sqref="H2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'[1]January - 2021'!B9</f>
        <v>0.93</v>
      </c>
      <c r="C9" s="263">
        <f>'[1]January - 2021'!E9</f>
        <v>699794</v>
      </c>
      <c r="D9" s="410">
        <f>C10-C9</f>
        <v>568</v>
      </c>
      <c r="E9" s="412">
        <f>'[1]January - 2021'!G9</f>
        <v>559</v>
      </c>
      <c r="F9" s="168">
        <f>'[1]January - 2021'!H9</f>
        <v>802507</v>
      </c>
      <c r="G9" s="368">
        <f>F10-F9</f>
        <v>537</v>
      </c>
      <c r="H9" s="412">
        <f>'[1]January - 2021'!J9</f>
        <v>469</v>
      </c>
      <c r="I9" s="264">
        <f>'[1]January - 2021'!K9</f>
        <v>105127</v>
      </c>
      <c r="J9" s="368">
        <f>I10-I9</f>
        <v>79</v>
      </c>
      <c r="K9" s="264">
        <f>'[1]January - 2021'!N9</f>
        <v>714973</v>
      </c>
      <c r="L9" s="367">
        <f>K10-K9</f>
        <v>157</v>
      </c>
      <c r="M9" s="264">
        <f>'[1]January - 2021'!Q9</f>
        <v>163777</v>
      </c>
      <c r="N9" s="367">
        <f>M10-M9</f>
        <v>0</v>
      </c>
      <c r="O9" s="264">
        <f>'[1]January - 2021'!S9</f>
        <v>141282</v>
      </c>
      <c r="P9" s="368">
        <f>O10-O9</f>
        <v>17</v>
      </c>
      <c r="Q9" s="412">
        <f>'[1]January - 2021'!U9</f>
        <v>77</v>
      </c>
      <c r="R9" s="264">
        <f>'[1]January - 2021'!V9</f>
        <v>14896</v>
      </c>
      <c r="S9" s="414">
        <f>R10-R9</f>
        <v>15</v>
      </c>
      <c r="T9" s="520"/>
      <c r="U9" s="269">
        <f>'[1]January - 2021'!AC9</f>
        <v>6234552.2400000002</v>
      </c>
      <c r="V9" s="416">
        <f>U10-U9</f>
        <v>2971.9199999989942</v>
      </c>
      <c r="W9" s="408">
        <f>'[1]January - 2021'!AD9</f>
        <v>2971.9199999989942</v>
      </c>
      <c r="X9" s="255">
        <f>'[1]January - 2021'!AF9</f>
        <v>12185797.68</v>
      </c>
      <c r="Y9" s="368">
        <f>X10-X9</f>
        <v>4482.2400000002235</v>
      </c>
      <c r="Z9" s="408">
        <f>'[1]January - 2021'!AG9</f>
        <v>4482.2400000002235</v>
      </c>
      <c r="AA9" s="255">
        <f>'[1]January - 2021'!AI9</f>
        <v>11532608.640000001</v>
      </c>
      <c r="AB9" s="368">
        <f>AA10-AA9</f>
        <v>97.439999999478459</v>
      </c>
      <c r="AC9" s="408">
        <f>'[1]January - 2021'!AJ9</f>
        <v>97.439999999478459</v>
      </c>
      <c r="AD9" s="255">
        <f>'[1]January - 2021'!AL9</f>
        <v>14839673.52</v>
      </c>
      <c r="AE9" s="368">
        <f>AD10-AD9</f>
        <v>48.720000000670552</v>
      </c>
      <c r="AF9" s="408">
        <f>'[1]January - 2021'!AM9</f>
        <v>48.720000000670552</v>
      </c>
      <c r="AG9" s="255">
        <f>'[1]January - 2021'!AO9</f>
        <v>15009024.24</v>
      </c>
      <c r="AH9" s="368">
        <f>AG10-AG9</f>
        <v>8282.4000000003725</v>
      </c>
      <c r="AI9" s="408">
        <f>'[1]January - 2021'!AP9</f>
        <v>8282.4000000003725</v>
      </c>
      <c r="AJ9" s="255">
        <f>'[1]January - 2021'!AR9</f>
        <v>13656557.039999999</v>
      </c>
      <c r="AK9" s="368">
        <f>AJ10-AJ9</f>
        <v>5359.2000000011176</v>
      </c>
      <c r="AL9" s="408">
        <f>'[1]January - 2021'!AS9</f>
        <v>5359.2000000011176</v>
      </c>
      <c r="AM9" s="255">
        <f>'[1]January - 2021'!AU9</f>
        <v>11688074.16</v>
      </c>
      <c r="AN9" s="368">
        <f>AM10-AM9</f>
        <v>4238.6399999987334</v>
      </c>
      <c r="AO9" s="408">
        <f>'[1]January - 2021'!AV9</f>
        <v>4238.6399999987334</v>
      </c>
      <c r="AP9" s="255">
        <f>'[1]January - 2021'!AX9</f>
        <v>11285939.280000001</v>
      </c>
      <c r="AQ9" s="368">
        <f>AP10-AP9</f>
        <v>4141.1999999992549</v>
      </c>
      <c r="AR9" s="408">
        <f>'[1]January - 2021'!AY9</f>
        <v>4141.1999999992549</v>
      </c>
      <c r="AS9" s="255">
        <f>'[1]January - 2021'!BA9</f>
        <v>9033126.4800000004</v>
      </c>
      <c r="AT9" s="368">
        <f>AS10-AS9</f>
        <v>3069.359999999404</v>
      </c>
      <c r="AU9" s="408">
        <f>'[1]January - 2021'!BB9</f>
        <v>3069.359999999404</v>
      </c>
      <c r="AV9" s="255">
        <f>'[1]January - 2021'!BD9</f>
        <v>13648566.959999999</v>
      </c>
      <c r="AW9" s="368">
        <f>AV10-AV9</f>
        <v>5895.1200000010431</v>
      </c>
      <c r="AX9" s="489">
        <f>'[1]January - 2021'!BE9</f>
        <v>5895.1200000010431</v>
      </c>
      <c r="AY9" s="486"/>
      <c r="AZ9" s="272">
        <f>'[1]January - 2021'!BK9</f>
        <v>57638300</v>
      </c>
      <c r="BA9" s="491">
        <f>AZ10-AZ9</f>
        <v>0</v>
      </c>
      <c r="BB9" s="487">
        <f>'[1]January - 2021'!BL9</f>
        <v>0</v>
      </c>
      <c r="BC9" s="272">
        <f>'[1]January - 2021'!BN9</f>
        <v>61713100</v>
      </c>
      <c r="BD9" s="491">
        <f>BC10-BC9</f>
        <v>0</v>
      </c>
      <c r="BE9" s="487">
        <f>'[1]January - 2021'!BO9</f>
        <v>0</v>
      </c>
      <c r="BF9" s="272">
        <f>'[1]January - 2021'!BQ9</f>
        <v>55604100</v>
      </c>
      <c r="BG9" s="491">
        <f>BF10-BF9</f>
        <v>38300</v>
      </c>
      <c r="BH9" s="487">
        <f>'[1]January - 2021'!BR9</f>
        <v>38300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'[1]January - 2021'!BT9</f>
        <v>5615110</v>
      </c>
      <c r="BT9" s="385">
        <f>BS10-BS9</f>
        <v>6730</v>
      </c>
      <c r="BU9" s="393"/>
      <c r="BV9" s="88">
        <f>'[1]January - 2021'!BW9</f>
        <v>0.6</v>
      </c>
      <c r="BW9" s="387">
        <f>BV10-BV9</f>
        <v>0.18000000000000005</v>
      </c>
      <c r="BX9" s="389">
        <f>'[1]January - 2021'!$BX$9:$BX$10</f>
        <v>-0.18000000000000005</v>
      </c>
      <c r="BY9" s="89">
        <f>'[1]January - 2021'!BZ9</f>
        <v>51069</v>
      </c>
      <c r="BZ9" s="391">
        <f>BY10-BY9</f>
        <v>0</v>
      </c>
      <c r="CA9" s="89">
        <f>'[1]January - 2021'!CB9</f>
        <v>43018</v>
      </c>
      <c r="CB9" s="391">
        <f>CA10-CA9</f>
        <v>0</v>
      </c>
      <c r="CC9" s="89">
        <f>'[1]January - 2021'!CD9</f>
        <v>14750</v>
      </c>
      <c r="CD9" s="391">
        <f>CC10-CC9</f>
        <v>0</v>
      </c>
      <c r="CE9" s="89">
        <f>'[1]January - 2021'!CF9</f>
        <v>18706</v>
      </c>
      <c r="CF9" s="391">
        <f>CE10-CE9</f>
        <v>0</v>
      </c>
      <c r="CG9" s="89">
        <f>'[1]January - 2021'!CH9</f>
        <v>20194</v>
      </c>
      <c r="CH9" s="391">
        <f>CG10-CG9</f>
        <v>0</v>
      </c>
      <c r="CI9" s="89">
        <f>'[1]January - 2021'!CJ9</f>
        <v>45946</v>
      </c>
      <c r="CJ9" s="391">
        <f>CI10-CI9</f>
        <v>0</v>
      </c>
      <c r="CK9" s="89">
        <f>'[1]January - 2021'!CL9</f>
        <v>201708</v>
      </c>
      <c r="CL9" s="391">
        <f>CK10-CK9</f>
        <v>93</v>
      </c>
      <c r="CM9" s="405">
        <f>'[1]January - 2021'!CM9</f>
        <v>93</v>
      </c>
      <c r="CN9" s="89">
        <f>'[1]January - 2021'!CO9</f>
        <v>149867</v>
      </c>
      <c r="CO9" s="391">
        <f>CN10-CN9</f>
        <v>101</v>
      </c>
      <c r="CP9" s="405">
        <f>'[1]January - 2021'!CP9</f>
        <v>101</v>
      </c>
      <c r="CQ9" s="89">
        <f>'[1]January - 2021'!CR9</f>
        <v>277004</v>
      </c>
      <c r="CR9" s="391">
        <f>CQ10-CQ9</f>
        <v>322</v>
      </c>
      <c r="CS9" s="405">
        <f>'[1]January - 2021'!CS9</f>
        <v>322</v>
      </c>
      <c r="CT9" s="89">
        <f>'[1]January - 2021'!CU9</f>
        <v>536154</v>
      </c>
      <c r="CU9" s="467">
        <f>CT10-CT9</f>
        <v>250</v>
      </c>
      <c r="CV9" s="453"/>
      <c r="CW9" s="256">
        <f>'[1]January - 2021'!CX9</f>
        <v>4186</v>
      </c>
      <c r="CX9" s="379">
        <f>CW10-CW9</f>
        <v>0</v>
      </c>
      <c r="CY9" s="257">
        <f>'[1]January - 2021'!CZ9</f>
        <v>1997</v>
      </c>
      <c r="CZ9" s="379">
        <f>CY10-CY9</f>
        <v>0</v>
      </c>
      <c r="DA9" s="257">
        <f>'[1]January - 2021'!DB9</f>
        <v>22287</v>
      </c>
      <c r="DB9" s="379">
        <f>DA10-DA9</f>
        <v>17</v>
      </c>
      <c r="DC9" s="257">
        <f>'[1]January - 2021'!DD9</f>
        <v>23206</v>
      </c>
      <c r="DD9" s="379">
        <f>DC10-DC9</f>
        <v>16</v>
      </c>
      <c r="DE9" s="257">
        <f>'[1]January - 2021'!DF9</f>
        <v>15935</v>
      </c>
      <c r="DF9" s="379">
        <f>DE10-DE9</f>
        <v>14</v>
      </c>
      <c r="DG9" s="257">
        <f>'[1]January - 2021'!DH9</f>
        <v>19082</v>
      </c>
      <c r="DH9" s="379">
        <f>DG10-DG9</f>
        <v>8</v>
      </c>
      <c r="DI9" s="257">
        <f>'[1]January - 2021'!DJ9</f>
        <v>825</v>
      </c>
      <c r="DJ9" s="379">
        <f>DI10-DI9</f>
        <v>0</v>
      </c>
      <c r="DK9" s="257">
        <f>'[1]January - 2021'!DL9</f>
        <v>3616</v>
      </c>
      <c r="DL9" s="379">
        <f>DK10-DK9</f>
        <v>0</v>
      </c>
      <c r="DM9" s="257">
        <f>'[1]January - 2021'!DN9</f>
        <v>188</v>
      </c>
      <c r="DN9" s="379">
        <f>DM10-DM9</f>
        <v>8</v>
      </c>
      <c r="DO9" s="257">
        <f>'[1]January - 2021'!DP9</f>
        <v>1843</v>
      </c>
      <c r="DP9" s="379">
        <f>DO10-DO9</f>
        <v>6</v>
      </c>
      <c r="DQ9" s="257">
        <f>'[1]January - 2021'!DR9</f>
        <v>22801</v>
      </c>
      <c r="DR9" s="381">
        <f>DQ10-DQ9</f>
        <v>6</v>
      </c>
      <c r="DS9" s="438"/>
      <c r="DT9" s="210">
        <f>'[1]January - 2021'!DU9</f>
        <v>54.2</v>
      </c>
      <c r="DU9" s="383">
        <f>DT10-DT9</f>
        <v>10</v>
      </c>
      <c r="DV9" s="91">
        <f>'[1]January - 2021'!DW9</f>
        <v>5885.9</v>
      </c>
      <c r="DW9" s="445">
        <f>DV10-DV9</f>
        <v>5.3000000000001819</v>
      </c>
      <c r="DX9" s="91">
        <f>'[1]January - 2021'!DY9</f>
        <v>42.1</v>
      </c>
      <c r="DY9" s="383">
        <f>DX10-DX9</f>
        <v>7.2999999999999972</v>
      </c>
      <c r="DZ9" s="91">
        <f>'[1]January - 2021'!EA9</f>
        <v>254034</v>
      </c>
      <c r="EA9" s="383">
        <f>DZ10-DZ9</f>
        <v>0</v>
      </c>
      <c r="EB9" s="91">
        <f>'[1]January - 2021'!EC9</f>
        <v>635729</v>
      </c>
      <c r="EC9" s="383">
        <f>EB10-EB9</f>
        <v>523</v>
      </c>
      <c r="ED9" s="91">
        <f>'[1]January - 2021'!EG9</f>
        <v>123900</v>
      </c>
      <c r="EE9" s="447">
        <f>ED10-ED9</f>
        <v>152</v>
      </c>
      <c r="EF9" s="377"/>
      <c r="EG9" s="235">
        <f>'[1]January - 2021'!EJ9</f>
        <v>8641300</v>
      </c>
      <c r="EH9" s="369">
        <f>EG10-EG9</f>
        <v>2500</v>
      </c>
      <c r="EI9" s="90">
        <f>'[1]January - 2021'!EL9</f>
        <v>706230</v>
      </c>
      <c r="EJ9" s="369">
        <f>EI10-EI9</f>
        <v>260</v>
      </c>
      <c r="EK9" s="90">
        <f>'[1]January - 2021'!EN9</f>
        <v>5546600</v>
      </c>
      <c r="EL9" s="369">
        <f>EK10-EK9</f>
        <v>1200</v>
      </c>
      <c r="EM9" s="90">
        <f>'[1]January - 2021'!EP9</f>
        <v>1994500</v>
      </c>
      <c r="EN9" s="369">
        <f>EM10-EM9</f>
        <v>0</v>
      </c>
      <c r="EO9" s="90">
        <f>'[1]January - 2021'!ER9</f>
        <v>730300</v>
      </c>
      <c r="EP9" s="369">
        <f>EO10-EO9</f>
        <v>140</v>
      </c>
      <c r="EQ9" s="90">
        <f>'[1]January - 2021'!ET9</f>
        <v>12269000</v>
      </c>
      <c r="ER9" s="433">
        <f>EQ10-EQ9</f>
        <v>2400</v>
      </c>
      <c r="ES9" s="425"/>
      <c r="ET9" s="284">
        <f>'[1]January - 2021'!EW9</f>
        <v>32609</v>
      </c>
      <c r="EU9" s="380">
        <f>ET10-ET9</f>
        <v>13</v>
      </c>
      <c r="EV9" s="285">
        <f>'[1]January - 2021'!EY9</f>
        <v>27885</v>
      </c>
      <c r="EW9" s="380">
        <f>EV10-EV9</f>
        <v>21</v>
      </c>
      <c r="EX9" s="285">
        <f>'[1]January - 2021'!FA9</f>
        <v>0</v>
      </c>
      <c r="EY9" s="380">
        <v>0</v>
      </c>
      <c r="EZ9" s="285">
        <f>'[1]January - 2021'!FC9</f>
        <v>48673</v>
      </c>
      <c r="FA9" s="380">
        <f>EZ10-EZ9</f>
        <v>0</v>
      </c>
      <c r="FB9" s="285">
        <f>'[1]January - 2021'!FE9</f>
        <v>27579</v>
      </c>
      <c r="FC9" s="382">
        <f>FB10-FB9</f>
        <v>30</v>
      </c>
    </row>
    <row r="10" spans="1:159" ht="30" customHeight="1" x14ac:dyDescent="0.25">
      <c r="A10" s="207">
        <v>43831</v>
      </c>
      <c r="B10" s="209">
        <f>'[1]January - 2021'!B10</f>
        <v>0.89</v>
      </c>
      <c r="C10" s="250">
        <f>'[1]January - 2021'!E10</f>
        <v>700362</v>
      </c>
      <c r="D10" s="411"/>
      <c r="E10" s="413"/>
      <c r="F10" s="168">
        <f>'[1]January - 2021'!H10</f>
        <v>803044</v>
      </c>
      <c r="G10" s="407"/>
      <c r="H10" s="413"/>
      <c r="I10" s="168">
        <f>'[1]January - 2021'!K10</f>
        <v>105206</v>
      </c>
      <c r="J10" s="407"/>
      <c r="K10" s="168">
        <f>'[1]January - 2021'!N10</f>
        <v>715130</v>
      </c>
      <c r="L10" s="368"/>
      <c r="M10" s="168">
        <f>'[1]January - 2021'!Q10</f>
        <v>163777</v>
      </c>
      <c r="N10" s="368"/>
      <c r="O10" s="168">
        <f>'[1]January - 2021'!S10</f>
        <v>141299</v>
      </c>
      <c r="P10" s="407"/>
      <c r="Q10" s="413"/>
      <c r="R10" s="168">
        <f>'[1]January - 2021'!V10</f>
        <v>14911</v>
      </c>
      <c r="S10" s="415"/>
      <c r="T10" s="520"/>
      <c r="U10" s="269">
        <f>'[1]January - 2021'!AC10</f>
        <v>6237524.1599999992</v>
      </c>
      <c r="V10" s="417"/>
      <c r="W10" s="409"/>
      <c r="X10" s="290">
        <f>'[1]January - 2021'!AF10</f>
        <v>12190279.92</v>
      </c>
      <c r="Y10" s="407"/>
      <c r="Z10" s="409"/>
      <c r="AA10" s="290">
        <f>'[1]January - 2021'!AI10</f>
        <v>11532706.08</v>
      </c>
      <c r="AB10" s="407"/>
      <c r="AC10" s="409"/>
      <c r="AD10" s="290">
        <f>'[1]January - 2021'!AL10</f>
        <v>14839722.24</v>
      </c>
      <c r="AE10" s="407"/>
      <c r="AF10" s="409"/>
      <c r="AG10" s="290">
        <f>'[1]January - 2021'!AO10</f>
        <v>15017306.640000001</v>
      </c>
      <c r="AH10" s="407"/>
      <c r="AI10" s="409"/>
      <c r="AJ10" s="290">
        <f>'[1]January - 2021'!AR10</f>
        <v>13661916.24</v>
      </c>
      <c r="AK10" s="407"/>
      <c r="AL10" s="409"/>
      <c r="AM10" s="290">
        <f>'[1]January - 2021'!AU10</f>
        <v>11692312.799999999</v>
      </c>
      <c r="AN10" s="407"/>
      <c r="AO10" s="409"/>
      <c r="AP10" s="290">
        <f>'[1]January - 2021'!AX10</f>
        <v>11290080.48</v>
      </c>
      <c r="AQ10" s="407"/>
      <c r="AR10" s="409"/>
      <c r="AS10" s="290">
        <f>'[1]January - 2021'!BA10</f>
        <v>9036195.8399999999</v>
      </c>
      <c r="AT10" s="407"/>
      <c r="AU10" s="409"/>
      <c r="AV10" s="290">
        <f>'[1]January - 2021'!BD10</f>
        <v>13654462.08</v>
      </c>
      <c r="AW10" s="407"/>
      <c r="AX10" s="490"/>
      <c r="AY10" s="486"/>
      <c r="AZ10" s="272">
        <f>'[1]January - 2021'!BK10</f>
        <v>57638300</v>
      </c>
      <c r="BA10" s="492"/>
      <c r="BB10" s="488"/>
      <c r="BC10" s="272">
        <f>'[1]January - 2021'!BN10</f>
        <v>61713100</v>
      </c>
      <c r="BD10" s="492"/>
      <c r="BE10" s="488"/>
      <c r="BF10" s="272">
        <f>'[1]January - 2021'!BQ10</f>
        <v>55642400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'[1]January - 2021'!BT10</f>
        <v>5621840</v>
      </c>
      <c r="BT10" s="386"/>
      <c r="BU10" s="393"/>
      <c r="BV10" s="88">
        <f>'[1]January - 2021'!BW10</f>
        <v>0.78</v>
      </c>
      <c r="BW10" s="388"/>
      <c r="BX10" s="390"/>
      <c r="BY10" s="89">
        <f>'[1]January - 2021'!BZ10</f>
        <v>51069</v>
      </c>
      <c r="BZ10" s="385"/>
      <c r="CA10" s="89">
        <f>'[1]January - 2021'!CB10</f>
        <v>43018</v>
      </c>
      <c r="CB10" s="385"/>
      <c r="CC10" s="89">
        <f>'[1]January - 2021'!CD10</f>
        <v>14750</v>
      </c>
      <c r="CD10" s="385"/>
      <c r="CE10" s="89">
        <f>'[1]January - 2021'!CF10</f>
        <v>18706</v>
      </c>
      <c r="CF10" s="385"/>
      <c r="CG10" s="89">
        <f>'[1]January - 2021'!CH10</f>
        <v>20194</v>
      </c>
      <c r="CH10" s="385"/>
      <c r="CI10" s="89">
        <f>'[1]January - 2021'!CJ10</f>
        <v>45946</v>
      </c>
      <c r="CJ10" s="385"/>
      <c r="CK10" s="89">
        <f>'[1]January - 2021'!CL10</f>
        <v>201801</v>
      </c>
      <c r="CL10" s="385"/>
      <c r="CM10" s="406"/>
      <c r="CN10" s="89">
        <f>'[1]January - 2021'!CO10</f>
        <v>149968</v>
      </c>
      <c r="CO10" s="385"/>
      <c r="CP10" s="406"/>
      <c r="CQ10" s="89">
        <f>'[1]January - 2021'!CR10</f>
        <v>277326</v>
      </c>
      <c r="CR10" s="385"/>
      <c r="CS10" s="406"/>
      <c r="CT10" s="89">
        <f>'[1]January - 2021'!CU10</f>
        <v>536404</v>
      </c>
      <c r="CU10" s="468"/>
      <c r="CV10" s="453"/>
      <c r="CW10" s="256">
        <f>'[1]January - 2021'!CX10</f>
        <v>4186</v>
      </c>
      <c r="CX10" s="380"/>
      <c r="CY10" s="257">
        <f>'[1]January - 2021'!CZ10</f>
        <v>1997</v>
      </c>
      <c r="CZ10" s="380"/>
      <c r="DA10" s="257">
        <f>'[1]January - 2021'!DB10</f>
        <v>22304</v>
      </c>
      <c r="DB10" s="380"/>
      <c r="DC10" s="257">
        <f>'[1]January - 2021'!DD10</f>
        <v>23222</v>
      </c>
      <c r="DD10" s="380"/>
      <c r="DE10" s="257">
        <f>'[1]January - 2021'!DF10</f>
        <v>15949</v>
      </c>
      <c r="DF10" s="380"/>
      <c r="DG10" s="257">
        <f>'[1]January - 2021'!DH10</f>
        <v>19090</v>
      </c>
      <c r="DH10" s="380"/>
      <c r="DI10" s="257">
        <f>'[1]January - 2021'!DJ10</f>
        <v>825</v>
      </c>
      <c r="DJ10" s="380"/>
      <c r="DK10" s="257">
        <f>'[1]January - 2021'!DL10</f>
        <v>3616</v>
      </c>
      <c r="DL10" s="380"/>
      <c r="DM10" s="257">
        <f>'[1]January - 2021'!DN10</f>
        <v>196</v>
      </c>
      <c r="DN10" s="380"/>
      <c r="DO10" s="257">
        <f>'[1]January - 2021'!DP10</f>
        <v>1849</v>
      </c>
      <c r="DP10" s="380"/>
      <c r="DQ10" s="257">
        <f>'[1]January - 2021'!DR10</f>
        <v>22807</v>
      </c>
      <c r="DR10" s="382"/>
      <c r="DS10" s="438"/>
      <c r="DT10" s="210">
        <f>'[1]January - 2021'!DU10</f>
        <v>64.2</v>
      </c>
      <c r="DU10" s="384"/>
      <c r="DV10" s="91">
        <f>'[1]January - 2021'!DW10</f>
        <v>5891.2</v>
      </c>
      <c r="DW10" s="446"/>
      <c r="DX10" s="91">
        <f>'[1]January - 2021'!DY10</f>
        <v>49.4</v>
      </c>
      <c r="DY10" s="384"/>
      <c r="DZ10" s="91">
        <f>'[1]January - 2021'!EA10</f>
        <v>254034</v>
      </c>
      <c r="EA10" s="384"/>
      <c r="EB10" s="91">
        <f>'[1]January - 2021'!EC10</f>
        <v>636252</v>
      </c>
      <c r="EC10" s="384"/>
      <c r="ED10" s="91">
        <f>'[1]January - 2021'!EG10</f>
        <v>124052</v>
      </c>
      <c r="EE10" s="448"/>
      <c r="EF10" s="377"/>
      <c r="EG10" s="235">
        <f>'[1]January - 2021'!EJ10</f>
        <v>8643800</v>
      </c>
      <c r="EH10" s="370"/>
      <c r="EI10" s="90">
        <f>'[1]January - 2021'!EL10</f>
        <v>706490</v>
      </c>
      <c r="EJ10" s="370"/>
      <c r="EK10" s="90">
        <f>'[1]January - 2021'!EN10</f>
        <v>5547800</v>
      </c>
      <c r="EL10" s="370"/>
      <c r="EM10" s="90">
        <f>'[1]January - 2021'!EP10</f>
        <v>1994500</v>
      </c>
      <c r="EN10" s="370"/>
      <c r="EO10" s="90">
        <f>'[1]January - 2021'!ER10</f>
        <v>730440</v>
      </c>
      <c r="EP10" s="370"/>
      <c r="EQ10" s="90">
        <f>'[1]January - 2021'!ET10</f>
        <v>12271400</v>
      </c>
      <c r="ER10" s="434"/>
      <c r="ES10" s="425"/>
      <c r="ET10" s="284">
        <f>'[1]January - 2021'!EW10</f>
        <v>32622</v>
      </c>
      <c r="EU10" s="429"/>
      <c r="EV10" s="285">
        <f>'[1]January - 2021'!EY10</f>
        <v>27906</v>
      </c>
      <c r="EW10" s="429"/>
      <c r="EX10" s="285">
        <f>'[1]January - 2021'!FA10</f>
        <v>0</v>
      </c>
      <c r="EY10" s="429"/>
      <c r="EZ10" s="285">
        <f>'[1]January - 2021'!FC10</f>
        <v>48673</v>
      </c>
      <c r="FA10" s="429"/>
      <c r="FB10" s="285">
        <f>'[1]January - 2021'!FE10</f>
        <v>27609</v>
      </c>
      <c r="FC10" s="430"/>
    </row>
    <row r="11" spans="1:159" ht="30" customHeight="1" x14ac:dyDescent="0.25">
      <c r="A11" s="207">
        <v>43832</v>
      </c>
      <c r="B11" s="209">
        <f>'[1]January - 2021'!B11</f>
        <v>0.87</v>
      </c>
      <c r="C11" s="250">
        <f>'[1]January - 2021'!E11</f>
        <v>700905</v>
      </c>
      <c r="D11" s="170">
        <f>'[1]January - 2021'!F11</f>
        <v>543</v>
      </c>
      <c r="E11" s="168">
        <f>'[1]January - 2021'!G11</f>
        <v>604</v>
      </c>
      <c r="F11" s="168">
        <f>'[1]January - 2021'!H11</f>
        <v>803513</v>
      </c>
      <c r="G11" s="170">
        <f>'[1]January - 2021'!I11</f>
        <v>469</v>
      </c>
      <c r="H11" s="168">
        <f>'[1]January - 2021'!J11</f>
        <v>489</v>
      </c>
      <c r="I11" s="168">
        <f>'[1]January - 2021'!K11</f>
        <v>105372</v>
      </c>
      <c r="J11" s="170">
        <f>'[1]January - 2021'!L11</f>
        <v>166</v>
      </c>
      <c r="K11" s="168">
        <f>'[1]January - 2021'!N11</f>
        <v>715324</v>
      </c>
      <c r="L11" s="170">
        <f>'[1]January - 2021'!O11</f>
        <v>194</v>
      </c>
      <c r="M11" s="168">
        <f>'[1]January - 2021'!Q11</f>
        <v>163777</v>
      </c>
      <c r="N11" s="170">
        <f>'[1]January - 2021'!R11</f>
        <v>0</v>
      </c>
      <c r="O11" s="168">
        <f>'[1]January - 2021'!S11</f>
        <v>141340</v>
      </c>
      <c r="P11" s="170">
        <f>'[1]January - 2021'!T11</f>
        <v>41</v>
      </c>
      <c r="Q11" s="168">
        <f>'[1]January - 2021'!U11</f>
        <v>103</v>
      </c>
      <c r="R11" s="168">
        <f>'[1]January - 2021'!V11</f>
        <v>14935</v>
      </c>
      <c r="S11" s="208">
        <f>'[1]January - 2021'!W11</f>
        <v>24</v>
      </c>
      <c r="T11" s="520"/>
      <c r="U11" s="269">
        <f>'[1]January - 2021'!AC11</f>
        <v>6241373.04</v>
      </c>
      <c r="V11" s="239">
        <f>'[1]January - 2021'!AD11</f>
        <v>3848.8800000008196</v>
      </c>
      <c r="W11" s="92">
        <f>'[1]January - 2021'!AD11</f>
        <v>3848.8800000008196</v>
      </c>
      <c r="X11" s="290">
        <f>'[1]January - 2021'!AF11</f>
        <v>12194762.16</v>
      </c>
      <c r="Y11" s="239">
        <f>'[1]January - 2021'!AG11</f>
        <v>4482.2400000002235</v>
      </c>
      <c r="Z11" s="92">
        <f>'[1]January - 2021'!AG11</f>
        <v>4482.2400000002235</v>
      </c>
      <c r="AA11" s="290">
        <f>'[1]January - 2021'!AI11</f>
        <v>11539185.84</v>
      </c>
      <c r="AB11" s="251">
        <f>'[1]January - 2021'!AJ11</f>
        <v>6479.7599999997765</v>
      </c>
      <c r="AC11" s="92">
        <f>'[1]January - 2021'!AJ11</f>
        <v>6479.7599999997765</v>
      </c>
      <c r="AD11" s="290">
        <f>'[1]January - 2021'!AL11</f>
        <v>14839819.68</v>
      </c>
      <c r="AE11" s="251">
        <f>'[1]January - 2021'!AM11</f>
        <v>97.439999999478459</v>
      </c>
      <c r="AF11" s="92">
        <f>'[1]January - 2021'!AM11</f>
        <v>97.439999999478459</v>
      </c>
      <c r="AG11" s="290">
        <f>'[1]January - 2021'!AO11</f>
        <v>15017745.119999999</v>
      </c>
      <c r="AH11" s="251">
        <f>'[1]January - 2021'!AP11</f>
        <v>438.47999999858439</v>
      </c>
      <c r="AI11" s="92">
        <f>'[1]January - 2021'!AP11</f>
        <v>438.47999999858439</v>
      </c>
      <c r="AJ11" s="290">
        <f>'[1]January - 2021'!AR11</f>
        <v>13667372.880000001</v>
      </c>
      <c r="AK11" s="251">
        <f>'[1]January - 2021'!AS11</f>
        <v>5456.640000000596</v>
      </c>
      <c r="AL11" s="92">
        <f>'[1]January - 2021'!AS11</f>
        <v>5456.640000000596</v>
      </c>
      <c r="AM11" s="290">
        <f>'[1]January - 2021'!AU11</f>
        <v>11696551.439999999</v>
      </c>
      <c r="AN11" s="251">
        <f>'[1]January - 2021'!AV11</f>
        <v>4238.640000000596</v>
      </c>
      <c r="AO11" s="92">
        <f>'[1]January - 2021'!AV11</f>
        <v>4238.640000000596</v>
      </c>
      <c r="AP11" s="290">
        <f>'[1]January - 2021'!AX11</f>
        <v>11294075.52</v>
      </c>
      <c r="AQ11" s="251">
        <f>'[1]January - 2021'!AY11</f>
        <v>3995.0399999991059</v>
      </c>
      <c r="AR11" s="92">
        <f>'[1]January - 2021'!AY11</f>
        <v>3995.0399999991059</v>
      </c>
      <c r="AS11" s="290">
        <f>'[1]January - 2021'!BA11</f>
        <v>9039411.3599999994</v>
      </c>
      <c r="AT11" s="251">
        <f>'[1]January - 2021'!BB11</f>
        <v>3215.519999999553</v>
      </c>
      <c r="AU11" s="92">
        <f>'[1]January - 2021'!BB11</f>
        <v>3215.519999999553</v>
      </c>
      <c r="AV11" s="290">
        <f>'[1]January - 2021'!BD11</f>
        <v>13660357.199999999</v>
      </c>
      <c r="AW11" s="252">
        <f>'[1]January - 2021'!BE11</f>
        <v>5895.1199999991804</v>
      </c>
      <c r="AX11" s="253">
        <f>'[1]January - 2021'!BE11</f>
        <v>5895.1199999991804</v>
      </c>
      <c r="AY11" s="486"/>
      <c r="AZ11" s="272">
        <f>'[1]January - 2021'!BK11</f>
        <v>57673500</v>
      </c>
      <c r="BA11" s="179">
        <f>'[1]January - 2021'!BL11</f>
        <v>35200</v>
      </c>
      <c r="BB11" s="93">
        <f>'[1]January - 2021'!BL11</f>
        <v>35200</v>
      </c>
      <c r="BC11" s="272">
        <f>'[1]January - 2021'!BN11</f>
        <v>61713100</v>
      </c>
      <c r="BD11" s="245">
        <f>'[1]January - 2021'!BO11</f>
        <v>0</v>
      </c>
      <c r="BE11" s="93">
        <f>'[1]January - 2021'!BO11</f>
        <v>0</v>
      </c>
      <c r="BF11" s="272">
        <f>'[1]January - 2021'!BQ11</f>
        <v>55644900</v>
      </c>
      <c r="BG11" s="245">
        <f>'[1]January - 2021'!BR11</f>
        <v>2500</v>
      </c>
      <c r="BH11" s="93">
        <f>'[1]January - 2021'!BR11</f>
        <v>2500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- 2021'!BT11</f>
        <v>5628060</v>
      </c>
      <c r="BT11" s="185">
        <f>'[1]January - 2021'!BU11</f>
        <v>6220</v>
      </c>
      <c r="BU11" s="393"/>
      <c r="BV11" s="88">
        <f>'[1]January - 2021'!BW11</f>
        <v>0.69</v>
      </c>
      <c r="BW11" s="241">
        <f>'[1]January - 2021'!BX11</f>
        <v>9.000000000000008E-2</v>
      </c>
      <c r="BX11" s="88">
        <f>'[1]January - 2021'!BX11</f>
        <v>9.000000000000008E-2</v>
      </c>
      <c r="BY11" s="89">
        <f>'[1]January - 2021'!BZ11</f>
        <v>51069</v>
      </c>
      <c r="BZ11" s="191">
        <f>'[1]January - 2021'!CA11</f>
        <v>0</v>
      </c>
      <c r="CA11" s="89">
        <f>'[1]January - 2021'!CB11</f>
        <v>43018</v>
      </c>
      <c r="CB11" s="191">
        <f>'[1]January - 2021'!CC11</f>
        <v>0</v>
      </c>
      <c r="CC11" s="89">
        <f>'[1]January - 2021'!CD11</f>
        <v>14750</v>
      </c>
      <c r="CD11" s="191">
        <f>'[1]January - 2021'!CE11</f>
        <v>0</v>
      </c>
      <c r="CE11" s="89">
        <f>'[1]January - 2021'!CF11</f>
        <v>18706</v>
      </c>
      <c r="CF11" s="191">
        <f>'[1]January - 2021'!CG11</f>
        <v>0</v>
      </c>
      <c r="CG11" s="89">
        <f>'[1]January - 2021'!CH11</f>
        <v>20194</v>
      </c>
      <c r="CH11" s="191">
        <f>'[1]January - 2021'!CI11</f>
        <v>0</v>
      </c>
      <c r="CI11" s="89">
        <f>'[1]January - 2021'!CJ11</f>
        <v>45946</v>
      </c>
      <c r="CJ11" s="191">
        <f>'[1]January - 2021'!CK11</f>
        <v>0</v>
      </c>
      <c r="CK11" s="89">
        <f>'[1]January - 2021'!CL11</f>
        <v>201893</v>
      </c>
      <c r="CL11" s="246">
        <f>'[1]January - 2021'!CM11</f>
        <v>92</v>
      </c>
      <c r="CM11" s="89">
        <f>'[1]January - 2021'!CM11</f>
        <v>92</v>
      </c>
      <c r="CN11" s="89">
        <f>'[1]January - 2021'!CO11</f>
        <v>150070</v>
      </c>
      <c r="CO11" s="246">
        <f>'[1]January - 2021'!CP11</f>
        <v>102</v>
      </c>
      <c r="CP11" s="89">
        <f>'[1]January - 2021'!CP11</f>
        <v>102</v>
      </c>
      <c r="CQ11" s="89">
        <f>'[1]January - 2021'!CR11</f>
        <v>277668</v>
      </c>
      <c r="CR11" s="246">
        <f>'[1]January - 2021'!CS11</f>
        <v>342</v>
      </c>
      <c r="CS11" s="89">
        <f>'[1]January - 2021'!CS11</f>
        <v>342</v>
      </c>
      <c r="CT11" s="89">
        <f>'[1]January - 2021'!CU11</f>
        <v>536651</v>
      </c>
      <c r="CU11" s="191">
        <f>'[1]January - 2021'!CV11</f>
        <v>247</v>
      </c>
      <c r="CV11" s="453"/>
      <c r="CW11" s="256">
        <f>'[1]January - 2021'!CX11</f>
        <v>4186</v>
      </c>
      <c r="CX11" s="198">
        <f>'[1]January - 2021'!CY11</f>
        <v>0</v>
      </c>
      <c r="CY11" s="257">
        <f>'[1]January - 2021'!CZ11</f>
        <v>1997</v>
      </c>
      <c r="CZ11" s="198">
        <f>'[1]January - 2021'!DA11</f>
        <v>0</v>
      </c>
      <c r="DA11" s="257">
        <f>'[1]January - 2021'!DB11</f>
        <v>22319</v>
      </c>
      <c r="DB11" s="198">
        <f>'[1]January - 2021'!DC11</f>
        <v>15</v>
      </c>
      <c r="DC11" s="257">
        <f>'[1]January - 2021'!DD11</f>
        <v>23236</v>
      </c>
      <c r="DD11" s="198">
        <f>'[1]January - 2021'!DE11</f>
        <v>14</v>
      </c>
      <c r="DE11" s="257">
        <f>'[1]January - 2021'!DF11</f>
        <v>15962</v>
      </c>
      <c r="DF11" s="198">
        <f>'[1]January - 2021'!DG11</f>
        <v>13</v>
      </c>
      <c r="DG11" s="257">
        <f>'[1]January - 2021'!DH11</f>
        <v>19100</v>
      </c>
      <c r="DH11" s="198">
        <f>'[1]January - 2021'!DI11</f>
        <v>10</v>
      </c>
      <c r="DI11" s="257">
        <f>'[1]January - 2021'!DJ11</f>
        <v>825</v>
      </c>
      <c r="DJ11" s="198">
        <f>'[1]January - 2021'!DK11</f>
        <v>0</v>
      </c>
      <c r="DK11" s="257">
        <f>'[1]January - 2021'!DL11</f>
        <v>3616</v>
      </c>
      <c r="DL11" s="198">
        <f>'[1]January - 2021'!DM11</f>
        <v>0</v>
      </c>
      <c r="DM11" s="257">
        <f>'[1]January - 2021'!DN11</f>
        <v>204</v>
      </c>
      <c r="DN11" s="198">
        <f>'[1]January - 2021'!DO11</f>
        <v>8</v>
      </c>
      <c r="DO11" s="257">
        <f>'[1]January - 2021'!DP11</f>
        <v>1854</v>
      </c>
      <c r="DP11" s="198">
        <f>'[1]January - 2021'!DQ11</f>
        <v>5</v>
      </c>
      <c r="DQ11" s="257">
        <f>'[1]January - 2021'!DR11</f>
        <v>22819</v>
      </c>
      <c r="DR11" s="206">
        <f>'[1]January - 2021'!DS11</f>
        <v>12</v>
      </c>
      <c r="DS11" s="438"/>
      <c r="DT11" s="210">
        <f>'[1]January - 2021'!DU11</f>
        <v>74</v>
      </c>
      <c r="DU11" s="221">
        <f>'[1]January - 2021'!DV11</f>
        <v>9.7999999999999972</v>
      </c>
      <c r="DV11" s="91">
        <f>'[1]January - 2021'!DW11</f>
        <v>5896.3</v>
      </c>
      <c r="DW11" s="215">
        <f>'[1]January - 2021'!DX11</f>
        <v>5.1000000000003638</v>
      </c>
      <c r="DX11" s="91">
        <f>'[1]January - 2021'!DY11</f>
        <v>56.9</v>
      </c>
      <c r="DY11" s="215">
        <f>'[1]January - 2021'!DZ11</f>
        <v>7.5</v>
      </c>
      <c r="DZ11" s="91">
        <f>'[1]January - 2021'!EA11</f>
        <v>254034</v>
      </c>
      <c r="EA11" s="215">
        <f>'[1]January - 2021'!EB11</f>
        <v>0</v>
      </c>
      <c r="EB11" s="91">
        <f>'[1]January - 2021'!EC11</f>
        <v>636780</v>
      </c>
      <c r="EC11" s="215">
        <f>'[1]January - 2021'!ED11</f>
        <v>528</v>
      </c>
      <c r="ED11" s="91">
        <f>'[1]January - 2021'!EG11</f>
        <v>124201</v>
      </c>
      <c r="EE11" s="229">
        <f>'[1]January - 2021'!EH11</f>
        <v>149</v>
      </c>
      <c r="EF11" s="377"/>
      <c r="EG11" s="235">
        <f>'[1]January - 2021'!EJ11</f>
        <v>8646000</v>
      </c>
      <c r="EH11" s="230">
        <f>'[1]January - 2021'!EK11</f>
        <v>2200</v>
      </c>
      <c r="EI11" s="90">
        <f>'[1]January - 2021'!EL11</f>
        <v>706730</v>
      </c>
      <c r="EJ11" s="230">
        <f>'[1]January - 2021'!EM11</f>
        <v>240</v>
      </c>
      <c r="EK11" s="90">
        <f>'[1]January - 2021'!EN11</f>
        <v>5549000</v>
      </c>
      <c r="EL11" s="230">
        <f>'[1]January - 2021'!EO11</f>
        <v>1200</v>
      </c>
      <c r="EM11" s="90">
        <f>'[1]January - 2021'!EP11</f>
        <v>1994500</v>
      </c>
      <c r="EN11" s="230">
        <f>'[1]January - 2021'!EQ11</f>
        <v>0</v>
      </c>
      <c r="EO11" s="90">
        <f>'[1]January - 2021'!ER11</f>
        <v>730570</v>
      </c>
      <c r="EP11" s="230">
        <f>'[1]January - 2021'!ES11</f>
        <v>130</v>
      </c>
      <c r="EQ11" s="90">
        <f>'[1]January - 2021'!ET11</f>
        <v>12273500</v>
      </c>
      <c r="ER11" s="230">
        <f>'[1]January - 2021'!EU11</f>
        <v>2100</v>
      </c>
      <c r="ES11" s="425"/>
      <c r="ET11" s="284">
        <f>'[1]January - 2021'!EW11</f>
        <v>32635</v>
      </c>
      <c r="EU11" s="278">
        <f>'[1]January - 2021'!EX11</f>
        <v>13</v>
      </c>
      <c r="EV11" s="285">
        <f>'[1]January - 2021'!EY11</f>
        <v>27929</v>
      </c>
      <c r="EW11" s="278">
        <f>'[1]January - 2021'!EZ11</f>
        <v>23</v>
      </c>
      <c r="EX11" s="285">
        <f>'[1]January - 2021'!FA11</f>
        <v>0</v>
      </c>
      <c r="EY11" s="278">
        <f>'[1]January - 2021'!FB11</f>
        <v>0</v>
      </c>
      <c r="EZ11" s="285">
        <f>'[1]January - 2021'!FC11</f>
        <v>48673</v>
      </c>
      <c r="FA11" s="278">
        <f>'[1]January - 2021'!FD11</f>
        <v>0</v>
      </c>
      <c r="FB11" s="285">
        <f>'[1]January - 2021'!FE11</f>
        <v>27640</v>
      </c>
      <c r="FC11" s="279">
        <f>'[1]January - 2021'!FF11</f>
        <v>31</v>
      </c>
    </row>
    <row r="12" spans="1:159" ht="30" customHeight="1" x14ac:dyDescent="0.25">
      <c r="A12" s="207">
        <v>43833</v>
      </c>
      <c r="B12" s="209">
        <f>'[1]January - 2021'!B12</f>
        <v>0.84</v>
      </c>
      <c r="C12" s="250">
        <f>'[1]January - 2021'!E12</f>
        <v>701418</v>
      </c>
      <c r="D12" s="170">
        <f>'[1]January - 2021'!F12</f>
        <v>513</v>
      </c>
      <c r="E12" s="168">
        <f>'[1]January - 2021'!G12</f>
        <v>620</v>
      </c>
      <c r="F12" s="168">
        <f>'[1]January - 2021'!H12</f>
        <v>803961</v>
      </c>
      <c r="G12" s="170">
        <f>'[1]January - 2021'!I12</f>
        <v>448</v>
      </c>
      <c r="H12" s="168">
        <f>'[1]January - 2021'!J12</f>
        <v>536</v>
      </c>
      <c r="I12" s="168">
        <f>'[1]January - 2021'!K12</f>
        <v>105510</v>
      </c>
      <c r="J12" s="170">
        <f>'[1]January - 2021'!L12</f>
        <v>138</v>
      </c>
      <c r="K12" s="168">
        <f>'[1]January - 2021'!N12</f>
        <v>715497</v>
      </c>
      <c r="L12" s="170">
        <f>'[1]January - 2021'!O12</f>
        <v>173</v>
      </c>
      <c r="M12" s="168">
        <f>'[1]January - 2021'!Q12</f>
        <v>163777</v>
      </c>
      <c r="N12" s="170">
        <f>'[1]January - 2021'!R12</f>
        <v>0</v>
      </c>
      <c r="O12" s="168">
        <f>'[1]January - 2021'!S12</f>
        <v>141377</v>
      </c>
      <c r="P12" s="170">
        <f>'[1]January - 2021'!T12</f>
        <v>37</v>
      </c>
      <c r="Q12" s="168">
        <f>'[1]January - 2021'!U12</f>
        <v>84</v>
      </c>
      <c r="R12" s="168">
        <f>'[1]January - 2021'!V12</f>
        <v>14948</v>
      </c>
      <c r="S12" s="208">
        <f>'[1]January - 2021'!W12</f>
        <v>13</v>
      </c>
      <c r="T12" s="520"/>
      <c r="U12" s="269">
        <f>'[1]January - 2021'!AC12</f>
        <v>6245075.7599999998</v>
      </c>
      <c r="V12" s="291">
        <f>'[1]January - 2021'!AD12</f>
        <v>3702.7199999997392</v>
      </c>
      <c r="W12" s="92">
        <f>'[1]January - 2021'!AD12</f>
        <v>3702.7199999997392</v>
      </c>
      <c r="X12" s="290">
        <f>'[1]January - 2021'!AF12</f>
        <v>12199146.959999999</v>
      </c>
      <c r="Y12" s="291">
        <f>'[1]January - 2021'!AG12</f>
        <v>4384.7999999988824</v>
      </c>
      <c r="Z12" s="92">
        <f>'[1]January - 2021'!AG12</f>
        <v>4384.7999999988824</v>
      </c>
      <c r="AA12" s="290">
        <f>'[1]January - 2021'!AI12</f>
        <v>11545227.119999999</v>
      </c>
      <c r="AB12" s="291">
        <f>'[1]January - 2021'!AJ12</f>
        <v>6041.2799999993294</v>
      </c>
      <c r="AC12" s="92">
        <f>'[1]January - 2021'!AJ12</f>
        <v>6041.2799999993294</v>
      </c>
      <c r="AD12" s="290">
        <f>'[1]January - 2021'!AL12</f>
        <v>14839917.119999999</v>
      </c>
      <c r="AE12" s="291">
        <f>'[1]January - 2021'!AM12</f>
        <v>97.439999999478459</v>
      </c>
      <c r="AF12" s="92">
        <f>'[1]January - 2021'!AM12</f>
        <v>97.439999999478459</v>
      </c>
      <c r="AG12" s="290">
        <f>'[1]January - 2021'!AO12</f>
        <v>15017745.119999999</v>
      </c>
      <c r="AH12" s="291">
        <f>'[1]January - 2021'!AP12</f>
        <v>0</v>
      </c>
      <c r="AI12" s="92">
        <f>'[1]January - 2021'!AP12</f>
        <v>0</v>
      </c>
      <c r="AJ12" s="290">
        <f>'[1]January - 2021'!AR12</f>
        <v>13672842.720000001</v>
      </c>
      <c r="AK12" s="291">
        <f>'[1]January - 2021'!AS12</f>
        <v>5469.839999999851</v>
      </c>
      <c r="AL12" s="92">
        <f>'[1]January - 2021'!AS12</f>
        <v>5469.839999999851</v>
      </c>
      <c r="AM12" s="290">
        <f>'[1]January - 2021'!AU12</f>
        <v>11700692.640000001</v>
      </c>
      <c r="AN12" s="291">
        <f>'[1]January - 2021'!AV12</f>
        <v>4141.2000000011176</v>
      </c>
      <c r="AO12" s="92">
        <f>'[1]January - 2021'!AV12</f>
        <v>4141.2000000011176</v>
      </c>
      <c r="AP12" s="290">
        <f>'[1]January - 2021'!AX12</f>
        <v>11297973.119999999</v>
      </c>
      <c r="AQ12" s="291">
        <f>'[1]January - 2021'!AY12</f>
        <v>3897.5999999996275</v>
      </c>
      <c r="AR12" s="92">
        <f>'[1]January - 2021'!AY12</f>
        <v>3897.5999999996275</v>
      </c>
      <c r="AS12" s="290">
        <f>'[1]January - 2021'!BA12</f>
        <v>9042383.2800000012</v>
      </c>
      <c r="AT12" s="291">
        <f>'[1]January - 2021'!BB12</f>
        <v>2971.9200000017881</v>
      </c>
      <c r="AU12" s="92">
        <f>'[1]January - 2021'!BB12</f>
        <v>2971.9200000017881</v>
      </c>
      <c r="AV12" s="290">
        <f>'[1]January - 2021'!BD12</f>
        <v>13666154.880000001</v>
      </c>
      <c r="AW12" s="252">
        <f>'[1]January - 2021'!BE12</f>
        <v>5797.6800000015646</v>
      </c>
      <c r="AX12" s="253">
        <f>'[1]January - 2021'!BE12</f>
        <v>5797.6800000015646</v>
      </c>
      <c r="AY12" s="486"/>
      <c r="AZ12" s="272">
        <f>'[1]January - 2021'!BK12</f>
        <v>57708000</v>
      </c>
      <c r="BA12" s="179">
        <f>'[1]January - 2021'!BL12</f>
        <v>34500</v>
      </c>
      <c r="BB12" s="93">
        <f>'[1]January - 2021'!BL12</f>
        <v>34500</v>
      </c>
      <c r="BC12" s="272">
        <f>'[1]January - 2021'!BN12</f>
        <v>61713100</v>
      </c>
      <c r="BD12" s="245">
        <f>'[1]January - 2021'!BO12</f>
        <v>0</v>
      </c>
      <c r="BE12" s="93">
        <f>'[1]January - 2021'!BO12</f>
        <v>0</v>
      </c>
      <c r="BF12" s="272">
        <f>'[1]January - 2021'!BQ12</f>
        <v>55644900</v>
      </c>
      <c r="BG12" s="245">
        <f>'[1]January - 2021'!BR12</f>
        <v>0</v>
      </c>
      <c r="BH12" s="93">
        <f>'[1]January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- 2021'!BT12</f>
        <v>5633390</v>
      </c>
      <c r="BT12" s="185">
        <f>'[1]January - 2021'!BU12</f>
        <v>5330</v>
      </c>
      <c r="BU12" s="393"/>
      <c r="BV12" s="88">
        <f>'[1]January - 2021'!BW12</f>
        <v>0.6</v>
      </c>
      <c r="BW12" s="241">
        <f>'[1]January - 2021'!BX12</f>
        <v>8.9999999999999969E-2</v>
      </c>
      <c r="BX12" s="88">
        <f>'[1]January - 2021'!BX12</f>
        <v>8.9999999999999969E-2</v>
      </c>
      <c r="BY12" s="89">
        <f>'[1]January - 2021'!BZ12</f>
        <v>51123</v>
      </c>
      <c r="BZ12" s="191">
        <f>'[1]January - 2021'!CA12</f>
        <v>54</v>
      </c>
      <c r="CA12" s="89">
        <f>'[1]January - 2021'!CB12</f>
        <v>43058</v>
      </c>
      <c r="CB12" s="191">
        <f>'[1]January - 2021'!CC12</f>
        <v>40</v>
      </c>
      <c r="CC12" s="89">
        <f>'[1]January - 2021'!CD12</f>
        <v>14769</v>
      </c>
      <c r="CD12" s="191">
        <f>'[1]January - 2021'!CE12</f>
        <v>19</v>
      </c>
      <c r="CE12" s="89">
        <f>'[1]January - 2021'!CF12</f>
        <v>18734</v>
      </c>
      <c r="CF12" s="191">
        <f>'[1]January - 2021'!CG12</f>
        <v>28</v>
      </c>
      <c r="CG12" s="89">
        <f>'[1]January - 2021'!CH12</f>
        <v>20231</v>
      </c>
      <c r="CH12" s="191">
        <f>'[1]January - 2021'!CI12</f>
        <v>37</v>
      </c>
      <c r="CI12" s="89">
        <f>'[1]January - 2021'!CJ12</f>
        <v>46024</v>
      </c>
      <c r="CJ12" s="191">
        <f>'[1]January - 2021'!CK12</f>
        <v>78</v>
      </c>
      <c r="CK12" s="89">
        <f>'[1]January - 2021'!CL12</f>
        <v>201986</v>
      </c>
      <c r="CL12" s="246">
        <f>'[1]January - 2021'!CM12</f>
        <v>93</v>
      </c>
      <c r="CM12" s="89">
        <f>'[1]January - 2021'!CM12</f>
        <v>93</v>
      </c>
      <c r="CN12" s="89">
        <f>'[1]January - 2021'!CO12</f>
        <v>150170</v>
      </c>
      <c r="CO12" s="246">
        <f>'[1]January - 2021'!CP12</f>
        <v>100</v>
      </c>
      <c r="CP12" s="89">
        <f>'[1]January - 2021'!CP12</f>
        <v>100</v>
      </c>
      <c r="CQ12" s="89">
        <f>'[1]January - 2021'!CR12</f>
        <v>278034</v>
      </c>
      <c r="CR12" s="246">
        <f>'[1]January - 2021'!CS12</f>
        <v>366</v>
      </c>
      <c r="CS12" s="89">
        <f>'[1]January - 2021'!CS12</f>
        <v>366</v>
      </c>
      <c r="CT12" s="89">
        <f>'[1]January - 2021'!CU12</f>
        <v>536899</v>
      </c>
      <c r="CU12" s="191">
        <f>'[1]January - 2021'!CV12</f>
        <v>248</v>
      </c>
      <c r="CV12" s="453"/>
      <c r="CW12" s="256">
        <f>'[1]January - 2021'!CX12</f>
        <v>4186</v>
      </c>
      <c r="CX12" s="198">
        <f>'[1]January - 2021'!CY12</f>
        <v>0</v>
      </c>
      <c r="CY12" s="257">
        <f>'[1]January - 2021'!CZ12</f>
        <v>1997</v>
      </c>
      <c r="CZ12" s="198">
        <f>'[1]January - 2021'!DA12</f>
        <v>0</v>
      </c>
      <c r="DA12" s="257">
        <f>'[1]January - 2021'!DB12</f>
        <v>22337</v>
      </c>
      <c r="DB12" s="198">
        <f>'[1]January - 2021'!DC12</f>
        <v>18</v>
      </c>
      <c r="DC12" s="257">
        <f>'[1]January - 2021'!DD12</f>
        <v>23248</v>
      </c>
      <c r="DD12" s="198">
        <f>'[1]January - 2021'!DE12</f>
        <v>12</v>
      </c>
      <c r="DE12" s="257">
        <f>'[1]January - 2021'!DF12</f>
        <v>15975</v>
      </c>
      <c r="DF12" s="198">
        <f>'[1]January - 2021'!DG12</f>
        <v>13</v>
      </c>
      <c r="DG12" s="257">
        <f>'[1]January - 2021'!DH12</f>
        <v>19109</v>
      </c>
      <c r="DH12" s="198">
        <f>'[1]January - 2021'!DI12</f>
        <v>9</v>
      </c>
      <c r="DI12" s="257">
        <f>'[1]January - 2021'!DJ12</f>
        <v>825</v>
      </c>
      <c r="DJ12" s="198">
        <f>'[1]January - 2021'!DK12</f>
        <v>0</v>
      </c>
      <c r="DK12" s="257">
        <f>'[1]January - 2021'!DL12</f>
        <v>3616</v>
      </c>
      <c r="DL12" s="198">
        <f>'[1]January - 2021'!DM12</f>
        <v>0</v>
      </c>
      <c r="DM12" s="257">
        <f>'[1]January - 2021'!DN12</f>
        <v>212</v>
      </c>
      <c r="DN12" s="198">
        <f>'[1]January - 2021'!DO12</f>
        <v>8</v>
      </c>
      <c r="DO12" s="257">
        <f>'[1]January - 2021'!DP12</f>
        <v>1856</v>
      </c>
      <c r="DP12" s="198">
        <f>'[1]January - 2021'!DQ12</f>
        <v>2</v>
      </c>
      <c r="DQ12" s="257">
        <f>'[1]January - 2021'!DR12</f>
        <v>22823</v>
      </c>
      <c r="DR12" s="206">
        <f>'[1]January - 2021'!DS12</f>
        <v>4</v>
      </c>
      <c r="DS12" s="438"/>
      <c r="DT12" s="210">
        <f>'[1]January - 2021'!DU12</f>
        <v>82.9</v>
      </c>
      <c r="DU12" s="221">
        <f>'[1]January - 2021'!DV12</f>
        <v>8.9000000000000057</v>
      </c>
      <c r="DV12" s="91">
        <f>'[1]January - 2021'!DW12</f>
        <v>5901.2</v>
      </c>
      <c r="DW12" s="215">
        <f>'[1]January - 2021'!DX12</f>
        <v>4.8999999999996362</v>
      </c>
      <c r="DX12" s="91">
        <f>'[1]January - 2021'!DY12</f>
        <v>64.2</v>
      </c>
      <c r="DY12" s="215">
        <f>'[1]January - 2021'!DZ12</f>
        <v>7.3000000000000043</v>
      </c>
      <c r="DZ12" s="91">
        <f>'[1]January - 2021'!EA12</f>
        <v>254034</v>
      </c>
      <c r="EA12" s="215">
        <f>'[1]January - 2021'!EB12</f>
        <v>0</v>
      </c>
      <c r="EB12" s="91">
        <f>'[1]January - 2021'!EC12</f>
        <v>637277</v>
      </c>
      <c r="EC12" s="215">
        <f>'[1]January - 2021'!ED12</f>
        <v>497</v>
      </c>
      <c r="ED12" s="91">
        <f>'[1]January - 2021'!EG12</f>
        <v>124348</v>
      </c>
      <c r="EE12" s="229">
        <f>'[1]January - 2021'!EH12</f>
        <v>147</v>
      </c>
      <c r="EF12" s="377"/>
      <c r="EG12" s="235">
        <f>'[1]January - 2021'!EJ12</f>
        <v>8647600</v>
      </c>
      <c r="EH12" s="230">
        <f>'[1]January - 2021'!EK12</f>
        <v>1600</v>
      </c>
      <c r="EI12" s="90">
        <f>'[1]January - 2021'!EL12</f>
        <v>706960</v>
      </c>
      <c r="EJ12" s="230">
        <f>'[1]January - 2021'!EM12</f>
        <v>230</v>
      </c>
      <c r="EK12" s="90">
        <f>'[1]January - 2021'!EN12</f>
        <v>5549900</v>
      </c>
      <c r="EL12" s="230">
        <f>'[1]January - 2021'!EO12</f>
        <v>900</v>
      </c>
      <c r="EM12" s="90">
        <f>'[1]January - 2021'!EP12</f>
        <v>1994500</v>
      </c>
      <c r="EN12" s="230">
        <f>'[1]January - 2021'!EQ12</f>
        <v>0</v>
      </c>
      <c r="EO12" s="90">
        <f>'[1]January - 2021'!ER12</f>
        <v>730700</v>
      </c>
      <c r="EP12" s="230">
        <f>'[1]January - 2021'!ES12</f>
        <v>130</v>
      </c>
      <c r="EQ12" s="90">
        <f>'[1]January - 2021'!ET12</f>
        <v>12275500</v>
      </c>
      <c r="ER12" s="230">
        <f>'[1]January - 2021'!EU12</f>
        <v>2000</v>
      </c>
      <c r="ES12" s="425"/>
      <c r="ET12" s="284">
        <f>'[1]January - 2021'!EW12</f>
        <v>32648</v>
      </c>
      <c r="EU12" s="278">
        <f>'[1]January - 2021'!EX12</f>
        <v>13</v>
      </c>
      <c r="EV12" s="285">
        <f>'[1]January - 2021'!EY12</f>
        <v>27949</v>
      </c>
      <c r="EW12" s="278">
        <f>'[1]January - 2021'!EZ12</f>
        <v>20</v>
      </c>
      <c r="EX12" s="285">
        <f>'[1]January - 2021'!FA12</f>
        <v>0</v>
      </c>
      <c r="EY12" s="278">
        <f>'[1]January - 2021'!FB12</f>
        <v>0</v>
      </c>
      <c r="EZ12" s="285">
        <f>'[1]January - 2021'!FC12</f>
        <v>48764</v>
      </c>
      <c r="FA12" s="278">
        <f>'[1]January - 2021'!FD12</f>
        <v>91</v>
      </c>
      <c r="FB12" s="285">
        <f>'[1]January - 2021'!FE12</f>
        <v>27669</v>
      </c>
      <c r="FC12" s="279">
        <f>'[1]January - 2021'!FF12</f>
        <v>29</v>
      </c>
    </row>
    <row r="13" spans="1:159" ht="30" customHeight="1" x14ac:dyDescent="0.25">
      <c r="A13" s="207">
        <v>43834</v>
      </c>
      <c r="B13" s="209">
        <f>'[1]January - 2021'!B13</f>
        <v>0.8</v>
      </c>
      <c r="C13" s="250">
        <f>'[1]January - 2021'!E13</f>
        <v>701972</v>
      </c>
      <c r="D13" s="170">
        <f>'[1]January - 2021'!F13</f>
        <v>554</v>
      </c>
      <c r="E13" s="168">
        <f>'[1]January - 2021'!G13</f>
        <v>617</v>
      </c>
      <c r="F13" s="168">
        <f>'[1]January - 2021'!H13</f>
        <v>804426</v>
      </c>
      <c r="G13" s="170">
        <f>'[1]January - 2021'!I13</f>
        <v>465</v>
      </c>
      <c r="H13" s="168">
        <f>'[1]January - 2021'!J13</f>
        <v>627</v>
      </c>
      <c r="I13" s="168">
        <f>'[1]January - 2021'!K13</f>
        <v>105654</v>
      </c>
      <c r="J13" s="170">
        <f>'[1]January - 2021'!L13</f>
        <v>144</v>
      </c>
      <c r="K13" s="168">
        <f>'[1]January - 2021'!N13</f>
        <v>715682</v>
      </c>
      <c r="L13" s="170">
        <f>'[1]January - 2021'!O13</f>
        <v>185</v>
      </c>
      <c r="M13" s="168">
        <f>'[1]January - 2021'!Q13</f>
        <v>163777</v>
      </c>
      <c r="N13" s="170">
        <f>'[1]January - 2021'!R13</f>
        <v>0</v>
      </c>
      <c r="O13" s="168">
        <f>'[1]January - 2021'!S13</f>
        <v>141411</v>
      </c>
      <c r="P13" s="170">
        <f>'[1]January - 2021'!T13</f>
        <v>34</v>
      </c>
      <c r="Q13" s="168">
        <f>'[1]January - 2021'!U13</f>
        <v>102</v>
      </c>
      <c r="R13" s="168">
        <f>'[1]January - 2021'!V13</f>
        <v>14959</v>
      </c>
      <c r="S13" s="208">
        <f>'[1]January - 2021'!W13</f>
        <v>11</v>
      </c>
      <c r="T13" s="520"/>
      <c r="U13" s="269">
        <f>'[1]January - 2021'!AC13</f>
        <v>6248632.3200000003</v>
      </c>
      <c r="V13" s="291">
        <f>'[1]January - 2021'!AD13</f>
        <v>3556.5600000005215</v>
      </c>
      <c r="W13" s="92">
        <f>'[1]January - 2021'!AD13</f>
        <v>3556.5600000005215</v>
      </c>
      <c r="X13" s="290">
        <f>'[1]January - 2021'!AF13</f>
        <v>12203677.92</v>
      </c>
      <c r="Y13" s="291">
        <f>'[1]January - 2021'!AG13</f>
        <v>4530.9600000008941</v>
      </c>
      <c r="Z13" s="92">
        <f>'[1]January - 2021'!AG13</f>
        <v>4530.9600000008941</v>
      </c>
      <c r="AA13" s="290">
        <f>'[1]January - 2021'!AI13</f>
        <v>11551317.119999999</v>
      </c>
      <c r="AB13" s="291">
        <f>'[1]January - 2021'!AJ13</f>
        <v>6090</v>
      </c>
      <c r="AC13" s="92">
        <f>'[1]January - 2021'!AJ13</f>
        <v>6090</v>
      </c>
      <c r="AD13" s="290">
        <f>'[1]January - 2021'!AL13</f>
        <v>14840014.559999999</v>
      </c>
      <c r="AE13" s="291">
        <f>'[1]January - 2021'!AM13</f>
        <v>97.439999999478459</v>
      </c>
      <c r="AF13" s="92">
        <f>'[1]January - 2021'!AM13</f>
        <v>97.439999999478459</v>
      </c>
      <c r="AG13" s="290">
        <f>'[1]January - 2021'!AO13</f>
        <v>15017745.119999999</v>
      </c>
      <c r="AH13" s="291">
        <f>'[1]January - 2021'!AP13</f>
        <v>0</v>
      </c>
      <c r="AI13" s="92">
        <f>'[1]January - 2021'!AP13</f>
        <v>0</v>
      </c>
      <c r="AJ13" s="290">
        <f>'[1]January - 2021'!AR13</f>
        <v>13678383.6</v>
      </c>
      <c r="AK13" s="291">
        <f>'[1]January - 2021'!AS13</f>
        <v>5540.8799999989569</v>
      </c>
      <c r="AL13" s="92">
        <f>'[1]January - 2021'!AS13</f>
        <v>5540.8799999989569</v>
      </c>
      <c r="AM13" s="290">
        <f>'[1]January - 2021'!AU13</f>
        <v>11704736.4</v>
      </c>
      <c r="AN13" s="291">
        <f>'[1]January - 2021'!AV13</f>
        <v>4043.7599999997765</v>
      </c>
      <c r="AO13" s="92">
        <f>'[1]January - 2021'!AV13</f>
        <v>4043.7599999997765</v>
      </c>
      <c r="AP13" s="290">
        <f>'[1]January - 2021'!AX13</f>
        <v>11301870.719999999</v>
      </c>
      <c r="AQ13" s="291">
        <f>'[1]January - 2021'!AY13</f>
        <v>3897.5999999996275</v>
      </c>
      <c r="AR13" s="92">
        <f>'[1]January - 2021'!AY13</f>
        <v>3897.5999999996275</v>
      </c>
      <c r="AS13" s="290">
        <f>'[1]January - 2021'!BA13</f>
        <v>9045403.9199999999</v>
      </c>
      <c r="AT13" s="291">
        <f>'[1]January - 2021'!BB13</f>
        <v>3020.6399999987334</v>
      </c>
      <c r="AU13" s="92">
        <f>'[1]January - 2021'!BB13</f>
        <v>3020.6399999987334</v>
      </c>
      <c r="AV13" s="290">
        <f>'[1]January - 2021'!BD13</f>
        <v>13671708.959999999</v>
      </c>
      <c r="AW13" s="252">
        <f>'[1]January - 2021'!BE13</f>
        <v>5554.0799999982119</v>
      </c>
      <c r="AX13" s="253">
        <f>'[1]January - 2021'!BE13</f>
        <v>5554.0799999982119</v>
      </c>
      <c r="AY13" s="486"/>
      <c r="AZ13" s="272">
        <f>'[1]January - 2021'!BK13</f>
        <v>57740400</v>
      </c>
      <c r="BA13" s="179">
        <f>'[1]January - 2021'!BL13</f>
        <v>32400</v>
      </c>
      <c r="BB13" s="93">
        <f>'[1]January - 2021'!BL13</f>
        <v>32400</v>
      </c>
      <c r="BC13" s="272">
        <f>'[1]January - 2021'!BN13</f>
        <v>61713100</v>
      </c>
      <c r="BD13" s="245">
        <f>'[1]January - 2021'!BO13</f>
        <v>0</v>
      </c>
      <c r="BE13" s="93">
        <f>'[1]January - 2021'!BO13</f>
        <v>0</v>
      </c>
      <c r="BF13" s="272">
        <f>'[1]January - 2021'!BQ13</f>
        <v>55644900</v>
      </c>
      <c r="BG13" s="245">
        <f>'[1]January - 2021'!BR13</f>
        <v>0</v>
      </c>
      <c r="BH13" s="93">
        <f>'[1]January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- 2021'!BT13</f>
        <v>5639370</v>
      </c>
      <c r="BT13" s="185">
        <f>'[1]January - 2021'!BU13</f>
        <v>5980</v>
      </c>
      <c r="BU13" s="393"/>
      <c r="BV13" s="88">
        <f>'[1]January - 2021'!BW13</f>
        <v>0.5</v>
      </c>
      <c r="BW13" s="241">
        <f>'[1]January - 2021'!BX13</f>
        <v>9.9999999999999978E-2</v>
      </c>
      <c r="BX13" s="88">
        <f>'[1]January - 2021'!BX13</f>
        <v>9.9999999999999978E-2</v>
      </c>
      <c r="BY13" s="89">
        <f>'[1]January - 2021'!BZ13</f>
        <v>51140</v>
      </c>
      <c r="BZ13" s="191">
        <f>'[1]January - 2021'!CA13</f>
        <v>17</v>
      </c>
      <c r="CA13" s="89">
        <f>'[1]January - 2021'!CB13</f>
        <v>43069</v>
      </c>
      <c r="CB13" s="191">
        <f>'[1]January - 2021'!CC13</f>
        <v>11</v>
      </c>
      <c r="CC13" s="89">
        <f>'[1]January - 2021'!CD13</f>
        <v>14774</v>
      </c>
      <c r="CD13" s="191">
        <f>'[1]January - 2021'!CE13</f>
        <v>5</v>
      </c>
      <c r="CE13" s="89">
        <f>'[1]January - 2021'!CF13</f>
        <v>18744</v>
      </c>
      <c r="CF13" s="191">
        <f>'[1]January - 2021'!CG13</f>
        <v>10</v>
      </c>
      <c r="CG13" s="89">
        <f>'[1]January - 2021'!CH13</f>
        <v>20243</v>
      </c>
      <c r="CH13" s="191">
        <f>'[1]January - 2021'!CI13</f>
        <v>12</v>
      </c>
      <c r="CI13" s="89">
        <f>'[1]January - 2021'!CJ13</f>
        <v>46042</v>
      </c>
      <c r="CJ13" s="191">
        <f>'[1]January - 2021'!CK13</f>
        <v>18</v>
      </c>
      <c r="CK13" s="89">
        <f>'[1]January - 2021'!CL13</f>
        <v>202084</v>
      </c>
      <c r="CL13" s="246">
        <f>'[1]January - 2021'!CM13</f>
        <v>98</v>
      </c>
      <c r="CM13" s="89">
        <f>'[1]January - 2021'!CM13</f>
        <v>98</v>
      </c>
      <c r="CN13" s="89">
        <f>'[1]January - 2021'!CO13</f>
        <v>150272</v>
      </c>
      <c r="CO13" s="246">
        <f>'[1]January - 2021'!CP13</f>
        <v>102</v>
      </c>
      <c r="CP13" s="89">
        <f>'[1]January - 2021'!CP13</f>
        <v>102</v>
      </c>
      <c r="CQ13" s="89">
        <f>'[1]January - 2021'!CR13</f>
        <v>278411</v>
      </c>
      <c r="CR13" s="246">
        <f>'[1]January - 2021'!CS13</f>
        <v>377</v>
      </c>
      <c r="CS13" s="89">
        <f>'[1]January - 2021'!CS13</f>
        <v>377</v>
      </c>
      <c r="CT13" s="89">
        <f>'[1]January - 2021'!CU13</f>
        <v>537140</v>
      </c>
      <c r="CU13" s="191">
        <f>'[1]January - 2021'!CV13</f>
        <v>241</v>
      </c>
      <c r="CV13" s="453"/>
      <c r="CW13" s="256">
        <f>'[1]January - 2021'!CX13</f>
        <v>4222</v>
      </c>
      <c r="CX13" s="198">
        <f>'[1]January - 2021'!CY13</f>
        <v>36</v>
      </c>
      <c r="CY13" s="257">
        <f>'[1]January - 2021'!CZ13</f>
        <v>2032</v>
      </c>
      <c r="CZ13" s="198">
        <f>'[1]January - 2021'!DA13</f>
        <v>35</v>
      </c>
      <c r="DA13" s="257">
        <f>'[1]January - 2021'!DB13</f>
        <v>22353</v>
      </c>
      <c r="DB13" s="198">
        <f>'[1]January - 2021'!DC13</f>
        <v>16</v>
      </c>
      <c r="DC13" s="257">
        <f>'[1]January - 2021'!DD13</f>
        <v>23262</v>
      </c>
      <c r="DD13" s="198">
        <f>'[1]January - 2021'!DE13</f>
        <v>14</v>
      </c>
      <c r="DE13" s="257">
        <f>'[1]January - 2021'!DF13</f>
        <v>15987</v>
      </c>
      <c r="DF13" s="198">
        <f>'[1]January - 2021'!DG13</f>
        <v>12</v>
      </c>
      <c r="DG13" s="257">
        <f>'[1]January - 2021'!DH13</f>
        <v>19117</v>
      </c>
      <c r="DH13" s="198">
        <f>'[1]January - 2021'!DI13</f>
        <v>8</v>
      </c>
      <c r="DI13" s="257">
        <f>'[1]January - 2021'!DJ13</f>
        <v>825</v>
      </c>
      <c r="DJ13" s="198">
        <f>'[1]January - 2021'!DK13</f>
        <v>0</v>
      </c>
      <c r="DK13" s="257">
        <f>'[1]January - 2021'!DL13</f>
        <v>3616</v>
      </c>
      <c r="DL13" s="198">
        <f>'[1]January - 2021'!DM13</f>
        <v>0</v>
      </c>
      <c r="DM13" s="257">
        <f>'[1]January - 2021'!DN13</f>
        <v>220</v>
      </c>
      <c r="DN13" s="198">
        <f>'[1]January - 2021'!DO13</f>
        <v>8</v>
      </c>
      <c r="DO13" s="257">
        <f>'[1]January - 2021'!DP13</f>
        <v>1859</v>
      </c>
      <c r="DP13" s="198">
        <f>'[1]January - 2021'!DQ13</f>
        <v>3</v>
      </c>
      <c r="DQ13" s="257">
        <f>'[1]January - 2021'!DR13</f>
        <v>22826</v>
      </c>
      <c r="DR13" s="206">
        <f>'[1]January - 2021'!DS13</f>
        <v>3</v>
      </c>
      <c r="DS13" s="438"/>
      <c r="DT13" s="210">
        <f>'[1]January - 2021'!DU13</f>
        <v>92.1</v>
      </c>
      <c r="DU13" s="221">
        <f>'[1]January - 2021'!DV13</f>
        <v>9.1999999999999886</v>
      </c>
      <c r="DV13" s="91">
        <f>'[1]January - 2021'!DW13</f>
        <v>5906</v>
      </c>
      <c r="DW13" s="215">
        <f>'[1]January - 2021'!DX13</f>
        <v>4.8000000000001819</v>
      </c>
      <c r="DX13" s="91">
        <f>'[1]January - 2021'!DY13</f>
        <v>72.099999999999994</v>
      </c>
      <c r="DY13" s="215">
        <f>'[1]January - 2021'!DZ13</f>
        <v>7.8999999999999915</v>
      </c>
      <c r="DZ13" s="91">
        <f>'[1]January - 2021'!EA13</f>
        <v>254034</v>
      </c>
      <c r="EA13" s="215">
        <f>'[1]January - 2021'!EB13</f>
        <v>0</v>
      </c>
      <c r="EB13" s="91">
        <f>'[1]January - 2021'!EC13</f>
        <v>637754</v>
      </c>
      <c r="EC13" s="215">
        <f>'[1]January - 2021'!ED13</f>
        <v>477</v>
      </c>
      <c r="ED13" s="91">
        <f>'[1]January - 2021'!EG13</f>
        <v>124508</v>
      </c>
      <c r="EE13" s="229">
        <f>'[1]January - 2021'!EH13</f>
        <v>160</v>
      </c>
      <c r="EF13" s="377"/>
      <c r="EG13" s="235">
        <f>'[1]January - 2021'!EJ13</f>
        <v>8648900</v>
      </c>
      <c r="EH13" s="230">
        <f>'[1]January - 2021'!EK13</f>
        <v>1300</v>
      </c>
      <c r="EI13" s="90">
        <f>'[1]January - 2021'!EL13</f>
        <v>707180</v>
      </c>
      <c r="EJ13" s="230">
        <f>'[1]January - 2021'!EM13</f>
        <v>220</v>
      </c>
      <c r="EK13" s="90">
        <f>'[1]January - 2021'!EN13</f>
        <v>5550900</v>
      </c>
      <c r="EL13" s="230">
        <f>'[1]January - 2021'!EO13</f>
        <v>1000</v>
      </c>
      <c r="EM13" s="90">
        <f>'[1]January - 2021'!EP13</f>
        <v>1994500</v>
      </c>
      <c r="EN13" s="230">
        <f>'[1]January - 2021'!EQ13</f>
        <v>0</v>
      </c>
      <c r="EO13" s="90">
        <f>'[1]January - 2021'!ER13</f>
        <v>730820</v>
      </c>
      <c r="EP13" s="230">
        <f>'[1]January - 2021'!ES13</f>
        <v>120</v>
      </c>
      <c r="EQ13" s="90">
        <f>'[1]January - 2021'!ET13</f>
        <v>12277100</v>
      </c>
      <c r="ER13" s="230">
        <f>'[1]January - 2021'!EU13</f>
        <v>1600</v>
      </c>
      <c r="ES13" s="425"/>
      <c r="ET13" s="284">
        <f>'[1]January - 2021'!EW13</f>
        <v>32662</v>
      </c>
      <c r="EU13" s="278">
        <f>'[1]January - 2021'!EX13</f>
        <v>14</v>
      </c>
      <c r="EV13" s="285">
        <f>'[1]January - 2021'!EY13</f>
        <v>27973</v>
      </c>
      <c r="EW13" s="278">
        <f>'[1]January - 2021'!EZ13</f>
        <v>24</v>
      </c>
      <c r="EX13" s="285">
        <f>'[1]January - 2021'!FA13</f>
        <v>0</v>
      </c>
      <c r="EY13" s="278">
        <f>'[1]January - 2021'!FB13</f>
        <v>0</v>
      </c>
      <c r="EZ13" s="285">
        <f>'[1]January - 2021'!FC13</f>
        <v>48764</v>
      </c>
      <c r="FA13" s="278">
        <f>'[1]January - 2021'!FD13</f>
        <v>0</v>
      </c>
      <c r="FB13" s="285">
        <f>'[1]January - 2021'!FE13</f>
        <v>27693</v>
      </c>
      <c r="FC13" s="279">
        <f>'[1]January - 2021'!FF13</f>
        <v>24</v>
      </c>
    </row>
    <row r="14" spans="1:159" ht="30" customHeight="1" x14ac:dyDescent="0.25">
      <c r="A14" s="207">
        <v>43835</v>
      </c>
      <c r="B14" s="209">
        <f>'[1]January - 2021'!B14</f>
        <v>0.79</v>
      </c>
      <c r="C14" s="250">
        <f>'[1]January - 2021'!E14</f>
        <v>702478</v>
      </c>
      <c r="D14" s="170">
        <f>'[1]January - 2021'!F14</f>
        <v>506</v>
      </c>
      <c r="E14" s="168">
        <f>'[1]January - 2021'!G14</f>
        <v>588</v>
      </c>
      <c r="F14" s="168">
        <f>'[1]January - 2021'!H14</f>
        <v>804857</v>
      </c>
      <c r="G14" s="170">
        <f>'[1]January - 2021'!I14</f>
        <v>431</v>
      </c>
      <c r="H14" s="168">
        <f>'[1]January - 2021'!J14</f>
        <v>321</v>
      </c>
      <c r="I14" s="168">
        <f>'[1]January - 2021'!K14</f>
        <v>105807</v>
      </c>
      <c r="J14" s="170">
        <f>'[1]January - 2021'!L14</f>
        <v>153</v>
      </c>
      <c r="K14" s="168">
        <f>'[1]January - 2021'!N14</f>
        <v>715862</v>
      </c>
      <c r="L14" s="170">
        <f>'[1]January - 2021'!O14</f>
        <v>180</v>
      </c>
      <c r="M14" s="168">
        <f>'[1]January - 2021'!Q14</f>
        <v>163777</v>
      </c>
      <c r="N14" s="170">
        <f>'[1]January - 2021'!R14</f>
        <v>0</v>
      </c>
      <c r="O14" s="168">
        <f>'[1]January - 2021'!S14</f>
        <v>141445</v>
      </c>
      <c r="P14" s="170">
        <f>'[1]January - 2021'!T14</f>
        <v>34</v>
      </c>
      <c r="Q14" s="168">
        <f>'[1]January - 2021'!U14</f>
        <v>102</v>
      </c>
      <c r="R14" s="168">
        <f>'[1]January - 2021'!V14</f>
        <v>14971</v>
      </c>
      <c r="S14" s="208">
        <f>'[1]January - 2021'!W14</f>
        <v>12</v>
      </c>
      <c r="T14" s="520"/>
      <c r="U14" s="269">
        <f>'[1]January - 2021'!AC14</f>
        <v>6252383.7599999998</v>
      </c>
      <c r="V14" s="291">
        <f>'[1]January - 2021'!AD14</f>
        <v>3751.4399999994785</v>
      </c>
      <c r="W14" s="92">
        <f>'[1]January - 2021'!AD14</f>
        <v>3751.4399999994785</v>
      </c>
      <c r="X14" s="290">
        <f>'[1]January - 2021'!AF14</f>
        <v>12208160.16</v>
      </c>
      <c r="Y14" s="291">
        <f>'[1]January - 2021'!AG14</f>
        <v>4482.2400000002235</v>
      </c>
      <c r="Z14" s="92">
        <f>'[1]January - 2021'!AG14</f>
        <v>4482.2400000002235</v>
      </c>
      <c r="AA14" s="290">
        <f>'[1]January - 2021'!AI14</f>
        <v>11556968.640000001</v>
      </c>
      <c r="AB14" s="291">
        <f>'[1]January - 2021'!AJ14</f>
        <v>5651.5200000014156</v>
      </c>
      <c r="AC14" s="92">
        <f>'[1]January - 2021'!AJ14</f>
        <v>5651.5200000014156</v>
      </c>
      <c r="AD14" s="290">
        <f>'[1]January - 2021'!AL14</f>
        <v>14840063.280000001</v>
      </c>
      <c r="AE14" s="291">
        <f>'[1]January - 2021'!AM14</f>
        <v>48.720000002533197</v>
      </c>
      <c r="AF14" s="92">
        <f>'[1]January - 2021'!AM14</f>
        <v>48.720000002533197</v>
      </c>
      <c r="AG14" s="290">
        <f>'[1]January - 2021'!AO14</f>
        <v>15017745.119999999</v>
      </c>
      <c r="AH14" s="291">
        <f>'[1]January - 2021'!AP14</f>
        <v>0</v>
      </c>
      <c r="AI14" s="92">
        <f>'[1]January - 2021'!AP14</f>
        <v>0</v>
      </c>
      <c r="AJ14" s="290">
        <f>'[1]January - 2021'!AR14</f>
        <v>13683694.08</v>
      </c>
      <c r="AK14" s="291">
        <f>'[1]January - 2021'!AS14</f>
        <v>5310.480000000447</v>
      </c>
      <c r="AL14" s="92">
        <f>'[1]January - 2021'!AS14</f>
        <v>5310.480000000447</v>
      </c>
      <c r="AM14" s="290">
        <f>'[1]January - 2021'!AU14</f>
        <v>11708682.719999999</v>
      </c>
      <c r="AN14" s="291">
        <f>'[1]January - 2021'!AV14</f>
        <v>3946.3199999984354</v>
      </c>
      <c r="AO14" s="92">
        <f>'[1]January - 2021'!AV14</f>
        <v>3946.3199999984354</v>
      </c>
      <c r="AP14" s="290">
        <f>'[1]January - 2021'!AX14</f>
        <v>11305914.48</v>
      </c>
      <c r="AQ14" s="291">
        <f>'[1]January - 2021'!AY14</f>
        <v>4043.7600000016391</v>
      </c>
      <c r="AR14" s="92">
        <f>'[1]January - 2021'!AY14</f>
        <v>4043.7600000016391</v>
      </c>
      <c r="AS14" s="290">
        <f>'[1]January - 2021'!BA14</f>
        <v>9048375.8399999999</v>
      </c>
      <c r="AT14" s="291">
        <f>'[1]January - 2021'!BB14</f>
        <v>2971.9199999999255</v>
      </c>
      <c r="AU14" s="92">
        <f>'[1]January - 2021'!BB14</f>
        <v>2971.9199999999255</v>
      </c>
      <c r="AV14" s="290">
        <f>'[1]January - 2021'!BD14</f>
        <v>13677360.48</v>
      </c>
      <c r="AW14" s="252">
        <f>'[1]January - 2021'!BE14</f>
        <v>5651.5200000014156</v>
      </c>
      <c r="AX14" s="253">
        <f>'[1]January - 2021'!BE14</f>
        <v>5651.5200000014156</v>
      </c>
      <c r="AY14" s="486"/>
      <c r="AZ14" s="272">
        <f>'[1]January - 2021'!BK14</f>
        <v>57771900</v>
      </c>
      <c r="BA14" s="179">
        <f>'[1]January - 2021'!BL14</f>
        <v>31500</v>
      </c>
      <c r="BB14" s="93">
        <f>'[1]January - 2021'!BL14</f>
        <v>31500</v>
      </c>
      <c r="BC14" s="272">
        <f>'[1]January - 2021'!BN14</f>
        <v>61713100</v>
      </c>
      <c r="BD14" s="245">
        <f>'[1]January - 2021'!BO14</f>
        <v>0</v>
      </c>
      <c r="BE14" s="93">
        <f>'[1]January - 2021'!BO14</f>
        <v>0</v>
      </c>
      <c r="BF14" s="272">
        <f>'[1]January - 2021'!BQ14</f>
        <v>55644900</v>
      </c>
      <c r="BG14" s="245">
        <f>'[1]January - 2021'!BR14</f>
        <v>0</v>
      </c>
      <c r="BH14" s="93">
        <f>'[1]January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- 2021'!BT14</f>
        <v>5644870</v>
      </c>
      <c r="BT14" s="185">
        <f>'[1]January - 2021'!BU14</f>
        <v>5500</v>
      </c>
      <c r="BU14" s="393"/>
      <c r="BV14" s="88">
        <f>'[1]January - 2021'!BW14</f>
        <v>0.64</v>
      </c>
      <c r="BW14" s="241">
        <f>'[1]January - 2021'!BX14</f>
        <v>-0.14000000000000001</v>
      </c>
      <c r="BX14" s="88">
        <f>'[1]January - 2021'!BX14</f>
        <v>-0.14000000000000001</v>
      </c>
      <c r="BY14" s="89">
        <f>'[1]January - 2021'!BZ14</f>
        <v>51158</v>
      </c>
      <c r="BZ14" s="191">
        <f>'[1]January - 2021'!CA14</f>
        <v>18</v>
      </c>
      <c r="CA14" s="89">
        <f>'[1]January - 2021'!CB14</f>
        <v>43082</v>
      </c>
      <c r="CB14" s="191">
        <f>'[1]January - 2021'!CC14</f>
        <v>13</v>
      </c>
      <c r="CC14" s="89">
        <f>'[1]January - 2021'!CD14</f>
        <v>14782</v>
      </c>
      <c r="CD14" s="191">
        <f>'[1]January - 2021'!CE14</f>
        <v>8</v>
      </c>
      <c r="CE14" s="89">
        <f>'[1]January - 2021'!CF14</f>
        <v>18752</v>
      </c>
      <c r="CF14" s="191">
        <f>'[1]January - 2021'!CG14</f>
        <v>8</v>
      </c>
      <c r="CG14" s="89">
        <f>'[1]January - 2021'!CH14</f>
        <v>20258</v>
      </c>
      <c r="CH14" s="191">
        <f>'[1]January - 2021'!CI14</f>
        <v>15</v>
      </c>
      <c r="CI14" s="89">
        <f>'[1]January - 2021'!CJ14</f>
        <v>46071</v>
      </c>
      <c r="CJ14" s="191">
        <f>'[1]January - 2021'!CK14</f>
        <v>29</v>
      </c>
      <c r="CK14" s="89">
        <f>'[1]January - 2021'!CL14</f>
        <v>202173</v>
      </c>
      <c r="CL14" s="246">
        <f>'[1]January - 2021'!CM14</f>
        <v>89</v>
      </c>
      <c r="CM14" s="89">
        <f>'[1]January - 2021'!CM14</f>
        <v>89</v>
      </c>
      <c r="CN14" s="89">
        <f>'[1]January - 2021'!CO14</f>
        <v>150370</v>
      </c>
      <c r="CO14" s="246">
        <f>'[1]January - 2021'!CP14</f>
        <v>98</v>
      </c>
      <c r="CP14" s="89">
        <f>'[1]January - 2021'!CP14</f>
        <v>98</v>
      </c>
      <c r="CQ14" s="89">
        <f>'[1]January - 2021'!CR14</f>
        <v>278793</v>
      </c>
      <c r="CR14" s="246">
        <f>'[1]January - 2021'!CS14</f>
        <v>382</v>
      </c>
      <c r="CS14" s="89">
        <f>'[1]January - 2021'!CS14</f>
        <v>382</v>
      </c>
      <c r="CT14" s="89">
        <f>'[1]January - 2021'!CU14</f>
        <v>537395</v>
      </c>
      <c r="CU14" s="191">
        <f>'[1]January - 2021'!CV14</f>
        <v>255</v>
      </c>
      <c r="CV14" s="453"/>
      <c r="CW14" s="256">
        <f>'[1]January - 2021'!CX14</f>
        <v>4224</v>
      </c>
      <c r="CX14" s="198">
        <f>'[1]January - 2021'!CY14</f>
        <v>2</v>
      </c>
      <c r="CY14" s="257">
        <f>'[1]January - 2021'!CZ14</f>
        <v>2036</v>
      </c>
      <c r="CZ14" s="198">
        <f>'[1]January - 2021'!DA14</f>
        <v>4</v>
      </c>
      <c r="DA14" s="257">
        <f>'[1]January - 2021'!DB14</f>
        <v>22367</v>
      </c>
      <c r="DB14" s="198">
        <f>'[1]January - 2021'!DC14</f>
        <v>14</v>
      </c>
      <c r="DC14" s="257">
        <f>'[1]January - 2021'!DD14</f>
        <v>23274</v>
      </c>
      <c r="DD14" s="198">
        <f>'[1]January - 2021'!DE14</f>
        <v>12</v>
      </c>
      <c r="DE14" s="257">
        <f>'[1]January - 2021'!DF14</f>
        <v>16000</v>
      </c>
      <c r="DF14" s="198">
        <f>'[1]January - 2021'!DG14</f>
        <v>13</v>
      </c>
      <c r="DG14" s="257">
        <f>'[1]January - 2021'!DH14</f>
        <v>19125</v>
      </c>
      <c r="DH14" s="198">
        <f>'[1]January - 2021'!DI14</f>
        <v>8</v>
      </c>
      <c r="DI14" s="257">
        <f>'[1]January - 2021'!DJ14</f>
        <v>825</v>
      </c>
      <c r="DJ14" s="198">
        <f>'[1]January - 2021'!DK14</f>
        <v>0</v>
      </c>
      <c r="DK14" s="257">
        <f>'[1]January - 2021'!DL14</f>
        <v>3616</v>
      </c>
      <c r="DL14" s="198">
        <f>'[1]January - 2021'!DM14</f>
        <v>0</v>
      </c>
      <c r="DM14" s="257">
        <f>'[1]January - 2021'!DN14</f>
        <v>228</v>
      </c>
      <c r="DN14" s="198">
        <f>'[1]January - 2021'!DO14</f>
        <v>8</v>
      </c>
      <c r="DO14" s="257">
        <f>'[1]January - 2021'!DP14</f>
        <v>1862</v>
      </c>
      <c r="DP14" s="198">
        <f>'[1]January - 2021'!DQ14</f>
        <v>3</v>
      </c>
      <c r="DQ14" s="257">
        <f>'[1]January - 2021'!DR14</f>
        <v>22832</v>
      </c>
      <c r="DR14" s="206">
        <f>'[1]January - 2021'!DS14</f>
        <v>6</v>
      </c>
      <c r="DS14" s="438"/>
      <c r="DT14" s="210">
        <f>'[1]January - 2021'!DU14</f>
        <v>100.1</v>
      </c>
      <c r="DU14" s="221">
        <f>'[1]January - 2021'!DV14</f>
        <v>8</v>
      </c>
      <c r="DV14" s="91">
        <f>'[1]January - 2021'!DW14</f>
        <v>5911</v>
      </c>
      <c r="DW14" s="215">
        <f>'[1]January - 2021'!DX14</f>
        <v>5</v>
      </c>
      <c r="DX14" s="91">
        <f>'[1]January - 2021'!DY14</f>
        <v>79</v>
      </c>
      <c r="DY14" s="215">
        <f>'[1]January - 2021'!DZ14</f>
        <v>6.9000000000000057</v>
      </c>
      <c r="DZ14" s="91">
        <f>'[1]January - 2021'!EA14</f>
        <v>254034</v>
      </c>
      <c r="EA14" s="215">
        <f>'[1]January - 2021'!EB14</f>
        <v>0</v>
      </c>
      <c r="EB14" s="91">
        <f>'[1]January - 2021'!EC14</f>
        <v>638212</v>
      </c>
      <c r="EC14" s="215">
        <f>'[1]January - 2021'!ED14</f>
        <v>458</v>
      </c>
      <c r="ED14" s="91">
        <f>'[1]January - 2021'!EG14</f>
        <v>124643</v>
      </c>
      <c r="EE14" s="229">
        <f>'[1]January - 2021'!EH14</f>
        <v>135</v>
      </c>
      <c r="EF14" s="377"/>
      <c r="EG14" s="235">
        <f>'[1]January - 2021'!EJ14</f>
        <v>8650200</v>
      </c>
      <c r="EH14" s="230">
        <f>'[1]January - 2021'!EK14</f>
        <v>1300</v>
      </c>
      <c r="EI14" s="90">
        <f>'[1]January - 2021'!EL14</f>
        <v>707400</v>
      </c>
      <c r="EJ14" s="230">
        <f>'[1]January - 2021'!EM14</f>
        <v>220</v>
      </c>
      <c r="EK14" s="90">
        <f>'[1]January - 2021'!EN14</f>
        <v>5551800</v>
      </c>
      <c r="EL14" s="230">
        <f>'[1]January - 2021'!EO14</f>
        <v>900</v>
      </c>
      <c r="EM14" s="90">
        <f>'[1]January - 2021'!EP14</f>
        <v>1994500</v>
      </c>
      <c r="EN14" s="230">
        <f>'[1]January - 2021'!EQ14</f>
        <v>0</v>
      </c>
      <c r="EO14" s="90">
        <f>'[1]January - 2021'!ER14</f>
        <v>730950</v>
      </c>
      <c r="EP14" s="230">
        <f>'[1]January - 2021'!ES14</f>
        <v>130</v>
      </c>
      <c r="EQ14" s="90">
        <f>'[1]January - 2021'!ET14</f>
        <v>12277900</v>
      </c>
      <c r="ER14" s="230">
        <f>'[1]January - 2021'!EU14</f>
        <v>800</v>
      </c>
      <c r="ES14" s="425"/>
      <c r="ET14" s="284">
        <f>'[1]January - 2021'!EW14</f>
        <v>32672</v>
      </c>
      <c r="EU14" s="278">
        <f>'[1]January - 2021'!EX14</f>
        <v>10</v>
      </c>
      <c r="EV14" s="285">
        <f>'[1]January - 2021'!EY14</f>
        <v>27990</v>
      </c>
      <c r="EW14" s="278">
        <f>'[1]January - 2021'!EZ14</f>
        <v>17</v>
      </c>
      <c r="EX14" s="285">
        <f>'[1]January - 2021'!FA14</f>
        <v>0</v>
      </c>
      <c r="EY14" s="278">
        <f>'[1]January - 2021'!FB14</f>
        <v>0</v>
      </c>
      <c r="EZ14" s="285">
        <f>'[1]January - 2021'!FC14</f>
        <v>48764</v>
      </c>
      <c r="FA14" s="278">
        <f>'[1]January - 2021'!FD14</f>
        <v>0</v>
      </c>
      <c r="FB14" s="285">
        <f>'[1]January - 2021'!FE14</f>
        <v>27719</v>
      </c>
      <c r="FC14" s="279">
        <f>'[1]January - 2021'!FF14</f>
        <v>26</v>
      </c>
    </row>
    <row r="15" spans="1:159" ht="30" customHeight="1" x14ac:dyDescent="0.25">
      <c r="A15" s="207">
        <v>43836</v>
      </c>
      <c r="B15" s="209">
        <f>'[1]January - 2021'!B15</f>
        <v>0.9</v>
      </c>
      <c r="C15" s="250">
        <f>'[1]January - 2021'!E15</f>
        <v>703000</v>
      </c>
      <c r="D15" s="170">
        <f>'[1]January - 2021'!F15</f>
        <v>522</v>
      </c>
      <c r="E15" s="168">
        <f>'[1]January - 2021'!G15</f>
        <v>553</v>
      </c>
      <c r="F15" s="168">
        <f>'[1]January - 2021'!H15</f>
        <v>805304</v>
      </c>
      <c r="G15" s="170">
        <f>'[1]January - 2021'!I15</f>
        <v>447</v>
      </c>
      <c r="H15" s="168">
        <f>'[1]January - 2021'!J15</f>
        <v>469</v>
      </c>
      <c r="I15" s="168">
        <f>'[1]January - 2021'!K15</f>
        <v>105973</v>
      </c>
      <c r="J15" s="170">
        <f>'[1]January - 2021'!L15</f>
        <v>166</v>
      </c>
      <c r="K15" s="168">
        <f>'[1]January - 2021'!N15</f>
        <v>716066</v>
      </c>
      <c r="L15" s="170">
        <f>'[1]January - 2021'!O15</f>
        <v>204</v>
      </c>
      <c r="M15" s="168">
        <f>'[1]January - 2021'!Q15</f>
        <v>163777</v>
      </c>
      <c r="N15" s="170">
        <f>'[1]January - 2021'!R15</f>
        <v>0</v>
      </c>
      <c r="O15" s="168">
        <f>'[1]January - 2021'!S15</f>
        <v>141478</v>
      </c>
      <c r="P15" s="170">
        <f>'[1]January - 2021'!T15</f>
        <v>33</v>
      </c>
      <c r="Q15" s="168">
        <f>'[1]January - 2021'!U15</f>
        <v>58</v>
      </c>
      <c r="R15" s="168">
        <f>'[1]January - 2021'!V15</f>
        <v>14982</v>
      </c>
      <c r="S15" s="208">
        <f>'[1]January - 2021'!W15</f>
        <v>11</v>
      </c>
      <c r="T15" s="520"/>
      <c r="U15" s="269">
        <f>'[1]January - 2021'!AC15</f>
        <v>6256135.2000000002</v>
      </c>
      <c r="V15" s="291">
        <f>'[1]January - 2021'!AD15</f>
        <v>3751.4400000004098</v>
      </c>
      <c r="W15" s="92">
        <f>'[1]January - 2021'!AD15</f>
        <v>3751.4400000004098</v>
      </c>
      <c r="X15" s="290">
        <f>'[1]January - 2021'!AF15</f>
        <v>12212691.119999999</v>
      </c>
      <c r="Y15" s="291">
        <f>'[1]January - 2021'!AG15</f>
        <v>4530.9599999990314</v>
      </c>
      <c r="Z15" s="92">
        <f>'[1]January - 2021'!AG15</f>
        <v>4530.9599999990314</v>
      </c>
      <c r="AA15" s="290">
        <f>'[1]January - 2021'!AI15</f>
        <v>11562912.48</v>
      </c>
      <c r="AB15" s="291">
        <f>'[1]January - 2021'!AJ15</f>
        <v>5943.839999999851</v>
      </c>
      <c r="AC15" s="92">
        <f>'[1]January - 2021'!AJ15</f>
        <v>5943.839999999851</v>
      </c>
      <c r="AD15" s="290">
        <f>'[1]January - 2021'!AL15</f>
        <v>14840160.719999999</v>
      </c>
      <c r="AE15" s="291">
        <f>'[1]January - 2021'!AM15</f>
        <v>97.439999997615814</v>
      </c>
      <c r="AF15" s="92">
        <f>'[1]January - 2021'!AM15</f>
        <v>97.439999997615814</v>
      </c>
      <c r="AG15" s="290">
        <f>'[1]January - 2021'!AO15</f>
        <v>15017745.119999999</v>
      </c>
      <c r="AH15" s="291">
        <f>'[1]January - 2021'!AP15</f>
        <v>0</v>
      </c>
      <c r="AI15" s="92">
        <f>'[1]January - 2021'!AP15</f>
        <v>0</v>
      </c>
      <c r="AJ15" s="290">
        <f>'[1]January - 2021'!AR15</f>
        <v>13689004.559999999</v>
      </c>
      <c r="AK15" s="291">
        <f>'[1]January - 2021'!AS15</f>
        <v>5310.4799999985844</v>
      </c>
      <c r="AL15" s="92">
        <f>'[1]January - 2021'!AS15</f>
        <v>5310.4799999985844</v>
      </c>
      <c r="AM15" s="290">
        <f>'[1]January - 2021'!AU15</f>
        <v>11712726.48</v>
      </c>
      <c r="AN15" s="291">
        <f>'[1]January - 2021'!AV15</f>
        <v>4043.7600000016391</v>
      </c>
      <c r="AO15" s="92">
        <f>'[1]January - 2021'!AV15</f>
        <v>4043.7600000016391</v>
      </c>
      <c r="AP15" s="290">
        <f>'[1]January - 2021'!AX15</f>
        <v>11310006.959999999</v>
      </c>
      <c r="AQ15" s="291">
        <f>'[1]January - 2021'!AY15</f>
        <v>4092.4799999985844</v>
      </c>
      <c r="AR15" s="92">
        <f>'[1]January - 2021'!AY15</f>
        <v>4092.4799999985844</v>
      </c>
      <c r="AS15" s="290">
        <f>'[1]January - 2021'!BA15</f>
        <v>9051688.7999999989</v>
      </c>
      <c r="AT15" s="291">
        <f>'[1]January - 2021'!BB15</f>
        <v>3312.9599999990314</v>
      </c>
      <c r="AU15" s="92">
        <f>'[1]January - 2021'!BB15</f>
        <v>3312.9599999990314</v>
      </c>
      <c r="AV15" s="290">
        <f>'[1]January - 2021'!BD15</f>
        <v>13683206.880000001</v>
      </c>
      <c r="AW15" s="252">
        <f>'[1]January - 2021'!BE15</f>
        <v>5846.4000000003725</v>
      </c>
      <c r="AX15" s="253">
        <f>'[1]January - 2021'!BE15</f>
        <v>5846.4000000003725</v>
      </c>
      <c r="AY15" s="486"/>
      <c r="AZ15" s="272">
        <f>'[1]January - 2021'!BK15</f>
        <v>57804300</v>
      </c>
      <c r="BA15" s="179">
        <f>'[1]January - 2021'!BL15</f>
        <v>32400</v>
      </c>
      <c r="BB15" s="93">
        <f>'[1]January - 2021'!BL15</f>
        <v>32400</v>
      </c>
      <c r="BC15" s="272">
        <f>'[1]January - 2021'!BN15</f>
        <v>61713100</v>
      </c>
      <c r="BD15" s="245">
        <f>'[1]January - 2021'!BO15</f>
        <v>0</v>
      </c>
      <c r="BE15" s="93">
        <f>'[1]January - 2021'!BO15</f>
        <v>0</v>
      </c>
      <c r="BF15" s="272">
        <f>'[1]January - 2021'!BQ15</f>
        <v>55644900</v>
      </c>
      <c r="BG15" s="245">
        <f>'[1]January - 2021'!BR15</f>
        <v>0</v>
      </c>
      <c r="BH15" s="93">
        <f>'[1]January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- 2021'!BT15</f>
        <v>5650150</v>
      </c>
      <c r="BT15" s="185">
        <f>'[1]January - 2021'!BU15</f>
        <v>5280</v>
      </c>
      <c r="BU15" s="393"/>
      <c r="BV15" s="88">
        <f>'[1]January - 2021'!BW15</f>
        <v>0.56999999999999995</v>
      </c>
      <c r="BW15" s="241">
        <f>'[1]January - 2021'!BX15</f>
        <v>7.0000000000000062E-2</v>
      </c>
      <c r="BX15" s="88">
        <f>'[1]January - 2021'!BX15</f>
        <v>7.0000000000000062E-2</v>
      </c>
      <c r="BY15" s="89">
        <f>'[1]January - 2021'!BZ15</f>
        <v>51177</v>
      </c>
      <c r="BZ15" s="191">
        <f>'[1]January - 2021'!CA15</f>
        <v>19</v>
      </c>
      <c r="CA15" s="89">
        <f>'[1]January - 2021'!CB15</f>
        <v>43095</v>
      </c>
      <c r="CB15" s="191">
        <f>'[1]January - 2021'!CC15</f>
        <v>13</v>
      </c>
      <c r="CC15" s="89">
        <f>'[1]January - 2021'!CD15</f>
        <v>14788</v>
      </c>
      <c r="CD15" s="191">
        <f>'[1]January - 2021'!CE15</f>
        <v>6</v>
      </c>
      <c r="CE15" s="89">
        <f>'[1]January - 2021'!CF15</f>
        <v>18761</v>
      </c>
      <c r="CF15" s="191">
        <f>'[1]January - 2021'!CG15</f>
        <v>9</v>
      </c>
      <c r="CG15" s="89">
        <f>'[1]January - 2021'!CH15</f>
        <v>20269</v>
      </c>
      <c r="CH15" s="191">
        <f>'[1]January - 2021'!CI15</f>
        <v>11</v>
      </c>
      <c r="CI15" s="89">
        <f>'[1]January - 2021'!CJ15</f>
        <v>46095</v>
      </c>
      <c r="CJ15" s="191">
        <f>'[1]January - 2021'!CK15</f>
        <v>24</v>
      </c>
      <c r="CK15" s="89">
        <f>'[1]January - 2021'!CL15</f>
        <v>202263</v>
      </c>
      <c r="CL15" s="246">
        <f>'[1]January - 2021'!CM15</f>
        <v>90</v>
      </c>
      <c r="CM15" s="89">
        <f>'[1]January - 2021'!CM15</f>
        <v>90</v>
      </c>
      <c r="CN15" s="89">
        <f>'[1]January - 2021'!CO15</f>
        <v>150472</v>
      </c>
      <c r="CO15" s="246">
        <f>'[1]January - 2021'!CP15</f>
        <v>102</v>
      </c>
      <c r="CP15" s="89">
        <f>'[1]January - 2021'!CP15</f>
        <v>102</v>
      </c>
      <c r="CQ15" s="89">
        <f>'[1]January - 2021'!CR15</f>
        <v>279163</v>
      </c>
      <c r="CR15" s="246">
        <f>'[1]January - 2021'!CS15</f>
        <v>370</v>
      </c>
      <c r="CS15" s="89">
        <f>'[1]January - 2021'!CS15</f>
        <v>370</v>
      </c>
      <c r="CT15" s="89">
        <f>'[1]January - 2021'!CU15</f>
        <v>537656</v>
      </c>
      <c r="CU15" s="191">
        <f>'[1]January - 2021'!CV15</f>
        <v>261</v>
      </c>
      <c r="CV15" s="453"/>
      <c r="CW15" s="256">
        <f>'[1]January - 2021'!CX15</f>
        <v>4224</v>
      </c>
      <c r="CX15" s="198">
        <f>'[1]January - 2021'!CY15</f>
        <v>0</v>
      </c>
      <c r="CY15" s="257">
        <f>'[1]January - 2021'!CZ15</f>
        <v>2036</v>
      </c>
      <c r="CZ15" s="198">
        <f>'[1]January - 2021'!DA15</f>
        <v>0</v>
      </c>
      <c r="DA15" s="257">
        <f>'[1]January - 2021'!DB15</f>
        <v>22383</v>
      </c>
      <c r="DB15" s="198">
        <f>'[1]January - 2021'!DC15</f>
        <v>16</v>
      </c>
      <c r="DC15" s="257">
        <f>'[1]January - 2021'!DD15</f>
        <v>23290</v>
      </c>
      <c r="DD15" s="198">
        <f>'[1]January - 2021'!DE15</f>
        <v>16</v>
      </c>
      <c r="DE15" s="257">
        <f>'[1]January - 2021'!DF15</f>
        <v>16014</v>
      </c>
      <c r="DF15" s="198">
        <f>'[1]January - 2021'!DG15</f>
        <v>14</v>
      </c>
      <c r="DG15" s="257">
        <f>'[1]January - 2021'!DH15</f>
        <v>19134</v>
      </c>
      <c r="DH15" s="198">
        <f>'[1]January - 2021'!DI15</f>
        <v>9</v>
      </c>
      <c r="DI15" s="257">
        <f>'[1]January - 2021'!DJ15</f>
        <v>825</v>
      </c>
      <c r="DJ15" s="198">
        <f>'[1]January - 2021'!DK15</f>
        <v>0</v>
      </c>
      <c r="DK15" s="257">
        <f>'[1]January - 2021'!DL15</f>
        <v>3616</v>
      </c>
      <c r="DL15" s="198">
        <f>'[1]January - 2021'!DM15</f>
        <v>0</v>
      </c>
      <c r="DM15" s="257">
        <f>'[1]January - 2021'!DN15</f>
        <v>235</v>
      </c>
      <c r="DN15" s="198">
        <f>'[1]January - 2021'!DO15</f>
        <v>7</v>
      </c>
      <c r="DO15" s="257">
        <f>'[1]January - 2021'!DP15</f>
        <v>1865</v>
      </c>
      <c r="DP15" s="198">
        <f>'[1]January - 2021'!DQ15</f>
        <v>3</v>
      </c>
      <c r="DQ15" s="257">
        <f>'[1]January - 2021'!DR15</f>
        <v>22844</v>
      </c>
      <c r="DR15" s="206">
        <f>'[1]January - 2021'!DS15</f>
        <v>12</v>
      </c>
      <c r="DS15" s="438"/>
      <c r="DT15" s="210">
        <f>'[1]January - 2021'!DU15</f>
        <v>109</v>
      </c>
      <c r="DU15" s="221">
        <f>'[1]January - 2021'!DV15</f>
        <v>8.9000000000000057</v>
      </c>
      <c r="DV15" s="91">
        <f>'[1]January - 2021'!DW15</f>
        <v>5915.9</v>
      </c>
      <c r="DW15" s="215">
        <f>'[1]January - 2021'!DX15</f>
        <v>4.8999999999996362</v>
      </c>
      <c r="DX15" s="91">
        <f>'[1]January - 2021'!DY15</f>
        <v>86.4</v>
      </c>
      <c r="DY15" s="215">
        <f>'[1]January - 2021'!DZ15</f>
        <v>7.4000000000000057</v>
      </c>
      <c r="DZ15" s="91">
        <f>'[1]January - 2021'!EA15</f>
        <v>254034</v>
      </c>
      <c r="EA15" s="215">
        <f>'[1]January - 2021'!EB15</f>
        <v>0</v>
      </c>
      <c r="EB15" s="91">
        <f>'[1]January - 2021'!EC15</f>
        <v>638673</v>
      </c>
      <c r="EC15" s="215">
        <f>'[1]January - 2021'!ED15</f>
        <v>461</v>
      </c>
      <c r="ED15" s="91">
        <f>'[1]January - 2021'!EG15</f>
        <v>124794</v>
      </c>
      <c r="EE15" s="229">
        <f>'[1]January - 2021'!EH15</f>
        <v>151</v>
      </c>
      <c r="EF15" s="377"/>
      <c r="EG15" s="235">
        <f>'[1]January - 2021'!EJ15</f>
        <v>8651600</v>
      </c>
      <c r="EH15" s="230">
        <f>'[1]January - 2021'!EK15</f>
        <v>1400</v>
      </c>
      <c r="EI15" s="90">
        <f>'[1]January - 2021'!EL15</f>
        <v>707620</v>
      </c>
      <c r="EJ15" s="230">
        <f>'[1]January - 2021'!EM15</f>
        <v>220</v>
      </c>
      <c r="EK15" s="90">
        <f>'[1]January - 2021'!EN15</f>
        <v>5552800</v>
      </c>
      <c r="EL15" s="230">
        <f>'[1]January - 2021'!EO15</f>
        <v>1000</v>
      </c>
      <c r="EM15" s="90">
        <f>'[1]January - 2021'!EP15</f>
        <v>1994500</v>
      </c>
      <c r="EN15" s="230">
        <f>'[1]January - 2021'!EQ15</f>
        <v>0</v>
      </c>
      <c r="EO15" s="90">
        <f>'[1]January - 2021'!ER15</f>
        <v>731080</v>
      </c>
      <c r="EP15" s="230">
        <f>'[1]January - 2021'!ES15</f>
        <v>130</v>
      </c>
      <c r="EQ15" s="90">
        <f>'[1]January - 2021'!ET15</f>
        <v>12278900</v>
      </c>
      <c r="ER15" s="230">
        <f>'[1]January - 2021'!EU15</f>
        <v>1000</v>
      </c>
      <c r="ES15" s="425"/>
      <c r="ET15" s="284">
        <f>'[1]January - 2021'!EW15</f>
        <v>32681</v>
      </c>
      <c r="EU15" s="278">
        <f>'[1]January - 2021'!EX15</f>
        <v>9</v>
      </c>
      <c r="EV15" s="285">
        <f>'[1]January - 2021'!EY15</f>
        <v>28012</v>
      </c>
      <c r="EW15" s="278">
        <f>'[1]January - 2021'!EZ15</f>
        <v>22</v>
      </c>
      <c r="EX15" s="285">
        <f>'[1]January - 2021'!FA15</f>
        <v>0</v>
      </c>
      <c r="EY15" s="278">
        <f>'[1]January - 2021'!FB15</f>
        <v>0</v>
      </c>
      <c r="EZ15" s="285">
        <f>'[1]January - 2021'!FC15</f>
        <v>48764</v>
      </c>
      <c r="FA15" s="278">
        <f>'[1]January - 2021'!FD15</f>
        <v>0</v>
      </c>
      <c r="FB15" s="285">
        <f>'[1]January - 2021'!FE15</f>
        <v>27748</v>
      </c>
      <c r="FC15" s="279">
        <f>'[1]January - 2021'!FF15</f>
        <v>29</v>
      </c>
    </row>
    <row r="16" spans="1:159" ht="30" customHeight="1" x14ac:dyDescent="0.25">
      <c r="A16" s="207">
        <v>43837</v>
      </c>
      <c r="B16" s="209">
        <f>'[1]January - 2021'!B16</f>
        <v>0.95</v>
      </c>
      <c r="C16" s="250">
        <f>'[1]January - 2021'!E16</f>
        <v>703538</v>
      </c>
      <c r="D16" s="170">
        <f>'[1]January - 2021'!F16</f>
        <v>538</v>
      </c>
      <c r="E16" s="168">
        <f>'[1]January - 2021'!G16</f>
        <v>519</v>
      </c>
      <c r="F16" s="168">
        <f>'[1]January - 2021'!H16</f>
        <v>805784</v>
      </c>
      <c r="G16" s="170">
        <f>'[1]January - 2021'!I16</f>
        <v>480</v>
      </c>
      <c r="H16" s="168">
        <f>'[1]January - 2021'!J16</f>
        <v>432</v>
      </c>
      <c r="I16" s="168">
        <f>'[1]January - 2021'!K16</f>
        <v>106147</v>
      </c>
      <c r="J16" s="170">
        <f>'[1]January - 2021'!L16</f>
        <v>174</v>
      </c>
      <c r="K16" s="168">
        <f>'[1]January - 2021'!N16</f>
        <v>716236</v>
      </c>
      <c r="L16" s="170">
        <f>'[1]January - 2021'!O16</f>
        <v>170</v>
      </c>
      <c r="M16" s="168">
        <f>'[1]January - 2021'!Q16</f>
        <v>163777</v>
      </c>
      <c r="N16" s="170">
        <f>'[1]January - 2021'!R16</f>
        <v>0</v>
      </c>
      <c r="O16" s="168">
        <f>'[1]January - 2021'!S16</f>
        <v>141510</v>
      </c>
      <c r="P16" s="170">
        <f>'[1]January - 2021'!T16</f>
        <v>32</v>
      </c>
      <c r="Q16" s="168">
        <f>'[1]January - 2021'!U16</f>
        <v>78</v>
      </c>
      <c r="R16" s="168">
        <f>'[1]January - 2021'!V16</f>
        <v>14992</v>
      </c>
      <c r="S16" s="208">
        <f>'[1]January - 2021'!W16</f>
        <v>10</v>
      </c>
      <c r="T16" s="520"/>
      <c r="U16" s="269">
        <f>'[1]January - 2021'!AC16</f>
        <v>6259984.0800000001</v>
      </c>
      <c r="V16" s="291">
        <f>'[1]January - 2021'!AD16</f>
        <v>3848.8799999998882</v>
      </c>
      <c r="W16" s="92">
        <f>'[1]January - 2021'!AD16</f>
        <v>3848.8799999998882</v>
      </c>
      <c r="X16" s="290">
        <f>'[1]January - 2021'!AF16</f>
        <v>12217368.24</v>
      </c>
      <c r="Y16" s="291">
        <f>'[1]January - 2021'!AG16</f>
        <v>4677.1200000010431</v>
      </c>
      <c r="Z16" s="92">
        <f>'[1]January - 2021'!AG16</f>
        <v>4677.1200000010431</v>
      </c>
      <c r="AA16" s="290">
        <f>'[1]January - 2021'!AI16</f>
        <v>11568661.439999999</v>
      </c>
      <c r="AB16" s="291">
        <f>'[1]January - 2021'!AJ16</f>
        <v>5748.9599999990314</v>
      </c>
      <c r="AC16" s="92">
        <f>'[1]January - 2021'!AJ16</f>
        <v>5748.9599999990314</v>
      </c>
      <c r="AD16" s="290">
        <f>'[1]January - 2021'!AL16</f>
        <v>14840209.439999999</v>
      </c>
      <c r="AE16" s="291">
        <f>'[1]January - 2021'!AM16</f>
        <v>48.720000000670552</v>
      </c>
      <c r="AF16" s="92">
        <f>'[1]January - 2021'!AM16</f>
        <v>48.720000000670552</v>
      </c>
      <c r="AG16" s="290">
        <f>'[1]January - 2021'!AO16</f>
        <v>15017745.119999999</v>
      </c>
      <c r="AH16" s="291">
        <f>'[1]January - 2021'!AP16</f>
        <v>0</v>
      </c>
      <c r="AI16" s="92">
        <f>'[1]January - 2021'!AP16</f>
        <v>0</v>
      </c>
      <c r="AJ16" s="290">
        <f>'[1]January - 2021'!AR16</f>
        <v>13694509.919999998</v>
      </c>
      <c r="AK16" s="291">
        <f>'[1]January - 2021'!AS16</f>
        <v>5505.359999999404</v>
      </c>
      <c r="AL16" s="92">
        <f>'[1]January - 2021'!AS16</f>
        <v>5505.359999999404</v>
      </c>
      <c r="AM16" s="290">
        <f>'[1]January - 2021'!AU16</f>
        <v>11716672.799999999</v>
      </c>
      <c r="AN16" s="291">
        <f>'[1]January - 2021'!AV16</f>
        <v>3946.3199999984354</v>
      </c>
      <c r="AO16" s="92">
        <f>'[1]January - 2021'!AV16</f>
        <v>3946.3199999984354</v>
      </c>
      <c r="AP16" s="290">
        <f>'[1]January - 2021'!AX16</f>
        <v>11314294.319999998</v>
      </c>
      <c r="AQ16" s="291">
        <f>'[1]January - 2021'!AY16</f>
        <v>4287.359999999404</v>
      </c>
      <c r="AR16" s="92">
        <f>'[1]January - 2021'!AY16</f>
        <v>4287.359999999404</v>
      </c>
      <c r="AS16" s="290">
        <f>'[1]January - 2021'!BA16</f>
        <v>9055196.6400000006</v>
      </c>
      <c r="AT16" s="291">
        <f>'[1]January - 2021'!BB16</f>
        <v>3507.8400000017136</v>
      </c>
      <c r="AU16" s="92">
        <f>'[1]January - 2021'!BB16</f>
        <v>3507.8400000017136</v>
      </c>
      <c r="AV16" s="290">
        <f>'[1]January - 2021'!BD16</f>
        <v>13688712.24</v>
      </c>
      <c r="AW16" s="252">
        <f>'[1]January - 2021'!BE16</f>
        <v>5505.359999999404</v>
      </c>
      <c r="AX16" s="253">
        <f>'[1]January - 2021'!BE16</f>
        <v>5505.359999999404</v>
      </c>
      <c r="AY16" s="486"/>
      <c r="AZ16" s="272">
        <f>'[1]January - 2021'!BK16</f>
        <v>57836700</v>
      </c>
      <c r="BA16" s="179">
        <f>'[1]January - 2021'!BL16</f>
        <v>32400</v>
      </c>
      <c r="BB16" s="93">
        <f>'[1]January - 2021'!BL16</f>
        <v>32400</v>
      </c>
      <c r="BC16" s="272">
        <f>'[1]January - 2021'!BN16</f>
        <v>61713100</v>
      </c>
      <c r="BD16" s="245">
        <f>'[1]January - 2021'!BO16</f>
        <v>0</v>
      </c>
      <c r="BE16" s="93">
        <f>'[1]January - 2021'!BO16</f>
        <v>0</v>
      </c>
      <c r="BF16" s="272">
        <f>'[1]January - 2021'!BQ16</f>
        <v>55644900</v>
      </c>
      <c r="BG16" s="245">
        <f>'[1]January - 2021'!BR16</f>
        <v>0</v>
      </c>
      <c r="BH16" s="93">
        <f>'[1]January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- 2021'!BT16</f>
        <v>5655870</v>
      </c>
      <c r="BT16" s="185">
        <f>'[1]January - 2021'!BU16</f>
        <v>5720</v>
      </c>
      <c r="BU16" s="393"/>
      <c r="BV16" s="88">
        <f>'[1]January - 2021'!BW16</f>
        <v>0.7</v>
      </c>
      <c r="BW16" s="241">
        <f>'[1]January - 2021'!BX16</f>
        <v>-0.13</v>
      </c>
      <c r="BX16" s="88">
        <f>'[1]January - 2021'!BX16</f>
        <v>-0.13</v>
      </c>
      <c r="BY16" s="89">
        <f>'[1]January - 2021'!BZ16</f>
        <v>51194</v>
      </c>
      <c r="BZ16" s="191">
        <f>'[1]January - 2021'!CA16</f>
        <v>17</v>
      </c>
      <c r="CA16" s="89">
        <f>'[1]January - 2021'!CB16</f>
        <v>43108</v>
      </c>
      <c r="CB16" s="191">
        <f>'[1]January - 2021'!CC16</f>
        <v>13</v>
      </c>
      <c r="CC16" s="89">
        <f>'[1]January - 2021'!CD16</f>
        <v>14794</v>
      </c>
      <c r="CD16" s="191">
        <f>'[1]January - 2021'!CE16</f>
        <v>6</v>
      </c>
      <c r="CE16" s="89">
        <f>'[1]January - 2021'!CF16</f>
        <v>18770</v>
      </c>
      <c r="CF16" s="191">
        <f>'[1]January - 2021'!CG16</f>
        <v>9</v>
      </c>
      <c r="CG16" s="89">
        <f>'[1]January - 2021'!CH16</f>
        <v>20285</v>
      </c>
      <c r="CH16" s="191">
        <f>'[1]January - 2021'!CI16</f>
        <v>16</v>
      </c>
      <c r="CI16" s="89">
        <f>'[1]January - 2021'!CJ16</f>
        <v>46121</v>
      </c>
      <c r="CJ16" s="191">
        <f>'[1]January - 2021'!CK16</f>
        <v>26</v>
      </c>
      <c r="CK16" s="89">
        <f>'[1]January - 2021'!CL16</f>
        <v>202351</v>
      </c>
      <c r="CL16" s="246">
        <f>'[1]January - 2021'!CM16</f>
        <v>88</v>
      </c>
      <c r="CM16" s="89">
        <f>'[1]January - 2021'!CM16</f>
        <v>88</v>
      </c>
      <c r="CN16" s="89">
        <f>'[1]January - 2021'!CO16</f>
        <v>150573</v>
      </c>
      <c r="CO16" s="246">
        <f>'[1]January - 2021'!CP16</f>
        <v>101</v>
      </c>
      <c r="CP16" s="89">
        <f>'[1]January - 2021'!CP16</f>
        <v>101</v>
      </c>
      <c r="CQ16" s="89">
        <f>'[1]January - 2021'!CR16</f>
        <v>279558</v>
      </c>
      <c r="CR16" s="246">
        <f>'[1]January - 2021'!CS16</f>
        <v>395</v>
      </c>
      <c r="CS16" s="89">
        <f>'[1]January - 2021'!CS16</f>
        <v>395</v>
      </c>
      <c r="CT16" s="89">
        <f>'[1]January - 2021'!CU16</f>
        <v>537909</v>
      </c>
      <c r="CU16" s="191">
        <f>'[1]January - 2021'!CV16</f>
        <v>253</v>
      </c>
      <c r="CV16" s="453"/>
      <c r="CW16" s="256">
        <f>'[1]January - 2021'!CX16</f>
        <v>4224</v>
      </c>
      <c r="CX16" s="198">
        <f>'[1]January - 2021'!CY16</f>
        <v>0</v>
      </c>
      <c r="CY16" s="257">
        <f>'[1]January - 2021'!CZ16</f>
        <v>2036</v>
      </c>
      <c r="CZ16" s="198">
        <f>'[1]January - 2021'!DA16</f>
        <v>0</v>
      </c>
      <c r="DA16" s="257">
        <f>'[1]January - 2021'!DB16</f>
        <v>22401.1</v>
      </c>
      <c r="DB16" s="198">
        <f>'[1]January - 2021'!DC16</f>
        <v>18.099999999998545</v>
      </c>
      <c r="DC16" s="257">
        <f>'[1]January - 2021'!DD16</f>
        <v>23308</v>
      </c>
      <c r="DD16" s="198">
        <f>'[1]January - 2021'!DE16</f>
        <v>18</v>
      </c>
      <c r="DE16" s="257">
        <f>'[1]January - 2021'!DF16</f>
        <v>16028</v>
      </c>
      <c r="DF16" s="198">
        <f>'[1]January - 2021'!DG16</f>
        <v>14</v>
      </c>
      <c r="DG16" s="257">
        <f>'[1]January - 2021'!DH16</f>
        <v>19143.2</v>
      </c>
      <c r="DH16" s="198">
        <f>'[1]January - 2021'!DI16</f>
        <v>9.2000000000007276</v>
      </c>
      <c r="DI16" s="257">
        <f>'[1]January - 2021'!DJ16</f>
        <v>825</v>
      </c>
      <c r="DJ16" s="198">
        <f>'[1]January - 2021'!DK16</f>
        <v>0</v>
      </c>
      <c r="DK16" s="257">
        <f>'[1]January - 2021'!DL16</f>
        <v>3616</v>
      </c>
      <c r="DL16" s="198">
        <f>'[1]January - 2021'!DM16</f>
        <v>0</v>
      </c>
      <c r="DM16" s="257">
        <f>'[1]January - 2021'!DN16</f>
        <v>242</v>
      </c>
      <c r="DN16" s="198">
        <f>'[1]January - 2021'!DO16</f>
        <v>7</v>
      </c>
      <c r="DO16" s="257">
        <f>'[1]January - 2021'!DP16</f>
        <v>1870</v>
      </c>
      <c r="DP16" s="198">
        <f>'[1]January - 2021'!DQ16</f>
        <v>5</v>
      </c>
      <c r="DQ16" s="257">
        <f>'[1]January - 2021'!DR16</f>
        <v>22856</v>
      </c>
      <c r="DR16" s="206">
        <f>'[1]January - 2021'!DS16</f>
        <v>12</v>
      </c>
      <c r="DS16" s="438"/>
      <c r="DT16" s="210">
        <f>'[1]January - 2021'!DU16</f>
        <v>117.4</v>
      </c>
      <c r="DU16" s="221">
        <f>'[1]January - 2021'!DV16</f>
        <v>8.4000000000000057</v>
      </c>
      <c r="DV16" s="91">
        <f>'[1]January - 2021'!DW16</f>
        <v>5921</v>
      </c>
      <c r="DW16" s="215">
        <f>'[1]January - 2021'!DX16</f>
        <v>5.1000000000003638</v>
      </c>
      <c r="DX16" s="91">
        <f>'[1]January - 2021'!DY16</f>
        <v>93.2</v>
      </c>
      <c r="DY16" s="215">
        <f>'[1]January - 2021'!DZ16</f>
        <v>6.7999999999999972</v>
      </c>
      <c r="DZ16" s="91">
        <f>'[1]January - 2021'!EA16</f>
        <v>254034</v>
      </c>
      <c r="EA16" s="215">
        <f>'[1]January - 2021'!EB16</f>
        <v>0</v>
      </c>
      <c r="EB16" s="91">
        <f>'[1]January - 2021'!EC16</f>
        <v>639169</v>
      </c>
      <c r="EC16" s="215">
        <f>'[1]January - 2021'!ED16</f>
        <v>496</v>
      </c>
      <c r="ED16" s="91">
        <f>'[1]January - 2021'!EG16</f>
        <v>124940</v>
      </c>
      <c r="EE16" s="229">
        <f>'[1]January - 2021'!EH16</f>
        <v>146</v>
      </c>
      <c r="EF16" s="377"/>
      <c r="EG16" s="235">
        <f>'[1]January - 2021'!EJ16</f>
        <v>8652900</v>
      </c>
      <c r="EH16" s="230">
        <f>'[1]January - 2021'!EK16</f>
        <v>1300</v>
      </c>
      <c r="EI16" s="90">
        <f>'[1]January - 2021'!EL16</f>
        <v>707840</v>
      </c>
      <c r="EJ16" s="230">
        <f>'[1]January - 2021'!EM16</f>
        <v>220</v>
      </c>
      <c r="EK16" s="90">
        <f>'[1]January - 2021'!EN16</f>
        <v>5553700</v>
      </c>
      <c r="EL16" s="230">
        <f>'[1]January - 2021'!EO16</f>
        <v>900</v>
      </c>
      <c r="EM16" s="90">
        <f>'[1]January - 2021'!EP16</f>
        <v>1994500</v>
      </c>
      <c r="EN16" s="230">
        <f>'[1]January - 2021'!EQ16</f>
        <v>0</v>
      </c>
      <c r="EO16" s="90">
        <f>'[1]January - 2021'!ER16</f>
        <v>731210</v>
      </c>
      <c r="EP16" s="230">
        <f>'[1]January - 2021'!ES16</f>
        <v>130</v>
      </c>
      <c r="EQ16" s="90">
        <f>'[1]January - 2021'!ET16</f>
        <v>12280800</v>
      </c>
      <c r="ER16" s="230">
        <f>'[1]January - 2021'!EU16</f>
        <v>1900</v>
      </c>
      <c r="ES16" s="425"/>
      <c r="ET16" s="284">
        <f>'[1]January - 2021'!EW16</f>
        <v>32691</v>
      </c>
      <c r="EU16" s="278">
        <f>'[1]January - 2021'!EX16</f>
        <v>10</v>
      </c>
      <c r="EV16" s="285">
        <f>'[1]January - 2021'!EY16</f>
        <v>28033</v>
      </c>
      <c r="EW16" s="278">
        <f>'[1]January - 2021'!EZ16</f>
        <v>21</v>
      </c>
      <c r="EX16" s="285">
        <f>'[1]January - 2021'!FA16</f>
        <v>0</v>
      </c>
      <c r="EY16" s="278">
        <f>'[1]January - 2021'!FB16</f>
        <v>0</v>
      </c>
      <c r="EZ16" s="285">
        <f>'[1]January - 2021'!FC16</f>
        <v>48764</v>
      </c>
      <c r="FA16" s="278">
        <f>'[1]January - 2021'!FD16</f>
        <v>0</v>
      </c>
      <c r="FB16" s="285">
        <f>'[1]January - 2021'!FE16</f>
        <v>27779</v>
      </c>
      <c r="FC16" s="279">
        <f>'[1]January - 2021'!FF16</f>
        <v>31</v>
      </c>
    </row>
    <row r="17" spans="1:159" ht="30" customHeight="1" x14ac:dyDescent="0.25">
      <c r="A17" s="207">
        <v>43838</v>
      </c>
      <c r="B17" s="209">
        <f>'[1]January - 2021'!B17</f>
        <v>0.98</v>
      </c>
      <c r="C17" s="250">
        <f>'[1]January - 2021'!E17</f>
        <v>704128</v>
      </c>
      <c r="D17" s="170">
        <f>'[1]January - 2021'!F17</f>
        <v>590</v>
      </c>
      <c r="E17" s="168">
        <f>'[1]January - 2021'!G17</f>
        <v>561</v>
      </c>
      <c r="F17" s="168">
        <f>'[1]January - 2021'!H17</f>
        <v>806287</v>
      </c>
      <c r="G17" s="170">
        <f>'[1]January - 2021'!I17</f>
        <v>503</v>
      </c>
      <c r="H17" s="168">
        <f>'[1]January - 2021'!J17</f>
        <v>461</v>
      </c>
      <c r="I17" s="168">
        <f>'[1]January - 2021'!K17</f>
        <v>106211</v>
      </c>
      <c r="J17" s="170">
        <f>'[1]January - 2021'!L17</f>
        <v>64</v>
      </c>
      <c r="K17" s="168">
        <f>'[1]January - 2021'!N17</f>
        <v>716306</v>
      </c>
      <c r="L17" s="170">
        <f>'[1]January - 2021'!O17</f>
        <v>70</v>
      </c>
      <c r="M17" s="168">
        <f>'[1]January - 2021'!Q17</f>
        <v>163777</v>
      </c>
      <c r="N17" s="170">
        <f>'[1]January - 2021'!R17</f>
        <v>0</v>
      </c>
      <c r="O17" s="168">
        <f>'[1]January - 2021'!S17</f>
        <v>141540</v>
      </c>
      <c r="P17" s="170">
        <f>'[1]January - 2021'!T17</f>
        <v>30</v>
      </c>
      <c r="Q17" s="168">
        <f>'[1]January - 2021'!U17</f>
        <v>81</v>
      </c>
      <c r="R17" s="168">
        <f>'[1]January - 2021'!V17</f>
        <v>15003</v>
      </c>
      <c r="S17" s="208">
        <f>'[1]January - 2021'!W17</f>
        <v>11</v>
      </c>
      <c r="T17" s="520"/>
      <c r="U17" s="269">
        <f>'[1]January - 2021'!AC17</f>
        <v>6263735.5200000005</v>
      </c>
      <c r="V17" s="291">
        <f>'[1]January - 2021'!AD17</f>
        <v>3751.4400000004098</v>
      </c>
      <c r="W17" s="92">
        <f>'[1]January - 2021'!AD17</f>
        <v>3751.4400000004098</v>
      </c>
      <c r="X17" s="290">
        <f>'[1]January - 2021'!AF17</f>
        <v>12221947.92</v>
      </c>
      <c r="Y17" s="291">
        <f>'[1]January - 2021'!AG17</f>
        <v>4579.679999999702</v>
      </c>
      <c r="Z17" s="92">
        <f>'[1]January - 2021'!AG17</f>
        <v>4579.679999999702</v>
      </c>
      <c r="AA17" s="290">
        <f>'[1]January - 2021'!AI17</f>
        <v>11574118.08</v>
      </c>
      <c r="AB17" s="291">
        <f>'[1]January - 2021'!AJ17</f>
        <v>5456.640000000596</v>
      </c>
      <c r="AC17" s="92">
        <f>'[1]January - 2021'!AJ17</f>
        <v>5456.640000000596</v>
      </c>
      <c r="AD17" s="290">
        <f>'[1]January - 2021'!AL17</f>
        <v>14840258.16</v>
      </c>
      <c r="AE17" s="291">
        <f>'[1]January - 2021'!AM17</f>
        <v>48.720000000670552</v>
      </c>
      <c r="AF17" s="92">
        <f>'[1]January - 2021'!AM17</f>
        <v>48.720000000670552</v>
      </c>
      <c r="AG17" s="290">
        <f>'[1]January - 2021'!AO17</f>
        <v>15017745.119999999</v>
      </c>
      <c r="AH17" s="291">
        <f>'[1]January - 2021'!AP17</f>
        <v>0</v>
      </c>
      <c r="AI17" s="92">
        <f>'[1]January - 2021'!AP17</f>
        <v>0</v>
      </c>
      <c r="AJ17" s="290">
        <f>'[1]January - 2021'!AR17</f>
        <v>13699771.68</v>
      </c>
      <c r="AK17" s="291">
        <f>'[1]January - 2021'!AS17</f>
        <v>5261.7600000016391</v>
      </c>
      <c r="AL17" s="92">
        <f>'[1]January - 2021'!AS17</f>
        <v>5261.7600000016391</v>
      </c>
      <c r="AM17" s="290">
        <f>'[1]January - 2021'!AU17</f>
        <v>11720472.959999999</v>
      </c>
      <c r="AN17" s="291">
        <f>'[1]January - 2021'!AV17</f>
        <v>3800.160000000149</v>
      </c>
      <c r="AO17" s="92">
        <f>'[1]January - 2021'!AV17</f>
        <v>3800.160000000149</v>
      </c>
      <c r="AP17" s="290">
        <f>'[1]January - 2021'!AX17</f>
        <v>11318581.68</v>
      </c>
      <c r="AQ17" s="291">
        <f>'[1]January - 2021'!AY17</f>
        <v>4287.3600000012666</v>
      </c>
      <c r="AR17" s="92">
        <f>'[1]January - 2021'!AY17</f>
        <v>4287.3600000012666</v>
      </c>
      <c r="AS17" s="290">
        <f>'[1]January - 2021'!BA17</f>
        <v>9058558.3199999984</v>
      </c>
      <c r="AT17" s="291">
        <f>'[1]January - 2021'!BB17</f>
        <v>3361.6799999978393</v>
      </c>
      <c r="AU17" s="92">
        <f>'[1]January - 2021'!BB17</f>
        <v>3361.6799999978393</v>
      </c>
      <c r="AV17" s="290">
        <f>'[1]January - 2021'!BD17</f>
        <v>13694315.039999999</v>
      </c>
      <c r="AW17" s="252">
        <f>'[1]January - 2021'!BE17</f>
        <v>5602.7999999988824</v>
      </c>
      <c r="AX17" s="253">
        <f>'[1]January - 2021'!BE17</f>
        <v>5602.7999999988824</v>
      </c>
      <c r="AY17" s="486"/>
      <c r="AZ17" s="272">
        <f>'[1]January - 2021'!BK17</f>
        <v>57866800</v>
      </c>
      <c r="BA17" s="179">
        <f>'[1]January - 2021'!BL17</f>
        <v>30100</v>
      </c>
      <c r="BB17" s="93">
        <f>'[1]January - 2021'!BL17</f>
        <v>30100</v>
      </c>
      <c r="BC17" s="272">
        <f>'[1]January - 2021'!BN17</f>
        <v>61713100</v>
      </c>
      <c r="BD17" s="245">
        <f>'[1]January - 2021'!BO17</f>
        <v>0</v>
      </c>
      <c r="BE17" s="93">
        <f>'[1]January - 2021'!BO17</f>
        <v>0</v>
      </c>
      <c r="BF17" s="272">
        <f>'[1]January - 2021'!BQ17</f>
        <v>55644900</v>
      </c>
      <c r="BG17" s="245">
        <f>'[1]January - 2021'!BR17</f>
        <v>0</v>
      </c>
      <c r="BH17" s="93">
        <f>'[1]January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- 2021'!BT17</f>
        <v>5662040</v>
      </c>
      <c r="BT17" s="185">
        <f>'[1]January - 2021'!BU17</f>
        <v>6170</v>
      </c>
      <c r="BU17" s="393"/>
      <c r="BV17" s="88">
        <f>'[1]January - 2021'!BW17</f>
        <v>0.63</v>
      </c>
      <c r="BW17" s="241">
        <f>'[1]January - 2021'!BX17</f>
        <v>6.9999999999999951E-2</v>
      </c>
      <c r="BX17" s="88">
        <f>'[1]January - 2021'!BX17</f>
        <v>6.9999999999999951E-2</v>
      </c>
      <c r="BY17" s="89">
        <f>'[1]January - 2021'!BZ17</f>
        <v>51212</v>
      </c>
      <c r="BZ17" s="191">
        <f>'[1]January - 2021'!CA17</f>
        <v>18</v>
      </c>
      <c r="CA17" s="89">
        <f>'[1]January - 2021'!CB17</f>
        <v>43122</v>
      </c>
      <c r="CB17" s="191">
        <f>'[1]January - 2021'!CC17</f>
        <v>14</v>
      </c>
      <c r="CC17" s="89">
        <f>'[1]January - 2021'!CD17</f>
        <v>14800</v>
      </c>
      <c r="CD17" s="191">
        <f>'[1]January - 2021'!CE17</f>
        <v>6</v>
      </c>
      <c r="CE17" s="89">
        <f>'[1]January - 2021'!CF17</f>
        <v>18778</v>
      </c>
      <c r="CF17" s="191">
        <f>'[1]January - 2021'!CG17</f>
        <v>8</v>
      </c>
      <c r="CG17" s="89">
        <f>'[1]January - 2021'!CH17</f>
        <v>20300</v>
      </c>
      <c r="CH17" s="191">
        <f>'[1]January - 2021'!CI17</f>
        <v>15</v>
      </c>
      <c r="CI17" s="89">
        <f>'[1]January - 2021'!CJ17</f>
        <v>46146</v>
      </c>
      <c r="CJ17" s="191">
        <f>'[1]January - 2021'!CK17</f>
        <v>25</v>
      </c>
      <c r="CK17" s="89">
        <f>'[1]January - 2021'!CL17</f>
        <v>202439</v>
      </c>
      <c r="CL17" s="246">
        <f>'[1]January - 2021'!CM17</f>
        <v>88</v>
      </c>
      <c r="CM17" s="89">
        <f>'[1]January - 2021'!CM17</f>
        <v>88</v>
      </c>
      <c r="CN17" s="89">
        <f>'[1]January - 2021'!CO17</f>
        <v>150678</v>
      </c>
      <c r="CO17" s="246">
        <f>'[1]January - 2021'!CP17</f>
        <v>105</v>
      </c>
      <c r="CP17" s="89">
        <f>'[1]January - 2021'!CP17</f>
        <v>105</v>
      </c>
      <c r="CQ17" s="89">
        <f>'[1]January - 2021'!CR17</f>
        <v>279971</v>
      </c>
      <c r="CR17" s="246">
        <f>'[1]January - 2021'!CS17</f>
        <v>413</v>
      </c>
      <c r="CS17" s="89">
        <f>'[1]January - 2021'!CS17</f>
        <v>413</v>
      </c>
      <c r="CT17" s="89">
        <f>'[1]January - 2021'!CU17</f>
        <v>538168</v>
      </c>
      <c r="CU17" s="191">
        <f>'[1]January - 2021'!CV17</f>
        <v>259</v>
      </c>
      <c r="CV17" s="453"/>
      <c r="CW17" s="256">
        <f>'[1]January - 2021'!CX17</f>
        <v>4224</v>
      </c>
      <c r="CX17" s="198">
        <f>'[1]January - 2021'!CY17</f>
        <v>0</v>
      </c>
      <c r="CY17" s="257">
        <f>'[1]January - 2021'!CZ17</f>
        <v>2036</v>
      </c>
      <c r="CZ17" s="198">
        <f>'[1]January - 2021'!DA17</f>
        <v>0</v>
      </c>
      <c r="DA17" s="257">
        <f>'[1]January - 2021'!DB17</f>
        <v>22419.200000000001</v>
      </c>
      <c r="DB17" s="198">
        <f>'[1]January - 2021'!DC17</f>
        <v>18.100000000002183</v>
      </c>
      <c r="DC17" s="257">
        <f>'[1]January - 2021'!DD17</f>
        <v>23327.4</v>
      </c>
      <c r="DD17" s="198">
        <f>'[1]January - 2021'!DE17</f>
        <v>19.400000000001455</v>
      </c>
      <c r="DE17" s="257">
        <f>'[1]January - 2021'!DF17</f>
        <v>16042.4</v>
      </c>
      <c r="DF17" s="198">
        <f>'[1]January - 2021'!DG17</f>
        <v>14.399999999999636</v>
      </c>
      <c r="DG17" s="257">
        <f>'[1]January - 2021'!DH17</f>
        <v>19151.900000000001</v>
      </c>
      <c r="DH17" s="198">
        <f>'[1]January - 2021'!DI17</f>
        <v>8.7000000000007276</v>
      </c>
      <c r="DI17" s="257">
        <f>'[1]January - 2021'!DJ17</f>
        <v>825</v>
      </c>
      <c r="DJ17" s="198">
        <f>'[1]January - 2021'!DK17</f>
        <v>0</v>
      </c>
      <c r="DK17" s="257">
        <f>'[1]January - 2021'!DL17</f>
        <v>3616</v>
      </c>
      <c r="DL17" s="198">
        <f>'[1]January - 2021'!DM17</f>
        <v>0</v>
      </c>
      <c r="DM17" s="257">
        <f>'[1]January - 2021'!DN17</f>
        <v>242</v>
      </c>
      <c r="DN17" s="198">
        <f>'[1]January - 2021'!DO17</f>
        <v>0</v>
      </c>
      <c r="DO17" s="257">
        <f>'[1]January - 2021'!DP17</f>
        <v>1874</v>
      </c>
      <c r="DP17" s="198">
        <f>'[1]January - 2021'!DQ17</f>
        <v>4</v>
      </c>
      <c r="DQ17" s="257">
        <f>'[1]January - 2021'!DR17</f>
        <v>22862</v>
      </c>
      <c r="DR17" s="206">
        <f>'[1]January - 2021'!DS17</f>
        <v>6</v>
      </c>
      <c r="DS17" s="438"/>
      <c r="DT17" s="210">
        <f>'[1]January - 2021'!DU17</f>
        <v>126.2</v>
      </c>
      <c r="DU17" s="221">
        <f>'[1]January - 2021'!DV17</f>
        <v>8.7999999999999972</v>
      </c>
      <c r="DV17" s="91">
        <f>'[1]January - 2021'!DW17</f>
        <v>5926.1</v>
      </c>
      <c r="DW17" s="215">
        <f>'[1]January - 2021'!DX17</f>
        <v>5.1000000000003638</v>
      </c>
      <c r="DX17" s="91">
        <f>'[1]January - 2021'!DY17</f>
        <v>100.4</v>
      </c>
      <c r="DY17" s="215">
        <f>'[1]January - 2021'!DZ17</f>
        <v>7.2000000000000028</v>
      </c>
      <c r="DZ17" s="91">
        <f>'[1]January - 2021'!EA17</f>
        <v>254034</v>
      </c>
      <c r="EA17" s="215">
        <f>'[1]January - 2021'!EB17</f>
        <v>0</v>
      </c>
      <c r="EB17" s="91">
        <f>'[1]January - 2021'!EC17</f>
        <v>639669</v>
      </c>
      <c r="EC17" s="215">
        <f>'[1]January - 2021'!ED17</f>
        <v>500</v>
      </c>
      <c r="ED17" s="91">
        <f>'[1]January - 2021'!EG17</f>
        <v>125088</v>
      </c>
      <c r="EE17" s="229">
        <f>'[1]January - 2021'!EH17</f>
        <v>148</v>
      </c>
      <c r="EF17" s="377"/>
      <c r="EG17" s="235">
        <f>'[1]January - 2021'!EJ17</f>
        <v>8654100</v>
      </c>
      <c r="EH17" s="230">
        <f>'[1]January - 2021'!EK17</f>
        <v>1200</v>
      </c>
      <c r="EI17" s="90">
        <f>'[1]January - 2021'!EL17</f>
        <v>708070</v>
      </c>
      <c r="EJ17" s="230">
        <f>'[1]January - 2021'!EM17</f>
        <v>230</v>
      </c>
      <c r="EK17" s="90">
        <f>'[1]January - 2021'!EN17</f>
        <v>5554500</v>
      </c>
      <c r="EL17" s="230">
        <f>'[1]January - 2021'!EO17</f>
        <v>800</v>
      </c>
      <c r="EM17" s="90">
        <f>'[1]January - 2021'!EP17</f>
        <v>1994500</v>
      </c>
      <c r="EN17" s="230">
        <f>'[1]January - 2021'!EQ17</f>
        <v>0</v>
      </c>
      <c r="EO17" s="90">
        <f>'[1]January - 2021'!ER17</f>
        <v>731340</v>
      </c>
      <c r="EP17" s="230">
        <f>'[1]January - 2021'!ES17</f>
        <v>130</v>
      </c>
      <c r="EQ17" s="90">
        <f>'[1]January - 2021'!ET17</f>
        <v>12280800</v>
      </c>
      <c r="ER17" s="230">
        <f>'[1]January - 2021'!EU17</f>
        <v>0</v>
      </c>
      <c r="ES17" s="425"/>
      <c r="ET17" s="284">
        <f>'[1]January - 2021'!EW17</f>
        <v>32703</v>
      </c>
      <c r="EU17" s="278">
        <f>'[1]January - 2021'!EX17</f>
        <v>12</v>
      </c>
      <c r="EV17" s="285">
        <f>'[1]January - 2021'!EY17</f>
        <v>28056</v>
      </c>
      <c r="EW17" s="278">
        <f>'[1]January - 2021'!EZ17</f>
        <v>23</v>
      </c>
      <c r="EX17" s="285">
        <f>'[1]January - 2021'!FA17</f>
        <v>0</v>
      </c>
      <c r="EY17" s="278">
        <f>'[1]January - 2021'!FB17</f>
        <v>0</v>
      </c>
      <c r="EZ17" s="285">
        <f>'[1]January - 2021'!FC17</f>
        <v>48830</v>
      </c>
      <c r="FA17" s="278">
        <f>'[1]January - 2021'!FD17</f>
        <v>66</v>
      </c>
      <c r="FB17" s="285">
        <f>'[1]January - 2021'!FE17</f>
        <v>27809</v>
      </c>
      <c r="FC17" s="279">
        <f>'[1]January - 2021'!FF17</f>
        <v>30</v>
      </c>
    </row>
    <row r="18" spans="1:159" ht="30" customHeight="1" x14ac:dyDescent="0.25">
      <c r="A18" s="207">
        <v>43839</v>
      </c>
      <c r="B18" s="209">
        <f>'[1]January - 2021'!B18</f>
        <v>0.92</v>
      </c>
      <c r="C18" s="250">
        <f>'[1]January - 2021'!E18</f>
        <v>704624</v>
      </c>
      <c r="D18" s="170">
        <f>'[1]January - 2021'!F18</f>
        <v>496</v>
      </c>
      <c r="E18" s="168">
        <f>'[1]January - 2021'!G18</f>
        <v>527</v>
      </c>
      <c r="F18" s="168">
        <f>'[1]January - 2021'!H18</f>
        <v>806718</v>
      </c>
      <c r="G18" s="170">
        <f>'[1]January - 2021'!I18</f>
        <v>431</v>
      </c>
      <c r="H18" s="168">
        <f>'[1]January - 2021'!J18</f>
        <v>452</v>
      </c>
      <c r="I18" s="168">
        <f>'[1]January - 2021'!K18</f>
        <v>106333</v>
      </c>
      <c r="J18" s="170">
        <f>'[1]January - 2021'!L18</f>
        <v>122</v>
      </c>
      <c r="K18" s="168">
        <f>'[1]January - 2021'!N18</f>
        <v>716471</v>
      </c>
      <c r="L18" s="170">
        <f>'[1]January - 2021'!O18</f>
        <v>165</v>
      </c>
      <c r="M18" s="168">
        <f>'[1]January - 2021'!Q18</f>
        <v>163777</v>
      </c>
      <c r="N18" s="170">
        <f>'[1]January - 2021'!R18</f>
        <v>0</v>
      </c>
      <c r="O18" s="168">
        <f>'[1]January - 2021'!S18</f>
        <v>141570</v>
      </c>
      <c r="P18" s="170">
        <f>'[1]January - 2021'!T18</f>
        <v>30</v>
      </c>
      <c r="Q18" s="168">
        <f>'[1]January - 2021'!U18</f>
        <v>80</v>
      </c>
      <c r="R18" s="168">
        <f>'[1]January - 2021'!V18</f>
        <v>15009</v>
      </c>
      <c r="S18" s="208">
        <f>'[1]January - 2021'!W18</f>
        <v>6</v>
      </c>
      <c r="T18" s="520"/>
      <c r="U18" s="269">
        <f>'[1]January - 2021'!AC18</f>
        <v>6265733.04</v>
      </c>
      <c r="V18" s="291">
        <f>'[1]January - 2021'!AD18</f>
        <v>1997.519999999553</v>
      </c>
      <c r="W18" s="92">
        <f>'[1]January - 2021'!AD18</f>
        <v>1997.519999999553</v>
      </c>
      <c r="X18" s="290">
        <f>'[1]January - 2021'!AF18</f>
        <v>12226527.6</v>
      </c>
      <c r="Y18" s="291">
        <f>'[1]January - 2021'!AG18</f>
        <v>4579.679999999702</v>
      </c>
      <c r="Z18" s="92">
        <f>'[1]January - 2021'!AG18</f>
        <v>4579.679999999702</v>
      </c>
      <c r="AA18" s="290">
        <f>'[1]January - 2021'!AI18</f>
        <v>11575238.640000001</v>
      </c>
      <c r="AB18" s="291">
        <f>'[1]January - 2021'!AJ18</f>
        <v>1120.5600000005215</v>
      </c>
      <c r="AC18" s="92">
        <f>'[1]January - 2021'!AJ18</f>
        <v>1120.5600000005215</v>
      </c>
      <c r="AD18" s="290">
        <f>'[1]January - 2021'!AL18</f>
        <v>14846153.280000001</v>
      </c>
      <c r="AE18" s="291">
        <f>'[1]January - 2021'!AM18</f>
        <v>5895.1200000010431</v>
      </c>
      <c r="AF18" s="92">
        <f>'[1]January - 2021'!AM18</f>
        <v>5895.1200000010431</v>
      </c>
      <c r="AG18" s="290">
        <f>'[1]January - 2021'!AO18</f>
        <v>15017793.84</v>
      </c>
      <c r="AH18" s="291">
        <f>'[1]January - 2021'!AP18</f>
        <v>48.720000000670552</v>
      </c>
      <c r="AI18" s="92">
        <f>'[1]January - 2021'!AP18</f>
        <v>48.720000000670552</v>
      </c>
      <c r="AJ18" s="290">
        <f>'[1]January - 2021'!AR18</f>
        <v>13704789.84</v>
      </c>
      <c r="AK18" s="291">
        <f>'[1]January - 2021'!AS18</f>
        <v>5018.160000000149</v>
      </c>
      <c r="AL18" s="92">
        <f>'[1]January - 2021'!AS18</f>
        <v>5018.160000000149</v>
      </c>
      <c r="AM18" s="290">
        <f>'[1]January - 2021'!AU18</f>
        <v>11724224.4</v>
      </c>
      <c r="AN18" s="291">
        <f>'[1]January - 2021'!AV18</f>
        <v>3751.4400000013411</v>
      </c>
      <c r="AO18" s="92">
        <f>'[1]January - 2021'!AV18</f>
        <v>3751.4400000013411</v>
      </c>
      <c r="AP18" s="290">
        <f>'[1]January - 2021'!AX18</f>
        <v>11322625.439999999</v>
      </c>
      <c r="AQ18" s="291">
        <f>'[1]January - 2021'!AY18</f>
        <v>4043.7599999997765</v>
      </c>
      <c r="AR18" s="92">
        <f>'[1]January - 2021'!AY18</f>
        <v>4043.7599999997765</v>
      </c>
      <c r="AS18" s="290">
        <f>'[1]January - 2021'!BA18</f>
        <v>9061676.4000000004</v>
      </c>
      <c r="AT18" s="291">
        <f>'[1]January - 2021'!BB18</f>
        <v>3118.0800000019372</v>
      </c>
      <c r="AU18" s="92">
        <f>'[1]January - 2021'!BB18</f>
        <v>3118.0800000019372</v>
      </c>
      <c r="AV18" s="290">
        <f>'[1]January - 2021'!BD18</f>
        <v>13699771.68</v>
      </c>
      <c r="AW18" s="252">
        <f>'[1]January - 2021'!BE18</f>
        <v>5456.640000000596</v>
      </c>
      <c r="AX18" s="253">
        <f>'[1]January - 2021'!BE18</f>
        <v>5456.640000000596</v>
      </c>
      <c r="AY18" s="486"/>
      <c r="AZ18" s="272">
        <f>'[1]January - 2021'!BK18</f>
        <v>57868700</v>
      </c>
      <c r="BA18" s="179">
        <f>'[1]January - 2021'!BL18</f>
        <v>1900</v>
      </c>
      <c r="BB18" s="93">
        <f>'[1]January - 2021'!BL18</f>
        <v>1900</v>
      </c>
      <c r="BC18" s="272">
        <f>'[1]January - 2021'!BN18</f>
        <v>61739100</v>
      </c>
      <c r="BD18" s="245">
        <f>'[1]January - 2021'!BO18</f>
        <v>26000</v>
      </c>
      <c r="BE18" s="93">
        <f>'[1]January - 2021'!BO18</f>
        <v>26000</v>
      </c>
      <c r="BF18" s="272">
        <f>'[1]January - 2021'!BQ18</f>
        <v>55644900</v>
      </c>
      <c r="BG18" s="245">
        <f>'[1]January - 2021'!BR18</f>
        <v>0</v>
      </c>
      <c r="BH18" s="93">
        <f>'[1]January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- 2021'!BT18</f>
        <v>5667240</v>
      </c>
      <c r="BT18" s="185">
        <f>'[1]January - 2021'!BU18</f>
        <v>5200</v>
      </c>
      <c r="BU18" s="393"/>
      <c r="BV18" s="88">
        <f>'[1]January - 2021'!BW18</f>
        <v>0.69</v>
      </c>
      <c r="BW18" s="241">
        <f>'[1]January - 2021'!BX18</f>
        <v>-5.9999999999999942E-2</v>
      </c>
      <c r="BX18" s="88">
        <f>'[1]January - 2021'!BX18</f>
        <v>-5.9999999999999942E-2</v>
      </c>
      <c r="BY18" s="89">
        <f>'[1]January - 2021'!BZ18</f>
        <v>51228</v>
      </c>
      <c r="BZ18" s="191">
        <f>'[1]January - 2021'!CA18</f>
        <v>16</v>
      </c>
      <c r="CA18" s="89">
        <f>'[1]January - 2021'!CB18</f>
        <v>43137</v>
      </c>
      <c r="CB18" s="191">
        <f>'[1]January - 2021'!CC18</f>
        <v>15</v>
      </c>
      <c r="CC18" s="89">
        <f>'[1]January - 2021'!CD18</f>
        <v>14807</v>
      </c>
      <c r="CD18" s="191">
        <f>'[1]January - 2021'!CE18</f>
        <v>7</v>
      </c>
      <c r="CE18" s="89">
        <f>'[1]January - 2021'!CF18</f>
        <v>18786</v>
      </c>
      <c r="CF18" s="191">
        <f>'[1]January - 2021'!CG18</f>
        <v>8</v>
      </c>
      <c r="CG18" s="89">
        <f>'[1]January - 2021'!CH18</f>
        <v>20316</v>
      </c>
      <c r="CH18" s="191">
        <f>'[1]January - 2021'!CI18</f>
        <v>16</v>
      </c>
      <c r="CI18" s="89">
        <f>'[1]January - 2021'!CJ18</f>
        <v>46160</v>
      </c>
      <c r="CJ18" s="191">
        <f>'[1]January - 2021'!CK18</f>
        <v>14</v>
      </c>
      <c r="CK18" s="89">
        <f>'[1]January - 2021'!CL18</f>
        <v>202525</v>
      </c>
      <c r="CL18" s="246">
        <f>'[1]January - 2021'!CM18</f>
        <v>86</v>
      </c>
      <c r="CM18" s="89">
        <f>'[1]January - 2021'!CM18</f>
        <v>86</v>
      </c>
      <c r="CN18" s="89">
        <f>'[1]January - 2021'!CO18</f>
        <v>150777</v>
      </c>
      <c r="CO18" s="246">
        <f>'[1]January - 2021'!CP18</f>
        <v>99</v>
      </c>
      <c r="CP18" s="89">
        <f>'[1]January - 2021'!CP18</f>
        <v>99</v>
      </c>
      <c r="CQ18" s="89">
        <f>'[1]January - 2021'!CR18</f>
        <v>280387</v>
      </c>
      <c r="CR18" s="246">
        <f>'[1]January - 2021'!CS18</f>
        <v>416</v>
      </c>
      <c r="CS18" s="89">
        <f>'[1]January - 2021'!CS18</f>
        <v>416</v>
      </c>
      <c r="CT18" s="89">
        <f>'[1]January - 2021'!CU18</f>
        <v>538421</v>
      </c>
      <c r="CU18" s="191">
        <f>'[1]January - 2021'!CV18</f>
        <v>253</v>
      </c>
      <c r="CV18" s="453"/>
      <c r="CW18" s="256">
        <f>'[1]January - 2021'!CX18</f>
        <v>4224</v>
      </c>
      <c r="CX18" s="198">
        <f>'[1]January - 2021'!CY18</f>
        <v>0</v>
      </c>
      <c r="CY18" s="257">
        <f>'[1]January - 2021'!CZ18</f>
        <v>2036</v>
      </c>
      <c r="CZ18" s="198">
        <f>'[1]January - 2021'!DA18</f>
        <v>0</v>
      </c>
      <c r="DA18" s="257">
        <f>'[1]January - 2021'!DB18</f>
        <v>22434.2</v>
      </c>
      <c r="DB18" s="198">
        <f>'[1]January - 2021'!DC18</f>
        <v>15</v>
      </c>
      <c r="DC18" s="257">
        <f>'[1]January - 2021'!DD18</f>
        <v>23338.799999999999</v>
      </c>
      <c r="DD18" s="198">
        <f>'[1]January - 2021'!DE18</f>
        <v>11.399999999997817</v>
      </c>
      <c r="DE18" s="257">
        <f>'[1]January - 2021'!DF18</f>
        <v>16056.4</v>
      </c>
      <c r="DF18" s="198">
        <f>'[1]January - 2021'!DG18</f>
        <v>14</v>
      </c>
      <c r="DG18" s="257">
        <f>'[1]January - 2021'!DH18</f>
        <v>19160.3</v>
      </c>
      <c r="DH18" s="198">
        <f>'[1]January - 2021'!DI18</f>
        <v>8.3999999999978172</v>
      </c>
      <c r="DI18" s="257">
        <f>'[1]January - 2021'!DJ18</f>
        <v>825</v>
      </c>
      <c r="DJ18" s="198">
        <f>'[1]January - 2021'!DK18</f>
        <v>0</v>
      </c>
      <c r="DK18" s="257">
        <f>'[1]January - 2021'!DL18</f>
        <v>3616</v>
      </c>
      <c r="DL18" s="198">
        <f>'[1]January - 2021'!DM18</f>
        <v>0</v>
      </c>
      <c r="DM18" s="257">
        <f>'[1]January - 2021'!DN18</f>
        <v>258</v>
      </c>
      <c r="DN18" s="198">
        <f>'[1]January - 2021'!DO18</f>
        <v>16</v>
      </c>
      <c r="DO18" s="257">
        <f>'[1]January - 2021'!DP18</f>
        <v>1877</v>
      </c>
      <c r="DP18" s="198">
        <f>'[1]January - 2021'!DQ18</f>
        <v>3</v>
      </c>
      <c r="DQ18" s="257">
        <f>'[1]January - 2021'!DR18</f>
        <v>22873</v>
      </c>
      <c r="DR18" s="206">
        <f>'[1]January - 2021'!DS18</f>
        <v>11</v>
      </c>
      <c r="DS18" s="438"/>
      <c r="DT18" s="210">
        <f>'[1]January - 2021'!DU18</f>
        <v>134.80000000000001</v>
      </c>
      <c r="DU18" s="221">
        <f>'[1]January - 2021'!DV18</f>
        <v>8.6000000000000085</v>
      </c>
      <c r="DV18" s="91">
        <f>'[1]January - 2021'!DW18</f>
        <v>5931.1</v>
      </c>
      <c r="DW18" s="215">
        <f>'[1]January - 2021'!DX18</f>
        <v>5</v>
      </c>
      <c r="DX18" s="91">
        <f>'[1]January - 2021'!DY18</f>
        <v>107.7</v>
      </c>
      <c r="DY18" s="215">
        <f>'[1]January - 2021'!DZ18</f>
        <v>7.2999999999999972</v>
      </c>
      <c r="DZ18" s="91">
        <f>'[1]January - 2021'!EA18</f>
        <v>254034</v>
      </c>
      <c r="EA18" s="215">
        <f>'[1]January - 2021'!EB18</f>
        <v>0</v>
      </c>
      <c r="EB18" s="91">
        <f>'[1]January - 2021'!EC18</f>
        <v>640149</v>
      </c>
      <c r="EC18" s="215">
        <f>'[1]January - 2021'!ED18</f>
        <v>480</v>
      </c>
      <c r="ED18" s="91">
        <f>'[1]January - 2021'!EG18</f>
        <v>125239.1</v>
      </c>
      <c r="EE18" s="229">
        <f>'[1]January - 2021'!EH18</f>
        <v>151.10000000000582</v>
      </c>
      <c r="EF18" s="377"/>
      <c r="EG18" s="235">
        <f>'[1]January - 2021'!EJ18</f>
        <v>8654100</v>
      </c>
      <c r="EH18" s="230">
        <f>'[1]January - 2021'!EK18</f>
        <v>0</v>
      </c>
      <c r="EI18" s="90">
        <f>'[1]January - 2021'!EL18</f>
        <v>708070</v>
      </c>
      <c r="EJ18" s="230">
        <f>'[1]January - 2021'!EM18</f>
        <v>0</v>
      </c>
      <c r="EK18" s="90">
        <f>'[1]January - 2021'!EN18</f>
        <v>5554500</v>
      </c>
      <c r="EL18" s="230">
        <f>'[1]January - 2021'!EO18</f>
        <v>0</v>
      </c>
      <c r="EM18" s="90">
        <f>'[1]January - 2021'!EP18</f>
        <v>1994500</v>
      </c>
      <c r="EN18" s="230">
        <f>'[1]January - 2021'!EQ18</f>
        <v>0</v>
      </c>
      <c r="EO18" s="90">
        <f>'[1]January - 2021'!ER18</f>
        <v>731340</v>
      </c>
      <c r="EP18" s="230">
        <f>'[1]January - 2021'!ES18</f>
        <v>0</v>
      </c>
      <c r="EQ18" s="90">
        <f>'[1]January - 2021'!ET18</f>
        <v>12280800</v>
      </c>
      <c r="ER18" s="230">
        <f>'[1]January - 2021'!EU18</f>
        <v>0</v>
      </c>
      <c r="ES18" s="425"/>
      <c r="ET18" s="284">
        <f>'[1]January - 2021'!EW18</f>
        <v>32714</v>
      </c>
      <c r="EU18" s="278">
        <f>'[1]January - 2021'!EX18</f>
        <v>11</v>
      </c>
      <c r="EV18" s="285">
        <f>'[1]January - 2021'!EY18</f>
        <v>28076</v>
      </c>
      <c r="EW18" s="278">
        <f>'[1]January - 2021'!EZ18</f>
        <v>20</v>
      </c>
      <c r="EX18" s="285">
        <f>'[1]January - 2021'!FA18</f>
        <v>0</v>
      </c>
      <c r="EY18" s="278">
        <f>'[1]January - 2021'!FB18</f>
        <v>0</v>
      </c>
      <c r="EZ18" s="285">
        <f>'[1]January - 2021'!FC18</f>
        <v>48830</v>
      </c>
      <c r="FA18" s="278">
        <f>'[1]January - 2021'!FD18</f>
        <v>0</v>
      </c>
      <c r="FB18" s="285">
        <f>'[1]January - 2021'!FE18</f>
        <v>27839</v>
      </c>
      <c r="FC18" s="279">
        <f>'[1]January - 2021'!FF18</f>
        <v>30</v>
      </c>
    </row>
    <row r="19" spans="1:159" ht="30" customHeight="1" x14ac:dyDescent="0.25">
      <c r="A19" s="207">
        <v>43840</v>
      </c>
      <c r="B19" s="209">
        <f>'[1]January - 2021'!B19</f>
        <v>0.93</v>
      </c>
      <c r="C19" s="250">
        <f>'[1]January - 2021'!E19</f>
        <v>705119</v>
      </c>
      <c r="D19" s="170">
        <f>'[1]January - 2021'!F19</f>
        <v>495</v>
      </c>
      <c r="E19" s="168">
        <f>'[1]January - 2021'!G19</f>
        <v>733</v>
      </c>
      <c r="F19" s="168">
        <f>'[1]January - 2021'!H19</f>
        <v>807141</v>
      </c>
      <c r="G19" s="170">
        <f>'[1]January - 2021'!I19</f>
        <v>423</v>
      </c>
      <c r="H19" s="168">
        <f>'[1]January - 2021'!J19</f>
        <v>581</v>
      </c>
      <c r="I19" s="168">
        <f>'[1]January - 2021'!K19</f>
        <v>106496</v>
      </c>
      <c r="J19" s="170">
        <f>'[1]January - 2021'!L19</f>
        <v>163</v>
      </c>
      <c r="K19" s="168">
        <f>'[1]January - 2021'!N19</f>
        <v>716642</v>
      </c>
      <c r="L19" s="170">
        <f>'[1]January - 2021'!O19</f>
        <v>171</v>
      </c>
      <c r="M19" s="168">
        <f>'[1]January - 2021'!Q19</f>
        <v>163777</v>
      </c>
      <c r="N19" s="170">
        <f>'[1]January - 2021'!R19</f>
        <v>0</v>
      </c>
      <c r="O19" s="168">
        <f>'[1]January - 2021'!S19</f>
        <v>141600</v>
      </c>
      <c r="P19" s="170">
        <f>'[1]January - 2021'!T19</f>
        <v>30</v>
      </c>
      <c r="Q19" s="168">
        <f>'[1]January - 2021'!U19</f>
        <v>70</v>
      </c>
      <c r="R19" s="168">
        <f>'[1]January - 2021'!V19</f>
        <v>15009</v>
      </c>
      <c r="S19" s="208">
        <f>'[1]January - 2021'!W19</f>
        <v>0</v>
      </c>
      <c r="T19" s="520"/>
      <c r="U19" s="169">
        <f>'[1]January - 2021'!AC19</f>
        <v>6267633.1200000001</v>
      </c>
      <c r="V19" s="291">
        <f>'[1]January - 2021'!AD19</f>
        <v>1900.0800000000745</v>
      </c>
      <c r="W19" s="92">
        <f>'[1]January - 2021'!AD19</f>
        <v>1900.0800000000745</v>
      </c>
      <c r="X19" s="290">
        <f>'[1]January - 2021'!AF19</f>
        <v>12231009.84</v>
      </c>
      <c r="Y19" s="291">
        <f>'[1]January - 2021'!AG19</f>
        <v>4482.2400000002235</v>
      </c>
      <c r="Z19" s="92">
        <f>'[1]January - 2021'!AG19</f>
        <v>4482.2400000002235</v>
      </c>
      <c r="AA19" s="290">
        <f>'[1]January - 2021'!AI19</f>
        <v>11576115.6</v>
      </c>
      <c r="AB19" s="291">
        <f>'[1]January - 2021'!AJ19</f>
        <v>876.95999999903142</v>
      </c>
      <c r="AC19" s="92">
        <f>'[1]January - 2021'!AJ19</f>
        <v>876.95999999903142</v>
      </c>
      <c r="AD19" s="290">
        <f>'[1]January - 2021'!AL19</f>
        <v>14852535.6</v>
      </c>
      <c r="AE19" s="291">
        <f>'[1]January - 2021'!AM19</f>
        <v>6382.3199999984354</v>
      </c>
      <c r="AF19" s="92">
        <f>'[1]January - 2021'!AM19</f>
        <v>6382.3199999984354</v>
      </c>
      <c r="AG19" s="290">
        <f>'[1]January - 2021'!AO19</f>
        <v>15017793.84</v>
      </c>
      <c r="AH19" s="291">
        <f>'[1]January - 2021'!AP19</f>
        <v>0</v>
      </c>
      <c r="AI19" s="92">
        <f>'[1]January - 2021'!AP19</f>
        <v>0</v>
      </c>
      <c r="AJ19" s="290">
        <f>'[1]January - 2021'!AR19</f>
        <v>13710392.640000001</v>
      </c>
      <c r="AK19" s="291">
        <f>'[1]January - 2021'!AS19</f>
        <v>5602.8000000007451</v>
      </c>
      <c r="AL19" s="92">
        <f>'[1]January - 2021'!AS19</f>
        <v>5602.8000000007451</v>
      </c>
      <c r="AM19" s="290">
        <f>'[1]January - 2021'!AU19</f>
        <v>11727975.84</v>
      </c>
      <c r="AN19" s="291">
        <f>'[1]January - 2021'!AV19</f>
        <v>3751.4399999994785</v>
      </c>
      <c r="AO19" s="92">
        <f>'[1]January - 2021'!AV19</f>
        <v>3751.4399999994785</v>
      </c>
      <c r="AP19" s="290">
        <f>'[1]January - 2021'!AX19</f>
        <v>11326571.76</v>
      </c>
      <c r="AQ19" s="291">
        <f>'[1]January - 2021'!AY19</f>
        <v>3946.320000000298</v>
      </c>
      <c r="AR19" s="92">
        <f>'[1]January - 2021'!AY19</f>
        <v>3946.320000000298</v>
      </c>
      <c r="AS19" s="290">
        <f>'[1]January - 2021'!BA19</f>
        <v>9064697.040000001</v>
      </c>
      <c r="AT19" s="291">
        <f>'[1]January - 2021'!BB19</f>
        <v>3020.640000000596</v>
      </c>
      <c r="AU19" s="92">
        <f>'[1]January - 2021'!BB19</f>
        <v>3020.640000000596</v>
      </c>
      <c r="AV19" s="290">
        <f>'[1]January - 2021'!BD19</f>
        <v>13705277.039999999</v>
      </c>
      <c r="AW19" s="252">
        <f>'[1]January - 2021'!BE19</f>
        <v>5505.359999999404</v>
      </c>
      <c r="AX19" s="253">
        <f>'[1]January - 2021'!BE19</f>
        <v>5505.359999999404</v>
      </c>
      <c r="AY19" s="486"/>
      <c r="AZ19" s="272">
        <f>'[1]January - 2021'!BK19</f>
        <v>57868700</v>
      </c>
      <c r="BA19" s="179">
        <f>'[1]January - 2021'!BL19</f>
        <v>0</v>
      </c>
      <c r="BB19" s="93">
        <f>'[1]January - 2021'!BL19</f>
        <v>0</v>
      </c>
      <c r="BC19" s="272">
        <f>'[1]January - 2021'!BN19</f>
        <v>61767100</v>
      </c>
      <c r="BD19" s="245">
        <f>'[1]January - 2021'!BO19</f>
        <v>28000</v>
      </c>
      <c r="BE19" s="93">
        <f>'[1]January - 2021'!BO19</f>
        <v>28000</v>
      </c>
      <c r="BF19" s="272">
        <f>'[1]January - 2021'!BQ19</f>
        <v>55644900</v>
      </c>
      <c r="BG19" s="245">
        <f>'[1]January - 2021'!BR19</f>
        <v>0</v>
      </c>
      <c r="BH19" s="93">
        <f>'[1]January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- 2021'!BT19</f>
        <v>5672170</v>
      </c>
      <c r="BT19" s="185">
        <f>'[1]January - 2021'!BU19</f>
        <v>4930</v>
      </c>
      <c r="BU19" s="393"/>
      <c r="BV19" s="88">
        <f>'[1]January - 2021'!BW19</f>
        <v>0.75</v>
      </c>
      <c r="BW19" s="241">
        <f>'[1]January - 2021'!BX19</f>
        <v>-6.0000000000000053E-2</v>
      </c>
      <c r="BX19" s="88">
        <f>'[1]January - 2021'!BX19</f>
        <v>-6.0000000000000053E-2</v>
      </c>
      <c r="BY19" s="89">
        <f>'[1]January - 2021'!BZ19</f>
        <v>51246</v>
      </c>
      <c r="BZ19" s="191">
        <f>'[1]January - 2021'!CA19</f>
        <v>18</v>
      </c>
      <c r="CA19" s="89">
        <f>'[1]January - 2021'!CB19</f>
        <v>43152</v>
      </c>
      <c r="CB19" s="191">
        <f>'[1]January - 2021'!CC19</f>
        <v>15</v>
      </c>
      <c r="CC19" s="89">
        <f>'[1]January - 2021'!CD19</f>
        <v>14813</v>
      </c>
      <c r="CD19" s="191">
        <f>'[1]January - 2021'!CE19</f>
        <v>6</v>
      </c>
      <c r="CE19" s="89">
        <f>'[1]January - 2021'!CF19</f>
        <v>18794</v>
      </c>
      <c r="CF19" s="191">
        <f>'[1]January - 2021'!CG19</f>
        <v>8</v>
      </c>
      <c r="CG19" s="89">
        <f>'[1]January - 2021'!CH19</f>
        <v>20330</v>
      </c>
      <c r="CH19" s="191">
        <f>'[1]January - 2021'!CI19</f>
        <v>14</v>
      </c>
      <c r="CI19" s="89">
        <f>'[1]January - 2021'!CJ19</f>
        <v>46179</v>
      </c>
      <c r="CJ19" s="191">
        <f>'[1]January - 2021'!CK19</f>
        <v>19</v>
      </c>
      <c r="CK19" s="89">
        <f>'[1]January - 2021'!CL19</f>
        <v>202613</v>
      </c>
      <c r="CL19" s="246">
        <f>'[1]January - 2021'!CM19</f>
        <v>88</v>
      </c>
      <c r="CM19" s="89">
        <f>'[1]January - 2021'!CM19</f>
        <v>88</v>
      </c>
      <c r="CN19" s="89">
        <f>'[1]January - 2021'!CO19</f>
        <v>150879</v>
      </c>
      <c r="CO19" s="246">
        <f>'[1]January - 2021'!CP19</f>
        <v>102</v>
      </c>
      <c r="CP19" s="89">
        <f>'[1]January - 2021'!CP19</f>
        <v>102</v>
      </c>
      <c r="CQ19" s="89">
        <f>'[1]January - 2021'!CR19</f>
        <v>280952</v>
      </c>
      <c r="CR19" s="246">
        <f>'[1]January - 2021'!CS19</f>
        <v>565</v>
      </c>
      <c r="CS19" s="89">
        <f>'[1]January - 2021'!CS19</f>
        <v>565</v>
      </c>
      <c r="CT19" s="89">
        <f>'[1]January - 2021'!CU19</f>
        <v>538678</v>
      </c>
      <c r="CU19" s="191">
        <f>'[1]January - 2021'!CV19</f>
        <v>257</v>
      </c>
      <c r="CV19" s="453"/>
      <c r="CW19" s="256">
        <f>'[1]January - 2021'!CX19</f>
        <v>4224</v>
      </c>
      <c r="CX19" s="198">
        <f>'[1]January - 2021'!CY19</f>
        <v>0</v>
      </c>
      <c r="CY19" s="257">
        <f>'[1]January - 2021'!CZ19</f>
        <v>2036</v>
      </c>
      <c r="CZ19" s="198">
        <f>'[1]January - 2021'!DA19</f>
        <v>0</v>
      </c>
      <c r="DA19" s="257">
        <f>'[1]January - 2021'!DB19</f>
        <v>22447</v>
      </c>
      <c r="DB19" s="198">
        <f>'[1]January - 2021'!DC19</f>
        <v>12.799999999999272</v>
      </c>
      <c r="DC19" s="257">
        <f>'[1]January - 2021'!DD19</f>
        <v>23352</v>
      </c>
      <c r="DD19" s="198">
        <f>'[1]January - 2021'!DE19</f>
        <v>13.200000000000728</v>
      </c>
      <c r="DE19" s="257">
        <f>'[1]January - 2021'!DF19</f>
        <v>16069</v>
      </c>
      <c r="DF19" s="198">
        <f>'[1]January - 2021'!DG19</f>
        <v>12.600000000000364</v>
      </c>
      <c r="DG19" s="257">
        <f>'[1]January - 2021'!DH19</f>
        <v>19168</v>
      </c>
      <c r="DH19" s="198">
        <f>'[1]January - 2021'!DI19</f>
        <v>7.7000000000007276</v>
      </c>
      <c r="DI19" s="257">
        <f>'[1]January - 2021'!DJ19</f>
        <v>825</v>
      </c>
      <c r="DJ19" s="198">
        <f>'[1]January - 2021'!DK19</f>
        <v>0</v>
      </c>
      <c r="DK19" s="257">
        <f>'[1]January - 2021'!DL19</f>
        <v>3616</v>
      </c>
      <c r="DL19" s="198">
        <f>'[1]January - 2021'!DM19</f>
        <v>0</v>
      </c>
      <c r="DM19" s="257">
        <f>'[1]January - 2021'!DN19</f>
        <v>265</v>
      </c>
      <c r="DN19" s="198">
        <f>'[1]January - 2021'!DO19</f>
        <v>7</v>
      </c>
      <c r="DO19" s="257">
        <f>'[1]January - 2021'!DP19</f>
        <v>1879</v>
      </c>
      <c r="DP19" s="198">
        <f>'[1]January - 2021'!DQ19</f>
        <v>2</v>
      </c>
      <c r="DQ19" s="257">
        <f>'[1]January - 2021'!DR19</f>
        <v>22885</v>
      </c>
      <c r="DR19" s="206">
        <f>'[1]January - 2021'!DS19</f>
        <v>12</v>
      </c>
      <c r="DS19" s="438"/>
      <c r="DT19" s="210">
        <f>'[1]January - 2021'!DU19</f>
        <v>143.30000000000001</v>
      </c>
      <c r="DU19" s="221">
        <f>'[1]January - 2021'!DV19</f>
        <v>8.5</v>
      </c>
      <c r="DV19" s="91">
        <f>'[1]January - 2021'!DW19</f>
        <v>5935.8</v>
      </c>
      <c r="DW19" s="215">
        <f>'[1]January - 2021'!DX19</f>
        <v>4.6999999999998181</v>
      </c>
      <c r="DX19" s="91">
        <f>'[1]January - 2021'!DY19</f>
        <v>114.8</v>
      </c>
      <c r="DY19" s="215">
        <f>'[1]January - 2021'!DZ19</f>
        <v>7.0999999999999943</v>
      </c>
      <c r="DZ19" s="91">
        <f>'[1]January - 2021'!EA19</f>
        <v>254034</v>
      </c>
      <c r="EA19" s="215">
        <f>'[1]January - 2021'!EB19</f>
        <v>0</v>
      </c>
      <c r="EB19" s="91">
        <f>'[1]January - 2021'!EC19</f>
        <v>640589</v>
      </c>
      <c r="EC19" s="215">
        <f>'[1]January - 2021'!ED19</f>
        <v>440</v>
      </c>
      <c r="ED19" s="91">
        <f>'[1]January - 2021'!EG19</f>
        <v>125391</v>
      </c>
      <c r="EE19" s="229">
        <f>'[1]January - 2021'!EH19</f>
        <v>151.89999999999418</v>
      </c>
      <c r="EF19" s="377"/>
      <c r="EG19" s="235">
        <f>'[1]January - 2021'!EJ19</f>
        <v>8654100</v>
      </c>
      <c r="EH19" s="230">
        <f>'[1]January - 2021'!EK19</f>
        <v>0</v>
      </c>
      <c r="EI19" s="90">
        <f>'[1]January - 2021'!EL19</f>
        <v>708070</v>
      </c>
      <c r="EJ19" s="230">
        <f>'[1]January - 2021'!EM19</f>
        <v>0</v>
      </c>
      <c r="EK19" s="90">
        <f>'[1]January - 2021'!EN19</f>
        <v>5554500</v>
      </c>
      <c r="EL19" s="230">
        <f>'[1]January - 2021'!EO19</f>
        <v>0</v>
      </c>
      <c r="EM19" s="90">
        <f>'[1]January - 2021'!EP19</f>
        <v>1994500</v>
      </c>
      <c r="EN19" s="230">
        <f>'[1]January - 2021'!EQ19</f>
        <v>0</v>
      </c>
      <c r="EO19" s="90">
        <f>'[1]January - 2021'!ER19</f>
        <v>731340</v>
      </c>
      <c r="EP19" s="230">
        <f>'[1]January - 2021'!ES19</f>
        <v>0</v>
      </c>
      <c r="EQ19" s="90">
        <f>'[1]January - 2021'!ET19</f>
        <v>12280800</v>
      </c>
      <c r="ER19" s="230">
        <f>'[1]January - 2021'!EU19</f>
        <v>0</v>
      </c>
      <c r="ES19" s="425"/>
      <c r="ET19" s="284">
        <f>'[1]January - 2021'!EW19</f>
        <v>32728</v>
      </c>
      <c r="EU19" s="278">
        <f>'[1]January - 2021'!EX19</f>
        <v>14</v>
      </c>
      <c r="EV19" s="285">
        <f>'[1]January - 2021'!EY19</f>
        <v>28095</v>
      </c>
      <c r="EW19" s="278">
        <f>'[1]January - 2021'!EZ19</f>
        <v>19</v>
      </c>
      <c r="EX19" s="285">
        <f>'[1]January - 2021'!FA19</f>
        <v>0</v>
      </c>
      <c r="EY19" s="278">
        <f>'[1]January - 2021'!FB19</f>
        <v>0</v>
      </c>
      <c r="EZ19" s="285">
        <f>'[1]January - 2021'!FC19</f>
        <v>48862</v>
      </c>
      <c r="FA19" s="278">
        <f>'[1]January - 2021'!FD19</f>
        <v>32</v>
      </c>
      <c r="FB19" s="285">
        <f>'[1]January - 2021'!FE19</f>
        <v>27867</v>
      </c>
      <c r="FC19" s="279">
        <f>'[1]January - 2021'!FF19</f>
        <v>28</v>
      </c>
    </row>
    <row r="20" spans="1:159" ht="30" customHeight="1" x14ac:dyDescent="0.25">
      <c r="A20" s="207">
        <v>43841</v>
      </c>
      <c r="B20" s="209">
        <f>'[1]January - 2021'!B20</f>
        <v>0.84</v>
      </c>
      <c r="C20" s="250">
        <f>'[1]January - 2021'!E20</f>
        <v>705585</v>
      </c>
      <c r="D20" s="170">
        <f>'[1]January - 2021'!F20</f>
        <v>466</v>
      </c>
      <c r="E20" s="168">
        <f>'[1]January - 2021'!G20</f>
        <v>430</v>
      </c>
      <c r="F20" s="168">
        <f>'[1]January - 2021'!H20</f>
        <v>807553</v>
      </c>
      <c r="G20" s="170">
        <f>'[1]January - 2021'!I20</f>
        <v>412</v>
      </c>
      <c r="H20" s="168">
        <f>'[1]January - 2021'!J20</f>
        <v>351</v>
      </c>
      <c r="I20" s="168">
        <f>'[1]January - 2021'!K20</f>
        <v>106651</v>
      </c>
      <c r="J20" s="170">
        <f>'[1]January - 2021'!L20</f>
        <v>155</v>
      </c>
      <c r="K20" s="168">
        <f>'[1]January - 2021'!N20</f>
        <v>716819</v>
      </c>
      <c r="L20" s="170">
        <f>'[1]January - 2021'!O20</f>
        <v>177</v>
      </c>
      <c r="M20" s="168">
        <f>'[1]January - 2021'!Q20</f>
        <v>163777</v>
      </c>
      <c r="N20" s="170">
        <f>'[1]January - 2021'!R20</f>
        <v>0</v>
      </c>
      <c r="O20" s="168">
        <f>'[1]January - 2021'!S20</f>
        <v>141628</v>
      </c>
      <c r="P20" s="170">
        <f>'[1]January - 2021'!T20</f>
        <v>28</v>
      </c>
      <c r="Q20" s="168">
        <f>'[1]January - 2021'!U20</f>
        <v>62</v>
      </c>
      <c r="R20" s="168">
        <f>'[1]January - 2021'!V20</f>
        <v>15009</v>
      </c>
      <c r="S20" s="208">
        <f>'[1]January - 2021'!W20</f>
        <v>0</v>
      </c>
      <c r="T20" s="520"/>
      <c r="U20" s="169">
        <f>'[1]January - 2021'!AC20</f>
        <v>6269484.4799999995</v>
      </c>
      <c r="V20" s="291">
        <f>'[1]January - 2021'!AD20</f>
        <v>1851.359999999404</v>
      </c>
      <c r="W20" s="92">
        <f>'[1]January - 2021'!AD20</f>
        <v>1851.359999999404</v>
      </c>
      <c r="X20" s="290">
        <f>'[1]January - 2021'!AF20</f>
        <v>12235540.799999999</v>
      </c>
      <c r="Y20" s="291">
        <f>'[1]January - 2021'!AG20</f>
        <v>4530.9599999990314</v>
      </c>
      <c r="Z20" s="92">
        <f>'[1]January - 2021'!AG20</f>
        <v>4530.9599999990314</v>
      </c>
      <c r="AA20" s="290">
        <f>'[1]January - 2021'!AI20</f>
        <v>11576943.84</v>
      </c>
      <c r="AB20" s="291">
        <f>'[1]January - 2021'!AJ20</f>
        <v>828.24000000022352</v>
      </c>
      <c r="AC20" s="92">
        <f>'[1]January - 2021'!AJ20</f>
        <v>828.24000000022352</v>
      </c>
      <c r="AD20" s="290">
        <f>'[1]January - 2021'!AL20</f>
        <v>14858625.6</v>
      </c>
      <c r="AE20" s="291">
        <f>'[1]January - 2021'!AM20</f>
        <v>6090</v>
      </c>
      <c r="AF20" s="92">
        <f>'[1]January - 2021'!AM20</f>
        <v>6090</v>
      </c>
      <c r="AG20" s="290">
        <f>'[1]January - 2021'!AO20</f>
        <v>15017793.84</v>
      </c>
      <c r="AH20" s="291">
        <f>'[1]January - 2021'!AP20</f>
        <v>0</v>
      </c>
      <c r="AI20" s="92">
        <f>'[1]January - 2021'!AP20</f>
        <v>0</v>
      </c>
      <c r="AJ20" s="290">
        <f>'[1]January - 2021'!AR20</f>
        <v>13715849.280000001</v>
      </c>
      <c r="AK20" s="291">
        <f>'[1]January - 2021'!AS20</f>
        <v>5456.640000000596</v>
      </c>
      <c r="AL20" s="92">
        <f>'[1]January - 2021'!AS20</f>
        <v>5456.640000000596</v>
      </c>
      <c r="AM20" s="290">
        <f>'[1]January - 2021'!AU20</f>
        <v>11731873.439999999</v>
      </c>
      <c r="AN20" s="291">
        <f>'[1]January - 2021'!AV20</f>
        <v>3897.5999999996275</v>
      </c>
      <c r="AO20" s="92">
        <f>'[1]January - 2021'!AV20</f>
        <v>3897.5999999996275</v>
      </c>
      <c r="AP20" s="290">
        <f>'[1]January - 2021'!AX20</f>
        <v>11330371.92</v>
      </c>
      <c r="AQ20" s="291">
        <f>'[1]January - 2021'!AY20</f>
        <v>3800.160000000149</v>
      </c>
      <c r="AR20" s="92">
        <f>'[1]January - 2021'!AY20</f>
        <v>3800.160000000149</v>
      </c>
      <c r="AS20" s="290">
        <f>'[1]January - 2021'!BA20</f>
        <v>9068010</v>
      </c>
      <c r="AT20" s="292">
        <f>'[1]January - 2021'!BB20</f>
        <v>3312.9599999990314</v>
      </c>
      <c r="AU20" s="92">
        <f>'[1]January - 2021'!BB20</f>
        <v>3312.9599999990314</v>
      </c>
      <c r="AV20" s="290">
        <f>'[1]January - 2021'!BD20</f>
        <v>13710831.119999999</v>
      </c>
      <c r="AW20" s="252">
        <f>'[1]January - 2021'!BE20</f>
        <v>5554.0800000000745</v>
      </c>
      <c r="AX20" s="253">
        <f>'[1]January - 2021'!BE20</f>
        <v>5554.0800000000745</v>
      </c>
      <c r="AY20" s="486"/>
      <c r="AZ20" s="272">
        <f>'[1]January - 2021'!BK20</f>
        <v>57868700</v>
      </c>
      <c r="BA20" s="179">
        <f>'[1]January - 2021'!BL20</f>
        <v>0</v>
      </c>
      <c r="BB20" s="93">
        <f>'[1]January - 2021'!BL20</f>
        <v>0</v>
      </c>
      <c r="BC20" s="272">
        <f>'[1]January - 2021'!BN20</f>
        <v>61793900</v>
      </c>
      <c r="BD20" s="245">
        <f>'[1]January - 2021'!BO20</f>
        <v>26800</v>
      </c>
      <c r="BE20" s="93">
        <f>'[1]January - 2021'!BO20</f>
        <v>26800</v>
      </c>
      <c r="BF20" s="272">
        <f>'[1]January - 2021'!BQ20</f>
        <v>55644900</v>
      </c>
      <c r="BG20" s="245">
        <f>'[1]January - 2021'!BR20</f>
        <v>0</v>
      </c>
      <c r="BH20" s="93">
        <f>'[1]January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- 2021'!BT20</f>
        <v>5676010</v>
      </c>
      <c r="BT20" s="185">
        <f>'[1]January - 2021'!BU20</f>
        <v>3840</v>
      </c>
      <c r="BU20" s="393"/>
      <c r="BV20" s="88">
        <f>'[1]January - 2021'!BW20</f>
        <v>0.65</v>
      </c>
      <c r="BW20" s="241">
        <f>'[1]January - 2021'!BX20</f>
        <v>9.9999999999999978E-2</v>
      </c>
      <c r="BX20" s="88">
        <f>'[1]January - 2021'!BX20</f>
        <v>9.9999999999999978E-2</v>
      </c>
      <c r="BY20" s="89">
        <f>'[1]January - 2021'!BZ20</f>
        <v>51262</v>
      </c>
      <c r="BZ20" s="191">
        <f>'[1]January - 2021'!CA20</f>
        <v>16</v>
      </c>
      <c r="CA20" s="89">
        <f>'[1]January - 2021'!CB20</f>
        <v>43156</v>
      </c>
      <c r="CB20" s="191">
        <f>'[1]January - 2021'!CC20</f>
        <v>4</v>
      </c>
      <c r="CC20" s="89">
        <f>'[1]January - 2021'!CD20</f>
        <v>14820</v>
      </c>
      <c r="CD20" s="191">
        <f>'[1]January - 2021'!CE20</f>
        <v>7</v>
      </c>
      <c r="CE20" s="89">
        <f>'[1]January - 2021'!CF20</f>
        <v>18802</v>
      </c>
      <c r="CF20" s="191">
        <f>'[1]January - 2021'!CG20</f>
        <v>8</v>
      </c>
      <c r="CG20" s="89">
        <f>'[1]January - 2021'!CH20</f>
        <v>20346</v>
      </c>
      <c r="CH20" s="191">
        <f>'[1]January - 2021'!CI20</f>
        <v>16</v>
      </c>
      <c r="CI20" s="89">
        <f>'[1]January - 2021'!CJ20</f>
        <v>46199</v>
      </c>
      <c r="CJ20" s="191">
        <f>'[1]January - 2021'!CK20</f>
        <v>20</v>
      </c>
      <c r="CK20" s="89">
        <f>'[1]January - 2021'!CL20</f>
        <v>202724</v>
      </c>
      <c r="CL20" s="246">
        <f>'[1]January - 2021'!CM20</f>
        <v>111</v>
      </c>
      <c r="CM20" s="89">
        <f>'[1]January - 2021'!CM20</f>
        <v>111</v>
      </c>
      <c r="CN20" s="89">
        <f>'[1]January - 2021'!CO20</f>
        <v>150978</v>
      </c>
      <c r="CO20" s="246">
        <f>'[1]January - 2021'!CP20</f>
        <v>99</v>
      </c>
      <c r="CP20" s="89">
        <f>'[1]January - 2021'!CP20</f>
        <v>99</v>
      </c>
      <c r="CQ20" s="89">
        <f>'[1]January - 2021'!CR20</f>
        <v>281521</v>
      </c>
      <c r="CR20" s="246">
        <f>'[1]January - 2021'!CS20</f>
        <v>569</v>
      </c>
      <c r="CS20" s="89">
        <f>'[1]January - 2021'!CS20</f>
        <v>569</v>
      </c>
      <c r="CT20" s="89">
        <f>'[1]January - 2021'!CU20</f>
        <v>538935</v>
      </c>
      <c r="CU20" s="191">
        <f>'[1]January - 2021'!CV20</f>
        <v>257</v>
      </c>
      <c r="CV20" s="453"/>
      <c r="CW20" s="256">
        <f>'[1]January - 2021'!CX20</f>
        <v>4296</v>
      </c>
      <c r="CX20" s="198">
        <f>'[1]January - 2021'!CY20</f>
        <v>72</v>
      </c>
      <c r="CY20" s="257">
        <f>'[1]January - 2021'!CZ20</f>
        <v>2054</v>
      </c>
      <c r="CZ20" s="198">
        <f>'[1]January - 2021'!DA20</f>
        <v>18</v>
      </c>
      <c r="DA20" s="257">
        <f>'[1]January - 2021'!DB20</f>
        <v>22460</v>
      </c>
      <c r="DB20" s="198">
        <f>'[1]January - 2021'!DC20</f>
        <v>13</v>
      </c>
      <c r="DC20" s="257">
        <f>'[1]January - 2021'!DD20</f>
        <v>23364</v>
      </c>
      <c r="DD20" s="198">
        <f>'[1]January - 2021'!DE20</f>
        <v>12</v>
      </c>
      <c r="DE20" s="257">
        <f>'[1]January - 2021'!DF20</f>
        <v>16081</v>
      </c>
      <c r="DF20" s="198">
        <f>'[1]January - 2021'!DG20</f>
        <v>12</v>
      </c>
      <c r="DG20" s="257">
        <f>'[1]January - 2021'!DH20</f>
        <v>19175</v>
      </c>
      <c r="DH20" s="198">
        <f>'[1]January - 2021'!DI20</f>
        <v>7</v>
      </c>
      <c r="DI20" s="257">
        <f>'[1]January - 2021'!DJ20</f>
        <v>825</v>
      </c>
      <c r="DJ20" s="198">
        <f>'[1]January - 2021'!DK20</f>
        <v>0</v>
      </c>
      <c r="DK20" s="257">
        <f>'[1]January - 2021'!DL20</f>
        <v>3616</v>
      </c>
      <c r="DL20" s="198">
        <f>'[1]January - 2021'!DM20</f>
        <v>0</v>
      </c>
      <c r="DM20" s="257">
        <f>'[1]January - 2021'!DN20</f>
        <v>273</v>
      </c>
      <c r="DN20" s="198">
        <f>'[1]January - 2021'!DO20</f>
        <v>8</v>
      </c>
      <c r="DO20" s="257">
        <f>'[1]January - 2021'!DP20</f>
        <v>1881</v>
      </c>
      <c r="DP20" s="198">
        <f>'[1]January - 2021'!DQ20</f>
        <v>2</v>
      </c>
      <c r="DQ20" s="257">
        <f>'[1]January - 2021'!DR20</f>
        <v>22898</v>
      </c>
      <c r="DR20" s="206">
        <f>'[1]January - 2021'!DS20</f>
        <v>13</v>
      </c>
      <c r="DS20" s="438"/>
      <c r="DT20" s="210">
        <f>'[1]January - 2021'!DU20</f>
        <v>151.4</v>
      </c>
      <c r="DU20" s="221">
        <f>'[1]January - 2021'!DV20</f>
        <v>8.0999999999999943</v>
      </c>
      <c r="DV20" s="91">
        <f>'[1]January - 2021'!DW20</f>
        <v>5940.3</v>
      </c>
      <c r="DW20" s="215">
        <f>'[1]January - 2021'!DX20</f>
        <v>4.5</v>
      </c>
      <c r="DX20" s="91">
        <f>'[1]January - 2021'!DY20</f>
        <v>121.7</v>
      </c>
      <c r="DY20" s="215">
        <f>'[1]January - 2021'!DZ20</f>
        <v>6.9000000000000057</v>
      </c>
      <c r="DZ20" s="91">
        <f>'[1]January - 2021'!EA20</f>
        <v>254042</v>
      </c>
      <c r="EA20" s="215">
        <f>'[1]January - 2021'!EB20</f>
        <v>8</v>
      </c>
      <c r="EB20" s="91">
        <f>'[1]January - 2021'!EC20</f>
        <v>641029</v>
      </c>
      <c r="EC20" s="215">
        <f>'[1]January - 2021'!ED20</f>
        <v>440</v>
      </c>
      <c r="ED20" s="91">
        <f>'[1]January - 2021'!EG20</f>
        <v>125537</v>
      </c>
      <c r="EE20" s="229">
        <f>'[1]January - 2021'!EH20</f>
        <v>146</v>
      </c>
      <c r="EF20" s="377"/>
      <c r="EG20" s="235">
        <f>'[1]January - 2021'!EJ20</f>
        <v>8657700</v>
      </c>
      <c r="EH20" s="230">
        <f>'[1]January - 2021'!EK20</f>
        <v>3600</v>
      </c>
      <c r="EI20" s="90">
        <f>'[1]January - 2021'!EL20</f>
        <v>708710</v>
      </c>
      <c r="EJ20" s="230">
        <f>'[1]January - 2021'!EM20</f>
        <v>640</v>
      </c>
      <c r="EK20" s="90">
        <f>'[1]January - 2021'!EN20</f>
        <v>5557000</v>
      </c>
      <c r="EL20" s="230">
        <f>'[1]January - 2021'!EO20</f>
        <v>2500</v>
      </c>
      <c r="EM20" s="90">
        <f>'[1]January - 2021'!EP20</f>
        <v>1994600</v>
      </c>
      <c r="EN20" s="230">
        <f>'[1]January - 2021'!EQ20</f>
        <v>100</v>
      </c>
      <c r="EO20" s="90">
        <f>'[1]January - 2021'!ER20</f>
        <v>731720</v>
      </c>
      <c r="EP20" s="230">
        <f>'[1]January - 2021'!ES20</f>
        <v>380</v>
      </c>
      <c r="EQ20" s="90">
        <f>'[1]January - 2021'!ET20</f>
        <v>12282900</v>
      </c>
      <c r="ER20" s="230">
        <f>'[1]January - 2021'!EU20</f>
        <v>2100</v>
      </c>
      <c r="ES20" s="425"/>
      <c r="ET20" s="284">
        <f>'[1]January - 2021'!EW20</f>
        <v>32740</v>
      </c>
      <c r="EU20" s="278">
        <f>'[1]January - 2021'!EX20</f>
        <v>12</v>
      </c>
      <c r="EV20" s="285">
        <f>'[1]January - 2021'!EY20</f>
        <v>28113</v>
      </c>
      <c r="EW20" s="278">
        <f>'[1]January - 2021'!EZ20</f>
        <v>18</v>
      </c>
      <c r="EX20" s="285">
        <f>'[1]January - 2021'!FA20</f>
        <v>0</v>
      </c>
      <c r="EY20" s="278">
        <f>'[1]January - 2021'!FB20</f>
        <v>0</v>
      </c>
      <c r="EZ20" s="285">
        <f>'[1]January - 2021'!FC20</f>
        <v>48862</v>
      </c>
      <c r="FA20" s="278">
        <f>'[1]January - 2021'!FD20</f>
        <v>0</v>
      </c>
      <c r="FB20" s="285">
        <f>'[1]January - 2021'!FE20</f>
        <v>27895</v>
      </c>
      <c r="FC20" s="279">
        <f>'[1]January - 2021'!FF20</f>
        <v>28</v>
      </c>
    </row>
    <row r="21" spans="1:159" ht="30" customHeight="1" x14ac:dyDescent="0.25">
      <c r="A21" s="207">
        <v>43842</v>
      </c>
      <c r="B21" s="209">
        <f>'[1]January - 2021'!B21</f>
        <v>0.85</v>
      </c>
      <c r="C21" s="250">
        <f>'[1]January - 2021'!E21</f>
        <v>706070</v>
      </c>
      <c r="D21" s="170">
        <f>'[1]January - 2021'!F21</f>
        <v>485</v>
      </c>
      <c r="E21" s="168">
        <f>'[1]January - 2021'!G21</f>
        <v>620</v>
      </c>
      <c r="F21" s="168">
        <f>'[1]January - 2021'!H21</f>
        <v>807963</v>
      </c>
      <c r="G21" s="170">
        <f>'[1]January - 2021'!I21</f>
        <v>410</v>
      </c>
      <c r="H21" s="168">
        <f>'[1]January - 2021'!J21</f>
        <v>593</v>
      </c>
      <c r="I21" s="168">
        <f>'[1]January - 2021'!K21</f>
        <v>106730</v>
      </c>
      <c r="J21" s="170">
        <f>'[1]January - 2021'!L21</f>
        <v>79</v>
      </c>
      <c r="K21" s="168">
        <f>'[1]January - 2021'!N21</f>
        <v>716914</v>
      </c>
      <c r="L21" s="170">
        <f>'[1]January - 2021'!O21</f>
        <v>95</v>
      </c>
      <c r="M21" s="168">
        <f>'[1]January - 2021'!Q21</f>
        <v>163777</v>
      </c>
      <c r="N21" s="170">
        <f>'[1]January - 2021'!R21</f>
        <v>0</v>
      </c>
      <c r="O21" s="168">
        <f>'[1]January - 2021'!S21</f>
        <v>141657</v>
      </c>
      <c r="P21" s="170">
        <f>'[1]January - 2021'!T21</f>
        <v>29</v>
      </c>
      <c r="Q21" s="168">
        <f>'[1]January - 2021'!U21</f>
        <v>49</v>
      </c>
      <c r="R21" s="168">
        <f>'[1]January - 2021'!V21</f>
        <v>15009</v>
      </c>
      <c r="S21" s="208">
        <f>'[1]January - 2021'!W21</f>
        <v>0</v>
      </c>
      <c r="T21" s="520"/>
      <c r="U21" s="169">
        <f>'[1]January - 2021'!AC21</f>
        <v>6271140.96</v>
      </c>
      <c r="V21" s="291">
        <f>'[1]January - 2021'!AD21</f>
        <v>1656.480000000447</v>
      </c>
      <c r="W21" s="92">
        <f>'[1]January - 2021'!AD21</f>
        <v>1656.480000000447</v>
      </c>
      <c r="X21" s="290">
        <f>'[1]January - 2021'!AF21</f>
        <v>12240023.040000001</v>
      </c>
      <c r="Y21" s="291">
        <f>'[1]January - 2021'!AG21</f>
        <v>4482.2400000020862</v>
      </c>
      <c r="Z21" s="92">
        <f>'[1]January - 2021'!AG21</f>
        <v>4482.2400000020862</v>
      </c>
      <c r="AA21" s="290">
        <f>'[1]January - 2021'!AI21</f>
        <v>11577090</v>
      </c>
      <c r="AB21" s="291">
        <f>'[1]January - 2021'!AJ21</f>
        <v>146.16000000014901</v>
      </c>
      <c r="AC21" s="92">
        <f>'[1]January - 2021'!AJ21</f>
        <v>146.16000000014901</v>
      </c>
      <c r="AD21" s="290">
        <f>'[1]January - 2021'!AL21</f>
        <v>14865105.359999999</v>
      </c>
      <c r="AE21" s="291">
        <f>'[1]January - 2021'!AM21</f>
        <v>6479.7599999997765</v>
      </c>
      <c r="AF21" s="92">
        <f>'[1]January - 2021'!AM21</f>
        <v>6479.7599999997765</v>
      </c>
      <c r="AG21" s="290">
        <f>'[1]January - 2021'!AO21</f>
        <v>15017793.84</v>
      </c>
      <c r="AH21" s="291">
        <f>'[1]January - 2021'!AP21</f>
        <v>0</v>
      </c>
      <c r="AI21" s="92">
        <f>'[1]January - 2021'!AP21</f>
        <v>0</v>
      </c>
      <c r="AJ21" s="290">
        <f>'[1]January - 2021'!AR21</f>
        <v>13721159.76</v>
      </c>
      <c r="AK21" s="291">
        <f>'[1]January - 2021'!AS21</f>
        <v>5310.4799999985844</v>
      </c>
      <c r="AL21" s="92">
        <f>'[1]January - 2021'!AS21</f>
        <v>5310.4799999985844</v>
      </c>
      <c r="AM21" s="290">
        <f>'[1]January - 2021'!AU21</f>
        <v>11735965.92</v>
      </c>
      <c r="AN21" s="291">
        <f>'[1]January - 2021'!AV21</f>
        <v>4092.480000000447</v>
      </c>
      <c r="AO21" s="286">
        <f>'[1]January - 2021'!AV21</f>
        <v>4092.480000000447</v>
      </c>
      <c r="AP21" s="290">
        <f>'[1]January - 2021'!AX21</f>
        <v>11334269.52</v>
      </c>
      <c r="AQ21" s="291">
        <f>'[1]January - 2021'!AY21</f>
        <v>3897.5999999996275</v>
      </c>
      <c r="AR21" s="92">
        <f>'[1]January - 2021'!AY21</f>
        <v>3897.5999999996275</v>
      </c>
      <c r="AS21" s="293">
        <f>'[1]January - 2021'!BA21</f>
        <v>9071517.8399999999</v>
      </c>
      <c r="AT21" s="292">
        <f>'[1]January - 2021'!BB21</f>
        <v>3507.839999999851</v>
      </c>
      <c r="AU21" s="92">
        <f>'[1]January - 2021'!BB21</f>
        <v>3507.839999999851</v>
      </c>
      <c r="AV21" s="290">
        <f>'[1]January - 2021'!BD21</f>
        <v>13716239.039999999</v>
      </c>
      <c r="AW21" s="252">
        <f>'[1]January - 2021'!BE21</f>
        <v>5407.9199999999255</v>
      </c>
      <c r="AX21" s="253">
        <f>'[1]January - 2021'!BE21</f>
        <v>5407.9199999999255</v>
      </c>
      <c r="AY21" s="486"/>
      <c r="AZ21" s="272">
        <f>'[1]January - 2021'!BK21</f>
        <v>57868700</v>
      </c>
      <c r="BA21" s="179">
        <f>'[1]January - 2021'!BL21</f>
        <v>0</v>
      </c>
      <c r="BB21" s="93">
        <f>'[1]January - 2021'!BL21</f>
        <v>0</v>
      </c>
      <c r="BC21" s="272">
        <f>'[1]January - 2021'!BN21</f>
        <v>61820000</v>
      </c>
      <c r="BD21" s="245">
        <f>'[1]January - 2021'!BO21</f>
        <v>26100</v>
      </c>
      <c r="BE21" s="93">
        <f>'[1]January - 2021'!BO21</f>
        <v>26100</v>
      </c>
      <c r="BF21" s="272">
        <f>'[1]January - 2021'!BQ21</f>
        <v>55644900</v>
      </c>
      <c r="BG21" s="245">
        <f>'[1]January - 2021'!BR21</f>
        <v>0</v>
      </c>
      <c r="BH21" s="93">
        <f>'[1]January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- 2021'!BT21</f>
        <v>5680360</v>
      </c>
      <c r="BT21" s="185">
        <f>'[1]January - 2021'!BU21</f>
        <v>4350</v>
      </c>
      <c r="BU21" s="393"/>
      <c r="BV21" s="88">
        <f>'[1]January - 2021'!BW21</f>
        <v>0.56000000000000005</v>
      </c>
      <c r="BW21" s="241">
        <f>'[1]January - 2021'!BX21</f>
        <v>8.9999999999999969E-2</v>
      </c>
      <c r="BX21" s="88">
        <f>'[1]January - 2021'!BX21</f>
        <v>8.9999999999999969E-2</v>
      </c>
      <c r="BY21" s="89">
        <f>'[1]January - 2021'!BZ21</f>
        <v>51276</v>
      </c>
      <c r="BZ21" s="191">
        <f>'[1]January - 2021'!CA21</f>
        <v>14</v>
      </c>
      <c r="CA21" s="89">
        <f>'[1]January - 2021'!CB21</f>
        <v>43182</v>
      </c>
      <c r="CB21" s="191">
        <f>'[1]January - 2021'!CC21</f>
        <v>26</v>
      </c>
      <c r="CC21" s="89">
        <f>'[1]January - 2021'!CD21</f>
        <v>14828</v>
      </c>
      <c r="CD21" s="191">
        <f>'[1]January - 2021'!CE21</f>
        <v>8</v>
      </c>
      <c r="CE21" s="89">
        <f>'[1]January - 2021'!CF21</f>
        <v>18818</v>
      </c>
      <c r="CF21" s="191">
        <f>'[1]January - 2021'!CG21</f>
        <v>16</v>
      </c>
      <c r="CG21" s="89">
        <f>'[1]January - 2021'!CH21</f>
        <v>20361</v>
      </c>
      <c r="CH21" s="191">
        <f>'[1]January - 2021'!CI21</f>
        <v>15</v>
      </c>
      <c r="CI21" s="89">
        <f>'[1]January - 2021'!CJ21</f>
        <v>46199</v>
      </c>
      <c r="CJ21" s="191">
        <f>'[1]January - 2021'!CK21</f>
        <v>0</v>
      </c>
      <c r="CK21" s="89">
        <f>'[1]January - 2021'!CL21</f>
        <v>202790</v>
      </c>
      <c r="CL21" s="246">
        <f>'[1]January - 2021'!CM21</f>
        <v>66</v>
      </c>
      <c r="CM21" s="89">
        <f>'[1]January - 2021'!CM21</f>
        <v>66</v>
      </c>
      <c r="CN21" s="89">
        <f>'[1]January - 2021'!CO21</f>
        <v>151078</v>
      </c>
      <c r="CO21" s="246">
        <f>'[1]January - 2021'!CP21</f>
        <v>100</v>
      </c>
      <c r="CP21" s="89">
        <f>'[1]January - 2021'!CP21</f>
        <v>100</v>
      </c>
      <c r="CQ21" s="89">
        <f>'[1]January - 2021'!CR21</f>
        <v>282082</v>
      </c>
      <c r="CR21" s="246">
        <f>'[1]January - 2021'!CS21</f>
        <v>561</v>
      </c>
      <c r="CS21" s="89">
        <f>'[1]January - 2021'!CS21</f>
        <v>561</v>
      </c>
      <c r="CT21" s="89">
        <f>'[1]January - 2021'!CU21</f>
        <v>539201</v>
      </c>
      <c r="CU21" s="191">
        <f>'[1]January - 2021'!CV21</f>
        <v>266</v>
      </c>
      <c r="CV21" s="453"/>
      <c r="CW21" s="256">
        <f>'[1]January - 2021'!CX21</f>
        <v>4296</v>
      </c>
      <c r="CX21" s="198">
        <f>'[1]January - 2021'!CY21</f>
        <v>0</v>
      </c>
      <c r="CY21" s="257">
        <f>'[1]January - 2021'!CZ21</f>
        <v>2054</v>
      </c>
      <c r="CZ21" s="198">
        <f>'[1]January - 2021'!DA21</f>
        <v>0</v>
      </c>
      <c r="DA21" s="257">
        <f>'[1]January - 2021'!DB21</f>
        <v>22472</v>
      </c>
      <c r="DB21" s="198">
        <f>'[1]January - 2021'!DC21</f>
        <v>12</v>
      </c>
      <c r="DC21" s="257">
        <f>'[1]January - 2021'!DD21</f>
        <v>23378</v>
      </c>
      <c r="DD21" s="198">
        <f>'[1]January - 2021'!DE21</f>
        <v>14</v>
      </c>
      <c r="DE21" s="257">
        <f>'[1]January - 2021'!DF21</f>
        <v>16095</v>
      </c>
      <c r="DF21" s="198">
        <f>'[1]January - 2021'!DG21</f>
        <v>14</v>
      </c>
      <c r="DG21" s="257">
        <f>'[1]January - 2021'!DH21</f>
        <v>19183</v>
      </c>
      <c r="DH21" s="198">
        <f>'[1]January - 2021'!DI21</f>
        <v>8</v>
      </c>
      <c r="DI21" s="257">
        <f>'[1]January - 2021'!DJ21</f>
        <v>826</v>
      </c>
      <c r="DJ21" s="198">
        <f>'[1]January - 2021'!DK21</f>
        <v>1</v>
      </c>
      <c r="DK21" s="257">
        <f>'[1]January - 2021'!DL21</f>
        <v>3616</v>
      </c>
      <c r="DL21" s="198">
        <f>'[1]January - 2021'!DM21</f>
        <v>0</v>
      </c>
      <c r="DM21" s="257">
        <f>'[1]January - 2021'!DN21</f>
        <v>281</v>
      </c>
      <c r="DN21" s="198">
        <f>'[1]January - 2021'!DO21</f>
        <v>8</v>
      </c>
      <c r="DO21" s="257">
        <f>'[1]January - 2021'!DP21</f>
        <v>1882</v>
      </c>
      <c r="DP21" s="198">
        <f>'[1]January - 2021'!DQ21</f>
        <v>1</v>
      </c>
      <c r="DQ21" s="257">
        <f>'[1]January - 2021'!DR21</f>
        <v>22898</v>
      </c>
      <c r="DR21" s="206">
        <f>'[1]January - 2021'!DS21</f>
        <v>0</v>
      </c>
      <c r="DS21" s="438"/>
      <c r="DT21" s="210">
        <f>'[1]January - 2021'!DU21</f>
        <v>159.5</v>
      </c>
      <c r="DU21" s="221">
        <f>'[1]January - 2021'!DV21</f>
        <v>8.0999999999999943</v>
      </c>
      <c r="DV21" s="91">
        <f>'[1]January - 2021'!DW21</f>
        <v>5944.9</v>
      </c>
      <c r="DW21" s="215">
        <f>'[1]January - 2021'!DX21</f>
        <v>4.5999999999994543</v>
      </c>
      <c r="DX21" s="91">
        <f>'[1]January - 2021'!DY21</f>
        <v>128.80000000000001</v>
      </c>
      <c r="DY21" s="215">
        <f>'[1]January - 2021'!DZ21</f>
        <v>7.1000000000000085</v>
      </c>
      <c r="DZ21" s="91">
        <f>'[1]January - 2021'!EA21</f>
        <v>254068</v>
      </c>
      <c r="EA21" s="215">
        <f>'[1]January - 2021'!EB21</f>
        <v>26</v>
      </c>
      <c r="EB21" s="91">
        <f>'[1]January - 2021'!EC21</f>
        <v>641468</v>
      </c>
      <c r="EC21" s="215">
        <f>'[1]January - 2021'!ED21</f>
        <v>439</v>
      </c>
      <c r="ED21" s="91">
        <f>'[1]January - 2021'!EG21</f>
        <v>125694</v>
      </c>
      <c r="EE21" s="229">
        <f>'[1]January - 2021'!EH21</f>
        <v>157</v>
      </c>
      <c r="EF21" s="377"/>
      <c r="EG21" s="235">
        <f>'[1]January - 2021'!EJ21</f>
        <v>8657700</v>
      </c>
      <c r="EH21" s="230">
        <f>'[1]January - 2021'!EK21</f>
        <v>0</v>
      </c>
      <c r="EI21" s="90">
        <f>'[1]January - 2021'!EL21</f>
        <v>708710</v>
      </c>
      <c r="EJ21" s="230">
        <f>'[1]January - 2021'!EM21</f>
        <v>0</v>
      </c>
      <c r="EK21" s="90">
        <f>'[1]January - 2021'!EN21</f>
        <v>5557000</v>
      </c>
      <c r="EL21" s="230">
        <f>'[1]January - 2021'!EO21</f>
        <v>0</v>
      </c>
      <c r="EM21" s="90">
        <f>'[1]January - 2021'!EP21</f>
        <v>1994600</v>
      </c>
      <c r="EN21" s="230">
        <f>'[1]January - 2021'!EQ21</f>
        <v>0</v>
      </c>
      <c r="EO21" s="90">
        <f>'[1]January - 2021'!ER21</f>
        <v>731720</v>
      </c>
      <c r="EP21" s="230">
        <f>'[1]January - 2021'!ES21</f>
        <v>0</v>
      </c>
      <c r="EQ21" s="90">
        <f>'[1]January - 2021'!ET21</f>
        <v>12282900</v>
      </c>
      <c r="ER21" s="230">
        <f>'[1]January - 2021'!EU21</f>
        <v>0</v>
      </c>
      <c r="ES21" s="425"/>
      <c r="ET21" s="284">
        <f>'[1]January - 2021'!EW21</f>
        <v>32752</v>
      </c>
      <c r="EU21" s="278">
        <f>'[1]January - 2021'!EX21</f>
        <v>12</v>
      </c>
      <c r="EV21" s="285">
        <f>'[1]January - 2021'!EY21</f>
        <v>28131</v>
      </c>
      <c r="EW21" s="278">
        <f>'[1]January - 2021'!EZ21</f>
        <v>18</v>
      </c>
      <c r="EX21" s="285">
        <f>'[1]January - 2021'!FA21</f>
        <v>0</v>
      </c>
      <c r="EY21" s="278">
        <f>'[1]January - 2021'!FB21</f>
        <v>0</v>
      </c>
      <c r="EZ21" s="285">
        <f>'[1]January - 2021'!FC21</f>
        <v>48887</v>
      </c>
      <c r="FA21" s="278">
        <f>'[1]January - 2021'!FD21</f>
        <v>25</v>
      </c>
      <c r="FB21" s="285">
        <f>'[1]January - 2021'!FE21</f>
        <v>27929</v>
      </c>
      <c r="FC21" s="279">
        <f>'[1]January - 2021'!FF21</f>
        <v>34</v>
      </c>
    </row>
    <row r="22" spans="1:159" ht="30" customHeight="1" x14ac:dyDescent="0.25">
      <c r="A22" s="207">
        <v>43843</v>
      </c>
      <c r="B22" s="209">
        <f>'[1]January - 2021'!B22</f>
        <v>0.93</v>
      </c>
      <c r="C22" s="250">
        <f>'[1]January - 2021'!E22</f>
        <v>706523</v>
      </c>
      <c r="D22" s="170">
        <f>'[1]January - 2021'!F22</f>
        <v>453</v>
      </c>
      <c r="E22" s="168">
        <f>'[1]January - 2021'!G22</f>
        <v>467</v>
      </c>
      <c r="F22" s="168">
        <f>'[1]January - 2021'!H22</f>
        <v>808356</v>
      </c>
      <c r="G22" s="170">
        <f>'[1]January - 2021'!I22</f>
        <v>393</v>
      </c>
      <c r="H22" s="168">
        <f>'[1]January - 2021'!J22</f>
        <v>435</v>
      </c>
      <c r="I22" s="168">
        <f>'[1]January - 2021'!K22</f>
        <v>106870</v>
      </c>
      <c r="J22" s="170">
        <f>'[1]January - 2021'!L22</f>
        <v>140</v>
      </c>
      <c r="K22" s="168">
        <f>'[1]January - 2021'!N22</f>
        <v>717078</v>
      </c>
      <c r="L22" s="170">
        <f>'[1]January - 2021'!O22</f>
        <v>164</v>
      </c>
      <c r="M22" s="168">
        <f>'[1]January - 2021'!Q22</f>
        <v>163777</v>
      </c>
      <c r="N22" s="170">
        <f>'[1]January - 2021'!R22</f>
        <v>0</v>
      </c>
      <c r="O22" s="168">
        <f>'[1]January - 2021'!S22</f>
        <v>141687</v>
      </c>
      <c r="P22" s="170">
        <f>'[1]January - 2021'!T22</f>
        <v>30</v>
      </c>
      <c r="Q22" s="168">
        <f>'[1]January - 2021'!U22</f>
        <v>57</v>
      </c>
      <c r="R22" s="168">
        <f>'[1]January - 2021'!V22</f>
        <v>15009</v>
      </c>
      <c r="S22" s="208">
        <f>'[1]January - 2021'!W22</f>
        <v>0</v>
      </c>
      <c r="T22" s="520"/>
      <c r="U22" s="169">
        <f>'[1]January - 2021'!AC22</f>
        <v>6273041.04</v>
      </c>
      <c r="V22" s="291">
        <f>'[1]January - 2021'!AD22</f>
        <v>1900.0800000000745</v>
      </c>
      <c r="W22" s="92">
        <f>'[1]January - 2021'!AD22</f>
        <v>1900.0800000000745</v>
      </c>
      <c r="X22" s="290">
        <f>'[1]January - 2021'!AF22</f>
        <v>12244505.280000001</v>
      </c>
      <c r="Y22" s="291">
        <f>'[1]January - 2021'!AG22</f>
        <v>4482.2400000002235</v>
      </c>
      <c r="Z22" s="92">
        <f>'[1]January - 2021'!AG22</f>
        <v>4482.2400000002235</v>
      </c>
      <c r="AA22" s="290">
        <f>'[1]January - 2021'!AI22</f>
        <v>11577187.439999999</v>
      </c>
      <c r="AB22" s="291">
        <f>'[1]January - 2021'!AJ22</f>
        <v>97.439999999478459</v>
      </c>
      <c r="AC22" s="92">
        <f>'[1]January - 2021'!AJ22</f>
        <v>97.439999999478459</v>
      </c>
      <c r="AD22" s="290">
        <f>'[1]January - 2021'!AL22</f>
        <v>14872754.4</v>
      </c>
      <c r="AE22" s="291">
        <f>'[1]January - 2021'!AM22</f>
        <v>7649.0400000009686</v>
      </c>
      <c r="AF22" s="92">
        <f>'[1]January - 2021'!AM22</f>
        <v>7649.0400000009686</v>
      </c>
      <c r="AG22" s="290">
        <f>'[1]January - 2021'!AO22</f>
        <v>15017793.84</v>
      </c>
      <c r="AH22" s="291">
        <f>'[1]January - 2021'!AP22</f>
        <v>0</v>
      </c>
      <c r="AI22" s="92">
        <f>'[1]January - 2021'!AP22</f>
        <v>0</v>
      </c>
      <c r="AJ22" s="290">
        <f>'[1]January - 2021'!AR22</f>
        <v>13726567.68</v>
      </c>
      <c r="AK22" s="291">
        <f>'[1]January - 2021'!AS22</f>
        <v>5407.9199999999255</v>
      </c>
      <c r="AL22" s="92">
        <f>'[1]January - 2021'!AS22</f>
        <v>5407.9199999999255</v>
      </c>
      <c r="AM22" s="290">
        <f>'[1]January - 2021'!AU22</f>
        <v>11739863.52</v>
      </c>
      <c r="AN22" s="291">
        <f>'[1]January - 2021'!AV22</f>
        <v>3897.5999999996275</v>
      </c>
      <c r="AO22" s="286">
        <f>'[1]January - 2021'!AV22</f>
        <v>3897.5999999996275</v>
      </c>
      <c r="AP22" s="290">
        <f>'[1]January - 2021'!AX22</f>
        <v>11338264.559999999</v>
      </c>
      <c r="AQ22" s="291">
        <f>'[1]January - 2021'!AY22</f>
        <v>3995.0399999991059</v>
      </c>
      <c r="AR22" s="92">
        <f>'[1]January - 2021'!AY22</f>
        <v>3995.0399999991059</v>
      </c>
      <c r="AS22" s="290">
        <f>'[1]January - 2021'!BA22</f>
        <v>9074733.3599999994</v>
      </c>
      <c r="AT22" s="292">
        <f>'[1]January - 2021'!BB22</f>
        <v>3215.519999999553</v>
      </c>
      <c r="AU22" s="92">
        <f>'[1]January - 2021'!BB22</f>
        <v>3215.519999999553</v>
      </c>
      <c r="AV22" s="290">
        <f>'[1]January - 2021'!BD22</f>
        <v>13721793.119999999</v>
      </c>
      <c r="AW22" s="252">
        <f>'[1]January - 2021'!BE22</f>
        <v>5554.0800000000745</v>
      </c>
      <c r="AX22" s="253">
        <f>'[1]January - 2021'!BE22</f>
        <v>5554.0800000000745</v>
      </c>
      <c r="AY22" s="486"/>
      <c r="AZ22" s="272">
        <f>'[1]January - 2021'!BK22</f>
        <v>57868700</v>
      </c>
      <c r="BA22" s="179">
        <f>'[1]January - 2021'!BL22</f>
        <v>0</v>
      </c>
      <c r="BB22" s="93">
        <f>'[1]January - 2021'!BL22</f>
        <v>0</v>
      </c>
      <c r="BC22" s="272">
        <f>'[1]January - 2021'!BN22</f>
        <v>61849400</v>
      </c>
      <c r="BD22" s="245">
        <f>'[1]January - 2021'!BO22</f>
        <v>29400</v>
      </c>
      <c r="BE22" s="93">
        <f>'[1]January - 2021'!BO22</f>
        <v>29400</v>
      </c>
      <c r="BF22" s="272">
        <f>'[1]January - 2021'!BQ22</f>
        <v>55644900</v>
      </c>
      <c r="BG22" s="245">
        <f>'[1]January - 2021'!BR22</f>
        <v>0</v>
      </c>
      <c r="BH22" s="93">
        <f>'[1]January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- 2021'!BT22</f>
        <v>5684220</v>
      </c>
      <c r="BT22" s="185">
        <f>'[1]January - 2021'!BU22</f>
        <v>3860</v>
      </c>
      <c r="BU22" s="393"/>
      <c r="BV22" s="88">
        <f>'[1]January - 2021'!BW22</f>
        <v>0.65</v>
      </c>
      <c r="BW22" s="241">
        <f>'[1]January - 2021'!BX22</f>
        <v>-8.9999999999999969E-2</v>
      </c>
      <c r="BX22" s="88">
        <f>'[1]January - 2021'!BX22</f>
        <v>-8.9999999999999969E-2</v>
      </c>
      <c r="BY22" s="89">
        <f>'[1]January - 2021'!BZ22</f>
        <v>51288</v>
      </c>
      <c r="BZ22" s="191">
        <f>'[1]January - 2021'!CA22</f>
        <v>12</v>
      </c>
      <c r="CA22" s="89">
        <f>'[1]January - 2021'!CB22</f>
        <v>43195</v>
      </c>
      <c r="CB22" s="191">
        <f>'[1]January - 2021'!CC22</f>
        <v>13</v>
      </c>
      <c r="CC22" s="89">
        <f>'[1]January - 2021'!CD22</f>
        <v>14833</v>
      </c>
      <c r="CD22" s="191">
        <f>'[1]January - 2021'!CE22</f>
        <v>5</v>
      </c>
      <c r="CE22" s="89">
        <f>'[1]January - 2021'!CF22</f>
        <v>18824</v>
      </c>
      <c r="CF22" s="191">
        <f>'[1]January - 2021'!CG22</f>
        <v>6</v>
      </c>
      <c r="CG22" s="89">
        <f>'[1]January - 2021'!CH22</f>
        <v>20364</v>
      </c>
      <c r="CH22" s="191">
        <f>'[1]January - 2021'!CI22</f>
        <v>3</v>
      </c>
      <c r="CI22" s="89">
        <f>'[1]January - 2021'!CJ22</f>
        <v>46263</v>
      </c>
      <c r="CJ22" s="191">
        <f>'[1]January - 2021'!CK22</f>
        <v>64</v>
      </c>
      <c r="CK22" s="89">
        <f>'[1]January - 2021'!CL22</f>
        <v>202878</v>
      </c>
      <c r="CL22" s="246">
        <f>'[1]January - 2021'!CM22</f>
        <v>88</v>
      </c>
      <c r="CM22" s="89">
        <f>'[1]January - 2021'!CM22</f>
        <v>88</v>
      </c>
      <c r="CN22" s="89">
        <f>'[1]January - 2021'!CO22</f>
        <v>151177</v>
      </c>
      <c r="CO22" s="246">
        <f>'[1]January - 2021'!CP22</f>
        <v>99</v>
      </c>
      <c r="CP22" s="89">
        <f>'[1]January - 2021'!CP22</f>
        <v>99</v>
      </c>
      <c r="CQ22" s="89">
        <f>'[1]January - 2021'!CR22</f>
        <v>282550</v>
      </c>
      <c r="CR22" s="246">
        <f>'[1]January - 2021'!CS22</f>
        <v>468</v>
      </c>
      <c r="CS22" s="89">
        <f>'[1]January - 2021'!CS22</f>
        <v>468</v>
      </c>
      <c r="CT22" s="89">
        <f>'[1]January - 2021'!CU22</f>
        <v>539449</v>
      </c>
      <c r="CU22" s="191">
        <f>'[1]January - 2021'!CV22</f>
        <v>248</v>
      </c>
      <c r="CV22" s="453"/>
      <c r="CW22" s="256">
        <f>'[1]January - 2021'!CX22</f>
        <v>4296</v>
      </c>
      <c r="CX22" s="198">
        <f>'[1]January - 2021'!CY22</f>
        <v>0</v>
      </c>
      <c r="CY22" s="257">
        <f>'[1]January - 2021'!CZ22</f>
        <v>2054</v>
      </c>
      <c r="CZ22" s="198">
        <f>'[1]January - 2021'!DA22</f>
        <v>0</v>
      </c>
      <c r="DA22" s="257">
        <f>'[1]January - 2021'!DB22</f>
        <v>22488</v>
      </c>
      <c r="DB22" s="198">
        <f>'[1]January - 2021'!DC22</f>
        <v>16</v>
      </c>
      <c r="DC22" s="257">
        <f>'[1]January - 2021'!DD22</f>
        <v>23391</v>
      </c>
      <c r="DD22" s="198">
        <f>'[1]January - 2021'!DE22</f>
        <v>13</v>
      </c>
      <c r="DE22" s="257">
        <f>'[1]January - 2021'!DF22</f>
        <v>16107</v>
      </c>
      <c r="DF22" s="198">
        <f>'[1]January - 2021'!DG22</f>
        <v>12</v>
      </c>
      <c r="DG22" s="257">
        <f>'[1]January - 2021'!DH22</f>
        <v>19190</v>
      </c>
      <c r="DH22" s="198">
        <f>'[1]January - 2021'!DI22</f>
        <v>7</v>
      </c>
      <c r="DI22" s="257">
        <f>'[1]January - 2021'!DJ22</f>
        <v>826</v>
      </c>
      <c r="DJ22" s="198">
        <f>'[1]January - 2021'!DK22</f>
        <v>0</v>
      </c>
      <c r="DK22" s="257">
        <f>'[1]January - 2021'!DL22</f>
        <v>3616</v>
      </c>
      <c r="DL22" s="198">
        <f>'[1]January - 2021'!DM22</f>
        <v>0</v>
      </c>
      <c r="DM22" s="257">
        <f>'[1]January - 2021'!DN22</f>
        <v>289</v>
      </c>
      <c r="DN22" s="198">
        <f>'[1]January - 2021'!DO22</f>
        <v>8</v>
      </c>
      <c r="DO22" s="257">
        <f>'[1]January - 2021'!DP22</f>
        <v>1884</v>
      </c>
      <c r="DP22" s="198">
        <f>'[1]January - 2021'!DQ22</f>
        <v>2</v>
      </c>
      <c r="DQ22" s="257">
        <f>'[1]January - 2021'!DR22</f>
        <v>22898</v>
      </c>
      <c r="DR22" s="206">
        <f>'[1]January - 2021'!DS22</f>
        <v>0</v>
      </c>
      <c r="DS22" s="438"/>
      <c r="DT22" s="210">
        <f>'[1]January - 2021'!DU22</f>
        <v>168</v>
      </c>
      <c r="DU22" s="221">
        <f>'[1]January - 2021'!DV22</f>
        <v>8.5</v>
      </c>
      <c r="DV22" s="91">
        <f>'[1]January - 2021'!DW22</f>
        <v>5949.5</v>
      </c>
      <c r="DW22" s="215">
        <f>'[1]January - 2021'!DX22</f>
        <v>4.6000000000003638</v>
      </c>
      <c r="DX22" s="91">
        <f>'[1]January - 2021'!DY22</f>
        <v>135.69999999999999</v>
      </c>
      <c r="DY22" s="215">
        <f>'[1]January - 2021'!DZ22</f>
        <v>6.8999999999999773</v>
      </c>
      <c r="DZ22" s="91">
        <f>'[1]January - 2021'!EA22</f>
        <v>254092.72</v>
      </c>
      <c r="EA22" s="215">
        <f>'[1]January - 2021'!EB22</f>
        <v>24.720000000001164</v>
      </c>
      <c r="EB22" s="91">
        <f>'[1]January - 2021'!EC22</f>
        <v>641927</v>
      </c>
      <c r="EC22" s="215">
        <f>'[1]January - 2021'!ED22</f>
        <v>459</v>
      </c>
      <c r="ED22" s="91">
        <f>'[1]January - 2021'!EG22</f>
        <v>125847</v>
      </c>
      <c r="EE22" s="229">
        <f>'[1]January - 2021'!EH22</f>
        <v>153</v>
      </c>
      <c r="EF22" s="377"/>
      <c r="EG22" s="235">
        <f>'[1]January - 2021'!EJ22</f>
        <v>8660600</v>
      </c>
      <c r="EH22" s="230">
        <f>'[1]January - 2021'!EK22</f>
        <v>2900</v>
      </c>
      <c r="EI22" s="90">
        <f>'[1]January - 2021'!EL22</f>
        <v>709150</v>
      </c>
      <c r="EJ22" s="230">
        <f>'[1]January - 2021'!EM22</f>
        <v>440</v>
      </c>
      <c r="EK22" s="90">
        <f>'[1]January - 2021'!EN22</f>
        <v>5558800</v>
      </c>
      <c r="EL22" s="230">
        <f>'[1]January - 2021'!EO22</f>
        <v>1800</v>
      </c>
      <c r="EM22" s="90">
        <f>'[1]January - 2021'!EP22</f>
        <v>1994600</v>
      </c>
      <c r="EN22" s="230">
        <f>'[1]January - 2021'!EQ22</f>
        <v>0</v>
      </c>
      <c r="EO22" s="90">
        <f>'[1]January - 2021'!ER22</f>
        <v>731990</v>
      </c>
      <c r="EP22" s="230">
        <f>'[1]January - 2021'!ES22</f>
        <v>270</v>
      </c>
      <c r="EQ22" s="90">
        <f>'[1]January - 2021'!ET22</f>
        <v>12284700</v>
      </c>
      <c r="ER22" s="230">
        <f>'[1]January - 2021'!EU22</f>
        <v>1800</v>
      </c>
      <c r="ES22" s="425"/>
      <c r="ET22" s="284">
        <f>'[1]January - 2021'!EW22</f>
        <v>32764</v>
      </c>
      <c r="EU22" s="278">
        <f>'[1]January - 2021'!EX22</f>
        <v>12</v>
      </c>
      <c r="EV22" s="285">
        <f>'[1]January - 2021'!EY22</f>
        <v>28147</v>
      </c>
      <c r="EW22" s="278">
        <f>'[1]January - 2021'!EZ22</f>
        <v>16</v>
      </c>
      <c r="EX22" s="285">
        <f>'[1]January - 2021'!FA22</f>
        <v>0</v>
      </c>
      <c r="EY22" s="278">
        <f>'[1]January - 2021'!FB22</f>
        <v>0</v>
      </c>
      <c r="EZ22" s="285">
        <f>'[1]January - 2021'!FC22</f>
        <v>48887</v>
      </c>
      <c r="FA22" s="278">
        <f>'[1]January - 2021'!FD22</f>
        <v>0</v>
      </c>
      <c r="FB22" s="285">
        <f>'[1]January - 2021'!FE22</f>
        <v>27956</v>
      </c>
      <c r="FC22" s="279">
        <f>'[1]January - 2021'!FF22</f>
        <v>27</v>
      </c>
    </row>
    <row r="23" spans="1:159" ht="30" customHeight="1" x14ac:dyDescent="0.25">
      <c r="A23" s="207">
        <v>43844</v>
      </c>
      <c r="B23" s="209">
        <f>'[1]January - 2021'!B23</f>
        <v>0.96</v>
      </c>
      <c r="C23" s="250">
        <f>'[1]January - 2021'!E23</f>
        <v>707027</v>
      </c>
      <c r="D23" s="170">
        <f>'[1]January - 2021'!F23</f>
        <v>504</v>
      </c>
      <c r="E23" s="168">
        <f>'[1]January - 2021'!G23</f>
        <v>477</v>
      </c>
      <c r="F23" s="168">
        <f>'[1]January - 2021'!H23</f>
        <v>808786</v>
      </c>
      <c r="G23" s="170">
        <f>'[1]January - 2021'!I23</f>
        <v>430</v>
      </c>
      <c r="H23" s="168">
        <f>'[1]January - 2021'!J23</f>
        <v>400</v>
      </c>
      <c r="I23" s="168">
        <f>'[1]January - 2021'!K23</f>
        <v>107041</v>
      </c>
      <c r="J23" s="170">
        <f>'[1]January - 2021'!L23</f>
        <v>171</v>
      </c>
      <c r="K23" s="168">
        <f>'[1]January - 2021'!N23</f>
        <v>717279</v>
      </c>
      <c r="L23" s="170">
        <f>'[1]January - 2021'!O23</f>
        <v>201</v>
      </c>
      <c r="M23" s="168">
        <f>'[1]January - 2021'!Q23</f>
        <v>163777</v>
      </c>
      <c r="N23" s="170">
        <f>'[1]January - 2021'!R23</f>
        <v>0</v>
      </c>
      <c r="O23" s="168">
        <f>'[1]January - 2021'!S23</f>
        <v>141724</v>
      </c>
      <c r="P23" s="170">
        <f>'[1]January - 2021'!T23</f>
        <v>37</v>
      </c>
      <c r="Q23" s="168">
        <f>'[1]January - 2021'!U23</f>
        <v>38</v>
      </c>
      <c r="R23" s="168">
        <f>'[1]January - 2021'!V23</f>
        <v>15009</v>
      </c>
      <c r="S23" s="208">
        <f>'[1]January - 2021'!W23</f>
        <v>0</v>
      </c>
      <c r="T23" s="520"/>
      <c r="U23" s="169">
        <f>'[1]January - 2021'!AC23</f>
        <v>6274989.8399999999</v>
      </c>
      <c r="V23" s="291">
        <f>'[1]January - 2021'!AD23</f>
        <v>1948.7999999998137</v>
      </c>
      <c r="W23" s="92">
        <f>'[1]January - 2021'!AD23</f>
        <v>1948.7999999998137</v>
      </c>
      <c r="X23" s="290">
        <f>'[1]January - 2021'!AF23</f>
        <v>12249133.68</v>
      </c>
      <c r="Y23" s="291">
        <f>'[1]January - 2021'!AG23</f>
        <v>4628.3999999985099</v>
      </c>
      <c r="Z23" s="92">
        <f>'[1]January - 2021'!AG23</f>
        <v>4628.3999999985099</v>
      </c>
      <c r="AA23" s="290">
        <f>'[1]January - 2021'!AI23</f>
        <v>11577236.16</v>
      </c>
      <c r="AB23" s="291">
        <f>'[1]January - 2021'!AJ23</f>
        <v>48.720000000670552</v>
      </c>
      <c r="AC23" s="92">
        <f>'[1]January - 2021'!AJ23</f>
        <v>48.720000000670552</v>
      </c>
      <c r="AD23" s="290">
        <f>'[1]January - 2021'!AL23</f>
        <v>14881036.799999999</v>
      </c>
      <c r="AE23" s="291">
        <f>'[1]January - 2021'!AM23</f>
        <v>8282.3999999985099</v>
      </c>
      <c r="AF23" s="92">
        <f>'[1]January - 2021'!AM23</f>
        <v>8282.3999999985099</v>
      </c>
      <c r="AG23" s="290">
        <f>'[1]January - 2021'!AO23</f>
        <v>15017842.559999999</v>
      </c>
      <c r="AH23" s="291">
        <f>'[1]January - 2021'!AP23</f>
        <v>48.719999998807907</v>
      </c>
      <c r="AI23" s="92">
        <f>'[1]January - 2021'!AP23</f>
        <v>48.719999998807907</v>
      </c>
      <c r="AJ23" s="290">
        <f>'[1]January - 2021'!AR23</f>
        <v>13732024.319999998</v>
      </c>
      <c r="AK23" s="291">
        <f>'[1]January - 2021'!AS23</f>
        <v>5456.6399999987334</v>
      </c>
      <c r="AL23" s="92">
        <f>'[1]January - 2021'!AS23</f>
        <v>5456.6399999987334</v>
      </c>
      <c r="AM23" s="290">
        <f>'[1]January - 2021'!AU23</f>
        <v>11743663.68</v>
      </c>
      <c r="AN23" s="291">
        <f>'[1]January - 2021'!AV23</f>
        <v>3800.160000000149</v>
      </c>
      <c r="AO23" s="92">
        <f>'[1]January - 2021'!AV23</f>
        <v>3800.160000000149</v>
      </c>
      <c r="AP23" s="290">
        <f>'[1]January - 2021'!AX23</f>
        <v>11342357.040000001</v>
      </c>
      <c r="AQ23" s="291">
        <f>'[1]January - 2021'!AY23</f>
        <v>4092.4800000023097</v>
      </c>
      <c r="AR23" s="92">
        <f>'[1]January - 2021'!AY23</f>
        <v>4092.4800000023097</v>
      </c>
      <c r="AS23" s="290">
        <f>'[1]January - 2021'!BA23</f>
        <v>9077754</v>
      </c>
      <c r="AT23" s="291">
        <f>'[1]January - 2021'!BB23</f>
        <v>3020.640000000596</v>
      </c>
      <c r="AU23" s="92">
        <f>'[1]January - 2021'!BB23</f>
        <v>3020.640000000596</v>
      </c>
      <c r="AV23" s="290">
        <f>'[1]January - 2021'!BD23</f>
        <v>13727395.919999998</v>
      </c>
      <c r="AW23" s="252">
        <f>'[1]January - 2021'!BE23</f>
        <v>5602.7999999988824</v>
      </c>
      <c r="AX23" s="253">
        <f>'[1]January - 2021'!BE23</f>
        <v>5602.7999999988824</v>
      </c>
      <c r="AY23" s="486"/>
      <c r="AZ23" s="272">
        <f>'[1]January - 2021'!BK23</f>
        <v>57868700</v>
      </c>
      <c r="BA23" s="179">
        <f>'[1]January - 2021'!BL23</f>
        <v>0</v>
      </c>
      <c r="BB23" s="93">
        <f>'[1]January - 2021'!BL23</f>
        <v>0</v>
      </c>
      <c r="BC23" s="272">
        <f>'[1]January - 2021'!BN23</f>
        <v>61881900</v>
      </c>
      <c r="BD23" s="245">
        <f>'[1]January - 2021'!BO23</f>
        <v>32500</v>
      </c>
      <c r="BE23" s="93">
        <f>'[1]January - 2021'!BO23</f>
        <v>32500</v>
      </c>
      <c r="BF23" s="272">
        <f>'[1]January - 2021'!BQ23</f>
        <v>55644900</v>
      </c>
      <c r="BG23" s="245">
        <f>'[1]January - 2021'!BR23</f>
        <v>0</v>
      </c>
      <c r="BH23" s="93">
        <f>'[1]January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- 2021'!BT23</f>
        <v>5688730</v>
      </c>
      <c r="BT23" s="185">
        <f>'[1]January - 2021'!BU23</f>
        <v>4510</v>
      </c>
      <c r="BU23" s="393"/>
      <c r="BV23" s="88">
        <f>'[1]January - 2021'!BW23</f>
        <v>0.72</v>
      </c>
      <c r="BW23" s="241">
        <f>'[1]January - 2021'!BX23</f>
        <v>-6.9999999999999951E-2</v>
      </c>
      <c r="BX23" s="88">
        <f>'[1]January - 2021'!BX23</f>
        <v>-6.9999999999999951E-2</v>
      </c>
      <c r="BY23" s="89">
        <f>'[1]January - 2021'!BZ23</f>
        <v>51307</v>
      </c>
      <c r="BZ23" s="191">
        <f>'[1]January - 2021'!CA23</f>
        <v>19</v>
      </c>
      <c r="CA23" s="89">
        <f>'[1]January - 2021'!CB23</f>
        <v>43212</v>
      </c>
      <c r="CB23" s="191">
        <f>'[1]January - 2021'!CC23</f>
        <v>17</v>
      </c>
      <c r="CC23" s="89">
        <f>'[1]January - 2021'!CD23</f>
        <v>14840</v>
      </c>
      <c r="CD23" s="191">
        <f>'[1]January - 2021'!CE23</f>
        <v>7</v>
      </c>
      <c r="CE23" s="89">
        <f>'[1]January - 2021'!CF23</f>
        <v>18833</v>
      </c>
      <c r="CF23" s="191">
        <f>'[1]January - 2021'!CG23</f>
        <v>9</v>
      </c>
      <c r="CG23" s="89">
        <f>'[1]January - 2021'!CH23</f>
        <v>20376</v>
      </c>
      <c r="CH23" s="191">
        <f>'[1]January - 2021'!CI23</f>
        <v>12</v>
      </c>
      <c r="CI23" s="89">
        <f>'[1]January - 2021'!CJ23</f>
        <v>46287</v>
      </c>
      <c r="CJ23" s="191">
        <f>'[1]January - 2021'!CK23</f>
        <v>24</v>
      </c>
      <c r="CK23" s="89">
        <f>'[1]January - 2021'!CL23</f>
        <v>202970</v>
      </c>
      <c r="CL23" s="246">
        <f>'[1]January - 2021'!CM23</f>
        <v>92</v>
      </c>
      <c r="CM23" s="89">
        <f>'[1]January - 2021'!CM23</f>
        <v>92</v>
      </c>
      <c r="CN23" s="89">
        <f>'[1]January - 2021'!CO23</f>
        <v>151281</v>
      </c>
      <c r="CO23" s="246">
        <f>'[1]January - 2021'!CP23</f>
        <v>104</v>
      </c>
      <c r="CP23" s="89">
        <f>'[1]January - 2021'!CP23</f>
        <v>104</v>
      </c>
      <c r="CQ23" s="89">
        <f>'[1]January - 2021'!CR23</f>
        <v>283007</v>
      </c>
      <c r="CR23" s="246">
        <f>'[1]January - 2021'!CS23</f>
        <v>457</v>
      </c>
      <c r="CS23" s="89">
        <f>'[1]January - 2021'!CS23</f>
        <v>457</v>
      </c>
      <c r="CT23" s="89">
        <f>'[1]January - 2021'!CU23</f>
        <v>539718</v>
      </c>
      <c r="CU23" s="191">
        <f>'[1]January - 2021'!CV23</f>
        <v>269</v>
      </c>
      <c r="CV23" s="453"/>
      <c r="CW23" s="256">
        <f>'[1]January - 2021'!CX23</f>
        <v>4313</v>
      </c>
      <c r="CX23" s="198">
        <f>'[1]January - 2021'!CY23</f>
        <v>17</v>
      </c>
      <c r="CY23" s="257">
        <f>'[1]January - 2021'!CZ23</f>
        <v>2100</v>
      </c>
      <c r="CZ23" s="198">
        <f>'[1]January - 2021'!DA23</f>
        <v>46</v>
      </c>
      <c r="DA23" s="257">
        <f>'[1]January - 2021'!DB23</f>
        <v>22503</v>
      </c>
      <c r="DB23" s="198">
        <f>'[1]January - 2021'!DC23</f>
        <v>15</v>
      </c>
      <c r="DC23" s="257">
        <f>'[1]January - 2021'!DD23</f>
        <v>23405</v>
      </c>
      <c r="DD23" s="198">
        <f>'[1]January - 2021'!DE23</f>
        <v>14</v>
      </c>
      <c r="DE23" s="257">
        <f>'[1]January - 2021'!DF23</f>
        <v>16121</v>
      </c>
      <c r="DF23" s="198">
        <f>'[1]January - 2021'!DG23</f>
        <v>14</v>
      </c>
      <c r="DG23" s="257">
        <f>'[1]January - 2021'!DH23</f>
        <v>19197</v>
      </c>
      <c r="DH23" s="198">
        <f>'[1]January - 2021'!DI23</f>
        <v>7</v>
      </c>
      <c r="DI23" s="257">
        <f>'[1]January - 2021'!DJ23</f>
        <v>826</v>
      </c>
      <c r="DJ23" s="198">
        <f>'[1]January - 2021'!DK23</f>
        <v>0</v>
      </c>
      <c r="DK23" s="257">
        <f>'[1]January - 2021'!DL23</f>
        <v>3616</v>
      </c>
      <c r="DL23" s="198">
        <f>'[1]January - 2021'!DM23</f>
        <v>0</v>
      </c>
      <c r="DM23" s="257">
        <f>'[1]January - 2021'!DN23</f>
        <v>297</v>
      </c>
      <c r="DN23" s="198">
        <f>'[1]January - 2021'!DO23</f>
        <v>8</v>
      </c>
      <c r="DO23" s="257">
        <f>'[1]January - 2021'!DP23</f>
        <v>1885</v>
      </c>
      <c r="DP23" s="198">
        <f>'[1]January - 2021'!DQ23</f>
        <v>1</v>
      </c>
      <c r="DQ23" s="257">
        <f>'[1]January - 2021'!DR23</f>
        <v>22907</v>
      </c>
      <c r="DR23" s="206">
        <f>'[1]January - 2021'!DS23</f>
        <v>9</v>
      </c>
      <c r="DS23" s="438"/>
      <c r="DT23" s="210">
        <f>'[1]January - 2021'!DU23</f>
        <v>176.3</v>
      </c>
      <c r="DU23" s="221">
        <f>'[1]January - 2021'!DV23</f>
        <v>8.3000000000000114</v>
      </c>
      <c r="DV23" s="91">
        <f>'[1]January - 2021'!DW23</f>
        <v>5954.6</v>
      </c>
      <c r="DW23" s="215">
        <f>'[1]January - 2021'!DX23</f>
        <v>5.1000000000003638</v>
      </c>
      <c r="DX23" s="91">
        <f>'[1]January - 2021'!DY23</f>
        <v>142.69999999999999</v>
      </c>
      <c r="DY23" s="215">
        <f>'[1]January - 2021'!DZ23</f>
        <v>7</v>
      </c>
      <c r="DZ23" s="91">
        <f>'[1]January - 2021'!EA23</f>
        <v>254118.94</v>
      </c>
      <c r="EA23" s="215">
        <f>'[1]January - 2021'!EB23</f>
        <v>26.220000000001164</v>
      </c>
      <c r="EB23" s="91">
        <f>'[1]January - 2021'!EC23</f>
        <v>642417</v>
      </c>
      <c r="EC23" s="215">
        <f>'[1]January - 2021'!ED23</f>
        <v>490</v>
      </c>
      <c r="ED23" s="91">
        <f>'[1]January - 2021'!EG23</f>
        <v>126001</v>
      </c>
      <c r="EE23" s="229">
        <f>'[1]January - 2021'!EH23</f>
        <v>154</v>
      </c>
      <c r="EF23" s="377"/>
      <c r="EG23" s="235">
        <f>'[1]January - 2021'!EJ23</f>
        <v>8662100</v>
      </c>
      <c r="EH23" s="230">
        <f>'[1]January - 2021'!EK23</f>
        <v>1500</v>
      </c>
      <c r="EI23" s="90">
        <f>'[1]January - 2021'!EL23</f>
        <v>709370</v>
      </c>
      <c r="EJ23" s="230">
        <f>'[1]January - 2021'!EM23</f>
        <v>220</v>
      </c>
      <c r="EK23" s="90">
        <f>'[1]January - 2021'!EN23</f>
        <v>5559800</v>
      </c>
      <c r="EL23" s="230">
        <f>'[1]January - 2021'!EO23</f>
        <v>1000</v>
      </c>
      <c r="EM23" s="90">
        <f>'[1]January - 2021'!EP23</f>
        <v>1994600</v>
      </c>
      <c r="EN23" s="230">
        <f>'[1]January - 2021'!EQ23</f>
        <v>0</v>
      </c>
      <c r="EO23" s="90">
        <f>'[1]January - 2021'!ER23</f>
        <v>732130</v>
      </c>
      <c r="EP23" s="230">
        <f>'[1]January - 2021'!ES23</f>
        <v>140</v>
      </c>
      <c r="EQ23" s="90">
        <f>'[1]January - 2021'!ET23</f>
        <v>12286500</v>
      </c>
      <c r="ER23" s="230">
        <f>'[1]January - 2021'!EU23</f>
        <v>1800</v>
      </c>
      <c r="ES23" s="425"/>
      <c r="ET23" s="284">
        <f>'[1]January - 2021'!EW23</f>
        <v>32776</v>
      </c>
      <c r="EU23" s="278">
        <f>'[1]January - 2021'!EX23</f>
        <v>12</v>
      </c>
      <c r="EV23" s="285">
        <f>'[1]January - 2021'!EY23</f>
        <v>28165</v>
      </c>
      <c r="EW23" s="278">
        <f>'[1]January - 2021'!EZ23</f>
        <v>18</v>
      </c>
      <c r="EX23" s="285">
        <f>'[1]January - 2021'!FA23</f>
        <v>0</v>
      </c>
      <c r="EY23" s="278">
        <f>'[1]January - 2021'!FB23</f>
        <v>0</v>
      </c>
      <c r="EZ23" s="285">
        <f>'[1]January - 2021'!FC23</f>
        <v>48916</v>
      </c>
      <c r="FA23" s="278">
        <f>'[1]January - 2021'!FD23</f>
        <v>29</v>
      </c>
      <c r="FB23" s="285">
        <f>'[1]January - 2021'!FE23</f>
        <v>27983</v>
      </c>
      <c r="FC23" s="279">
        <f>'[1]January - 2021'!FF23</f>
        <v>27</v>
      </c>
    </row>
    <row r="24" spans="1:159" ht="30" customHeight="1" x14ac:dyDescent="0.25">
      <c r="A24" s="207">
        <v>43845</v>
      </c>
      <c r="B24" s="209">
        <f>'[1]January - 2021'!B24</f>
        <v>0.9</v>
      </c>
      <c r="C24" s="250">
        <f>'[1]January - 2021'!E24</f>
        <v>707537</v>
      </c>
      <c r="D24" s="170">
        <f>'[1]January - 2021'!F24</f>
        <v>510</v>
      </c>
      <c r="E24" s="168">
        <f>'[1]January - 2021'!G24</f>
        <v>472</v>
      </c>
      <c r="F24" s="168">
        <f>'[1]January - 2021'!H24</f>
        <v>809227</v>
      </c>
      <c r="G24" s="170">
        <f>'[1]January - 2021'!I24</f>
        <v>441</v>
      </c>
      <c r="H24" s="168">
        <f>'[1]January - 2021'!J24</f>
        <v>414</v>
      </c>
      <c r="I24" s="168">
        <f>'[1]January - 2021'!K24</f>
        <v>107176</v>
      </c>
      <c r="J24" s="170">
        <f>'[1]January - 2021'!L24</f>
        <v>135</v>
      </c>
      <c r="K24" s="168">
        <f>'[1]January - 2021'!N24</f>
        <v>717459</v>
      </c>
      <c r="L24" s="170">
        <f>'[1]January - 2021'!O24</f>
        <v>180</v>
      </c>
      <c r="M24" s="168">
        <f>'[1]January - 2021'!Q24</f>
        <v>163777</v>
      </c>
      <c r="N24" s="170">
        <f>'[1]January - 2021'!R24</f>
        <v>0</v>
      </c>
      <c r="O24" s="168">
        <f>'[1]January - 2021'!S24</f>
        <v>141757</v>
      </c>
      <c r="P24" s="170">
        <f>'[1]January - 2021'!T24</f>
        <v>33</v>
      </c>
      <c r="Q24" s="168">
        <f>'[1]January - 2021'!U24</f>
        <v>39</v>
      </c>
      <c r="R24" s="168">
        <f>'[1]January - 2021'!V24</f>
        <v>15009</v>
      </c>
      <c r="S24" s="208">
        <f>'[1]January - 2021'!W24</f>
        <v>0</v>
      </c>
      <c r="T24" s="520"/>
      <c r="U24" s="169">
        <f>'[1]January - 2021'!AC24</f>
        <v>6276841.2000000002</v>
      </c>
      <c r="V24" s="291">
        <f>'[1]January - 2021'!AD24</f>
        <v>1851.3600000003353</v>
      </c>
      <c r="W24" s="92">
        <f>'[1]January - 2021'!AD24</f>
        <v>1851.3600000003353</v>
      </c>
      <c r="X24" s="290">
        <f>'[1]January - 2021'!AF24</f>
        <v>12253469.76</v>
      </c>
      <c r="Y24" s="291">
        <f>'[1]January - 2021'!AG24</f>
        <v>4336.0800000000745</v>
      </c>
      <c r="Z24" s="92">
        <f>'[1]January - 2021'!AG24</f>
        <v>4336.0800000000745</v>
      </c>
      <c r="AA24" s="290">
        <f>'[1]January - 2021'!AI24</f>
        <v>11577333.6</v>
      </c>
      <c r="AB24" s="291">
        <f>'[1]January - 2021'!AJ24</f>
        <v>97.439999999478459</v>
      </c>
      <c r="AC24" s="92">
        <f>'[1]January - 2021'!AJ24</f>
        <v>97.439999999478459</v>
      </c>
      <c r="AD24" s="290">
        <f>'[1]January - 2021'!AL24</f>
        <v>14889075.6</v>
      </c>
      <c r="AE24" s="291">
        <f>'[1]January - 2021'!AM24</f>
        <v>8038.8000000007451</v>
      </c>
      <c r="AF24" s="92">
        <f>'[1]January - 2021'!AM24</f>
        <v>8038.8000000007451</v>
      </c>
      <c r="AG24" s="290">
        <f>'[1]January - 2021'!AO24</f>
        <v>15017891.280000001</v>
      </c>
      <c r="AH24" s="291">
        <f>'[1]January - 2021'!AP24</f>
        <v>48.720000002533197</v>
      </c>
      <c r="AI24" s="92">
        <f>'[1]January - 2021'!AP24</f>
        <v>48.720000002533197</v>
      </c>
      <c r="AJ24" s="290">
        <f>'[1]January - 2021'!AR24</f>
        <v>13737334.799999999</v>
      </c>
      <c r="AK24" s="291">
        <f>'[1]January - 2021'!AS24</f>
        <v>5310.480000000447</v>
      </c>
      <c r="AL24" s="92">
        <f>'[1]January - 2021'!AS24</f>
        <v>5310.480000000447</v>
      </c>
      <c r="AM24" s="290">
        <f>'[1]January - 2021'!AU24</f>
        <v>11747317.68</v>
      </c>
      <c r="AN24" s="291">
        <f>'[1]January - 2021'!AV24</f>
        <v>3654</v>
      </c>
      <c r="AO24" s="92">
        <f>'[1]January - 2021'!AV24</f>
        <v>3654</v>
      </c>
      <c r="AP24" s="290">
        <f>'[1]January - 2021'!AX24</f>
        <v>11346108.48</v>
      </c>
      <c r="AQ24" s="291">
        <f>'[1]January - 2021'!AY24</f>
        <v>3751.4399999994785</v>
      </c>
      <c r="AR24" s="92">
        <f>'[1]January - 2021'!AY24</f>
        <v>3751.4399999994785</v>
      </c>
      <c r="AS24" s="290">
        <f>'[1]January - 2021'!BA24</f>
        <v>9080774.6400000006</v>
      </c>
      <c r="AT24" s="291">
        <f>'[1]January - 2021'!BB24</f>
        <v>3020.640000000596</v>
      </c>
      <c r="AU24" s="92">
        <f>'[1]January - 2021'!BB24</f>
        <v>3020.640000000596</v>
      </c>
      <c r="AV24" s="290">
        <f>'[1]January - 2021'!BD24</f>
        <v>13732852.559999999</v>
      </c>
      <c r="AW24" s="252">
        <f>'[1]January - 2021'!BE24</f>
        <v>5456.640000000596</v>
      </c>
      <c r="AX24" s="253">
        <f>'[1]January - 2021'!BE24</f>
        <v>5456.640000000596</v>
      </c>
      <c r="AY24" s="486"/>
      <c r="AZ24" s="272">
        <f>'[1]January - 2021'!BK24</f>
        <v>57868700</v>
      </c>
      <c r="BA24" s="179">
        <f>'[1]January - 2021'!BL24</f>
        <v>0</v>
      </c>
      <c r="BB24" s="93">
        <f>'[1]January - 2021'!BL24</f>
        <v>0</v>
      </c>
      <c r="BC24" s="272">
        <f>'[1]January - 2021'!BN24</f>
        <v>61915700</v>
      </c>
      <c r="BD24" s="245">
        <f>'[1]January - 2021'!BO24</f>
        <v>33800</v>
      </c>
      <c r="BE24" s="93">
        <f>'[1]January - 2021'!BO24</f>
        <v>33800</v>
      </c>
      <c r="BF24" s="272">
        <f>'[1]January - 2021'!BQ24</f>
        <v>55644900</v>
      </c>
      <c r="BG24" s="245">
        <f>'[1]January - 2021'!BR24</f>
        <v>0</v>
      </c>
      <c r="BH24" s="93">
        <f>'[1]January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- 2021'!BT24</f>
        <v>5693500</v>
      </c>
      <c r="BT24" s="185">
        <f>'[1]January - 2021'!BU24</f>
        <v>4770</v>
      </c>
      <c r="BU24" s="393"/>
      <c r="BV24" s="88">
        <f>'[1]January - 2021'!BW24</f>
        <v>0.65</v>
      </c>
      <c r="BW24" s="241">
        <f>'[1]January - 2021'!BX24</f>
        <v>6.9999999999999951E-2</v>
      </c>
      <c r="BX24" s="88">
        <f>'[1]January - 2021'!BX24</f>
        <v>6.9999999999999951E-2</v>
      </c>
      <c r="BY24" s="89">
        <f>'[1]January - 2021'!BZ24</f>
        <v>51307</v>
      </c>
      <c r="BZ24" s="191">
        <f>'[1]January - 2021'!CA24</f>
        <v>0</v>
      </c>
      <c r="CA24" s="89">
        <f>'[1]January - 2021'!CB24</f>
        <v>43212</v>
      </c>
      <c r="CB24" s="191">
        <f>'[1]January - 2021'!CC24</f>
        <v>0</v>
      </c>
      <c r="CC24" s="89">
        <f>'[1]January - 2021'!CD24</f>
        <v>14840</v>
      </c>
      <c r="CD24" s="191">
        <f>'[1]January - 2021'!CE24</f>
        <v>0</v>
      </c>
      <c r="CE24" s="89">
        <f>'[1]January - 2021'!CF24</f>
        <v>18833</v>
      </c>
      <c r="CF24" s="191">
        <f>'[1]January - 2021'!CG24</f>
        <v>0</v>
      </c>
      <c r="CG24" s="89">
        <f>'[1]January - 2021'!CH24</f>
        <v>20376</v>
      </c>
      <c r="CH24" s="191">
        <f>'[1]January - 2021'!CI24</f>
        <v>0</v>
      </c>
      <c r="CI24" s="89">
        <f>'[1]January - 2021'!CJ24</f>
        <v>46287</v>
      </c>
      <c r="CJ24" s="191">
        <f>'[1]January - 2021'!CK24</f>
        <v>0</v>
      </c>
      <c r="CK24" s="89">
        <f>'[1]January - 2021'!CL24</f>
        <v>203056</v>
      </c>
      <c r="CL24" s="246">
        <f>'[1]January - 2021'!CM24</f>
        <v>86</v>
      </c>
      <c r="CM24" s="89">
        <f>'[1]January - 2021'!CM24</f>
        <v>86</v>
      </c>
      <c r="CN24" s="89">
        <f>'[1]January - 2021'!CO24</f>
        <v>151379</v>
      </c>
      <c r="CO24" s="246">
        <f>'[1]January - 2021'!CP24</f>
        <v>98</v>
      </c>
      <c r="CP24" s="89">
        <f>'[1]January - 2021'!CP24</f>
        <v>98</v>
      </c>
      <c r="CQ24" s="89">
        <f>'[1]January - 2021'!CR24</f>
        <v>283400</v>
      </c>
      <c r="CR24" s="246">
        <f>'[1]January - 2021'!CS24</f>
        <v>393</v>
      </c>
      <c r="CS24" s="89">
        <f>'[1]January - 2021'!CS24</f>
        <v>393</v>
      </c>
      <c r="CT24" s="89">
        <f>'[1]January - 2021'!CU24</f>
        <v>539968</v>
      </c>
      <c r="CU24" s="191">
        <f>'[1]January - 2021'!CV24</f>
        <v>250</v>
      </c>
      <c r="CV24" s="453"/>
      <c r="CW24" s="256">
        <f>'[1]January - 2021'!CX24</f>
        <v>4313</v>
      </c>
      <c r="CX24" s="198">
        <f>'[1]January - 2021'!CY24</f>
        <v>0</v>
      </c>
      <c r="CY24" s="257">
        <f>'[1]January - 2021'!CZ24</f>
        <v>2100</v>
      </c>
      <c r="CZ24" s="198">
        <f>'[1]January - 2021'!DA24</f>
        <v>0</v>
      </c>
      <c r="DA24" s="257">
        <f>'[1]January - 2021'!DB24</f>
        <v>22520</v>
      </c>
      <c r="DB24" s="198">
        <f>'[1]January - 2021'!DC24</f>
        <v>17</v>
      </c>
      <c r="DC24" s="257">
        <f>'[1]January - 2021'!DD24</f>
        <v>23420</v>
      </c>
      <c r="DD24" s="198">
        <f>'[1]January - 2021'!DE24</f>
        <v>15</v>
      </c>
      <c r="DE24" s="257">
        <f>'[1]January - 2021'!DF24</f>
        <v>16134</v>
      </c>
      <c r="DF24" s="198">
        <f>'[1]January - 2021'!DG24</f>
        <v>13</v>
      </c>
      <c r="DG24" s="257">
        <f>'[1]January - 2021'!DH24</f>
        <v>19205</v>
      </c>
      <c r="DH24" s="198">
        <f>'[1]January - 2021'!DI24</f>
        <v>8</v>
      </c>
      <c r="DI24" s="257">
        <f>'[1]January - 2021'!DJ24</f>
        <v>826</v>
      </c>
      <c r="DJ24" s="198">
        <f>'[1]January - 2021'!DK24</f>
        <v>0</v>
      </c>
      <c r="DK24" s="257">
        <f>'[1]January - 2021'!DL24</f>
        <v>3616</v>
      </c>
      <c r="DL24" s="198">
        <f>'[1]January - 2021'!DM24</f>
        <v>0</v>
      </c>
      <c r="DM24" s="257">
        <f>'[1]January - 2021'!DN24</f>
        <v>305</v>
      </c>
      <c r="DN24" s="198">
        <f>'[1]January - 2021'!DO24</f>
        <v>8</v>
      </c>
      <c r="DO24" s="257">
        <f>'[1]January - 2021'!DP24</f>
        <v>1888</v>
      </c>
      <c r="DP24" s="198">
        <f>'[1]January - 2021'!DQ24</f>
        <v>3</v>
      </c>
      <c r="DQ24" s="257">
        <f>'[1]January - 2021'!DR24</f>
        <v>22918</v>
      </c>
      <c r="DR24" s="206">
        <f>'[1]January - 2021'!DS24</f>
        <v>11</v>
      </c>
      <c r="DS24" s="438"/>
      <c r="DT24" s="210">
        <f>'[1]January - 2021'!DU24</f>
        <v>184.9</v>
      </c>
      <c r="DU24" s="221">
        <f>'[1]January - 2021'!DV24</f>
        <v>8.5999999999999943</v>
      </c>
      <c r="DV24" s="91">
        <f>'[1]January - 2021'!DW24</f>
        <v>5959.5</v>
      </c>
      <c r="DW24" s="215">
        <f>'[1]January - 2021'!DX24</f>
        <v>4.8999999999996362</v>
      </c>
      <c r="DX24" s="91">
        <f>'[1]January - 2021'!DY24</f>
        <v>149.69999999999999</v>
      </c>
      <c r="DY24" s="215">
        <f>'[1]January - 2021'!DZ24</f>
        <v>7</v>
      </c>
      <c r="DZ24" s="91">
        <f>'[1]January - 2021'!EA24</f>
        <v>254128</v>
      </c>
      <c r="EA24" s="215">
        <f>'[1]January - 2021'!EB24</f>
        <v>9.0599999999976717</v>
      </c>
      <c r="EB24" s="91">
        <f>'[1]January - 2021'!EC24</f>
        <v>642938</v>
      </c>
      <c r="EC24" s="215">
        <f>'[1]January - 2021'!ED24</f>
        <v>521</v>
      </c>
      <c r="ED24" s="91">
        <f>'[1]January - 2021'!EG24</f>
        <v>126151</v>
      </c>
      <c r="EE24" s="229">
        <f>'[1]January - 2021'!EH24</f>
        <v>150</v>
      </c>
      <c r="EF24" s="377"/>
      <c r="EG24" s="235">
        <f>'[1]January - 2021'!EJ24</f>
        <v>8663900</v>
      </c>
      <c r="EH24" s="230">
        <f>'[1]January - 2021'!EK24</f>
        <v>1800</v>
      </c>
      <c r="EI24" s="90">
        <f>'[1]January - 2021'!EL24</f>
        <v>709600</v>
      </c>
      <c r="EJ24" s="230">
        <f>'[1]January - 2021'!EM24</f>
        <v>230</v>
      </c>
      <c r="EK24" s="90">
        <f>'[1]January - 2021'!EN24</f>
        <v>5561000</v>
      </c>
      <c r="EL24" s="230">
        <f>'[1]January - 2021'!EO24</f>
        <v>1200</v>
      </c>
      <c r="EM24" s="90">
        <f>'[1]January - 2021'!EP24</f>
        <v>1994600</v>
      </c>
      <c r="EN24" s="230">
        <f>'[1]January - 2021'!EQ24</f>
        <v>0</v>
      </c>
      <c r="EO24" s="90">
        <f>'[1]January - 2021'!ER24</f>
        <v>732280</v>
      </c>
      <c r="EP24" s="230">
        <f>'[1]January - 2021'!ES24</f>
        <v>150</v>
      </c>
      <c r="EQ24" s="90">
        <f>'[1]January - 2021'!ET24</f>
        <v>12288500</v>
      </c>
      <c r="ER24" s="230">
        <f>'[1]January - 2021'!EU24</f>
        <v>2000</v>
      </c>
      <c r="ES24" s="425"/>
      <c r="ET24" s="284">
        <f>'[1]January - 2021'!EW24</f>
        <v>32786</v>
      </c>
      <c r="EU24" s="278">
        <f>'[1]January - 2021'!EX24</f>
        <v>10</v>
      </c>
      <c r="EV24" s="285">
        <f>'[1]January - 2021'!EY24</f>
        <v>28183</v>
      </c>
      <c r="EW24" s="278">
        <f>'[1]January - 2021'!EZ24</f>
        <v>18</v>
      </c>
      <c r="EX24" s="285">
        <f>'[1]January - 2021'!FA24</f>
        <v>0</v>
      </c>
      <c r="EY24" s="278">
        <f>'[1]January - 2021'!FB24</f>
        <v>0</v>
      </c>
      <c r="EZ24" s="285">
        <f>'[1]January - 2021'!FC24</f>
        <v>48916</v>
      </c>
      <c r="FA24" s="278">
        <f>'[1]January - 2021'!FD24</f>
        <v>0</v>
      </c>
      <c r="FB24" s="285">
        <f>'[1]January - 2021'!FE24</f>
        <v>28012</v>
      </c>
      <c r="FC24" s="279">
        <f>'[1]January - 2021'!FF24</f>
        <v>29</v>
      </c>
    </row>
    <row r="25" spans="1:159" ht="30" customHeight="1" x14ac:dyDescent="0.25">
      <c r="A25" s="207">
        <v>43846</v>
      </c>
      <c r="B25" s="209">
        <f>'[1]January - 2021'!B25</f>
        <v>0.89</v>
      </c>
      <c r="C25" s="250">
        <f>'[1]January - 2021'!E25</f>
        <v>708009</v>
      </c>
      <c r="D25" s="170">
        <f>'[1]January - 2021'!F25</f>
        <v>472</v>
      </c>
      <c r="E25" s="168">
        <f>'[1]January - 2021'!G25</f>
        <v>445</v>
      </c>
      <c r="F25" s="168">
        <f>'[1]January - 2021'!H25</f>
        <v>809613</v>
      </c>
      <c r="G25" s="170">
        <f>'[1]January - 2021'!I25</f>
        <v>386</v>
      </c>
      <c r="H25" s="168">
        <f>'[1]January - 2021'!J25</f>
        <v>407</v>
      </c>
      <c r="I25" s="168">
        <f>'[1]January - 2021'!K25</f>
        <v>107307</v>
      </c>
      <c r="J25" s="170">
        <f>'[1]January - 2021'!L25</f>
        <v>131</v>
      </c>
      <c r="K25" s="168">
        <f>'[1]January - 2021'!N25</f>
        <v>717631</v>
      </c>
      <c r="L25" s="170">
        <f>'[1]January - 2021'!O25</f>
        <v>172</v>
      </c>
      <c r="M25" s="168">
        <f>'[1]January - 2021'!Q25</f>
        <v>163777</v>
      </c>
      <c r="N25" s="170">
        <f>'[1]January - 2021'!R25</f>
        <v>0</v>
      </c>
      <c r="O25" s="168">
        <f>'[1]January - 2021'!S25</f>
        <v>141793</v>
      </c>
      <c r="P25" s="170">
        <f>'[1]January - 2021'!T25</f>
        <v>36</v>
      </c>
      <c r="Q25" s="168">
        <f>'[1]January - 2021'!U25</f>
        <v>37</v>
      </c>
      <c r="R25" s="168">
        <f>'[1]January - 2021'!V25</f>
        <v>15009</v>
      </c>
      <c r="S25" s="208">
        <f>'[1]January - 2021'!W25</f>
        <v>0</v>
      </c>
      <c r="T25" s="520"/>
      <c r="U25" s="169">
        <f>'[1]January - 2021'!AC25</f>
        <v>6278643.8399999999</v>
      </c>
      <c r="V25" s="291">
        <f>'[1]January - 2021'!AD25</f>
        <v>1802.6399999996647</v>
      </c>
      <c r="W25" s="92">
        <f>'[1]January - 2021'!AD25</f>
        <v>1802.6399999996647</v>
      </c>
      <c r="X25" s="290">
        <f>'[1]January - 2021'!AF25</f>
        <v>12257952</v>
      </c>
      <c r="Y25" s="291">
        <f>'[1]January - 2021'!AG25</f>
        <v>4482.2400000002235</v>
      </c>
      <c r="Z25" s="92">
        <f>'[1]January - 2021'!AG25</f>
        <v>4482.2400000002235</v>
      </c>
      <c r="AA25" s="290">
        <f>'[1]January - 2021'!AI25</f>
        <v>11577479.76</v>
      </c>
      <c r="AB25" s="291">
        <f>'[1]January - 2021'!AJ25</f>
        <v>146.16000000014901</v>
      </c>
      <c r="AC25" s="92">
        <f>'[1]January - 2021'!AJ25</f>
        <v>146.16000000014901</v>
      </c>
      <c r="AD25" s="290">
        <f>'[1]January - 2021'!AL25</f>
        <v>14891609.039999999</v>
      </c>
      <c r="AE25" s="291">
        <f>'[1]January - 2021'!AM25</f>
        <v>2533.4399999994785</v>
      </c>
      <c r="AF25" s="92">
        <f>'[1]January - 2021'!AM25</f>
        <v>2533.4399999994785</v>
      </c>
      <c r="AG25" s="290">
        <f>'[1]January - 2021'!AO25</f>
        <v>15023591.52</v>
      </c>
      <c r="AH25" s="291">
        <f>'[1]January - 2021'!AP25</f>
        <v>5700.2399999983609</v>
      </c>
      <c r="AI25" s="92">
        <f>'[1]January - 2021'!AP25</f>
        <v>5700.2399999983609</v>
      </c>
      <c r="AJ25" s="290">
        <f>'[1]January - 2021'!AR25</f>
        <v>13742596.559999999</v>
      </c>
      <c r="AK25" s="291">
        <f>'[1]January - 2021'!AS25</f>
        <v>5261.7599999997765</v>
      </c>
      <c r="AL25" s="92">
        <f>'[1]January - 2021'!AS25</f>
        <v>5261.7599999997765</v>
      </c>
      <c r="AM25" s="290">
        <f>'[1]January - 2021'!AU25</f>
        <v>11751117.84</v>
      </c>
      <c r="AN25" s="291">
        <f>'[1]January - 2021'!AV25</f>
        <v>3800.160000000149</v>
      </c>
      <c r="AO25" s="92">
        <f>'[1]January - 2021'!AV25</f>
        <v>3800.160000000149</v>
      </c>
      <c r="AP25" s="290">
        <f>'[1]January - 2021'!AX25</f>
        <v>11349811.199999999</v>
      </c>
      <c r="AQ25" s="291">
        <f>'[1]January - 2021'!AY25</f>
        <v>3702.7199999988079</v>
      </c>
      <c r="AR25" s="92">
        <f>'[1]January - 2021'!AY25</f>
        <v>3702.7199999988079</v>
      </c>
      <c r="AS25" s="290">
        <f>'[1]January - 2021'!BA25</f>
        <v>9083892.7199999988</v>
      </c>
      <c r="AT25" s="291">
        <f>'[1]January - 2021'!BB25</f>
        <v>3118.0799999982119</v>
      </c>
      <c r="AU25" s="92">
        <f>'[1]January - 2021'!BB25</f>
        <v>3118.0799999982119</v>
      </c>
      <c r="AV25" s="290">
        <f>'[1]January - 2021'!BD25</f>
        <v>13738211.76</v>
      </c>
      <c r="AW25" s="252">
        <f>'[1]January - 2021'!BE25</f>
        <v>5359.2000000011176</v>
      </c>
      <c r="AX25" s="253">
        <f>'[1]January - 2021'!BE25</f>
        <v>5359.2000000011176</v>
      </c>
      <c r="AY25" s="486"/>
      <c r="AZ25" s="272">
        <f>'[1]January - 2021'!BK25</f>
        <v>57868700</v>
      </c>
      <c r="BA25" s="179">
        <f>'[1]January - 2021'!BL25</f>
        <v>0</v>
      </c>
      <c r="BB25" s="93">
        <f>'[1]January - 2021'!BL25</f>
        <v>0</v>
      </c>
      <c r="BC25" s="272">
        <f>'[1]January - 2021'!BN25</f>
        <v>61926300</v>
      </c>
      <c r="BD25" s="245">
        <f>'[1]January - 2021'!BO25</f>
        <v>10600</v>
      </c>
      <c r="BE25" s="93">
        <f>'[1]January - 2021'!BO25</f>
        <v>10600</v>
      </c>
      <c r="BF25" s="272">
        <f>'[1]January - 2021'!BQ25</f>
        <v>55667100</v>
      </c>
      <c r="BG25" s="245">
        <f>'[1]January - 2021'!BR25</f>
        <v>22200</v>
      </c>
      <c r="BH25" s="93">
        <f>'[1]January - 2021'!BR25</f>
        <v>22200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- 2021'!BT25</f>
        <v>5697530</v>
      </c>
      <c r="BT25" s="185">
        <f>'[1]January - 2021'!BU25</f>
        <v>4030</v>
      </c>
      <c r="BU25" s="393"/>
      <c r="BV25" s="88">
        <f>'[1]January - 2021'!BW25</f>
        <v>0.75</v>
      </c>
      <c r="BW25" s="241">
        <f>'[1]January - 2021'!BX25</f>
        <v>-9.9999999999999978E-2</v>
      </c>
      <c r="BX25" s="88">
        <f>'[1]January - 2021'!BX25</f>
        <v>-9.9999999999999978E-2</v>
      </c>
      <c r="BY25" s="89">
        <f>'[1]January - 2021'!BZ25</f>
        <v>51307</v>
      </c>
      <c r="BZ25" s="191">
        <f>'[1]January - 2021'!CA25</f>
        <v>0</v>
      </c>
      <c r="CA25" s="89">
        <f>'[1]January - 2021'!CB25</f>
        <v>43212</v>
      </c>
      <c r="CB25" s="191">
        <f>'[1]January - 2021'!CC25</f>
        <v>0</v>
      </c>
      <c r="CC25" s="89">
        <f>'[1]January - 2021'!CD25</f>
        <v>14840</v>
      </c>
      <c r="CD25" s="191">
        <f>'[1]January - 2021'!CE25</f>
        <v>0</v>
      </c>
      <c r="CE25" s="89">
        <f>'[1]January - 2021'!CF25</f>
        <v>18833</v>
      </c>
      <c r="CF25" s="191">
        <f>'[1]January - 2021'!CG25</f>
        <v>0</v>
      </c>
      <c r="CG25" s="89">
        <f>'[1]January - 2021'!CH25</f>
        <v>20376</v>
      </c>
      <c r="CH25" s="191">
        <f>'[1]January - 2021'!CI25</f>
        <v>0</v>
      </c>
      <c r="CI25" s="89">
        <f>'[1]January - 2021'!CJ25</f>
        <v>46287</v>
      </c>
      <c r="CJ25" s="191">
        <f>'[1]January - 2021'!CK25</f>
        <v>0</v>
      </c>
      <c r="CK25" s="89">
        <f>'[1]January - 2021'!CL25</f>
        <v>203143</v>
      </c>
      <c r="CL25" s="246">
        <f>'[1]January - 2021'!CM25</f>
        <v>87</v>
      </c>
      <c r="CM25" s="89">
        <f>'[1]January - 2021'!CM25</f>
        <v>87</v>
      </c>
      <c r="CN25" s="89">
        <f>'[1]January - 2021'!CO25</f>
        <v>151479</v>
      </c>
      <c r="CO25" s="246">
        <f>'[1]January - 2021'!CP25</f>
        <v>100</v>
      </c>
      <c r="CP25" s="89">
        <f>'[1]January - 2021'!CP25</f>
        <v>100</v>
      </c>
      <c r="CQ25" s="89">
        <f>'[1]January - 2021'!CR25</f>
        <v>283794</v>
      </c>
      <c r="CR25" s="246">
        <f>'[1]January - 2021'!CS25</f>
        <v>394</v>
      </c>
      <c r="CS25" s="89">
        <f>'[1]January - 2021'!CS25</f>
        <v>394</v>
      </c>
      <c r="CT25" s="89">
        <f>'[1]January - 2021'!CU25</f>
        <v>540224</v>
      </c>
      <c r="CU25" s="191">
        <f>'[1]January - 2021'!CV25</f>
        <v>256</v>
      </c>
      <c r="CV25" s="453"/>
      <c r="CW25" s="256">
        <f>'[1]January - 2021'!CX25</f>
        <v>4313</v>
      </c>
      <c r="CX25" s="198">
        <f>'[1]January - 2021'!CY25</f>
        <v>0</v>
      </c>
      <c r="CY25" s="257">
        <f>'[1]January - 2021'!CZ25</f>
        <v>2100</v>
      </c>
      <c r="CZ25" s="198">
        <f>'[1]January - 2021'!DA25</f>
        <v>0</v>
      </c>
      <c r="DA25" s="257">
        <f>'[1]January - 2021'!DB25</f>
        <v>22534</v>
      </c>
      <c r="DB25" s="198">
        <f>'[1]January - 2021'!DC25</f>
        <v>14</v>
      </c>
      <c r="DC25" s="257">
        <f>'[1]January - 2021'!DD25</f>
        <v>23433</v>
      </c>
      <c r="DD25" s="198">
        <f>'[1]January - 2021'!DE25</f>
        <v>13</v>
      </c>
      <c r="DE25" s="257">
        <f>'[1]January - 2021'!DF25</f>
        <v>16147</v>
      </c>
      <c r="DF25" s="198">
        <f>'[1]January - 2021'!DG25</f>
        <v>13</v>
      </c>
      <c r="DG25" s="257">
        <f>'[1]January - 2021'!DH25</f>
        <v>19214</v>
      </c>
      <c r="DH25" s="198">
        <f>'[1]January - 2021'!DI25</f>
        <v>9</v>
      </c>
      <c r="DI25" s="257">
        <f>'[1]January - 2021'!DJ25</f>
        <v>826</v>
      </c>
      <c r="DJ25" s="198">
        <f>'[1]January - 2021'!DK25</f>
        <v>0</v>
      </c>
      <c r="DK25" s="257">
        <f>'[1]January - 2021'!DL25</f>
        <v>3616</v>
      </c>
      <c r="DL25" s="198">
        <f>'[1]January - 2021'!DM25</f>
        <v>0</v>
      </c>
      <c r="DM25" s="257">
        <f>'[1]January - 2021'!DN25</f>
        <v>313</v>
      </c>
      <c r="DN25" s="198">
        <f>'[1]January - 2021'!DO25</f>
        <v>8</v>
      </c>
      <c r="DO25" s="257">
        <f>'[1]January - 2021'!DP25</f>
        <v>1891</v>
      </c>
      <c r="DP25" s="198">
        <f>'[1]January - 2021'!DQ25</f>
        <v>3</v>
      </c>
      <c r="DQ25" s="257">
        <f>'[1]January - 2021'!DR25</f>
        <v>22922</v>
      </c>
      <c r="DR25" s="206">
        <f>'[1]January - 2021'!DS25</f>
        <v>4</v>
      </c>
      <c r="DS25" s="438"/>
      <c r="DT25" s="210">
        <f>'[1]January - 2021'!DU25</f>
        <v>193</v>
      </c>
      <c r="DU25" s="221">
        <f>'[1]January - 2021'!DV25</f>
        <v>8.0999999999999943</v>
      </c>
      <c r="DV25" s="91">
        <f>'[1]January - 2021'!DW25</f>
        <v>5964.6</v>
      </c>
      <c r="DW25" s="215">
        <f>'[1]January - 2021'!DX25</f>
        <v>5.1000000000003638</v>
      </c>
      <c r="DX25" s="91">
        <f>'[1]January - 2021'!DY25</f>
        <v>156</v>
      </c>
      <c r="DY25" s="215">
        <f>'[1]January - 2021'!DZ25</f>
        <v>6.3000000000000114</v>
      </c>
      <c r="DZ25" s="91">
        <f>'[1]January - 2021'!EA25</f>
        <v>254155</v>
      </c>
      <c r="EA25" s="215">
        <f>'[1]January - 2021'!EB25</f>
        <v>27</v>
      </c>
      <c r="EB25" s="91">
        <f>'[1]January - 2021'!EC25</f>
        <v>643463</v>
      </c>
      <c r="EC25" s="215">
        <f>'[1]January - 2021'!ED25</f>
        <v>525</v>
      </c>
      <c r="ED25" s="91">
        <f>'[1]January - 2021'!EG25</f>
        <v>126300</v>
      </c>
      <c r="EE25" s="229">
        <f>'[1]January - 2021'!EH25</f>
        <v>149</v>
      </c>
      <c r="EF25" s="377"/>
      <c r="EG25" s="235">
        <f>'[1]January - 2021'!EJ25</f>
        <v>8665600</v>
      </c>
      <c r="EH25" s="230">
        <f>'[1]January - 2021'!EK25</f>
        <v>1700</v>
      </c>
      <c r="EI25" s="90">
        <f>'[1]January - 2021'!EL25</f>
        <v>709850</v>
      </c>
      <c r="EJ25" s="230">
        <f>'[1]January - 2021'!EM25</f>
        <v>250</v>
      </c>
      <c r="EK25" s="90">
        <f>'[1]January - 2021'!EN25</f>
        <v>5562200</v>
      </c>
      <c r="EL25" s="230">
        <f>'[1]January - 2021'!EO25</f>
        <v>1200</v>
      </c>
      <c r="EM25" s="90">
        <f>'[1]January - 2021'!EP25</f>
        <v>1994600</v>
      </c>
      <c r="EN25" s="230">
        <f>'[1]January - 2021'!EQ25</f>
        <v>0</v>
      </c>
      <c r="EO25" s="90">
        <f>'[1]January - 2021'!ER25</f>
        <v>732430</v>
      </c>
      <c r="EP25" s="230">
        <f>'[1]January - 2021'!ES25</f>
        <v>150</v>
      </c>
      <c r="EQ25" s="90">
        <f>'[1]January - 2021'!ET25</f>
        <v>12290800</v>
      </c>
      <c r="ER25" s="230">
        <f>'[1]January - 2021'!EU25</f>
        <v>2300</v>
      </c>
      <c r="ES25" s="425"/>
      <c r="ET25" s="284">
        <f>'[1]January - 2021'!EW25</f>
        <v>32798</v>
      </c>
      <c r="EU25" s="278">
        <f>'[1]January - 2021'!EX25</f>
        <v>12</v>
      </c>
      <c r="EV25" s="285">
        <f>'[1]January - 2021'!EY25</f>
        <v>28202</v>
      </c>
      <c r="EW25" s="278">
        <f>'[1]January - 2021'!EZ25</f>
        <v>19</v>
      </c>
      <c r="EX25" s="285">
        <f>'[1]January - 2021'!FA25</f>
        <v>0</v>
      </c>
      <c r="EY25" s="278">
        <f>'[1]January - 2021'!FB25</f>
        <v>0</v>
      </c>
      <c r="EZ25" s="285">
        <f>'[1]January - 2021'!FC25</f>
        <v>48916</v>
      </c>
      <c r="FA25" s="278">
        <f>'[1]January - 2021'!FD25</f>
        <v>0</v>
      </c>
      <c r="FB25" s="285">
        <f>'[1]January - 2021'!FE25</f>
        <v>28041</v>
      </c>
      <c r="FC25" s="279">
        <f>'[1]January - 2021'!FF25</f>
        <v>29</v>
      </c>
    </row>
    <row r="26" spans="1:159" ht="30" customHeight="1" x14ac:dyDescent="0.25">
      <c r="A26" s="207">
        <v>43847</v>
      </c>
      <c r="B26" s="209">
        <f>'[1]January - 2021'!B26</f>
        <v>0.83</v>
      </c>
      <c r="C26" s="250">
        <f>'[1]January - 2021'!E26</f>
        <v>708436</v>
      </c>
      <c r="D26" s="170">
        <f>'[1]January - 2021'!F26</f>
        <v>427</v>
      </c>
      <c r="E26" s="168">
        <f>'[1]January - 2021'!G26</f>
        <v>498</v>
      </c>
      <c r="F26" s="168">
        <f>'[1]January - 2021'!H26</f>
        <v>809988</v>
      </c>
      <c r="G26" s="170">
        <f>'[1]January - 2021'!I26</f>
        <v>375</v>
      </c>
      <c r="H26" s="168">
        <f>'[1]January - 2021'!J26</f>
        <v>452</v>
      </c>
      <c r="I26" s="168">
        <f>'[1]January - 2021'!K26</f>
        <v>107439</v>
      </c>
      <c r="J26" s="170">
        <f>'[1]January - 2021'!L26</f>
        <v>132</v>
      </c>
      <c r="K26" s="168">
        <f>'[1]January - 2021'!N26</f>
        <v>717808</v>
      </c>
      <c r="L26" s="170">
        <f>'[1]January - 2021'!O26</f>
        <v>177</v>
      </c>
      <c r="M26" s="168">
        <f>'[1]January - 2021'!Q26</f>
        <v>163777</v>
      </c>
      <c r="N26" s="170">
        <f>'[1]January - 2021'!R26</f>
        <v>0</v>
      </c>
      <c r="O26" s="168">
        <f>'[1]January - 2021'!S26</f>
        <v>141830</v>
      </c>
      <c r="P26" s="170">
        <f>'[1]January - 2021'!T26</f>
        <v>37</v>
      </c>
      <c r="Q26" s="168">
        <f>'[1]January - 2021'!U26</f>
        <v>63</v>
      </c>
      <c r="R26" s="168">
        <f>'[1]January - 2021'!V26</f>
        <v>15009</v>
      </c>
      <c r="S26" s="208">
        <f>'[1]January - 2021'!W26</f>
        <v>0</v>
      </c>
      <c r="T26" s="520"/>
      <c r="U26" s="169">
        <f>'[1]January - 2021'!AC26</f>
        <v>6280446.4799999995</v>
      </c>
      <c r="V26" s="291">
        <f>'[1]January - 2021'!AD26</f>
        <v>1802.6399999996647</v>
      </c>
      <c r="W26" s="92">
        <f>'[1]January - 2021'!AD26</f>
        <v>1802.6399999996647</v>
      </c>
      <c r="X26" s="290">
        <f>'[1]January - 2021'!AF26</f>
        <v>12262434.24</v>
      </c>
      <c r="Y26" s="291">
        <f>'[1]January - 2021'!AG26</f>
        <v>4482.2400000002235</v>
      </c>
      <c r="Z26" s="92">
        <f>'[1]January - 2021'!AG26</f>
        <v>4482.2400000002235</v>
      </c>
      <c r="AA26" s="290">
        <f>'[1]January - 2021'!AI26</f>
        <v>11577625.92</v>
      </c>
      <c r="AB26" s="291">
        <f>'[1]January - 2021'!AJ26</f>
        <v>146.16000000014901</v>
      </c>
      <c r="AC26" s="92">
        <f>'[1]January - 2021'!AJ26</f>
        <v>146.16000000014901</v>
      </c>
      <c r="AD26" s="290">
        <f>'[1]January - 2021'!AL26</f>
        <v>14891609.039999999</v>
      </c>
      <c r="AE26" s="291">
        <f>'[1]January - 2021'!AM26</f>
        <v>0</v>
      </c>
      <c r="AF26" s="92">
        <f>'[1]January - 2021'!AM26</f>
        <v>0</v>
      </c>
      <c r="AG26" s="290">
        <f>'[1]January - 2021'!AO26</f>
        <v>15031776.48</v>
      </c>
      <c r="AH26" s="291">
        <f>'[1]January - 2021'!AP26</f>
        <v>8184.9600000008941</v>
      </c>
      <c r="AI26" s="92">
        <f>'[1]January - 2021'!AP26</f>
        <v>8184.9600000008941</v>
      </c>
      <c r="AJ26" s="290">
        <f>'[1]January - 2021'!AR26</f>
        <v>13747955.76</v>
      </c>
      <c r="AK26" s="291">
        <f>'[1]January - 2021'!AS26</f>
        <v>5359.2000000011176</v>
      </c>
      <c r="AL26" s="92">
        <f>'[1]January - 2021'!AS26</f>
        <v>5359.2000000011176</v>
      </c>
      <c r="AM26" s="290">
        <f>'[1]January - 2021'!AU26</f>
        <v>11755015.439999999</v>
      </c>
      <c r="AN26" s="291">
        <f>'[1]January - 2021'!AV26</f>
        <v>3897.5999999996275</v>
      </c>
      <c r="AO26" s="92">
        <f>'[1]January - 2021'!AV26</f>
        <v>3897.5999999996275</v>
      </c>
      <c r="AP26" s="290">
        <f>'[1]January - 2021'!AX26</f>
        <v>11353465.199999999</v>
      </c>
      <c r="AQ26" s="291">
        <f>'[1]January - 2021'!AY26</f>
        <v>3654</v>
      </c>
      <c r="AR26" s="92">
        <f>'[1]January - 2021'!AY26</f>
        <v>3654</v>
      </c>
      <c r="AS26" s="290">
        <f>'[1]January - 2021'!BA26</f>
        <v>9087205.6799999997</v>
      </c>
      <c r="AT26" s="291">
        <f>'[1]January - 2021'!BB26</f>
        <v>3312.9600000008941</v>
      </c>
      <c r="AU26" s="92">
        <f>'[1]January - 2021'!BB26</f>
        <v>3312.9600000008941</v>
      </c>
      <c r="AV26" s="290">
        <f>'[1]January - 2021'!BD26</f>
        <v>13743522.24</v>
      </c>
      <c r="AW26" s="252">
        <f>'[1]January - 2021'!BE26</f>
        <v>5310.480000000447</v>
      </c>
      <c r="AX26" s="253">
        <f>'[1]January - 2021'!BE26</f>
        <v>5310.480000000447</v>
      </c>
      <c r="AY26" s="486"/>
      <c r="AZ26" s="272">
        <f>'[1]January - 2021'!BK26</f>
        <v>57868700</v>
      </c>
      <c r="BA26" s="179">
        <f>'[1]January - 2021'!BL26</f>
        <v>0</v>
      </c>
      <c r="BB26" s="93">
        <f>'[1]January - 2021'!BL26</f>
        <v>0</v>
      </c>
      <c r="BC26" s="272">
        <f>'[1]January - 2021'!BN26</f>
        <v>61926300</v>
      </c>
      <c r="BD26" s="245">
        <f>'[1]January - 2021'!BO26</f>
        <v>0</v>
      </c>
      <c r="BE26" s="93">
        <f>'[1]January - 2021'!BO26</f>
        <v>0</v>
      </c>
      <c r="BF26" s="272">
        <f>'[1]January - 2021'!BQ26</f>
        <v>55698500</v>
      </c>
      <c r="BG26" s="245">
        <f>'[1]January - 2021'!BR26</f>
        <v>31400</v>
      </c>
      <c r="BH26" s="93">
        <f>'[1]January - 2021'!BR26</f>
        <v>31400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- 2021'!BT26</f>
        <v>5701360</v>
      </c>
      <c r="BT26" s="185">
        <f>'[1]January - 2021'!BU26</f>
        <v>3830</v>
      </c>
      <c r="BU26" s="393"/>
      <c r="BV26" s="88">
        <f>'[1]January - 2021'!BW26</f>
        <v>0.67</v>
      </c>
      <c r="BW26" s="241">
        <f>'[1]January - 2021'!BX26</f>
        <v>7.999999999999996E-2</v>
      </c>
      <c r="BX26" s="88">
        <f>'[1]January - 2021'!BX26</f>
        <v>7.999999999999996E-2</v>
      </c>
      <c r="BY26" s="89">
        <f>'[1]January - 2021'!BZ26</f>
        <v>51307</v>
      </c>
      <c r="BZ26" s="191">
        <f>'[1]January - 2021'!CA26</f>
        <v>0</v>
      </c>
      <c r="CA26" s="89">
        <f>'[1]January - 2021'!CB26</f>
        <v>43212</v>
      </c>
      <c r="CB26" s="191">
        <f>'[1]January - 2021'!CC26</f>
        <v>0</v>
      </c>
      <c r="CC26" s="89">
        <f>'[1]January - 2021'!CD26</f>
        <v>14840</v>
      </c>
      <c r="CD26" s="191">
        <f>'[1]January - 2021'!CE26</f>
        <v>0</v>
      </c>
      <c r="CE26" s="89">
        <f>'[1]January - 2021'!CF26</f>
        <v>18833</v>
      </c>
      <c r="CF26" s="191">
        <f>'[1]January - 2021'!CG26</f>
        <v>0</v>
      </c>
      <c r="CG26" s="89">
        <f>'[1]January - 2021'!CH26</f>
        <v>20376</v>
      </c>
      <c r="CH26" s="191">
        <f>'[1]January - 2021'!CI26</f>
        <v>0</v>
      </c>
      <c r="CI26" s="89">
        <f>'[1]January - 2021'!CJ26</f>
        <v>46287</v>
      </c>
      <c r="CJ26" s="191">
        <f>'[1]January - 2021'!CK26</f>
        <v>0</v>
      </c>
      <c r="CK26" s="89">
        <f>'[1]January - 2021'!CL26</f>
        <v>203235</v>
      </c>
      <c r="CL26" s="246">
        <f>'[1]January - 2021'!CM26</f>
        <v>92</v>
      </c>
      <c r="CM26" s="89">
        <f>'[1]January - 2021'!CM26</f>
        <v>92</v>
      </c>
      <c r="CN26" s="89">
        <f>'[1]January - 2021'!CO26</f>
        <v>151573</v>
      </c>
      <c r="CO26" s="246">
        <f>'[1]January - 2021'!CP26</f>
        <v>94</v>
      </c>
      <c r="CP26" s="89">
        <f>'[1]January - 2021'!CP26</f>
        <v>94</v>
      </c>
      <c r="CQ26" s="89">
        <f>'[1]January - 2021'!CR26</f>
        <v>284182</v>
      </c>
      <c r="CR26" s="246">
        <f>'[1]January - 2021'!CS26</f>
        <v>388</v>
      </c>
      <c r="CS26" s="89">
        <f>'[1]January - 2021'!CS26</f>
        <v>388</v>
      </c>
      <c r="CT26" s="89">
        <f>'[1]January - 2021'!CU26</f>
        <v>540487</v>
      </c>
      <c r="CU26" s="191">
        <f>'[1]January - 2021'!CV26</f>
        <v>263</v>
      </c>
      <c r="CV26" s="453"/>
      <c r="CW26" s="256">
        <f>'[1]January - 2021'!CX26</f>
        <v>4333</v>
      </c>
      <c r="CX26" s="198">
        <f>'[1]January - 2021'!CY26</f>
        <v>20</v>
      </c>
      <c r="CY26" s="257">
        <f>'[1]January - 2021'!CZ26</f>
        <v>2118</v>
      </c>
      <c r="CZ26" s="198">
        <f>'[1]January - 2021'!DA26</f>
        <v>18</v>
      </c>
      <c r="DA26" s="257">
        <f>'[1]January - 2021'!DB26</f>
        <v>22546</v>
      </c>
      <c r="DB26" s="198">
        <f>'[1]January - 2021'!DC26</f>
        <v>12</v>
      </c>
      <c r="DC26" s="257">
        <f>'[1]January - 2021'!DD26</f>
        <v>23442</v>
      </c>
      <c r="DD26" s="198">
        <f>'[1]January - 2021'!DE26</f>
        <v>9</v>
      </c>
      <c r="DE26" s="257">
        <f>'[1]January - 2021'!DF26</f>
        <v>16160</v>
      </c>
      <c r="DF26" s="198">
        <f>'[1]January - 2021'!DG26</f>
        <v>13</v>
      </c>
      <c r="DG26" s="257">
        <f>'[1]January - 2021'!DH26</f>
        <v>19222</v>
      </c>
      <c r="DH26" s="198">
        <f>'[1]January - 2021'!DI26</f>
        <v>8</v>
      </c>
      <c r="DI26" s="257">
        <f>'[1]January - 2021'!DJ26</f>
        <v>826</v>
      </c>
      <c r="DJ26" s="198">
        <f>'[1]January - 2021'!DK26</f>
        <v>0</v>
      </c>
      <c r="DK26" s="257">
        <f>'[1]January - 2021'!DL26</f>
        <v>3616</v>
      </c>
      <c r="DL26" s="198">
        <f>'[1]January - 2021'!DM26</f>
        <v>0</v>
      </c>
      <c r="DM26" s="257">
        <f>'[1]January - 2021'!DN26</f>
        <v>320</v>
      </c>
      <c r="DN26" s="198">
        <f>'[1]January - 2021'!DO26</f>
        <v>7</v>
      </c>
      <c r="DO26" s="257">
        <f>'[1]January - 2021'!DP26</f>
        <v>1894</v>
      </c>
      <c r="DP26" s="198">
        <f>'[1]January - 2021'!DQ26</f>
        <v>3</v>
      </c>
      <c r="DQ26" s="257">
        <f>'[1]January - 2021'!DR26</f>
        <v>22922</v>
      </c>
      <c r="DR26" s="206">
        <f>'[1]January - 2021'!DS26</f>
        <v>0</v>
      </c>
      <c r="DS26" s="438"/>
      <c r="DT26" s="210">
        <f>'[1]January - 2021'!DU26</f>
        <v>201</v>
      </c>
      <c r="DU26" s="221">
        <f>'[1]January - 2021'!DV26</f>
        <v>8</v>
      </c>
      <c r="DV26" s="91">
        <f>'[1]January - 2021'!DW26</f>
        <v>5969.2</v>
      </c>
      <c r="DW26" s="215">
        <f>'[1]January - 2021'!DX26</f>
        <v>4.5999999999994543</v>
      </c>
      <c r="DX26" s="91">
        <f>'[1]January - 2021'!DY26</f>
        <v>162.80000000000001</v>
      </c>
      <c r="DY26" s="215">
        <f>'[1]January - 2021'!DZ26</f>
        <v>6.8000000000000114</v>
      </c>
      <c r="DZ26" s="91">
        <f>'[1]January - 2021'!EA26</f>
        <v>254186</v>
      </c>
      <c r="EA26" s="215">
        <f>'[1]January - 2021'!EB26</f>
        <v>31</v>
      </c>
      <c r="EB26" s="91">
        <f>'[1]January - 2021'!EC26</f>
        <v>643952</v>
      </c>
      <c r="EC26" s="215">
        <f>'[1]January - 2021'!ED26</f>
        <v>489</v>
      </c>
      <c r="ED26" s="91">
        <f>'[1]January - 2021'!EG26</f>
        <v>126448</v>
      </c>
      <c r="EE26" s="229">
        <f>'[1]January - 2021'!EH26</f>
        <v>148</v>
      </c>
      <c r="EF26" s="377"/>
      <c r="EG26" s="235">
        <f>'[1]January - 2021'!EJ26</f>
        <v>8667000</v>
      </c>
      <c r="EH26" s="230">
        <f>'[1]January - 2021'!EK26</f>
        <v>1400</v>
      </c>
      <c r="EI26" s="90">
        <f>'[1]January - 2021'!EL26</f>
        <v>710070</v>
      </c>
      <c r="EJ26" s="230">
        <f>'[1]January - 2021'!EM26</f>
        <v>220</v>
      </c>
      <c r="EK26" s="90">
        <f>'[1]January - 2021'!EN26</f>
        <v>5563300</v>
      </c>
      <c r="EL26" s="230">
        <f>'[1]January - 2021'!EO26</f>
        <v>1100</v>
      </c>
      <c r="EM26" s="90">
        <f>'[1]January - 2021'!EP26</f>
        <v>1994700</v>
      </c>
      <c r="EN26" s="230">
        <f>'[1]January - 2021'!EQ26</f>
        <v>100</v>
      </c>
      <c r="EO26" s="90">
        <f>'[1]January - 2021'!ER26</f>
        <v>732580</v>
      </c>
      <c r="EP26" s="230">
        <f>'[1]January - 2021'!ES26</f>
        <v>150</v>
      </c>
      <c r="EQ26" s="90">
        <f>'[1]January - 2021'!ET26</f>
        <v>12292700</v>
      </c>
      <c r="ER26" s="230">
        <f>'[1]January - 2021'!EU26</f>
        <v>1900</v>
      </c>
      <c r="ES26" s="425"/>
      <c r="ET26" s="284">
        <f>'[1]January - 2021'!EW26</f>
        <v>32813</v>
      </c>
      <c r="EU26" s="278">
        <f>'[1]January - 2021'!EX26</f>
        <v>15</v>
      </c>
      <c r="EV26" s="285">
        <f>'[1]January - 2021'!EY26</f>
        <v>28219</v>
      </c>
      <c r="EW26" s="278">
        <f>'[1]January - 2021'!EZ26</f>
        <v>17</v>
      </c>
      <c r="EX26" s="285">
        <f>'[1]January - 2021'!FA26</f>
        <v>0</v>
      </c>
      <c r="EY26" s="278">
        <f>'[1]January - 2021'!FB26</f>
        <v>0</v>
      </c>
      <c r="EZ26" s="285">
        <f>'[1]January - 2021'!FC26</f>
        <v>48956</v>
      </c>
      <c r="FA26" s="278">
        <f>'[1]January - 2021'!FD26</f>
        <v>40</v>
      </c>
      <c r="FB26" s="285">
        <f>'[1]January - 2021'!FE26</f>
        <v>28067</v>
      </c>
      <c r="FC26" s="279">
        <f>'[1]January - 2021'!FF26</f>
        <v>26</v>
      </c>
    </row>
    <row r="27" spans="1:159" ht="30" customHeight="1" x14ac:dyDescent="0.25">
      <c r="A27" s="207">
        <v>43848</v>
      </c>
      <c r="B27" s="209">
        <f>'[1]January - 2021'!B27</f>
        <v>0.86</v>
      </c>
      <c r="C27" s="250">
        <f>'[1]January - 2021'!E27</f>
        <v>708909</v>
      </c>
      <c r="D27" s="170">
        <f>'[1]January - 2021'!F27</f>
        <v>473</v>
      </c>
      <c r="E27" s="168">
        <f>'[1]January - 2021'!G27</f>
        <v>556</v>
      </c>
      <c r="F27" s="168">
        <f>'[1]January - 2021'!H27</f>
        <v>810361</v>
      </c>
      <c r="G27" s="170">
        <f>'[1]January - 2021'!I27</f>
        <v>373</v>
      </c>
      <c r="H27" s="168">
        <f>'[1]January - 2021'!J27</f>
        <v>454</v>
      </c>
      <c r="I27" s="168">
        <f>'[1]January - 2021'!K27</f>
        <v>107646</v>
      </c>
      <c r="J27" s="170">
        <f>'[1]January - 2021'!L27</f>
        <v>207</v>
      </c>
      <c r="K27" s="168">
        <f>'[1]January - 2021'!N27</f>
        <v>718016</v>
      </c>
      <c r="L27" s="170">
        <f>'[1]January - 2021'!O27</f>
        <v>208</v>
      </c>
      <c r="M27" s="168">
        <f>'[1]January - 2021'!Q27</f>
        <v>163777</v>
      </c>
      <c r="N27" s="170">
        <f>'[1]January - 2021'!R27</f>
        <v>0</v>
      </c>
      <c r="O27" s="168">
        <f>'[1]January - 2021'!S27</f>
        <v>141871</v>
      </c>
      <c r="P27" s="170">
        <f>'[1]January - 2021'!T27</f>
        <v>41</v>
      </c>
      <c r="Q27" s="168">
        <f>'[1]January - 2021'!U27</f>
        <v>69</v>
      </c>
      <c r="R27" s="168">
        <f>'[1]January - 2021'!V27</f>
        <v>11</v>
      </c>
      <c r="S27" s="208">
        <f>'[1]January - 2021'!W27</f>
        <v>11</v>
      </c>
      <c r="T27" s="520"/>
      <c r="U27" s="169">
        <f>'[1]January - 2021'!AC27</f>
        <v>6282200.3999999994</v>
      </c>
      <c r="V27" s="291">
        <f>'[1]January - 2021'!AD27</f>
        <v>1753.9199999999255</v>
      </c>
      <c r="W27" s="92">
        <f>'[1]January - 2021'!AD27</f>
        <v>1753.9199999999255</v>
      </c>
      <c r="X27" s="290">
        <f>'[1]January - 2021'!AF27</f>
        <v>12266916.48</v>
      </c>
      <c r="Y27" s="291">
        <f>'[1]January - 2021'!AG27</f>
        <v>4482.2400000002235</v>
      </c>
      <c r="Z27" s="92">
        <f>'[1]January - 2021'!AG27</f>
        <v>4482.2400000002235</v>
      </c>
      <c r="AA27" s="290">
        <f>'[1]January - 2021'!AI27</f>
        <v>11577820.799999999</v>
      </c>
      <c r="AB27" s="291">
        <f>'[1]January - 2021'!AJ27</f>
        <v>194.87999999895692</v>
      </c>
      <c r="AC27" s="92">
        <f>'[1]January - 2021'!AJ27</f>
        <v>194.87999999895692</v>
      </c>
      <c r="AD27" s="290">
        <f>'[1]January - 2021'!AL27</f>
        <v>14891657.76</v>
      </c>
      <c r="AE27" s="291">
        <f>'[1]January - 2021'!AM27</f>
        <v>48.720000000670552</v>
      </c>
      <c r="AF27" s="92">
        <f>'[1]January - 2021'!AM27</f>
        <v>48.720000000670552</v>
      </c>
      <c r="AG27" s="290">
        <f>'[1]January - 2021'!AO27</f>
        <v>15041082</v>
      </c>
      <c r="AH27" s="291">
        <f>'[1]January - 2021'!AP27</f>
        <v>9305.519999999553</v>
      </c>
      <c r="AI27" s="92">
        <f>'[1]January - 2021'!AP27</f>
        <v>9305.519999999553</v>
      </c>
      <c r="AJ27" s="290">
        <f>'[1]January - 2021'!AR27</f>
        <v>13753022.640000001</v>
      </c>
      <c r="AK27" s="291">
        <f>'[1]January - 2021'!AS27</f>
        <v>5066.8800000008196</v>
      </c>
      <c r="AL27" s="92">
        <f>'[1]January - 2021'!AS27</f>
        <v>5066.8800000008196</v>
      </c>
      <c r="AM27" s="290">
        <f>'[1]January - 2021'!AU27</f>
        <v>11759010.48</v>
      </c>
      <c r="AN27" s="291">
        <f>'[1]January - 2021'!AV27</f>
        <v>3995.0400000009686</v>
      </c>
      <c r="AO27" s="92">
        <f>'[1]January - 2021'!AV27</f>
        <v>3995.0400000009686</v>
      </c>
      <c r="AP27" s="290">
        <f>'[1]January - 2021'!AX27</f>
        <v>11357265.359999999</v>
      </c>
      <c r="AQ27" s="291">
        <f>'[1]January - 2021'!AY27</f>
        <v>3800.160000000149</v>
      </c>
      <c r="AR27" s="92">
        <f>'[1]January - 2021'!AY27</f>
        <v>3800.160000000149</v>
      </c>
      <c r="AS27" s="290">
        <f>'[1]January - 2021'!BA27</f>
        <v>9090469.9199999999</v>
      </c>
      <c r="AT27" s="291">
        <f>'[1]January - 2021'!BB27</f>
        <v>3264.2400000002235</v>
      </c>
      <c r="AU27" s="92">
        <f>'[1]January - 2021'!BB27</f>
        <v>3264.2400000002235</v>
      </c>
      <c r="AV27" s="290">
        <f>'[1]January - 2021'!BD27</f>
        <v>13748735.280000001</v>
      </c>
      <c r="AW27" s="252">
        <f>'[1]January - 2021'!BE27</f>
        <v>5213.0400000009686</v>
      </c>
      <c r="AX27" s="253">
        <f>'[1]January - 2021'!BE27</f>
        <v>5213.0400000009686</v>
      </c>
      <c r="AY27" s="486"/>
      <c r="AZ27" s="272">
        <f>'[1]January - 2021'!BK27</f>
        <v>57868700</v>
      </c>
      <c r="BA27" s="179">
        <f>'[1]January - 2021'!BL27</f>
        <v>0</v>
      </c>
      <c r="BB27" s="93">
        <f>'[1]January - 2021'!BL27</f>
        <v>0</v>
      </c>
      <c r="BC27" s="272">
        <f>'[1]January - 2021'!BN27</f>
        <v>61926300</v>
      </c>
      <c r="BD27" s="245">
        <f>'[1]January - 2021'!BO27</f>
        <v>0</v>
      </c>
      <c r="BE27" s="93">
        <f>'[1]January - 2021'!BO27</f>
        <v>0</v>
      </c>
      <c r="BF27" s="272">
        <f>'[1]January - 2021'!BQ27</f>
        <v>55736400</v>
      </c>
      <c r="BG27" s="245">
        <f>'[1]January - 2021'!BR27</f>
        <v>37900</v>
      </c>
      <c r="BH27" s="93">
        <f>'[1]January - 2021'!BR27</f>
        <v>37900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- 2021'!BT27</f>
        <v>5705590</v>
      </c>
      <c r="BT27" s="185">
        <f>'[1]January - 2021'!BU27</f>
        <v>4230</v>
      </c>
      <c r="BU27" s="393"/>
      <c r="BV27" s="88">
        <f>'[1]January - 2021'!BW27</f>
        <v>0.6</v>
      </c>
      <c r="BW27" s="241">
        <f>'[1]January - 2021'!BX27</f>
        <v>7.0000000000000062E-2</v>
      </c>
      <c r="BX27" s="88">
        <f>'[1]January - 2021'!BX27</f>
        <v>7.0000000000000062E-2</v>
      </c>
      <c r="BY27" s="89">
        <f>'[1]January - 2021'!BZ27</f>
        <v>51307</v>
      </c>
      <c r="BZ27" s="191">
        <f>'[1]January - 2021'!CA27</f>
        <v>0</v>
      </c>
      <c r="CA27" s="89">
        <f>'[1]January - 2021'!CB27</f>
        <v>43212</v>
      </c>
      <c r="CB27" s="191">
        <f>'[1]January - 2021'!CC27</f>
        <v>0</v>
      </c>
      <c r="CC27" s="89">
        <f>'[1]January - 2021'!CD27</f>
        <v>14840</v>
      </c>
      <c r="CD27" s="191">
        <f>'[1]January - 2021'!CE27</f>
        <v>0</v>
      </c>
      <c r="CE27" s="89">
        <f>'[1]January - 2021'!CF27</f>
        <v>18833</v>
      </c>
      <c r="CF27" s="191">
        <f>'[1]January - 2021'!CG27</f>
        <v>0</v>
      </c>
      <c r="CG27" s="89">
        <f>'[1]January - 2021'!CH27</f>
        <v>20376</v>
      </c>
      <c r="CH27" s="191">
        <f>'[1]January - 2021'!CI27</f>
        <v>0</v>
      </c>
      <c r="CI27" s="89">
        <f>'[1]January - 2021'!CJ27</f>
        <v>46287</v>
      </c>
      <c r="CJ27" s="191">
        <f>'[1]January - 2021'!CK27</f>
        <v>0</v>
      </c>
      <c r="CK27" s="89">
        <f>'[1]January - 2021'!CL27</f>
        <v>203324</v>
      </c>
      <c r="CL27" s="246">
        <f>'[1]January - 2021'!CM27</f>
        <v>89</v>
      </c>
      <c r="CM27" s="89">
        <f>'[1]January - 2021'!CM27</f>
        <v>89</v>
      </c>
      <c r="CN27" s="89">
        <f>'[1]January - 2021'!CO27</f>
        <v>151671</v>
      </c>
      <c r="CO27" s="246">
        <f>'[1]January - 2021'!CP27</f>
        <v>98</v>
      </c>
      <c r="CP27" s="89">
        <f>'[1]January - 2021'!CP27</f>
        <v>98</v>
      </c>
      <c r="CQ27" s="89">
        <f>'[1]January - 2021'!CR27</f>
        <v>284480</v>
      </c>
      <c r="CR27" s="246">
        <f>'[1]January - 2021'!CS27</f>
        <v>298</v>
      </c>
      <c r="CS27" s="89">
        <f>'[1]January - 2021'!CS27</f>
        <v>298</v>
      </c>
      <c r="CT27" s="89">
        <f>'[1]January - 2021'!CU27</f>
        <v>540748</v>
      </c>
      <c r="CU27" s="191">
        <f>'[1]January - 2021'!CV27</f>
        <v>261</v>
      </c>
      <c r="CV27" s="453"/>
      <c r="CW27" s="256">
        <f>'[1]January - 2021'!CX27</f>
        <v>4339</v>
      </c>
      <c r="CX27" s="198">
        <f>'[1]January - 2021'!CY27</f>
        <v>6</v>
      </c>
      <c r="CY27" s="257">
        <f>'[1]January - 2021'!CZ27</f>
        <v>2122</v>
      </c>
      <c r="CZ27" s="198">
        <f>'[1]January - 2021'!DA27</f>
        <v>4</v>
      </c>
      <c r="DA27" s="257">
        <f>'[1]January - 2021'!DB27</f>
        <v>22559</v>
      </c>
      <c r="DB27" s="198">
        <f>'[1]January - 2021'!DC27</f>
        <v>13</v>
      </c>
      <c r="DC27" s="257">
        <f>'[1]January - 2021'!DD27</f>
        <v>23455</v>
      </c>
      <c r="DD27" s="198">
        <f>'[1]January - 2021'!DE27</f>
        <v>13</v>
      </c>
      <c r="DE27" s="257">
        <f>'[1]January - 2021'!DF27</f>
        <v>16173</v>
      </c>
      <c r="DF27" s="198">
        <f>'[1]January - 2021'!DG27</f>
        <v>13</v>
      </c>
      <c r="DG27" s="257">
        <f>'[1]January - 2021'!DH27</f>
        <v>19233</v>
      </c>
      <c r="DH27" s="198">
        <f>'[1]January - 2021'!DI27</f>
        <v>11</v>
      </c>
      <c r="DI27" s="257">
        <f>'[1]January - 2021'!DJ27</f>
        <v>826</v>
      </c>
      <c r="DJ27" s="198">
        <f>'[1]January - 2021'!DK27</f>
        <v>0</v>
      </c>
      <c r="DK27" s="257">
        <f>'[1]January - 2021'!DL27</f>
        <v>3616</v>
      </c>
      <c r="DL27" s="198">
        <f>'[1]January - 2021'!DM27</f>
        <v>0</v>
      </c>
      <c r="DM27" s="257">
        <f>'[1]January - 2021'!DN27</f>
        <v>327</v>
      </c>
      <c r="DN27" s="198">
        <f>'[1]January - 2021'!DO27</f>
        <v>7</v>
      </c>
      <c r="DO27" s="257">
        <f>'[1]January - 2021'!DP27</f>
        <v>1894</v>
      </c>
      <c r="DP27" s="198">
        <f>'[1]January - 2021'!DQ27</f>
        <v>0</v>
      </c>
      <c r="DQ27" s="257">
        <f>'[1]January - 2021'!DR27</f>
        <v>22922</v>
      </c>
      <c r="DR27" s="206">
        <f>'[1]January - 2021'!DS27</f>
        <v>0</v>
      </c>
      <c r="DS27" s="438"/>
      <c r="DT27" s="210">
        <f>'[1]January - 2021'!DU27</f>
        <v>209</v>
      </c>
      <c r="DU27" s="221">
        <f>'[1]January - 2021'!DV27</f>
        <v>8</v>
      </c>
      <c r="DV27" s="91">
        <f>'[1]January - 2021'!DW27</f>
        <v>5974</v>
      </c>
      <c r="DW27" s="215">
        <f>'[1]January - 2021'!DX27</f>
        <v>4.8000000000001819</v>
      </c>
      <c r="DX27" s="91">
        <f>'[1]January - 2021'!DY27</f>
        <v>169</v>
      </c>
      <c r="DY27" s="215">
        <f>'[1]January - 2021'!DZ27</f>
        <v>6.1999999999999886</v>
      </c>
      <c r="DZ27" s="91">
        <f>'[1]January - 2021'!EA27</f>
        <v>254210</v>
      </c>
      <c r="EA27" s="215">
        <f>'[1]January - 2021'!EB27</f>
        <v>24</v>
      </c>
      <c r="EB27" s="91">
        <f>'[1]January - 2021'!EC27</f>
        <v>644449</v>
      </c>
      <c r="EC27" s="215">
        <f>'[1]January - 2021'!ED27</f>
        <v>497</v>
      </c>
      <c r="ED27" s="91">
        <f>'[1]January - 2021'!EG27</f>
        <v>126595</v>
      </c>
      <c r="EE27" s="229">
        <f>'[1]January - 2021'!EH27</f>
        <v>147</v>
      </c>
      <c r="EF27" s="377"/>
      <c r="EG27" s="235">
        <f>'[1]January - 2021'!EJ27</f>
        <v>8669300</v>
      </c>
      <c r="EH27" s="230">
        <f>'[1]January - 2021'!EK27</f>
        <v>2300</v>
      </c>
      <c r="EI27" s="90">
        <f>'[1]January - 2021'!EL27</f>
        <v>710310</v>
      </c>
      <c r="EJ27" s="230">
        <f>'[1]January - 2021'!EM27</f>
        <v>240</v>
      </c>
      <c r="EK27" s="90">
        <f>'[1]January - 2021'!EN27</f>
        <v>5564700</v>
      </c>
      <c r="EL27" s="230">
        <f>'[1]January - 2021'!EO27</f>
        <v>1400</v>
      </c>
      <c r="EM27" s="90">
        <f>'[1]January - 2021'!EP27</f>
        <v>1994700</v>
      </c>
      <c r="EN27" s="230">
        <f>'[1]January - 2021'!EQ27</f>
        <v>0</v>
      </c>
      <c r="EO27" s="90">
        <f>'[1]January - 2021'!ER27</f>
        <v>732730</v>
      </c>
      <c r="EP27" s="230">
        <f>'[1]January - 2021'!ES27</f>
        <v>150</v>
      </c>
      <c r="EQ27" s="90">
        <f>'[1]January - 2021'!ET27</f>
        <v>12295100</v>
      </c>
      <c r="ER27" s="230">
        <f>'[1]January - 2021'!EU27</f>
        <v>2400</v>
      </c>
      <c r="ES27" s="425"/>
      <c r="ET27" s="284">
        <f>'[1]January - 2021'!EW27</f>
        <v>32823</v>
      </c>
      <c r="EU27" s="278">
        <f>'[1]January - 2021'!EX27</f>
        <v>10</v>
      </c>
      <c r="EV27" s="285">
        <f>'[1]January - 2021'!EY27</f>
        <v>28236</v>
      </c>
      <c r="EW27" s="278">
        <f>'[1]January - 2021'!EZ27</f>
        <v>17</v>
      </c>
      <c r="EX27" s="285">
        <f>'[1]January - 2021'!FA27</f>
        <v>0</v>
      </c>
      <c r="EY27" s="278">
        <f>'[1]January - 2021'!FB27</f>
        <v>0</v>
      </c>
      <c r="EZ27" s="285">
        <f>'[1]January - 2021'!FC27</f>
        <v>48969</v>
      </c>
      <c r="FA27" s="278">
        <f>'[1]January - 2021'!FD27</f>
        <v>13</v>
      </c>
      <c r="FB27" s="285">
        <f>'[1]January - 2021'!FE27</f>
        <v>28090</v>
      </c>
      <c r="FC27" s="279">
        <f>'[1]January - 2021'!FF27</f>
        <v>23</v>
      </c>
    </row>
    <row r="28" spans="1:159" ht="30" customHeight="1" x14ac:dyDescent="0.25">
      <c r="A28" s="207">
        <v>43849</v>
      </c>
      <c r="B28" s="209">
        <f>'[1]January - 2021'!B28</f>
        <v>0.8</v>
      </c>
      <c r="C28" s="250">
        <f>'[1]January - 2021'!E28</f>
        <v>709408</v>
      </c>
      <c r="D28" s="170">
        <f>'[1]January - 2021'!F28</f>
        <v>499</v>
      </c>
      <c r="E28" s="168">
        <f>'[1]January - 2021'!G28</f>
        <v>516</v>
      </c>
      <c r="F28" s="168">
        <f>'[1]January - 2021'!H28</f>
        <v>810783</v>
      </c>
      <c r="G28" s="170">
        <f>'[1]January - 2021'!I28</f>
        <v>422</v>
      </c>
      <c r="H28" s="168">
        <f>'[1]January - 2021'!J28</f>
        <v>458</v>
      </c>
      <c r="I28" s="168">
        <f>'[1]January - 2021'!K28</f>
        <v>107852</v>
      </c>
      <c r="J28" s="170">
        <f>'[1]January - 2021'!L28</f>
        <v>206</v>
      </c>
      <c r="K28" s="168">
        <f>'[1]January - 2021'!N28</f>
        <v>718272</v>
      </c>
      <c r="L28" s="170">
        <f>'[1]January - 2021'!O28</f>
        <v>256</v>
      </c>
      <c r="M28" s="168">
        <f>'[1]January - 2021'!Q28</f>
        <v>163777</v>
      </c>
      <c r="N28" s="170">
        <f>'[1]January - 2021'!R28</f>
        <v>0</v>
      </c>
      <c r="O28" s="168">
        <f>'[1]January - 2021'!S28</f>
        <v>141903</v>
      </c>
      <c r="P28" s="170">
        <f>'[1]January - 2021'!T28</f>
        <v>32</v>
      </c>
      <c r="Q28" s="168">
        <f>'[1]January - 2021'!U28</f>
        <v>71</v>
      </c>
      <c r="R28" s="168">
        <f>'[1]January - 2021'!V28</f>
        <v>18</v>
      </c>
      <c r="S28" s="208">
        <f>'[1]January - 2021'!W28</f>
        <v>7</v>
      </c>
      <c r="T28" s="520"/>
      <c r="U28" s="169">
        <f>'[1]January - 2021'!AC28</f>
        <v>6284003.04</v>
      </c>
      <c r="V28" s="291">
        <f>'[1]January - 2021'!AD28</f>
        <v>1802.640000000596</v>
      </c>
      <c r="W28" s="92">
        <f>'[1]January - 2021'!AD28</f>
        <v>1802.640000000596</v>
      </c>
      <c r="X28" s="290">
        <f>'[1]January - 2021'!AF28</f>
        <v>12271350</v>
      </c>
      <c r="Y28" s="291">
        <f>'[1]January - 2021'!AG28</f>
        <v>4433.519999999553</v>
      </c>
      <c r="Z28" s="92">
        <f>'[1]January - 2021'!AG28</f>
        <v>4433.519999999553</v>
      </c>
      <c r="AA28" s="290">
        <f>'[1]January - 2021'!AI28</f>
        <v>11578015.68</v>
      </c>
      <c r="AB28" s="291">
        <f>'[1]January - 2021'!AJ28</f>
        <v>194.88000000081956</v>
      </c>
      <c r="AC28" s="92">
        <f>'[1]January - 2021'!AJ28</f>
        <v>194.88000000081956</v>
      </c>
      <c r="AD28" s="290">
        <f>'[1]January - 2021'!AL28</f>
        <v>14891706.48</v>
      </c>
      <c r="AE28" s="291">
        <f>'[1]January - 2021'!AM28</f>
        <v>48.720000000670552</v>
      </c>
      <c r="AF28" s="92">
        <f>'[1]January - 2021'!AM28</f>
        <v>48.720000000670552</v>
      </c>
      <c r="AG28" s="290">
        <f>'[1]January - 2021'!AO28</f>
        <v>15050436.24</v>
      </c>
      <c r="AH28" s="291">
        <f>'[1]January - 2021'!AP28</f>
        <v>9354.2400000002235</v>
      </c>
      <c r="AI28" s="92">
        <f>'[1]January - 2021'!AP28</f>
        <v>9354.2400000002235</v>
      </c>
      <c r="AJ28" s="290">
        <f>'[1]January - 2021'!AR28</f>
        <v>13758333.119999999</v>
      </c>
      <c r="AK28" s="291">
        <f>'[1]January - 2021'!AS28</f>
        <v>5310.4799999985844</v>
      </c>
      <c r="AL28" s="92">
        <f>'[1]January - 2021'!AS28</f>
        <v>5310.4799999985844</v>
      </c>
      <c r="AM28" s="290">
        <f>'[1]January - 2021'!AU28</f>
        <v>11762956.799999999</v>
      </c>
      <c r="AN28" s="291">
        <f>'[1]January - 2021'!AV28</f>
        <v>3946.3199999984354</v>
      </c>
      <c r="AO28" s="92">
        <f>'[1]January - 2021'!AV28</f>
        <v>3946.3199999984354</v>
      </c>
      <c r="AP28" s="290">
        <f>'[1]January - 2021'!AX28</f>
        <v>11361162.959999999</v>
      </c>
      <c r="AQ28" s="291">
        <f>'[1]January - 2021'!AY28</f>
        <v>3897.5999999996275</v>
      </c>
      <c r="AR28" s="92">
        <f>'[1]January - 2021'!AY28</f>
        <v>3897.5999999996275</v>
      </c>
      <c r="AS28" s="290">
        <f>'[1]January - 2021'!BA28</f>
        <v>9093685.4399999995</v>
      </c>
      <c r="AT28" s="291">
        <f>'[1]January - 2021'!BB28</f>
        <v>3215.519999999553</v>
      </c>
      <c r="AU28" s="92">
        <f>'[1]January - 2021'!BB28</f>
        <v>3215.519999999553</v>
      </c>
      <c r="AV28" s="290">
        <f>'[1]January - 2021'!BD28</f>
        <v>13754094.48</v>
      </c>
      <c r="AW28" s="252">
        <f>'[1]January - 2021'!BE28</f>
        <v>5359.1999999992549</v>
      </c>
      <c r="AX28" s="253">
        <f>'[1]January - 2021'!BE28</f>
        <v>5359.1999999992549</v>
      </c>
      <c r="AY28" s="486"/>
      <c r="AZ28" s="272">
        <f>'[1]January - 2021'!BK28</f>
        <v>57868700</v>
      </c>
      <c r="BA28" s="179">
        <f>'[1]January - 2021'!BL28</f>
        <v>0</v>
      </c>
      <c r="BB28" s="93">
        <f>'[1]January - 2021'!BL28</f>
        <v>0</v>
      </c>
      <c r="BC28" s="272">
        <f>'[1]January - 2021'!BN28</f>
        <v>61926300</v>
      </c>
      <c r="BD28" s="245">
        <f>'[1]January - 2021'!BO28</f>
        <v>0</v>
      </c>
      <c r="BE28" s="93">
        <f>'[1]January - 2021'!BO28</f>
        <v>0</v>
      </c>
      <c r="BF28" s="272">
        <f>'[1]January - 2021'!BQ28</f>
        <v>55773700</v>
      </c>
      <c r="BG28" s="245">
        <f>'[1]January - 2021'!BR28</f>
        <v>37300</v>
      </c>
      <c r="BH28" s="93">
        <f>'[1]January - 2021'!BR28</f>
        <v>37300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- 2021'!BT28</f>
        <v>5710250</v>
      </c>
      <c r="BT28" s="185">
        <f>'[1]January - 2021'!BU28</f>
        <v>4660</v>
      </c>
      <c r="BU28" s="393"/>
      <c r="BV28" s="88">
        <f>'[1]January - 2021'!BW28</f>
        <v>0.7</v>
      </c>
      <c r="BW28" s="241">
        <f>'[1]January - 2021'!BX28</f>
        <v>-9.9999999999999978E-2</v>
      </c>
      <c r="BX28" s="88">
        <f>'[1]January - 2021'!BX28</f>
        <v>-9.9999999999999978E-2</v>
      </c>
      <c r="BY28" s="89">
        <f>'[1]January - 2021'!BZ28</f>
        <v>51307</v>
      </c>
      <c r="BZ28" s="191">
        <f>'[1]January - 2021'!CA28</f>
        <v>0</v>
      </c>
      <c r="CA28" s="89">
        <f>'[1]January - 2021'!CB28</f>
        <v>43212</v>
      </c>
      <c r="CB28" s="191">
        <f>'[1]January - 2021'!CC28</f>
        <v>0</v>
      </c>
      <c r="CC28" s="89">
        <f>'[1]January - 2021'!CD28</f>
        <v>14840</v>
      </c>
      <c r="CD28" s="191">
        <f>'[1]January - 2021'!CE28</f>
        <v>0</v>
      </c>
      <c r="CE28" s="89">
        <f>'[1]January - 2021'!CF28</f>
        <v>18833</v>
      </c>
      <c r="CF28" s="191">
        <f>'[1]January - 2021'!CG28</f>
        <v>0</v>
      </c>
      <c r="CG28" s="89">
        <f>'[1]January - 2021'!CH28</f>
        <v>20376</v>
      </c>
      <c r="CH28" s="191">
        <f>'[1]January - 2021'!CI28</f>
        <v>0</v>
      </c>
      <c r="CI28" s="89">
        <f>'[1]January - 2021'!CJ28</f>
        <v>46287</v>
      </c>
      <c r="CJ28" s="191">
        <f>'[1]January - 2021'!CK28</f>
        <v>0</v>
      </c>
      <c r="CK28" s="89">
        <f>'[1]January - 2021'!CL28</f>
        <v>203414</v>
      </c>
      <c r="CL28" s="246">
        <f>'[1]January - 2021'!CM28</f>
        <v>90</v>
      </c>
      <c r="CM28" s="89">
        <f>'[1]January - 2021'!CM28</f>
        <v>90</v>
      </c>
      <c r="CN28" s="89">
        <f>'[1]January - 2021'!CO28</f>
        <v>151766</v>
      </c>
      <c r="CO28" s="246">
        <f>'[1]January - 2021'!CP28</f>
        <v>95</v>
      </c>
      <c r="CP28" s="89">
        <f>'[1]January - 2021'!CP28</f>
        <v>95</v>
      </c>
      <c r="CQ28" s="89">
        <f>'[1]January - 2021'!CR28</f>
        <v>284786</v>
      </c>
      <c r="CR28" s="246">
        <f>'[1]January - 2021'!CS28</f>
        <v>306</v>
      </c>
      <c r="CS28" s="89">
        <f>'[1]January - 2021'!CS28</f>
        <v>306</v>
      </c>
      <c r="CT28" s="89">
        <f>'[1]January - 2021'!CU28</f>
        <v>541010</v>
      </c>
      <c r="CU28" s="191">
        <f>'[1]January - 2021'!CV28</f>
        <v>262</v>
      </c>
      <c r="CV28" s="453"/>
      <c r="CW28" s="256">
        <f>'[1]January - 2021'!CX28</f>
        <v>4339</v>
      </c>
      <c r="CX28" s="198">
        <f>'[1]January - 2021'!CY28</f>
        <v>0</v>
      </c>
      <c r="CY28" s="257">
        <f>'[1]January - 2021'!CZ28</f>
        <v>2122</v>
      </c>
      <c r="CZ28" s="198">
        <f>'[1]January - 2021'!DA28</f>
        <v>0</v>
      </c>
      <c r="DA28" s="257">
        <f>'[1]January - 2021'!DB28</f>
        <v>22572</v>
      </c>
      <c r="DB28" s="198">
        <f>'[1]January - 2021'!DC28</f>
        <v>13</v>
      </c>
      <c r="DC28" s="257">
        <f>'[1]January - 2021'!DD28</f>
        <v>23463</v>
      </c>
      <c r="DD28" s="198">
        <f>'[1]January - 2021'!DE28</f>
        <v>8</v>
      </c>
      <c r="DE28" s="257">
        <f>'[1]January - 2021'!DF28</f>
        <v>16185</v>
      </c>
      <c r="DF28" s="198">
        <f>'[1]January - 2021'!DG28</f>
        <v>12</v>
      </c>
      <c r="DG28" s="257">
        <f>'[1]January - 2021'!DH28</f>
        <v>19244</v>
      </c>
      <c r="DH28" s="198">
        <f>'[1]January - 2021'!DI28</f>
        <v>11</v>
      </c>
      <c r="DI28" s="257">
        <f>'[1]January - 2021'!DJ28</f>
        <v>826</v>
      </c>
      <c r="DJ28" s="198">
        <f>'[1]January - 2021'!DK28</f>
        <v>0</v>
      </c>
      <c r="DK28" s="257">
        <f>'[1]January - 2021'!DL28</f>
        <v>3616</v>
      </c>
      <c r="DL28" s="198">
        <f>'[1]January - 2021'!DM28</f>
        <v>0</v>
      </c>
      <c r="DM28" s="257">
        <f>'[1]January - 2021'!DN28</f>
        <v>334</v>
      </c>
      <c r="DN28" s="198">
        <f>'[1]January - 2021'!DO28</f>
        <v>7</v>
      </c>
      <c r="DO28" s="257">
        <f>'[1]January - 2021'!DP28</f>
        <v>1895</v>
      </c>
      <c r="DP28" s="198">
        <f>'[1]January - 2021'!DQ28</f>
        <v>1</v>
      </c>
      <c r="DQ28" s="257">
        <f>'[1]January - 2021'!DR28</f>
        <v>22922</v>
      </c>
      <c r="DR28" s="206">
        <f>'[1]January - 2021'!DS28</f>
        <v>0</v>
      </c>
      <c r="DS28" s="438"/>
      <c r="DT28" s="210">
        <f>'[1]January - 2021'!DU28</f>
        <v>217</v>
      </c>
      <c r="DU28" s="221">
        <f>'[1]January - 2021'!DV28</f>
        <v>8</v>
      </c>
      <c r="DV28" s="91">
        <f>'[1]January - 2021'!DW28</f>
        <v>5978.6</v>
      </c>
      <c r="DW28" s="215">
        <f>'[1]January - 2021'!DX28</f>
        <v>4.6000000000003638</v>
      </c>
      <c r="DX28" s="91">
        <f>'[1]January - 2021'!DY28</f>
        <v>176</v>
      </c>
      <c r="DY28" s="215">
        <f>'[1]January - 2021'!DZ28</f>
        <v>7</v>
      </c>
      <c r="DZ28" s="91">
        <f>'[1]January - 2021'!EA28</f>
        <v>254245</v>
      </c>
      <c r="EA28" s="215">
        <f>'[1]January - 2021'!EB28</f>
        <v>35</v>
      </c>
      <c r="EB28" s="91">
        <f>'[1]January - 2021'!EC28</f>
        <v>644960</v>
      </c>
      <c r="EC28" s="215">
        <f>'[1]January - 2021'!ED28</f>
        <v>511</v>
      </c>
      <c r="ED28" s="91">
        <f>'[1]January - 2021'!EG28</f>
        <v>126747</v>
      </c>
      <c r="EE28" s="229">
        <f>'[1]January - 2021'!EH28</f>
        <v>152</v>
      </c>
      <c r="EF28" s="377"/>
      <c r="EG28" s="235">
        <f>'[1]January - 2021'!EJ28</f>
        <v>8671500</v>
      </c>
      <c r="EH28" s="230">
        <f>'[1]January - 2021'!EK28</f>
        <v>2200</v>
      </c>
      <c r="EI28" s="90">
        <f>'[1]January - 2021'!EL28</f>
        <v>710550</v>
      </c>
      <c r="EJ28" s="230">
        <f>'[1]January - 2021'!EM28</f>
        <v>240</v>
      </c>
      <c r="EK28" s="90">
        <f>'[1]January - 2021'!EN28</f>
        <v>5566000</v>
      </c>
      <c r="EL28" s="230">
        <f>'[1]January - 2021'!EO28</f>
        <v>1300</v>
      </c>
      <c r="EM28" s="90">
        <f>'[1]January - 2021'!EP28</f>
        <v>1994700</v>
      </c>
      <c r="EN28" s="230">
        <f>'[1]January - 2021'!EQ28</f>
        <v>0</v>
      </c>
      <c r="EO28" s="90">
        <f>'[1]January - 2021'!ER28</f>
        <v>732880</v>
      </c>
      <c r="EP28" s="230">
        <f>'[1]January - 2021'!ES28</f>
        <v>150</v>
      </c>
      <c r="EQ28" s="90">
        <f>'[1]January - 2021'!ET28</f>
        <v>12297600</v>
      </c>
      <c r="ER28" s="230">
        <f>'[1]January - 2021'!EU28</f>
        <v>2500</v>
      </c>
      <c r="ES28" s="425"/>
      <c r="ET28" s="284">
        <f>'[1]January - 2021'!EW28</f>
        <v>32835</v>
      </c>
      <c r="EU28" s="278">
        <f>'[1]January - 2021'!EX28</f>
        <v>12</v>
      </c>
      <c r="EV28" s="285">
        <f>'[1]January - 2021'!EY28</f>
        <v>28253</v>
      </c>
      <c r="EW28" s="278">
        <f>'[1]January - 2021'!EZ28</f>
        <v>17</v>
      </c>
      <c r="EX28" s="285">
        <f>'[1]January - 2021'!FA28</f>
        <v>0</v>
      </c>
      <c r="EY28" s="278">
        <f>'[1]January - 2021'!FB28</f>
        <v>0</v>
      </c>
      <c r="EZ28" s="285">
        <f>'[1]January - 2021'!FC28</f>
        <v>48981</v>
      </c>
      <c r="FA28" s="278">
        <f>'[1]January - 2021'!FD28</f>
        <v>12</v>
      </c>
      <c r="FB28" s="285">
        <f>'[1]January - 2021'!FE28</f>
        <v>28116</v>
      </c>
      <c r="FC28" s="279">
        <f>'[1]January - 2021'!FF28</f>
        <v>26</v>
      </c>
    </row>
    <row r="29" spans="1:159" ht="30" customHeight="1" x14ac:dyDescent="0.25">
      <c r="A29" s="207">
        <v>43850</v>
      </c>
      <c r="B29" s="209">
        <f>'[1]January - 2021'!B29</f>
        <v>0.76</v>
      </c>
      <c r="C29" s="250">
        <f>'[1]January - 2021'!E29</f>
        <v>709867</v>
      </c>
      <c r="D29" s="170">
        <f>'[1]January - 2021'!F29</f>
        <v>459</v>
      </c>
      <c r="E29" s="168">
        <f>'[1]January - 2021'!G29</f>
        <v>534</v>
      </c>
      <c r="F29" s="168">
        <f>'[1]January - 2021'!H29</f>
        <v>811160</v>
      </c>
      <c r="G29" s="170">
        <f>'[1]January - 2021'!I29</f>
        <v>377</v>
      </c>
      <c r="H29" s="168">
        <f>'[1]January - 2021'!J29</f>
        <v>412</v>
      </c>
      <c r="I29" s="168">
        <f>'[1]January - 2021'!K29</f>
        <v>108060</v>
      </c>
      <c r="J29" s="170">
        <f>'[1]January - 2021'!L29</f>
        <v>208</v>
      </c>
      <c r="K29" s="168">
        <f>'[1]January - 2021'!N29</f>
        <v>718527</v>
      </c>
      <c r="L29" s="170">
        <f>'[1]January - 2021'!O29</f>
        <v>255</v>
      </c>
      <c r="M29" s="168">
        <f>'[1]January - 2021'!Q29</f>
        <v>163777</v>
      </c>
      <c r="N29" s="170">
        <f>'[1]January - 2021'!R29</f>
        <v>0</v>
      </c>
      <c r="O29" s="168">
        <f>'[1]January - 2021'!S29</f>
        <v>141944</v>
      </c>
      <c r="P29" s="170">
        <f>'[1]January - 2021'!T29</f>
        <v>41</v>
      </c>
      <c r="Q29" s="168">
        <f>'[1]January - 2021'!U29</f>
        <v>74</v>
      </c>
      <c r="R29" s="168">
        <f>'[1]January - 2021'!V29</f>
        <v>33</v>
      </c>
      <c r="S29" s="208">
        <f>'[1]January - 2021'!W29</f>
        <v>15</v>
      </c>
      <c r="T29" s="520"/>
      <c r="U29" s="169">
        <f>'[1]January - 2021'!AC29</f>
        <v>6285903.1200000001</v>
      </c>
      <c r="V29" s="291">
        <f>'[1]January - 2021'!AD29</f>
        <v>1900.0800000000745</v>
      </c>
      <c r="W29" s="92">
        <f>'[1]January - 2021'!AD29</f>
        <v>1900.0800000000745</v>
      </c>
      <c r="X29" s="290">
        <f>'[1]January - 2021'!AF29</f>
        <v>12275734.799999999</v>
      </c>
      <c r="Y29" s="291">
        <f>'[1]January - 2021'!AG29</f>
        <v>4384.7999999988824</v>
      </c>
      <c r="Z29" s="92">
        <f>'[1]January - 2021'!AG29</f>
        <v>4384.7999999988824</v>
      </c>
      <c r="AA29" s="290">
        <f>'[1]January - 2021'!AI29</f>
        <v>11578843.92</v>
      </c>
      <c r="AB29" s="291">
        <f>'[1]January - 2021'!AJ29</f>
        <v>828.24000000022352</v>
      </c>
      <c r="AC29" s="92">
        <f>'[1]January - 2021'!AJ29</f>
        <v>828.24000000022352</v>
      </c>
      <c r="AD29" s="290">
        <f>'[1]January - 2021'!AL29</f>
        <v>14891755.199999999</v>
      </c>
      <c r="AE29" s="291">
        <f>'[1]January - 2021'!AM29</f>
        <v>48.719999998807907</v>
      </c>
      <c r="AF29" s="92">
        <f>'[1]January - 2021'!AM29</f>
        <v>48.719999998807907</v>
      </c>
      <c r="AG29" s="290">
        <f>'[1]January - 2021'!AO29</f>
        <v>15058669.919999998</v>
      </c>
      <c r="AH29" s="291">
        <f>'[1]January - 2021'!AP29</f>
        <v>8233.6799999978393</v>
      </c>
      <c r="AI29" s="92">
        <f>'[1]January - 2021'!AP29</f>
        <v>8233.6799999978393</v>
      </c>
      <c r="AJ29" s="290">
        <f>'[1]January - 2021'!AR29</f>
        <v>13763741.039999999</v>
      </c>
      <c r="AK29" s="291">
        <f>'[1]January - 2021'!AS29</f>
        <v>5407.9199999999255</v>
      </c>
      <c r="AL29" s="92">
        <f>'[1]January - 2021'!AS29</f>
        <v>5407.9199999999255</v>
      </c>
      <c r="AM29" s="290">
        <f>'[1]January - 2021'!AU29</f>
        <v>11767098</v>
      </c>
      <c r="AN29" s="291">
        <f>'[1]January - 2021'!AV29</f>
        <v>4141.2000000011176</v>
      </c>
      <c r="AO29" s="92">
        <f>'[1]January - 2021'!AV29</f>
        <v>4141.2000000011176</v>
      </c>
      <c r="AP29" s="290">
        <f>'[1]January - 2021'!AX29</f>
        <v>11365109.280000001</v>
      </c>
      <c r="AQ29" s="291">
        <f>'[1]January - 2021'!AY29</f>
        <v>3946.3200000021607</v>
      </c>
      <c r="AR29" s="92">
        <f>'[1]January - 2021'!AY29</f>
        <v>3946.3200000021607</v>
      </c>
      <c r="AS29" s="290">
        <f>'[1]January - 2021'!BA29</f>
        <v>9096900.959999999</v>
      </c>
      <c r="AT29" s="291">
        <f>'[1]January - 2021'!BB29</f>
        <v>3215.519999999553</v>
      </c>
      <c r="AU29" s="92">
        <f>'[1]January - 2021'!BB29</f>
        <v>3215.519999999553</v>
      </c>
      <c r="AV29" s="290">
        <f>'[1]January - 2021'!BD29</f>
        <v>13759648.559999999</v>
      </c>
      <c r="AW29" s="252">
        <f>'[1]January - 2021'!BE29</f>
        <v>5554.0799999982119</v>
      </c>
      <c r="AX29" s="253">
        <f>'[1]January - 2021'!BE29</f>
        <v>5554.0799999982119</v>
      </c>
      <c r="AY29" s="486"/>
      <c r="AZ29" s="272">
        <f>'[1]January - 2021'!BK29</f>
        <v>57868700</v>
      </c>
      <c r="BA29" s="179">
        <f>'[1]January - 2021'!BL29</f>
        <v>0</v>
      </c>
      <c r="BB29" s="93">
        <f>'[1]January - 2021'!BL29</f>
        <v>0</v>
      </c>
      <c r="BC29" s="272">
        <f>'[1]January - 2021'!BN29</f>
        <v>61926300</v>
      </c>
      <c r="BD29" s="245">
        <f>'[1]January - 2021'!BO29</f>
        <v>0</v>
      </c>
      <c r="BE29" s="93">
        <f>'[1]January - 2021'!BO29</f>
        <v>0</v>
      </c>
      <c r="BF29" s="272">
        <f>'[1]January - 2021'!BQ29</f>
        <v>55809700</v>
      </c>
      <c r="BG29" s="245">
        <f>'[1]January - 2021'!BR29</f>
        <v>36000</v>
      </c>
      <c r="BH29" s="93">
        <f>'[1]January - 2021'!BR29</f>
        <v>36000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- 2021'!BT29</f>
        <v>5714180</v>
      </c>
      <c r="BT29" s="185">
        <f>'[1]January - 2021'!BU29</f>
        <v>3930</v>
      </c>
      <c r="BU29" s="393"/>
      <c r="BV29" s="88">
        <f>'[1]January - 2021'!BW29</f>
        <v>0.64</v>
      </c>
      <c r="BW29" s="241">
        <f>'[1]January - 2021'!BX29</f>
        <v>5.9999999999999942E-2</v>
      </c>
      <c r="BX29" s="88">
        <f>'[1]January - 2021'!BX29</f>
        <v>5.9999999999999942E-2</v>
      </c>
      <c r="BY29" s="89">
        <f>'[1]January - 2021'!BZ29</f>
        <v>51410</v>
      </c>
      <c r="BZ29" s="191">
        <f>'[1]January - 2021'!CA29</f>
        <v>103</v>
      </c>
      <c r="CA29" s="89">
        <f>'[1]January - 2021'!CB29</f>
        <v>43306</v>
      </c>
      <c r="CB29" s="191">
        <f>'[1]January - 2021'!CC29</f>
        <v>94</v>
      </c>
      <c r="CC29" s="89">
        <f>'[1]January - 2021'!CD29</f>
        <v>14882</v>
      </c>
      <c r="CD29" s="191">
        <f>'[1]January - 2021'!CE29</f>
        <v>42</v>
      </c>
      <c r="CE29" s="89">
        <f>'[1]January - 2021'!CF29</f>
        <v>18887</v>
      </c>
      <c r="CF29" s="191">
        <f>'[1]January - 2021'!CG29</f>
        <v>54</v>
      </c>
      <c r="CG29" s="89">
        <f>'[1]January - 2021'!CH29</f>
        <v>20440</v>
      </c>
      <c r="CH29" s="191">
        <f>'[1]January - 2021'!CI29</f>
        <v>64</v>
      </c>
      <c r="CI29" s="89">
        <f>'[1]January - 2021'!CJ29</f>
        <v>46430</v>
      </c>
      <c r="CJ29" s="191">
        <f>'[1]January - 2021'!CK29</f>
        <v>143</v>
      </c>
      <c r="CK29" s="89">
        <f>'[1]January - 2021'!CL29</f>
        <v>203503</v>
      </c>
      <c r="CL29" s="246">
        <f>'[1]January - 2021'!CM29</f>
        <v>89</v>
      </c>
      <c r="CM29" s="89">
        <f>'[1]January - 2021'!CM29</f>
        <v>89</v>
      </c>
      <c r="CN29" s="89">
        <f>'[1]January - 2021'!CO29</f>
        <v>151863</v>
      </c>
      <c r="CO29" s="246">
        <f>'[1]January - 2021'!CP29</f>
        <v>97</v>
      </c>
      <c r="CP29" s="89">
        <f>'[1]January - 2021'!CP29</f>
        <v>97</v>
      </c>
      <c r="CQ29" s="89">
        <f>'[1]January - 2021'!CR29</f>
        <v>285145</v>
      </c>
      <c r="CR29" s="246">
        <f>'[1]January - 2021'!CS29</f>
        <v>359</v>
      </c>
      <c r="CS29" s="89">
        <f>'[1]January - 2021'!CS29</f>
        <v>359</v>
      </c>
      <c r="CT29" s="89">
        <f>'[1]January - 2021'!CU29</f>
        <v>541275</v>
      </c>
      <c r="CU29" s="191">
        <f>'[1]January - 2021'!CV29</f>
        <v>265</v>
      </c>
      <c r="CV29" s="453"/>
      <c r="CW29" s="256">
        <f>'[1]January - 2021'!CX29</f>
        <v>4339</v>
      </c>
      <c r="CX29" s="198">
        <f>'[1]January - 2021'!CY29</f>
        <v>0</v>
      </c>
      <c r="CY29" s="257">
        <f>'[1]January - 2021'!CZ29</f>
        <v>2122</v>
      </c>
      <c r="CZ29" s="198">
        <f>'[1]January - 2021'!DA29</f>
        <v>0</v>
      </c>
      <c r="DA29" s="257">
        <f>'[1]January - 2021'!DB29</f>
        <v>22585</v>
      </c>
      <c r="DB29" s="198">
        <f>'[1]January - 2021'!DC29</f>
        <v>13</v>
      </c>
      <c r="DC29" s="257">
        <f>'[1]January - 2021'!DD29</f>
        <v>23479</v>
      </c>
      <c r="DD29" s="198">
        <f>'[1]January - 2021'!DE29</f>
        <v>16</v>
      </c>
      <c r="DE29" s="257">
        <f>'[1]January - 2021'!DF29</f>
        <v>16197</v>
      </c>
      <c r="DF29" s="198">
        <f>'[1]January - 2021'!DG29</f>
        <v>12</v>
      </c>
      <c r="DG29" s="257">
        <f>'[1]January - 2021'!DH29</f>
        <v>19255</v>
      </c>
      <c r="DH29" s="198">
        <f>'[1]January - 2021'!DI29</f>
        <v>11</v>
      </c>
      <c r="DI29" s="257">
        <f>'[1]January - 2021'!DJ29</f>
        <v>826</v>
      </c>
      <c r="DJ29" s="198">
        <f>'[1]January - 2021'!DK29</f>
        <v>0</v>
      </c>
      <c r="DK29" s="257">
        <f>'[1]January - 2021'!DL29</f>
        <v>3616</v>
      </c>
      <c r="DL29" s="198">
        <f>'[1]January - 2021'!DM29</f>
        <v>0</v>
      </c>
      <c r="DM29" s="257">
        <f>'[1]January - 2021'!DN29</f>
        <v>341</v>
      </c>
      <c r="DN29" s="198">
        <f>'[1]January - 2021'!DO29</f>
        <v>7</v>
      </c>
      <c r="DO29" s="257">
        <f>'[1]January - 2021'!DP29</f>
        <v>1895</v>
      </c>
      <c r="DP29" s="198">
        <f>'[1]January - 2021'!DQ29</f>
        <v>0</v>
      </c>
      <c r="DQ29" s="257">
        <f>'[1]January - 2021'!DR29</f>
        <v>22922</v>
      </c>
      <c r="DR29" s="206">
        <f>'[1]January - 2021'!DS29</f>
        <v>0</v>
      </c>
      <c r="DS29" s="438"/>
      <c r="DT29" s="210">
        <f>'[1]January - 2021'!DU29</f>
        <v>225</v>
      </c>
      <c r="DU29" s="221">
        <f>'[1]January - 2021'!DV29</f>
        <v>8</v>
      </c>
      <c r="DV29" s="91">
        <f>'[1]January - 2021'!DW29</f>
        <v>5983.7</v>
      </c>
      <c r="DW29" s="215">
        <f>'[1]January - 2021'!DX29</f>
        <v>5.0999999999994543</v>
      </c>
      <c r="DX29" s="91">
        <f>'[1]January - 2021'!DY29</f>
        <v>182</v>
      </c>
      <c r="DY29" s="215">
        <f>'[1]January - 2021'!DZ29</f>
        <v>6</v>
      </c>
      <c r="DZ29" s="91">
        <f>'[1]January - 2021'!EA29</f>
        <v>254268</v>
      </c>
      <c r="EA29" s="215">
        <f>'[1]January - 2021'!EB29</f>
        <v>23</v>
      </c>
      <c r="EB29" s="91">
        <f>'[1]January - 2021'!EC29</f>
        <v>645478</v>
      </c>
      <c r="EC29" s="215">
        <f>'[1]January - 2021'!ED29</f>
        <v>518</v>
      </c>
      <c r="ED29" s="91">
        <f>'[1]January - 2021'!EG29</f>
        <v>126898</v>
      </c>
      <c r="EE29" s="229">
        <f>'[1]January - 2021'!EH29</f>
        <v>151</v>
      </c>
      <c r="EF29" s="377"/>
      <c r="EG29" s="235">
        <f>'[1]January - 2021'!EJ29</f>
        <v>8673500</v>
      </c>
      <c r="EH29" s="230">
        <f>'[1]January - 2021'!EK29</f>
        <v>2000</v>
      </c>
      <c r="EI29" s="90">
        <f>'[1]January - 2021'!EL29</f>
        <v>710790</v>
      </c>
      <c r="EJ29" s="230">
        <f>'[1]January - 2021'!EM29</f>
        <v>240</v>
      </c>
      <c r="EK29" s="90">
        <f>'[1]January - 2021'!EN29</f>
        <v>5567400</v>
      </c>
      <c r="EL29" s="230">
        <f>'[1]January - 2021'!EO29</f>
        <v>1400</v>
      </c>
      <c r="EM29" s="90">
        <f>'[1]January - 2021'!EP29</f>
        <v>1994700</v>
      </c>
      <c r="EN29" s="230">
        <f>'[1]January - 2021'!EQ29</f>
        <v>0</v>
      </c>
      <c r="EO29" s="90">
        <f>'[1]January - 2021'!ER29</f>
        <v>733030</v>
      </c>
      <c r="EP29" s="230">
        <f>'[1]January - 2021'!ES29</f>
        <v>150</v>
      </c>
      <c r="EQ29" s="90">
        <f>'[1]January - 2021'!ET29</f>
        <v>12300300</v>
      </c>
      <c r="ER29" s="230">
        <f>'[1]January - 2021'!EU29</f>
        <v>2700</v>
      </c>
      <c r="ES29" s="425"/>
      <c r="ET29" s="284">
        <f>'[1]January - 2021'!EW29</f>
        <v>32848</v>
      </c>
      <c r="EU29" s="278">
        <f>'[1]January - 2021'!EX29</f>
        <v>13</v>
      </c>
      <c r="EV29" s="285">
        <f>'[1]January - 2021'!EY29</f>
        <v>28271</v>
      </c>
      <c r="EW29" s="278">
        <f>'[1]January - 2021'!EZ29</f>
        <v>18</v>
      </c>
      <c r="EX29" s="285">
        <f>'[1]January - 2021'!FA29</f>
        <v>0</v>
      </c>
      <c r="EY29" s="278">
        <f>'[1]January - 2021'!FB29</f>
        <v>0</v>
      </c>
      <c r="EZ29" s="285">
        <f>'[1]January - 2021'!FC29</f>
        <v>48981</v>
      </c>
      <c r="FA29" s="278">
        <f>'[1]January - 2021'!FD29</f>
        <v>0</v>
      </c>
      <c r="FB29" s="285">
        <f>'[1]January - 2021'!FE29</f>
        <v>28142</v>
      </c>
      <c r="FC29" s="279">
        <f>'[1]January - 2021'!FF29</f>
        <v>26</v>
      </c>
    </row>
    <row r="30" spans="1:159" ht="30" customHeight="1" x14ac:dyDescent="0.25">
      <c r="A30" s="207">
        <v>43851</v>
      </c>
      <c r="B30" s="209">
        <f>'[1]January - 2021'!B30</f>
        <v>0.83</v>
      </c>
      <c r="C30" s="250">
        <f>'[1]January - 2021'!E30</f>
        <v>710388</v>
      </c>
      <c r="D30" s="170">
        <f>'[1]January - 2021'!F30</f>
        <v>521</v>
      </c>
      <c r="E30" s="168">
        <f>'[1]January - 2021'!G30</f>
        <v>433</v>
      </c>
      <c r="F30" s="168">
        <f>'[1]January - 2021'!H30</f>
        <v>811594</v>
      </c>
      <c r="G30" s="170">
        <f>'[1]January - 2021'!I30</f>
        <v>434</v>
      </c>
      <c r="H30" s="168">
        <f>'[1]January - 2021'!J30</f>
        <v>402</v>
      </c>
      <c r="I30" s="168">
        <f>'[1]January - 2021'!K30</f>
        <v>108207</v>
      </c>
      <c r="J30" s="170">
        <f>'[1]January - 2021'!L30</f>
        <v>147</v>
      </c>
      <c r="K30" s="168">
        <f>'[1]January - 2021'!N30</f>
        <v>718735</v>
      </c>
      <c r="L30" s="170">
        <f>'[1]January - 2021'!O30</f>
        <v>208</v>
      </c>
      <c r="M30" s="168">
        <f>'[1]January - 2021'!Q30</f>
        <v>163777</v>
      </c>
      <c r="N30" s="170">
        <f>'[1]January - 2021'!R30</f>
        <v>0</v>
      </c>
      <c r="O30" s="168">
        <f>'[1]January - 2021'!S30</f>
        <v>141982</v>
      </c>
      <c r="P30" s="170">
        <f>'[1]January - 2021'!T30</f>
        <v>38</v>
      </c>
      <c r="Q30" s="168">
        <f>'[1]January - 2021'!U30</f>
        <v>50</v>
      </c>
      <c r="R30" s="168">
        <f>'[1]January - 2021'!V30</f>
        <v>42</v>
      </c>
      <c r="S30" s="208">
        <f>'[1]January - 2021'!W30</f>
        <v>9</v>
      </c>
      <c r="T30" s="520"/>
      <c r="U30" s="169">
        <f>'[1]January - 2021'!AC30</f>
        <v>6287754.4799999995</v>
      </c>
      <c r="V30" s="291">
        <f>'[1]January - 2021'!AD30</f>
        <v>1851.359999999404</v>
      </c>
      <c r="W30" s="92">
        <f>'[1]January - 2021'!AD30</f>
        <v>1851.359999999404</v>
      </c>
      <c r="X30" s="290">
        <f>'[1]January - 2021'!AF30</f>
        <v>12280217.040000001</v>
      </c>
      <c r="Y30" s="291">
        <f>'[1]January - 2021'!AG30</f>
        <v>4482.2400000020862</v>
      </c>
      <c r="Z30" s="92">
        <f>'[1]January - 2021'!AG30</f>
        <v>4482.2400000020862</v>
      </c>
      <c r="AA30" s="290">
        <f>'[1]January - 2021'!AI30</f>
        <v>11579818.319999998</v>
      </c>
      <c r="AB30" s="291">
        <f>'[1]January - 2021'!AJ30</f>
        <v>974.39999999850988</v>
      </c>
      <c r="AC30" s="92">
        <f>'[1]January - 2021'!AJ30</f>
        <v>974.39999999850988</v>
      </c>
      <c r="AD30" s="290">
        <f>'[1]January - 2021'!AL30</f>
        <v>14891852.640000001</v>
      </c>
      <c r="AE30" s="291">
        <f>'[1]January - 2021'!AM30</f>
        <v>97.440000001341105</v>
      </c>
      <c r="AF30" s="92">
        <f>'[1]January - 2021'!AM30</f>
        <v>97.440000001341105</v>
      </c>
      <c r="AG30" s="290">
        <f>'[1]January - 2021'!AO30</f>
        <v>15066757.439999999</v>
      </c>
      <c r="AH30" s="291">
        <f>'[1]January - 2021'!AP30</f>
        <v>8087.5200000014156</v>
      </c>
      <c r="AI30" s="92">
        <f>'[1]January - 2021'!AP30</f>
        <v>8087.5200000014156</v>
      </c>
      <c r="AJ30" s="290">
        <f>'[1]January - 2021'!AR30</f>
        <v>13769197.68</v>
      </c>
      <c r="AK30" s="291">
        <f>'[1]January - 2021'!AS30</f>
        <v>5456.640000000596</v>
      </c>
      <c r="AL30" s="92">
        <f>'[1]January - 2021'!AS30</f>
        <v>5456.640000000596</v>
      </c>
      <c r="AM30" s="290">
        <f>'[1]January - 2021'!AU30</f>
        <v>11771190.48</v>
      </c>
      <c r="AN30" s="291">
        <f>'[1]January - 2021'!AV30</f>
        <v>4092.480000000447</v>
      </c>
      <c r="AO30" s="92">
        <f>'[1]January - 2021'!AV30</f>
        <v>4092.480000000447</v>
      </c>
      <c r="AP30" s="290">
        <f>'[1]January - 2021'!AX30</f>
        <v>11368958.16</v>
      </c>
      <c r="AQ30" s="291">
        <f>'[1]January - 2021'!AY30</f>
        <v>3848.8799999989569</v>
      </c>
      <c r="AR30" s="92">
        <f>'[1]January - 2021'!AY30</f>
        <v>3848.8799999989569</v>
      </c>
      <c r="AS30" s="290">
        <f>'[1]January - 2021'!BA30</f>
        <v>9100067.7599999998</v>
      </c>
      <c r="AT30" s="291">
        <f>'[1]January - 2021'!BB30</f>
        <v>3166.8000000007451</v>
      </c>
      <c r="AU30" s="92">
        <f>'[1]January - 2021'!BB30</f>
        <v>3166.8000000007451</v>
      </c>
      <c r="AV30" s="290">
        <f>'[1]January - 2021'!BD30</f>
        <v>13765105.199999999</v>
      </c>
      <c r="AW30" s="252">
        <f>'[1]January - 2021'!BE30</f>
        <v>5456.640000000596</v>
      </c>
      <c r="AX30" s="253">
        <f>'[1]January - 2021'!BE30</f>
        <v>5456.640000000596</v>
      </c>
      <c r="AY30" s="486"/>
      <c r="AZ30" s="272">
        <f>'[1]January - 2021'!BK30</f>
        <v>57868700</v>
      </c>
      <c r="BA30" s="179">
        <f>'[1]January - 2021'!BL30</f>
        <v>0</v>
      </c>
      <c r="BB30" s="93">
        <f>'[1]January - 2021'!BL30</f>
        <v>0</v>
      </c>
      <c r="BC30" s="272">
        <f>'[1]January - 2021'!BN30</f>
        <v>61926300</v>
      </c>
      <c r="BD30" s="245">
        <f>'[1]January - 2021'!BO30</f>
        <v>0</v>
      </c>
      <c r="BE30" s="93">
        <f>'[1]January - 2021'!BO30</f>
        <v>0</v>
      </c>
      <c r="BF30" s="272">
        <f>'[1]January - 2021'!BQ30</f>
        <v>55846500</v>
      </c>
      <c r="BG30" s="245">
        <f>'[1]January - 2021'!BR30</f>
        <v>36800</v>
      </c>
      <c r="BH30" s="93">
        <f>'[1]January - 2021'!BR30</f>
        <v>36800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- 2021'!BT30</f>
        <v>5718860</v>
      </c>
      <c r="BT30" s="185">
        <f>'[1]January - 2021'!BU30</f>
        <v>4680</v>
      </c>
      <c r="BU30" s="393"/>
      <c r="BV30" s="88">
        <f>'[1]January - 2021'!BW30</f>
        <v>0.55000000000000004</v>
      </c>
      <c r="BW30" s="241">
        <f>'[1]January - 2021'!BX30</f>
        <v>8.9999999999999969E-2</v>
      </c>
      <c r="BX30" s="88">
        <f>'[1]January - 2021'!BX30</f>
        <v>8.9999999999999969E-2</v>
      </c>
      <c r="BY30" s="89">
        <f>'[1]January - 2021'!BZ30</f>
        <v>51425</v>
      </c>
      <c r="BZ30" s="191">
        <f>'[1]January - 2021'!CA30</f>
        <v>15</v>
      </c>
      <c r="CA30" s="89">
        <f>'[1]January - 2021'!CB30</f>
        <v>43323</v>
      </c>
      <c r="CB30" s="191">
        <f>'[1]January - 2021'!CC30</f>
        <v>17</v>
      </c>
      <c r="CC30" s="89">
        <f>'[1]January - 2021'!CD30</f>
        <v>14889</v>
      </c>
      <c r="CD30" s="191">
        <f>'[1]January - 2021'!CE30</f>
        <v>7</v>
      </c>
      <c r="CE30" s="89">
        <f>'[1]January - 2021'!CF30</f>
        <v>18896</v>
      </c>
      <c r="CF30" s="191">
        <f>'[1]January - 2021'!CG30</f>
        <v>9</v>
      </c>
      <c r="CG30" s="89">
        <f>'[1]January - 2021'!CH30</f>
        <v>20451</v>
      </c>
      <c r="CH30" s="191">
        <f>'[1]January - 2021'!CI30</f>
        <v>11</v>
      </c>
      <c r="CI30" s="89">
        <f>'[1]January - 2021'!CJ30</f>
        <v>46453</v>
      </c>
      <c r="CJ30" s="191">
        <f>'[1]January - 2021'!CK30</f>
        <v>23</v>
      </c>
      <c r="CK30" s="89">
        <f>'[1]January - 2021'!CL30</f>
        <v>203591</v>
      </c>
      <c r="CL30" s="246">
        <f>'[1]January - 2021'!CM30</f>
        <v>88</v>
      </c>
      <c r="CM30" s="89">
        <f>'[1]January - 2021'!CM30</f>
        <v>88</v>
      </c>
      <c r="CN30" s="89">
        <f>'[1]January - 2021'!CO30</f>
        <v>151959</v>
      </c>
      <c r="CO30" s="246">
        <f>'[1]January - 2021'!CP30</f>
        <v>96</v>
      </c>
      <c r="CP30" s="89">
        <f>'[1]January - 2021'!CP30</f>
        <v>96</v>
      </c>
      <c r="CQ30" s="89">
        <f>'[1]January - 2021'!CR30</f>
        <v>285589</v>
      </c>
      <c r="CR30" s="246">
        <f>'[1]January - 2021'!CS30</f>
        <v>444</v>
      </c>
      <c r="CS30" s="89">
        <f>'[1]January - 2021'!CS30</f>
        <v>444</v>
      </c>
      <c r="CT30" s="89">
        <f>'[1]January - 2021'!CU30</f>
        <v>541534</v>
      </c>
      <c r="CU30" s="191">
        <f>'[1]January - 2021'!CV30</f>
        <v>259</v>
      </c>
      <c r="CV30" s="453"/>
      <c r="CW30" s="256">
        <f>'[1]January - 2021'!CX30</f>
        <v>4339</v>
      </c>
      <c r="CX30" s="198">
        <f>'[1]January - 2021'!CY30</f>
        <v>0</v>
      </c>
      <c r="CY30" s="257">
        <f>'[1]January - 2021'!CZ30</f>
        <v>2122</v>
      </c>
      <c r="CZ30" s="198">
        <f>'[1]January - 2021'!DA30</f>
        <v>0</v>
      </c>
      <c r="DA30" s="257">
        <f>'[1]January - 2021'!DB30</f>
        <v>22601</v>
      </c>
      <c r="DB30" s="198">
        <f>'[1]January - 2021'!DC30</f>
        <v>16</v>
      </c>
      <c r="DC30" s="257">
        <f>'[1]January - 2021'!DD30</f>
        <v>23490</v>
      </c>
      <c r="DD30" s="198">
        <f>'[1]January - 2021'!DE30</f>
        <v>11</v>
      </c>
      <c r="DE30" s="257">
        <f>'[1]January - 2021'!DF30</f>
        <v>16211</v>
      </c>
      <c r="DF30" s="198">
        <f>'[1]January - 2021'!DG30</f>
        <v>14</v>
      </c>
      <c r="DG30" s="257">
        <f>'[1]January - 2021'!DH30</f>
        <v>19266</v>
      </c>
      <c r="DH30" s="198">
        <f>'[1]January - 2021'!DI30</f>
        <v>11</v>
      </c>
      <c r="DI30" s="257">
        <f>'[1]January - 2021'!DJ30</f>
        <v>826</v>
      </c>
      <c r="DJ30" s="198">
        <f>'[1]January - 2021'!DK30</f>
        <v>0</v>
      </c>
      <c r="DK30" s="257">
        <f>'[1]January - 2021'!DL30</f>
        <v>3616</v>
      </c>
      <c r="DL30" s="198">
        <f>'[1]January - 2021'!DM30</f>
        <v>0</v>
      </c>
      <c r="DM30" s="257">
        <f>'[1]January - 2021'!DN30</f>
        <v>349</v>
      </c>
      <c r="DN30" s="198">
        <f>'[1]January - 2021'!DO30</f>
        <v>8</v>
      </c>
      <c r="DO30" s="257">
        <f>'[1]January - 2021'!DP30</f>
        <v>1897</v>
      </c>
      <c r="DP30" s="198">
        <f>'[1]January - 2021'!DQ30</f>
        <v>2</v>
      </c>
      <c r="DQ30" s="257">
        <f>'[1]January - 2021'!DR30</f>
        <v>22922</v>
      </c>
      <c r="DR30" s="206">
        <f>'[1]January - 2021'!DS30</f>
        <v>0</v>
      </c>
      <c r="DS30" s="438"/>
      <c r="DT30" s="210">
        <f>'[1]January - 2021'!DU30</f>
        <v>233</v>
      </c>
      <c r="DU30" s="221">
        <f>'[1]January - 2021'!DV30</f>
        <v>8</v>
      </c>
      <c r="DV30" s="91">
        <f>'[1]January - 2021'!DW30</f>
        <v>5988.7</v>
      </c>
      <c r="DW30" s="215">
        <f>'[1]January - 2021'!DX30</f>
        <v>5</v>
      </c>
      <c r="DX30" s="91">
        <f>'[1]January - 2021'!DY30</f>
        <v>189.1</v>
      </c>
      <c r="DY30" s="215">
        <f>'[1]January - 2021'!DZ30</f>
        <v>7.0999999999999943</v>
      </c>
      <c r="DZ30" s="91">
        <f>'[1]January - 2021'!EA30</f>
        <v>254290</v>
      </c>
      <c r="EA30" s="215">
        <f>'[1]January - 2021'!EB30</f>
        <v>22</v>
      </c>
      <c r="EB30" s="91">
        <f>'[1]January - 2021'!EC30</f>
        <v>646008</v>
      </c>
      <c r="EC30" s="215">
        <f>'[1]January - 2021'!ED30</f>
        <v>530</v>
      </c>
      <c r="ED30" s="91">
        <f>'[1]January - 2021'!EG30</f>
        <v>127052</v>
      </c>
      <c r="EE30" s="229">
        <f>'[1]January - 2021'!EH30</f>
        <v>154</v>
      </c>
      <c r="EF30" s="377"/>
      <c r="EG30" s="235">
        <f>'[1]January - 2021'!EJ30</f>
        <v>8675400</v>
      </c>
      <c r="EH30" s="230">
        <f>'[1]January - 2021'!EK30</f>
        <v>1900</v>
      </c>
      <c r="EI30" s="90">
        <f>'[1]January - 2021'!EL30</f>
        <v>711020</v>
      </c>
      <c r="EJ30" s="230">
        <f>'[1]January - 2021'!EM30</f>
        <v>230</v>
      </c>
      <c r="EK30" s="90">
        <f>'[1]January - 2021'!EN30</f>
        <v>5568600</v>
      </c>
      <c r="EL30" s="230">
        <f>'[1]January - 2021'!EO30</f>
        <v>1200</v>
      </c>
      <c r="EM30" s="90">
        <f>'[1]January - 2021'!EP30</f>
        <v>1994700</v>
      </c>
      <c r="EN30" s="230">
        <f>'[1]January - 2021'!EQ30</f>
        <v>0</v>
      </c>
      <c r="EO30" s="90">
        <f>'[1]January - 2021'!ER30</f>
        <v>733180</v>
      </c>
      <c r="EP30" s="230">
        <f>'[1]January - 2021'!ES30</f>
        <v>150</v>
      </c>
      <c r="EQ30" s="90">
        <f>'[1]January - 2021'!ET30</f>
        <v>12302600</v>
      </c>
      <c r="ER30" s="230">
        <f>'[1]January - 2021'!EU30</f>
        <v>2300</v>
      </c>
      <c r="ES30" s="425"/>
      <c r="ET30" s="284">
        <f>'[1]January - 2021'!EW30</f>
        <v>32859</v>
      </c>
      <c r="EU30" s="278">
        <f>'[1]January - 2021'!EX30</f>
        <v>11</v>
      </c>
      <c r="EV30" s="285">
        <f>'[1]January - 2021'!EY30</f>
        <v>28289</v>
      </c>
      <c r="EW30" s="278">
        <f>'[1]January - 2021'!EZ30</f>
        <v>18</v>
      </c>
      <c r="EX30" s="285">
        <f>'[1]January - 2021'!FA30</f>
        <v>0</v>
      </c>
      <c r="EY30" s="278">
        <f>'[1]January - 2021'!FB30</f>
        <v>0</v>
      </c>
      <c r="EZ30" s="285">
        <f>'[1]January - 2021'!FC30</f>
        <v>48981</v>
      </c>
      <c r="FA30" s="278">
        <f>'[1]January - 2021'!FD30</f>
        <v>0</v>
      </c>
      <c r="FB30" s="285">
        <f>'[1]January - 2021'!FE30</f>
        <v>28169</v>
      </c>
      <c r="FC30" s="279">
        <f>'[1]January - 2021'!FF30</f>
        <v>27</v>
      </c>
    </row>
    <row r="31" spans="1:159" ht="30" customHeight="1" x14ac:dyDescent="0.25">
      <c r="A31" s="207">
        <v>43852</v>
      </c>
      <c r="B31" s="209">
        <f>'[1]January - 2021'!B31</f>
        <v>0.92</v>
      </c>
      <c r="C31" s="250">
        <f>'[1]January - 2021'!E31</f>
        <v>710911</v>
      </c>
      <c r="D31" s="170">
        <f>'[1]January - 2021'!F31</f>
        <v>523</v>
      </c>
      <c r="E31" s="168">
        <f>'[1]January - 2021'!G31</f>
        <v>528</v>
      </c>
      <c r="F31" s="168">
        <f>'[1]January - 2021'!H31</f>
        <v>812051</v>
      </c>
      <c r="G31" s="170">
        <f>'[1]January - 2021'!I31</f>
        <v>457</v>
      </c>
      <c r="H31" s="168">
        <f>'[1]January - 2021'!J31</f>
        <v>436</v>
      </c>
      <c r="I31" s="168">
        <f>'[1]January - 2021'!K31</f>
        <v>108374</v>
      </c>
      <c r="J31" s="170">
        <f>'[1]January - 2021'!L31</f>
        <v>167</v>
      </c>
      <c r="K31" s="168">
        <f>'[1]January - 2021'!N31</f>
        <v>718893</v>
      </c>
      <c r="L31" s="170">
        <f>'[1]January - 2021'!O31</f>
        <v>158</v>
      </c>
      <c r="M31" s="168">
        <f>'[1]January - 2021'!Q31</f>
        <v>163777</v>
      </c>
      <c r="N31" s="170">
        <f>'[1]January - 2021'!R31</f>
        <v>0</v>
      </c>
      <c r="O31" s="168">
        <f>'[1]January - 2021'!S31</f>
        <v>141998</v>
      </c>
      <c r="P31" s="170">
        <f>'[1]January - 2021'!T31</f>
        <v>16</v>
      </c>
      <c r="Q31" s="168">
        <f>'[1]January - 2021'!U31</f>
        <v>66</v>
      </c>
      <c r="R31" s="168">
        <f>'[1]January - 2021'!V31</f>
        <v>53</v>
      </c>
      <c r="S31" s="208">
        <f>'[1]January - 2021'!W31</f>
        <v>11</v>
      </c>
      <c r="T31" s="520"/>
      <c r="U31" s="169">
        <f>'[1]January - 2021'!AC31</f>
        <v>6289654.5599999996</v>
      </c>
      <c r="V31" s="291">
        <f>'[1]January - 2021'!AD31</f>
        <v>1900.0800000000745</v>
      </c>
      <c r="W31" s="92">
        <f>'[1]January - 2021'!AD31</f>
        <v>1900.0800000000745</v>
      </c>
      <c r="X31" s="290">
        <f>'[1]January - 2021'!AF31</f>
        <v>12284601.84</v>
      </c>
      <c r="Y31" s="291">
        <f>'[1]January - 2021'!AG31</f>
        <v>4384.7999999988824</v>
      </c>
      <c r="Z31" s="92">
        <f>'[1]January - 2021'!AG31</f>
        <v>4384.7999999988824</v>
      </c>
      <c r="AA31" s="290">
        <f>'[1]January - 2021'!AI31</f>
        <v>11579915.76</v>
      </c>
      <c r="AB31" s="291">
        <f>'[1]January - 2021'!AJ31</f>
        <v>97.440000001341105</v>
      </c>
      <c r="AC31" s="92">
        <f>'[1]January - 2021'!AJ31</f>
        <v>97.440000001341105</v>
      </c>
      <c r="AD31" s="290">
        <f>'[1]January - 2021'!AL31</f>
        <v>14891852.640000001</v>
      </c>
      <c r="AE31" s="291">
        <f>'[1]January - 2021'!AM31</f>
        <v>0</v>
      </c>
      <c r="AF31" s="92">
        <f>'[1]January - 2021'!AM31</f>
        <v>0</v>
      </c>
      <c r="AG31" s="290">
        <f>'[1]January - 2021'!AO31</f>
        <v>15074942.4</v>
      </c>
      <c r="AH31" s="291">
        <f>'[1]January - 2021'!AP31</f>
        <v>8184.9600000008941</v>
      </c>
      <c r="AI31" s="92">
        <f>'[1]January - 2021'!AP31</f>
        <v>8184.9600000008941</v>
      </c>
      <c r="AJ31" s="290">
        <f>'[1]January - 2021'!AR31</f>
        <v>13774556.880000001</v>
      </c>
      <c r="AK31" s="291">
        <f>'[1]January - 2021'!AS31</f>
        <v>5359.2000000011176</v>
      </c>
      <c r="AL31" s="92">
        <f>'[1]January - 2021'!AS31</f>
        <v>5359.2000000011176</v>
      </c>
      <c r="AM31" s="290">
        <f>'[1]January - 2021'!AU31</f>
        <v>11775234.24</v>
      </c>
      <c r="AN31" s="291">
        <f>'[1]January - 2021'!AV31</f>
        <v>4043.7599999997765</v>
      </c>
      <c r="AO31" s="92">
        <f>'[1]January - 2021'!AV31</f>
        <v>4043.7599999997765</v>
      </c>
      <c r="AP31" s="290">
        <f>'[1]January - 2021'!AX31</f>
        <v>11373050.640000001</v>
      </c>
      <c r="AQ31" s="291">
        <f>'[1]January - 2021'!AY31</f>
        <v>4092.480000000447</v>
      </c>
      <c r="AR31" s="92">
        <f>'[1]January - 2021'!AY31</f>
        <v>4092.480000000447</v>
      </c>
      <c r="AS31" s="290">
        <f>'[1]January - 2021'!BA31</f>
        <v>9103185.8399999999</v>
      </c>
      <c r="AT31" s="291">
        <f>'[1]January - 2021'!BB31</f>
        <v>3118.0800000000745</v>
      </c>
      <c r="AU31" s="92">
        <f>'[1]January - 2021'!BB31</f>
        <v>3118.0800000000745</v>
      </c>
      <c r="AV31" s="290">
        <f>'[1]January - 2021'!BD31</f>
        <v>13770415.68</v>
      </c>
      <c r="AW31" s="252">
        <f>'[1]January - 2021'!BE31</f>
        <v>5310.480000000447</v>
      </c>
      <c r="AX31" s="253">
        <f>'[1]January - 2021'!BE31</f>
        <v>5310.480000000447</v>
      </c>
      <c r="AY31" s="486"/>
      <c r="AZ31" s="272">
        <f>'[1]January - 2021'!BK31</f>
        <v>57868700</v>
      </c>
      <c r="BA31" s="179">
        <f>'[1]January - 2021'!BL31</f>
        <v>0</v>
      </c>
      <c r="BB31" s="93">
        <f>'[1]January - 2021'!BL31</f>
        <v>0</v>
      </c>
      <c r="BC31" s="272">
        <f>'[1]January - 2021'!BN31</f>
        <v>61926300</v>
      </c>
      <c r="BD31" s="245">
        <f>'[1]January - 2021'!BO31</f>
        <v>0</v>
      </c>
      <c r="BE31" s="93">
        <f>'[1]January - 2021'!BO31</f>
        <v>0</v>
      </c>
      <c r="BF31" s="272">
        <f>'[1]January - 2021'!BQ31</f>
        <v>55877200</v>
      </c>
      <c r="BG31" s="245">
        <f>'[1]January - 2021'!BR31</f>
        <v>30700</v>
      </c>
      <c r="BH31" s="93">
        <f>'[1]January - 2021'!BR31</f>
        <v>30700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- 2021'!BT31</f>
        <v>5723970</v>
      </c>
      <c r="BT31" s="185">
        <f>'[1]January - 2021'!BU31</f>
        <v>5110</v>
      </c>
      <c r="BU31" s="393"/>
      <c r="BV31" s="88">
        <f>'[1]January - 2021'!BW31</f>
        <v>0.63</v>
      </c>
      <c r="BW31" s="241">
        <f>'[1]January - 2021'!BX31</f>
        <v>-7.999999999999996E-2</v>
      </c>
      <c r="BX31" s="88">
        <f>'[1]January - 2021'!BX31</f>
        <v>-7.999999999999996E-2</v>
      </c>
      <c r="BY31" s="89">
        <f>'[1]January - 2021'!BZ31</f>
        <v>0</v>
      </c>
      <c r="BZ31" s="191">
        <f>'[1]January - 2021'!CA31</f>
        <v>-51425</v>
      </c>
      <c r="CA31" s="89">
        <f>'[1]January - 2021'!CB31</f>
        <v>0</v>
      </c>
      <c r="CB31" s="191">
        <f>'[1]January - 2021'!CC31</f>
        <v>-43323</v>
      </c>
      <c r="CC31" s="89">
        <f>'[1]January - 2021'!CD31</f>
        <v>0</v>
      </c>
      <c r="CD31" s="191">
        <f>'[1]January - 2021'!CE31</f>
        <v>-14889</v>
      </c>
      <c r="CE31" s="89">
        <f>'[1]January - 2021'!CF31</f>
        <v>0</v>
      </c>
      <c r="CF31" s="191">
        <f>'[1]January - 2021'!CG31</f>
        <v>-18896</v>
      </c>
      <c r="CG31" s="89">
        <f>'[1]January - 2021'!CH31</f>
        <v>0</v>
      </c>
      <c r="CH31" s="191">
        <f>'[1]January - 2021'!CI31</f>
        <v>-20451</v>
      </c>
      <c r="CI31" s="89">
        <f>'[1]January - 2021'!CJ31</f>
        <v>0</v>
      </c>
      <c r="CJ31" s="191">
        <f>'[1]January - 2021'!CK31</f>
        <v>-46453</v>
      </c>
      <c r="CK31" s="89">
        <f>'[1]January - 2021'!CL31</f>
        <v>203681</v>
      </c>
      <c r="CL31" s="246">
        <f>'[1]January - 2021'!CM31</f>
        <v>90</v>
      </c>
      <c r="CM31" s="89">
        <f>'[1]January - 2021'!CM31</f>
        <v>90</v>
      </c>
      <c r="CN31" s="89">
        <f>'[1]January - 2021'!CO31</f>
        <v>152057</v>
      </c>
      <c r="CO31" s="246">
        <f>'[1]January - 2021'!CP31</f>
        <v>98</v>
      </c>
      <c r="CP31" s="89">
        <f>'[1]January - 2021'!CP31</f>
        <v>98</v>
      </c>
      <c r="CQ31" s="89">
        <f>'[1]January - 2021'!CR31</f>
        <v>286055</v>
      </c>
      <c r="CR31" s="246">
        <f>'[1]January - 2021'!CS31</f>
        <v>466</v>
      </c>
      <c r="CS31" s="89">
        <f>'[1]January - 2021'!CS31</f>
        <v>466</v>
      </c>
      <c r="CT31" s="89">
        <f>'[1]January - 2021'!CU31</f>
        <v>541797</v>
      </c>
      <c r="CU31" s="191">
        <f>'[1]January - 2021'!CV31</f>
        <v>263</v>
      </c>
      <c r="CV31" s="453"/>
      <c r="CW31" s="256">
        <f>'[1]January - 2021'!CX31</f>
        <v>4367</v>
      </c>
      <c r="CX31" s="198">
        <f>'[1]January - 2021'!CY31</f>
        <v>28</v>
      </c>
      <c r="CY31" s="257">
        <f>'[1]January - 2021'!CZ31</f>
        <v>2141</v>
      </c>
      <c r="CZ31" s="198">
        <f>'[1]January - 2021'!DA31</f>
        <v>19</v>
      </c>
      <c r="DA31" s="257">
        <f>'[1]January - 2021'!DB31</f>
        <v>22616</v>
      </c>
      <c r="DB31" s="198">
        <f>'[1]January - 2021'!DC31</f>
        <v>15</v>
      </c>
      <c r="DC31" s="257">
        <f>'[1]January - 2021'!DD31</f>
        <v>23506</v>
      </c>
      <c r="DD31" s="198">
        <f>'[1]January - 2021'!DE31</f>
        <v>16</v>
      </c>
      <c r="DE31" s="257">
        <f>'[1]January - 2021'!DF31</f>
        <v>16224</v>
      </c>
      <c r="DF31" s="198">
        <f>'[1]January - 2021'!DG31</f>
        <v>13</v>
      </c>
      <c r="DG31" s="257">
        <f>'[1]January - 2021'!DH31</f>
        <v>19278</v>
      </c>
      <c r="DH31" s="198">
        <f>'[1]January - 2021'!DI31</f>
        <v>12</v>
      </c>
      <c r="DI31" s="257">
        <f>'[1]January - 2021'!DJ31</f>
        <v>826</v>
      </c>
      <c r="DJ31" s="198">
        <f>'[1]January - 2021'!DK31</f>
        <v>0</v>
      </c>
      <c r="DK31" s="257">
        <f>'[1]January - 2021'!DL31</f>
        <v>3616</v>
      </c>
      <c r="DL31" s="198">
        <f>'[1]January - 2021'!DM31</f>
        <v>0</v>
      </c>
      <c r="DM31" s="257">
        <f>'[1]January - 2021'!DN31</f>
        <v>357</v>
      </c>
      <c r="DN31" s="198">
        <f>'[1]January - 2021'!DO31</f>
        <v>8</v>
      </c>
      <c r="DO31" s="257">
        <f>'[1]January - 2021'!DP31</f>
        <v>1898</v>
      </c>
      <c r="DP31" s="198">
        <f>'[1]January - 2021'!DQ31</f>
        <v>1</v>
      </c>
      <c r="DQ31" s="257">
        <f>'[1]January - 2021'!DR31</f>
        <v>22922</v>
      </c>
      <c r="DR31" s="206">
        <f>'[1]January - 2021'!DS31</f>
        <v>0</v>
      </c>
      <c r="DS31" s="438"/>
      <c r="DT31" s="210">
        <f>'[1]January - 2021'!DU31</f>
        <v>242.4</v>
      </c>
      <c r="DU31" s="221">
        <f>'[1]January - 2021'!DV31</f>
        <v>9.4000000000000057</v>
      </c>
      <c r="DV31" s="91">
        <f>'[1]January - 2021'!DW31</f>
        <v>5993.6</v>
      </c>
      <c r="DW31" s="215">
        <f>'[1]January - 2021'!DX31</f>
        <v>4.9000000000005457</v>
      </c>
      <c r="DX31" s="91">
        <f>'[1]January - 2021'!DY31</f>
        <v>195.6</v>
      </c>
      <c r="DY31" s="215">
        <f>'[1]January - 2021'!DZ31</f>
        <v>6.5</v>
      </c>
      <c r="DZ31" s="91">
        <f>'[1]January - 2021'!EA31</f>
        <v>254305</v>
      </c>
      <c r="EA31" s="215">
        <f>'[1]January - 2021'!EB31</f>
        <v>15</v>
      </c>
      <c r="EB31" s="91">
        <f>'[1]January - 2021'!EC31</f>
        <v>646492</v>
      </c>
      <c r="EC31" s="215">
        <f>'[1]January - 2021'!ED31</f>
        <v>484</v>
      </c>
      <c r="ED31" s="91">
        <f>'[1]January - 2021'!EG31</f>
        <v>127204</v>
      </c>
      <c r="EE31" s="229">
        <f>'[1]January - 2021'!EH31</f>
        <v>152</v>
      </c>
      <c r="EF31" s="377"/>
      <c r="EG31" s="235">
        <f>'[1]January - 2021'!EJ31</f>
        <v>8677000</v>
      </c>
      <c r="EH31" s="230">
        <f>'[1]January - 2021'!EK31</f>
        <v>1600</v>
      </c>
      <c r="EI31" s="90">
        <f>'[1]January - 2021'!EL31</f>
        <v>711250</v>
      </c>
      <c r="EJ31" s="230">
        <f>'[1]January - 2021'!EM31</f>
        <v>230</v>
      </c>
      <c r="EK31" s="90">
        <f>'[1]January - 2021'!EN31</f>
        <v>5569600</v>
      </c>
      <c r="EL31" s="230">
        <f>'[1]January - 2021'!EO31</f>
        <v>1000</v>
      </c>
      <c r="EM31" s="90">
        <f>'[1]January - 2021'!EP31</f>
        <v>1994700</v>
      </c>
      <c r="EN31" s="230">
        <f>'[1]January - 2021'!EQ31</f>
        <v>0</v>
      </c>
      <c r="EO31" s="90">
        <f>'[1]January - 2021'!ER31</f>
        <v>733330</v>
      </c>
      <c r="EP31" s="230">
        <f>'[1]January - 2021'!ES31</f>
        <v>150</v>
      </c>
      <c r="EQ31" s="90">
        <f>'[1]January - 2021'!ET31</f>
        <v>12304200</v>
      </c>
      <c r="ER31" s="230">
        <f>'[1]January - 2021'!EU31</f>
        <v>1600</v>
      </c>
      <c r="ES31" s="425"/>
      <c r="ET31" s="284">
        <f>'[1]January - 2021'!EW31</f>
        <v>32869</v>
      </c>
      <c r="EU31" s="278">
        <f>'[1]January - 2021'!EX31</f>
        <v>10</v>
      </c>
      <c r="EV31" s="285">
        <f>'[1]January - 2021'!EY31</f>
        <v>28306</v>
      </c>
      <c r="EW31" s="278">
        <f>'[1]January - 2021'!EZ31</f>
        <v>17</v>
      </c>
      <c r="EX31" s="285">
        <f>'[1]January - 2021'!FA31</f>
        <v>0</v>
      </c>
      <c r="EY31" s="278">
        <f>'[1]January - 2021'!FB31</f>
        <v>0</v>
      </c>
      <c r="EZ31" s="285">
        <f>'[1]January - 2021'!FC31</f>
        <v>49028</v>
      </c>
      <c r="FA31" s="278">
        <f>'[1]January - 2021'!FD31</f>
        <v>47</v>
      </c>
      <c r="FB31" s="285">
        <f>'[1]January - 2021'!FE31</f>
        <v>28200</v>
      </c>
      <c r="FC31" s="279">
        <f>'[1]January - 2021'!FF31</f>
        <v>31</v>
      </c>
    </row>
    <row r="32" spans="1:159" ht="30" customHeight="1" x14ac:dyDescent="0.25">
      <c r="A32" s="207">
        <v>43853</v>
      </c>
      <c r="B32" s="209">
        <f>'[1]January - 2021'!B32</f>
        <v>0</v>
      </c>
      <c r="C32" s="250">
        <f>'[1]January - 2021'!E32</f>
        <v>0</v>
      </c>
      <c r="D32" s="170">
        <f>'[1]January - 2021'!F32</f>
        <v>-710911</v>
      </c>
      <c r="E32" s="168">
        <f>'[1]January - 2021'!G32</f>
        <v>562</v>
      </c>
      <c r="F32" s="168">
        <f>'[1]January - 2021'!H32</f>
        <v>0</v>
      </c>
      <c r="G32" s="170">
        <f>'[1]January - 2021'!I32</f>
        <v>-812051</v>
      </c>
      <c r="H32" s="168">
        <f>'[1]January - 2021'!J32</f>
        <v>458</v>
      </c>
      <c r="I32" s="168">
        <f>'[1]January - 2021'!K32</f>
        <v>0</v>
      </c>
      <c r="J32" s="170">
        <f>'[1]January - 2021'!L32</f>
        <v>-108374</v>
      </c>
      <c r="K32" s="168">
        <f>'[1]January - 2021'!N32</f>
        <v>0</v>
      </c>
      <c r="L32" s="170">
        <f>'[1]January - 2021'!O32</f>
        <v>-718893</v>
      </c>
      <c r="M32" s="168">
        <f>'[1]January - 2021'!Q32</f>
        <v>0</v>
      </c>
      <c r="N32" s="170">
        <f>'[1]January - 2021'!R32</f>
        <v>-163777</v>
      </c>
      <c r="O32" s="168">
        <f>'[1]January - 2021'!S32</f>
        <v>0</v>
      </c>
      <c r="P32" s="170">
        <f>'[1]January - 2021'!T32</f>
        <v>-141998</v>
      </c>
      <c r="Q32" s="168">
        <f>'[1]January - 2021'!U32</f>
        <v>83</v>
      </c>
      <c r="R32" s="168">
        <f>'[1]January - 2021'!V32</f>
        <v>0</v>
      </c>
      <c r="S32" s="208">
        <f>'[1]January - 2021'!W32</f>
        <v>-53</v>
      </c>
      <c r="T32" s="520"/>
      <c r="U32" s="169">
        <f>'[1]January - 2021'!AC32</f>
        <v>0</v>
      </c>
      <c r="V32" s="291">
        <f>'[1]January - 2021'!AD32</f>
        <v>-6289654.5599999996</v>
      </c>
      <c r="W32" s="92">
        <f>'[1]January - 2021'!AD32</f>
        <v>-6289654.5599999996</v>
      </c>
      <c r="X32" s="290">
        <f>'[1]January - 2021'!AF32</f>
        <v>0</v>
      </c>
      <c r="Y32" s="291">
        <f>'[1]January - 2021'!AG32</f>
        <v>-12284601.84</v>
      </c>
      <c r="Z32" s="92">
        <f>'[1]January - 2021'!AG32</f>
        <v>-12284601.84</v>
      </c>
      <c r="AA32" s="290">
        <f>'[1]January - 2021'!AI32</f>
        <v>0</v>
      </c>
      <c r="AB32" s="291">
        <f>'[1]January - 2021'!AJ32</f>
        <v>-11579915.76</v>
      </c>
      <c r="AC32" s="92">
        <f>'[1]January - 2021'!AJ32</f>
        <v>-11579915.76</v>
      </c>
      <c r="AD32" s="290">
        <f>'[1]January - 2021'!AL32</f>
        <v>0</v>
      </c>
      <c r="AE32" s="291">
        <f>'[1]January - 2021'!AM32</f>
        <v>-14891852.640000001</v>
      </c>
      <c r="AF32" s="92">
        <f>'[1]January - 2021'!AM32</f>
        <v>-14891852.640000001</v>
      </c>
      <c r="AG32" s="290">
        <f>'[1]January - 2021'!AO32</f>
        <v>0</v>
      </c>
      <c r="AH32" s="291">
        <f>'[1]January - 2021'!AP32</f>
        <v>-15074942.4</v>
      </c>
      <c r="AI32" s="92">
        <f>'[1]January - 2021'!AP32</f>
        <v>-15074942.4</v>
      </c>
      <c r="AJ32" s="290">
        <f>'[1]January - 2021'!AR32</f>
        <v>0</v>
      </c>
      <c r="AK32" s="291">
        <f>'[1]January - 2021'!AS32</f>
        <v>-13774556.880000001</v>
      </c>
      <c r="AL32" s="92">
        <f>'[1]January - 2021'!AS32</f>
        <v>-13774556.880000001</v>
      </c>
      <c r="AM32" s="290">
        <f>'[1]January - 2021'!AU32</f>
        <v>0</v>
      </c>
      <c r="AN32" s="291">
        <f>'[1]January - 2021'!AV32</f>
        <v>-11775234.24</v>
      </c>
      <c r="AO32" s="92">
        <f>'[1]January - 2021'!AV32</f>
        <v>-11775234.24</v>
      </c>
      <c r="AP32" s="290">
        <f>'[1]January - 2021'!AX32</f>
        <v>0</v>
      </c>
      <c r="AQ32" s="291">
        <f>'[1]January - 2021'!AY32</f>
        <v>-11373050.640000001</v>
      </c>
      <c r="AR32" s="92">
        <f>'[1]January - 2021'!AY32</f>
        <v>-11373050.640000001</v>
      </c>
      <c r="AS32" s="290">
        <f>'[1]January - 2021'!BA32</f>
        <v>0</v>
      </c>
      <c r="AT32" s="291">
        <f>'[1]January - 2021'!BB32</f>
        <v>-9103185.8399999999</v>
      </c>
      <c r="AU32" s="92">
        <f>'[1]January - 2021'!BB32</f>
        <v>-9103185.8399999999</v>
      </c>
      <c r="AV32" s="290">
        <f>'[1]January - 2021'!BD32</f>
        <v>0</v>
      </c>
      <c r="AW32" s="252">
        <f>'[1]January - 2021'!BE32</f>
        <v>-13770415.68</v>
      </c>
      <c r="AX32" s="253">
        <f>'[1]January - 2021'!BE32</f>
        <v>-13770415.68</v>
      </c>
      <c r="AY32" s="486"/>
      <c r="AZ32" s="272">
        <f>'[1]January - 2021'!BK32</f>
        <v>0</v>
      </c>
      <c r="BA32" s="179">
        <f>'[1]January - 2021'!BL32</f>
        <v>-57868700</v>
      </c>
      <c r="BB32" s="93">
        <f>'[1]January - 2021'!BL32</f>
        <v>-57868700</v>
      </c>
      <c r="BC32" s="272">
        <f>'[1]January - 2021'!BN32</f>
        <v>0</v>
      </c>
      <c r="BD32" s="245">
        <f>'[1]January - 2021'!BO32</f>
        <v>-61926300</v>
      </c>
      <c r="BE32" s="93">
        <f>'[1]January - 2021'!BO32</f>
        <v>-61926300</v>
      </c>
      <c r="BF32" s="272">
        <f>'[1]January - 2021'!BQ32</f>
        <v>0</v>
      </c>
      <c r="BG32" s="245">
        <f>'[1]January - 2021'!BR32</f>
        <v>-55877200</v>
      </c>
      <c r="BH32" s="93">
        <f>'[1]January - 2021'!BR32</f>
        <v>-55877200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- 2021'!BT32</f>
        <v>0</v>
      </c>
      <c r="BT32" s="185">
        <f>'[1]January - 2021'!BU32</f>
        <v>-5723970</v>
      </c>
      <c r="BU32" s="393"/>
      <c r="BV32" s="88">
        <f>'[1]January - 2021'!BW32</f>
        <v>0</v>
      </c>
      <c r="BW32" s="241">
        <f>'[1]January - 2021'!BX32</f>
        <v>0.63</v>
      </c>
      <c r="BX32" s="88">
        <f>'[1]January - 2021'!BX32</f>
        <v>0.63</v>
      </c>
      <c r="BY32" s="89">
        <f>'[1]January - 2021'!BZ32</f>
        <v>0</v>
      </c>
      <c r="BZ32" s="191">
        <f>'[1]January - 2021'!CA32</f>
        <v>0</v>
      </c>
      <c r="CA32" s="89">
        <f>'[1]January - 2021'!CB32</f>
        <v>0</v>
      </c>
      <c r="CB32" s="191">
        <f>'[1]January - 2021'!CC32</f>
        <v>0</v>
      </c>
      <c r="CC32" s="89">
        <f>'[1]January - 2021'!CD32</f>
        <v>0</v>
      </c>
      <c r="CD32" s="191">
        <f>'[1]January - 2021'!CE32</f>
        <v>0</v>
      </c>
      <c r="CE32" s="89">
        <f>'[1]January - 2021'!CF32</f>
        <v>0</v>
      </c>
      <c r="CF32" s="191">
        <f>'[1]January - 2021'!CG32</f>
        <v>0</v>
      </c>
      <c r="CG32" s="89">
        <f>'[1]January - 2021'!CH32</f>
        <v>0</v>
      </c>
      <c r="CH32" s="191">
        <f>'[1]January - 2021'!CI32</f>
        <v>0</v>
      </c>
      <c r="CI32" s="89">
        <f>'[1]January - 2021'!CJ32</f>
        <v>0</v>
      </c>
      <c r="CJ32" s="191">
        <f>'[1]January - 2021'!CK32</f>
        <v>0</v>
      </c>
      <c r="CK32" s="89">
        <f>'[1]January - 2021'!CL32</f>
        <v>0</v>
      </c>
      <c r="CL32" s="246">
        <f>'[1]January - 2021'!CM32</f>
        <v>-203681</v>
      </c>
      <c r="CM32" s="89">
        <f>'[1]January - 2021'!CM32</f>
        <v>-203681</v>
      </c>
      <c r="CN32" s="89">
        <f>'[1]January - 2021'!CO32</f>
        <v>0</v>
      </c>
      <c r="CO32" s="246">
        <f>'[1]January - 2021'!CP32</f>
        <v>-152057</v>
      </c>
      <c r="CP32" s="89">
        <f>'[1]January - 2021'!CP32</f>
        <v>-152057</v>
      </c>
      <c r="CQ32" s="89">
        <f>'[1]January - 2021'!CR32</f>
        <v>0</v>
      </c>
      <c r="CR32" s="246">
        <f>'[1]January - 2021'!CS32</f>
        <v>-286055</v>
      </c>
      <c r="CS32" s="89">
        <f>'[1]January - 2021'!CS32</f>
        <v>-286055</v>
      </c>
      <c r="CT32" s="89">
        <f>'[1]January - 2021'!CU32</f>
        <v>0</v>
      </c>
      <c r="CU32" s="191">
        <f>'[1]January - 2021'!CV32</f>
        <v>-541797</v>
      </c>
      <c r="CV32" s="453"/>
      <c r="CW32" s="256">
        <f>'[1]January - 2021'!CX32</f>
        <v>0</v>
      </c>
      <c r="CX32" s="198">
        <f>'[1]January - 2021'!CY32</f>
        <v>-4367</v>
      </c>
      <c r="CY32" s="257">
        <f>'[1]January - 2021'!CZ32</f>
        <v>0</v>
      </c>
      <c r="CZ32" s="198">
        <f>'[1]January - 2021'!DA32</f>
        <v>-2141</v>
      </c>
      <c r="DA32" s="257">
        <f>'[1]January - 2021'!DB32</f>
        <v>0</v>
      </c>
      <c r="DB32" s="198">
        <f>'[1]January - 2021'!DC32</f>
        <v>-22616</v>
      </c>
      <c r="DC32" s="257">
        <f>'[1]January - 2021'!DD32</f>
        <v>0</v>
      </c>
      <c r="DD32" s="198">
        <f>'[1]January - 2021'!DE32</f>
        <v>-23506</v>
      </c>
      <c r="DE32" s="257">
        <f>'[1]January - 2021'!DF32</f>
        <v>0</v>
      </c>
      <c r="DF32" s="198">
        <f>'[1]January - 2021'!DG32</f>
        <v>-16224</v>
      </c>
      <c r="DG32" s="257">
        <f>'[1]January - 2021'!DH32</f>
        <v>0</v>
      </c>
      <c r="DH32" s="198">
        <f>'[1]January - 2021'!DI32</f>
        <v>-19278</v>
      </c>
      <c r="DI32" s="257">
        <f>'[1]January - 2021'!DJ32</f>
        <v>826</v>
      </c>
      <c r="DJ32" s="198">
        <f>'[1]January - 2021'!DK32</f>
        <v>0</v>
      </c>
      <c r="DK32" s="257">
        <f>'[1]January - 2021'!DL32</f>
        <v>0</v>
      </c>
      <c r="DL32" s="198">
        <f>'[1]January - 2021'!DM32</f>
        <v>-3616</v>
      </c>
      <c r="DM32" s="257">
        <f>'[1]January - 2021'!DN32</f>
        <v>0</v>
      </c>
      <c r="DN32" s="198">
        <f>'[1]January - 2021'!DO32</f>
        <v>-357</v>
      </c>
      <c r="DO32" s="257">
        <f>'[1]January - 2021'!DP32</f>
        <v>0</v>
      </c>
      <c r="DP32" s="198">
        <f>'[1]January - 2021'!DQ32</f>
        <v>-1898</v>
      </c>
      <c r="DQ32" s="257">
        <f>'[1]January - 2021'!DR32</f>
        <v>0</v>
      </c>
      <c r="DR32" s="206">
        <f>'[1]January - 2021'!DS32</f>
        <v>-22922</v>
      </c>
      <c r="DS32" s="438"/>
      <c r="DT32" s="210">
        <f>'[1]January - 2021'!DU32</f>
        <v>0</v>
      </c>
      <c r="DU32" s="221">
        <f>'[1]January - 2021'!DV32</f>
        <v>-242.4</v>
      </c>
      <c r="DV32" s="91">
        <f>'[1]January - 2021'!DW32</f>
        <v>0</v>
      </c>
      <c r="DW32" s="215">
        <f>'[1]January - 2021'!DX32</f>
        <v>-5993.6</v>
      </c>
      <c r="DX32" s="91">
        <f>'[1]January - 2021'!DY32</f>
        <v>0</v>
      </c>
      <c r="DY32" s="215">
        <f>'[1]January - 2021'!DZ32</f>
        <v>-195.6</v>
      </c>
      <c r="DZ32" s="91">
        <f>'[1]January - 2021'!EA32</f>
        <v>0</v>
      </c>
      <c r="EA32" s="215">
        <f>'[1]January - 2021'!EB32</f>
        <v>-254305</v>
      </c>
      <c r="EB32" s="91">
        <f>'[1]January - 2021'!EC32</f>
        <v>0</v>
      </c>
      <c r="EC32" s="215">
        <f>'[1]January - 2021'!ED32</f>
        <v>-646492</v>
      </c>
      <c r="ED32" s="91">
        <f>'[1]January - 2021'!EG32</f>
        <v>0</v>
      </c>
      <c r="EE32" s="229">
        <f>'[1]January - 2021'!EH32</f>
        <v>-127204</v>
      </c>
      <c r="EF32" s="377"/>
      <c r="EG32" s="235">
        <f>'[1]January - 2021'!EJ32</f>
        <v>0</v>
      </c>
      <c r="EH32" s="230">
        <f>'[1]January - 2021'!EK32</f>
        <v>-8677000</v>
      </c>
      <c r="EI32" s="90">
        <f>'[1]January - 2021'!EL32</f>
        <v>0</v>
      </c>
      <c r="EJ32" s="230">
        <f>'[1]January - 2021'!EM32</f>
        <v>-711250</v>
      </c>
      <c r="EK32" s="90">
        <f>'[1]January - 2021'!EN32</f>
        <v>0</v>
      </c>
      <c r="EL32" s="230">
        <f>'[1]January - 2021'!EO32</f>
        <v>-5569600</v>
      </c>
      <c r="EM32" s="90">
        <f>'[1]January - 2021'!EP32</f>
        <v>0</v>
      </c>
      <c r="EN32" s="230">
        <f>'[1]January - 2021'!EQ32</f>
        <v>-1994700</v>
      </c>
      <c r="EO32" s="90">
        <f>'[1]January - 2021'!ER32</f>
        <v>0</v>
      </c>
      <c r="EP32" s="230">
        <f>'[1]January - 2021'!ES32</f>
        <v>-733330</v>
      </c>
      <c r="EQ32" s="90">
        <f>'[1]January - 2021'!ET32</f>
        <v>0</v>
      </c>
      <c r="ER32" s="230">
        <f>'[1]January - 2021'!EU32</f>
        <v>-12304200</v>
      </c>
      <c r="ES32" s="425"/>
      <c r="ET32" s="284">
        <f>'[1]January - 2021'!EW32</f>
        <v>0</v>
      </c>
      <c r="EU32" s="278">
        <f>'[1]January - 2021'!EX32</f>
        <v>-32869</v>
      </c>
      <c r="EV32" s="285">
        <f>'[1]January - 2021'!EY32</f>
        <v>0</v>
      </c>
      <c r="EW32" s="278">
        <f>'[1]January - 2021'!EZ32</f>
        <v>-28306</v>
      </c>
      <c r="EX32" s="285">
        <f>'[1]January - 2021'!FA32</f>
        <v>0</v>
      </c>
      <c r="EY32" s="278">
        <f>'[1]January - 2021'!FB32</f>
        <v>0</v>
      </c>
      <c r="EZ32" s="285">
        <f>'[1]January - 2021'!FC32</f>
        <v>0</v>
      </c>
      <c r="FA32" s="278">
        <f>'[1]January - 2021'!FD32</f>
        <v>-49028</v>
      </c>
      <c r="FB32" s="285">
        <f>'[1]January - 2021'!FE32</f>
        <v>0</v>
      </c>
      <c r="FC32" s="279">
        <f>'[1]January - 2021'!FF32</f>
        <v>-28200</v>
      </c>
    </row>
    <row r="33" spans="1:160" ht="30" customHeight="1" x14ac:dyDescent="0.25">
      <c r="A33" s="207">
        <v>43854</v>
      </c>
      <c r="B33" s="209">
        <f>'[1]January - 2021'!B33</f>
        <v>0</v>
      </c>
      <c r="C33" s="250">
        <f>'[1]January - 2021'!E33</f>
        <v>0</v>
      </c>
      <c r="D33" s="170">
        <f>'[1]January - 2021'!F33</f>
        <v>0</v>
      </c>
      <c r="E33" s="168">
        <f>'[1]January - 2021'!G33</f>
        <v>578</v>
      </c>
      <c r="F33" s="168">
        <f>'[1]January - 2021'!H33</f>
        <v>0</v>
      </c>
      <c r="G33" s="170">
        <f>'[1]January - 2021'!I33</f>
        <v>0</v>
      </c>
      <c r="H33" s="168">
        <f>'[1]January - 2021'!J33</f>
        <v>503</v>
      </c>
      <c r="I33" s="168">
        <f>'[1]January - 2021'!K33</f>
        <v>0</v>
      </c>
      <c r="J33" s="170">
        <f>'[1]January - 2021'!L33</f>
        <v>0</v>
      </c>
      <c r="K33" s="168">
        <f>'[1]January - 2021'!N33</f>
        <v>0</v>
      </c>
      <c r="L33" s="170">
        <f>'[1]January - 2021'!O33</f>
        <v>0</v>
      </c>
      <c r="M33" s="168">
        <f>'[1]January - 2021'!Q33</f>
        <v>0</v>
      </c>
      <c r="N33" s="170">
        <f>'[1]January - 2021'!R33</f>
        <v>0</v>
      </c>
      <c r="O33" s="168">
        <f>'[1]January - 2021'!S33</f>
        <v>0</v>
      </c>
      <c r="P33" s="170">
        <f>'[1]January - 2021'!T33</f>
        <v>0</v>
      </c>
      <c r="Q33" s="168">
        <f>'[1]January - 2021'!U33</f>
        <v>62</v>
      </c>
      <c r="R33" s="168">
        <f>'[1]January - 2021'!V33</f>
        <v>0</v>
      </c>
      <c r="S33" s="208">
        <f>'[1]January - 2021'!W33</f>
        <v>0</v>
      </c>
      <c r="T33" s="520"/>
      <c r="U33" s="169">
        <f>'[1]January - 2021'!AC33</f>
        <v>0</v>
      </c>
      <c r="V33" s="291">
        <f>'[1]January - 2021'!AD33</f>
        <v>0</v>
      </c>
      <c r="W33" s="92">
        <f>'[1]January - 2021'!AD33</f>
        <v>0</v>
      </c>
      <c r="X33" s="290">
        <f>'[1]January - 2021'!AF33</f>
        <v>0</v>
      </c>
      <c r="Y33" s="291">
        <f>'[1]January - 2021'!AG33</f>
        <v>0</v>
      </c>
      <c r="Z33" s="92">
        <f>'[1]January - 2021'!AG33</f>
        <v>0</v>
      </c>
      <c r="AA33" s="290">
        <f>'[1]January - 2021'!AI33</f>
        <v>0</v>
      </c>
      <c r="AB33" s="291">
        <f>'[1]January - 2021'!AJ33</f>
        <v>0</v>
      </c>
      <c r="AC33" s="92">
        <f>'[1]January - 2021'!AJ33</f>
        <v>0</v>
      </c>
      <c r="AD33" s="290">
        <f>'[1]January - 2021'!AL33</f>
        <v>0</v>
      </c>
      <c r="AE33" s="291">
        <f>'[1]January - 2021'!AM33</f>
        <v>0</v>
      </c>
      <c r="AF33" s="92">
        <f>'[1]January - 2021'!AM33</f>
        <v>0</v>
      </c>
      <c r="AG33" s="290">
        <f>'[1]January - 2021'!AO33</f>
        <v>0</v>
      </c>
      <c r="AH33" s="291">
        <f>'[1]January - 2021'!AP33</f>
        <v>0</v>
      </c>
      <c r="AI33" s="92">
        <f>'[1]January - 2021'!AP33</f>
        <v>0</v>
      </c>
      <c r="AJ33" s="290">
        <f>'[1]January - 2021'!AR33</f>
        <v>0</v>
      </c>
      <c r="AK33" s="291">
        <f>'[1]January - 2021'!AS33</f>
        <v>0</v>
      </c>
      <c r="AL33" s="92">
        <f>'[1]January - 2021'!AS33</f>
        <v>0</v>
      </c>
      <c r="AM33" s="290">
        <f>'[1]January - 2021'!AU33</f>
        <v>0</v>
      </c>
      <c r="AN33" s="291">
        <f>'[1]January - 2021'!AV33</f>
        <v>0</v>
      </c>
      <c r="AO33" s="92">
        <f>'[1]January - 2021'!AV33</f>
        <v>0</v>
      </c>
      <c r="AP33" s="290">
        <f>'[1]January - 2021'!AX33</f>
        <v>0</v>
      </c>
      <c r="AQ33" s="291">
        <f>'[1]January - 2021'!AY33</f>
        <v>0</v>
      </c>
      <c r="AR33" s="92">
        <f>'[1]January - 2021'!AY33</f>
        <v>0</v>
      </c>
      <c r="AS33" s="290">
        <f>'[1]January - 2021'!BA33</f>
        <v>0</v>
      </c>
      <c r="AT33" s="291">
        <f>'[1]January - 2021'!BB33</f>
        <v>0</v>
      </c>
      <c r="AU33" s="92">
        <f>'[1]January - 2021'!BB33</f>
        <v>0</v>
      </c>
      <c r="AV33" s="290">
        <f>'[1]January - 2021'!BD33</f>
        <v>0</v>
      </c>
      <c r="AW33" s="252">
        <f>'[1]January - 2021'!BE33</f>
        <v>0</v>
      </c>
      <c r="AX33" s="253">
        <f>'[1]January - 2021'!BE33</f>
        <v>0</v>
      </c>
      <c r="AY33" s="486"/>
      <c r="AZ33" s="272">
        <f>'[1]January - 2021'!BK33</f>
        <v>0</v>
      </c>
      <c r="BA33" s="179">
        <f>'[1]January - 2021'!BL33</f>
        <v>0</v>
      </c>
      <c r="BB33" s="93">
        <f>'[1]January - 2021'!BL33</f>
        <v>0</v>
      </c>
      <c r="BC33" s="272">
        <f>'[1]January - 2021'!BN33</f>
        <v>0</v>
      </c>
      <c r="BD33" s="245">
        <f>'[1]January - 2021'!BO33</f>
        <v>0</v>
      </c>
      <c r="BE33" s="93">
        <f>'[1]January - 2021'!BO33</f>
        <v>0</v>
      </c>
      <c r="BF33" s="272">
        <f>'[1]January - 2021'!BQ33</f>
        <v>0</v>
      </c>
      <c r="BG33" s="245">
        <f>'[1]January - 2021'!BR33</f>
        <v>0</v>
      </c>
      <c r="BH33" s="93">
        <f>'[1]January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- 2021'!BT33</f>
        <v>0</v>
      </c>
      <c r="BT33" s="185">
        <f>'[1]January - 2021'!BU33</f>
        <v>0</v>
      </c>
      <c r="BU33" s="393"/>
      <c r="BV33" s="88">
        <f>'[1]January - 2021'!BW33</f>
        <v>0</v>
      </c>
      <c r="BW33" s="241">
        <f>'[1]January - 2021'!BX33</f>
        <v>0</v>
      </c>
      <c r="BX33" s="88">
        <f>'[1]January - 2021'!BX33</f>
        <v>0</v>
      </c>
      <c r="BY33" s="89">
        <f>'[1]January - 2021'!BZ33</f>
        <v>0</v>
      </c>
      <c r="BZ33" s="191">
        <f>'[1]January - 2021'!CA33</f>
        <v>0</v>
      </c>
      <c r="CA33" s="89">
        <f>'[1]January - 2021'!CB33</f>
        <v>0</v>
      </c>
      <c r="CB33" s="191">
        <f>'[1]January - 2021'!CC33</f>
        <v>0</v>
      </c>
      <c r="CC33" s="89">
        <f>'[1]January - 2021'!CD33</f>
        <v>0</v>
      </c>
      <c r="CD33" s="191">
        <f>'[1]January - 2021'!CE33</f>
        <v>0</v>
      </c>
      <c r="CE33" s="89">
        <f>'[1]January - 2021'!CF33</f>
        <v>0</v>
      </c>
      <c r="CF33" s="191">
        <f>'[1]January - 2021'!CG33</f>
        <v>0</v>
      </c>
      <c r="CG33" s="89">
        <f>'[1]January - 2021'!CH33</f>
        <v>0</v>
      </c>
      <c r="CH33" s="191">
        <f>'[1]January - 2021'!CI33</f>
        <v>0</v>
      </c>
      <c r="CI33" s="89">
        <f>'[1]January - 2021'!CJ33</f>
        <v>0</v>
      </c>
      <c r="CJ33" s="191">
        <f>'[1]January - 2021'!CK33</f>
        <v>0</v>
      </c>
      <c r="CK33" s="89">
        <f>'[1]January - 2021'!CL33</f>
        <v>0</v>
      </c>
      <c r="CL33" s="246">
        <f>'[1]January - 2021'!CM33</f>
        <v>0</v>
      </c>
      <c r="CM33" s="89">
        <f>'[1]January - 2021'!CM33</f>
        <v>0</v>
      </c>
      <c r="CN33" s="89">
        <f>'[1]January - 2021'!CO33</f>
        <v>0</v>
      </c>
      <c r="CO33" s="246">
        <f>'[1]January - 2021'!CP33</f>
        <v>0</v>
      </c>
      <c r="CP33" s="89">
        <f>'[1]January - 2021'!CP33</f>
        <v>0</v>
      </c>
      <c r="CQ33" s="89">
        <f>'[1]January - 2021'!CR33</f>
        <v>0</v>
      </c>
      <c r="CR33" s="246">
        <f>'[1]January - 2021'!CS33</f>
        <v>0</v>
      </c>
      <c r="CS33" s="89">
        <f>'[1]January - 2021'!CS33</f>
        <v>0</v>
      </c>
      <c r="CT33" s="89">
        <f>'[1]January - 2021'!CU33</f>
        <v>0</v>
      </c>
      <c r="CU33" s="191">
        <f>'[1]January - 2021'!CV33</f>
        <v>0</v>
      </c>
      <c r="CV33" s="453"/>
      <c r="CW33" s="256">
        <f>'[1]January - 2021'!CX33</f>
        <v>0</v>
      </c>
      <c r="CX33" s="198">
        <f>'[1]January - 2021'!CY33</f>
        <v>0</v>
      </c>
      <c r="CY33" s="257">
        <f>'[1]January - 2021'!CZ33</f>
        <v>0</v>
      </c>
      <c r="CZ33" s="198">
        <f>'[1]January - 2021'!DA33</f>
        <v>0</v>
      </c>
      <c r="DA33" s="257">
        <f>'[1]January - 2021'!DB33</f>
        <v>0</v>
      </c>
      <c r="DB33" s="198">
        <f>'[1]January - 2021'!DC33</f>
        <v>0</v>
      </c>
      <c r="DC33" s="257">
        <f>'[1]January - 2021'!DD33</f>
        <v>0</v>
      </c>
      <c r="DD33" s="198">
        <f>'[1]January - 2021'!DE33</f>
        <v>0</v>
      </c>
      <c r="DE33" s="257">
        <f>'[1]January - 2021'!DF33</f>
        <v>0</v>
      </c>
      <c r="DF33" s="198">
        <f>'[1]January - 2021'!DG33</f>
        <v>0</v>
      </c>
      <c r="DG33" s="257">
        <f>'[1]January - 2021'!DH33</f>
        <v>0</v>
      </c>
      <c r="DH33" s="198">
        <f>'[1]January - 2021'!DI33</f>
        <v>0</v>
      </c>
      <c r="DI33" s="257">
        <f>'[1]January - 2021'!DJ33</f>
        <v>826</v>
      </c>
      <c r="DJ33" s="198">
        <f>'[1]January - 2021'!DK33</f>
        <v>0</v>
      </c>
      <c r="DK33" s="257">
        <f>'[1]January - 2021'!DL33</f>
        <v>0</v>
      </c>
      <c r="DL33" s="198">
        <f>'[1]January - 2021'!DM33</f>
        <v>0</v>
      </c>
      <c r="DM33" s="257">
        <f>'[1]January - 2021'!DN33</f>
        <v>0</v>
      </c>
      <c r="DN33" s="198">
        <f>'[1]January - 2021'!DO33</f>
        <v>0</v>
      </c>
      <c r="DO33" s="257">
        <f>'[1]January - 2021'!DP33</f>
        <v>0</v>
      </c>
      <c r="DP33" s="198">
        <f>'[1]January - 2021'!DQ33</f>
        <v>0</v>
      </c>
      <c r="DQ33" s="257">
        <f>'[1]January - 2021'!DR33</f>
        <v>0</v>
      </c>
      <c r="DR33" s="206">
        <f>'[1]January - 2021'!DS33</f>
        <v>0</v>
      </c>
      <c r="DS33" s="438"/>
      <c r="DT33" s="210">
        <f>'[1]January - 2021'!DU33</f>
        <v>0</v>
      </c>
      <c r="DU33" s="221">
        <f>'[1]January - 2021'!DV33</f>
        <v>0</v>
      </c>
      <c r="DV33" s="91">
        <f>'[1]January - 2021'!DW33</f>
        <v>0</v>
      </c>
      <c r="DW33" s="215">
        <f>'[1]January - 2021'!DX33</f>
        <v>0</v>
      </c>
      <c r="DX33" s="91">
        <f>'[1]January - 2021'!DY33</f>
        <v>0</v>
      </c>
      <c r="DY33" s="215">
        <f>'[1]January - 2021'!DZ33</f>
        <v>0</v>
      </c>
      <c r="DZ33" s="91">
        <f>'[1]January - 2021'!EA33</f>
        <v>0</v>
      </c>
      <c r="EA33" s="215">
        <f>'[1]January - 2021'!EB33</f>
        <v>0</v>
      </c>
      <c r="EB33" s="91">
        <f>'[1]January - 2021'!EC33</f>
        <v>0</v>
      </c>
      <c r="EC33" s="215">
        <f>'[1]January - 2021'!ED33</f>
        <v>0</v>
      </c>
      <c r="ED33" s="91">
        <f>'[1]January - 2021'!EG33</f>
        <v>0</v>
      </c>
      <c r="EE33" s="229">
        <f>'[1]January - 2021'!EH33</f>
        <v>0</v>
      </c>
      <c r="EF33" s="377"/>
      <c r="EG33" s="235">
        <f>'[1]January - 2021'!EJ33</f>
        <v>0</v>
      </c>
      <c r="EH33" s="230">
        <f>'[1]January - 2021'!EK33</f>
        <v>0</v>
      </c>
      <c r="EI33" s="90">
        <f>'[1]January - 2021'!EL33</f>
        <v>0</v>
      </c>
      <c r="EJ33" s="230">
        <f>'[1]January - 2021'!EM33</f>
        <v>0</v>
      </c>
      <c r="EK33" s="90">
        <f>'[1]January - 2021'!EN33</f>
        <v>0</v>
      </c>
      <c r="EL33" s="230">
        <f>'[1]January - 2021'!EO33</f>
        <v>0</v>
      </c>
      <c r="EM33" s="90">
        <f>'[1]January - 2021'!EP33</f>
        <v>0</v>
      </c>
      <c r="EN33" s="230">
        <f>'[1]January - 2021'!EQ33</f>
        <v>0</v>
      </c>
      <c r="EO33" s="90">
        <f>'[1]January - 2021'!ER33</f>
        <v>0</v>
      </c>
      <c r="EP33" s="230">
        <f>'[1]January - 2021'!ES33</f>
        <v>0</v>
      </c>
      <c r="EQ33" s="90">
        <f>'[1]January - 2021'!ET33</f>
        <v>0</v>
      </c>
      <c r="ER33" s="230">
        <f>'[1]January - 2021'!EU33</f>
        <v>0</v>
      </c>
      <c r="ES33" s="425"/>
      <c r="ET33" s="284">
        <f>'[1]January - 2021'!EW33</f>
        <v>0</v>
      </c>
      <c r="EU33" s="278">
        <f>'[1]January - 2021'!EX33</f>
        <v>0</v>
      </c>
      <c r="EV33" s="285">
        <f>'[1]January - 2021'!EY33</f>
        <v>0</v>
      </c>
      <c r="EW33" s="278">
        <f>'[1]January - 2021'!EZ33</f>
        <v>0</v>
      </c>
      <c r="EX33" s="285">
        <f>'[1]January - 2021'!FA33</f>
        <v>0</v>
      </c>
      <c r="EY33" s="278">
        <f>'[1]January - 2021'!FB33</f>
        <v>0</v>
      </c>
      <c r="EZ33" s="285">
        <f>'[1]January - 2021'!FC33</f>
        <v>0</v>
      </c>
      <c r="FA33" s="278">
        <f>'[1]January - 2021'!FD33</f>
        <v>0</v>
      </c>
      <c r="FB33" s="285">
        <f>'[1]January - 2021'!FE33</f>
        <v>0</v>
      </c>
      <c r="FC33" s="279">
        <f>'[1]January - 2021'!FF33</f>
        <v>0</v>
      </c>
    </row>
    <row r="34" spans="1:160" ht="30" customHeight="1" x14ac:dyDescent="0.25">
      <c r="A34" s="207">
        <v>43855</v>
      </c>
      <c r="B34" s="209">
        <f>'[1]January - 2021'!B34</f>
        <v>0</v>
      </c>
      <c r="C34" s="250">
        <f>'[1]January - 2021'!E34</f>
        <v>0</v>
      </c>
      <c r="D34" s="170">
        <f>'[1]January - 2021'!F34</f>
        <v>0</v>
      </c>
      <c r="E34" s="168">
        <f>'[1]January - 2021'!G34</f>
        <v>508</v>
      </c>
      <c r="F34" s="168">
        <f>'[1]January - 2021'!H34</f>
        <v>0</v>
      </c>
      <c r="G34" s="170">
        <f>'[1]January - 2021'!I34</f>
        <v>0</v>
      </c>
      <c r="H34" s="168">
        <f>'[1]January - 2021'!J34</f>
        <v>452</v>
      </c>
      <c r="I34" s="168">
        <f>'[1]January - 2021'!K34</f>
        <v>0</v>
      </c>
      <c r="J34" s="170">
        <f>'[1]January - 2021'!L34</f>
        <v>0</v>
      </c>
      <c r="K34" s="168">
        <f>'[1]January - 2021'!N34</f>
        <v>0</v>
      </c>
      <c r="L34" s="170">
        <f>'[1]January - 2021'!O34</f>
        <v>0</v>
      </c>
      <c r="M34" s="168">
        <f>'[1]January - 2021'!Q34</f>
        <v>0</v>
      </c>
      <c r="N34" s="170">
        <f>'[1]January - 2021'!R34</f>
        <v>0</v>
      </c>
      <c r="O34" s="168">
        <f>'[1]January - 2021'!S34</f>
        <v>0</v>
      </c>
      <c r="P34" s="170">
        <f>'[1]January - 2021'!T34</f>
        <v>0</v>
      </c>
      <c r="Q34" s="168">
        <f>'[1]January - 2021'!U34</f>
        <v>71</v>
      </c>
      <c r="R34" s="168">
        <f>'[1]January - 2021'!V34</f>
        <v>0</v>
      </c>
      <c r="S34" s="208">
        <f>'[1]January - 2021'!W34</f>
        <v>0</v>
      </c>
      <c r="T34" s="520"/>
      <c r="U34" s="169">
        <f>'[1]January - 2021'!AC34</f>
        <v>0</v>
      </c>
      <c r="V34" s="291">
        <f>'[1]January - 2021'!AD34</f>
        <v>0</v>
      </c>
      <c r="W34" s="92">
        <f>'[1]January - 2021'!AD34</f>
        <v>0</v>
      </c>
      <c r="X34" s="290">
        <f>'[1]January - 2021'!AF34</f>
        <v>0</v>
      </c>
      <c r="Y34" s="291">
        <f>'[1]January - 2021'!AG34</f>
        <v>0</v>
      </c>
      <c r="Z34" s="92">
        <f>'[1]January - 2021'!AG34</f>
        <v>0</v>
      </c>
      <c r="AA34" s="290">
        <f>'[1]January - 2021'!AI34</f>
        <v>0</v>
      </c>
      <c r="AB34" s="291">
        <f>'[1]January - 2021'!AJ34</f>
        <v>0</v>
      </c>
      <c r="AC34" s="92">
        <f>'[1]January - 2021'!AJ34</f>
        <v>0</v>
      </c>
      <c r="AD34" s="290">
        <f>'[1]January - 2021'!AL34</f>
        <v>0</v>
      </c>
      <c r="AE34" s="291">
        <f>'[1]January - 2021'!AM34</f>
        <v>0</v>
      </c>
      <c r="AF34" s="92">
        <f>'[1]January - 2021'!AM34</f>
        <v>0</v>
      </c>
      <c r="AG34" s="290">
        <f>'[1]January - 2021'!AO34</f>
        <v>0</v>
      </c>
      <c r="AH34" s="291">
        <f>'[1]January - 2021'!AP34</f>
        <v>0</v>
      </c>
      <c r="AI34" s="92">
        <f>'[1]January - 2021'!AP34</f>
        <v>0</v>
      </c>
      <c r="AJ34" s="290">
        <f>'[1]January - 2021'!AR34</f>
        <v>0</v>
      </c>
      <c r="AK34" s="291">
        <f>'[1]January - 2021'!AS34</f>
        <v>0</v>
      </c>
      <c r="AL34" s="92">
        <f>'[1]January - 2021'!AS34</f>
        <v>0</v>
      </c>
      <c r="AM34" s="290">
        <f>'[1]January - 2021'!AU34</f>
        <v>0</v>
      </c>
      <c r="AN34" s="291">
        <f>'[1]January - 2021'!AV34</f>
        <v>0</v>
      </c>
      <c r="AO34" s="92">
        <f>'[1]January - 2021'!AV34</f>
        <v>0</v>
      </c>
      <c r="AP34" s="290">
        <f>'[1]January - 2021'!AX34</f>
        <v>0</v>
      </c>
      <c r="AQ34" s="291">
        <f>'[1]January - 2021'!AY34</f>
        <v>0</v>
      </c>
      <c r="AR34" s="92">
        <f>'[1]January - 2021'!AY34</f>
        <v>0</v>
      </c>
      <c r="AS34" s="290">
        <f>'[1]January - 2021'!BA34</f>
        <v>0</v>
      </c>
      <c r="AT34" s="291">
        <f>'[1]January - 2021'!BB34</f>
        <v>0</v>
      </c>
      <c r="AU34" s="92">
        <f>'[1]January - 2021'!BB34</f>
        <v>0</v>
      </c>
      <c r="AV34" s="290">
        <f>'[1]January - 2021'!BD34</f>
        <v>0</v>
      </c>
      <c r="AW34" s="252">
        <f>'[1]January - 2021'!BE34</f>
        <v>0</v>
      </c>
      <c r="AX34" s="253">
        <f>'[1]January - 2021'!BE34</f>
        <v>0</v>
      </c>
      <c r="AY34" s="486"/>
      <c r="AZ34" s="272">
        <f>'[1]January - 2021'!BK34</f>
        <v>0</v>
      </c>
      <c r="BA34" s="179">
        <f>'[1]January - 2021'!BL34</f>
        <v>0</v>
      </c>
      <c r="BB34" s="93">
        <f>'[1]January - 2021'!BL34</f>
        <v>0</v>
      </c>
      <c r="BC34" s="272">
        <f>'[1]January - 2021'!BN34</f>
        <v>0</v>
      </c>
      <c r="BD34" s="245">
        <f>'[1]January - 2021'!BO34</f>
        <v>0</v>
      </c>
      <c r="BE34" s="93">
        <f>'[1]January - 2021'!BO34</f>
        <v>0</v>
      </c>
      <c r="BF34" s="272">
        <f>'[1]January - 2021'!BQ34</f>
        <v>0</v>
      </c>
      <c r="BG34" s="245">
        <f>'[1]January - 2021'!BR34</f>
        <v>0</v>
      </c>
      <c r="BH34" s="93">
        <f>'[1]January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- 2021'!BT34</f>
        <v>0</v>
      </c>
      <c r="BT34" s="185">
        <f>'[1]January - 2021'!BU34</f>
        <v>0</v>
      </c>
      <c r="BU34" s="393"/>
      <c r="BV34" s="88">
        <f>'[1]January - 2021'!BW34</f>
        <v>0</v>
      </c>
      <c r="BW34" s="241">
        <f>'[1]January - 2021'!BX34</f>
        <v>0</v>
      </c>
      <c r="BX34" s="88">
        <f>'[1]January - 2021'!BX34</f>
        <v>0</v>
      </c>
      <c r="BY34" s="89">
        <f>'[1]January - 2021'!BZ34</f>
        <v>0</v>
      </c>
      <c r="BZ34" s="191">
        <f>'[1]January - 2021'!CA34</f>
        <v>0</v>
      </c>
      <c r="CA34" s="89">
        <f>'[1]January - 2021'!CB34</f>
        <v>0</v>
      </c>
      <c r="CB34" s="191">
        <f>'[1]January - 2021'!CC34</f>
        <v>0</v>
      </c>
      <c r="CC34" s="89">
        <f>'[1]January - 2021'!CD34</f>
        <v>0</v>
      </c>
      <c r="CD34" s="191">
        <f>'[1]January - 2021'!CE34</f>
        <v>0</v>
      </c>
      <c r="CE34" s="89">
        <f>'[1]January - 2021'!CF34</f>
        <v>0</v>
      </c>
      <c r="CF34" s="191">
        <f>'[1]January - 2021'!CG34</f>
        <v>0</v>
      </c>
      <c r="CG34" s="89">
        <f>'[1]January - 2021'!CH34</f>
        <v>0</v>
      </c>
      <c r="CH34" s="191">
        <f>'[1]January - 2021'!CI34</f>
        <v>0</v>
      </c>
      <c r="CI34" s="89">
        <f>'[1]January - 2021'!CJ34</f>
        <v>0</v>
      </c>
      <c r="CJ34" s="191">
        <f>'[1]January - 2021'!CK34</f>
        <v>0</v>
      </c>
      <c r="CK34" s="89">
        <f>'[1]January - 2021'!CL34</f>
        <v>0</v>
      </c>
      <c r="CL34" s="246">
        <f>'[1]January - 2021'!CM34</f>
        <v>0</v>
      </c>
      <c r="CM34" s="89">
        <f>'[1]January - 2021'!CM34</f>
        <v>0</v>
      </c>
      <c r="CN34" s="89">
        <f>'[1]January - 2021'!CO34</f>
        <v>0</v>
      </c>
      <c r="CO34" s="246">
        <f>'[1]January - 2021'!CP34</f>
        <v>0</v>
      </c>
      <c r="CP34" s="89">
        <f>'[1]January - 2021'!CP34</f>
        <v>0</v>
      </c>
      <c r="CQ34" s="89">
        <f>'[1]January - 2021'!CR34</f>
        <v>0</v>
      </c>
      <c r="CR34" s="246">
        <f>'[1]January - 2021'!CS34</f>
        <v>0</v>
      </c>
      <c r="CS34" s="89">
        <f>'[1]January - 2021'!CS34</f>
        <v>0</v>
      </c>
      <c r="CT34" s="89">
        <f>'[1]January - 2021'!CU34</f>
        <v>0</v>
      </c>
      <c r="CU34" s="191">
        <f>'[1]January - 2021'!CV34</f>
        <v>0</v>
      </c>
      <c r="CV34" s="453"/>
      <c r="CW34" s="256">
        <f>'[1]January - 2021'!CX34</f>
        <v>0</v>
      </c>
      <c r="CX34" s="198">
        <f>'[1]January - 2021'!CY34</f>
        <v>0</v>
      </c>
      <c r="CY34" s="257">
        <f>'[1]January - 2021'!CZ34</f>
        <v>0</v>
      </c>
      <c r="CZ34" s="198">
        <f>'[1]January - 2021'!DA34</f>
        <v>0</v>
      </c>
      <c r="DA34" s="257">
        <f>'[1]January - 2021'!DB34</f>
        <v>0</v>
      </c>
      <c r="DB34" s="198">
        <f>'[1]January - 2021'!DC34</f>
        <v>0</v>
      </c>
      <c r="DC34" s="257">
        <f>'[1]January - 2021'!DD34</f>
        <v>0</v>
      </c>
      <c r="DD34" s="198">
        <f>'[1]January - 2021'!DE34</f>
        <v>0</v>
      </c>
      <c r="DE34" s="257">
        <f>'[1]January - 2021'!DF34</f>
        <v>0</v>
      </c>
      <c r="DF34" s="198">
        <f>'[1]January - 2021'!DG34</f>
        <v>0</v>
      </c>
      <c r="DG34" s="257">
        <f>'[1]January - 2021'!DH34</f>
        <v>0</v>
      </c>
      <c r="DH34" s="198">
        <f>'[1]January - 2021'!DI34</f>
        <v>0</v>
      </c>
      <c r="DI34" s="257">
        <f>'[1]January - 2021'!DJ34</f>
        <v>826</v>
      </c>
      <c r="DJ34" s="198">
        <f>'[1]January - 2021'!DK34</f>
        <v>0</v>
      </c>
      <c r="DK34" s="257">
        <f>'[1]January - 2021'!DL34</f>
        <v>0</v>
      </c>
      <c r="DL34" s="198">
        <f>'[1]January - 2021'!DM34</f>
        <v>0</v>
      </c>
      <c r="DM34" s="257">
        <f>'[1]January - 2021'!DN34</f>
        <v>0</v>
      </c>
      <c r="DN34" s="198">
        <f>'[1]January - 2021'!DO34</f>
        <v>0</v>
      </c>
      <c r="DO34" s="257">
        <f>'[1]January - 2021'!DP34</f>
        <v>0</v>
      </c>
      <c r="DP34" s="198">
        <f>'[1]January - 2021'!DQ34</f>
        <v>0</v>
      </c>
      <c r="DQ34" s="257">
        <f>'[1]January - 2021'!DR34</f>
        <v>0</v>
      </c>
      <c r="DR34" s="206">
        <f>'[1]January - 2021'!DS34</f>
        <v>0</v>
      </c>
      <c r="DS34" s="438"/>
      <c r="DT34" s="210">
        <f>'[1]January - 2021'!DU34</f>
        <v>0</v>
      </c>
      <c r="DU34" s="221">
        <f>'[1]January - 2021'!DV34</f>
        <v>0</v>
      </c>
      <c r="DV34" s="91">
        <f>'[1]January - 2021'!DW34</f>
        <v>0</v>
      </c>
      <c r="DW34" s="215">
        <f>'[1]January - 2021'!DX34</f>
        <v>0</v>
      </c>
      <c r="DX34" s="91">
        <f>'[1]January - 2021'!DY34</f>
        <v>0</v>
      </c>
      <c r="DY34" s="215">
        <f>'[1]January - 2021'!DZ34</f>
        <v>0</v>
      </c>
      <c r="DZ34" s="91">
        <f>'[1]January - 2021'!EA34</f>
        <v>0</v>
      </c>
      <c r="EA34" s="215">
        <f>'[1]January - 2021'!EB34</f>
        <v>0</v>
      </c>
      <c r="EB34" s="91">
        <f>'[1]January - 2021'!EC34</f>
        <v>0</v>
      </c>
      <c r="EC34" s="215">
        <f>'[1]January - 2021'!ED34</f>
        <v>0</v>
      </c>
      <c r="ED34" s="91">
        <f>'[1]January - 2021'!EG34</f>
        <v>0</v>
      </c>
      <c r="EE34" s="229">
        <f>'[1]January - 2021'!EH34</f>
        <v>0</v>
      </c>
      <c r="EF34" s="377"/>
      <c r="EG34" s="235">
        <f>'[1]January - 2021'!EJ34</f>
        <v>0</v>
      </c>
      <c r="EH34" s="230">
        <f>'[1]January - 2021'!EK34</f>
        <v>0</v>
      </c>
      <c r="EI34" s="90">
        <f>'[1]January - 2021'!EL34</f>
        <v>0</v>
      </c>
      <c r="EJ34" s="230">
        <f>'[1]January - 2021'!EM34</f>
        <v>0</v>
      </c>
      <c r="EK34" s="90">
        <f>'[1]January - 2021'!EN34</f>
        <v>0</v>
      </c>
      <c r="EL34" s="230">
        <f>'[1]January - 2021'!EO34</f>
        <v>0</v>
      </c>
      <c r="EM34" s="90">
        <f>'[1]January - 2021'!EP34</f>
        <v>0</v>
      </c>
      <c r="EN34" s="230">
        <f>'[1]January - 2021'!EQ34</f>
        <v>0</v>
      </c>
      <c r="EO34" s="90">
        <f>'[1]January - 2021'!ER34</f>
        <v>0</v>
      </c>
      <c r="EP34" s="230">
        <f>'[1]January - 2021'!ES34</f>
        <v>0</v>
      </c>
      <c r="EQ34" s="90">
        <f>'[1]January - 2021'!ET34</f>
        <v>0</v>
      </c>
      <c r="ER34" s="230">
        <f>'[1]January - 2021'!EU34</f>
        <v>0</v>
      </c>
      <c r="ES34" s="425"/>
      <c r="ET34" s="284">
        <f>'[1]January - 2021'!EW34</f>
        <v>0</v>
      </c>
      <c r="EU34" s="278">
        <f>'[1]January - 2021'!EX34</f>
        <v>0</v>
      </c>
      <c r="EV34" s="285">
        <f>'[1]January - 2021'!EY34</f>
        <v>0</v>
      </c>
      <c r="EW34" s="278">
        <f>'[1]January - 2021'!EZ34</f>
        <v>0</v>
      </c>
      <c r="EX34" s="285">
        <f>'[1]January - 2021'!FA34</f>
        <v>0</v>
      </c>
      <c r="EY34" s="278">
        <f>'[1]January - 2021'!FB34</f>
        <v>0</v>
      </c>
      <c r="EZ34" s="285">
        <f>'[1]January - 2021'!FC34</f>
        <v>0</v>
      </c>
      <c r="FA34" s="278">
        <f>'[1]January - 2021'!FD34</f>
        <v>0</v>
      </c>
      <c r="FB34" s="285">
        <f>'[1]January - 2021'!FE34</f>
        <v>0</v>
      </c>
      <c r="FC34" s="279">
        <f>'[1]January - 2021'!FF34</f>
        <v>0</v>
      </c>
    </row>
    <row r="35" spans="1:160" ht="30" customHeight="1" x14ac:dyDescent="0.25">
      <c r="A35" s="207">
        <v>43856</v>
      </c>
      <c r="B35" s="209">
        <f>'[1]January - 2021'!B35</f>
        <v>0</v>
      </c>
      <c r="C35" s="250">
        <f>'[1]January - 2021'!E35</f>
        <v>0</v>
      </c>
      <c r="D35" s="170">
        <f>'[1]January - 2021'!F35</f>
        <v>0</v>
      </c>
      <c r="E35" s="168">
        <f>'[1]January - 2021'!G35</f>
        <v>513</v>
      </c>
      <c r="F35" s="168">
        <f>'[1]January - 2021'!H35</f>
        <v>0</v>
      </c>
      <c r="G35" s="170">
        <f>'[1]January - 2021'!I35</f>
        <v>0</v>
      </c>
      <c r="H35" s="168">
        <f>'[1]January - 2021'!J35</f>
        <v>413</v>
      </c>
      <c r="I35" s="168">
        <f>'[1]January - 2021'!K35</f>
        <v>0</v>
      </c>
      <c r="J35" s="170">
        <f>'[1]January - 2021'!L35</f>
        <v>0</v>
      </c>
      <c r="K35" s="168">
        <f>'[1]January - 2021'!N35</f>
        <v>0</v>
      </c>
      <c r="L35" s="170">
        <f>'[1]January - 2021'!O35</f>
        <v>0</v>
      </c>
      <c r="M35" s="168">
        <f>'[1]January - 2021'!Q35</f>
        <v>0</v>
      </c>
      <c r="N35" s="170">
        <f>'[1]January - 2021'!R35</f>
        <v>0</v>
      </c>
      <c r="O35" s="168">
        <f>'[1]January - 2021'!S35</f>
        <v>0</v>
      </c>
      <c r="P35" s="170">
        <f>'[1]January - 2021'!T35</f>
        <v>0</v>
      </c>
      <c r="Q35" s="168">
        <f>'[1]January - 2021'!U35</f>
        <v>0</v>
      </c>
      <c r="R35" s="168">
        <f>'[1]January - 2021'!V35</f>
        <v>0</v>
      </c>
      <c r="S35" s="208">
        <f>'[1]January - 2021'!W35</f>
        <v>0</v>
      </c>
      <c r="T35" s="520"/>
      <c r="U35" s="169">
        <f>'[1]January - 2021'!AC35</f>
        <v>0</v>
      </c>
      <c r="V35" s="291">
        <f>'[1]January - 2021'!AD35</f>
        <v>0</v>
      </c>
      <c r="W35" s="92">
        <f>'[1]January - 2021'!AD35</f>
        <v>0</v>
      </c>
      <c r="X35" s="290">
        <f>'[1]January - 2021'!AF35</f>
        <v>0</v>
      </c>
      <c r="Y35" s="291">
        <f>'[1]January - 2021'!AG35</f>
        <v>0</v>
      </c>
      <c r="Z35" s="92">
        <f>'[1]January - 2021'!AG35</f>
        <v>0</v>
      </c>
      <c r="AA35" s="290">
        <f>'[1]January - 2021'!AI35</f>
        <v>0</v>
      </c>
      <c r="AB35" s="291">
        <f>'[1]January - 2021'!AJ35</f>
        <v>0</v>
      </c>
      <c r="AC35" s="92">
        <f>'[1]January - 2021'!AJ35</f>
        <v>0</v>
      </c>
      <c r="AD35" s="290">
        <f>'[1]January - 2021'!AL35</f>
        <v>0</v>
      </c>
      <c r="AE35" s="291">
        <f>'[1]January - 2021'!AM35</f>
        <v>0</v>
      </c>
      <c r="AF35" s="92">
        <f>'[1]January - 2021'!AM35</f>
        <v>0</v>
      </c>
      <c r="AG35" s="290">
        <f>'[1]January - 2021'!AO35</f>
        <v>0</v>
      </c>
      <c r="AH35" s="291">
        <f>'[1]January - 2021'!AP35</f>
        <v>0</v>
      </c>
      <c r="AI35" s="92">
        <f>'[1]January - 2021'!AP35</f>
        <v>0</v>
      </c>
      <c r="AJ35" s="290">
        <f>'[1]January - 2021'!AR35</f>
        <v>0</v>
      </c>
      <c r="AK35" s="291">
        <f>'[1]January - 2021'!AS35</f>
        <v>0</v>
      </c>
      <c r="AL35" s="92">
        <f>'[1]January - 2021'!AS35</f>
        <v>0</v>
      </c>
      <c r="AM35" s="290">
        <f>'[1]January - 2021'!AU35</f>
        <v>0</v>
      </c>
      <c r="AN35" s="291">
        <f>'[1]January - 2021'!AV35</f>
        <v>0</v>
      </c>
      <c r="AO35" s="92">
        <f>'[1]January - 2021'!AV35</f>
        <v>0</v>
      </c>
      <c r="AP35" s="290">
        <f>'[1]January - 2021'!AX35</f>
        <v>0</v>
      </c>
      <c r="AQ35" s="291">
        <f>'[1]January - 2021'!AY35</f>
        <v>0</v>
      </c>
      <c r="AR35" s="92">
        <f>'[1]January - 2021'!AY35</f>
        <v>0</v>
      </c>
      <c r="AS35" s="290">
        <f>'[1]January - 2021'!BA35</f>
        <v>0</v>
      </c>
      <c r="AT35" s="291">
        <f>'[1]January - 2021'!BB35</f>
        <v>0</v>
      </c>
      <c r="AU35" s="92">
        <f>'[1]January - 2021'!BB35</f>
        <v>0</v>
      </c>
      <c r="AV35" s="290">
        <f>'[1]January - 2021'!BD35</f>
        <v>0</v>
      </c>
      <c r="AW35" s="252">
        <f>'[1]January - 2021'!BE35</f>
        <v>0</v>
      </c>
      <c r="AX35" s="253">
        <f>'[1]January - 2021'!BE35</f>
        <v>0</v>
      </c>
      <c r="AY35" s="486"/>
      <c r="AZ35" s="272">
        <f>'[1]January - 2021'!BK35</f>
        <v>0</v>
      </c>
      <c r="BA35" s="179">
        <f>'[1]January - 2021'!BL35</f>
        <v>0</v>
      </c>
      <c r="BB35" s="93">
        <f>'[1]January - 2021'!BL35</f>
        <v>0</v>
      </c>
      <c r="BC35" s="272">
        <f>'[1]January - 2021'!BN35</f>
        <v>0</v>
      </c>
      <c r="BD35" s="245">
        <f>'[1]January - 2021'!BO35</f>
        <v>0</v>
      </c>
      <c r="BE35" s="93">
        <f>'[1]January - 2021'!BO35</f>
        <v>0</v>
      </c>
      <c r="BF35" s="272">
        <f>'[1]January - 2021'!BQ35</f>
        <v>0</v>
      </c>
      <c r="BG35" s="245">
        <f>'[1]January - 2021'!BR35</f>
        <v>0</v>
      </c>
      <c r="BH35" s="93">
        <f>'[1]January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- 2021'!BT35</f>
        <v>0</v>
      </c>
      <c r="BT35" s="185">
        <f>'[1]January - 2021'!BU35</f>
        <v>0</v>
      </c>
      <c r="BU35" s="393"/>
      <c r="BV35" s="88">
        <f>'[1]January - 2021'!BW35</f>
        <v>0</v>
      </c>
      <c r="BW35" s="241">
        <f>'[1]January - 2021'!BX35</f>
        <v>0</v>
      </c>
      <c r="BX35" s="88">
        <f>'[1]January - 2021'!BX35</f>
        <v>0</v>
      </c>
      <c r="BY35" s="89">
        <f>'[1]January - 2021'!BZ35</f>
        <v>0</v>
      </c>
      <c r="BZ35" s="191">
        <f>'[1]January - 2021'!CA35</f>
        <v>0</v>
      </c>
      <c r="CA35" s="89">
        <f>'[1]January - 2021'!CB35</f>
        <v>0</v>
      </c>
      <c r="CB35" s="191">
        <f>'[1]January - 2021'!CC35</f>
        <v>0</v>
      </c>
      <c r="CC35" s="89">
        <f>'[1]January - 2021'!CD35</f>
        <v>0</v>
      </c>
      <c r="CD35" s="191">
        <f>'[1]January - 2021'!CE35</f>
        <v>0</v>
      </c>
      <c r="CE35" s="89">
        <f>'[1]January - 2021'!CF35</f>
        <v>0</v>
      </c>
      <c r="CF35" s="191">
        <f>'[1]January - 2021'!CG35</f>
        <v>0</v>
      </c>
      <c r="CG35" s="89">
        <f>'[1]January - 2021'!CH35</f>
        <v>0</v>
      </c>
      <c r="CH35" s="191">
        <f>'[1]January - 2021'!CI35</f>
        <v>0</v>
      </c>
      <c r="CI35" s="89">
        <f>'[1]January - 2021'!CJ35</f>
        <v>0</v>
      </c>
      <c r="CJ35" s="191">
        <f>'[1]January - 2021'!CK35</f>
        <v>0</v>
      </c>
      <c r="CK35" s="89">
        <f>'[1]January - 2021'!CL35</f>
        <v>0</v>
      </c>
      <c r="CL35" s="246">
        <f>'[1]January - 2021'!CM35</f>
        <v>0</v>
      </c>
      <c r="CM35" s="89">
        <f>'[1]January - 2021'!CM35</f>
        <v>0</v>
      </c>
      <c r="CN35" s="89">
        <f>'[1]January - 2021'!CO35</f>
        <v>0</v>
      </c>
      <c r="CO35" s="246">
        <f>'[1]January - 2021'!CP35</f>
        <v>0</v>
      </c>
      <c r="CP35" s="89">
        <f>'[1]January - 2021'!CP35</f>
        <v>0</v>
      </c>
      <c r="CQ35" s="89">
        <f>'[1]January - 2021'!CR35</f>
        <v>0</v>
      </c>
      <c r="CR35" s="246">
        <f>'[1]January - 2021'!CS35</f>
        <v>0</v>
      </c>
      <c r="CS35" s="89">
        <f>'[1]January - 2021'!CS35</f>
        <v>0</v>
      </c>
      <c r="CT35" s="89">
        <f>'[1]January - 2021'!CU35</f>
        <v>0</v>
      </c>
      <c r="CU35" s="191">
        <f>'[1]January - 2021'!CV35</f>
        <v>0</v>
      </c>
      <c r="CV35" s="453"/>
      <c r="CW35" s="256">
        <f>'[1]January - 2021'!CX35</f>
        <v>0</v>
      </c>
      <c r="CX35" s="198">
        <f>'[1]January - 2021'!CY35</f>
        <v>0</v>
      </c>
      <c r="CY35" s="257">
        <f>'[1]January - 2021'!CZ35</f>
        <v>0</v>
      </c>
      <c r="CZ35" s="198">
        <f>'[1]January - 2021'!DA35</f>
        <v>0</v>
      </c>
      <c r="DA35" s="257">
        <f>'[1]January - 2021'!DB35</f>
        <v>0</v>
      </c>
      <c r="DB35" s="198">
        <f>'[1]January - 2021'!DC35</f>
        <v>0</v>
      </c>
      <c r="DC35" s="257">
        <f>'[1]January - 2021'!DD35</f>
        <v>0</v>
      </c>
      <c r="DD35" s="198">
        <f>'[1]January - 2021'!DE35</f>
        <v>0</v>
      </c>
      <c r="DE35" s="257">
        <f>'[1]January - 2021'!DF35</f>
        <v>0</v>
      </c>
      <c r="DF35" s="198">
        <f>'[1]January - 2021'!DG35</f>
        <v>0</v>
      </c>
      <c r="DG35" s="257">
        <f>'[1]January - 2021'!DH35</f>
        <v>0</v>
      </c>
      <c r="DH35" s="198">
        <f>'[1]January - 2021'!DI35</f>
        <v>0</v>
      </c>
      <c r="DI35" s="257">
        <f>'[1]January - 2021'!DJ35</f>
        <v>826</v>
      </c>
      <c r="DJ35" s="198">
        <f>'[1]January - 2021'!DK35</f>
        <v>0</v>
      </c>
      <c r="DK35" s="257">
        <f>'[1]January - 2021'!DL35</f>
        <v>0</v>
      </c>
      <c r="DL35" s="198">
        <f>'[1]January - 2021'!DM35</f>
        <v>0</v>
      </c>
      <c r="DM35" s="257">
        <f>'[1]January - 2021'!DN35</f>
        <v>0</v>
      </c>
      <c r="DN35" s="198">
        <f>'[1]January - 2021'!DO35</f>
        <v>0</v>
      </c>
      <c r="DO35" s="257">
        <f>'[1]January - 2021'!DP35</f>
        <v>0</v>
      </c>
      <c r="DP35" s="198">
        <f>'[1]January - 2021'!DQ35</f>
        <v>0</v>
      </c>
      <c r="DQ35" s="257">
        <f>'[1]January - 2021'!DR35</f>
        <v>0</v>
      </c>
      <c r="DR35" s="206">
        <f>'[1]January - 2021'!DS35</f>
        <v>0</v>
      </c>
      <c r="DS35" s="438"/>
      <c r="DT35" s="210">
        <f>'[1]January - 2021'!DU35</f>
        <v>0</v>
      </c>
      <c r="DU35" s="221">
        <f>'[1]January - 2021'!DV35</f>
        <v>0</v>
      </c>
      <c r="DV35" s="91">
        <f>'[1]January - 2021'!DW35</f>
        <v>0</v>
      </c>
      <c r="DW35" s="215">
        <f>'[1]January - 2021'!DX35</f>
        <v>0</v>
      </c>
      <c r="DX35" s="91">
        <f>'[1]January - 2021'!DY35</f>
        <v>0</v>
      </c>
      <c r="DY35" s="215">
        <f>'[1]January - 2021'!DZ35</f>
        <v>0</v>
      </c>
      <c r="DZ35" s="91">
        <f>'[1]January - 2021'!EA35</f>
        <v>0</v>
      </c>
      <c r="EA35" s="215">
        <f>'[1]January - 2021'!EB35</f>
        <v>0</v>
      </c>
      <c r="EB35" s="91">
        <f>'[1]January - 2021'!EC35</f>
        <v>0</v>
      </c>
      <c r="EC35" s="215">
        <f>'[1]January - 2021'!ED35</f>
        <v>0</v>
      </c>
      <c r="ED35" s="91">
        <f>'[1]January - 2021'!EG35</f>
        <v>0</v>
      </c>
      <c r="EE35" s="229">
        <f>'[1]January - 2021'!EH35</f>
        <v>0</v>
      </c>
      <c r="EF35" s="377"/>
      <c r="EG35" s="235">
        <f>'[1]January - 2021'!EJ35</f>
        <v>0</v>
      </c>
      <c r="EH35" s="230">
        <f>'[1]January - 2021'!EK35</f>
        <v>0</v>
      </c>
      <c r="EI35" s="90">
        <f>'[1]January - 2021'!EL35</f>
        <v>0</v>
      </c>
      <c r="EJ35" s="230">
        <f>'[1]January - 2021'!EM35</f>
        <v>0</v>
      </c>
      <c r="EK35" s="90">
        <f>'[1]January - 2021'!EN35</f>
        <v>0</v>
      </c>
      <c r="EL35" s="230">
        <f>'[1]January - 2021'!EO35</f>
        <v>0</v>
      </c>
      <c r="EM35" s="90">
        <f>'[1]January - 2021'!EP35</f>
        <v>0</v>
      </c>
      <c r="EN35" s="230">
        <f>'[1]January - 2021'!EQ35</f>
        <v>0</v>
      </c>
      <c r="EO35" s="90">
        <f>'[1]January - 2021'!ER35</f>
        <v>0</v>
      </c>
      <c r="EP35" s="230">
        <f>'[1]January - 2021'!ES35</f>
        <v>0</v>
      </c>
      <c r="EQ35" s="90">
        <f>'[1]January - 2021'!ET35</f>
        <v>0</v>
      </c>
      <c r="ER35" s="230">
        <f>'[1]January - 2021'!EU35</f>
        <v>0</v>
      </c>
      <c r="ES35" s="425"/>
      <c r="ET35" s="284">
        <f>'[1]January - 2021'!EW35</f>
        <v>0</v>
      </c>
      <c r="EU35" s="278">
        <f>'[1]January - 2021'!EX35</f>
        <v>0</v>
      </c>
      <c r="EV35" s="285">
        <f>'[1]January - 2021'!EY35</f>
        <v>0</v>
      </c>
      <c r="EW35" s="278">
        <f>'[1]January - 2021'!EZ35</f>
        <v>0</v>
      </c>
      <c r="EX35" s="285">
        <f>'[1]January - 2021'!FA35</f>
        <v>0</v>
      </c>
      <c r="EY35" s="278">
        <f>'[1]January - 2021'!FB35</f>
        <v>0</v>
      </c>
      <c r="EZ35" s="285">
        <f>'[1]January - 2021'!FC35</f>
        <v>0</v>
      </c>
      <c r="FA35" s="278">
        <f>'[1]January - 2021'!FD35</f>
        <v>0</v>
      </c>
      <c r="FB35" s="285">
        <f>'[1]January - 2021'!FE35</f>
        <v>0</v>
      </c>
      <c r="FC35" s="279">
        <f>'[1]January - 2021'!FF35</f>
        <v>0</v>
      </c>
    </row>
    <row r="36" spans="1:160" ht="30" customHeight="1" x14ac:dyDescent="0.25">
      <c r="A36" s="207">
        <v>43857</v>
      </c>
      <c r="B36" s="209">
        <f>'[1]January - 2021'!B36</f>
        <v>0</v>
      </c>
      <c r="C36" s="250">
        <f>'[1]January - 2021'!E36</f>
        <v>0</v>
      </c>
      <c r="D36" s="170">
        <f>'[1]January - 2021'!F36</f>
        <v>0</v>
      </c>
      <c r="E36" s="168">
        <f>'[1]January - 2021'!G36</f>
        <v>464</v>
      </c>
      <c r="F36" s="168">
        <f>'[1]January - 2021'!H36</f>
        <v>0</v>
      </c>
      <c r="G36" s="170">
        <f>'[1]January - 2021'!I36</f>
        <v>0</v>
      </c>
      <c r="H36" s="168">
        <f>'[1]January - 2021'!J36</f>
        <v>433</v>
      </c>
      <c r="I36" s="168">
        <f>'[1]January - 2021'!K36</f>
        <v>0</v>
      </c>
      <c r="J36" s="170">
        <f>'[1]January - 2021'!L36</f>
        <v>0</v>
      </c>
      <c r="K36" s="168">
        <f>'[1]January - 2021'!N36</f>
        <v>0</v>
      </c>
      <c r="L36" s="170">
        <f>'[1]January - 2021'!O36</f>
        <v>0</v>
      </c>
      <c r="M36" s="168">
        <f>'[1]January - 2021'!Q36</f>
        <v>0</v>
      </c>
      <c r="N36" s="170">
        <f>'[1]January - 2021'!R36</f>
        <v>0</v>
      </c>
      <c r="O36" s="168">
        <f>'[1]January - 2021'!S36</f>
        <v>0</v>
      </c>
      <c r="P36" s="170">
        <f>'[1]January - 2021'!T36</f>
        <v>0</v>
      </c>
      <c r="Q36" s="168">
        <f>'[1]January - 2021'!U36</f>
        <v>96</v>
      </c>
      <c r="R36" s="168">
        <f>'[1]January - 2021'!V36</f>
        <v>0</v>
      </c>
      <c r="S36" s="208">
        <f>'[1]January - 2021'!W36</f>
        <v>0</v>
      </c>
      <c r="T36" s="520"/>
      <c r="U36" s="169">
        <f>'[1]January - 2021'!AC36</f>
        <v>0</v>
      </c>
      <c r="V36" s="291">
        <f>'[1]January - 2021'!AD36</f>
        <v>0</v>
      </c>
      <c r="W36" s="92">
        <f>'[1]January - 2021'!AD36</f>
        <v>0</v>
      </c>
      <c r="X36" s="290">
        <f>'[1]January - 2021'!AF36</f>
        <v>0</v>
      </c>
      <c r="Y36" s="291">
        <f>'[1]January - 2021'!AG36</f>
        <v>0</v>
      </c>
      <c r="Z36" s="92">
        <f>'[1]January - 2021'!AG36</f>
        <v>0</v>
      </c>
      <c r="AA36" s="290">
        <f>'[1]January - 2021'!AI36</f>
        <v>0</v>
      </c>
      <c r="AB36" s="291">
        <f>'[1]January - 2021'!AJ36</f>
        <v>0</v>
      </c>
      <c r="AC36" s="92">
        <f>'[1]January - 2021'!AJ36</f>
        <v>0</v>
      </c>
      <c r="AD36" s="290">
        <f>'[1]January - 2021'!AL36</f>
        <v>0</v>
      </c>
      <c r="AE36" s="291">
        <f>'[1]January - 2021'!AM36</f>
        <v>0</v>
      </c>
      <c r="AF36" s="92">
        <f>'[1]January - 2021'!AM36</f>
        <v>0</v>
      </c>
      <c r="AG36" s="290">
        <f>'[1]January - 2021'!AO36</f>
        <v>0</v>
      </c>
      <c r="AH36" s="291">
        <f>'[1]January - 2021'!AP36</f>
        <v>0</v>
      </c>
      <c r="AI36" s="92">
        <f>'[1]January - 2021'!AP36</f>
        <v>0</v>
      </c>
      <c r="AJ36" s="290">
        <f>'[1]January - 2021'!AR36</f>
        <v>0</v>
      </c>
      <c r="AK36" s="291">
        <f>'[1]January - 2021'!AS36</f>
        <v>0</v>
      </c>
      <c r="AL36" s="92">
        <f>'[1]January - 2021'!AS36</f>
        <v>0</v>
      </c>
      <c r="AM36" s="290">
        <f>'[1]January - 2021'!AU36</f>
        <v>0</v>
      </c>
      <c r="AN36" s="291">
        <f>'[1]January - 2021'!AV36</f>
        <v>0</v>
      </c>
      <c r="AO36" s="92">
        <f>'[1]January - 2021'!AV36</f>
        <v>0</v>
      </c>
      <c r="AP36" s="290">
        <f>'[1]January - 2021'!AX36</f>
        <v>0</v>
      </c>
      <c r="AQ36" s="291">
        <f>'[1]January - 2021'!AY36</f>
        <v>0</v>
      </c>
      <c r="AR36" s="92">
        <f>'[1]January - 2021'!AY36</f>
        <v>0</v>
      </c>
      <c r="AS36" s="290">
        <f>'[1]January - 2021'!BA36</f>
        <v>0</v>
      </c>
      <c r="AT36" s="291">
        <f>'[1]January - 2021'!BB36</f>
        <v>0</v>
      </c>
      <c r="AU36" s="92">
        <f>'[1]January - 2021'!BB36</f>
        <v>0</v>
      </c>
      <c r="AV36" s="290">
        <f>'[1]January - 2021'!BD36</f>
        <v>0</v>
      </c>
      <c r="AW36" s="252">
        <f>'[1]January - 2021'!BE36</f>
        <v>0</v>
      </c>
      <c r="AX36" s="253">
        <f>'[1]January - 2021'!BE36</f>
        <v>0</v>
      </c>
      <c r="AY36" s="486"/>
      <c r="AZ36" s="272">
        <f>'[1]January - 2021'!BK36</f>
        <v>0</v>
      </c>
      <c r="BA36" s="179">
        <f>'[1]January - 2021'!BL36</f>
        <v>0</v>
      </c>
      <c r="BB36" s="93">
        <f>'[1]January - 2021'!BL36</f>
        <v>0</v>
      </c>
      <c r="BC36" s="272">
        <f>'[1]January - 2021'!BN36</f>
        <v>0</v>
      </c>
      <c r="BD36" s="245">
        <f>'[1]January - 2021'!BO36</f>
        <v>0</v>
      </c>
      <c r="BE36" s="93">
        <f>'[1]January - 2021'!BO36</f>
        <v>0</v>
      </c>
      <c r="BF36" s="272">
        <f>'[1]January - 2021'!BQ36</f>
        <v>0</v>
      </c>
      <c r="BG36" s="245">
        <f>'[1]January - 2021'!BR36</f>
        <v>0</v>
      </c>
      <c r="BH36" s="93">
        <f>'[1]January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- 2021'!BT36</f>
        <v>0</v>
      </c>
      <c r="BT36" s="185">
        <f>'[1]January - 2021'!BU36</f>
        <v>0</v>
      </c>
      <c r="BU36" s="393"/>
      <c r="BV36" s="88">
        <f>'[1]January - 2021'!BW36</f>
        <v>0</v>
      </c>
      <c r="BW36" s="241">
        <f>'[1]January - 2021'!BX36</f>
        <v>0</v>
      </c>
      <c r="BX36" s="88">
        <f>'[1]January - 2021'!BX36</f>
        <v>0</v>
      </c>
      <c r="BY36" s="89">
        <f>'[1]January - 2021'!BZ36</f>
        <v>0</v>
      </c>
      <c r="BZ36" s="191">
        <f>'[1]January - 2021'!CA36</f>
        <v>0</v>
      </c>
      <c r="CA36" s="89">
        <f>'[1]January - 2021'!CB36</f>
        <v>0</v>
      </c>
      <c r="CB36" s="191">
        <f>'[1]January - 2021'!CC36</f>
        <v>0</v>
      </c>
      <c r="CC36" s="89">
        <f>'[1]January - 2021'!CD36</f>
        <v>0</v>
      </c>
      <c r="CD36" s="191">
        <f>'[1]January - 2021'!CE36</f>
        <v>0</v>
      </c>
      <c r="CE36" s="89">
        <f>'[1]January - 2021'!CF36</f>
        <v>0</v>
      </c>
      <c r="CF36" s="191">
        <f>'[1]January - 2021'!CG36</f>
        <v>0</v>
      </c>
      <c r="CG36" s="89">
        <f>'[1]January - 2021'!CH36</f>
        <v>0</v>
      </c>
      <c r="CH36" s="191">
        <f>'[1]January - 2021'!CI36</f>
        <v>0</v>
      </c>
      <c r="CI36" s="89">
        <f>'[1]January - 2021'!CJ36</f>
        <v>0</v>
      </c>
      <c r="CJ36" s="191">
        <f>'[1]January - 2021'!CK36</f>
        <v>0</v>
      </c>
      <c r="CK36" s="89">
        <f>'[1]January - 2021'!CL36</f>
        <v>0</v>
      </c>
      <c r="CL36" s="246">
        <f>'[1]January - 2021'!CM36</f>
        <v>0</v>
      </c>
      <c r="CM36" s="89">
        <f>'[1]January - 2021'!CM36</f>
        <v>0</v>
      </c>
      <c r="CN36" s="89">
        <f>'[1]January - 2021'!CO36</f>
        <v>0</v>
      </c>
      <c r="CO36" s="246">
        <f>'[1]January - 2021'!CP36</f>
        <v>0</v>
      </c>
      <c r="CP36" s="89">
        <f>'[1]January - 2021'!CP36</f>
        <v>0</v>
      </c>
      <c r="CQ36" s="89">
        <f>'[1]January - 2021'!CR36</f>
        <v>0</v>
      </c>
      <c r="CR36" s="246">
        <f>'[1]January - 2021'!CS36</f>
        <v>0</v>
      </c>
      <c r="CS36" s="89">
        <f>'[1]January - 2021'!CS36</f>
        <v>0</v>
      </c>
      <c r="CT36" s="89">
        <f>'[1]January - 2021'!CU36</f>
        <v>0</v>
      </c>
      <c r="CU36" s="191">
        <f>'[1]January - 2021'!CV36</f>
        <v>0</v>
      </c>
      <c r="CV36" s="453"/>
      <c r="CW36" s="256">
        <f>'[1]January - 2021'!CX36</f>
        <v>0</v>
      </c>
      <c r="CX36" s="198">
        <f>'[1]January - 2021'!CY36</f>
        <v>0</v>
      </c>
      <c r="CY36" s="257">
        <f>'[1]January - 2021'!CZ36</f>
        <v>0</v>
      </c>
      <c r="CZ36" s="198">
        <f>'[1]January - 2021'!DA36</f>
        <v>0</v>
      </c>
      <c r="DA36" s="257">
        <f>'[1]January - 2021'!DB36</f>
        <v>0</v>
      </c>
      <c r="DB36" s="198">
        <f>'[1]January - 2021'!DC36</f>
        <v>0</v>
      </c>
      <c r="DC36" s="257">
        <f>'[1]January - 2021'!DD36</f>
        <v>0</v>
      </c>
      <c r="DD36" s="198">
        <f>'[1]January - 2021'!DE36</f>
        <v>0</v>
      </c>
      <c r="DE36" s="257">
        <f>'[1]January - 2021'!DF36</f>
        <v>0</v>
      </c>
      <c r="DF36" s="198">
        <f>'[1]January - 2021'!DG36</f>
        <v>0</v>
      </c>
      <c r="DG36" s="257">
        <f>'[1]January - 2021'!DH36</f>
        <v>0</v>
      </c>
      <c r="DH36" s="198">
        <f>'[1]January - 2021'!DI36</f>
        <v>0</v>
      </c>
      <c r="DI36" s="257">
        <f>'[1]January - 2021'!DJ36</f>
        <v>826</v>
      </c>
      <c r="DJ36" s="198">
        <f>'[1]January - 2021'!DK36</f>
        <v>0</v>
      </c>
      <c r="DK36" s="257">
        <f>'[1]January - 2021'!DL36</f>
        <v>0</v>
      </c>
      <c r="DL36" s="198">
        <f>'[1]January - 2021'!DM36</f>
        <v>0</v>
      </c>
      <c r="DM36" s="257">
        <f>'[1]January - 2021'!DN36</f>
        <v>0</v>
      </c>
      <c r="DN36" s="198">
        <f>'[1]January - 2021'!DO36</f>
        <v>0</v>
      </c>
      <c r="DO36" s="257">
        <f>'[1]January - 2021'!DP36</f>
        <v>0</v>
      </c>
      <c r="DP36" s="198">
        <f>'[1]January - 2021'!DQ36</f>
        <v>0</v>
      </c>
      <c r="DQ36" s="257">
        <f>'[1]January - 2021'!DR36</f>
        <v>0</v>
      </c>
      <c r="DR36" s="206">
        <f>'[1]January - 2021'!DS36</f>
        <v>0</v>
      </c>
      <c r="DS36" s="438"/>
      <c r="DT36" s="210">
        <f>'[1]January - 2021'!DU36</f>
        <v>0</v>
      </c>
      <c r="DU36" s="221">
        <f>'[1]January - 2021'!DV36</f>
        <v>0</v>
      </c>
      <c r="DV36" s="91">
        <f>'[1]January - 2021'!DW36</f>
        <v>0</v>
      </c>
      <c r="DW36" s="215">
        <f>'[1]January - 2021'!DX36</f>
        <v>0</v>
      </c>
      <c r="DX36" s="91">
        <f>'[1]January - 2021'!DY36</f>
        <v>0</v>
      </c>
      <c r="DY36" s="215">
        <f>'[1]January - 2021'!DZ36</f>
        <v>0</v>
      </c>
      <c r="DZ36" s="91">
        <f>'[1]January - 2021'!EA36</f>
        <v>0</v>
      </c>
      <c r="EA36" s="215">
        <f>'[1]January - 2021'!EB36</f>
        <v>0</v>
      </c>
      <c r="EB36" s="91">
        <f>'[1]January - 2021'!EC36</f>
        <v>0</v>
      </c>
      <c r="EC36" s="215">
        <f>'[1]January - 2021'!ED36</f>
        <v>0</v>
      </c>
      <c r="ED36" s="91">
        <f>'[1]January - 2021'!EG36</f>
        <v>0</v>
      </c>
      <c r="EE36" s="229">
        <f>'[1]January - 2021'!EH36</f>
        <v>0</v>
      </c>
      <c r="EF36" s="377"/>
      <c r="EG36" s="235">
        <f>'[1]January - 2021'!EJ36</f>
        <v>0</v>
      </c>
      <c r="EH36" s="230">
        <f>'[1]January - 2021'!EK36</f>
        <v>0</v>
      </c>
      <c r="EI36" s="90">
        <f>'[1]January - 2021'!EL36</f>
        <v>0</v>
      </c>
      <c r="EJ36" s="230">
        <f>'[1]January - 2021'!EM36</f>
        <v>0</v>
      </c>
      <c r="EK36" s="90">
        <f>'[1]January - 2021'!EN36</f>
        <v>0</v>
      </c>
      <c r="EL36" s="230">
        <f>'[1]January - 2021'!EO36</f>
        <v>0</v>
      </c>
      <c r="EM36" s="90">
        <f>'[1]January - 2021'!EP36</f>
        <v>0</v>
      </c>
      <c r="EN36" s="230">
        <f>'[1]January - 2021'!EQ36</f>
        <v>0</v>
      </c>
      <c r="EO36" s="90">
        <f>'[1]January - 2021'!ER36</f>
        <v>0</v>
      </c>
      <c r="EP36" s="230">
        <f>'[1]January - 2021'!ES36</f>
        <v>0</v>
      </c>
      <c r="EQ36" s="90">
        <f>'[1]January - 2021'!ET36</f>
        <v>0</v>
      </c>
      <c r="ER36" s="230">
        <f>'[1]January - 2021'!EU36</f>
        <v>0</v>
      </c>
      <c r="ES36" s="425"/>
      <c r="ET36" s="284">
        <f>'[1]January - 2021'!EW36</f>
        <v>0</v>
      </c>
      <c r="EU36" s="278">
        <f>'[1]January - 2021'!EX36</f>
        <v>0</v>
      </c>
      <c r="EV36" s="285">
        <f>'[1]January - 2021'!EY36</f>
        <v>0</v>
      </c>
      <c r="EW36" s="278">
        <f>'[1]January - 2021'!EZ36</f>
        <v>0</v>
      </c>
      <c r="EX36" s="285">
        <f>'[1]January - 2021'!FA36</f>
        <v>0</v>
      </c>
      <c r="EY36" s="278">
        <f>'[1]January - 2021'!FB36</f>
        <v>0</v>
      </c>
      <c r="EZ36" s="285">
        <f>'[1]January - 2021'!FC36</f>
        <v>0</v>
      </c>
      <c r="FA36" s="278">
        <f>'[1]January - 2021'!FD36</f>
        <v>0</v>
      </c>
      <c r="FB36" s="285">
        <f>'[1]January - 2021'!FE36</f>
        <v>0</v>
      </c>
      <c r="FC36" s="279">
        <f>'[1]January - 2021'!FF36</f>
        <v>0</v>
      </c>
    </row>
    <row r="37" spans="1:160" ht="30" customHeight="1" x14ac:dyDescent="0.25">
      <c r="A37" s="207">
        <v>43858</v>
      </c>
      <c r="B37" s="209">
        <f>'[1]January - 2021'!B37</f>
        <v>0</v>
      </c>
      <c r="C37" s="250">
        <f>'[1]January - 2021'!E37</f>
        <v>0</v>
      </c>
      <c r="D37" s="170">
        <f>'[1]January - 2021'!F37</f>
        <v>0</v>
      </c>
      <c r="E37" s="168">
        <f>'[1]January - 2021'!G37</f>
        <v>494</v>
      </c>
      <c r="F37" s="168">
        <f>'[1]January - 2021'!H37</f>
        <v>0</v>
      </c>
      <c r="G37" s="170">
        <f>'[1]January - 2021'!I37</f>
        <v>0</v>
      </c>
      <c r="H37" s="168">
        <f>'[1]January - 2021'!J37</f>
        <v>424</v>
      </c>
      <c r="I37" s="168">
        <f>'[1]January - 2021'!K37</f>
        <v>0</v>
      </c>
      <c r="J37" s="170">
        <f>'[1]January - 2021'!L37</f>
        <v>0</v>
      </c>
      <c r="K37" s="168">
        <f>'[1]January - 2021'!N37</f>
        <v>0</v>
      </c>
      <c r="L37" s="170">
        <f>'[1]January - 2021'!O37</f>
        <v>0</v>
      </c>
      <c r="M37" s="168">
        <f>'[1]January - 2021'!Q37</f>
        <v>0</v>
      </c>
      <c r="N37" s="170">
        <f>'[1]January - 2021'!R37</f>
        <v>0</v>
      </c>
      <c r="O37" s="168">
        <f>'[1]January - 2021'!S37</f>
        <v>0</v>
      </c>
      <c r="P37" s="170">
        <f>'[1]January - 2021'!T37</f>
        <v>0</v>
      </c>
      <c r="Q37" s="168">
        <f>'[1]January - 2021'!U37</f>
        <v>49</v>
      </c>
      <c r="R37" s="168">
        <f>'[1]January - 2021'!V37</f>
        <v>0</v>
      </c>
      <c r="S37" s="208">
        <f>'[1]January - 2021'!W37</f>
        <v>0</v>
      </c>
      <c r="T37" s="520"/>
      <c r="U37" s="169">
        <f>'[1]January - 2021'!AC37</f>
        <v>0</v>
      </c>
      <c r="V37" s="291">
        <f>'[1]January - 2021'!AD37</f>
        <v>0</v>
      </c>
      <c r="W37" s="92">
        <f>'[1]January - 2021'!AD37</f>
        <v>0</v>
      </c>
      <c r="X37" s="290">
        <f>'[1]January - 2021'!AF37</f>
        <v>0</v>
      </c>
      <c r="Y37" s="291">
        <f>'[1]January - 2021'!AG37</f>
        <v>0</v>
      </c>
      <c r="Z37" s="92">
        <f>'[1]January - 2021'!AG37</f>
        <v>0</v>
      </c>
      <c r="AA37" s="290">
        <f>'[1]January - 2021'!AI37</f>
        <v>0</v>
      </c>
      <c r="AB37" s="291">
        <f>'[1]January - 2021'!AJ37</f>
        <v>0</v>
      </c>
      <c r="AC37" s="92">
        <f>'[1]January - 2021'!AJ37</f>
        <v>0</v>
      </c>
      <c r="AD37" s="290">
        <f>'[1]January - 2021'!AL37</f>
        <v>0</v>
      </c>
      <c r="AE37" s="291">
        <f>'[1]January - 2021'!AM37</f>
        <v>0</v>
      </c>
      <c r="AF37" s="92">
        <f>'[1]January - 2021'!AM37</f>
        <v>0</v>
      </c>
      <c r="AG37" s="290">
        <f>'[1]January - 2021'!AO37</f>
        <v>0</v>
      </c>
      <c r="AH37" s="291">
        <f>'[1]January - 2021'!AP37</f>
        <v>0</v>
      </c>
      <c r="AI37" s="92">
        <f>'[1]January - 2021'!AP37</f>
        <v>0</v>
      </c>
      <c r="AJ37" s="290">
        <f>'[1]January - 2021'!AR37</f>
        <v>0</v>
      </c>
      <c r="AK37" s="291">
        <f>'[1]January - 2021'!AS37</f>
        <v>0</v>
      </c>
      <c r="AL37" s="92">
        <f>'[1]January - 2021'!AS37</f>
        <v>0</v>
      </c>
      <c r="AM37" s="290">
        <f>'[1]January - 2021'!AU37</f>
        <v>0</v>
      </c>
      <c r="AN37" s="291">
        <f>'[1]January - 2021'!AV37</f>
        <v>0</v>
      </c>
      <c r="AO37" s="92">
        <f>'[1]January - 2021'!AV37</f>
        <v>0</v>
      </c>
      <c r="AP37" s="290">
        <f>'[1]January - 2021'!AX37</f>
        <v>0</v>
      </c>
      <c r="AQ37" s="291">
        <f>'[1]January - 2021'!AY37</f>
        <v>0</v>
      </c>
      <c r="AR37" s="92">
        <f>'[1]January - 2021'!AY37</f>
        <v>0</v>
      </c>
      <c r="AS37" s="290">
        <f>'[1]January - 2021'!BA37</f>
        <v>0</v>
      </c>
      <c r="AT37" s="291">
        <f>'[1]January - 2021'!BB37</f>
        <v>0</v>
      </c>
      <c r="AU37" s="92">
        <f>'[1]January - 2021'!BB37</f>
        <v>0</v>
      </c>
      <c r="AV37" s="290">
        <f>'[1]January - 2021'!BD37</f>
        <v>0</v>
      </c>
      <c r="AW37" s="252">
        <f>'[1]January - 2021'!BE37</f>
        <v>0</v>
      </c>
      <c r="AX37" s="253">
        <f>'[1]January - 2021'!BE37</f>
        <v>0</v>
      </c>
      <c r="AY37" s="486"/>
      <c r="AZ37" s="272">
        <f>'[1]January - 2021'!BK37</f>
        <v>0</v>
      </c>
      <c r="BA37" s="179">
        <f>'[1]January - 2021'!BL37</f>
        <v>0</v>
      </c>
      <c r="BB37" s="93">
        <f>'[1]January - 2021'!BL37</f>
        <v>0</v>
      </c>
      <c r="BC37" s="272">
        <f>'[1]January - 2021'!BN37</f>
        <v>0</v>
      </c>
      <c r="BD37" s="245">
        <f>'[1]January - 2021'!BO37</f>
        <v>0</v>
      </c>
      <c r="BE37" s="93">
        <f>'[1]January - 2021'!BO37</f>
        <v>0</v>
      </c>
      <c r="BF37" s="272">
        <f>'[1]January - 2021'!BQ37</f>
        <v>0</v>
      </c>
      <c r="BG37" s="245">
        <f>'[1]January - 2021'!BR37</f>
        <v>0</v>
      </c>
      <c r="BH37" s="93">
        <f>'[1]January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- 2021'!BT37</f>
        <v>0</v>
      </c>
      <c r="BT37" s="185">
        <f>'[1]January - 2021'!BU37</f>
        <v>0</v>
      </c>
      <c r="BU37" s="393"/>
      <c r="BV37" s="88">
        <f>'[1]January - 2021'!BW37</f>
        <v>0</v>
      </c>
      <c r="BW37" s="241">
        <f>'[1]January - 2021'!BX37</f>
        <v>0</v>
      </c>
      <c r="BX37" s="88">
        <f>'[1]January - 2021'!BX37</f>
        <v>0</v>
      </c>
      <c r="BY37" s="89">
        <f>'[1]January - 2021'!BZ37</f>
        <v>0</v>
      </c>
      <c r="BZ37" s="191">
        <f>'[1]January - 2021'!CA37</f>
        <v>0</v>
      </c>
      <c r="CA37" s="89">
        <f>'[1]January - 2021'!CB37</f>
        <v>0</v>
      </c>
      <c r="CB37" s="191">
        <f>'[1]January - 2021'!CC37</f>
        <v>0</v>
      </c>
      <c r="CC37" s="89">
        <f>'[1]January - 2021'!CD37</f>
        <v>0</v>
      </c>
      <c r="CD37" s="191">
        <f>'[1]January - 2021'!CE37</f>
        <v>0</v>
      </c>
      <c r="CE37" s="89">
        <f>'[1]January - 2021'!CF37</f>
        <v>0</v>
      </c>
      <c r="CF37" s="191">
        <f>'[1]January - 2021'!CG37</f>
        <v>0</v>
      </c>
      <c r="CG37" s="89">
        <f>'[1]January - 2021'!CH37</f>
        <v>0</v>
      </c>
      <c r="CH37" s="191">
        <f>'[1]January - 2021'!CI37</f>
        <v>0</v>
      </c>
      <c r="CI37" s="89">
        <f>'[1]January - 2021'!CJ37</f>
        <v>0</v>
      </c>
      <c r="CJ37" s="191">
        <f>'[1]January - 2021'!CK37</f>
        <v>0</v>
      </c>
      <c r="CK37" s="89">
        <f>'[1]January - 2021'!CL37</f>
        <v>0</v>
      </c>
      <c r="CL37" s="246">
        <f>'[1]January - 2021'!CM37</f>
        <v>0</v>
      </c>
      <c r="CM37" s="89">
        <f>'[1]January - 2021'!CM37</f>
        <v>0</v>
      </c>
      <c r="CN37" s="89">
        <f>'[1]January - 2021'!CO37</f>
        <v>0</v>
      </c>
      <c r="CO37" s="246">
        <f>'[1]January - 2021'!CP37</f>
        <v>0</v>
      </c>
      <c r="CP37" s="89">
        <f>'[1]January - 2021'!CP37</f>
        <v>0</v>
      </c>
      <c r="CQ37" s="89">
        <f>'[1]January - 2021'!CR37</f>
        <v>0</v>
      </c>
      <c r="CR37" s="246">
        <f>'[1]January - 2021'!CS37</f>
        <v>0</v>
      </c>
      <c r="CS37" s="89">
        <f>'[1]January - 2021'!CS37</f>
        <v>0</v>
      </c>
      <c r="CT37" s="89">
        <f>'[1]January - 2021'!CU37</f>
        <v>0</v>
      </c>
      <c r="CU37" s="191">
        <f>'[1]January - 2021'!CV37</f>
        <v>0</v>
      </c>
      <c r="CV37" s="453"/>
      <c r="CW37" s="256">
        <f>'[1]January - 2021'!CX37</f>
        <v>0</v>
      </c>
      <c r="CX37" s="198">
        <f>'[1]January - 2021'!CY37</f>
        <v>0</v>
      </c>
      <c r="CY37" s="257">
        <f>'[1]January - 2021'!CZ37</f>
        <v>0</v>
      </c>
      <c r="CZ37" s="198">
        <f>'[1]January - 2021'!DA37</f>
        <v>0</v>
      </c>
      <c r="DA37" s="257">
        <f>'[1]January - 2021'!DB37</f>
        <v>0</v>
      </c>
      <c r="DB37" s="198">
        <f>'[1]January - 2021'!DC37</f>
        <v>0</v>
      </c>
      <c r="DC37" s="257">
        <f>'[1]January - 2021'!DD37</f>
        <v>0</v>
      </c>
      <c r="DD37" s="198">
        <f>'[1]January - 2021'!DE37</f>
        <v>0</v>
      </c>
      <c r="DE37" s="257">
        <f>'[1]January - 2021'!DF37</f>
        <v>0</v>
      </c>
      <c r="DF37" s="198">
        <f>'[1]January - 2021'!DG37</f>
        <v>0</v>
      </c>
      <c r="DG37" s="257">
        <f>'[1]January - 2021'!DH37</f>
        <v>0</v>
      </c>
      <c r="DH37" s="198">
        <f>'[1]January - 2021'!DI37</f>
        <v>0</v>
      </c>
      <c r="DI37" s="257">
        <f>'[1]January - 2021'!DJ37</f>
        <v>826</v>
      </c>
      <c r="DJ37" s="198">
        <f>'[1]January - 2021'!DK37</f>
        <v>0</v>
      </c>
      <c r="DK37" s="257">
        <f>'[1]January - 2021'!DL37</f>
        <v>0</v>
      </c>
      <c r="DL37" s="198">
        <f>'[1]January - 2021'!DM37</f>
        <v>0</v>
      </c>
      <c r="DM37" s="257">
        <f>'[1]January - 2021'!DN37</f>
        <v>0</v>
      </c>
      <c r="DN37" s="198">
        <f>'[1]January - 2021'!DO37</f>
        <v>0</v>
      </c>
      <c r="DO37" s="257">
        <f>'[1]January - 2021'!DP37</f>
        <v>0</v>
      </c>
      <c r="DP37" s="198">
        <f>'[1]January - 2021'!DQ37</f>
        <v>0</v>
      </c>
      <c r="DQ37" s="257">
        <f>'[1]January - 2021'!DR37</f>
        <v>0</v>
      </c>
      <c r="DR37" s="206">
        <f>'[1]January - 2021'!DS37</f>
        <v>0</v>
      </c>
      <c r="DS37" s="438"/>
      <c r="DT37" s="210">
        <f>'[1]January - 2021'!DU37</f>
        <v>0</v>
      </c>
      <c r="DU37" s="221">
        <f>'[1]January - 2021'!DV37</f>
        <v>0</v>
      </c>
      <c r="DV37" s="91">
        <f>'[1]January - 2021'!DW37</f>
        <v>0</v>
      </c>
      <c r="DW37" s="215">
        <f>'[1]January - 2021'!DX37</f>
        <v>0</v>
      </c>
      <c r="DX37" s="91">
        <f>'[1]January - 2021'!DY37</f>
        <v>0</v>
      </c>
      <c r="DY37" s="215">
        <f>'[1]January - 2021'!DZ37</f>
        <v>0</v>
      </c>
      <c r="DZ37" s="91">
        <f>'[1]January - 2021'!EA37</f>
        <v>0</v>
      </c>
      <c r="EA37" s="215">
        <f>'[1]January - 2021'!EB37</f>
        <v>0</v>
      </c>
      <c r="EB37" s="91">
        <f>'[1]January - 2021'!EC37</f>
        <v>0</v>
      </c>
      <c r="EC37" s="215">
        <f>'[1]January - 2021'!ED37</f>
        <v>0</v>
      </c>
      <c r="ED37" s="91">
        <f>'[1]January - 2021'!EG37</f>
        <v>0</v>
      </c>
      <c r="EE37" s="229">
        <f>'[1]January - 2021'!EH37</f>
        <v>0</v>
      </c>
      <c r="EF37" s="377"/>
      <c r="EG37" s="235">
        <f>'[1]January - 2021'!EJ37</f>
        <v>0</v>
      </c>
      <c r="EH37" s="230">
        <f>'[1]January - 2021'!EK37</f>
        <v>0</v>
      </c>
      <c r="EI37" s="90">
        <f>'[1]January - 2021'!EL37</f>
        <v>0</v>
      </c>
      <c r="EJ37" s="230">
        <f>'[1]January - 2021'!EM37</f>
        <v>0</v>
      </c>
      <c r="EK37" s="90">
        <f>'[1]January - 2021'!EN37</f>
        <v>0</v>
      </c>
      <c r="EL37" s="230">
        <f>'[1]January - 2021'!EO37</f>
        <v>0</v>
      </c>
      <c r="EM37" s="90">
        <f>'[1]January - 2021'!EP37</f>
        <v>0</v>
      </c>
      <c r="EN37" s="230">
        <f>'[1]January - 2021'!EQ37</f>
        <v>0</v>
      </c>
      <c r="EO37" s="90">
        <f>'[1]January - 2021'!ER37</f>
        <v>0</v>
      </c>
      <c r="EP37" s="230">
        <f>'[1]January - 2021'!ES37</f>
        <v>0</v>
      </c>
      <c r="EQ37" s="90">
        <f>'[1]January - 2021'!ET37</f>
        <v>0</v>
      </c>
      <c r="ER37" s="230">
        <f>'[1]January - 2021'!EU37</f>
        <v>0</v>
      </c>
      <c r="ES37" s="425"/>
      <c r="ET37" s="284">
        <f>'[1]January - 2021'!EW37</f>
        <v>0</v>
      </c>
      <c r="EU37" s="278">
        <f>'[1]January - 2021'!EX37</f>
        <v>0</v>
      </c>
      <c r="EV37" s="285">
        <f>'[1]January - 2021'!EY37</f>
        <v>0</v>
      </c>
      <c r="EW37" s="278">
        <f>'[1]January - 2021'!EZ37</f>
        <v>0</v>
      </c>
      <c r="EX37" s="285">
        <f>'[1]January - 2021'!FA37</f>
        <v>0</v>
      </c>
      <c r="EY37" s="278">
        <f>'[1]January - 2021'!FB37</f>
        <v>0</v>
      </c>
      <c r="EZ37" s="285">
        <f>'[1]January - 2021'!FC37</f>
        <v>0</v>
      </c>
      <c r="FA37" s="278">
        <f>'[1]January - 2021'!FD37</f>
        <v>0</v>
      </c>
      <c r="FB37" s="285">
        <f>'[1]January - 2021'!FE37</f>
        <v>0</v>
      </c>
      <c r="FC37" s="279">
        <f>'[1]January - 2021'!FF37</f>
        <v>0</v>
      </c>
    </row>
    <row r="38" spans="1:160" ht="30" customHeight="1" x14ac:dyDescent="0.25">
      <c r="A38" s="207">
        <v>43859</v>
      </c>
      <c r="B38" s="209">
        <f>'[1]January - 2021'!B38</f>
        <v>0</v>
      </c>
      <c r="C38" s="250">
        <f>'[1]January - 2021'!E38</f>
        <v>0</v>
      </c>
      <c r="D38" s="170">
        <f>'[1]January - 2021'!F38</f>
        <v>0</v>
      </c>
      <c r="E38" s="168">
        <f>'[1]January - 2021'!G38</f>
        <v>530</v>
      </c>
      <c r="F38" s="168">
        <f>'[1]January - 2021'!H38</f>
        <v>0</v>
      </c>
      <c r="G38" s="170">
        <f>'[1]January - 2021'!I38</f>
        <v>0</v>
      </c>
      <c r="H38" s="168">
        <f>'[1]January - 2021'!J38</f>
        <v>427</v>
      </c>
      <c r="I38" s="168">
        <f>'[1]January - 2021'!K38</f>
        <v>0</v>
      </c>
      <c r="J38" s="170">
        <f>'[1]January - 2021'!L38</f>
        <v>0</v>
      </c>
      <c r="K38" s="168">
        <f>'[1]January - 2021'!N38</f>
        <v>0</v>
      </c>
      <c r="L38" s="170">
        <f>'[1]January - 2021'!O38</f>
        <v>0</v>
      </c>
      <c r="M38" s="168">
        <f>'[1]January - 2021'!Q38</f>
        <v>0</v>
      </c>
      <c r="N38" s="170">
        <f>'[1]January - 2021'!R38</f>
        <v>0</v>
      </c>
      <c r="O38" s="168">
        <f>'[1]January - 2021'!S38</f>
        <v>0</v>
      </c>
      <c r="P38" s="170">
        <f>'[1]January - 2021'!T38</f>
        <v>0</v>
      </c>
      <c r="Q38" s="168">
        <f>'[1]January - 2021'!U38</f>
        <v>56</v>
      </c>
      <c r="R38" s="168">
        <f>'[1]January - 2021'!V38</f>
        <v>0</v>
      </c>
      <c r="S38" s="208">
        <f>'[1]January - 2021'!W38</f>
        <v>0</v>
      </c>
      <c r="T38" s="520"/>
      <c r="U38" s="169">
        <f>'[1]January - 2021'!AC38</f>
        <v>0</v>
      </c>
      <c r="V38" s="291">
        <f>'[1]January - 2021'!AD38</f>
        <v>0</v>
      </c>
      <c r="W38" s="92">
        <f>'[1]January - 2021'!AD38</f>
        <v>0</v>
      </c>
      <c r="X38" s="290">
        <f>'[1]January - 2021'!AF38</f>
        <v>0</v>
      </c>
      <c r="Y38" s="291">
        <f>'[1]January - 2021'!AG38</f>
        <v>0</v>
      </c>
      <c r="Z38" s="92">
        <f>'[1]January - 2021'!AG38</f>
        <v>0</v>
      </c>
      <c r="AA38" s="290">
        <f>'[1]January - 2021'!AI38</f>
        <v>0</v>
      </c>
      <c r="AB38" s="291">
        <f>'[1]January - 2021'!AJ38</f>
        <v>0</v>
      </c>
      <c r="AC38" s="92">
        <f>'[1]January - 2021'!AJ38</f>
        <v>0</v>
      </c>
      <c r="AD38" s="290">
        <f>'[1]January - 2021'!AL38</f>
        <v>0</v>
      </c>
      <c r="AE38" s="291">
        <f>'[1]January - 2021'!AM38</f>
        <v>0</v>
      </c>
      <c r="AF38" s="92">
        <f>'[1]January - 2021'!AM38</f>
        <v>0</v>
      </c>
      <c r="AG38" s="290">
        <f>'[1]January - 2021'!AO38</f>
        <v>0</v>
      </c>
      <c r="AH38" s="291">
        <f>'[1]January - 2021'!AP38</f>
        <v>0</v>
      </c>
      <c r="AI38" s="92">
        <f>'[1]January - 2021'!AP38</f>
        <v>0</v>
      </c>
      <c r="AJ38" s="290">
        <f>'[1]January - 2021'!AR38</f>
        <v>0</v>
      </c>
      <c r="AK38" s="291">
        <f>'[1]January - 2021'!AS38</f>
        <v>0</v>
      </c>
      <c r="AL38" s="92">
        <f>'[1]January - 2021'!AS38</f>
        <v>0</v>
      </c>
      <c r="AM38" s="290">
        <f>'[1]January - 2021'!AU38</f>
        <v>0</v>
      </c>
      <c r="AN38" s="291">
        <f>'[1]January - 2021'!AV38</f>
        <v>0</v>
      </c>
      <c r="AO38" s="92">
        <f>'[1]January - 2021'!AV38</f>
        <v>0</v>
      </c>
      <c r="AP38" s="290">
        <f>'[1]January - 2021'!AX38</f>
        <v>0</v>
      </c>
      <c r="AQ38" s="291">
        <f>'[1]January - 2021'!AY38</f>
        <v>0</v>
      </c>
      <c r="AR38" s="92">
        <f>'[1]January - 2021'!AY38</f>
        <v>0</v>
      </c>
      <c r="AS38" s="290">
        <f>'[1]January - 2021'!BA38</f>
        <v>0</v>
      </c>
      <c r="AT38" s="291">
        <f>'[1]January - 2021'!BB38</f>
        <v>0</v>
      </c>
      <c r="AU38" s="92">
        <f>'[1]January - 2021'!BB38</f>
        <v>0</v>
      </c>
      <c r="AV38" s="290">
        <f>'[1]January - 2021'!BD38</f>
        <v>0</v>
      </c>
      <c r="AW38" s="252">
        <f>'[1]January - 2021'!BE38</f>
        <v>0</v>
      </c>
      <c r="AX38" s="253">
        <f>'[1]January - 2021'!BE38</f>
        <v>0</v>
      </c>
      <c r="AY38" s="486"/>
      <c r="AZ38" s="272">
        <f>'[1]January - 2021'!BK38</f>
        <v>0</v>
      </c>
      <c r="BA38" s="179">
        <f>'[1]January - 2021'!BL38</f>
        <v>0</v>
      </c>
      <c r="BB38" s="93">
        <f>'[1]January - 2021'!BL38</f>
        <v>0</v>
      </c>
      <c r="BC38" s="272">
        <f>'[1]January - 2021'!BN38</f>
        <v>0</v>
      </c>
      <c r="BD38" s="245">
        <f>'[1]January - 2021'!BO38</f>
        <v>0</v>
      </c>
      <c r="BE38" s="93">
        <f>'[1]January - 2021'!BO38</f>
        <v>0</v>
      </c>
      <c r="BF38" s="272">
        <f>'[1]January - 2021'!BQ38</f>
        <v>0</v>
      </c>
      <c r="BG38" s="245">
        <f>'[1]January - 2021'!BR38</f>
        <v>0</v>
      </c>
      <c r="BH38" s="93">
        <f>'[1]January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- 2021'!BT38</f>
        <v>0</v>
      </c>
      <c r="BT38" s="185">
        <f>'[1]January - 2021'!BU38</f>
        <v>0</v>
      </c>
      <c r="BU38" s="393"/>
      <c r="BV38" s="88">
        <f>'[1]January - 2021'!BW38</f>
        <v>0</v>
      </c>
      <c r="BW38" s="241">
        <f>'[1]January - 2021'!BX38</f>
        <v>0</v>
      </c>
      <c r="BX38" s="88">
        <f>'[1]January - 2021'!BX38</f>
        <v>0</v>
      </c>
      <c r="BY38" s="89">
        <f>'[1]January - 2021'!BZ38</f>
        <v>0</v>
      </c>
      <c r="BZ38" s="191">
        <f>'[1]January - 2021'!CA38</f>
        <v>0</v>
      </c>
      <c r="CA38" s="89">
        <f>'[1]January - 2021'!CB38</f>
        <v>0</v>
      </c>
      <c r="CB38" s="191">
        <f>'[1]January - 2021'!CC38</f>
        <v>0</v>
      </c>
      <c r="CC38" s="89">
        <f>'[1]January - 2021'!CD38</f>
        <v>0</v>
      </c>
      <c r="CD38" s="191">
        <f>'[1]January - 2021'!CE38</f>
        <v>0</v>
      </c>
      <c r="CE38" s="89">
        <f>'[1]January - 2021'!CF38</f>
        <v>0</v>
      </c>
      <c r="CF38" s="191">
        <f>'[1]January - 2021'!CG38</f>
        <v>0</v>
      </c>
      <c r="CG38" s="89">
        <f>'[1]January - 2021'!CH38</f>
        <v>0</v>
      </c>
      <c r="CH38" s="191">
        <f>'[1]January - 2021'!CI38</f>
        <v>0</v>
      </c>
      <c r="CI38" s="89">
        <f>'[1]January - 2021'!CJ38</f>
        <v>0</v>
      </c>
      <c r="CJ38" s="191">
        <f>'[1]January - 2021'!CK38</f>
        <v>0</v>
      </c>
      <c r="CK38" s="89">
        <f>'[1]January - 2021'!CL38</f>
        <v>0</v>
      </c>
      <c r="CL38" s="246">
        <f>'[1]January - 2021'!CM38</f>
        <v>0</v>
      </c>
      <c r="CM38" s="89">
        <f>'[1]January - 2021'!CM38</f>
        <v>0</v>
      </c>
      <c r="CN38" s="89">
        <f>'[1]January - 2021'!CO38</f>
        <v>0</v>
      </c>
      <c r="CO38" s="246">
        <f>'[1]January - 2021'!CP38</f>
        <v>0</v>
      </c>
      <c r="CP38" s="89">
        <f>'[1]January - 2021'!CP38</f>
        <v>0</v>
      </c>
      <c r="CQ38" s="89">
        <f>'[1]January - 2021'!CR38</f>
        <v>0</v>
      </c>
      <c r="CR38" s="246">
        <f>'[1]January - 2021'!CS38</f>
        <v>0</v>
      </c>
      <c r="CS38" s="89">
        <f>'[1]January - 2021'!CS38</f>
        <v>0</v>
      </c>
      <c r="CT38" s="89">
        <f>'[1]January - 2021'!CU38</f>
        <v>0</v>
      </c>
      <c r="CU38" s="191">
        <f>'[1]January - 2021'!CV38</f>
        <v>0</v>
      </c>
      <c r="CV38" s="453"/>
      <c r="CW38" s="256">
        <f>'[1]January - 2021'!CX38</f>
        <v>0</v>
      </c>
      <c r="CX38" s="198">
        <f>'[1]January - 2021'!CY38</f>
        <v>0</v>
      </c>
      <c r="CY38" s="257">
        <f>'[1]January - 2021'!CZ38</f>
        <v>0</v>
      </c>
      <c r="CZ38" s="198">
        <f>'[1]January - 2021'!DA38</f>
        <v>0</v>
      </c>
      <c r="DA38" s="257">
        <f>'[1]January - 2021'!DB38</f>
        <v>0</v>
      </c>
      <c r="DB38" s="198">
        <f>'[1]January - 2021'!DC38</f>
        <v>0</v>
      </c>
      <c r="DC38" s="257">
        <f>'[1]January - 2021'!DD38</f>
        <v>0</v>
      </c>
      <c r="DD38" s="198">
        <f>'[1]January - 2021'!DE38</f>
        <v>0</v>
      </c>
      <c r="DE38" s="257">
        <f>'[1]January - 2021'!DF38</f>
        <v>0</v>
      </c>
      <c r="DF38" s="198">
        <f>'[1]January - 2021'!DG38</f>
        <v>0</v>
      </c>
      <c r="DG38" s="257">
        <f>'[1]January - 2021'!DH38</f>
        <v>0</v>
      </c>
      <c r="DH38" s="198">
        <f>'[1]January - 2021'!DI38</f>
        <v>0</v>
      </c>
      <c r="DI38" s="257">
        <f>'[1]January - 2021'!DJ38</f>
        <v>826</v>
      </c>
      <c r="DJ38" s="198">
        <f>'[1]January - 2021'!DK38</f>
        <v>0</v>
      </c>
      <c r="DK38" s="257">
        <f>'[1]January - 2021'!DL38</f>
        <v>0</v>
      </c>
      <c r="DL38" s="198">
        <f>'[1]January - 2021'!DM38</f>
        <v>0</v>
      </c>
      <c r="DM38" s="257">
        <f>'[1]January - 2021'!DN38</f>
        <v>0</v>
      </c>
      <c r="DN38" s="198">
        <f>'[1]January - 2021'!DO38</f>
        <v>0</v>
      </c>
      <c r="DO38" s="257">
        <f>'[1]January - 2021'!DP38</f>
        <v>0</v>
      </c>
      <c r="DP38" s="198">
        <f>'[1]January - 2021'!DQ38</f>
        <v>0</v>
      </c>
      <c r="DQ38" s="257">
        <f>'[1]January - 2021'!DR38</f>
        <v>0</v>
      </c>
      <c r="DR38" s="206">
        <f>'[1]January - 2021'!DS38</f>
        <v>0</v>
      </c>
      <c r="DS38" s="438"/>
      <c r="DT38" s="210">
        <f>'[1]January - 2021'!DU38</f>
        <v>0</v>
      </c>
      <c r="DU38" s="221">
        <f>'[1]January - 2021'!DV38</f>
        <v>0</v>
      </c>
      <c r="DV38" s="91">
        <f>'[1]January - 2021'!DW38</f>
        <v>0</v>
      </c>
      <c r="DW38" s="215">
        <f>'[1]January - 2021'!DX38</f>
        <v>0</v>
      </c>
      <c r="DX38" s="91">
        <f>'[1]January - 2021'!DY38</f>
        <v>0</v>
      </c>
      <c r="DY38" s="215">
        <f>'[1]January - 2021'!DZ38</f>
        <v>0</v>
      </c>
      <c r="DZ38" s="91">
        <f>'[1]January - 2021'!EA38</f>
        <v>0</v>
      </c>
      <c r="EA38" s="215">
        <f>'[1]January - 2021'!EB38</f>
        <v>0</v>
      </c>
      <c r="EB38" s="91">
        <f>'[1]January - 2021'!EC38</f>
        <v>0</v>
      </c>
      <c r="EC38" s="215">
        <f>'[1]January - 2021'!ED38</f>
        <v>0</v>
      </c>
      <c r="ED38" s="91">
        <f>'[1]January - 2021'!EG38</f>
        <v>0</v>
      </c>
      <c r="EE38" s="229">
        <f>'[1]January - 2021'!EH38</f>
        <v>0</v>
      </c>
      <c r="EF38" s="377"/>
      <c r="EG38" s="235">
        <f>'[1]January - 2021'!EJ38</f>
        <v>0</v>
      </c>
      <c r="EH38" s="230">
        <f>'[1]January - 2021'!EK38</f>
        <v>0</v>
      </c>
      <c r="EI38" s="90">
        <f>'[1]January - 2021'!EL38</f>
        <v>0</v>
      </c>
      <c r="EJ38" s="230">
        <f>'[1]January - 2021'!EM38</f>
        <v>0</v>
      </c>
      <c r="EK38" s="90">
        <f>'[1]January - 2021'!EN38</f>
        <v>0</v>
      </c>
      <c r="EL38" s="230">
        <f>'[1]January - 2021'!EO38</f>
        <v>0</v>
      </c>
      <c r="EM38" s="90">
        <f>'[1]January - 2021'!EP38</f>
        <v>0</v>
      </c>
      <c r="EN38" s="230">
        <f>'[1]January - 2021'!EQ38</f>
        <v>0</v>
      </c>
      <c r="EO38" s="90">
        <f>'[1]January - 2021'!ER38</f>
        <v>0</v>
      </c>
      <c r="EP38" s="230">
        <f>'[1]January - 2021'!ES38</f>
        <v>0</v>
      </c>
      <c r="EQ38" s="90">
        <f>'[1]January - 2021'!ET38</f>
        <v>0</v>
      </c>
      <c r="ER38" s="230">
        <f>'[1]January - 2021'!EU38</f>
        <v>0</v>
      </c>
      <c r="ES38" s="425"/>
      <c r="ET38" s="284">
        <f>'[1]January - 2021'!EW38</f>
        <v>0</v>
      </c>
      <c r="EU38" s="278">
        <f>'[1]January - 2021'!EX38</f>
        <v>0</v>
      </c>
      <c r="EV38" s="285">
        <f>'[1]January - 2021'!EY38</f>
        <v>0</v>
      </c>
      <c r="EW38" s="278">
        <f>'[1]January - 2021'!EZ38</f>
        <v>0</v>
      </c>
      <c r="EX38" s="285">
        <f>'[1]January - 2021'!FA38</f>
        <v>0</v>
      </c>
      <c r="EY38" s="278">
        <f>'[1]January - 2021'!FB38</f>
        <v>0</v>
      </c>
      <c r="EZ38" s="285">
        <f>'[1]January - 2021'!FC38</f>
        <v>0</v>
      </c>
      <c r="FA38" s="278">
        <f>'[1]January - 2021'!FD38</f>
        <v>0</v>
      </c>
      <c r="FB38" s="285">
        <f>'[1]January - 2021'!FE38</f>
        <v>0</v>
      </c>
      <c r="FC38" s="279">
        <f>'[1]January - 2021'!FF38</f>
        <v>0</v>
      </c>
    </row>
    <row r="39" spans="1:160" ht="30" customHeight="1" x14ac:dyDescent="0.25">
      <c r="A39" s="207">
        <v>43860</v>
      </c>
      <c r="B39" s="209">
        <f>'[1]January - 2021'!B39</f>
        <v>0</v>
      </c>
      <c r="C39" s="250">
        <f>'[1]January - 2021'!E39</f>
        <v>0</v>
      </c>
      <c r="D39" s="170">
        <f>'[1]January - 2021'!F39</f>
        <v>0</v>
      </c>
      <c r="E39" s="168">
        <f>'[1]January - 2021'!G39</f>
        <v>523</v>
      </c>
      <c r="F39" s="168">
        <f>'[1]January - 2021'!H39</f>
        <v>0</v>
      </c>
      <c r="G39" s="170">
        <f>'[1]January - 2021'!I39</f>
        <v>0</v>
      </c>
      <c r="H39" s="168">
        <f>'[1]January - 2021'!J39</f>
        <v>477</v>
      </c>
      <c r="I39" s="168">
        <f>'[1]January - 2021'!K39</f>
        <v>0</v>
      </c>
      <c r="J39" s="170">
        <f>'[1]January - 2021'!L39</f>
        <v>0</v>
      </c>
      <c r="K39" s="168">
        <f>'[1]January - 2021'!N39</f>
        <v>0</v>
      </c>
      <c r="L39" s="170">
        <f>'[1]January - 2021'!O39</f>
        <v>0</v>
      </c>
      <c r="M39" s="168">
        <f>'[1]January - 2021'!Q39</f>
        <v>0</v>
      </c>
      <c r="N39" s="170">
        <f>'[1]January - 2021'!R39</f>
        <v>0</v>
      </c>
      <c r="O39" s="168">
        <f>'[1]January - 2021'!S39</f>
        <v>0</v>
      </c>
      <c r="P39" s="170">
        <f>'[1]January - 2021'!T39</f>
        <v>0</v>
      </c>
      <c r="Q39" s="168">
        <f>'[1]January - 2021'!U39</f>
        <v>55</v>
      </c>
      <c r="R39" s="168">
        <f>'[1]January - 2021'!V39</f>
        <v>0</v>
      </c>
      <c r="S39" s="208">
        <f>'[1]January - 2021'!W39</f>
        <v>0</v>
      </c>
      <c r="T39" s="520"/>
      <c r="U39" s="169">
        <f>'[1]January - 2021'!AC39</f>
        <v>0</v>
      </c>
      <c r="V39" s="291">
        <f>'[1]January - 2021'!AD39</f>
        <v>0</v>
      </c>
      <c r="W39" s="92">
        <f>'[1]January - 2021'!AD39</f>
        <v>0</v>
      </c>
      <c r="X39" s="290">
        <f>'[1]January - 2021'!AF39</f>
        <v>0</v>
      </c>
      <c r="Y39" s="291">
        <f>'[1]January - 2021'!AG39</f>
        <v>0</v>
      </c>
      <c r="Z39" s="92">
        <f>'[1]January - 2021'!AG39</f>
        <v>0</v>
      </c>
      <c r="AA39" s="290">
        <f>'[1]January - 2021'!AI39</f>
        <v>0</v>
      </c>
      <c r="AB39" s="291">
        <f>'[1]January - 2021'!AJ39</f>
        <v>0</v>
      </c>
      <c r="AC39" s="92">
        <f>'[1]January - 2021'!AJ39</f>
        <v>0</v>
      </c>
      <c r="AD39" s="290">
        <f>'[1]January - 2021'!AL39</f>
        <v>0</v>
      </c>
      <c r="AE39" s="291">
        <f>'[1]January - 2021'!AM39</f>
        <v>0</v>
      </c>
      <c r="AF39" s="92">
        <f>'[1]January - 2021'!AM39</f>
        <v>0</v>
      </c>
      <c r="AG39" s="290">
        <f>'[1]January - 2021'!AO39</f>
        <v>0</v>
      </c>
      <c r="AH39" s="291">
        <f>'[1]January - 2021'!AP39</f>
        <v>0</v>
      </c>
      <c r="AI39" s="92">
        <f>'[1]January - 2021'!AP39</f>
        <v>0</v>
      </c>
      <c r="AJ39" s="290">
        <f>'[1]January - 2021'!AR39</f>
        <v>0</v>
      </c>
      <c r="AK39" s="291">
        <f>'[1]January - 2021'!AS39</f>
        <v>0</v>
      </c>
      <c r="AL39" s="92">
        <f>'[1]January - 2021'!AS39</f>
        <v>0</v>
      </c>
      <c r="AM39" s="290">
        <f>'[1]January - 2021'!AU39</f>
        <v>0</v>
      </c>
      <c r="AN39" s="291">
        <f>'[1]January - 2021'!AV39</f>
        <v>0</v>
      </c>
      <c r="AO39" s="92">
        <f>'[1]January - 2021'!AV39</f>
        <v>0</v>
      </c>
      <c r="AP39" s="290">
        <f>'[1]January - 2021'!AX39</f>
        <v>0</v>
      </c>
      <c r="AQ39" s="291">
        <f>'[1]January - 2021'!AY39</f>
        <v>0</v>
      </c>
      <c r="AR39" s="92">
        <f>'[1]January - 2021'!AY39</f>
        <v>0</v>
      </c>
      <c r="AS39" s="290">
        <f>'[1]January - 2021'!BA39</f>
        <v>0</v>
      </c>
      <c r="AT39" s="291">
        <f>'[1]January - 2021'!BB39</f>
        <v>0</v>
      </c>
      <c r="AU39" s="92">
        <f>'[1]January - 2021'!BB39</f>
        <v>0</v>
      </c>
      <c r="AV39" s="290">
        <f>'[1]January - 2021'!BD39</f>
        <v>0</v>
      </c>
      <c r="AW39" s="252">
        <f>'[1]January - 2021'!BE39</f>
        <v>0</v>
      </c>
      <c r="AX39" s="253">
        <f>'[1]January - 2021'!BE39</f>
        <v>0</v>
      </c>
      <c r="AY39" s="486"/>
      <c r="AZ39" s="272">
        <f>'[1]January - 2021'!BK39</f>
        <v>0</v>
      </c>
      <c r="BA39" s="179">
        <f>'[1]January - 2021'!BL39</f>
        <v>0</v>
      </c>
      <c r="BB39" s="93">
        <f>'[1]January - 2021'!BL39</f>
        <v>0</v>
      </c>
      <c r="BC39" s="272">
        <f>'[1]January - 2021'!BN39</f>
        <v>0</v>
      </c>
      <c r="BD39" s="245">
        <f>'[1]January - 2021'!BO39</f>
        <v>0</v>
      </c>
      <c r="BE39" s="93">
        <f>'[1]January - 2021'!BO39</f>
        <v>0</v>
      </c>
      <c r="BF39" s="272">
        <f>'[1]January - 2021'!BQ39</f>
        <v>0</v>
      </c>
      <c r="BG39" s="245">
        <f>'[1]January - 2021'!BR39</f>
        <v>0</v>
      </c>
      <c r="BH39" s="93">
        <f>'[1]January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- 2021'!BT39</f>
        <v>0</v>
      </c>
      <c r="BT39" s="185">
        <f>'[1]January - 2021'!BU39</f>
        <v>0</v>
      </c>
      <c r="BU39" s="394"/>
      <c r="BV39" s="88">
        <f>'[1]January - 2021'!BW39</f>
        <v>0</v>
      </c>
      <c r="BW39" s="241">
        <f>'[1]January - 2021'!BX39</f>
        <v>0</v>
      </c>
      <c r="BX39" s="88">
        <f>'[1]January - 2021'!BX39</f>
        <v>0</v>
      </c>
      <c r="BY39" s="89">
        <f>'[1]January - 2021'!BZ39</f>
        <v>0</v>
      </c>
      <c r="BZ39" s="191">
        <f>'[1]January - 2021'!CA39</f>
        <v>0</v>
      </c>
      <c r="CA39" s="89">
        <f>'[1]January - 2021'!CB39</f>
        <v>0</v>
      </c>
      <c r="CB39" s="191">
        <f>'[1]January - 2021'!CC39</f>
        <v>0</v>
      </c>
      <c r="CC39" s="89">
        <f>'[1]January - 2021'!CD39</f>
        <v>0</v>
      </c>
      <c r="CD39" s="191">
        <f>'[1]January - 2021'!CE39</f>
        <v>0</v>
      </c>
      <c r="CE39" s="89">
        <f>'[1]January - 2021'!CF39</f>
        <v>0</v>
      </c>
      <c r="CF39" s="191">
        <f>'[1]January - 2021'!CG39</f>
        <v>0</v>
      </c>
      <c r="CG39" s="89">
        <f>'[1]January - 2021'!CH39</f>
        <v>0</v>
      </c>
      <c r="CH39" s="191">
        <f>'[1]January - 2021'!CI39</f>
        <v>0</v>
      </c>
      <c r="CI39" s="89">
        <f>'[1]January - 2021'!CJ39</f>
        <v>0</v>
      </c>
      <c r="CJ39" s="191">
        <f>'[1]January - 2021'!CK39</f>
        <v>0</v>
      </c>
      <c r="CK39" s="89">
        <f>'[1]January - 2021'!CL39</f>
        <v>0</v>
      </c>
      <c r="CL39" s="246">
        <f>'[1]January - 2021'!CM39</f>
        <v>0</v>
      </c>
      <c r="CM39" s="89">
        <f>'[1]January - 2021'!CM39</f>
        <v>0</v>
      </c>
      <c r="CN39" s="89">
        <f>'[1]January - 2021'!CO39</f>
        <v>0</v>
      </c>
      <c r="CO39" s="246">
        <f>'[1]January - 2021'!CP39</f>
        <v>0</v>
      </c>
      <c r="CP39" s="89">
        <f>'[1]January - 2021'!CP39</f>
        <v>0</v>
      </c>
      <c r="CQ39" s="89">
        <f>'[1]January - 2021'!CR39</f>
        <v>0</v>
      </c>
      <c r="CR39" s="246">
        <f>'[1]January - 2021'!CS39</f>
        <v>0</v>
      </c>
      <c r="CS39" s="89">
        <f>'[1]January - 2021'!CS39</f>
        <v>0</v>
      </c>
      <c r="CT39" s="89">
        <f>'[1]January - 2021'!CU39</f>
        <v>0</v>
      </c>
      <c r="CU39" s="191">
        <f>'[1]January - 2021'!CV39</f>
        <v>0</v>
      </c>
      <c r="CV39" s="453"/>
      <c r="CW39" s="256">
        <f>'[1]January - 2021'!CX39</f>
        <v>0</v>
      </c>
      <c r="CX39" s="198">
        <f>'[1]January - 2021'!CY39</f>
        <v>0</v>
      </c>
      <c r="CY39" s="257">
        <f>'[1]January - 2021'!CZ39</f>
        <v>0</v>
      </c>
      <c r="CZ39" s="198">
        <f>'[1]January - 2021'!DA39</f>
        <v>0</v>
      </c>
      <c r="DA39" s="257">
        <f>'[1]January - 2021'!DB39</f>
        <v>0</v>
      </c>
      <c r="DB39" s="198">
        <f>'[1]January - 2021'!DC39</f>
        <v>0</v>
      </c>
      <c r="DC39" s="257">
        <f>'[1]January - 2021'!DD39</f>
        <v>0</v>
      </c>
      <c r="DD39" s="198">
        <f>'[1]January - 2021'!DE39</f>
        <v>0</v>
      </c>
      <c r="DE39" s="257">
        <f>'[1]January - 2021'!DF39</f>
        <v>0</v>
      </c>
      <c r="DF39" s="198">
        <f>'[1]January - 2021'!DG39</f>
        <v>0</v>
      </c>
      <c r="DG39" s="257">
        <f>'[1]January - 2021'!DH39</f>
        <v>0</v>
      </c>
      <c r="DH39" s="198">
        <f>'[1]January - 2021'!DI39</f>
        <v>0</v>
      </c>
      <c r="DI39" s="257">
        <f>'[1]January - 2021'!DJ39</f>
        <v>826</v>
      </c>
      <c r="DJ39" s="198">
        <f>'[1]January - 2021'!DK39</f>
        <v>0</v>
      </c>
      <c r="DK39" s="257">
        <f>'[1]January - 2021'!DL39</f>
        <v>0</v>
      </c>
      <c r="DL39" s="198">
        <f>'[1]January - 2021'!DM39</f>
        <v>0</v>
      </c>
      <c r="DM39" s="257">
        <f>'[1]January - 2021'!DN39</f>
        <v>0</v>
      </c>
      <c r="DN39" s="198">
        <f>'[1]January - 2021'!DO39</f>
        <v>0</v>
      </c>
      <c r="DO39" s="257">
        <f>'[1]January - 2021'!DP39</f>
        <v>0</v>
      </c>
      <c r="DP39" s="198">
        <f>'[1]January - 2021'!DQ39</f>
        <v>0</v>
      </c>
      <c r="DQ39" s="257">
        <f>'[1]January - 2021'!DR39</f>
        <v>0</v>
      </c>
      <c r="DR39" s="206">
        <f>'[1]January - 2021'!DS39</f>
        <v>0</v>
      </c>
      <c r="DS39" s="438"/>
      <c r="DT39" s="210">
        <f>'[1]January - 2021'!DU39</f>
        <v>0</v>
      </c>
      <c r="DU39" s="221">
        <f>'[1]January - 2021'!DV39</f>
        <v>0</v>
      </c>
      <c r="DV39" s="91">
        <f>'[1]January - 2021'!DW39</f>
        <v>0</v>
      </c>
      <c r="DW39" s="215">
        <f>'[1]January - 2021'!DX39</f>
        <v>0</v>
      </c>
      <c r="DX39" s="91">
        <f>'[1]January - 2021'!DY39</f>
        <v>0</v>
      </c>
      <c r="DY39" s="215">
        <f>'[1]January - 2021'!DZ39</f>
        <v>0</v>
      </c>
      <c r="DZ39" s="91">
        <f>'[1]January - 2021'!EA39</f>
        <v>0</v>
      </c>
      <c r="EA39" s="215">
        <f>'[1]January - 2021'!EB39</f>
        <v>0</v>
      </c>
      <c r="EB39" s="91">
        <f>'[1]January - 2021'!EC39</f>
        <v>0</v>
      </c>
      <c r="EC39" s="215">
        <f>'[1]January - 2021'!ED39</f>
        <v>0</v>
      </c>
      <c r="ED39" s="91">
        <f>'[1]January - 2021'!EG39</f>
        <v>0</v>
      </c>
      <c r="EE39" s="229">
        <f>'[1]January - 2021'!EH39</f>
        <v>0</v>
      </c>
      <c r="EF39" s="377"/>
      <c r="EG39" s="235">
        <f>'[1]January - 2021'!EJ39</f>
        <v>0</v>
      </c>
      <c r="EH39" s="230">
        <f>'[1]January - 2021'!EK39</f>
        <v>0</v>
      </c>
      <c r="EI39" s="90">
        <f>'[1]January - 2021'!EL39</f>
        <v>0</v>
      </c>
      <c r="EJ39" s="230">
        <f>'[1]January - 2021'!EM39</f>
        <v>0</v>
      </c>
      <c r="EK39" s="90">
        <f>'[1]January - 2021'!EN39</f>
        <v>0</v>
      </c>
      <c r="EL39" s="230">
        <f>'[1]January - 2021'!EO39</f>
        <v>0</v>
      </c>
      <c r="EM39" s="90">
        <f>'[1]January - 2021'!EP39</f>
        <v>0</v>
      </c>
      <c r="EN39" s="230">
        <f>'[1]January - 2021'!EQ39</f>
        <v>0</v>
      </c>
      <c r="EO39" s="90">
        <f>'[1]January - 2021'!ER39</f>
        <v>0</v>
      </c>
      <c r="EP39" s="230">
        <f>'[1]January - 2021'!ES39</f>
        <v>0</v>
      </c>
      <c r="EQ39" s="90">
        <f>'[1]January - 2021'!ET39</f>
        <v>0</v>
      </c>
      <c r="ER39" s="230">
        <f>'[1]January - 2021'!EU39</f>
        <v>0</v>
      </c>
      <c r="ES39" s="425"/>
      <c r="ET39" s="284">
        <f>'[1]January - 2021'!EW39</f>
        <v>0</v>
      </c>
      <c r="EU39" s="278">
        <f>'[1]January - 2021'!EX39</f>
        <v>0</v>
      </c>
      <c r="EV39" s="285">
        <f>'[1]January - 2021'!EY39</f>
        <v>0</v>
      </c>
      <c r="EW39" s="278">
        <f>'[1]January - 2021'!EZ39</f>
        <v>0</v>
      </c>
      <c r="EX39" s="285">
        <f>'[1]January - 2021'!FA39</f>
        <v>0</v>
      </c>
      <c r="EY39" s="278">
        <f>'[1]January - 2021'!FB39</f>
        <v>0</v>
      </c>
      <c r="EZ39" s="285">
        <f>'[1]January - 2021'!FC39</f>
        <v>0</v>
      </c>
      <c r="FA39" s="278">
        <f>'[1]January - 2021'!FD39</f>
        <v>0</v>
      </c>
      <c r="FB39" s="285">
        <f>'[1]January - 2021'!FE39</f>
        <v>0</v>
      </c>
      <c r="FC39" s="279">
        <f>'[1]January - 2021'!FF39</f>
        <v>0</v>
      </c>
    </row>
    <row r="40" spans="1:160" ht="30" customHeight="1" thickBot="1" x14ac:dyDescent="0.45">
      <c r="A40" s="207">
        <v>43861</v>
      </c>
      <c r="B40" s="298">
        <f>'[1]January - 2021'!B40</f>
        <v>0</v>
      </c>
      <c r="C40" s="250">
        <f>'[1]January - 2021'!E40</f>
        <v>0</v>
      </c>
      <c r="D40" s="170">
        <f>'[1]January - 2021'!F40</f>
        <v>0</v>
      </c>
      <c r="E40" s="168">
        <f>'[1]January - 2021'!G40</f>
        <v>559</v>
      </c>
      <c r="F40" s="168">
        <f>'[1]January - 2021'!H40</f>
        <v>0</v>
      </c>
      <c r="G40" s="170">
        <f>'[1]January - 2021'!I40</f>
        <v>0</v>
      </c>
      <c r="H40" s="168">
        <f>'[1]January - 2021'!J40</f>
        <v>462</v>
      </c>
      <c r="I40" s="168">
        <f>'[1]January - 2021'!K40</f>
        <v>0</v>
      </c>
      <c r="J40" s="170">
        <f>'[1]January - 2021'!L40</f>
        <v>0</v>
      </c>
      <c r="K40" s="168">
        <f>'[1]January - 2021'!N40</f>
        <v>0</v>
      </c>
      <c r="L40" s="170">
        <f>'[1]January - 2021'!O40</f>
        <v>0</v>
      </c>
      <c r="M40" s="168">
        <f>'[1]January - 2021'!Q40</f>
        <v>0</v>
      </c>
      <c r="N40" s="170">
        <f>'[1]January - 2021'!R40</f>
        <v>0</v>
      </c>
      <c r="O40" s="168">
        <f>'[1]January - 2021'!S40</f>
        <v>0</v>
      </c>
      <c r="P40" s="170">
        <f>'[1]January - 2021'!T40</f>
        <v>0</v>
      </c>
      <c r="Q40" s="168">
        <f>'[1]January - 2021'!U40</f>
        <v>109</v>
      </c>
      <c r="R40" s="168">
        <f>'[1]January - 2021'!V40</f>
        <v>0</v>
      </c>
      <c r="S40" s="208">
        <f>'[1]January - 2021'!W40</f>
        <v>0</v>
      </c>
      <c r="T40" s="287"/>
      <c r="U40" s="294">
        <f>'[1]January - 2021'!AC40</f>
        <v>0</v>
      </c>
      <c r="V40" s="295">
        <f>'[1]January - 2021'!AD40</f>
        <v>0</v>
      </c>
      <c r="W40" s="296">
        <f>'[1]January - 2021'!AD40</f>
        <v>0</v>
      </c>
      <c r="X40" s="297">
        <f>'[1]January - 2021'!AF40</f>
        <v>0</v>
      </c>
      <c r="Y40" s="295">
        <f>'[1]January - 2021'!AG40</f>
        <v>0</v>
      </c>
      <c r="Z40" s="296">
        <f>'[1]January - 2021'!AG40</f>
        <v>0</v>
      </c>
      <c r="AA40" s="297">
        <f>'[1]January - 2021'!AI40</f>
        <v>0</v>
      </c>
      <c r="AB40" s="295">
        <f>'[1]January - 2021'!AJ40</f>
        <v>0</v>
      </c>
      <c r="AC40" s="296">
        <f>'[1]January - 2021'!AJ40</f>
        <v>0</v>
      </c>
      <c r="AD40" s="297">
        <f>'[1]January - 2021'!AL40</f>
        <v>0</v>
      </c>
      <c r="AE40" s="295">
        <f>'[1]January - 2021'!AM40</f>
        <v>0</v>
      </c>
      <c r="AF40" s="296">
        <f>'[1]January - 2021'!AM40</f>
        <v>0</v>
      </c>
      <c r="AG40" s="297">
        <f>'[1]January - 2021'!AO40</f>
        <v>0</v>
      </c>
      <c r="AH40" s="295">
        <f>'[1]January - 2021'!AP40</f>
        <v>0</v>
      </c>
      <c r="AI40" s="296">
        <f>'[1]January - 2021'!AP40</f>
        <v>0</v>
      </c>
      <c r="AJ40" s="297">
        <f>'[1]January - 2021'!AR40</f>
        <v>0</v>
      </c>
      <c r="AK40" s="295">
        <f>'[1]January - 2021'!AS40</f>
        <v>0</v>
      </c>
      <c r="AL40" s="296">
        <f>'[1]January - 2021'!AS40</f>
        <v>0</v>
      </c>
      <c r="AM40" s="297">
        <f>'[1]January - 2021'!AU40</f>
        <v>0</v>
      </c>
      <c r="AN40" s="295">
        <f>'[1]January - 2021'!AV40</f>
        <v>0</v>
      </c>
      <c r="AO40" s="296">
        <f>'[1]January - 2021'!AV40</f>
        <v>0</v>
      </c>
      <c r="AP40" s="297">
        <f>'[1]January - 2021'!AX40</f>
        <v>0</v>
      </c>
      <c r="AQ40" s="295">
        <f>'[1]January - 2021'!AY40</f>
        <v>0</v>
      </c>
      <c r="AR40" s="296">
        <f>'[1]January - 2021'!AY40</f>
        <v>0</v>
      </c>
      <c r="AS40" s="297">
        <f>'[1]January - 2021'!BA40</f>
        <v>0</v>
      </c>
      <c r="AT40" s="295">
        <f>'[1]January - 2021'!BB40</f>
        <v>0</v>
      </c>
      <c r="AU40" s="296">
        <f>'[1]January - 2021'!BB40</f>
        <v>0</v>
      </c>
      <c r="AV40" s="297">
        <f>'[1]January - 2021'!BD40</f>
        <v>0</v>
      </c>
      <c r="AW40" s="252">
        <f>'[1]January - 2021'!BE40</f>
        <v>0</v>
      </c>
      <c r="AX40" s="253">
        <f>'[1]January - 2021'!BE40</f>
        <v>0</v>
      </c>
      <c r="AY40" s="288"/>
      <c r="AZ40" s="272">
        <f>'[1]January - 2021'!BK40</f>
        <v>0</v>
      </c>
      <c r="BA40" s="179">
        <f>'[1]January - 2021'!BL40</f>
        <v>0</v>
      </c>
      <c r="BB40" s="93">
        <f>'[1]January - 2021'!BL40</f>
        <v>0</v>
      </c>
      <c r="BC40" s="272">
        <f>'[1]January - 2021'!BN40</f>
        <v>0</v>
      </c>
      <c r="BD40" s="245">
        <f>'[1]January - 2021'!BO40</f>
        <v>0</v>
      </c>
      <c r="BE40" s="93">
        <f>'[1]January - 2021'!BO40</f>
        <v>0</v>
      </c>
      <c r="BF40" s="272">
        <f>'[1]January - 2021'!BQ40</f>
        <v>0</v>
      </c>
      <c r="BG40" s="245">
        <f>'[1]January - 2021'!BR40</f>
        <v>0</v>
      </c>
      <c r="BH40" s="93">
        <f>'[1]January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- 2021'!BT40</f>
        <v>0</v>
      </c>
      <c r="BT40" s="185">
        <f>'[1]January - 2021'!BU40</f>
        <v>0</v>
      </c>
      <c r="BU40" s="289"/>
      <c r="BV40" s="88">
        <f>'[1]January - 2021'!BW40</f>
        <v>0</v>
      </c>
      <c r="BW40" s="241">
        <f>'[1]January - 2021'!BX40</f>
        <v>0</v>
      </c>
      <c r="BX40" s="88">
        <f>'[1]January - 2021'!BX40</f>
        <v>0</v>
      </c>
      <c r="BY40" s="89">
        <f>'[1]January - 2021'!BZ40</f>
        <v>0</v>
      </c>
      <c r="BZ40" s="191">
        <f>'[1]January - 2021'!CA40</f>
        <v>0</v>
      </c>
      <c r="CA40" s="89">
        <f>'[1]January - 2021'!CB40</f>
        <v>0</v>
      </c>
      <c r="CB40" s="191">
        <f>'[1]January - 2021'!CC40</f>
        <v>0</v>
      </c>
      <c r="CC40" s="89">
        <f>'[1]January - 2021'!CD40</f>
        <v>0</v>
      </c>
      <c r="CD40" s="191">
        <f>'[1]January - 2021'!CE40</f>
        <v>0</v>
      </c>
      <c r="CE40" s="89">
        <f>'[1]January - 2021'!CF40</f>
        <v>0</v>
      </c>
      <c r="CF40" s="191">
        <f>'[1]January - 2021'!CG40</f>
        <v>0</v>
      </c>
      <c r="CG40" s="89">
        <f>'[1]January - 2021'!CH40</f>
        <v>0</v>
      </c>
      <c r="CH40" s="191">
        <f>'[1]January - 2021'!CI40</f>
        <v>0</v>
      </c>
      <c r="CI40" s="89">
        <f>'[1]January - 2021'!CJ40</f>
        <v>0</v>
      </c>
      <c r="CJ40" s="191">
        <f>'[1]January - 2021'!CK40</f>
        <v>0</v>
      </c>
      <c r="CK40" s="89">
        <f>'[1]January - 2021'!CL40</f>
        <v>0</v>
      </c>
      <c r="CL40" s="246">
        <f>'[1]January - 2021'!CM40</f>
        <v>0</v>
      </c>
      <c r="CM40" s="89">
        <f>'[1]January - 2021'!CM40</f>
        <v>0</v>
      </c>
      <c r="CN40" s="89">
        <f>'[1]January - 2021'!CO40</f>
        <v>0</v>
      </c>
      <c r="CO40" s="246">
        <f>'[1]January - 2021'!CP40</f>
        <v>0</v>
      </c>
      <c r="CP40" s="89">
        <f>'[1]January - 2021'!CP40</f>
        <v>0</v>
      </c>
      <c r="CQ40" s="89">
        <f>'[1]January - 2021'!CR40</f>
        <v>0</v>
      </c>
      <c r="CR40" s="246">
        <f>'[1]January - 2021'!CS40</f>
        <v>0</v>
      </c>
      <c r="CS40" s="89">
        <f>'[1]January - 2021'!CS40</f>
        <v>0</v>
      </c>
      <c r="CT40" s="89">
        <f>'[1]January - 2021'!CU40</f>
        <v>0</v>
      </c>
      <c r="CU40" s="191">
        <f>'[1]January - 2021'!CV40</f>
        <v>0</v>
      </c>
      <c r="CV40" s="453"/>
      <c r="CW40" s="256">
        <f>'[1]January - 2021'!CX40</f>
        <v>0</v>
      </c>
      <c r="CX40" s="198">
        <f>'[1]January - 2021'!CY40</f>
        <v>0</v>
      </c>
      <c r="CY40" s="257">
        <f>'[1]January - 2021'!CZ40</f>
        <v>0</v>
      </c>
      <c r="CZ40" s="198">
        <f>'[1]January - 2021'!DA40</f>
        <v>0</v>
      </c>
      <c r="DA40" s="257">
        <f>'[1]January - 2021'!DB40</f>
        <v>0</v>
      </c>
      <c r="DB40" s="198">
        <f>'[1]January - 2021'!DC40</f>
        <v>0</v>
      </c>
      <c r="DC40" s="257">
        <f>'[1]January - 2021'!DD40</f>
        <v>0</v>
      </c>
      <c r="DD40" s="198">
        <f>'[1]January - 2021'!DE40</f>
        <v>0</v>
      </c>
      <c r="DE40" s="257">
        <f>'[1]January - 2021'!DF40</f>
        <v>0</v>
      </c>
      <c r="DF40" s="198">
        <f>'[1]January - 2021'!DG40</f>
        <v>0</v>
      </c>
      <c r="DG40" s="257">
        <f>'[1]January - 2021'!DH40</f>
        <v>0</v>
      </c>
      <c r="DH40" s="198">
        <f>'[1]January - 2021'!DI40</f>
        <v>0</v>
      </c>
      <c r="DI40" s="257">
        <f>'[1]January - 2021'!DJ40</f>
        <v>826</v>
      </c>
      <c r="DJ40" s="198">
        <f>'[1]January - 2021'!DK40</f>
        <v>0</v>
      </c>
      <c r="DK40" s="257">
        <f>'[1]January - 2021'!DL40</f>
        <v>0</v>
      </c>
      <c r="DL40" s="198">
        <f>'[1]January - 2021'!DM40</f>
        <v>0</v>
      </c>
      <c r="DM40" s="257">
        <f>'[1]January - 2021'!DN40</f>
        <v>0</v>
      </c>
      <c r="DN40" s="198">
        <f>'[1]January - 2021'!DO40</f>
        <v>0</v>
      </c>
      <c r="DO40" s="257">
        <f>'[1]January - 2021'!DP40</f>
        <v>0</v>
      </c>
      <c r="DP40" s="198">
        <f>'[1]January - 2021'!DQ40</f>
        <v>0</v>
      </c>
      <c r="DQ40" s="257">
        <f>'[1]January - 2021'!DR40</f>
        <v>0</v>
      </c>
      <c r="DR40" s="206">
        <f>'[1]January - 2021'!DS40</f>
        <v>0</v>
      </c>
      <c r="DS40" s="438"/>
      <c r="DT40" s="210">
        <f>'[1]January - 2021'!DU40</f>
        <v>0</v>
      </c>
      <c r="DU40" s="221">
        <f>'[1]January - 2021'!DV40</f>
        <v>0</v>
      </c>
      <c r="DV40" s="91">
        <f>'[1]January - 2021'!DW40</f>
        <v>0</v>
      </c>
      <c r="DW40" s="215">
        <f>'[1]January - 2021'!DX40</f>
        <v>0</v>
      </c>
      <c r="DX40" s="91">
        <f>'[1]January - 2021'!DY40</f>
        <v>0</v>
      </c>
      <c r="DY40" s="215">
        <f>'[1]January - 2021'!DZ40</f>
        <v>0</v>
      </c>
      <c r="DZ40" s="91">
        <f>'[1]January - 2021'!EA40</f>
        <v>0</v>
      </c>
      <c r="EA40" s="215">
        <f>'[1]January - 2021'!EB40</f>
        <v>0</v>
      </c>
      <c r="EB40" s="91">
        <f>'[1]January - 2021'!EC40</f>
        <v>0</v>
      </c>
      <c r="EC40" s="215">
        <f>'[1]January - 2021'!ED40</f>
        <v>0</v>
      </c>
      <c r="ED40" s="91">
        <f>'[1]January - 2021'!EG40</f>
        <v>0</v>
      </c>
      <c r="EE40" s="229">
        <f>'[1]January - 2021'!EH40</f>
        <v>0</v>
      </c>
      <c r="EF40" s="377"/>
      <c r="EG40" s="235">
        <f>'[1]January - 2021'!EJ40</f>
        <v>0</v>
      </c>
      <c r="EH40" s="230">
        <f>'[1]January - 2021'!EK40</f>
        <v>0</v>
      </c>
      <c r="EI40" s="90">
        <f>'[1]January - 2021'!EL40</f>
        <v>0</v>
      </c>
      <c r="EJ40" s="230">
        <f>'[1]January - 2021'!EM40</f>
        <v>0</v>
      </c>
      <c r="EK40" s="90">
        <f>'[1]January - 2021'!EN40</f>
        <v>0</v>
      </c>
      <c r="EL40" s="230">
        <f>'[1]January - 2021'!EO40</f>
        <v>0</v>
      </c>
      <c r="EM40" s="90">
        <f>'[1]January - 2021'!EP40</f>
        <v>0</v>
      </c>
      <c r="EN40" s="230">
        <f>'[1]January - 2021'!EQ40</f>
        <v>0</v>
      </c>
      <c r="EO40" s="90">
        <f>'[1]January - 2021'!ER40</f>
        <v>0</v>
      </c>
      <c r="EP40" s="230">
        <f>'[1]January - 2021'!ES40</f>
        <v>0</v>
      </c>
      <c r="EQ40" s="90">
        <f>'[1]January - 2021'!ET40</f>
        <v>0</v>
      </c>
      <c r="ER40" s="230">
        <f>'[1]January - 2021'!EU40</f>
        <v>0</v>
      </c>
      <c r="ES40" s="427"/>
      <c r="ET40" s="284">
        <f>'[1]January - 2021'!EW40</f>
        <v>0</v>
      </c>
      <c r="EU40" s="278">
        <f>'[1]January - 2021'!EX40</f>
        <v>0</v>
      </c>
      <c r="EV40" s="285">
        <f>'[1]January - 2021'!EY40</f>
        <v>0</v>
      </c>
      <c r="EW40" s="278">
        <f>'[1]January - 2021'!EZ40</f>
        <v>0</v>
      </c>
      <c r="EX40" s="285">
        <f>'[1]January - 2021'!FA40</f>
        <v>0</v>
      </c>
      <c r="EY40" s="278">
        <f>'[1]January - 2021'!FB40</f>
        <v>0</v>
      </c>
      <c r="EZ40" s="285">
        <f>'[1]January - 2021'!FC40</f>
        <v>0</v>
      </c>
      <c r="FA40" s="278">
        <f>'[1]January - 2021'!FD40</f>
        <v>0</v>
      </c>
      <c r="FB40" s="285">
        <f>'[1]January - 2021'!FE40</f>
        <v>0</v>
      </c>
      <c r="FC40" s="279">
        <f>'[1]January - 2021'!FF40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8347</v>
      </c>
      <c r="D44" s="548"/>
      <c r="E44" s="549"/>
      <c r="F44" s="550">
        <f>SUM(H9:H24)</f>
        <v>7030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1080</v>
      </c>
      <c r="P44" s="551"/>
      <c r="Q44" s="552"/>
      <c r="R44" s="556"/>
      <c r="S44" s="557"/>
      <c r="T44" s="525"/>
      <c r="U44" s="362">
        <f>SUM(W9:W24)</f>
        <v>42288.959999999963</v>
      </c>
      <c r="V44" s="363"/>
      <c r="W44" s="364"/>
      <c r="X44" s="362">
        <f>SUM(Z9:Z24)</f>
        <v>67672.080000000075</v>
      </c>
      <c r="Y44" s="363"/>
      <c r="Z44" s="364"/>
      <c r="AA44" s="362">
        <f>SUM(AC9:AC24)</f>
        <v>44724.959999999031</v>
      </c>
      <c r="AB44" s="363"/>
      <c r="AC44" s="364"/>
      <c r="AD44" s="362">
        <f>SUM(AF9:AF24)</f>
        <v>49402.080000000075</v>
      </c>
      <c r="AE44" s="363"/>
      <c r="AF44" s="364"/>
      <c r="AG44" s="362">
        <f>SUM(AI9:AI24)</f>
        <v>8867.0400000009686</v>
      </c>
      <c r="AH44" s="363"/>
      <c r="AI44" s="364"/>
      <c r="AJ44" s="362">
        <f>SUM(AL9:AL24)</f>
        <v>80777.759999999776</v>
      </c>
      <c r="AK44" s="363"/>
      <c r="AL44" s="364"/>
      <c r="AM44" s="362">
        <f>SUM(AO9:AO24)</f>
        <v>59243.519999999553</v>
      </c>
      <c r="AN44" s="363"/>
      <c r="AO44" s="364"/>
      <c r="AP44" s="362">
        <f>SUM(AR9:AR24)</f>
        <v>60169.199999999255</v>
      </c>
      <c r="AQ44" s="363"/>
      <c r="AR44" s="364"/>
      <c r="AS44" s="362">
        <f>SUM(AU9:AU24)</f>
        <v>47648.160000000149</v>
      </c>
      <c r="AT44" s="363"/>
      <c r="AU44" s="364"/>
      <c r="AV44" s="362">
        <f>SUM(AX9:AX24)</f>
        <v>84285.599999999627</v>
      </c>
      <c r="AW44" s="363"/>
      <c r="AX44" s="363"/>
      <c r="AY44" s="584"/>
      <c r="AZ44" s="363">
        <f>SUM(BB9:BB24)</f>
        <v>230400</v>
      </c>
      <c r="BA44" s="363"/>
      <c r="BB44" s="363"/>
      <c r="BC44" s="362">
        <f>SUM(BE9:BE24)</f>
        <v>202600</v>
      </c>
      <c r="BD44" s="363"/>
      <c r="BE44" s="363"/>
      <c r="BF44" s="357">
        <f>SUM(BH9:BH24)</f>
        <v>40800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1348</v>
      </c>
      <c r="CL44" s="357"/>
      <c r="CM44" s="357"/>
      <c r="CN44" s="357">
        <f>SUM(CP9:CP24)</f>
        <v>1512</v>
      </c>
      <c r="CO44" s="357"/>
      <c r="CP44" s="357"/>
      <c r="CQ44" s="357">
        <f>SUM(CS9:CS24)</f>
        <v>6396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7743</v>
      </c>
      <c r="D45" s="359"/>
      <c r="E45" s="360"/>
      <c r="F45" s="359">
        <f>SUM(G9:G24)</f>
        <v>6720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475</v>
      </c>
      <c r="P45" s="359"/>
      <c r="Q45" s="360"/>
      <c r="R45" s="365"/>
      <c r="S45" s="366"/>
      <c r="T45" s="526"/>
      <c r="U45" s="350">
        <f>SUM(V9:V24)</f>
        <v>42288.959999999963</v>
      </c>
      <c r="V45" s="350"/>
      <c r="W45" s="351"/>
      <c r="X45" s="350">
        <f>SUM(Y9:Y24)</f>
        <v>67672.080000000075</v>
      </c>
      <c r="Y45" s="350"/>
      <c r="Z45" s="351"/>
      <c r="AA45" s="350">
        <f>SUM(AB9:AB24)</f>
        <v>44724.959999999031</v>
      </c>
      <c r="AB45" s="350"/>
      <c r="AC45" s="351"/>
      <c r="AD45" s="350">
        <f>SUM(AE9:AE24)</f>
        <v>49402.080000000075</v>
      </c>
      <c r="AE45" s="350"/>
      <c r="AF45" s="351"/>
      <c r="AG45" s="350">
        <f>SUM(AH9:AH24)</f>
        <v>8867.0400000009686</v>
      </c>
      <c r="AH45" s="350"/>
      <c r="AI45" s="351"/>
      <c r="AJ45" s="350">
        <f>SUM(AK9:AK24)</f>
        <v>80777.759999999776</v>
      </c>
      <c r="AK45" s="350"/>
      <c r="AL45" s="351"/>
      <c r="AM45" s="350">
        <f>SUM(AN9:AN24)</f>
        <v>59243.519999999553</v>
      </c>
      <c r="AN45" s="350"/>
      <c r="AO45" s="351"/>
      <c r="AP45" s="350">
        <f>SUM(AQ9:AQ24)</f>
        <v>60169.199999999255</v>
      </c>
      <c r="AQ45" s="350"/>
      <c r="AR45" s="351"/>
      <c r="AS45" s="350">
        <f>SUM(AT9:AT24)</f>
        <v>47648.160000000149</v>
      </c>
      <c r="AT45" s="350"/>
      <c r="AU45" s="351"/>
      <c r="AV45" s="350">
        <f>SUM(AW9:AW24)</f>
        <v>84285.599999999627</v>
      </c>
      <c r="AW45" s="350"/>
      <c r="AX45" s="350"/>
      <c r="AY45" s="584"/>
      <c r="AZ45" s="351">
        <f>SUM(BA9:BA24)</f>
        <v>230400</v>
      </c>
      <c r="BA45" s="357"/>
      <c r="BB45" s="357"/>
      <c r="BC45" s="357">
        <f>SUM(BD9:BD24)</f>
        <v>202600</v>
      </c>
      <c r="BD45" s="357"/>
      <c r="BE45" s="357"/>
      <c r="BF45" s="357">
        <f>SUM(BG9:BG24)</f>
        <v>40800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1348</v>
      </c>
      <c r="CL45" s="357"/>
      <c r="CM45" s="357"/>
      <c r="CN45" s="357">
        <f>SUM(CO9:CO24)</f>
        <v>1512</v>
      </c>
      <c r="CO45" s="357"/>
      <c r="CP45" s="357"/>
      <c r="CQ45" s="357">
        <f>SUM(CR9:CR24)</f>
        <v>6396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16029</v>
      </c>
      <c r="D47" s="576"/>
      <c r="E47" s="577"/>
      <c r="F47" s="575">
        <f>SUM(H9:H39)</f>
        <v>13638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1982</v>
      </c>
      <c r="P47" s="578"/>
      <c r="Q47" s="578"/>
      <c r="R47" s="575">
        <v>476</v>
      </c>
      <c r="S47" s="576"/>
      <c r="T47" s="585"/>
      <c r="U47" s="349">
        <f>SUM(W9:W39)</f>
        <v>-6234552.2400000002</v>
      </c>
      <c r="V47" s="350"/>
      <c r="W47" s="351"/>
      <c r="X47" s="349">
        <f>SUM(Z9:Z39)</f>
        <v>-12185797.68</v>
      </c>
      <c r="Y47" s="350"/>
      <c r="Z47" s="351"/>
      <c r="AA47" s="349">
        <f>SUM(AC9:AC39)</f>
        <v>-11532608.640000001</v>
      </c>
      <c r="AB47" s="350"/>
      <c r="AC47" s="351"/>
      <c r="AD47" s="349">
        <f>SUM(AF9:AF39)</f>
        <v>-14839673.52</v>
      </c>
      <c r="AE47" s="350"/>
      <c r="AF47" s="351"/>
      <c r="AG47" s="349">
        <f>SUM(AI9:AI39)</f>
        <v>-15009024.24</v>
      </c>
      <c r="AH47" s="350"/>
      <c r="AI47" s="351"/>
      <c r="AJ47" s="349">
        <f>SUM(AL9:AL39)</f>
        <v>-13656557.039999999</v>
      </c>
      <c r="AK47" s="350"/>
      <c r="AL47" s="351"/>
      <c r="AM47" s="349">
        <f>SUM(AO9:AO39)</f>
        <v>-11688074.16</v>
      </c>
      <c r="AN47" s="350"/>
      <c r="AO47" s="351"/>
      <c r="AP47" s="349">
        <f>SUM(AR9:AR39)</f>
        <v>-11285939.280000001</v>
      </c>
      <c r="AQ47" s="350"/>
      <c r="AR47" s="351"/>
      <c r="AS47" s="349">
        <f>SUM(AU9:AU39)</f>
        <v>-9033126.4800000004</v>
      </c>
      <c r="AT47" s="350"/>
      <c r="AU47" s="351"/>
      <c r="AV47" s="349">
        <f>SUM(AX9:AX39)</f>
        <v>-13648566.959999999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-201708</v>
      </c>
      <c r="CL47" s="350"/>
      <c r="CM47" s="351"/>
      <c r="CN47" s="349">
        <f>SUM(CP9:CP39)</f>
        <v>-149867</v>
      </c>
      <c r="CO47" s="350"/>
      <c r="CP47" s="351"/>
      <c r="CQ47" s="349">
        <f>SUM(CS9:CS39)</f>
        <v>-277004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-700362</v>
      </c>
      <c r="D48" s="576"/>
      <c r="E48" s="577"/>
      <c r="F48" s="575">
        <f>SUM(G9:G39)</f>
        <v>-802507</v>
      </c>
      <c r="G48" s="576"/>
      <c r="H48" s="577"/>
      <c r="I48" s="575">
        <f>SUM(J10:J39)</f>
        <v>-105206</v>
      </c>
      <c r="J48" s="577"/>
      <c r="K48" s="575">
        <f>SUM(L9:L39)</f>
        <v>-714973</v>
      </c>
      <c r="L48" s="577"/>
      <c r="M48" s="575"/>
      <c r="N48" s="577"/>
      <c r="O48" s="575">
        <f>SUM(P9:P39)</f>
        <v>-141282</v>
      </c>
      <c r="P48" s="576"/>
      <c r="Q48" s="577"/>
      <c r="R48" s="575">
        <f>SUM(S9:S39)</f>
        <v>113</v>
      </c>
      <c r="S48" s="576"/>
      <c r="T48" s="585"/>
      <c r="U48" s="586">
        <f>SUM(V9:V39)</f>
        <v>-6234552.2400000002</v>
      </c>
      <c r="V48" s="587"/>
      <c r="W48" s="588"/>
      <c r="X48" s="586">
        <f>SUM(Y9:Y39)</f>
        <v>-12185797.68</v>
      </c>
      <c r="Y48" s="587"/>
      <c r="Z48" s="588"/>
      <c r="AA48" s="339">
        <f>SUM(AB9:AB39)</f>
        <v>-11532608.640000001</v>
      </c>
      <c r="AB48" s="340"/>
      <c r="AC48" s="341"/>
      <c r="AD48" s="339">
        <f>SUM(AE9:AE39)</f>
        <v>-14839673.52</v>
      </c>
      <c r="AE48" s="340"/>
      <c r="AF48" s="341"/>
      <c r="AG48" s="339">
        <f>SUM(AH9:AH39)</f>
        <v>-15009024.24</v>
      </c>
      <c r="AH48" s="340"/>
      <c r="AI48" s="341"/>
      <c r="AJ48" s="339">
        <f>SUM(AK9:AK39)</f>
        <v>-13656557.039999999</v>
      </c>
      <c r="AK48" s="340"/>
      <c r="AL48" s="341"/>
      <c r="AM48" s="339">
        <f>SUM(AN9:AN39)</f>
        <v>-11688074.16</v>
      </c>
      <c r="AN48" s="340"/>
      <c r="AO48" s="341"/>
      <c r="AP48" s="339">
        <f>SUM(AQ9:AQ39)</f>
        <v>-11285939.280000001</v>
      </c>
      <c r="AQ48" s="340"/>
      <c r="AR48" s="341"/>
      <c r="AS48" s="339">
        <f>SUM(AT9:AT39)</f>
        <v>-9033126.4800000004</v>
      </c>
      <c r="AT48" s="340"/>
      <c r="AU48" s="341"/>
      <c r="AV48" s="339">
        <f>SUM(AW9:AW39)</f>
        <v>-13648566.959999999</v>
      </c>
      <c r="AW48" s="340"/>
      <c r="AX48" s="340"/>
      <c r="AY48" s="584"/>
      <c r="AZ48" s="335">
        <f>SUM(BA9:BA40)</f>
        <v>-57638300</v>
      </c>
      <c r="BA48" s="335"/>
      <c r="BB48" s="336"/>
      <c r="BC48" s="335">
        <f t="shared" ref="BC48" si="0">SUM(BD9:BD40)</f>
        <v>-61713100</v>
      </c>
      <c r="BD48" s="335"/>
      <c r="BE48" s="336"/>
      <c r="BF48" s="335">
        <f t="shared" ref="BF48" si="1">SUM(BG9:BG40)</f>
        <v>-55604100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-5615110</v>
      </c>
      <c r="BT48" s="342"/>
      <c r="BU48" s="565"/>
      <c r="BV48" s="352"/>
      <c r="BW48" s="353"/>
      <c r="BX48" s="117"/>
      <c r="BY48" s="347">
        <f>SUM(BZ9:BZ39)</f>
        <v>-51069</v>
      </c>
      <c r="BZ48" s="348"/>
      <c r="CA48" s="347">
        <f>SUM(CB9:CB39)</f>
        <v>-43018</v>
      </c>
      <c r="CB48" s="348"/>
      <c r="CC48" s="347">
        <f>SUM(CD9:CD39)</f>
        <v>-14750</v>
      </c>
      <c r="CD48" s="348"/>
      <c r="CE48" s="347">
        <f>SUM(CF9:CF39)</f>
        <v>-18706</v>
      </c>
      <c r="CF48" s="348"/>
      <c r="CG48" s="347">
        <f>SUM(CH9:CH39)</f>
        <v>-20194</v>
      </c>
      <c r="CH48" s="348"/>
      <c r="CI48" s="347">
        <f>SUM(CJ9:CJ39)</f>
        <v>-45946</v>
      </c>
      <c r="CJ48" s="348"/>
      <c r="CK48" s="347">
        <f>SUM(CL9:CL39)</f>
        <v>-201708</v>
      </c>
      <c r="CL48" s="354"/>
      <c r="CM48" s="348"/>
      <c r="CN48" s="347">
        <f>SUM(CO9:CO39)</f>
        <v>-149867</v>
      </c>
      <c r="CO48" s="354"/>
      <c r="CP48" s="348"/>
      <c r="CQ48" s="347">
        <f>SUM(CR9:CR39)</f>
        <v>-277004</v>
      </c>
      <c r="CR48" s="354"/>
      <c r="CS48" s="348"/>
      <c r="CT48" s="347">
        <f>SUM(CU9:CU39)</f>
        <v>-536154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716391</v>
      </c>
      <c r="D49" s="303"/>
      <c r="E49" s="304"/>
      <c r="F49" s="302">
        <f>F47-F48</f>
        <v>816145</v>
      </c>
      <c r="G49" s="303"/>
      <c r="H49" s="304"/>
      <c r="I49" s="302">
        <f>I47-I48</f>
        <v>112254.9</v>
      </c>
      <c r="J49" s="304"/>
      <c r="K49" s="302">
        <f>K47-K48</f>
        <v>722675.19999999995</v>
      </c>
      <c r="L49" s="304"/>
      <c r="M49" s="302"/>
      <c r="N49" s="304"/>
      <c r="O49" s="589">
        <f>O47-O48</f>
        <v>143264</v>
      </c>
      <c r="P49" s="589"/>
      <c r="Q49" s="589"/>
      <c r="R49" s="302">
        <f>R47-R48</f>
        <v>363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-57985600</v>
      </c>
      <c r="BA49" s="335"/>
      <c r="BB49" s="336"/>
      <c r="BC49" s="335">
        <f t="shared" ref="BC49" si="2">BC48-BC47</f>
        <v>-62074200</v>
      </c>
      <c r="BD49" s="335"/>
      <c r="BE49" s="336"/>
      <c r="BF49" s="335">
        <f t="shared" ref="BF49" si="3">BF48-BF47</f>
        <v>-56162942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540048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-119113920.23999999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-119113920.23999999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545079.35999999847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545079.35999999847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-174955500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2021-01-24T06:22:16Z</dcterms:modified>
</cp:coreProperties>
</file>