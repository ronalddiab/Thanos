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0" documentId="8_{6D16974C-082E-477F-B62D-59ED7DEA208A}" xr6:coauthVersionLast="46" xr6:coauthVersionMax="46" xr10:uidLastSave="{00000000-0000-0000-0000-000000000000}"/>
  <bookViews>
    <workbookView xWindow="-120" yWindow="-120" windowWidth="15600" windowHeight="11760" tabRatio="598" firstSheet="3" activeTab="4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Gas!$A$1:$AF$32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L15" i="8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4" i="4"/>
  <c r="Q6" i="4"/>
  <c r="O6" i="4"/>
  <c r="O34" i="4" s="1"/>
  <c r="M6" i="4"/>
  <c r="M34" i="4"/>
  <c r="K6" i="4"/>
  <c r="K29" i="9"/>
  <c r="C23" i="5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C24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C25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C26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C27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C28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C29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C30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C31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H33" i="4"/>
  <c r="I29" i="8" s="1"/>
  <c r="D33" i="4"/>
  <c r="W29" i="8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I12" i="5"/>
  <c r="M10" i="8"/>
  <c r="G4" i="5"/>
  <c r="L2" i="8"/>
  <c r="U29" i="8"/>
  <c r="X29" i="8"/>
  <c r="N29" i="8"/>
  <c r="M29" i="8"/>
  <c r="D6" i="4"/>
  <c r="F33" i="4"/>
  <c r="H29" i="8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" i="9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AA4" i="5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W4" i="5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U4" i="5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S4" i="5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4" i="5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O4" i="5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M4" i="5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K4" i="5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I4" i="5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E4" i="5"/>
  <c r="J26" i="8"/>
  <c r="C22" i="5"/>
  <c r="J20" i="8"/>
  <c r="C21" i="5"/>
  <c r="J19" i="8"/>
  <c r="C20" i="5"/>
  <c r="J18" i="8"/>
  <c r="C19" i="5"/>
  <c r="C18" i="5"/>
  <c r="C17" i="5"/>
  <c r="J15" i="8"/>
  <c r="C16" i="5"/>
  <c r="J14" i="8"/>
  <c r="C15" i="5"/>
  <c r="J13" i="8"/>
  <c r="C14" i="5"/>
  <c r="C13" i="5"/>
  <c r="J11" i="8"/>
  <c r="C12" i="5"/>
  <c r="J10" i="8"/>
  <c r="C11" i="5"/>
  <c r="J9" i="8"/>
  <c r="C10" i="5"/>
  <c r="J8" i="8"/>
  <c r="C9" i="5"/>
  <c r="J7" i="8"/>
  <c r="C8" i="5"/>
  <c r="J6" i="8"/>
  <c r="C7" i="5"/>
  <c r="C6" i="5"/>
  <c r="J4" i="8"/>
  <c r="C5" i="5"/>
  <c r="J3" i="8"/>
  <c r="C4" i="5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C5" i="3"/>
  <c r="C6" i="3"/>
  <c r="E3" i="8"/>
  <c r="C7" i="3"/>
  <c r="E4" i="8"/>
  <c r="I4" i="9"/>
  <c r="C8" i="3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O25" i="8"/>
  <c r="N13" i="8"/>
  <c r="K2" i="8"/>
  <c r="M15" i="8"/>
  <c r="E2" i="8"/>
  <c r="I2" i="9"/>
  <c r="W12" i="8"/>
  <c r="F22" i="8"/>
  <c r="F18" i="8"/>
  <c r="F5" i="8"/>
  <c r="E7" i="8"/>
  <c r="T10" i="8"/>
  <c r="R25" i="8"/>
  <c r="R27" i="8"/>
  <c r="T19" i="8"/>
  <c r="R9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4" i="4"/>
  <c r="I27" i="4"/>
  <c r="F2" i="8"/>
  <c r="Q34" i="4"/>
  <c r="I7" i="4"/>
  <c r="I30" i="4"/>
  <c r="I32" i="4"/>
  <c r="I27" i="9"/>
  <c r="F4" i="8"/>
  <c r="I11" i="9"/>
  <c r="AD14" i="5"/>
  <c r="AD21" i="5"/>
  <c r="AD12" i="5"/>
  <c r="AD7" i="5"/>
  <c r="I15" i="9"/>
  <c r="I12" i="9"/>
  <c r="I8" i="9"/>
  <c r="C33" i="3"/>
  <c r="I20" i="4"/>
  <c r="I2" i="8"/>
  <c r="I19" i="4"/>
  <c r="I8" i="4"/>
  <c r="I23" i="4"/>
  <c r="E33" i="3"/>
  <c r="I7" i="9"/>
  <c r="I23" i="9"/>
  <c r="I16" i="9"/>
  <c r="I19" i="9"/>
  <c r="I3" i="9"/>
  <c r="AD20" i="5"/>
  <c r="AD30" i="5"/>
  <c r="AD25" i="5"/>
  <c r="R23" i="8"/>
  <c r="G23" i="9"/>
  <c r="AD15" i="5"/>
  <c r="AD6" i="5"/>
  <c r="AD27" i="5"/>
  <c r="AD29" i="5"/>
  <c r="AD23" i="5"/>
  <c r="AD28" i="5"/>
  <c r="AD18" i="5"/>
  <c r="G24" i="9"/>
  <c r="AD26" i="5"/>
  <c r="AD8" i="5"/>
  <c r="G27" i="9"/>
  <c r="G25" i="9"/>
  <c r="G22" i="9"/>
  <c r="AD4" i="5"/>
  <c r="AD9" i="5"/>
  <c r="G9" i="9"/>
  <c r="M21" i="8"/>
  <c r="G21" i="9"/>
  <c r="G26" i="9"/>
  <c r="AD10" i="5"/>
  <c r="G4" i="9"/>
  <c r="G15" i="9"/>
  <c r="AD17" i="5"/>
  <c r="G18" i="9"/>
  <c r="AD31" i="5"/>
  <c r="G8" i="9"/>
  <c r="AD16" i="5"/>
  <c r="AD24" i="5"/>
  <c r="AD19" i="5"/>
  <c r="G17" i="9"/>
  <c r="AD13" i="5"/>
  <c r="G2" i="9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4" i="4"/>
  <c r="W34" i="4"/>
  <c r="I10" i="4"/>
  <c r="E2" i="9"/>
  <c r="I25" i="4"/>
  <c r="I24" i="4"/>
  <c r="F34" i="4"/>
  <c r="I15" i="4"/>
  <c r="I18" i="4"/>
  <c r="G2" i="8"/>
  <c r="I13" i="4"/>
  <c r="D34" i="4"/>
  <c r="I17" i="4"/>
  <c r="I14" i="4"/>
  <c r="I9" i="4"/>
  <c r="I22" i="4"/>
  <c r="G19" i="9"/>
  <c r="G20" i="9"/>
  <c r="H34" i="4"/>
  <c r="J12" i="8"/>
  <c r="G12" i="9"/>
  <c r="I34" i="4"/>
  <c r="E28" i="9" l="1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I28" i="4"/>
  <c r="I33" i="4"/>
</calcChain>
</file>

<file path=xl/sharedStrings.xml><?xml version="1.0" encoding="utf-8"?>
<sst xmlns="http://schemas.openxmlformats.org/spreadsheetml/2006/main" count="181" uniqueCount="75">
  <si>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</si>
  <si>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</si>
  <si>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</si>
  <si>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</si>
  <si>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</si>
  <si>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</si>
  <si>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</si>
  <si>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</si>
  <si>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</si>
  <si>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</si>
  <si>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</si>
  <si>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</si>
  <si>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</si>
  <si>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</si>
  <si>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</si>
  <si>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</si>
  <si>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</si>
  <si>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</si>
  <si>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</si>
  <si>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</si>
  <si>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</si>
  <si>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</si>
  <si>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</si>
  <si>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</si>
  <si>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</si>
  <si>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</si>
  <si>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</si>
  <si>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</si>
  <si>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</si>
  <si>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</si>
  <si>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</si>
  <si>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</si>
  <si>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FEB 2021</t>
  </si>
  <si>
    <t>Main Reading</t>
  </si>
  <si>
    <t>Cons.</t>
  </si>
  <si>
    <t>Beach Water</t>
  </si>
  <si>
    <t>Last</t>
  </si>
  <si>
    <t>Total</t>
  </si>
  <si>
    <t>Feeders and transformers Electrity cons.  FEB 21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</si>
  <si>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</si>
  <si>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</si>
  <si>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</si>
  <si>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</si>
  <si>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</si>
  <si>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</si>
  <si>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</si>
  <si>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</si>
  <si>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</si>
  <si>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</si>
  <si>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</si>
  <si>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</si>
  <si>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</si>
  <si>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</si>
  <si>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</si>
  <si>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</si>
  <si>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</si>
  <si>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Gas Con.FEB 2021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</si>
  <si>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</si>
  <si>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</si>
  <si>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</si>
  <si>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</si>
  <si>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</si>
  <si>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</si>
  <si>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</si>
  <si>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</si>
  <si>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</si>
  <si>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</si>
  <si>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</si>
  <si>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</si>
  <si>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</si>
  <si>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</si>
  <si>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</si>
  <si>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</si>
  <si>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</si>
  <si>
    <t>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</si>
</sst>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sz val="20"/>
      <color indexed="8"/>
      <name val="Arial"/>
      <family val="2"/>
    </font>
    <font>
      <b/>
      <sz val="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28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2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31" fillId="10" borderId="53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29" xfId="2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3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8" fillId="11" borderId="36" xfId="2" applyFont="1" applyFill="1" applyBorder="1" applyAlignment="1">
      <alignment horizontal="center" vertical="center"/>
    </xf>
    <xf numFmtId="0" fontId="32" fillId="11" borderId="37" xfId="2" applyFont="1" applyFill="1" applyBorder="1" applyAlignment="1">
      <alignment horizontal="center" vertical="center"/>
    </xf>
    <xf numFmtId="0" fontId="32" fillId="11" borderId="38" xfId="2" applyFont="1" applyFill="1" applyBorder="1" applyAlignment="1">
      <alignment horizontal="center" vertical="center"/>
    </xf>
    <xf numFmtId="0" fontId="33" fillId="11" borderId="34" xfId="2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8" fillId="11" borderId="43" xfId="2" applyFont="1" applyFill="1" applyBorder="1" applyAlignment="1">
      <alignment horizontal="center" vertical="center"/>
    </xf>
    <xf numFmtId="0" fontId="8" fillId="11" borderId="44" xfId="2" applyFont="1" applyFill="1" applyBorder="1" applyAlignment="1">
      <alignment horizontal="center" vertical="center"/>
    </xf>
    <xf numFmtId="0" fontId="8" fillId="11" borderId="45" xfId="2" applyFont="1" applyFill="1" applyBorder="1" applyAlignment="1">
      <alignment horizontal="center" vertical="center"/>
    </xf>
    <xf numFmtId="0" fontId="8" fillId="11" borderId="46" xfId="2" applyFont="1" applyFill="1" applyBorder="1" applyAlignment="1">
      <alignment horizontal="center" vertical="center"/>
    </xf>
    <xf numFmtId="0" fontId="10" fillId="8" borderId="27" xfId="5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8" borderId="27" xfId="0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6" fillId="4" borderId="27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4" fillId="11" borderId="51" xfId="2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7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49" xfId="0" applyFont="1" applyBorder="1" applyAlignment="1">
      <alignment horizontal="center"/>
    </xf>
    <xf numFmtId="164" fontId="5" fillId="0" borderId="47" xfId="0" applyNumberFormat="1" applyFont="1" applyBorder="1" applyAlignment="1">
      <alignment horizontal="center" vertical="center"/>
    </xf>
    <xf numFmtId="164" fontId="5" fillId="0" borderId="48" xfId="0" applyNumberFormat="1" applyFont="1" applyBorder="1" applyAlignment="1">
      <alignment horizontal="center" vertical="center"/>
    </xf>
    <xf numFmtId="164" fontId="5" fillId="0" borderId="49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68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9"/>
  <sheetViews>
    <sheetView zoomScale="85" zoomScaleNormal="85" workbookViewId="0">
      <selection activeCell="C11" sqref="C11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2</v>
      </c>
      <c r="D2" s="14">
        <v>2021</v>
      </c>
      <c r="E2" s="7">
        <f>ELECT.!D6+ELECT.!F6+ELECT.!H6</f>
        <v>16561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1562</v>
      </c>
      <c r="H2" s="20">
        <v>3.6</v>
      </c>
      <c r="I2" s="7">
        <f>Submetering!E2+Water!E5</f>
        <v>189</v>
      </c>
      <c r="J2" s="20">
        <v>9.1</v>
      </c>
      <c r="K2" s="7">
        <f>ELECT.!B6</f>
        <v>77</v>
      </c>
    </row>
    <row r="3" spans="1:11">
      <c r="A3" s="11" t="s">
        <v>11</v>
      </c>
      <c r="B3" s="14">
        <f>B2+1</f>
        <v>2</v>
      </c>
      <c r="C3" s="14">
        <v>2</v>
      </c>
      <c r="D3" s="14">
        <v>2021</v>
      </c>
      <c r="E3" s="7">
        <f>ELECT.!D7+ELECT.!F7+ELECT.!H7</f>
        <v>16109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1468</v>
      </c>
      <c r="H3" s="20">
        <v>3.6</v>
      </c>
      <c r="I3" s="7">
        <f>Submetering!E3+Water!E6</f>
        <v>185</v>
      </c>
      <c r="J3" s="20">
        <v>9.1</v>
      </c>
      <c r="K3" s="7">
        <f>ELECT.!B7</f>
        <v>39</v>
      </c>
    </row>
    <row r="4" spans="1:11">
      <c r="A4" s="11" t="s">
        <v>11</v>
      </c>
      <c r="B4" s="14">
        <f t="shared" ref="B4:B29" si="0">B3+1</f>
        <v>3</v>
      </c>
      <c r="C4" s="14">
        <v>2</v>
      </c>
      <c r="D4" s="14">
        <v>2021</v>
      </c>
      <c r="E4" s="7">
        <f>ELECT.!D8+ELECT.!F8+ELECT.!H8</f>
        <v>16938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1651</v>
      </c>
      <c r="H4" s="20">
        <v>3.6</v>
      </c>
      <c r="I4" s="7">
        <f>Submetering!E4+Water!E7</f>
        <v>195</v>
      </c>
      <c r="J4" s="20">
        <v>9.1</v>
      </c>
      <c r="K4" s="7">
        <f>ELECT.!B8</f>
        <v>30</v>
      </c>
    </row>
    <row r="5" spans="1:11">
      <c r="A5" s="11" t="s">
        <v>11</v>
      </c>
      <c r="B5" s="14">
        <f t="shared" si="0"/>
        <v>4</v>
      </c>
      <c r="C5" s="14">
        <v>2</v>
      </c>
      <c r="D5" s="14">
        <v>2021</v>
      </c>
      <c r="E5" s="7">
        <f>ELECT.!D9+ELECT.!F9+ELECT.!H9</f>
        <v>15678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1766</v>
      </c>
      <c r="H5" s="20">
        <v>3.6</v>
      </c>
      <c r="I5" s="7">
        <f>Submetering!E5+Water!E8</f>
        <v>219</v>
      </c>
      <c r="J5" s="20">
        <v>9.1</v>
      </c>
      <c r="K5" s="7">
        <f>ELECT.!B9</f>
        <v>37</v>
      </c>
    </row>
    <row r="6" spans="1:11">
      <c r="A6" s="11" t="s">
        <v>11</v>
      </c>
      <c r="B6" s="14">
        <f t="shared" si="0"/>
        <v>5</v>
      </c>
      <c r="C6" s="14">
        <v>2</v>
      </c>
      <c r="D6" s="14">
        <v>2021</v>
      </c>
      <c r="E6" s="7">
        <f>ELECT.!D10+ELECT.!F10+ELECT.!H10</f>
        <v>18784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1900</v>
      </c>
      <c r="H6" s="20">
        <v>3.6</v>
      </c>
      <c r="I6" s="7">
        <f>Submetering!E6+Water!E9</f>
        <v>215</v>
      </c>
      <c r="J6" s="20">
        <v>9.1</v>
      </c>
      <c r="K6" s="7">
        <f>ELECT.!B10</f>
        <v>36</v>
      </c>
    </row>
    <row r="7" spans="1:11">
      <c r="A7" s="11" t="s">
        <v>11</v>
      </c>
      <c r="B7" s="14">
        <f t="shared" si="0"/>
        <v>6</v>
      </c>
      <c r="C7" s="14">
        <v>2</v>
      </c>
      <c r="D7" s="14">
        <v>2021</v>
      </c>
      <c r="E7" s="7">
        <f>ELECT.!D11+ELECT.!F11+ELECT.!H11</f>
        <v>17261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1775</v>
      </c>
      <c r="H7" s="20">
        <v>3.6</v>
      </c>
      <c r="I7" s="7">
        <f>Submetering!E7+Water!E10</f>
        <v>203</v>
      </c>
      <c r="J7" s="20">
        <v>9.1</v>
      </c>
      <c r="K7" s="7">
        <f>ELECT.!B11</f>
        <v>39</v>
      </c>
    </row>
    <row r="8" spans="1:11">
      <c r="A8" s="11" t="s">
        <v>11</v>
      </c>
      <c r="B8" s="14">
        <f t="shared" si="0"/>
        <v>7</v>
      </c>
      <c r="C8" s="14">
        <v>2</v>
      </c>
      <c r="D8" s="14">
        <v>2021</v>
      </c>
      <c r="E8" s="7">
        <f>ELECT.!D12+ELECT.!F12+ELECT.!H12</f>
        <v>17179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1607</v>
      </c>
      <c r="H8" s="20">
        <v>3.6</v>
      </c>
      <c r="I8" s="7">
        <f>Submetering!E8+Water!E11</f>
        <v>196</v>
      </c>
      <c r="J8" s="20">
        <v>9.1</v>
      </c>
      <c r="K8" s="7">
        <f>ELECT.!B12</f>
        <v>71</v>
      </c>
    </row>
    <row r="9" spans="1:11">
      <c r="A9" s="11" t="s">
        <v>11</v>
      </c>
      <c r="B9" s="14">
        <f t="shared" si="0"/>
        <v>8</v>
      </c>
      <c r="C9" s="14">
        <v>2</v>
      </c>
      <c r="D9" s="14">
        <v>2021</v>
      </c>
      <c r="E9" s="7">
        <f>ELECT.!D13+ELECT.!F13+ELECT.!H13</f>
        <v>17412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1744</v>
      </c>
      <c r="H9" s="20">
        <v>3.6</v>
      </c>
      <c r="I9" s="7">
        <f>Submetering!E9+Water!E12</f>
        <v>192</v>
      </c>
      <c r="J9" s="20">
        <v>9.1</v>
      </c>
      <c r="K9" s="7">
        <f>ELECT.!B13</f>
        <v>77</v>
      </c>
    </row>
    <row r="10" spans="1:11">
      <c r="A10" s="11" t="s">
        <v>11</v>
      </c>
      <c r="B10" s="14">
        <f t="shared" si="0"/>
        <v>9</v>
      </c>
      <c r="C10" s="14">
        <v>2</v>
      </c>
      <c r="D10" s="14">
        <v>2021</v>
      </c>
      <c r="E10" s="7">
        <f>ELECT.!D14+ELECT.!F14+ELECT.!H14</f>
        <v>16248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1387</v>
      </c>
      <c r="H10" s="20">
        <v>3.6</v>
      </c>
      <c r="I10" s="7">
        <f>Submetering!E10+Water!E13</f>
        <v>193</v>
      </c>
      <c r="J10" s="20">
        <v>9.1</v>
      </c>
      <c r="K10" s="7">
        <f>ELECT.!B14</f>
        <v>39</v>
      </c>
    </row>
    <row r="11" spans="1:11">
      <c r="A11" s="11" t="s">
        <v>11</v>
      </c>
      <c r="B11" s="14">
        <f t="shared" si="0"/>
        <v>10</v>
      </c>
      <c r="C11" s="14">
        <v>2</v>
      </c>
      <c r="D11" s="14">
        <v>2021</v>
      </c>
      <c r="E11" s="7">
        <f>ELECT.!D15+ELECT.!F15+ELECT.!H15</f>
        <v>17429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1760</v>
      </c>
      <c r="H11" s="20">
        <v>3.6</v>
      </c>
      <c r="I11" s="7">
        <f>Submetering!E11+Water!E14</f>
        <v>197</v>
      </c>
      <c r="J11" s="20">
        <v>9.1</v>
      </c>
      <c r="K11" s="7">
        <f>ELECT.!B15</f>
        <v>42</v>
      </c>
    </row>
    <row r="12" spans="1:11">
      <c r="A12" s="11" t="s">
        <v>11</v>
      </c>
      <c r="B12" s="14">
        <f t="shared" si="0"/>
        <v>11</v>
      </c>
      <c r="C12" s="14">
        <v>2</v>
      </c>
      <c r="D12" s="14">
        <v>2021</v>
      </c>
      <c r="E12" s="7">
        <f>ELECT.!D16+ELECT.!F16+ELECT.!H16</f>
        <v>17405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1803</v>
      </c>
      <c r="H12" s="20">
        <v>3.6</v>
      </c>
      <c r="I12" s="7">
        <f>Submetering!E12+Water!E15</f>
        <v>237</v>
      </c>
      <c r="J12" s="20">
        <v>9.1</v>
      </c>
      <c r="K12" s="7">
        <f>ELECT.!B16</f>
        <v>35</v>
      </c>
    </row>
    <row r="13" spans="1:11">
      <c r="A13" s="11" t="s">
        <v>11</v>
      </c>
      <c r="B13" s="14">
        <f t="shared" si="0"/>
        <v>12</v>
      </c>
      <c r="C13" s="14">
        <v>2</v>
      </c>
      <c r="D13" s="14">
        <v>2021</v>
      </c>
      <c r="E13" s="7">
        <f>ELECT.!D17+ELECT.!F17+ELECT.!H17</f>
        <v>17326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1496</v>
      </c>
      <c r="H13" s="20">
        <v>3.6</v>
      </c>
      <c r="I13" s="7">
        <f>Submetering!E13+Water!E16</f>
        <v>238</v>
      </c>
      <c r="J13" s="20">
        <v>9.1</v>
      </c>
      <c r="K13" s="7">
        <f>ELECT.!B17</f>
        <v>40</v>
      </c>
    </row>
    <row r="14" spans="1:11">
      <c r="A14" s="11" t="s">
        <v>11</v>
      </c>
      <c r="B14" s="14">
        <f t="shared" si="0"/>
        <v>13</v>
      </c>
      <c r="C14" s="14">
        <v>2</v>
      </c>
      <c r="D14" s="14">
        <v>2021</v>
      </c>
      <c r="E14" s="7">
        <f>ELECT.!D18+ELECT.!F18+ELECT.!H18</f>
        <v>15734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1650</v>
      </c>
      <c r="H14" s="20">
        <v>3.6</v>
      </c>
      <c r="I14" s="7">
        <f>Submetering!E14+Water!E17</f>
        <v>223</v>
      </c>
      <c r="J14" s="20">
        <v>9.1</v>
      </c>
      <c r="K14" s="7">
        <f>ELECT.!B18</f>
        <v>35</v>
      </c>
    </row>
    <row r="15" spans="1:11">
      <c r="A15" s="11" t="s">
        <v>11</v>
      </c>
      <c r="B15" s="14">
        <f t="shared" si="0"/>
        <v>14</v>
      </c>
      <c r="C15" s="14">
        <v>2</v>
      </c>
      <c r="D15" s="14">
        <v>2021</v>
      </c>
      <c r="E15" s="7">
        <f>ELECT.!D19+ELECT.!F19+ELECT.!H19</f>
        <v>17194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1700</v>
      </c>
      <c r="H15" s="20">
        <v>3.6</v>
      </c>
      <c r="I15" s="7">
        <f>Submetering!E15+Water!E18</f>
        <v>233</v>
      </c>
      <c r="J15" s="20">
        <v>9.1</v>
      </c>
      <c r="K15" s="7">
        <f>ELECT.!B19</f>
        <v>47</v>
      </c>
    </row>
    <row r="16" spans="1:11">
      <c r="A16" s="11" t="s">
        <v>11</v>
      </c>
      <c r="B16" s="14">
        <f t="shared" si="0"/>
        <v>15</v>
      </c>
      <c r="C16" s="14">
        <v>2</v>
      </c>
      <c r="D16" s="14">
        <v>2021</v>
      </c>
      <c r="E16" s="7">
        <f>ELECT.!D20+ELECT.!F20+ELECT.!H20</f>
        <v>16540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1690</v>
      </c>
      <c r="H16" s="20">
        <v>3.6</v>
      </c>
      <c r="I16" s="7">
        <f>Submetering!E16+Water!E19</f>
        <v>220</v>
      </c>
      <c r="J16" s="20">
        <v>9.1</v>
      </c>
      <c r="K16" s="7">
        <f>ELECT.!B20</f>
        <v>58</v>
      </c>
    </row>
    <row r="17" spans="1:11">
      <c r="A17" s="11" t="s">
        <v>11</v>
      </c>
      <c r="B17" s="14">
        <f t="shared" si="0"/>
        <v>16</v>
      </c>
      <c r="C17" s="14">
        <v>2</v>
      </c>
      <c r="D17" s="14">
        <v>2021</v>
      </c>
      <c r="E17" s="7">
        <f>ELECT.!D21+ELECT.!F21+ELECT.!H21</f>
        <v>17470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1454</v>
      </c>
      <c r="H17" s="20">
        <v>3.6</v>
      </c>
      <c r="I17" s="7">
        <f>Submetering!E17+Water!E20</f>
        <v>328</v>
      </c>
      <c r="J17" s="20">
        <v>9.1</v>
      </c>
      <c r="K17" s="7">
        <f>ELECT.!B21</f>
        <v>42</v>
      </c>
    </row>
    <row r="18" spans="1:11">
      <c r="A18" s="11" t="s">
        <v>11</v>
      </c>
      <c r="B18" s="14">
        <f t="shared" si="0"/>
        <v>17</v>
      </c>
      <c r="C18" s="14">
        <v>2</v>
      </c>
      <c r="D18" s="14">
        <v>2021</v>
      </c>
      <c r="E18" s="7">
        <f>ELECT.!D22+ELECT.!F22+ELECT.!H22</f>
        <v>18444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2045</v>
      </c>
      <c r="H18" s="20">
        <v>3.6</v>
      </c>
      <c r="I18" s="7">
        <f>Submetering!E18+Water!E21</f>
        <v>176</v>
      </c>
      <c r="J18" s="20">
        <v>9.1</v>
      </c>
      <c r="K18" s="7">
        <f>ELECT.!B22</f>
        <v>36</v>
      </c>
    </row>
    <row r="19" spans="1:11">
      <c r="A19" s="11" t="s">
        <v>11</v>
      </c>
      <c r="B19" s="14">
        <f t="shared" si="0"/>
        <v>18</v>
      </c>
      <c r="C19" s="14">
        <v>2</v>
      </c>
      <c r="D19" s="14">
        <v>2021</v>
      </c>
      <c r="E19" s="7">
        <f>ELECT.!D23+ELECT.!F23+ELECT.!H23</f>
        <v>17548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1856</v>
      </c>
      <c r="H19" s="20">
        <v>3.6</v>
      </c>
      <c r="I19" s="7">
        <f>Submetering!E19+Water!E22</f>
        <v>187</v>
      </c>
      <c r="J19" s="20">
        <v>9.1</v>
      </c>
      <c r="K19" s="7">
        <f>ELECT.!B23</f>
        <v>46</v>
      </c>
    </row>
    <row r="20" spans="1:11">
      <c r="A20" s="11" t="s">
        <v>11</v>
      </c>
      <c r="B20" s="14">
        <f t="shared" si="0"/>
        <v>19</v>
      </c>
      <c r="C20" s="14">
        <v>2</v>
      </c>
      <c r="D20" s="14">
        <v>2021</v>
      </c>
      <c r="E20" s="7">
        <f>ELECT.!D24+ELECT.!F24+ELECT.!H24</f>
        <v>15867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1840</v>
      </c>
      <c r="H20" s="20">
        <v>3.6</v>
      </c>
      <c r="I20" s="7">
        <f>Submetering!E20+Water!E23</f>
        <v>254</v>
      </c>
      <c r="J20" s="20">
        <v>9.1</v>
      </c>
      <c r="K20" s="7">
        <f>ELECT.!B24</f>
        <v>46</v>
      </c>
    </row>
    <row r="21" spans="1:11">
      <c r="A21" s="11" t="s">
        <v>11</v>
      </c>
      <c r="B21" s="14">
        <f t="shared" si="0"/>
        <v>20</v>
      </c>
      <c r="C21" s="14">
        <v>2</v>
      </c>
      <c r="D21" s="14">
        <v>2021</v>
      </c>
      <c r="E21" s="7">
        <f>ELECT.!D25+ELECT.!F25+ELECT.!H25</f>
        <v>17170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1838</v>
      </c>
      <c r="H21" s="20">
        <v>3.6</v>
      </c>
      <c r="I21" s="7">
        <f>Submetering!E21+Water!E24</f>
        <v>225</v>
      </c>
      <c r="J21" s="20">
        <v>9.1</v>
      </c>
      <c r="K21" s="7">
        <f>ELECT.!B25</f>
        <v>40</v>
      </c>
    </row>
    <row r="22" spans="1:11">
      <c r="A22" s="11" t="s">
        <v>11</v>
      </c>
      <c r="B22" s="14">
        <f t="shared" si="0"/>
        <v>21</v>
      </c>
      <c r="C22" s="14">
        <v>2</v>
      </c>
      <c r="D22" s="14">
        <v>2021</v>
      </c>
      <c r="E22" s="7">
        <f>ELECT.!D26+ELECT.!F26+ELECT.!H26</f>
        <v>14814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1556</v>
      </c>
      <c r="H22" s="20">
        <v>3.6</v>
      </c>
      <c r="I22" s="7">
        <f>Submetering!E22+Water!E25</f>
        <v>184</v>
      </c>
      <c r="J22" s="20">
        <v>9.1</v>
      </c>
      <c r="K22" s="7">
        <f>ELECT.!B26</f>
        <v>49</v>
      </c>
    </row>
    <row r="23" spans="1:11">
      <c r="A23" s="11" t="s">
        <v>11</v>
      </c>
      <c r="B23" s="14">
        <f t="shared" si="0"/>
        <v>22</v>
      </c>
      <c r="C23" s="14">
        <v>2</v>
      </c>
      <c r="D23" s="14">
        <v>2021</v>
      </c>
      <c r="E23" s="7">
        <f>ELECT.!D27+ELECT.!F27+ELECT.!H27</f>
        <v>16556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1580</v>
      </c>
      <c r="H23" s="20">
        <v>3.6</v>
      </c>
      <c r="I23" s="7">
        <f>Submetering!E23+Water!E26</f>
        <v>189</v>
      </c>
      <c r="J23" s="20">
        <v>9.1</v>
      </c>
      <c r="K23" s="7">
        <f>ELECT.!B27</f>
        <v>49</v>
      </c>
    </row>
    <row r="24" spans="1:11">
      <c r="A24" s="11" t="s">
        <v>11</v>
      </c>
      <c r="B24" s="14">
        <f t="shared" si="0"/>
        <v>23</v>
      </c>
      <c r="C24" s="14">
        <v>2</v>
      </c>
      <c r="D24" s="14">
        <v>2021</v>
      </c>
      <c r="E24" s="7">
        <f>ELECT.!D28+ELECT.!F28+ELECT.!H28</f>
        <v>15605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1515</v>
      </c>
      <c r="H24" s="20">
        <v>3.6</v>
      </c>
      <c r="I24" s="7">
        <f>Submetering!E24+Water!E27</f>
        <v>174</v>
      </c>
      <c r="J24" s="20">
        <v>9.1</v>
      </c>
      <c r="K24" s="7">
        <f>ELECT.!B28</f>
        <v>35</v>
      </c>
    </row>
    <row r="25" spans="1:11">
      <c r="A25" s="11" t="s">
        <v>11</v>
      </c>
      <c r="B25" s="14">
        <f t="shared" si="0"/>
        <v>24</v>
      </c>
      <c r="C25" s="14">
        <v>2</v>
      </c>
      <c r="D25" s="14">
        <v>2021</v>
      </c>
      <c r="E25" s="7">
        <f>ELECT.!D29+ELECT.!F29+ELECT.!H29</f>
        <v>16351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1502</v>
      </c>
      <c r="H25" s="20">
        <v>3.6</v>
      </c>
      <c r="I25" s="7">
        <f>Submetering!E25+Water!E28</f>
        <v>215</v>
      </c>
      <c r="J25" s="20">
        <v>9.1</v>
      </c>
      <c r="K25" s="7">
        <f>ELECT.!B29</f>
        <v>24</v>
      </c>
    </row>
    <row r="26" spans="1:11">
      <c r="A26" s="11" t="s">
        <v>11</v>
      </c>
      <c r="B26" s="14">
        <f>B25+1</f>
        <v>25</v>
      </c>
      <c r="C26" s="14">
        <v>2</v>
      </c>
      <c r="D26" s="14">
        <v>2021</v>
      </c>
      <c r="E26" s="7">
        <f>ELECT.!D30+ELECT.!F30+ELECT.!H30</f>
        <v>17354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1538</v>
      </c>
      <c r="H26" s="20">
        <v>3.6</v>
      </c>
      <c r="I26" s="7">
        <f>Submetering!E26+Water!E29</f>
        <v>224</v>
      </c>
      <c r="J26" s="20">
        <v>9.1</v>
      </c>
      <c r="K26" s="7">
        <f>ELECT.!B30</f>
        <v>40</v>
      </c>
    </row>
    <row r="27" spans="1:11">
      <c r="A27" s="11" t="s">
        <v>11</v>
      </c>
      <c r="B27" s="14">
        <f t="shared" si="0"/>
        <v>26</v>
      </c>
      <c r="C27" s="14">
        <v>2</v>
      </c>
      <c r="D27" s="14">
        <v>2021</v>
      </c>
      <c r="E27" s="7">
        <f>ELECT.!D31+ELECT.!F31+ELECT.!H31</f>
        <v>16224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1470</v>
      </c>
      <c r="H27" s="20">
        <v>3.6</v>
      </c>
      <c r="I27" s="7">
        <f>Submetering!E27+Water!E30</f>
        <v>243</v>
      </c>
      <c r="J27" s="20">
        <v>9.1</v>
      </c>
      <c r="K27" s="7">
        <f>ELECT.!B31</f>
        <v>38</v>
      </c>
    </row>
    <row r="28" spans="1:11">
      <c r="A28" s="11" t="s">
        <v>11</v>
      </c>
      <c r="B28" s="14">
        <f t="shared" si="0"/>
        <v>27</v>
      </c>
      <c r="C28" s="14">
        <v>2</v>
      </c>
      <c r="D28" s="14">
        <v>2021</v>
      </c>
      <c r="E28" s="7">
        <f>ELECT.!D32+ELECT.!F32+ELECT.!H32</f>
        <v>14156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1539</v>
      </c>
      <c r="H28" s="20">
        <v>3.6</v>
      </c>
      <c r="I28" s="7">
        <f>Submetering!E28+Water!E31</f>
        <v>206</v>
      </c>
      <c r="J28" s="20">
        <v>9.1</v>
      </c>
      <c r="K28" s="7">
        <f>ELECT.!B32</f>
        <v>53</v>
      </c>
    </row>
    <row r="29" spans="1:11">
      <c r="A29" s="11" t="s">
        <v>11</v>
      </c>
      <c r="B29" s="14">
        <f t="shared" si="0"/>
        <v>28</v>
      </c>
      <c r="C29" s="14">
        <v>2</v>
      </c>
      <c r="D29" s="14">
        <v>2021</v>
      </c>
      <c r="E29" s="7">
        <f>ELECT.!D33+ELECT.!F33+ELECT.!H33</f>
        <v>22867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1456</v>
      </c>
      <c r="H29" s="20">
        <v>3.6</v>
      </c>
      <c r="I29" s="7">
        <f>Submetering!E29+Water!E32</f>
        <v>164</v>
      </c>
      <c r="J29" s="20">
        <v>9.1</v>
      </c>
      <c r="K29" s="7">
        <f>ELECT.!B33</f>
        <v>77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29"/>
  <sheetViews>
    <sheetView zoomScale="85" zoomScaleNormal="85" workbookViewId="0">
      <selection activeCell="A30" sqref="A30:XFD32"/>
    </sheetView>
  </sheetViews>
  <sheetFormatPr defaultColWidth="11.5703125" defaultRowHeight="12.75"/>
  <cols>
    <col min="1" max="1" width="21.85546875" style="11" bestFit="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2</v>
      </c>
      <c r="D2" s="14">
        <v>2021</v>
      </c>
      <c r="E2" s="7">
        <f>Water!C5</f>
        <v>180</v>
      </c>
      <c r="F2" s="7">
        <f>Water!E5</f>
        <v>9</v>
      </c>
      <c r="G2" s="7">
        <f>ELECT.!D6</f>
        <v>4075</v>
      </c>
      <c r="H2" s="7">
        <f>ELECT.!F6</f>
        <v>7173</v>
      </c>
      <c r="I2" s="7">
        <f>ELECT.!H6</f>
        <v>5313</v>
      </c>
      <c r="J2" s="8">
        <f>Gas!C4</f>
        <v>249</v>
      </c>
      <c r="K2" s="8">
        <f>Gas!E4</f>
        <v>840</v>
      </c>
      <c r="L2" s="8">
        <f>Gas!G4</f>
        <v>103</v>
      </c>
      <c r="M2" s="16">
        <f>Gas!I4</f>
        <v>26</v>
      </c>
      <c r="N2" s="16">
        <f>Gas!K4</f>
        <v>29</v>
      </c>
      <c r="O2" s="8">
        <f>Gas!M4</f>
        <v>52</v>
      </c>
      <c r="P2" s="8">
        <f>Gas!O4</f>
        <v>42</v>
      </c>
      <c r="Q2" s="8">
        <f>Gas!Q4</f>
        <v>9</v>
      </c>
      <c r="R2" s="8">
        <f>Gas!S4</f>
        <v>127</v>
      </c>
      <c r="S2" s="8">
        <f>Gas!U4</f>
        <v>28</v>
      </c>
      <c r="T2" s="8">
        <f>Gas!W4</f>
        <v>57</v>
      </c>
      <c r="U2" s="8">
        <f>Gas!Y4</f>
        <v>0</v>
      </c>
      <c r="V2" s="8">
        <f>Gas!AA4</f>
        <v>0</v>
      </c>
      <c r="W2" s="8">
        <f>Gas!AC4</f>
        <v>0</v>
      </c>
      <c r="X2" s="7">
        <f>ELECT.!B6</f>
        <v>77</v>
      </c>
    </row>
    <row r="3" spans="1:24">
      <c r="A3" s="11" t="s">
        <v>11</v>
      </c>
      <c r="B3" s="14">
        <f>B2+1</f>
        <v>2</v>
      </c>
      <c r="C3" s="14">
        <v>2</v>
      </c>
      <c r="D3" s="14">
        <v>2021</v>
      </c>
      <c r="E3" s="7">
        <f>Water!C6</f>
        <v>160</v>
      </c>
      <c r="F3" s="7">
        <f>Water!E6</f>
        <v>25</v>
      </c>
      <c r="G3" s="7">
        <f>ELECT.!D7</f>
        <v>3971</v>
      </c>
      <c r="H3" s="7">
        <f>ELECT.!F7</f>
        <v>6949</v>
      </c>
      <c r="I3" s="7">
        <f>ELECT.!H7</f>
        <v>5189</v>
      </c>
      <c r="J3" s="8">
        <f>Gas!C5</f>
        <v>243</v>
      </c>
      <c r="K3" s="8">
        <f>Gas!E5</f>
        <v>721</v>
      </c>
      <c r="L3" s="8">
        <f>Gas!G5</f>
        <v>92</v>
      </c>
      <c r="M3" s="16">
        <f>Gas!I5</f>
        <v>22</v>
      </c>
      <c r="N3" s="16">
        <f>Gas!K5</f>
        <v>30</v>
      </c>
      <c r="O3" s="8">
        <f>Gas!M5</f>
        <v>54</v>
      </c>
      <c r="P3" s="8">
        <f>Gas!O5</f>
        <v>72</v>
      </c>
      <c r="Q3" s="8">
        <f>Gas!Q5</f>
        <v>36</v>
      </c>
      <c r="R3" s="8">
        <f>Gas!S5</f>
        <v>126</v>
      </c>
      <c r="S3" s="8">
        <f>Gas!U5</f>
        <v>17</v>
      </c>
      <c r="T3" s="8">
        <f>Gas!W5</f>
        <v>55</v>
      </c>
      <c r="U3" s="8">
        <f>Gas!Y5</f>
        <v>0</v>
      </c>
      <c r="V3" s="8">
        <f>Gas!AA5</f>
        <v>0</v>
      </c>
      <c r="W3" s="8">
        <f>Gas!AC5</f>
        <v>0</v>
      </c>
      <c r="X3" s="7">
        <f>ELECT.!B7</f>
        <v>39</v>
      </c>
    </row>
    <row r="4" spans="1:24">
      <c r="A4" s="11" t="s">
        <v>11</v>
      </c>
      <c r="B4" s="14">
        <f t="shared" ref="B4:B29" si="0">B3+1</f>
        <v>3</v>
      </c>
      <c r="C4" s="14">
        <v>2</v>
      </c>
      <c r="D4" s="14">
        <v>2021</v>
      </c>
      <c r="E4" s="7">
        <f>Water!C7</f>
        <v>170</v>
      </c>
      <c r="F4" s="7">
        <f>Water!E7</f>
        <v>25</v>
      </c>
      <c r="G4" s="7">
        <f>ELECT.!D8</f>
        <v>4236</v>
      </c>
      <c r="H4" s="7">
        <f>ELECT.!F8</f>
        <v>7110</v>
      </c>
      <c r="I4" s="7">
        <f>ELECT.!H8</f>
        <v>5592</v>
      </c>
      <c r="J4" s="8">
        <f>Gas!C6</f>
        <v>252</v>
      </c>
      <c r="K4" s="8">
        <f>Gas!E6</f>
        <v>844</v>
      </c>
      <c r="L4" s="8">
        <f>Gas!G6</f>
        <v>112</v>
      </c>
      <c r="M4" s="16">
        <f>Gas!I6</f>
        <v>23</v>
      </c>
      <c r="N4" s="16">
        <f>Gas!K6</f>
        <v>35</v>
      </c>
      <c r="O4" s="8">
        <f>Gas!M6</f>
        <v>68</v>
      </c>
      <c r="P4" s="8">
        <f>Gas!O6</f>
        <v>49</v>
      </c>
      <c r="Q4" s="8">
        <f>Gas!Q6</f>
        <v>46</v>
      </c>
      <c r="R4" s="8">
        <f>Gas!S6</f>
        <v>126</v>
      </c>
      <c r="S4" s="8">
        <f>Gas!U6</f>
        <v>42</v>
      </c>
      <c r="T4" s="8">
        <f>Gas!W6</f>
        <v>54</v>
      </c>
      <c r="U4" s="8">
        <f>Gas!Y6</f>
        <v>0</v>
      </c>
      <c r="V4" s="8">
        <f>Gas!AA6</f>
        <v>0</v>
      </c>
      <c r="W4" s="8">
        <f>Gas!AC6</f>
        <v>0</v>
      </c>
      <c r="X4" s="7">
        <f>ELECT.!B8</f>
        <v>30</v>
      </c>
    </row>
    <row r="5" spans="1:24">
      <c r="A5" s="11" t="s">
        <v>11</v>
      </c>
      <c r="B5" s="14">
        <f t="shared" si="0"/>
        <v>4</v>
      </c>
      <c r="C5" s="14">
        <v>2</v>
      </c>
      <c r="D5" s="14">
        <v>2021</v>
      </c>
      <c r="E5" s="7">
        <f>Water!C8</f>
        <v>210</v>
      </c>
      <c r="F5" s="7">
        <f>Water!E8</f>
        <v>9</v>
      </c>
      <c r="G5" s="7">
        <f>ELECT.!D9</f>
        <v>3857</v>
      </c>
      <c r="H5" s="7">
        <f>ELECT.!F9</f>
        <v>6706</v>
      </c>
      <c r="I5" s="7">
        <f>ELECT.!H9</f>
        <v>5115</v>
      </c>
      <c r="J5" s="8">
        <f>Gas!C7</f>
        <v>247</v>
      </c>
      <c r="K5" s="8">
        <f>Gas!E7</f>
        <v>900</v>
      </c>
      <c r="L5" s="8">
        <f>Gas!G7</f>
        <v>151</v>
      </c>
      <c r="M5" s="16">
        <f>Gas!I7</f>
        <v>31</v>
      </c>
      <c r="N5" s="16">
        <f>Gas!K7</f>
        <v>26</v>
      </c>
      <c r="O5" s="8">
        <f>Gas!M7</f>
        <v>57</v>
      </c>
      <c r="P5" s="8">
        <f>Gas!O7</f>
        <v>46</v>
      </c>
      <c r="Q5" s="8">
        <f>Gas!Q7</f>
        <v>54</v>
      </c>
      <c r="R5" s="8">
        <f>Gas!S7</f>
        <v>173</v>
      </c>
      <c r="S5" s="8">
        <f>Gas!U7</f>
        <v>20</v>
      </c>
      <c r="T5" s="8">
        <f>Gas!W7</f>
        <v>61</v>
      </c>
      <c r="U5" s="8">
        <f>Gas!Y7</f>
        <v>0</v>
      </c>
      <c r="V5" s="8">
        <f>Gas!AA7</f>
        <v>0</v>
      </c>
      <c r="W5" s="8">
        <f>Gas!AC7</f>
        <v>0</v>
      </c>
      <c r="X5" s="7">
        <f>ELECT.!B9</f>
        <v>37</v>
      </c>
    </row>
    <row r="6" spans="1:24">
      <c r="A6" s="11" t="s">
        <v>11</v>
      </c>
      <c r="B6" s="14">
        <f t="shared" si="0"/>
        <v>5</v>
      </c>
      <c r="C6" s="14">
        <v>2</v>
      </c>
      <c r="D6" s="14">
        <v>2021</v>
      </c>
      <c r="E6" s="7">
        <f>Water!C9</f>
        <v>210</v>
      </c>
      <c r="F6" s="7">
        <f>Water!E9</f>
        <v>5</v>
      </c>
      <c r="G6" s="7">
        <f>ELECT.!D10</f>
        <v>4682</v>
      </c>
      <c r="H6" s="7">
        <f>ELECT.!F10</f>
        <v>8095</v>
      </c>
      <c r="I6" s="7">
        <f>ELECT.!H10</f>
        <v>6007</v>
      </c>
      <c r="J6" s="8">
        <f>Gas!C8</f>
        <v>248</v>
      </c>
      <c r="K6" s="8">
        <f>Gas!E8</f>
        <v>1022</v>
      </c>
      <c r="L6" s="8">
        <f>Gas!G8</f>
        <v>114</v>
      </c>
      <c r="M6" s="16">
        <f>Gas!I8</f>
        <v>20</v>
      </c>
      <c r="N6" s="16">
        <f>Gas!K8</f>
        <v>32</v>
      </c>
      <c r="O6" s="8">
        <f>Gas!M8</f>
        <v>71</v>
      </c>
      <c r="P6" s="8">
        <f>Gas!O8</f>
        <v>138</v>
      </c>
      <c r="Q6" s="8">
        <f>Gas!Q8</f>
        <v>41</v>
      </c>
      <c r="R6" s="8">
        <f>Gas!S8</f>
        <v>128</v>
      </c>
      <c r="S6" s="8">
        <f>Gas!U8</f>
        <v>28</v>
      </c>
      <c r="T6" s="8">
        <f>Gas!W8</f>
        <v>58</v>
      </c>
      <c r="U6" s="8">
        <f>Gas!Y8</f>
        <v>0</v>
      </c>
      <c r="V6" s="8">
        <f>Gas!AA8</f>
        <v>0</v>
      </c>
      <c r="W6" s="8">
        <f>Gas!AC8</f>
        <v>0</v>
      </c>
      <c r="X6" s="7">
        <f>ELECT.!B10</f>
        <v>36</v>
      </c>
    </row>
    <row r="7" spans="1:24">
      <c r="A7" s="11" t="s">
        <v>11</v>
      </c>
      <c r="B7" s="14">
        <f t="shared" si="0"/>
        <v>6</v>
      </c>
      <c r="C7" s="14">
        <v>2</v>
      </c>
      <c r="D7" s="14">
        <v>2021</v>
      </c>
      <c r="E7" s="7">
        <f>Water!C10</f>
        <v>190</v>
      </c>
      <c r="F7" s="7">
        <f>Water!E10</f>
        <v>13</v>
      </c>
      <c r="G7" s="7">
        <f>ELECT.!D11</f>
        <v>4155</v>
      </c>
      <c r="H7" s="7">
        <f>ELECT.!F11</f>
        <v>7473</v>
      </c>
      <c r="I7" s="7">
        <f>ELECT.!H11</f>
        <v>5633</v>
      </c>
      <c r="J7" s="8">
        <f>Gas!C9</f>
        <v>325</v>
      </c>
      <c r="K7" s="8">
        <f>Gas!E9</f>
        <v>824</v>
      </c>
      <c r="L7" s="8">
        <f>Gas!G9</f>
        <v>152</v>
      </c>
      <c r="M7" s="16">
        <f>Gas!I9</f>
        <v>28</v>
      </c>
      <c r="N7" s="16">
        <f>Gas!K9</f>
        <v>31</v>
      </c>
      <c r="O7" s="8">
        <f>Gas!M9</f>
        <v>49</v>
      </c>
      <c r="P7" s="8">
        <f>Gas!O9</f>
        <v>66</v>
      </c>
      <c r="Q7" s="8">
        <f>Gas!Q9</f>
        <v>38</v>
      </c>
      <c r="R7" s="8">
        <f>Gas!S9</f>
        <v>182</v>
      </c>
      <c r="S7" s="8">
        <f>Gas!U9</f>
        <v>24</v>
      </c>
      <c r="T7" s="8">
        <f>Gas!W9</f>
        <v>56</v>
      </c>
      <c r="U7" s="8">
        <f>Gas!Y9</f>
        <v>0</v>
      </c>
      <c r="V7" s="8">
        <f>Gas!AA9</f>
        <v>0</v>
      </c>
      <c r="W7" s="8">
        <f>Gas!AC9</f>
        <v>0</v>
      </c>
      <c r="X7" s="7">
        <f>ELECT.!B11</f>
        <v>39</v>
      </c>
    </row>
    <row r="8" spans="1:24">
      <c r="A8" s="11" t="s">
        <v>11</v>
      </c>
      <c r="B8" s="14">
        <f t="shared" si="0"/>
        <v>7</v>
      </c>
      <c r="C8" s="14">
        <v>2</v>
      </c>
      <c r="D8" s="14">
        <v>2021</v>
      </c>
      <c r="E8" s="7">
        <f>Water!C11</f>
        <v>180</v>
      </c>
      <c r="F8" s="7">
        <f>Water!E11</f>
        <v>16</v>
      </c>
      <c r="G8" s="7">
        <f>ELECT.!D12</f>
        <v>4107</v>
      </c>
      <c r="H8" s="7">
        <f>ELECT.!F12</f>
        <v>7207</v>
      </c>
      <c r="I8" s="7">
        <f>ELECT.!H12</f>
        <v>5865</v>
      </c>
      <c r="J8" s="8">
        <f>Gas!C10</f>
        <v>250</v>
      </c>
      <c r="K8" s="8">
        <f>Gas!E10</f>
        <v>745</v>
      </c>
      <c r="L8" s="8">
        <f>Gas!G10</f>
        <v>121</v>
      </c>
      <c r="M8" s="16">
        <f>Gas!I10</f>
        <v>18</v>
      </c>
      <c r="N8" s="16">
        <f>Gas!K10</f>
        <v>0</v>
      </c>
      <c r="O8" s="8">
        <f>Gas!M10</f>
        <v>50</v>
      </c>
      <c r="P8" s="8">
        <f>Gas!O10</f>
        <v>159</v>
      </c>
      <c r="Q8" s="8">
        <f>Gas!Q10</f>
        <v>42</v>
      </c>
      <c r="R8" s="8">
        <f>Gas!S10</f>
        <v>140</v>
      </c>
      <c r="S8" s="8">
        <f>Gas!U10</f>
        <v>27</v>
      </c>
      <c r="T8" s="8">
        <f>Gas!W10</f>
        <v>55</v>
      </c>
      <c r="U8" s="8">
        <f>Gas!Y10</f>
        <v>0</v>
      </c>
      <c r="V8" s="8">
        <f>Gas!AA10</f>
        <v>0</v>
      </c>
      <c r="W8" s="8">
        <f>Gas!AC10</f>
        <v>0</v>
      </c>
      <c r="X8" s="7">
        <f>ELECT.!B12</f>
        <v>71</v>
      </c>
    </row>
    <row r="9" spans="1:24">
      <c r="A9" s="11" t="s">
        <v>11</v>
      </c>
      <c r="B9" s="14">
        <f t="shared" si="0"/>
        <v>8</v>
      </c>
      <c r="C9" s="14">
        <v>2</v>
      </c>
      <c r="D9" s="14">
        <v>2021</v>
      </c>
      <c r="E9" s="7">
        <f>Water!C12</f>
        <v>180</v>
      </c>
      <c r="F9" s="7">
        <f>Water!E12</f>
        <v>12</v>
      </c>
      <c r="G9" s="7">
        <f>ELECT.!D13</f>
        <v>4318</v>
      </c>
      <c r="H9" s="7">
        <f>ELECT.!F13</f>
        <v>7024</v>
      </c>
      <c r="I9" s="7">
        <f>ELECT.!H13</f>
        <v>6070</v>
      </c>
      <c r="J9" s="8">
        <f>Gas!C11</f>
        <v>249</v>
      </c>
      <c r="K9" s="8">
        <f>Gas!E11</f>
        <v>984</v>
      </c>
      <c r="L9" s="8">
        <f>Gas!G11</f>
        <v>110</v>
      </c>
      <c r="M9" s="16">
        <f>Gas!I11</f>
        <v>24</v>
      </c>
      <c r="N9" s="16">
        <f>Gas!K11</f>
        <v>27</v>
      </c>
      <c r="O9" s="8">
        <f>Gas!M11</f>
        <v>60</v>
      </c>
      <c r="P9" s="8">
        <f>Gas!O11</f>
        <v>23</v>
      </c>
      <c r="Q9" s="8">
        <f>Gas!Q11</f>
        <v>41</v>
      </c>
      <c r="R9" s="8">
        <f>Gas!S11</f>
        <v>135</v>
      </c>
      <c r="S9" s="8">
        <f>Gas!U11</f>
        <v>32</v>
      </c>
      <c r="T9" s="8">
        <f>Gas!W11</f>
        <v>59</v>
      </c>
      <c r="U9" s="8">
        <f>Gas!Y11</f>
        <v>0</v>
      </c>
      <c r="V9" s="8">
        <f>Gas!AA11</f>
        <v>0</v>
      </c>
      <c r="W9" s="8">
        <f>Gas!AC11</f>
        <v>0</v>
      </c>
      <c r="X9" s="7">
        <f>ELECT.!B13</f>
        <v>77</v>
      </c>
    </row>
    <row r="10" spans="1:24">
      <c r="A10" s="11" t="s">
        <v>11</v>
      </c>
      <c r="B10" s="14">
        <f t="shared" si="0"/>
        <v>9</v>
      </c>
      <c r="C10" s="14">
        <v>2</v>
      </c>
      <c r="D10" s="14">
        <v>2021</v>
      </c>
      <c r="E10" s="7">
        <f>Water!C13</f>
        <v>180</v>
      </c>
      <c r="F10" s="7">
        <f>Water!E13</f>
        <v>13</v>
      </c>
      <c r="G10" s="7">
        <f>ELECT.!D14</f>
        <v>4129</v>
      </c>
      <c r="H10" s="7">
        <f>ELECT.!F14</f>
        <v>6459</v>
      </c>
      <c r="I10" s="7">
        <f>ELECT.!H14</f>
        <v>5660</v>
      </c>
      <c r="J10" s="8">
        <f>Gas!C12</f>
        <v>212</v>
      </c>
      <c r="K10" s="8">
        <f>Gas!E12</f>
        <v>707</v>
      </c>
      <c r="L10" s="8">
        <f>Gas!G12</f>
        <v>106</v>
      </c>
      <c r="M10" s="16">
        <f>Gas!I12</f>
        <v>18</v>
      </c>
      <c r="N10" s="16">
        <f>Gas!K12</f>
        <v>25</v>
      </c>
      <c r="O10" s="8">
        <f>Gas!M12</f>
        <v>58</v>
      </c>
      <c r="P10" s="8">
        <f>Gas!O12</f>
        <v>25</v>
      </c>
      <c r="Q10" s="8">
        <f>Gas!Q12</f>
        <v>38</v>
      </c>
      <c r="R10" s="8">
        <f>Gas!S12</f>
        <v>122</v>
      </c>
      <c r="S10" s="8">
        <f>Gas!U12</f>
        <v>27</v>
      </c>
      <c r="T10" s="8">
        <f>Gas!W12</f>
        <v>49</v>
      </c>
      <c r="U10" s="8">
        <f>Gas!Y12</f>
        <v>0</v>
      </c>
      <c r="V10" s="8">
        <f>Gas!AA12</f>
        <v>0</v>
      </c>
      <c r="W10" s="8">
        <f>Gas!AC12</f>
        <v>0</v>
      </c>
      <c r="X10" s="7">
        <f>ELECT.!B14</f>
        <v>39</v>
      </c>
    </row>
    <row r="11" spans="1:24">
      <c r="A11" s="11" t="s">
        <v>11</v>
      </c>
      <c r="B11" s="14">
        <f t="shared" si="0"/>
        <v>10</v>
      </c>
      <c r="C11" s="14">
        <v>2</v>
      </c>
      <c r="D11" s="14">
        <v>2021</v>
      </c>
      <c r="E11" s="7">
        <f>Water!C14</f>
        <v>180</v>
      </c>
      <c r="F11" s="7">
        <f>Water!E14</f>
        <v>17</v>
      </c>
      <c r="G11" s="7">
        <f>ELECT.!D15</f>
        <v>4272</v>
      </c>
      <c r="H11" s="7">
        <f>ELECT.!F15</f>
        <v>6932</v>
      </c>
      <c r="I11" s="7">
        <f>ELECT.!H15</f>
        <v>6225</v>
      </c>
      <c r="J11" s="8">
        <f>Gas!C13</f>
        <v>263</v>
      </c>
      <c r="K11" s="8">
        <f>Gas!E13</f>
        <v>933</v>
      </c>
      <c r="L11" s="8">
        <f>Gas!G13</f>
        <v>111</v>
      </c>
      <c r="M11" s="16">
        <f>Gas!I13</f>
        <v>23</v>
      </c>
      <c r="N11" s="16">
        <f>Gas!K13</f>
        <v>30</v>
      </c>
      <c r="O11" s="8">
        <f>Gas!M13</f>
        <v>71</v>
      </c>
      <c r="P11" s="8">
        <f>Gas!O13</f>
        <v>79</v>
      </c>
      <c r="Q11" s="8">
        <f>Gas!Q13</f>
        <v>44</v>
      </c>
      <c r="R11" s="8">
        <f>Gas!S13</f>
        <v>125</v>
      </c>
      <c r="S11" s="8">
        <f>Gas!U13</f>
        <v>26</v>
      </c>
      <c r="T11" s="8">
        <f>Gas!W13</f>
        <v>55</v>
      </c>
      <c r="U11" s="8">
        <f>Gas!Y13</f>
        <v>0</v>
      </c>
      <c r="V11" s="8">
        <f>Gas!AA13</f>
        <v>0</v>
      </c>
      <c r="W11" s="8">
        <f>Gas!AC13</f>
        <v>0</v>
      </c>
      <c r="X11" s="7">
        <f>ELECT.!B15</f>
        <v>42</v>
      </c>
    </row>
    <row r="12" spans="1:24">
      <c r="A12" s="11" t="s">
        <v>11</v>
      </c>
      <c r="B12" s="14">
        <f t="shared" si="0"/>
        <v>11</v>
      </c>
      <c r="C12" s="14">
        <v>2</v>
      </c>
      <c r="D12" s="14">
        <v>2021</v>
      </c>
      <c r="E12" s="7">
        <f>Water!C15</f>
        <v>210</v>
      </c>
      <c r="F12" s="7">
        <f>Water!E15</f>
        <v>27</v>
      </c>
      <c r="G12" s="7">
        <f>ELECT.!D16</f>
        <v>4187</v>
      </c>
      <c r="H12" s="7">
        <f>ELECT.!F16</f>
        <v>7080</v>
      </c>
      <c r="I12" s="7">
        <f>ELECT.!H16</f>
        <v>6138</v>
      </c>
      <c r="J12" s="8">
        <f>Gas!C14</f>
        <v>267</v>
      </c>
      <c r="K12" s="8">
        <f>Gas!E14</f>
        <v>913</v>
      </c>
      <c r="L12" s="8">
        <f>Gas!G14</f>
        <v>126</v>
      </c>
      <c r="M12" s="16">
        <f>Gas!I14</f>
        <v>27</v>
      </c>
      <c r="N12" s="16">
        <f>Gas!K14</f>
        <v>33</v>
      </c>
      <c r="O12" s="8">
        <f>Gas!M14</f>
        <v>60</v>
      </c>
      <c r="P12" s="8">
        <f>Gas!O14</f>
        <v>112</v>
      </c>
      <c r="Q12" s="8">
        <f>Gas!Q14</f>
        <v>45</v>
      </c>
      <c r="R12" s="8">
        <f>Gas!S14</f>
        <v>133</v>
      </c>
      <c r="S12" s="8">
        <f>Gas!U14</f>
        <v>30</v>
      </c>
      <c r="T12" s="8">
        <f>Gas!W14</f>
        <v>57</v>
      </c>
      <c r="U12" s="8">
        <f>Gas!Y14</f>
        <v>0</v>
      </c>
      <c r="V12" s="8">
        <f>Gas!AA14</f>
        <v>0</v>
      </c>
      <c r="W12" s="8">
        <f>Gas!AC14</f>
        <v>0</v>
      </c>
      <c r="X12" s="7">
        <f>ELECT.!B16</f>
        <v>35</v>
      </c>
    </row>
    <row r="13" spans="1:24">
      <c r="A13" s="11" t="s">
        <v>11</v>
      </c>
      <c r="B13" s="14">
        <f t="shared" si="0"/>
        <v>12</v>
      </c>
      <c r="C13" s="14">
        <v>2</v>
      </c>
      <c r="D13" s="14">
        <v>2021</v>
      </c>
      <c r="E13" s="7">
        <f>Water!C16</f>
        <v>230</v>
      </c>
      <c r="F13" s="7">
        <f>Water!E16</f>
        <v>8</v>
      </c>
      <c r="G13" s="7">
        <f>ELECT.!D17</f>
        <v>4288</v>
      </c>
      <c r="H13" s="7">
        <f>ELECT.!F17</f>
        <v>7212</v>
      </c>
      <c r="I13" s="7">
        <f>ELECT.!H17</f>
        <v>5826</v>
      </c>
      <c r="J13" s="8">
        <f>Gas!C15</f>
        <v>256</v>
      </c>
      <c r="K13" s="8">
        <f>Gas!E15</f>
        <v>643</v>
      </c>
      <c r="L13" s="8">
        <f>Gas!G15</f>
        <v>152</v>
      </c>
      <c r="M13" s="16">
        <f>Gas!I15</f>
        <v>30</v>
      </c>
      <c r="N13" s="16">
        <f>Gas!K15</f>
        <v>35</v>
      </c>
      <c r="O13" s="8">
        <f>Gas!M15</f>
        <v>61</v>
      </c>
      <c r="P13" s="8">
        <f>Gas!O15</f>
        <v>9</v>
      </c>
      <c r="Q13" s="8">
        <f>Gas!Q15</f>
        <v>41</v>
      </c>
      <c r="R13" s="8">
        <f>Gas!S15</f>
        <v>172</v>
      </c>
      <c r="S13" s="8">
        <f>Gas!U15</f>
        <v>36</v>
      </c>
      <c r="T13" s="8">
        <f>Gas!W15</f>
        <v>61</v>
      </c>
      <c r="U13" s="8">
        <f>Gas!Y15</f>
        <v>0</v>
      </c>
      <c r="V13" s="8">
        <f>Gas!AA15</f>
        <v>0</v>
      </c>
      <c r="W13" s="8">
        <f>Gas!AC15</f>
        <v>0</v>
      </c>
      <c r="X13" s="7">
        <f>ELECT.!B17</f>
        <v>40</v>
      </c>
    </row>
    <row r="14" spans="1:24">
      <c r="A14" s="11" t="s">
        <v>11</v>
      </c>
      <c r="B14" s="14">
        <f t="shared" si="0"/>
        <v>13</v>
      </c>
      <c r="C14" s="14">
        <v>2</v>
      </c>
      <c r="D14" s="14">
        <v>2021</v>
      </c>
      <c r="E14" s="7">
        <f>Water!C17</f>
        <v>210</v>
      </c>
      <c r="F14" s="7">
        <f>Water!E17</f>
        <v>13</v>
      </c>
      <c r="G14" s="7">
        <f>ELECT.!D18</f>
        <v>3965</v>
      </c>
      <c r="H14" s="7">
        <f>ELECT.!F18</f>
        <v>6367</v>
      </c>
      <c r="I14" s="7">
        <f>ELECT.!H18</f>
        <v>5402</v>
      </c>
      <c r="J14" s="8">
        <f>Gas!C16</f>
        <v>269</v>
      </c>
      <c r="K14" s="8">
        <f>Gas!E16</f>
        <v>789</v>
      </c>
      <c r="L14" s="8">
        <f>Gas!G16</f>
        <v>107</v>
      </c>
      <c r="M14" s="16">
        <f>Gas!I16</f>
        <v>26</v>
      </c>
      <c r="N14" s="16">
        <f>Gas!K16</f>
        <v>37</v>
      </c>
      <c r="O14" s="8">
        <f>Gas!M16</f>
        <v>73</v>
      </c>
      <c r="P14" s="8">
        <f>Gas!O16</f>
        <v>67</v>
      </c>
      <c r="Q14" s="8">
        <f>Gas!Q16</f>
        <v>41</v>
      </c>
      <c r="R14" s="8">
        <f>Gas!S16</f>
        <v>164</v>
      </c>
      <c r="S14" s="8">
        <f>Gas!U16</f>
        <v>23</v>
      </c>
      <c r="T14" s="8">
        <f>Gas!W16</f>
        <v>54</v>
      </c>
      <c r="U14" s="8">
        <f>Gas!Y16</f>
        <v>0</v>
      </c>
      <c r="V14" s="8">
        <f>Gas!AA16</f>
        <v>0</v>
      </c>
      <c r="W14" s="8">
        <f>Gas!AC16</f>
        <v>0</v>
      </c>
      <c r="X14" s="7">
        <f>ELECT.!B18</f>
        <v>35</v>
      </c>
    </row>
    <row r="15" spans="1:24">
      <c r="A15" s="11" t="s">
        <v>11</v>
      </c>
      <c r="B15" s="14">
        <f t="shared" si="0"/>
        <v>14</v>
      </c>
      <c r="C15" s="14">
        <v>2</v>
      </c>
      <c r="D15" s="14">
        <v>2021</v>
      </c>
      <c r="E15" s="7">
        <f>Water!C18</f>
        <v>220</v>
      </c>
      <c r="F15" s="7">
        <f>Water!E18</f>
        <v>13</v>
      </c>
      <c r="G15" s="7">
        <f>ELECT.!D19</f>
        <v>4301</v>
      </c>
      <c r="H15" s="7">
        <f>ELECT.!F19</f>
        <v>7030</v>
      </c>
      <c r="I15" s="7">
        <f>ELECT.!H19</f>
        <v>5863</v>
      </c>
      <c r="J15" s="8">
        <f>Gas!C17</f>
        <v>258</v>
      </c>
      <c r="K15" s="8">
        <f>Gas!E17</f>
        <v>877</v>
      </c>
      <c r="L15" s="8">
        <f>Gas!G17</f>
        <v>95</v>
      </c>
      <c r="M15" s="16">
        <f>Gas!I17</f>
        <v>25</v>
      </c>
      <c r="N15" s="16">
        <f>Gas!K17</f>
        <v>50</v>
      </c>
      <c r="O15" s="8">
        <f>Gas!M17</f>
        <v>65</v>
      </c>
      <c r="P15" s="8">
        <f>Gas!O17</f>
        <v>26</v>
      </c>
      <c r="Q15" s="8">
        <f>Gas!Q17</f>
        <v>42</v>
      </c>
      <c r="R15" s="8">
        <f>Gas!S17</f>
        <v>186</v>
      </c>
      <c r="S15" s="8">
        <f>Gas!U17</f>
        <v>21</v>
      </c>
      <c r="T15" s="8">
        <f>Gas!W17</f>
        <v>55</v>
      </c>
      <c r="U15" s="8">
        <f>Gas!Y17</f>
        <v>0</v>
      </c>
      <c r="V15" s="8">
        <f>Gas!AA17</f>
        <v>0</v>
      </c>
      <c r="W15" s="8">
        <f>Gas!AC17</f>
        <v>0</v>
      </c>
      <c r="X15" s="7">
        <f>ELECT.!B19</f>
        <v>47</v>
      </c>
    </row>
    <row r="16" spans="1:24">
      <c r="A16" s="11" t="s">
        <v>11</v>
      </c>
      <c r="B16" s="14">
        <f t="shared" si="0"/>
        <v>15</v>
      </c>
      <c r="C16" s="14">
        <v>2</v>
      </c>
      <c r="D16" s="14">
        <v>2021</v>
      </c>
      <c r="E16" s="7">
        <f>Water!C19</f>
        <v>200</v>
      </c>
      <c r="F16" s="7">
        <f>Water!E19</f>
        <v>20</v>
      </c>
      <c r="G16" s="7">
        <f>ELECT.!D20</f>
        <v>4054</v>
      </c>
      <c r="H16" s="7">
        <f>ELECT.!F20</f>
        <v>6768</v>
      </c>
      <c r="I16" s="7">
        <f>ELECT.!H20</f>
        <v>5718</v>
      </c>
      <c r="J16" s="8">
        <f>Gas!C18</f>
        <v>272</v>
      </c>
      <c r="K16" s="8">
        <f>Gas!E18</f>
        <v>792</v>
      </c>
      <c r="L16" s="8">
        <f>Gas!G18</f>
        <v>94</v>
      </c>
      <c r="M16" s="16">
        <f>Gas!I18</f>
        <v>17</v>
      </c>
      <c r="N16" s="16">
        <f>Gas!K18</f>
        <v>28</v>
      </c>
      <c r="O16" s="8">
        <f>Gas!M18</f>
        <v>61</v>
      </c>
      <c r="P16" s="8">
        <f>Gas!O18</f>
        <v>50</v>
      </c>
      <c r="Q16" s="8">
        <f>Gas!Q18</f>
        <v>42</v>
      </c>
      <c r="R16" s="8">
        <f>Gas!S18</f>
        <v>248</v>
      </c>
      <c r="S16" s="8">
        <f>Gas!U18</f>
        <v>19</v>
      </c>
      <c r="T16" s="8">
        <f>Gas!W18</f>
        <v>67</v>
      </c>
      <c r="U16" s="8">
        <f>Gas!Y18</f>
        <v>0</v>
      </c>
      <c r="V16" s="8">
        <f>Gas!AA18</f>
        <v>0</v>
      </c>
      <c r="W16" s="8">
        <f>Gas!AC18</f>
        <v>0</v>
      </c>
      <c r="X16" s="7">
        <f>ELECT.!B20</f>
        <v>58</v>
      </c>
    </row>
    <row r="17" spans="1:24">
      <c r="A17" s="11" t="s">
        <v>11</v>
      </c>
      <c r="B17" s="14">
        <f t="shared" si="0"/>
        <v>16</v>
      </c>
      <c r="C17" s="14">
        <v>2</v>
      </c>
      <c r="D17" s="14">
        <v>2021</v>
      </c>
      <c r="E17" s="7">
        <f>Water!C20</f>
        <v>320</v>
      </c>
      <c r="F17" s="7">
        <f>Water!E20</f>
        <v>8</v>
      </c>
      <c r="G17" s="7">
        <f>ELECT.!D21</f>
        <v>4134</v>
      </c>
      <c r="H17" s="7">
        <f>ELECT.!F21</f>
        <v>7442</v>
      </c>
      <c r="I17" s="7">
        <f>ELECT.!H21</f>
        <v>5894</v>
      </c>
      <c r="J17" s="8">
        <f>Gas!C19</f>
        <v>275</v>
      </c>
      <c r="K17" s="8">
        <f>Gas!E19</f>
        <v>761</v>
      </c>
      <c r="L17" s="8">
        <f>Gas!G19</f>
        <v>74</v>
      </c>
      <c r="M17" s="16">
        <f>Gas!I19</f>
        <v>24</v>
      </c>
      <c r="N17" s="16">
        <f>Gas!K19</f>
        <v>31</v>
      </c>
      <c r="O17" s="8">
        <f>Gas!M19</f>
        <v>63</v>
      </c>
      <c r="P17" s="8">
        <f>Gas!O19</f>
        <v>49</v>
      </c>
      <c r="Q17" s="8">
        <f>Gas!Q19</f>
        <v>42</v>
      </c>
      <c r="R17" s="8">
        <f>Gas!S19</f>
        <v>60</v>
      </c>
      <c r="S17" s="8">
        <f>Gas!U19</f>
        <v>20</v>
      </c>
      <c r="T17" s="8">
        <f>Gas!W19</f>
        <v>55</v>
      </c>
      <c r="U17" s="8">
        <f>Gas!Y19</f>
        <v>0</v>
      </c>
      <c r="V17" s="8">
        <f>Gas!AA19</f>
        <v>0</v>
      </c>
      <c r="W17" s="8">
        <f>Gas!AC19</f>
        <v>0</v>
      </c>
      <c r="X17" s="7">
        <f>ELECT.!B21</f>
        <v>42</v>
      </c>
    </row>
    <row r="18" spans="1:24">
      <c r="A18" s="11" t="s">
        <v>11</v>
      </c>
      <c r="B18" s="14">
        <f t="shared" si="0"/>
        <v>17</v>
      </c>
      <c r="C18" s="14">
        <v>2</v>
      </c>
      <c r="D18" s="14">
        <v>2021</v>
      </c>
      <c r="E18" s="7">
        <f>Water!C21</f>
        <v>170</v>
      </c>
      <c r="F18" s="7">
        <f>Water!E21</f>
        <v>6</v>
      </c>
      <c r="G18" s="7">
        <f>ELECT.!D22</f>
        <v>4553</v>
      </c>
      <c r="H18" s="7">
        <f>ELECT.!F22</f>
        <v>7822</v>
      </c>
      <c r="I18" s="7">
        <f>ELECT.!H22</f>
        <v>6069</v>
      </c>
      <c r="J18" s="8">
        <f>Gas!C20</f>
        <v>273</v>
      </c>
      <c r="K18" s="8">
        <f>Gas!E20</f>
        <v>1240</v>
      </c>
      <c r="L18" s="8">
        <f>Gas!G20</f>
        <v>106</v>
      </c>
      <c r="M18" s="16">
        <f>Gas!I20</f>
        <v>26</v>
      </c>
      <c r="N18" s="16">
        <f>Gas!K20</f>
        <v>31</v>
      </c>
      <c r="O18" s="8">
        <f>Gas!M20</f>
        <v>69</v>
      </c>
      <c r="P18" s="8">
        <f>Gas!O20</f>
        <v>50</v>
      </c>
      <c r="Q18" s="8">
        <f>Gas!Q20</f>
        <v>36</v>
      </c>
      <c r="R18" s="8">
        <f>Gas!S20</f>
        <v>133</v>
      </c>
      <c r="S18" s="8">
        <f>Gas!U20</f>
        <v>23</v>
      </c>
      <c r="T18" s="8">
        <f>Gas!W20</f>
        <v>58</v>
      </c>
      <c r="U18" s="8">
        <f>Gas!Y20</f>
        <v>0</v>
      </c>
      <c r="V18" s="8">
        <f>Gas!AA20</f>
        <v>0</v>
      </c>
      <c r="W18" s="8">
        <f>Gas!AC20</f>
        <v>0</v>
      </c>
      <c r="X18" s="7">
        <f>ELECT.!B22</f>
        <v>36</v>
      </c>
    </row>
    <row r="19" spans="1:24">
      <c r="A19" s="11" t="s">
        <v>11</v>
      </c>
      <c r="B19" s="14">
        <f t="shared" si="0"/>
        <v>18</v>
      </c>
      <c r="C19" s="14">
        <v>2</v>
      </c>
      <c r="D19" s="14">
        <v>2021</v>
      </c>
      <c r="E19" s="7">
        <f>Water!C22</f>
        <v>180</v>
      </c>
      <c r="F19" s="7">
        <f>Water!E22</f>
        <v>7</v>
      </c>
      <c r="G19" s="7">
        <f>ELECT.!D23</f>
        <v>3301</v>
      </c>
      <c r="H19" s="7">
        <f>ELECT.!F23</f>
        <v>7892</v>
      </c>
      <c r="I19" s="7">
        <f>ELECT.!H23</f>
        <v>6355</v>
      </c>
      <c r="J19" s="8">
        <f>Gas!C21</f>
        <v>256</v>
      </c>
      <c r="K19" s="8">
        <f>Gas!E21</f>
        <v>1076</v>
      </c>
      <c r="L19" s="8">
        <f>Gas!G21</f>
        <v>93</v>
      </c>
      <c r="M19" s="16">
        <f>Gas!I21</f>
        <v>18</v>
      </c>
      <c r="N19" s="16">
        <f>Gas!K21</f>
        <v>33</v>
      </c>
      <c r="O19" s="8">
        <f>Gas!M21</f>
        <v>51</v>
      </c>
      <c r="P19" s="8">
        <f>Gas!O21</f>
        <v>52</v>
      </c>
      <c r="Q19" s="8">
        <f>Gas!Q21</f>
        <v>44</v>
      </c>
      <c r="R19" s="8">
        <f>Gas!S21</f>
        <v>147</v>
      </c>
      <c r="S19" s="8">
        <f>Gas!U21</f>
        <v>29</v>
      </c>
      <c r="T19" s="8">
        <f>Gas!W21</f>
        <v>57</v>
      </c>
      <c r="U19" s="8">
        <f>Gas!Y21</f>
        <v>0</v>
      </c>
      <c r="V19" s="8">
        <f>Gas!AA21</f>
        <v>0</v>
      </c>
      <c r="W19" s="8">
        <f>Gas!AC21</f>
        <v>0</v>
      </c>
      <c r="X19" s="7">
        <f>ELECT.!B23</f>
        <v>46</v>
      </c>
    </row>
    <row r="20" spans="1:24">
      <c r="A20" s="11" t="s">
        <v>11</v>
      </c>
      <c r="B20" s="14">
        <f t="shared" si="0"/>
        <v>19</v>
      </c>
      <c r="C20" s="14">
        <v>2</v>
      </c>
      <c r="D20" s="14">
        <v>2021</v>
      </c>
      <c r="E20" s="7">
        <f>Water!C23</f>
        <v>250</v>
      </c>
      <c r="F20" s="7">
        <f>Water!E23</f>
        <v>4</v>
      </c>
      <c r="G20" s="7">
        <f>ELECT.!D24</f>
        <v>3592</v>
      </c>
      <c r="H20" s="7">
        <f>ELECT.!F24</f>
        <v>6680</v>
      </c>
      <c r="I20" s="7">
        <f>ELECT.!H24</f>
        <v>5595</v>
      </c>
      <c r="J20" s="8">
        <f>Gas!C22</f>
        <v>267</v>
      </c>
      <c r="K20" s="8">
        <f>Gas!E22</f>
        <v>975</v>
      </c>
      <c r="L20" s="8">
        <f>Gas!G22</f>
        <v>140</v>
      </c>
      <c r="M20" s="16">
        <f>Gas!I22</f>
        <v>26</v>
      </c>
      <c r="N20" s="16">
        <f>Gas!K22</f>
        <v>29</v>
      </c>
      <c r="O20" s="8">
        <f>Gas!M22</f>
        <v>68</v>
      </c>
      <c r="P20" s="8">
        <f>Gas!O22</f>
        <v>50</v>
      </c>
      <c r="Q20" s="8">
        <f>Gas!Q22</f>
        <v>41</v>
      </c>
      <c r="R20" s="8">
        <f>Gas!S22</f>
        <v>156</v>
      </c>
      <c r="S20" s="8">
        <f>Gas!U22</f>
        <v>27</v>
      </c>
      <c r="T20" s="8">
        <f>Gas!W22</f>
        <v>61</v>
      </c>
      <c r="U20" s="8">
        <f>Gas!Y22</f>
        <v>0</v>
      </c>
      <c r="V20" s="8">
        <f>Gas!AA22</f>
        <v>0</v>
      </c>
      <c r="W20" s="8">
        <f>Gas!AC22</f>
        <v>0</v>
      </c>
      <c r="X20" s="7">
        <f>ELECT.!B24</f>
        <v>46</v>
      </c>
    </row>
    <row r="21" spans="1:24">
      <c r="A21" s="11" t="s">
        <v>11</v>
      </c>
      <c r="B21" s="14">
        <f t="shared" si="0"/>
        <v>20</v>
      </c>
      <c r="C21" s="14">
        <v>2</v>
      </c>
      <c r="D21" s="14">
        <v>2021</v>
      </c>
      <c r="E21" s="7">
        <f>Water!C24</f>
        <v>220</v>
      </c>
      <c r="F21" s="7">
        <f>Water!E24</f>
        <v>5</v>
      </c>
      <c r="G21" s="7">
        <f>ELECT.!D25</f>
        <v>3945</v>
      </c>
      <c r="H21" s="7">
        <f>ELECT.!F25</f>
        <v>7135</v>
      </c>
      <c r="I21" s="7">
        <f>ELECT.!H25</f>
        <v>6090</v>
      </c>
      <c r="J21" s="8">
        <f>Gas!C23</f>
        <v>356</v>
      </c>
      <c r="K21" s="8">
        <f>Gas!E23</f>
        <v>950</v>
      </c>
      <c r="L21" s="8">
        <f>Gas!G23</f>
        <v>112</v>
      </c>
      <c r="M21" s="16">
        <f>Gas!I23</f>
        <v>19</v>
      </c>
      <c r="N21" s="16">
        <f>Gas!K23</f>
        <v>0</v>
      </c>
      <c r="O21" s="8">
        <f>Gas!M23</f>
        <v>58</v>
      </c>
      <c r="P21" s="8">
        <f>Gas!O23</f>
        <v>65</v>
      </c>
      <c r="Q21" s="8">
        <f>Gas!Q23</f>
        <v>41</v>
      </c>
      <c r="R21" s="8">
        <f>Gas!S23</f>
        <v>155</v>
      </c>
      <c r="S21" s="8">
        <f>Gas!U23</f>
        <v>29</v>
      </c>
      <c r="T21" s="8">
        <f>Gas!W23</f>
        <v>53</v>
      </c>
      <c r="U21" s="8">
        <f>Gas!Y23</f>
        <v>0</v>
      </c>
      <c r="V21" s="8">
        <f>Gas!AA23</f>
        <v>0</v>
      </c>
      <c r="W21" s="8">
        <f>Gas!AC23</f>
        <v>0</v>
      </c>
      <c r="X21" s="7">
        <f>ELECT.!B25</f>
        <v>40</v>
      </c>
    </row>
    <row r="22" spans="1:24">
      <c r="A22" s="11" t="s">
        <v>11</v>
      </c>
      <c r="B22" s="14">
        <f t="shared" si="0"/>
        <v>21</v>
      </c>
      <c r="C22" s="14">
        <v>2</v>
      </c>
      <c r="D22" s="14">
        <v>2021</v>
      </c>
      <c r="E22" s="7">
        <f>Water!C25</f>
        <v>180</v>
      </c>
      <c r="F22" s="7">
        <f>Water!E25</f>
        <v>4</v>
      </c>
      <c r="G22" s="7">
        <f>ELECT.!D26</f>
        <v>3482</v>
      </c>
      <c r="H22" s="7">
        <f>ELECT.!F26</f>
        <v>6199</v>
      </c>
      <c r="I22" s="7">
        <f>ELECT.!H26</f>
        <v>5133</v>
      </c>
      <c r="J22" s="8">
        <f>Gas!C24</f>
        <v>206</v>
      </c>
      <c r="K22" s="8">
        <f>Gas!E24</f>
        <v>788</v>
      </c>
      <c r="L22" s="8">
        <f>Gas!G24</f>
        <v>121</v>
      </c>
      <c r="M22" s="16">
        <f>Gas!I24</f>
        <v>25</v>
      </c>
      <c r="N22" s="16">
        <f>Gas!K24</f>
        <v>26</v>
      </c>
      <c r="O22" s="8">
        <f>Gas!M24</f>
        <v>56</v>
      </c>
      <c r="P22" s="8">
        <f>Gas!O24</f>
        <v>15</v>
      </c>
      <c r="Q22" s="8">
        <f>Gas!Q24</f>
        <v>46</v>
      </c>
      <c r="R22" s="8">
        <f>Gas!S24</f>
        <v>180</v>
      </c>
      <c r="S22" s="8">
        <f>Gas!U24</f>
        <v>35</v>
      </c>
      <c r="T22" s="8">
        <f>Gas!W24</f>
        <v>58</v>
      </c>
      <c r="U22" s="8">
        <f>Gas!Y24</f>
        <v>0</v>
      </c>
      <c r="V22" s="8">
        <f>Gas!AA24</f>
        <v>0</v>
      </c>
      <c r="W22" s="8">
        <f>Gas!AC24</f>
        <v>0</v>
      </c>
      <c r="X22" s="7">
        <f>ELECT.!B26</f>
        <v>49</v>
      </c>
    </row>
    <row r="23" spans="1:24">
      <c r="A23" s="11" t="s">
        <v>11</v>
      </c>
      <c r="B23" s="14">
        <f t="shared" si="0"/>
        <v>22</v>
      </c>
      <c r="C23" s="14">
        <v>2</v>
      </c>
      <c r="D23" s="14">
        <v>2021</v>
      </c>
      <c r="E23" s="7">
        <f>Water!C26</f>
        <v>180</v>
      </c>
      <c r="F23" s="7">
        <f>Water!E26</f>
        <v>9</v>
      </c>
      <c r="G23" s="7">
        <f>ELECT.!D27</f>
        <v>4878</v>
      </c>
      <c r="H23" s="7">
        <f>ELECT.!F27</f>
        <v>6764</v>
      </c>
      <c r="I23" s="7">
        <f>ELECT.!H27</f>
        <v>4914</v>
      </c>
      <c r="J23" s="8">
        <f>Gas!C25</f>
        <v>244</v>
      </c>
      <c r="K23" s="8">
        <f>Gas!E25</f>
        <v>859</v>
      </c>
      <c r="L23" s="8">
        <f>Gas!G25</f>
        <v>88</v>
      </c>
      <c r="M23" s="16">
        <f>Gas!I25</f>
        <v>19</v>
      </c>
      <c r="N23" s="16">
        <f>Gas!K25</f>
        <v>30</v>
      </c>
      <c r="O23" s="8">
        <f>Gas!M25</f>
        <v>58</v>
      </c>
      <c r="P23" s="8">
        <f>Gas!O25</f>
        <v>18</v>
      </c>
      <c r="Q23" s="8">
        <f>Gas!Q25</f>
        <v>41</v>
      </c>
      <c r="R23" s="8">
        <f>Gas!S25</f>
        <v>141</v>
      </c>
      <c r="S23" s="8">
        <f>Gas!U25</f>
        <v>26</v>
      </c>
      <c r="T23" s="8">
        <f>Gas!W25</f>
        <v>56</v>
      </c>
      <c r="U23" s="8">
        <f>Gas!Y25</f>
        <v>0</v>
      </c>
      <c r="V23" s="8">
        <f>Gas!AA25</f>
        <v>0</v>
      </c>
      <c r="W23" s="8">
        <f>Gas!AC25</f>
        <v>0</v>
      </c>
      <c r="X23" s="7">
        <f>ELECT.!B27</f>
        <v>49</v>
      </c>
    </row>
    <row r="24" spans="1:24">
      <c r="A24" s="11" t="s">
        <v>11</v>
      </c>
      <c r="B24" s="14">
        <f t="shared" si="0"/>
        <v>23</v>
      </c>
      <c r="C24" s="14">
        <v>2</v>
      </c>
      <c r="D24" s="14">
        <v>2021</v>
      </c>
      <c r="E24" s="7">
        <f>Water!C27</f>
        <v>170</v>
      </c>
      <c r="F24" s="7">
        <f>Water!E27</f>
        <v>4</v>
      </c>
      <c r="G24" s="7">
        <f>ELECT.!D28</f>
        <v>4316</v>
      </c>
      <c r="H24" s="7">
        <f>ELECT.!F28</f>
        <v>6286</v>
      </c>
      <c r="I24" s="7">
        <f>ELECT.!H28</f>
        <v>5003</v>
      </c>
      <c r="J24" s="8">
        <f>Gas!C26</f>
        <v>265</v>
      </c>
      <c r="K24" s="8">
        <f>Gas!E26</f>
        <v>813</v>
      </c>
      <c r="L24" s="8">
        <f>Gas!G26</f>
        <v>73</v>
      </c>
      <c r="M24" s="16">
        <f>Gas!I26</f>
        <v>24</v>
      </c>
      <c r="N24" s="16">
        <f>Gas!K26</f>
        <v>31</v>
      </c>
      <c r="O24" s="8">
        <f>Gas!M26</f>
        <v>64</v>
      </c>
      <c r="P24" s="8">
        <f>Gas!O26</f>
        <v>42</v>
      </c>
      <c r="Q24" s="8">
        <f>Gas!Q26</f>
        <v>36</v>
      </c>
      <c r="R24" s="8">
        <f>Gas!S26</f>
        <v>88</v>
      </c>
      <c r="S24" s="8">
        <f>Gas!U26</f>
        <v>28</v>
      </c>
      <c r="T24" s="8">
        <f>Gas!W26</f>
        <v>51</v>
      </c>
      <c r="U24" s="8">
        <f>Gas!Y26</f>
        <v>0</v>
      </c>
      <c r="V24" s="8">
        <f>Gas!AA26</f>
        <v>0</v>
      </c>
      <c r="W24" s="8">
        <f>Gas!AC26</f>
        <v>0</v>
      </c>
      <c r="X24" s="7">
        <f>ELECT.!B28</f>
        <v>35</v>
      </c>
    </row>
    <row r="25" spans="1:24">
      <c r="A25" s="11" t="s">
        <v>11</v>
      </c>
      <c r="B25" s="14">
        <f t="shared" si="0"/>
        <v>24</v>
      </c>
      <c r="C25" s="14">
        <v>2</v>
      </c>
      <c r="D25" s="14">
        <v>2021</v>
      </c>
      <c r="E25" s="7">
        <f>Water!C28</f>
        <v>210</v>
      </c>
      <c r="F25" s="7">
        <f>Water!E28</f>
        <v>5</v>
      </c>
      <c r="G25" s="7">
        <f>ELECT.!D29</f>
        <v>4604</v>
      </c>
      <c r="H25" s="7">
        <f>ELECT.!F29</f>
        <v>7120</v>
      </c>
      <c r="I25" s="7">
        <f>ELECT.!H29</f>
        <v>4627</v>
      </c>
      <c r="J25" s="8">
        <f>Gas!C27</f>
        <v>207</v>
      </c>
      <c r="K25" s="8">
        <f>Gas!E27</f>
        <v>846</v>
      </c>
      <c r="L25" s="8">
        <f>Gas!G27</f>
        <v>91</v>
      </c>
      <c r="M25" s="16">
        <f>Gas!I27</f>
        <v>20</v>
      </c>
      <c r="N25" s="16">
        <f>Gas!K27</f>
        <v>36</v>
      </c>
      <c r="O25" s="8">
        <f>Gas!M27</f>
        <v>35</v>
      </c>
      <c r="P25" s="8">
        <f>Gas!O27</f>
        <v>23</v>
      </c>
      <c r="Q25" s="8">
        <f>Gas!Q27</f>
        <v>40</v>
      </c>
      <c r="R25" s="8">
        <f>Gas!S27</f>
        <v>123</v>
      </c>
      <c r="S25" s="8">
        <f>Gas!U27</f>
        <v>24</v>
      </c>
      <c r="T25" s="8">
        <f>Gas!W27</f>
        <v>57</v>
      </c>
      <c r="U25" s="8">
        <f>Gas!Y27</f>
        <v>0</v>
      </c>
      <c r="V25" s="8">
        <f>Gas!AA27</f>
        <v>0</v>
      </c>
      <c r="W25" s="8">
        <f>Gas!AC27</f>
        <v>0</v>
      </c>
      <c r="X25" s="7">
        <f>ELECT.!B29</f>
        <v>24</v>
      </c>
    </row>
    <row r="26" spans="1:24">
      <c r="A26" s="11" t="s">
        <v>11</v>
      </c>
      <c r="B26" s="14">
        <f>B25+1</f>
        <v>25</v>
      </c>
      <c r="C26" s="14">
        <v>2</v>
      </c>
      <c r="D26" s="14">
        <v>2021</v>
      </c>
      <c r="E26" s="7">
        <f>Water!C29</f>
        <v>220</v>
      </c>
      <c r="F26" s="7">
        <f>Water!E29</f>
        <v>4</v>
      </c>
      <c r="G26" s="7">
        <f>ELECT.!D30</f>
        <v>4095</v>
      </c>
      <c r="H26" s="7">
        <f>ELECT.!F30</f>
        <v>7322</v>
      </c>
      <c r="I26" s="7">
        <f>ELECT.!H30</f>
        <v>5937</v>
      </c>
      <c r="J26" s="8">
        <f>Gas!C28</f>
        <v>220</v>
      </c>
      <c r="K26" s="8">
        <f>Gas!E28</f>
        <v>826</v>
      </c>
      <c r="L26" s="8">
        <f>Gas!G28</f>
        <v>104</v>
      </c>
      <c r="M26" s="16">
        <f>Gas!I28</f>
        <v>20</v>
      </c>
      <c r="N26" s="16">
        <f>Gas!K28</f>
        <v>34</v>
      </c>
      <c r="O26" s="8">
        <f>Gas!M28</f>
        <v>49</v>
      </c>
      <c r="P26" s="8">
        <f>Gas!O28</f>
        <v>21</v>
      </c>
      <c r="Q26" s="8">
        <f>Gas!Q28</f>
        <v>39</v>
      </c>
      <c r="R26" s="8">
        <f>Gas!S28</f>
        <v>152</v>
      </c>
      <c r="S26" s="8">
        <f>Gas!U28</f>
        <v>17</v>
      </c>
      <c r="T26" s="8">
        <f>Gas!W28</f>
        <v>56</v>
      </c>
      <c r="U26" s="8">
        <f>Gas!Y28</f>
        <v>0</v>
      </c>
      <c r="V26" s="8">
        <f>Gas!AA28</f>
        <v>0</v>
      </c>
      <c r="W26" s="8">
        <f>Gas!AC28</f>
        <v>0</v>
      </c>
      <c r="X26" s="7">
        <f>ELECT.!B30</f>
        <v>40</v>
      </c>
    </row>
    <row r="27" spans="1:24">
      <c r="A27" s="11" t="s">
        <v>11</v>
      </c>
      <c r="B27" s="14">
        <f t="shared" si="0"/>
        <v>26</v>
      </c>
      <c r="C27" s="14">
        <v>2</v>
      </c>
      <c r="D27" s="14">
        <v>2021</v>
      </c>
      <c r="E27" s="7">
        <f>Water!C30</f>
        <v>240</v>
      </c>
      <c r="F27" s="7">
        <f>Water!E30</f>
        <v>3</v>
      </c>
      <c r="G27" s="7">
        <f>ELECT.!D31</f>
        <v>3936</v>
      </c>
      <c r="H27" s="7">
        <f>ELECT.!F31</f>
        <v>6749</v>
      </c>
      <c r="I27" s="7">
        <f>ELECT.!H31</f>
        <v>5539</v>
      </c>
      <c r="J27" s="8">
        <f>Gas!C29</f>
        <v>216</v>
      </c>
      <c r="K27" s="8">
        <f>Gas!E29</f>
        <v>729</v>
      </c>
      <c r="L27" s="8">
        <f>Gas!G29</f>
        <v>127</v>
      </c>
      <c r="M27" s="16">
        <f>Gas!I29</f>
        <v>27</v>
      </c>
      <c r="N27" s="16">
        <f>Gas!K29</f>
        <v>28</v>
      </c>
      <c r="O27" s="8">
        <f>Gas!M29</f>
        <v>59</v>
      </c>
      <c r="P27" s="8">
        <f>Gas!O29</f>
        <v>42</v>
      </c>
      <c r="Q27" s="8">
        <f>Gas!Q29</f>
        <v>39</v>
      </c>
      <c r="R27" s="8">
        <f>Gas!S29</f>
        <v>130</v>
      </c>
      <c r="S27" s="8">
        <f>Gas!U29</f>
        <v>17</v>
      </c>
      <c r="T27" s="8">
        <f>Gas!W29</f>
        <v>56</v>
      </c>
      <c r="U27" s="8">
        <f>Gas!Y29</f>
        <v>0</v>
      </c>
      <c r="V27" s="8">
        <f>Gas!AA29</f>
        <v>0</v>
      </c>
      <c r="W27" s="8">
        <f>Gas!AC29</f>
        <v>0</v>
      </c>
      <c r="X27" s="7">
        <f>ELECT.!B31</f>
        <v>38</v>
      </c>
    </row>
    <row r="28" spans="1:24">
      <c r="A28" s="11" t="s">
        <v>11</v>
      </c>
      <c r="B28" s="14">
        <f t="shared" si="0"/>
        <v>27</v>
      </c>
      <c r="C28" s="14">
        <v>2</v>
      </c>
      <c r="D28" s="14">
        <v>2021</v>
      </c>
      <c r="E28" s="7">
        <f>Water!C31</f>
        <v>200</v>
      </c>
      <c r="F28" s="7">
        <f>Water!E31</f>
        <v>6</v>
      </c>
      <c r="G28" s="7">
        <f>ELECT.!D32</f>
        <v>3439</v>
      </c>
      <c r="H28" s="7">
        <f>ELECT.!F32</f>
        <v>5750</v>
      </c>
      <c r="I28" s="7">
        <f>ELECT.!H32</f>
        <v>4967</v>
      </c>
      <c r="J28" s="8">
        <f>Gas!C30</f>
        <v>269</v>
      </c>
      <c r="K28" s="8">
        <f>Gas!E30</f>
        <v>808</v>
      </c>
      <c r="L28" s="8">
        <f>Gas!G30</f>
        <v>76</v>
      </c>
      <c r="M28" s="16">
        <f>Gas!I30</f>
        <v>20</v>
      </c>
      <c r="N28" s="16">
        <f>Gas!K30</f>
        <v>25</v>
      </c>
      <c r="O28" s="8">
        <f>Gas!M30</f>
        <v>61</v>
      </c>
      <c r="P28" s="8">
        <f>Gas!O30</f>
        <v>19</v>
      </c>
      <c r="Q28" s="8">
        <f>Gas!Q30</f>
        <v>33</v>
      </c>
      <c r="R28" s="8">
        <f>Gas!S30</f>
        <v>161</v>
      </c>
      <c r="S28" s="8">
        <f>Gas!U30</f>
        <v>19</v>
      </c>
      <c r="T28" s="8">
        <f>Gas!W30</f>
        <v>48</v>
      </c>
      <c r="U28" s="8">
        <f>Gas!Y30</f>
        <v>0</v>
      </c>
      <c r="V28" s="8">
        <f>Gas!AA30</f>
        <v>0</v>
      </c>
      <c r="W28" s="8">
        <f>Gas!AC30</f>
        <v>0</v>
      </c>
      <c r="X28" s="7">
        <f>ELECT.!B32</f>
        <v>53</v>
      </c>
    </row>
    <row r="29" spans="1:24">
      <c r="A29" s="11" t="s">
        <v>11</v>
      </c>
      <c r="B29" s="14">
        <f t="shared" si="0"/>
        <v>28</v>
      </c>
      <c r="C29" s="14">
        <v>2</v>
      </c>
      <c r="D29" s="14">
        <v>2021</v>
      </c>
      <c r="E29" s="7">
        <f>Water!C32</f>
        <v>160</v>
      </c>
      <c r="F29" s="7">
        <f>Water!E32</f>
        <v>4</v>
      </c>
      <c r="G29" s="7">
        <f>ELECT.!D33</f>
        <v>3865</v>
      </c>
      <c r="H29" s="7">
        <f>ELECT.!F33</f>
        <v>12952</v>
      </c>
      <c r="I29" s="7">
        <f>ELECT.!H33</f>
        <v>6050</v>
      </c>
      <c r="J29" s="8">
        <f>Gas!C31</f>
        <v>227</v>
      </c>
      <c r="K29" s="8">
        <f>Gas!E31</f>
        <v>753</v>
      </c>
      <c r="L29" s="8">
        <f>Gas!G31</f>
        <v>96</v>
      </c>
      <c r="M29" s="16">
        <f>Gas!I31</f>
        <v>23</v>
      </c>
      <c r="N29" s="16">
        <f>Gas!K31</f>
        <v>6</v>
      </c>
      <c r="O29" s="8">
        <f>Gas!M31</f>
        <v>56</v>
      </c>
      <c r="P29" s="8">
        <f>Gas!O31</f>
        <v>36</v>
      </c>
      <c r="Q29" s="8">
        <f>Gas!Q31</f>
        <v>36</v>
      </c>
      <c r="R29" s="8">
        <f>Gas!S31</f>
        <v>150</v>
      </c>
      <c r="S29" s="8">
        <f>Gas!U31</f>
        <v>19</v>
      </c>
      <c r="T29" s="8">
        <f>Gas!W31</f>
        <v>54</v>
      </c>
      <c r="U29" s="8">
        <f>Gas!Y31</f>
        <v>0</v>
      </c>
      <c r="V29" s="8">
        <f>Gas!AA31</f>
        <v>0</v>
      </c>
      <c r="W29" s="8">
        <f>Gas!AC31</f>
        <v>0</v>
      </c>
      <c r="X29" s="7">
        <f>ELECT.!B33</f>
        <v>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3"/>
  <sheetViews>
    <sheetView topLeftCell="A27" zoomScale="70" zoomScaleNormal="70" workbookViewId="0">
      <selection activeCell="D4" sqref="D4:D32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15" t="s">
        <v>32</v>
      </c>
      <c r="B1" s="116"/>
      <c r="C1" s="116"/>
      <c r="D1" s="116"/>
      <c r="E1" s="117"/>
    </row>
    <row r="2" spans="1:5" ht="19.5" thickBot="1">
      <c r="A2" s="27" t="s">
        <v>1</v>
      </c>
      <c r="B2" s="118"/>
      <c r="C2" s="119"/>
      <c r="D2" s="119"/>
      <c r="E2" s="120"/>
    </row>
    <row r="3" spans="1:5" ht="18.75">
      <c r="A3" s="28"/>
      <c r="B3" s="29" t="s">
        <v>33</v>
      </c>
      <c r="C3" s="29" t="s">
        <v>34</v>
      </c>
      <c r="D3" s="84" t="s">
        <v>35</v>
      </c>
      <c r="E3" s="30" t="s">
        <v>34</v>
      </c>
    </row>
    <row r="4" spans="1:5" ht="26.25">
      <c r="A4" s="46" t="s">
        <v>36</v>
      </c>
      <c r="B4" s="109">
        <v>56314</v>
      </c>
      <c r="C4" s="75">
        <v>0</v>
      </c>
      <c r="D4" s="110">
        <v>52416</v>
      </c>
      <c r="E4" s="80">
        <v>0</v>
      </c>
    </row>
    <row r="5" spans="1:5" ht="26.25">
      <c r="A5" s="46">
        <v>44228</v>
      </c>
      <c r="B5" s="109">
        <v>56332</v>
      </c>
      <c r="C5" s="76">
        <f>(IF((B5-B4)&lt;0,"0",(B5-B4)))*10</f>
        <v>180</v>
      </c>
      <c r="D5" s="110">
        <v>52436</v>
      </c>
      <c r="E5" s="80">
        <f>E8</f>
        <v>9</v>
      </c>
    </row>
    <row r="6" spans="1:5" ht="26.25">
      <c r="A6" s="46">
        <v>44229</v>
      </c>
      <c r="B6" s="109">
        <v>56348</v>
      </c>
      <c r="C6" s="76">
        <f t="shared" ref="C6:C32" si="0">(IF((B6-B5)&lt;0,"0",(B6-B5)))*10</f>
        <v>160</v>
      </c>
      <c r="D6" s="110">
        <v>52449</v>
      </c>
      <c r="E6" s="80">
        <f>E7</f>
        <v>25</v>
      </c>
    </row>
    <row r="7" spans="1:5" ht="26.25">
      <c r="A7" s="46">
        <v>44230</v>
      </c>
      <c r="B7" s="109">
        <v>56365</v>
      </c>
      <c r="C7" s="76">
        <f t="shared" si="0"/>
        <v>170</v>
      </c>
      <c r="D7" s="110">
        <v>52474</v>
      </c>
      <c r="E7" s="80">
        <f t="shared" ref="E7:E32" si="1">(IF((D7-D6)&lt;0,"0",(D7-D6)))</f>
        <v>25</v>
      </c>
    </row>
    <row r="8" spans="1:5" ht="26.25">
      <c r="A8" s="46">
        <v>44231</v>
      </c>
      <c r="B8" s="109">
        <v>56386</v>
      </c>
      <c r="C8" s="76">
        <f t="shared" si="0"/>
        <v>210</v>
      </c>
      <c r="D8" s="110">
        <v>52483</v>
      </c>
      <c r="E8" s="80">
        <f t="shared" si="1"/>
        <v>9</v>
      </c>
    </row>
    <row r="9" spans="1:5" ht="26.25">
      <c r="A9" s="46">
        <v>44232</v>
      </c>
      <c r="B9" s="109">
        <v>56407</v>
      </c>
      <c r="C9" s="76">
        <f t="shared" si="0"/>
        <v>210</v>
      </c>
      <c r="D9" s="110">
        <v>52488</v>
      </c>
      <c r="E9" s="80">
        <f t="shared" si="1"/>
        <v>5</v>
      </c>
    </row>
    <row r="10" spans="1:5" ht="26.25">
      <c r="A10" s="46">
        <v>44233</v>
      </c>
      <c r="B10" s="109">
        <v>56426</v>
      </c>
      <c r="C10" s="76">
        <f t="shared" si="0"/>
        <v>190</v>
      </c>
      <c r="D10" s="110">
        <v>52501</v>
      </c>
      <c r="E10" s="80">
        <f t="shared" si="1"/>
        <v>13</v>
      </c>
    </row>
    <row r="11" spans="1:5" ht="26.25">
      <c r="A11" s="46">
        <v>44234</v>
      </c>
      <c r="B11" s="109">
        <v>56444</v>
      </c>
      <c r="C11" s="76">
        <f t="shared" si="0"/>
        <v>180</v>
      </c>
      <c r="D11" s="110">
        <v>52517</v>
      </c>
      <c r="E11" s="80">
        <f t="shared" si="1"/>
        <v>16</v>
      </c>
    </row>
    <row r="12" spans="1:5" ht="26.25">
      <c r="A12" s="46">
        <v>44235</v>
      </c>
      <c r="B12" s="109">
        <v>56462</v>
      </c>
      <c r="C12" s="76">
        <f t="shared" si="0"/>
        <v>180</v>
      </c>
      <c r="D12" s="110">
        <v>52529</v>
      </c>
      <c r="E12" s="80">
        <f t="shared" si="1"/>
        <v>12</v>
      </c>
    </row>
    <row r="13" spans="1:5" ht="26.25">
      <c r="A13" s="46">
        <v>44236</v>
      </c>
      <c r="B13" s="109">
        <v>56480</v>
      </c>
      <c r="C13" s="76">
        <f t="shared" si="0"/>
        <v>180</v>
      </c>
      <c r="D13" s="110">
        <v>52542</v>
      </c>
      <c r="E13" s="80">
        <f t="shared" si="1"/>
        <v>13</v>
      </c>
    </row>
    <row r="14" spans="1:5" ht="26.25">
      <c r="A14" s="46">
        <v>44237</v>
      </c>
      <c r="B14" s="109">
        <v>56498</v>
      </c>
      <c r="C14" s="76">
        <f t="shared" si="0"/>
        <v>180</v>
      </c>
      <c r="D14" s="110">
        <v>52559</v>
      </c>
      <c r="E14" s="80">
        <f t="shared" si="1"/>
        <v>17</v>
      </c>
    </row>
    <row r="15" spans="1:5" ht="26.25">
      <c r="A15" s="46">
        <v>44238</v>
      </c>
      <c r="B15" s="109">
        <v>56519</v>
      </c>
      <c r="C15" s="76">
        <f t="shared" si="0"/>
        <v>210</v>
      </c>
      <c r="D15" s="110">
        <v>52586</v>
      </c>
      <c r="E15" s="80">
        <f t="shared" si="1"/>
        <v>27</v>
      </c>
    </row>
    <row r="16" spans="1:5" ht="26.25">
      <c r="A16" s="46">
        <v>44239</v>
      </c>
      <c r="B16" s="109">
        <v>56542</v>
      </c>
      <c r="C16" s="76">
        <f t="shared" si="0"/>
        <v>230</v>
      </c>
      <c r="D16" s="110">
        <v>52594</v>
      </c>
      <c r="E16" s="81">
        <f t="shared" si="1"/>
        <v>8</v>
      </c>
    </row>
    <row r="17" spans="1:11" ht="26.25">
      <c r="A17" s="46">
        <v>44240</v>
      </c>
      <c r="B17" s="109">
        <v>56563</v>
      </c>
      <c r="C17" s="76">
        <f t="shared" si="0"/>
        <v>210</v>
      </c>
      <c r="D17" s="110">
        <v>52607</v>
      </c>
      <c r="E17" s="83">
        <f t="shared" si="1"/>
        <v>13</v>
      </c>
    </row>
    <row r="18" spans="1:11" ht="26.25">
      <c r="A18" s="46">
        <v>44241</v>
      </c>
      <c r="B18" s="109">
        <v>56585</v>
      </c>
      <c r="C18" s="76">
        <f t="shared" si="0"/>
        <v>220</v>
      </c>
      <c r="D18" s="110">
        <v>52620</v>
      </c>
      <c r="E18" s="80">
        <f t="shared" si="1"/>
        <v>13</v>
      </c>
    </row>
    <row r="19" spans="1:11" ht="26.25">
      <c r="A19" s="46">
        <v>44242</v>
      </c>
      <c r="B19" s="109">
        <v>56605</v>
      </c>
      <c r="C19" s="76">
        <f t="shared" si="0"/>
        <v>200</v>
      </c>
      <c r="D19" s="110">
        <v>52640</v>
      </c>
      <c r="E19" s="80">
        <f t="shared" si="1"/>
        <v>20</v>
      </c>
    </row>
    <row r="20" spans="1:11" ht="26.25">
      <c r="A20" s="46">
        <v>44243</v>
      </c>
      <c r="B20" s="109">
        <v>56637</v>
      </c>
      <c r="C20" s="76">
        <f t="shared" si="0"/>
        <v>320</v>
      </c>
      <c r="D20" s="110">
        <v>52648</v>
      </c>
      <c r="E20" s="80">
        <f t="shared" si="1"/>
        <v>8</v>
      </c>
    </row>
    <row r="21" spans="1:11" ht="26.25">
      <c r="A21" s="46">
        <v>44244</v>
      </c>
      <c r="B21" s="109">
        <v>56654</v>
      </c>
      <c r="C21" s="76">
        <f t="shared" si="0"/>
        <v>170</v>
      </c>
      <c r="D21" s="110">
        <v>52654</v>
      </c>
      <c r="E21" s="80">
        <f t="shared" si="1"/>
        <v>6</v>
      </c>
    </row>
    <row r="22" spans="1:11" ht="26.25">
      <c r="A22" s="46">
        <v>44245</v>
      </c>
      <c r="B22" s="109">
        <v>56672</v>
      </c>
      <c r="C22" s="76">
        <f t="shared" si="0"/>
        <v>180</v>
      </c>
      <c r="D22" s="110">
        <v>52661</v>
      </c>
      <c r="E22" s="80">
        <f t="shared" si="1"/>
        <v>7</v>
      </c>
    </row>
    <row r="23" spans="1:11" ht="26.25">
      <c r="A23" s="46">
        <v>44246</v>
      </c>
      <c r="B23" s="109">
        <v>56697</v>
      </c>
      <c r="C23" s="76">
        <f t="shared" si="0"/>
        <v>250</v>
      </c>
      <c r="D23" s="110">
        <v>52665</v>
      </c>
      <c r="E23" s="80">
        <f t="shared" si="1"/>
        <v>4</v>
      </c>
    </row>
    <row r="24" spans="1:11" ht="26.25">
      <c r="A24" s="46">
        <v>44247</v>
      </c>
      <c r="B24" s="109">
        <v>56719</v>
      </c>
      <c r="C24" s="76">
        <f t="shared" si="0"/>
        <v>220</v>
      </c>
      <c r="D24" s="110">
        <v>52670</v>
      </c>
      <c r="E24" s="80">
        <f t="shared" si="1"/>
        <v>5</v>
      </c>
    </row>
    <row r="25" spans="1:11" ht="26.25">
      <c r="A25" s="46">
        <v>44248</v>
      </c>
      <c r="B25" s="109">
        <v>56737</v>
      </c>
      <c r="C25" s="76">
        <f t="shared" si="0"/>
        <v>180</v>
      </c>
      <c r="D25" s="110">
        <v>52674</v>
      </c>
      <c r="E25" s="80">
        <f t="shared" si="1"/>
        <v>4</v>
      </c>
    </row>
    <row r="26" spans="1:11" ht="26.25">
      <c r="A26" s="46">
        <v>44249</v>
      </c>
      <c r="B26" s="109">
        <v>56755</v>
      </c>
      <c r="C26" s="76">
        <f t="shared" si="0"/>
        <v>180</v>
      </c>
      <c r="D26" s="110">
        <v>52683</v>
      </c>
      <c r="E26" s="80">
        <f t="shared" si="1"/>
        <v>9</v>
      </c>
    </row>
    <row r="27" spans="1:11" ht="27.75">
      <c r="A27" s="46">
        <v>44250</v>
      </c>
      <c r="B27" s="109">
        <v>56772</v>
      </c>
      <c r="C27" s="76">
        <f t="shared" si="0"/>
        <v>170</v>
      </c>
      <c r="D27" s="111">
        <v>52687</v>
      </c>
      <c r="E27" s="80">
        <f t="shared" si="1"/>
        <v>4</v>
      </c>
      <c r="K27" s="23"/>
    </row>
    <row r="28" spans="1:11" ht="26.25">
      <c r="A28" s="46">
        <v>44251</v>
      </c>
      <c r="B28" s="109">
        <v>56793</v>
      </c>
      <c r="C28" s="76">
        <f t="shared" si="0"/>
        <v>210</v>
      </c>
      <c r="D28" s="110">
        <v>52692</v>
      </c>
      <c r="E28" s="80">
        <f t="shared" si="1"/>
        <v>5</v>
      </c>
    </row>
    <row r="29" spans="1:11" ht="26.25">
      <c r="A29" s="46">
        <v>44252</v>
      </c>
      <c r="B29" s="109">
        <v>56815</v>
      </c>
      <c r="C29" s="76">
        <f t="shared" si="0"/>
        <v>220</v>
      </c>
      <c r="D29" s="110">
        <v>52696</v>
      </c>
      <c r="E29" s="80">
        <f t="shared" si="1"/>
        <v>4</v>
      </c>
    </row>
    <row r="30" spans="1:11" ht="26.25">
      <c r="A30" s="46">
        <v>44253</v>
      </c>
      <c r="B30" s="109">
        <v>56839</v>
      </c>
      <c r="C30" s="76">
        <f t="shared" si="0"/>
        <v>240</v>
      </c>
      <c r="D30" s="110">
        <v>52699</v>
      </c>
      <c r="E30" s="80">
        <f t="shared" si="1"/>
        <v>3</v>
      </c>
    </row>
    <row r="31" spans="1:11" ht="26.25">
      <c r="A31" s="46">
        <v>44254</v>
      </c>
      <c r="B31" s="109">
        <v>56859</v>
      </c>
      <c r="C31" s="76">
        <f t="shared" si="0"/>
        <v>200</v>
      </c>
      <c r="D31" s="110">
        <v>52705</v>
      </c>
      <c r="E31" s="80">
        <f t="shared" si="1"/>
        <v>6</v>
      </c>
    </row>
    <row r="32" spans="1:11" ht="26.25">
      <c r="A32" s="46">
        <v>44255</v>
      </c>
      <c r="B32" s="109">
        <v>56875</v>
      </c>
      <c r="C32" s="76">
        <f t="shared" si="0"/>
        <v>160</v>
      </c>
      <c r="D32" s="110">
        <v>52709</v>
      </c>
      <c r="E32" s="80">
        <f t="shared" si="1"/>
        <v>4</v>
      </c>
    </row>
    <row r="33" spans="1:5" ht="27">
      <c r="A33" s="77" t="s">
        <v>37</v>
      </c>
      <c r="B33" s="78"/>
      <c r="C33" s="47">
        <f>SUM(C5:C32)</f>
        <v>5610</v>
      </c>
      <c r="D33" s="79"/>
      <c r="E33" s="82">
        <f>SUM(E5:E32)</f>
        <v>294</v>
      </c>
    </row>
  </sheetData>
  <mergeCells count="2">
    <mergeCell ref="A1:E1"/>
    <mergeCell ref="B2:E2"/>
  </mergeCells>
  <phoneticPr fontId="0" type="noConversion"/>
  <conditionalFormatting sqref="B33 C4:C32 D33 E4:E32">
    <cfRule type="cellIs" dxfId="67" priority="118" stopIfTrue="1" operator="lessThan">
      <formula>0</formula>
    </cfRule>
  </conditionalFormatting>
  <conditionalFormatting sqref="D33">
    <cfRule type="cellIs" dxfId="66" priority="116" stopIfTrue="1" operator="lessThan">
      <formula>0</formula>
    </cfRule>
  </conditionalFormatting>
  <conditionalFormatting sqref="B12:B32">
    <cfRule type="cellIs" dxfId="65" priority="12" stopIfTrue="1" operator="lessThan">
      <formula>0</formula>
    </cfRule>
  </conditionalFormatting>
  <conditionalFormatting sqref="B7 B11 B9">
    <cfRule type="cellIs" dxfId="64" priority="11" stopIfTrue="1" operator="lessThan">
      <formula>0</formula>
    </cfRule>
  </conditionalFormatting>
  <conditionalFormatting sqref="B5">
    <cfRule type="cellIs" dxfId="63" priority="10" stopIfTrue="1" operator="lessThan">
      <formula>0</formula>
    </cfRule>
  </conditionalFormatting>
  <conditionalFormatting sqref="B6 B8 B10">
    <cfRule type="cellIs" dxfId="62" priority="9" stopIfTrue="1" operator="lessThan">
      <formula>0</formula>
    </cfRule>
  </conditionalFormatting>
  <conditionalFormatting sqref="B6 B8 B10 B12">
    <cfRule type="cellIs" dxfId="61" priority="8" stopIfTrue="1" operator="lessThan">
      <formula>0</formula>
    </cfRule>
  </conditionalFormatting>
  <conditionalFormatting sqref="B4">
    <cfRule type="cellIs" dxfId="60" priority="7" stopIfTrue="1" operator="lessThan">
      <formula>0</formula>
    </cfRule>
  </conditionalFormatting>
  <conditionalFormatting sqref="D13:D31">
    <cfRule type="cellIs" dxfId="59" priority="6" stopIfTrue="1" operator="lessThan">
      <formula>0</formula>
    </cfRule>
  </conditionalFormatting>
  <conditionalFormatting sqref="D7:D12">
    <cfRule type="cellIs" dxfId="58" priority="5" stopIfTrue="1" operator="lessThan">
      <formula>0</formula>
    </cfRule>
  </conditionalFormatting>
  <conditionalFormatting sqref="D5">
    <cfRule type="cellIs" dxfId="57" priority="4" stopIfTrue="1" operator="lessThan">
      <formula>0</formula>
    </cfRule>
  </conditionalFormatting>
  <conditionalFormatting sqref="D6">
    <cfRule type="cellIs" dxfId="56" priority="3" stopIfTrue="1" operator="lessThan">
      <formula>0</formula>
    </cfRule>
  </conditionalFormatting>
  <conditionalFormatting sqref="D32">
    <cfRule type="cellIs" dxfId="55" priority="2" stopIfTrue="1" operator="lessThan">
      <formula>0</formula>
    </cfRule>
  </conditionalFormatting>
  <conditionalFormatting sqref="D4">
    <cfRule type="cellIs" dxfId="54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1"/>
  <sheetViews>
    <sheetView zoomScale="60" zoomScaleNormal="60" workbookViewId="0">
      <selection activeCell="G5" sqref="G5:G33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21" t="s">
        <v>38</v>
      </c>
      <c r="B1" s="122"/>
      <c r="C1" s="122"/>
      <c r="D1" s="122"/>
      <c r="E1" s="122"/>
      <c r="F1" s="122"/>
      <c r="G1" s="122"/>
      <c r="H1" s="122"/>
      <c r="I1" s="123"/>
    </row>
    <row r="2" spans="1:23" ht="15.75" customHeight="1" thickTop="1" thickBot="1">
      <c r="A2" s="124" t="s">
        <v>39</v>
      </c>
      <c r="B2" s="125"/>
      <c r="C2" s="125"/>
      <c r="D2" s="125"/>
      <c r="E2" s="125"/>
      <c r="F2" s="125"/>
      <c r="G2" s="125"/>
      <c r="H2" s="125"/>
      <c r="I2" s="126"/>
      <c r="J2" s="95" t="s">
        <v>40</v>
      </c>
      <c r="K2" s="96"/>
      <c r="L2" s="96"/>
      <c r="M2" s="96"/>
      <c r="N2" s="96"/>
      <c r="O2" s="97"/>
      <c r="P2" s="95" t="s">
        <v>41</v>
      </c>
      <c r="Q2" s="96"/>
      <c r="R2" s="96"/>
      <c r="S2" s="96"/>
      <c r="T2" s="96"/>
      <c r="U2" s="96"/>
      <c r="V2" s="96"/>
      <c r="W2" s="97"/>
    </row>
    <row r="3" spans="1:23" ht="16.5" thickBot="1">
      <c r="A3" s="44" t="s">
        <v>1</v>
      </c>
      <c r="B3" s="45" t="s">
        <v>42</v>
      </c>
      <c r="C3" s="113" t="s">
        <v>43</v>
      </c>
      <c r="D3" s="38" t="s">
        <v>34</v>
      </c>
      <c r="E3" s="38" t="s">
        <v>44</v>
      </c>
      <c r="F3" s="114" t="s">
        <v>34</v>
      </c>
      <c r="G3" s="38" t="s">
        <v>45</v>
      </c>
      <c r="H3" s="31" t="s">
        <v>34</v>
      </c>
      <c r="I3" s="89" t="s">
        <v>37</v>
      </c>
      <c r="J3" s="98" t="s">
        <v>46</v>
      </c>
      <c r="K3" s="38"/>
      <c r="L3" s="38" t="s">
        <v>47</v>
      </c>
      <c r="M3" s="38"/>
      <c r="N3" s="38" t="s">
        <v>48</v>
      </c>
      <c r="O3" s="89"/>
      <c r="P3" s="98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89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90" t="s">
        <v>53</v>
      </c>
      <c r="J4" s="99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90" t="s">
        <v>55</v>
      </c>
      <c r="P4" s="99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90" t="s">
        <v>55</v>
      </c>
    </row>
    <row r="5" spans="1:23" ht="26.25">
      <c r="A5" s="35" t="s">
        <v>36</v>
      </c>
      <c r="B5" s="33">
        <v>77</v>
      </c>
      <c r="C5" s="112">
        <v>48007400</v>
      </c>
      <c r="D5" s="41">
        <v>0</v>
      </c>
      <c r="E5" s="112">
        <v>46108294</v>
      </c>
      <c r="F5" s="71">
        <v>0</v>
      </c>
      <c r="G5" s="112">
        <v>34925100</v>
      </c>
      <c r="H5" s="71">
        <v>0</v>
      </c>
      <c r="I5" s="92"/>
      <c r="J5" s="100"/>
      <c r="K5" s="100"/>
      <c r="L5" s="100"/>
      <c r="M5" s="100"/>
      <c r="N5" s="100"/>
      <c r="O5" s="91"/>
      <c r="P5" s="100"/>
      <c r="Q5" s="100"/>
      <c r="R5" s="100"/>
      <c r="S5" s="100"/>
      <c r="T5" s="100"/>
      <c r="U5" s="100"/>
      <c r="V5" s="100"/>
      <c r="W5" s="91"/>
    </row>
    <row r="6" spans="1:23" ht="26.25">
      <c r="A6" s="32">
        <v>44228</v>
      </c>
      <c r="B6" s="34">
        <v>77</v>
      </c>
      <c r="C6" s="112">
        <v>48011475</v>
      </c>
      <c r="D6" s="42">
        <f>IF((C6-C5)&lt;0,"0",(C6-C5))</f>
        <v>4075</v>
      </c>
      <c r="E6" s="112">
        <v>46115467</v>
      </c>
      <c r="F6" s="42">
        <f>IF((E6-E5)&lt;0,"0",(E6-E5))</f>
        <v>7173</v>
      </c>
      <c r="G6" s="112">
        <v>34930413</v>
      </c>
      <c r="H6" s="42">
        <f>IF((G6-G5)&lt;0,"0",(G6-G5))</f>
        <v>5313</v>
      </c>
      <c r="I6" s="93">
        <f>D6+F6+H6</f>
        <v>16561</v>
      </c>
      <c r="J6" s="100"/>
      <c r="K6" s="100">
        <f t="shared" ref="K6:K33" si="0">IF(J6-J5&lt;0,0,J6-J5)</f>
        <v>0</v>
      </c>
      <c r="L6" s="100"/>
      <c r="M6" s="100">
        <f t="shared" ref="M6:U21" si="1">IF(L6-L5&lt;0,0,L6-L5)</f>
        <v>0</v>
      </c>
      <c r="N6" s="100"/>
      <c r="O6" s="91">
        <f t="shared" si="1"/>
        <v>0</v>
      </c>
      <c r="P6" s="100"/>
      <c r="Q6" s="100">
        <f t="shared" si="1"/>
        <v>0</v>
      </c>
      <c r="R6" s="100"/>
      <c r="S6" s="100">
        <f t="shared" si="1"/>
        <v>0</v>
      </c>
      <c r="T6" s="100"/>
      <c r="U6" s="100">
        <f t="shared" si="1"/>
        <v>0</v>
      </c>
      <c r="V6" s="100"/>
      <c r="W6" s="91">
        <f t="shared" ref="W6:W27" si="2">IF(V6-V5&lt;0,0,V6-V5)</f>
        <v>0</v>
      </c>
    </row>
    <row r="7" spans="1:23" ht="26.25">
      <c r="A7" s="32">
        <v>44229</v>
      </c>
      <c r="B7" s="34">
        <v>39</v>
      </c>
      <c r="C7" s="112">
        <v>48015446</v>
      </c>
      <c r="D7" s="42">
        <f t="shared" ref="D7:D32" si="3">IF((C7-C6)&lt;0,"0",(C7-C6))</f>
        <v>3971</v>
      </c>
      <c r="E7" s="112">
        <v>46122416</v>
      </c>
      <c r="F7" s="42">
        <f t="shared" ref="F7:F32" si="4">IF((E7-E6)&lt;0,"0",(E7-E6))</f>
        <v>6949</v>
      </c>
      <c r="G7" s="112">
        <v>34935602</v>
      </c>
      <c r="H7" s="42">
        <f t="shared" ref="H7:H32" si="5">IF((G7-G6)&lt;0,"0",(G7-G6))</f>
        <v>5189</v>
      </c>
      <c r="I7" s="93">
        <f t="shared" ref="I7:I34" si="6">D7+F7+H7</f>
        <v>16109</v>
      </c>
      <c r="J7" s="100"/>
      <c r="K7" s="100">
        <f t="shared" si="0"/>
        <v>0</v>
      </c>
      <c r="L7" s="100"/>
      <c r="M7" s="100">
        <f t="shared" si="1"/>
        <v>0</v>
      </c>
      <c r="N7" s="100"/>
      <c r="O7" s="91">
        <f t="shared" si="1"/>
        <v>0</v>
      </c>
      <c r="P7" s="100"/>
      <c r="Q7" s="100">
        <f t="shared" si="1"/>
        <v>0</v>
      </c>
      <c r="R7" s="100"/>
      <c r="S7" s="100">
        <f t="shared" si="1"/>
        <v>0</v>
      </c>
      <c r="T7" s="100"/>
      <c r="U7" s="100">
        <f t="shared" si="1"/>
        <v>0</v>
      </c>
      <c r="V7" s="100"/>
      <c r="W7" s="91">
        <f t="shared" si="2"/>
        <v>0</v>
      </c>
    </row>
    <row r="8" spans="1:23" ht="26.25">
      <c r="A8" s="32">
        <v>44230</v>
      </c>
      <c r="B8" s="34">
        <v>30</v>
      </c>
      <c r="C8" s="112">
        <v>48019682</v>
      </c>
      <c r="D8" s="42">
        <f t="shared" si="3"/>
        <v>4236</v>
      </c>
      <c r="E8" s="112">
        <v>46129526</v>
      </c>
      <c r="F8" s="42">
        <f t="shared" si="4"/>
        <v>7110</v>
      </c>
      <c r="G8" s="112">
        <v>34941194</v>
      </c>
      <c r="H8" s="42">
        <f t="shared" si="5"/>
        <v>5592</v>
      </c>
      <c r="I8" s="93">
        <f t="shared" si="6"/>
        <v>16938</v>
      </c>
      <c r="J8" s="100"/>
      <c r="K8" s="100">
        <f t="shared" si="0"/>
        <v>0</v>
      </c>
      <c r="L8" s="100"/>
      <c r="M8" s="100">
        <f t="shared" si="1"/>
        <v>0</v>
      </c>
      <c r="N8" s="100"/>
      <c r="O8" s="91">
        <f t="shared" si="1"/>
        <v>0</v>
      </c>
      <c r="P8" s="100"/>
      <c r="Q8" s="100">
        <f t="shared" si="1"/>
        <v>0</v>
      </c>
      <c r="R8" s="100"/>
      <c r="S8" s="100">
        <f t="shared" si="1"/>
        <v>0</v>
      </c>
      <c r="T8" s="100"/>
      <c r="U8" s="100">
        <f t="shared" si="1"/>
        <v>0</v>
      </c>
      <c r="V8" s="100"/>
      <c r="W8" s="91">
        <f t="shared" si="2"/>
        <v>0</v>
      </c>
    </row>
    <row r="9" spans="1:23" ht="26.25">
      <c r="A9" s="32">
        <v>44231</v>
      </c>
      <c r="B9" s="34">
        <v>37</v>
      </c>
      <c r="C9" s="112">
        <v>48023539</v>
      </c>
      <c r="D9" s="42">
        <f t="shared" si="3"/>
        <v>3857</v>
      </c>
      <c r="E9" s="112">
        <v>46136232</v>
      </c>
      <c r="F9" s="42">
        <f t="shared" si="4"/>
        <v>6706</v>
      </c>
      <c r="G9" s="112">
        <v>34946309</v>
      </c>
      <c r="H9" s="42">
        <f t="shared" si="5"/>
        <v>5115</v>
      </c>
      <c r="I9" s="93">
        <f t="shared" si="6"/>
        <v>15678</v>
      </c>
      <c r="J9" s="100"/>
      <c r="K9" s="100">
        <f t="shared" si="0"/>
        <v>0</v>
      </c>
      <c r="L9" s="100"/>
      <c r="M9" s="100">
        <f t="shared" si="1"/>
        <v>0</v>
      </c>
      <c r="N9" s="100"/>
      <c r="O9" s="91">
        <f t="shared" si="1"/>
        <v>0</v>
      </c>
      <c r="P9" s="100"/>
      <c r="Q9" s="100">
        <f t="shared" si="1"/>
        <v>0</v>
      </c>
      <c r="R9" s="100"/>
      <c r="S9" s="100">
        <f t="shared" si="1"/>
        <v>0</v>
      </c>
      <c r="T9" s="100"/>
      <c r="U9" s="100">
        <f t="shared" si="1"/>
        <v>0</v>
      </c>
      <c r="V9" s="100"/>
      <c r="W9" s="91">
        <f t="shared" si="2"/>
        <v>0</v>
      </c>
    </row>
    <row r="10" spans="1:23" ht="26.25">
      <c r="A10" s="32">
        <v>44232</v>
      </c>
      <c r="B10" s="34">
        <v>36</v>
      </c>
      <c r="C10" s="112">
        <v>48028221</v>
      </c>
      <c r="D10" s="42">
        <f t="shared" si="3"/>
        <v>4682</v>
      </c>
      <c r="E10" s="112">
        <v>46144327</v>
      </c>
      <c r="F10" s="42">
        <f t="shared" si="4"/>
        <v>8095</v>
      </c>
      <c r="G10" s="112">
        <v>34952316</v>
      </c>
      <c r="H10" s="42">
        <f t="shared" si="5"/>
        <v>6007</v>
      </c>
      <c r="I10" s="93">
        <f t="shared" si="6"/>
        <v>18784</v>
      </c>
      <c r="J10" s="100"/>
      <c r="K10" s="100">
        <f t="shared" si="0"/>
        <v>0</v>
      </c>
      <c r="L10" s="100"/>
      <c r="M10" s="100">
        <f t="shared" si="1"/>
        <v>0</v>
      </c>
      <c r="N10" s="100"/>
      <c r="O10" s="91">
        <f t="shared" si="1"/>
        <v>0</v>
      </c>
      <c r="P10" s="100"/>
      <c r="Q10" s="100">
        <f t="shared" si="1"/>
        <v>0</v>
      </c>
      <c r="R10" s="100"/>
      <c r="S10" s="100">
        <f t="shared" si="1"/>
        <v>0</v>
      </c>
      <c r="T10" s="100"/>
      <c r="U10" s="100">
        <f t="shared" si="1"/>
        <v>0</v>
      </c>
      <c r="V10" s="100"/>
      <c r="W10" s="91">
        <f t="shared" si="2"/>
        <v>0</v>
      </c>
    </row>
    <row r="11" spans="1:23" ht="26.25">
      <c r="A11" s="32">
        <v>44233</v>
      </c>
      <c r="B11" s="34">
        <v>39</v>
      </c>
      <c r="C11" s="112">
        <v>48032376</v>
      </c>
      <c r="D11" s="42">
        <f t="shared" si="3"/>
        <v>4155</v>
      </c>
      <c r="E11" s="112">
        <v>46151800</v>
      </c>
      <c r="F11" s="42">
        <f t="shared" si="4"/>
        <v>7473</v>
      </c>
      <c r="G11" s="112">
        <v>34957949</v>
      </c>
      <c r="H11" s="42">
        <f t="shared" si="5"/>
        <v>5633</v>
      </c>
      <c r="I11" s="93">
        <f t="shared" si="6"/>
        <v>17261</v>
      </c>
      <c r="J11" s="100"/>
      <c r="K11" s="100">
        <f t="shared" si="0"/>
        <v>0</v>
      </c>
      <c r="L11" s="100"/>
      <c r="M11" s="100">
        <f t="shared" si="1"/>
        <v>0</v>
      </c>
      <c r="N11" s="100"/>
      <c r="O11" s="91">
        <f t="shared" si="1"/>
        <v>0</v>
      </c>
      <c r="P11" s="100"/>
      <c r="Q11" s="100">
        <f t="shared" si="1"/>
        <v>0</v>
      </c>
      <c r="R11" s="100"/>
      <c r="S11" s="100">
        <f t="shared" si="1"/>
        <v>0</v>
      </c>
      <c r="T11" s="100"/>
      <c r="U11" s="100">
        <f t="shared" si="1"/>
        <v>0</v>
      </c>
      <c r="V11" s="100"/>
      <c r="W11" s="91">
        <f t="shared" si="2"/>
        <v>0</v>
      </c>
    </row>
    <row r="12" spans="1:23" ht="26.25">
      <c r="A12" s="32">
        <v>44234</v>
      </c>
      <c r="B12" s="34">
        <v>71</v>
      </c>
      <c r="C12" s="112">
        <v>48036483</v>
      </c>
      <c r="D12" s="42">
        <f t="shared" si="3"/>
        <v>4107</v>
      </c>
      <c r="E12" s="112">
        <v>46159007</v>
      </c>
      <c r="F12" s="42">
        <f t="shared" si="4"/>
        <v>7207</v>
      </c>
      <c r="G12" s="112">
        <v>34963814</v>
      </c>
      <c r="H12" s="42">
        <f t="shared" si="5"/>
        <v>5865</v>
      </c>
      <c r="I12" s="93">
        <f t="shared" si="6"/>
        <v>17179</v>
      </c>
      <c r="J12" s="100"/>
      <c r="K12" s="100">
        <f t="shared" si="0"/>
        <v>0</v>
      </c>
      <c r="L12" s="100"/>
      <c r="M12" s="100">
        <f t="shared" si="1"/>
        <v>0</v>
      </c>
      <c r="N12" s="100"/>
      <c r="O12" s="91">
        <f t="shared" si="1"/>
        <v>0</v>
      </c>
      <c r="P12" s="100"/>
      <c r="Q12" s="100">
        <f t="shared" si="1"/>
        <v>0</v>
      </c>
      <c r="R12" s="100"/>
      <c r="S12" s="100">
        <f t="shared" si="1"/>
        <v>0</v>
      </c>
      <c r="T12" s="100"/>
      <c r="U12" s="100">
        <f t="shared" si="1"/>
        <v>0</v>
      </c>
      <c r="V12" s="100"/>
      <c r="W12" s="91">
        <f t="shared" si="2"/>
        <v>0</v>
      </c>
    </row>
    <row r="13" spans="1:23" ht="26.25">
      <c r="A13" s="32">
        <v>44235</v>
      </c>
      <c r="B13" s="34">
        <v>77</v>
      </c>
      <c r="C13" s="112">
        <v>48040801</v>
      </c>
      <c r="D13" s="42">
        <f t="shared" si="3"/>
        <v>4318</v>
      </c>
      <c r="E13" s="112">
        <v>46166031</v>
      </c>
      <c r="F13" s="42">
        <f t="shared" si="4"/>
        <v>7024</v>
      </c>
      <c r="G13" s="112">
        <v>34969884</v>
      </c>
      <c r="H13" s="42">
        <f t="shared" si="5"/>
        <v>6070</v>
      </c>
      <c r="I13" s="93">
        <f t="shared" si="6"/>
        <v>17412</v>
      </c>
      <c r="J13" s="100"/>
      <c r="K13" s="100">
        <f t="shared" si="0"/>
        <v>0</v>
      </c>
      <c r="L13" s="100"/>
      <c r="M13" s="100">
        <f t="shared" si="1"/>
        <v>0</v>
      </c>
      <c r="N13" s="100"/>
      <c r="O13" s="91">
        <f t="shared" si="1"/>
        <v>0</v>
      </c>
      <c r="P13" s="100"/>
      <c r="Q13" s="100">
        <f t="shared" si="1"/>
        <v>0</v>
      </c>
      <c r="R13" s="100"/>
      <c r="S13" s="100">
        <f t="shared" si="1"/>
        <v>0</v>
      </c>
      <c r="T13" s="100"/>
      <c r="U13" s="100">
        <f t="shared" si="1"/>
        <v>0</v>
      </c>
      <c r="V13" s="100"/>
      <c r="W13" s="91">
        <f t="shared" si="2"/>
        <v>0</v>
      </c>
    </row>
    <row r="14" spans="1:23" ht="26.25">
      <c r="A14" s="32">
        <v>44236</v>
      </c>
      <c r="B14" s="34">
        <v>39</v>
      </c>
      <c r="C14" s="112">
        <v>48044930</v>
      </c>
      <c r="D14" s="42">
        <f t="shared" si="3"/>
        <v>4129</v>
      </c>
      <c r="E14" s="112">
        <v>46172490</v>
      </c>
      <c r="F14" s="42">
        <f t="shared" si="4"/>
        <v>6459</v>
      </c>
      <c r="G14" s="112">
        <v>34975544</v>
      </c>
      <c r="H14" s="42">
        <f t="shared" si="5"/>
        <v>5660</v>
      </c>
      <c r="I14" s="93">
        <f t="shared" si="6"/>
        <v>16248</v>
      </c>
      <c r="J14" s="100"/>
      <c r="K14" s="100">
        <f t="shared" si="0"/>
        <v>0</v>
      </c>
      <c r="L14" s="100"/>
      <c r="M14" s="100">
        <f t="shared" si="1"/>
        <v>0</v>
      </c>
      <c r="N14" s="100"/>
      <c r="O14" s="91">
        <f t="shared" si="1"/>
        <v>0</v>
      </c>
      <c r="P14" s="100"/>
      <c r="Q14" s="100">
        <f t="shared" si="1"/>
        <v>0</v>
      </c>
      <c r="R14" s="100"/>
      <c r="S14" s="100">
        <f t="shared" si="1"/>
        <v>0</v>
      </c>
      <c r="T14" s="100"/>
      <c r="U14" s="100">
        <f t="shared" si="1"/>
        <v>0</v>
      </c>
      <c r="V14" s="100"/>
      <c r="W14" s="91">
        <f t="shared" si="2"/>
        <v>0</v>
      </c>
    </row>
    <row r="15" spans="1:23" ht="26.25">
      <c r="A15" s="32">
        <v>44237</v>
      </c>
      <c r="B15" s="34">
        <v>42</v>
      </c>
      <c r="C15" s="112">
        <v>48049202</v>
      </c>
      <c r="D15" s="42">
        <f t="shared" ref="D15:D27" si="7">IF((C15-C14)&lt;0,"0",(C15-C14))</f>
        <v>4272</v>
      </c>
      <c r="E15" s="112">
        <v>46179422</v>
      </c>
      <c r="F15" s="42">
        <f t="shared" si="4"/>
        <v>6932</v>
      </c>
      <c r="G15" s="112">
        <v>34981769</v>
      </c>
      <c r="H15" s="42">
        <f t="shared" si="5"/>
        <v>6225</v>
      </c>
      <c r="I15" s="93">
        <f t="shared" si="6"/>
        <v>17429</v>
      </c>
      <c r="J15" s="100"/>
      <c r="K15" s="100">
        <f t="shared" si="0"/>
        <v>0</v>
      </c>
      <c r="L15" s="100"/>
      <c r="M15" s="100">
        <f t="shared" si="1"/>
        <v>0</v>
      </c>
      <c r="N15" s="100"/>
      <c r="O15" s="91">
        <f t="shared" si="1"/>
        <v>0</v>
      </c>
      <c r="P15" s="100"/>
      <c r="Q15" s="100">
        <f t="shared" si="1"/>
        <v>0</v>
      </c>
      <c r="R15" s="100"/>
      <c r="S15" s="100">
        <f t="shared" si="1"/>
        <v>0</v>
      </c>
      <c r="T15" s="100"/>
      <c r="U15" s="100">
        <f t="shared" si="1"/>
        <v>0</v>
      </c>
      <c r="V15" s="100"/>
      <c r="W15" s="91">
        <f t="shared" si="2"/>
        <v>0</v>
      </c>
    </row>
    <row r="16" spans="1:23" ht="26.25">
      <c r="A16" s="32">
        <v>44238</v>
      </c>
      <c r="B16" s="34">
        <v>35</v>
      </c>
      <c r="C16" s="112">
        <v>48053389</v>
      </c>
      <c r="D16" s="42">
        <f t="shared" si="7"/>
        <v>4187</v>
      </c>
      <c r="E16" s="112">
        <v>46186502</v>
      </c>
      <c r="F16" s="42">
        <f t="shared" si="4"/>
        <v>7080</v>
      </c>
      <c r="G16" s="112">
        <v>34987907</v>
      </c>
      <c r="H16" s="42">
        <f t="shared" si="5"/>
        <v>6138</v>
      </c>
      <c r="I16" s="93">
        <f t="shared" si="6"/>
        <v>17405</v>
      </c>
      <c r="J16" s="100"/>
      <c r="K16" s="100">
        <f t="shared" si="0"/>
        <v>0</v>
      </c>
      <c r="L16" s="100"/>
      <c r="M16" s="100">
        <f t="shared" si="1"/>
        <v>0</v>
      </c>
      <c r="N16" s="100"/>
      <c r="O16" s="91">
        <f t="shared" si="1"/>
        <v>0</v>
      </c>
      <c r="P16" s="100"/>
      <c r="Q16" s="100">
        <f t="shared" si="1"/>
        <v>0</v>
      </c>
      <c r="R16" s="100"/>
      <c r="S16" s="100">
        <f t="shared" si="1"/>
        <v>0</v>
      </c>
      <c r="T16" s="100"/>
      <c r="U16" s="100">
        <f t="shared" si="1"/>
        <v>0</v>
      </c>
      <c r="V16" s="100"/>
      <c r="W16" s="91">
        <f t="shared" si="2"/>
        <v>0</v>
      </c>
    </row>
    <row r="17" spans="1:23" ht="26.25">
      <c r="A17" s="32">
        <v>44239</v>
      </c>
      <c r="B17" s="34">
        <v>40</v>
      </c>
      <c r="C17" s="112">
        <v>48057677</v>
      </c>
      <c r="D17" s="42">
        <f t="shared" si="7"/>
        <v>4288</v>
      </c>
      <c r="E17" s="112">
        <v>46193714</v>
      </c>
      <c r="F17" s="42">
        <f t="shared" si="4"/>
        <v>7212</v>
      </c>
      <c r="G17" s="112">
        <v>34993733</v>
      </c>
      <c r="H17" s="42">
        <f t="shared" si="5"/>
        <v>5826</v>
      </c>
      <c r="I17" s="93">
        <f t="shared" si="6"/>
        <v>17326</v>
      </c>
      <c r="J17" s="100"/>
      <c r="K17" s="100">
        <f t="shared" si="0"/>
        <v>0</v>
      </c>
      <c r="L17" s="100"/>
      <c r="M17" s="100">
        <f t="shared" si="1"/>
        <v>0</v>
      </c>
      <c r="N17" s="100"/>
      <c r="O17" s="91">
        <f t="shared" si="1"/>
        <v>0</v>
      </c>
      <c r="P17" s="100"/>
      <c r="Q17" s="100">
        <f t="shared" si="1"/>
        <v>0</v>
      </c>
      <c r="R17" s="100"/>
      <c r="S17" s="100">
        <f t="shared" si="1"/>
        <v>0</v>
      </c>
      <c r="T17" s="100"/>
      <c r="U17" s="100">
        <f t="shared" si="1"/>
        <v>0</v>
      </c>
      <c r="V17" s="100"/>
      <c r="W17" s="91">
        <f t="shared" si="2"/>
        <v>0</v>
      </c>
    </row>
    <row r="18" spans="1:23" ht="26.25">
      <c r="A18" s="32">
        <v>44240</v>
      </c>
      <c r="B18" s="34">
        <v>35</v>
      </c>
      <c r="C18" s="112">
        <v>48061642</v>
      </c>
      <c r="D18" s="42">
        <f t="shared" si="7"/>
        <v>3965</v>
      </c>
      <c r="E18" s="112">
        <v>46200081</v>
      </c>
      <c r="F18" s="42">
        <f t="shared" si="4"/>
        <v>6367</v>
      </c>
      <c r="G18" s="112">
        <v>34999135</v>
      </c>
      <c r="H18" s="42">
        <f t="shared" si="5"/>
        <v>5402</v>
      </c>
      <c r="I18" s="93">
        <f t="shared" si="6"/>
        <v>15734</v>
      </c>
      <c r="J18" s="100"/>
      <c r="K18" s="100">
        <f t="shared" si="0"/>
        <v>0</v>
      </c>
      <c r="L18" s="100"/>
      <c r="M18" s="100">
        <f t="shared" si="1"/>
        <v>0</v>
      </c>
      <c r="N18" s="100"/>
      <c r="O18" s="91">
        <f t="shared" si="1"/>
        <v>0</v>
      </c>
      <c r="P18" s="100"/>
      <c r="Q18" s="100">
        <f t="shared" si="1"/>
        <v>0</v>
      </c>
      <c r="R18" s="100"/>
      <c r="S18" s="100">
        <f t="shared" si="1"/>
        <v>0</v>
      </c>
      <c r="T18" s="100"/>
      <c r="U18" s="100">
        <f t="shared" si="1"/>
        <v>0</v>
      </c>
      <c r="V18" s="100"/>
      <c r="W18" s="91">
        <f t="shared" si="2"/>
        <v>0</v>
      </c>
    </row>
    <row r="19" spans="1:23" ht="26.25">
      <c r="A19" s="32">
        <v>44241</v>
      </c>
      <c r="B19" s="34">
        <v>47</v>
      </c>
      <c r="C19" s="112">
        <v>48065943</v>
      </c>
      <c r="D19" s="42">
        <f t="shared" si="7"/>
        <v>4301</v>
      </c>
      <c r="E19" s="112">
        <v>46207111</v>
      </c>
      <c r="F19" s="42">
        <f t="shared" si="4"/>
        <v>7030</v>
      </c>
      <c r="G19" s="112">
        <v>35004998</v>
      </c>
      <c r="H19" s="42">
        <f t="shared" si="5"/>
        <v>5863</v>
      </c>
      <c r="I19" s="93">
        <f t="shared" si="6"/>
        <v>17194</v>
      </c>
      <c r="J19" s="100"/>
      <c r="K19" s="100">
        <f t="shared" si="0"/>
        <v>0</v>
      </c>
      <c r="L19" s="100"/>
      <c r="M19" s="100">
        <f t="shared" si="1"/>
        <v>0</v>
      </c>
      <c r="N19" s="100"/>
      <c r="O19" s="91">
        <f t="shared" si="1"/>
        <v>0</v>
      </c>
      <c r="P19" s="100"/>
      <c r="Q19" s="100">
        <f t="shared" si="1"/>
        <v>0</v>
      </c>
      <c r="R19" s="100"/>
      <c r="S19" s="100">
        <f t="shared" si="1"/>
        <v>0</v>
      </c>
      <c r="T19" s="100"/>
      <c r="U19" s="100">
        <f t="shared" si="1"/>
        <v>0</v>
      </c>
      <c r="V19" s="100"/>
      <c r="W19" s="91">
        <f t="shared" si="2"/>
        <v>0</v>
      </c>
    </row>
    <row r="20" spans="1:23" ht="26.25">
      <c r="A20" s="32">
        <v>44242</v>
      </c>
      <c r="B20" s="34">
        <v>58</v>
      </c>
      <c r="C20" s="112">
        <v>48069997</v>
      </c>
      <c r="D20" s="42">
        <f t="shared" si="7"/>
        <v>4054</v>
      </c>
      <c r="E20" s="112">
        <v>46213879</v>
      </c>
      <c r="F20" s="42">
        <f t="shared" si="4"/>
        <v>6768</v>
      </c>
      <c r="G20" s="112">
        <v>35010716</v>
      </c>
      <c r="H20" s="42">
        <f t="shared" si="5"/>
        <v>5718</v>
      </c>
      <c r="I20" s="93">
        <f t="shared" si="6"/>
        <v>16540</v>
      </c>
      <c r="J20" s="100"/>
      <c r="K20" s="100">
        <f t="shared" si="0"/>
        <v>0</v>
      </c>
      <c r="L20" s="100"/>
      <c r="M20" s="100">
        <f t="shared" si="1"/>
        <v>0</v>
      </c>
      <c r="N20" s="100"/>
      <c r="O20" s="91">
        <f t="shared" si="1"/>
        <v>0</v>
      </c>
      <c r="P20" s="100"/>
      <c r="Q20" s="100">
        <f t="shared" si="1"/>
        <v>0</v>
      </c>
      <c r="R20" s="100"/>
      <c r="S20" s="100">
        <f t="shared" si="1"/>
        <v>0</v>
      </c>
      <c r="T20" s="100"/>
      <c r="U20" s="100">
        <f t="shared" si="1"/>
        <v>0</v>
      </c>
      <c r="V20" s="100"/>
      <c r="W20" s="91">
        <f t="shared" si="2"/>
        <v>0</v>
      </c>
    </row>
    <row r="21" spans="1:23" ht="26.25">
      <c r="A21" s="32">
        <v>44243</v>
      </c>
      <c r="B21" s="34">
        <v>42</v>
      </c>
      <c r="C21" s="112">
        <v>48074131</v>
      </c>
      <c r="D21" s="42">
        <f t="shared" si="7"/>
        <v>4134</v>
      </c>
      <c r="E21" s="112">
        <v>46221321</v>
      </c>
      <c r="F21" s="42">
        <f t="shared" si="4"/>
        <v>7442</v>
      </c>
      <c r="G21" s="112">
        <v>35016610</v>
      </c>
      <c r="H21" s="42">
        <f t="shared" si="5"/>
        <v>5894</v>
      </c>
      <c r="I21" s="93">
        <f t="shared" si="6"/>
        <v>17470</v>
      </c>
      <c r="J21" s="100"/>
      <c r="K21" s="100">
        <f t="shared" si="0"/>
        <v>0</v>
      </c>
      <c r="L21" s="100"/>
      <c r="M21" s="100">
        <f t="shared" si="1"/>
        <v>0</v>
      </c>
      <c r="N21" s="100"/>
      <c r="O21" s="91">
        <f t="shared" si="1"/>
        <v>0</v>
      </c>
      <c r="P21" s="100"/>
      <c r="Q21" s="100">
        <f t="shared" si="1"/>
        <v>0</v>
      </c>
      <c r="R21" s="100"/>
      <c r="S21" s="100">
        <f t="shared" si="1"/>
        <v>0</v>
      </c>
      <c r="T21" s="100"/>
      <c r="U21" s="100">
        <f t="shared" si="1"/>
        <v>0</v>
      </c>
      <c r="V21" s="100"/>
      <c r="W21" s="91">
        <f t="shared" si="2"/>
        <v>0</v>
      </c>
    </row>
    <row r="22" spans="1:23" ht="26.25">
      <c r="A22" s="32">
        <v>44244</v>
      </c>
      <c r="B22" s="34">
        <v>36</v>
      </c>
      <c r="C22" s="112">
        <v>48078684</v>
      </c>
      <c r="D22" s="42">
        <f t="shared" si="7"/>
        <v>4553</v>
      </c>
      <c r="E22" s="112">
        <v>46229143</v>
      </c>
      <c r="F22" s="42">
        <f t="shared" si="4"/>
        <v>7822</v>
      </c>
      <c r="G22" s="112">
        <v>35022679</v>
      </c>
      <c r="H22" s="42">
        <f t="shared" si="5"/>
        <v>6069</v>
      </c>
      <c r="I22" s="93">
        <f t="shared" si="6"/>
        <v>18444</v>
      </c>
      <c r="J22" s="100"/>
      <c r="K22" s="100">
        <f t="shared" si="0"/>
        <v>0</v>
      </c>
      <c r="L22" s="100"/>
      <c r="M22" s="100">
        <f t="shared" ref="M22:M27" si="8">IF(L22-L21&lt;0,0,L22-L21)</f>
        <v>0</v>
      </c>
      <c r="N22" s="100"/>
      <c r="O22" s="91">
        <f t="shared" ref="O22:O27" si="9">IF(N22-N21&lt;0,0,N22-N21)</f>
        <v>0</v>
      </c>
      <c r="P22" s="100"/>
      <c r="Q22" s="100">
        <f t="shared" ref="Q22:Q27" si="10">IF(P22-P21&lt;0,0,P22-P21)</f>
        <v>0</v>
      </c>
      <c r="R22" s="100"/>
      <c r="S22" s="100">
        <f t="shared" ref="S22:S27" si="11">IF(R22-R21&lt;0,0,R22-R21)</f>
        <v>0</v>
      </c>
      <c r="T22" s="100"/>
      <c r="U22" s="100">
        <f t="shared" ref="U22:U27" si="12">IF(T22-T21&lt;0,0,T22-T21)</f>
        <v>0</v>
      </c>
      <c r="V22" s="100"/>
      <c r="W22" s="91">
        <f t="shared" si="2"/>
        <v>0</v>
      </c>
    </row>
    <row r="23" spans="1:23" ht="26.25">
      <c r="A23" s="32">
        <v>44245</v>
      </c>
      <c r="B23" s="34">
        <v>46</v>
      </c>
      <c r="C23" s="112">
        <v>48081985</v>
      </c>
      <c r="D23" s="42">
        <f t="shared" si="7"/>
        <v>3301</v>
      </c>
      <c r="E23" s="112">
        <v>46237035</v>
      </c>
      <c r="F23" s="42">
        <f t="shared" si="4"/>
        <v>7892</v>
      </c>
      <c r="G23" s="112">
        <v>35029034</v>
      </c>
      <c r="H23" s="42">
        <f t="shared" si="5"/>
        <v>6355</v>
      </c>
      <c r="I23" s="93">
        <f t="shared" si="6"/>
        <v>17548</v>
      </c>
      <c r="J23" s="100"/>
      <c r="K23" s="100">
        <f t="shared" si="0"/>
        <v>0</v>
      </c>
      <c r="L23" s="100"/>
      <c r="M23" s="100">
        <f t="shared" si="8"/>
        <v>0</v>
      </c>
      <c r="N23" s="100"/>
      <c r="O23" s="91">
        <f t="shared" si="9"/>
        <v>0</v>
      </c>
      <c r="P23" s="100"/>
      <c r="Q23" s="100">
        <f t="shared" si="10"/>
        <v>0</v>
      </c>
      <c r="R23" s="100"/>
      <c r="S23" s="100">
        <f t="shared" si="11"/>
        <v>0</v>
      </c>
      <c r="T23" s="100"/>
      <c r="U23" s="100">
        <f t="shared" si="12"/>
        <v>0</v>
      </c>
      <c r="V23" s="100"/>
      <c r="W23" s="91">
        <f t="shared" si="2"/>
        <v>0</v>
      </c>
    </row>
    <row r="24" spans="1:23" ht="26.25">
      <c r="A24" s="32">
        <v>44246</v>
      </c>
      <c r="B24" s="34">
        <v>46</v>
      </c>
      <c r="C24" s="112">
        <v>48085577</v>
      </c>
      <c r="D24" s="42">
        <f t="shared" si="7"/>
        <v>3592</v>
      </c>
      <c r="E24" s="112">
        <v>46243715</v>
      </c>
      <c r="F24" s="42">
        <f t="shared" si="4"/>
        <v>6680</v>
      </c>
      <c r="G24" s="112">
        <v>35034629</v>
      </c>
      <c r="H24" s="42">
        <f t="shared" si="5"/>
        <v>5595</v>
      </c>
      <c r="I24" s="93">
        <f t="shared" si="6"/>
        <v>15867</v>
      </c>
      <c r="J24" s="100"/>
      <c r="K24" s="100">
        <f t="shared" si="0"/>
        <v>0</v>
      </c>
      <c r="L24" s="100"/>
      <c r="M24" s="100">
        <f t="shared" si="8"/>
        <v>0</v>
      </c>
      <c r="N24" s="100"/>
      <c r="O24" s="91">
        <f t="shared" si="9"/>
        <v>0</v>
      </c>
      <c r="P24" s="100"/>
      <c r="Q24" s="100">
        <f t="shared" si="10"/>
        <v>0</v>
      </c>
      <c r="R24" s="100"/>
      <c r="S24" s="100">
        <f t="shared" si="11"/>
        <v>0</v>
      </c>
      <c r="T24" s="100"/>
      <c r="U24" s="100">
        <f t="shared" si="12"/>
        <v>0</v>
      </c>
      <c r="V24" s="100"/>
      <c r="W24" s="91">
        <f t="shared" si="2"/>
        <v>0</v>
      </c>
    </row>
    <row r="25" spans="1:23" ht="26.25">
      <c r="A25" s="32">
        <v>44247</v>
      </c>
      <c r="B25" s="34">
        <v>40</v>
      </c>
      <c r="C25" s="112">
        <v>48089522</v>
      </c>
      <c r="D25" s="42">
        <f t="shared" si="7"/>
        <v>3945</v>
      </c>
      <c r="E25" s="112">
        <v>46250850</v>
      </c>
      <c r="F25" s="42">
        <f t="shared" si="4"/>
        <v>7135</v>
      </c>
      <c r="G25" s="112">
        <v>35040719</v>
      </c>
      <c r="H25" s="42">
        <f t="shared" si="5"/>
        <v>6090</v>
      </c>
      <c r="I25" s="93">
        <f t="shared" si="6"/>
        <v>17170</v>
      </c>
      <c r="J25" s="100"/>
      <c r="K25" s="100">
        <f t="shared" si="0"/>
        <v>0</v>
      </c>
      <c r="L25" s="100"/>
      <c r="M25" s="100">
        <f t="shared" si="8"/>
        <v>0</v>
      </c>
      <c r="N25" s="100"/>
      <c r="O25" s="91">
        <f t="shared" si="9"/>
        <v>0</v>
      </c>
      <c r="P25" s="100"/>
      <c r="Q25" s="100">
        <f t="shared" si="10"/>
        <v>0</v>
      </c>
      <c r="R25" s="100"/>
      <c r="S25" s="100">
        <f t="shared" si="11"/>
        <v>0</v>
      </c>
      <c r="T25" s="100"/>
      <c r="U25" s="100">
        <f t="shared" si="12"/>
        <v>0</v>
      </c>
      <c r="V25" s="100"/>
      <c r="W25" s="91">
        <f t="shared" si="2"/>
        <v>0</v>
      </c>
    </row>
    <row r="26" spans="1:23" ht="26.25">
      <c r="A26" s="32">
        <v>44248</v>
      </c>
      <c r="B26" s="34">
        <v>49</v>
      </c>
      <c r="C26" s="112">
        <v>48093004</v>
      </c>
      <c r="D26" s="42">
        <f t="shared" si="7"/>
        <v>3482</v>
      </c>
      <c r="E26" s="112">
        <v>46257049</v>
      </c>
      <c r="F26" s="42">
        <f t="shared" si="4"/>
        <v>6199</v>
      </c>
      <c r="G26" s="112">
        <v>35045852</v>
      </c>
      <c r="H26" s="42">
        <f t="shared" si="5"/>
        <v>5133</v>
      </c>
      <c r="I26" s="93">
        <f t="shared" si="6"/>
        <v>14814</v>
      </c>
      <c r="J26" s="100"/>
      <c r="K26" s="100">
        <f t="shared" si="0"/>
        <v>0</v>
      </c>
      <c r="L26" s="100"/>
      <c r="M26" s="100">
        <f t="shared" si="8"/>
        <v>0</v>
      </c>
      <c r="N26" s="100"/>
      <c r="O26" s="91">
        <f t="shared" si="9"/>
        <v>0</v>
      </c>
      <c r="P26" s="100"/>
      <c r="Q26" s="100">
        <f t="shared" si="10"/>
        <v>0</v>
      </c>
      <c r="R26" s="100"/>
      <c r="S26" s="100">
        <f t="shared" si="11"/>
        <v>0</v>
      </c>
      <c r="T26" s="100"/>
      <c r="U26" s="100">
        <f t="shared" si="12"/>
        <v>0</v>
      </c>
      <c r="V26" s="100"/>
      <c r="W26" s="91">
        <f t="shared" si="2"/>
        <v>0</v>
      </c>
    </row>
    <row r="27" spans="1:23" ht="26.25">
      <c r="A27" s="32">
        <v>44249</v>
      </c>
      <c r="B27" s="34">
        <v>49</v>
      </c>
      <c r="C27" s="112">
        <v>48097882</v>
      </c>
      <c r="D27" s="42">
        <f t="shared" si="7"/>
        <v>4878</v>
      </c>
      <c r="E27" s="112">
        <v>46263813</v>
      </c>
      <c r="F27" s="42">
        <f t="shared" si="4"/>
        <v>6764</v>
      </c>
      <c r="G27" s="112">
        <v>35050766</v>
      </c>
      <c r="H27" s="42">
        <f t="shared" si="5"/>
        <v>4914</v>
      </c>
      <c r="I27" s="93">
        <f t="shared" si="6"/>
        <v>16556</v>
      </c>
      <c r="J27" s="100"/>
      <c r="K27" s="100">
        <f t="shared" si="0"/>
        <v>0</v>
      </c>
      <c r="L27" s="100"/>
      <c r="M27" s="100">
        <f t="shared" si="8"/>
        <v>0</v>
      </c>
      <c r="N27" s="100"/>
      <c r="O27" s="91">
        <f t="shared" si="9"/>
        <v>0</v>
      </c>
      <c r="P27" s="100"/>
      <c r="Q27" s="100">
        <f t="shared" si="10"/>
        <v>0</v>
      </c>
      <c r="R27" s="100"/>
      <c r="S27" s="100">
        <f t="shared" si="11"/>
        <v>0</v>
      </c>
      <c r="T27" s="100"/>
      <c r="U27" s="100">
        <f t="shared" si="12"/>
        <v>0</v>
      </c>
      <c r="V27" s="100"/>
      <c r="W27" s="91">
        <f t="shared" si="2"/>
        <v>0</v>
      </c>
    </row>
    <row r="28" spans="1:23" ht="26.25">
      <c r="A28" s="32">
        <v>44250</v>
      </c>
      <c r="B28" s="34">
        <v>35</v>
      </c>
      <c r="C28" s="112">
        <v>48102198</v>
      </c>
      <c r="D28" s="42">
        <f t="shared" si="3"/>
        <v>4316</v>
      </c>
      <c r="E28" s="112">
        <v>46270099</v>
      </c>
      <c r="F28" s="42">
        <f t="shared" si="4"/>
        <v>6286</v>
      </c>
      <c r="G28" s="112">
        <v>35055769</v>
      </c>
      <c r="H28" s="42">
        <f t="shared" si="5"/>
        <v>5003</v>
      </c>
      <c r="I28" s="93">
        <f t="shared" si="6"/>
        <v>15605</v>
      </c>
      <c r="J28" s="100"/>
      <c r="K28" s="100">
        <f t="shared" si="0"/>
        <v>0</v>
      </c>
      <c r="L28" s="100"/>
      <c r="M28" s="100">
        <f>IF(L28-L27&lt;0,0,L28-L27)</f>
        <v>0</v>
      </c>
      <c r="N28" s="100"/>
      <c r="O28" s="91">
        <f>IF(N28-N27&lt;0,0,N28-N27)</f>
        <v>0</v>
      </c>
      <c r="P28" s="100"/>
      <c r="Q28" s="100">
        <f>IF(P28-P27&lt;0,0,P28-P27)</f>
        <v>0</v>
      </c>
      <c r="R28" s="100"/>
      <c r="S28" s="100">
        <f>IF(R28-R27&lt;0,0,R28-R27)</f>
        <v>0</v>
      </c>
      <c r="T28" s="100"/>
      <c r="U28" s="100">
        <f>IF(T28-T27&lt;0,0,T28-T27)</f>
        <v>0</v>
      </c>
      <c r="V28" s="100"/>
      <c r="W28" s="91">
        <f t="shared" ref="W28:W33" si="13">IF(V28-V27&lt;0,0,V28-V27)</f>
        <v>0</v>
      </c>
    </row>
    <row r="29" spans="1:23" ht="26.25">
      <c r="A29" s="32">
        <v>44251</v>
      </c>
      <c r="B29" s="34">
        <v>24</v>
      </c>
      <c r="C29" s="112">
        <v>48106802</v>
      </c>
      <c r="D29" s="42">
        <f t="shared" si="3"/>
        <v>4604</v>
      </c>
      <c r="E29" s="112">
        <v>46277219</v>
      </c>
      <c r="F29" s="42">
        <f t="shared" si="4"/>
        <v>7120</v>
      </c>
      <c r="G29" s="112">
        <v>35060396</v>
      </c>
      <c r="H29" s="42">
        <f t="shared" si="5"/>
        <v>4627</v>
      </c>
      <c r="I29" s="93">
        <f t="shared" si="6"/>
        <v>16351</v>
      </c>
      <c r="J29" s="100"/>
      <c r="K29" s="100">
        <f t="shared" si="0"/>
        <v>0</v>
      </c>
      <c r="L29" s="100"/>
      <c r="M29" s="100">
        <f>IF(L29-L28&lt;0,0,L29-L28)</f>
        <v>0</v>
      </c>
      <c r="N29" s="100"/>
      <c r="O29" s="91">
        <f>IF(N29-N28&lt;0,0,N29-N28)</f>
        <v>0</v>
      </c>
      <c r="P29" s="100"/>
      <c r="Q29" s="100">
        <f>IF(P29-P28&lt;0,0,P29-P28)</f>
        <v>0</v>
      </c>
      <c r="R29" s="100"/>
      <c r="S29" s="100">
        <f>IF(R29-R28&lt;0,0,R29-R28)</f>
        <v>0</v>
      </c>
      <c r="T29" s="100"/>
      <c r="U29" s="100">
        <f>IF(T29-T28&lt;0,0,T29-T28)</f>
        <v>0</v>
      </c>
      <c r="V29" s="100"/>
      <c r="W29" s="91">
        <f t="shared" si="13"/>
        <v>0</v>
      </c>
    </row>
    <row r="30" spans="1:23" ht="26.25">
      <c r="A30" s="32">
        <v>44252</v>
      </c>
      <c r="B30" s="34">
        <v>40</v>
      </c>
      <c r="C30" s="112">
        <v>48110897</v>
      </c>
      <c r="D30" s="42">
        <f t="shared" si="3"/>
        <v>4095</v>
      </c>
      <c r="E30" s="112">
        <v>46284541</v>
      </c>
      <c r="F30" s="42">
        <f t="shared" si="4"/>
        <v>7322</v>
      </c>
      <c r="G30" s="112">
        <v>35066333</v>
      </c>
      <c r="H30" s="42">
        <f t="shared" si="5"/>
        <v>5937</v>
      </c>
      <c r="I30" s="93">
        <f t="shared" si="6"/>
        <v>17354</v>
      </c>
      <c r="J30" s="100"/>
      <c r="K30" s="100">
        <f t="shared" si="0"/>
        <v>0</v>
      </c>
      <c r="L30" s="100"/>
      <c r="M30" s="100">
        <f>IF(L30-L29&lt;0,0,L30-L29)</f>
        <v>0</v>
      </c>
      <c r="N30" s="100"/>
      <c r="O30" s="91">
        <f>IF(N30-N29&lt;0,0,N30-N29)</f>
        <v>0</v>
      </c>
      <c r="P30" s="100"/>
      <c r="Q30" s="100">
        <f>IF(P30-P29&lt;0,0,P30-P29)</f>
        <v>0</v>
      </c>
      <c r="R30" s="100"/>
      <c r="S30" s="100">
        <f>IF(R30-R29&lt;0,0,R30-R29)</f>
        <v>0</v>
      </c>
      <c r="T30" s="100"/>
      <c r="U30" s="100">
        <f>IF(T30-T29&lt;0,0,T30-T29)</f>
        <v>0</v>
      </c>
      <c r="V30" s="100"/>
      <c r="W30" s="91">
        <f t="shared" si="13"/>
        <v>0</v>
      </c>
    </row>
    <row r="31" spans="1:23" ht="26.25">
      <c r="A31" s="32">
        <v>44253</v>
      </c>
      <c r="B31" s="34">
        <v>38</v>
      </c>
      <c r="C31" s="112">
        <v>48114833</v>
      </c>
      <c r="D31" s="42">
        <f t="shared" si="3"/>
        <v>3936</v>
      </c>
      <c r="E31" s="112">
        <v>46291290</v>
      </c>
      <c r="F31" s="42">
        <f t="shared" si="4"/>
        <v>6749</v>
      </c>
      <c r="G31" s="112">
        <v>35071872</v>
      </c>
      <c r="H31" s="42">
        <f t="shared" si="5"/>
        <v>5539</v>
      </c>
      <c r="I31" s="93">
        <f t="shared" si="6"/>
        <v>16224</v>
      </c>
      <c r="J31" s="100"/>
      <c r="K31" s="100">
        <f t="shared" si="0"/>
        <v>0</v>
      </c>
      <c r="L31" s="100"/>
      <c r="M31" s="100">
        <f t="shared" ref="M31:U31" si="14">IF(L31-L30&lt;0,0,L31-L30)</f>
        <v>0</v>
      </c>
      <c r="N31" s="100"/>
      <c r="O31" s="91">
        <f t="shared" si="14"/>
        <v>0</v>
      </c>
      <c r="P31" s="100"/>
      <c r="Q31" s="100">
        <f t="shared" si="14"/>
        <v>0</v>
      </c>
      <c r="R31" s="100"/>
      <c r="S31" s="100">
        <f t="shared" si="14"/>
        <v>0</v>
      </c>
      <c r="T31" s="100"/>
      <c r="U31" s="100">
        <f t="shared" si="14"/>
        <v>0</v>
      </c>
      <c r="V31" s="100"/>
      <c r="W31" s="91">
        <f t="shared" si="13"/>
        <v>0</v>
      </c>
    </row>
    <row r="32" spans="1:23" ht="26.25">
      <c r="A32" s="32">
        <v>44254</v>
      </c>
      <c r="B32" s="34">
        <v>53</v>
      </c>
      <c r="C32" s="112">
        <v>48118272</v>
      </c>
      <c r="D32" s="42">
        <f t="shared" si="3"/>
        <v>3439</v>
      </c>
      <c r="E32" s="112">
        <v>46297040</v>
      </c>
      <c r="F32" s="42">
        <f t="shared" si="4"/>
        <v>5750</v>
      </c>
      <c r="G32" s="112">
        <v>35076839</v>
      </c>
      <c r="H32" s="42">
        <f t="shared" si="5"/>
        <v>4967</v>
      </c>
      <c r="I32" s="93">
        <f t="shared" si="6"/>
        <v>14156</v>
      </c>
      <c r="J32" s="100"/>
      <c r="K32" s="100">
        <f>IF(J32-J31&lt;0,0,J32-J31)</f>
        <v>0</v>
      </c>
      <c r="L32" s="100"/>
      <c r="M32" s="100">
        <f>IF(L32-L31&lt;0,0,L32-L31)</f>
        <v>0</v>
      </c>
      <c r="N32" s="100"/>
      <c r="O32" s="91">
        <f>IF(N32-N31&lt;0,0,N32-N31)</f>
        <v>0</v>
      </c>
      <c r="P32" s="100"/>
      <c r="Q32" s="100">
        <f>IF(P32-P31&lt;0,0,P32-P31)</f>
        <v>0</v>
      </c>
      <c r="R32" s="100"/>
      <c r="S32" s="100">
        <f>IF(R32-R31&lt;0,0,R32-R31)</f>
        <v>0</v>
      </c>
      <c r="T32" s="100"/>
      <c r="U32" s="100">
        <f>IF(T32-T31&lt;0,0,T32-T31)</f>
        <v>0</v>
      </c>
      <c r="V32" s="100"/>
      <c r="W32" s="91">
        <f t="shared" si="13"/>
        <v>0</v>
      </c>
    </row>
    <row r="33" spans="1:23" ht="26.25">
      <c r="A33" s="32">
        <v>44255</v>
      </c>
      <c r="B33" s="34">
        <v>77</v>
      </c>
      <c r="C33" s="112">
        <v>48122137</v>
      </c>
      <c r="D33" s="42">
        <f>C33-C32</f>
        <v>3865</v>
      </c>
      <c r="E33" s="112">
        <v>46304242</v>
      </c>
      <c r="F33" s="42">
        <f>IF((E33-E31)&lt;0,"0",(E33-E31))</f>
        <v>12952</v>
      </c>
      <c r="G33" s="112">
        <v>35082889</v>
      </c>
      <c r="H33" s="42">
        <f>G33-G32</f>
        <v>6050</v>
      </c>
      <c r="I33" s="93">
        <f>D33+F33+H33</f>
        <v>22867</v>
      </c>
      <c r="J33" s="100"/>
      <c r="K33" s="100">
        <f t="shared" si="0"/>
        <v>0</v>
      </c>
      <c r="L33" s="100"/>
      <c r="M33" s="100">
        <f>IF(L33-L32&lt;0,0,L33-L32)</f>
        <v>0</v>
      </c>
      <c r="N33" s="100"/>
      <c r="O33" s="91">
        <f>IF(N33-N32&lt;0,0,N33-N32)</f>
        <v>0</v>
      </c>
      <c r="P33" s="100"/>
      <c r="Q33" s="100">
        <f>IF(P33-P32&lt;0,0,P33-P32)</f>
        <v>0</v>
      </c>
      <c r="R33" s="100"/>
      <c r="S33" s="100">
        <f>IF(R33-R32&lt;0,0,R33-R32)</f>
        <v>0</v>
      </c>
      <c r="T33" s="100"/>
      <c r="U33" s="100">
        <f>IF(T33-T32&lt;0,0,T33-T32)</f>
        <v>0</v>
      </c>
      <c r="V33" s="100"/>
      <c r="W33" s="91">
        <f t="shared" si="13"/>
        <v>0</v>
      </c>
    </row>
    <row r="34" spans="1:23" s="21" customFormat="1" ht="27.75" thickBot="1">
      <c r="A34" s="44" t="s">
        <v>37</v>
      </c>
      <c r="B34" s="45"/>
      <c r="C34" s="73"/>
      <c r="D34" s="69">
        <f>SUM(D5:D33)</f>
        <v>114737</v>
      </c>
      <c r="E34" s="74"/>
      <c r="F34" s="69">
        <f>SUM(F5:F33)</f>
        <v>201698</v>
      </c>
      <c r="G34" s="72">
        <v>0</v>
      </c>
      <c r="H34" s="69">
        <f>SUM(H5:H33)</f>
        <v>157789</v>
      </c>
      <c r="I34" s="94">
        <f t="shared" si="6"/>
        <v>474224</v>
      </c>
      <c r="J34" s="101"/>
      <c r="K34" s="102">
        <f>SUM(K5:K33)</f>
        <v>0</v>
      </c>
      <c r="L34" s="102"/>
      <c r="M34" s="102">
        <f>SUM(M5:M33)</f>
        <v>0</v>
      </c>
      <c r="N34" s="102"/>
      <c r="O34" s="103">
        <f>SUM(O5:O33)</f>
        <v>0</v>
      </c>
      <c r="P34" s="101"/>
      <c r="Q34" s="102">
        <f>SUM(Q5:Q33)</f>
        <v>0</v>
      </c>
      <c r="R34" s="102"/>
      <c r="S34" s="102">
        <f>SUM(S5:S33)</f>
        <v>0</v>
      </c>
      <c r="T34" s="102"/>
      <c r="U34" s="102">
        <f>SUM(U5:U33)</f>
        <v>0</v>
      </c>
      <c r="V34" s="102"/>
      <c r="W34" s="103">
        <f>SUM(W5:W33)</f>
        <v>0</v>
      </c>
    </row>
    <row r="35" spans="1:23" ht="37.5">
      <c r="J35" s="85"/>
      <c r="K35" s="85"/>
      <c r="L35" s="85"/>
      <c r="M35" s="85"/>
      <c r="N35" s="85"/>
      <c r="O35" s="85"/>
      <c r="P35" s="85"/>
      <c r="Q35" s="85"/>
      <c r="R35"/>
      <c r="S35" s="86"/>
      <c r="T35"/>
      <c r="U35" s="86"/>
      <c r="V35"/>
      <c r="W35" s="86"/>
    </row>
    <row r="36" spans="1:23" ht="26.25">
      <c r="A36" s="3"/>
      <c r="B36" s="25"/>
      <c r="J36"/>
      <c r="K36" s="87"/>
      <c r="L36"/>
      <c r="M36" s="87"/>
      <c r="N36"/>
      <c r="O36" s="87"/>
      <c r="P36"/>
      <c r="Q36" s="87"/>
      <c r="R36" s="86"/>
      <c r="S36" s="86"/>
      <c r="T36" s="88"/>
      <c r="U36" s="86"/>
      <c r="V36" s="86"/>
      <c r="W36" s="86"/>
    </row>
    <row r="51" spans="1:2" ht="15">
      <c r="A51" s="3"/>
      <c r="B51" s="25"/>
    </row>
  </sheetData>
  <mergeCells count="2">
    <mergeCell ref="A1:I1"/>
    <mergeCell ref="A2:I2"/>
  </mergeCells>
  <phoneticPr fontId="0" type="noConversion"/>
  <conditionalFormatting sqref="D5:D33 D34:G34 F5:F33 H5:W34 A3:B34">
    <cfRule type="cellIs" dxfId="53" priority="211" stopIfTrue="1" operator="lessThan">
      <formula>0</formula>
    </cfRule>
  </conditionalFormatting>
  <conditionalFormatting sqref="C6:C33">
    <cfRule type="cellIs" dxfId="52" priority="6" stopIfTrue="1" operator="lessThan">
      <formula>0</formula>
    </cfRule>
  </conditionalFormatting>
  <conditionalFormatting sqref="C5">
    <cfRule type="cellIs" dxfId="51" priority="5" stopIfTrue="1" operator="lessThan">
      <formula>0</formula>
    </cfRule>
  </conditionalFormatting>
  <conditionalFormatting sqref="E6:E33">
    <cfRule type="cellIs" dxfId="50" priority="4" stopIfTrue="1" operator="lessThan">
      <formula>0</formula>
    </cfRule>
  </conditionalFormatting>
  <conditionalFormatting sqref="E5">
    <cfRule type="cellIs" dxfId="49" priority="3" stopIfTrue="1" operator="lessThan">
      <formula>0</formula>
    </cfRule>
  </conditionalFormatting>
  <conditionalFormatting sqref="G6:G33">
    <cfRule type="cellIs" dxfId="48" priority="2" stopIfTrue="1" operator="lessThan">
      <formula>0</formula>
    </cfRule>
  </conditionalFormatting>
  <conditionalFormatting sqref="G5">
    <cfRule type="cellIs" dxfId="47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5"/>
  <sheetViews>
    <sheetView tabSelected="1" view="pageBreakPreview" topLeftCell="A9" zoomScale="50" zoomScaleNormal="55" zoomScaleSheetLayoutView="50" workbookViewId="0">
      <selection activeCell="W35" sqref="W35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4.85546875" bestFit="1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27" t="s">
        <v>56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</row>
    <row r="2" spans="1:38">
      <c r="A2" s="56" t="s">
        <v>1</v>
      </c>
      <c r="B2" s="58" t="s">
        <v>57</v>
      </c>
      <c r="C2" s="57" t="s">
        <v>34</v>
      </c>
      <c r="D2" s="57" t="s">
        <v>58</v>
      </c>
      <c r="E2" s="57" t="s">
        <v>34</v>
      </c>
      <c r="F2" s="57" t="s">
        <v>59</v>
      </c>
      <c r="G2" s="57" t="s">
        <v>34</v>
      </c>
      <c r="H2" s="57" t="s">
        <v>60</v>
      </c>
      <c r="I2" s="57" t="s">
        <v>34</v>
      </c>
      <c r="J2" s="57" t="s">
        <v>61</v>
      </c>
      <c r="K2" s="57" t="s">
        <v>34</v>
      </c>
      <c r="L2" s="57" t="s">
        <v>62</v>
      </c>
      <c r="M2" s="57" t="s">
        <v>34</v>
      </c>
      <c r="N2" s="57" t="s">
        <v>63</v>
      </c>
      <c r="O2" s="57" t="s">
        <v>34</v>
      </c>
      <c r="P2" s="57" t="s">
        <v>64</v>
      </c>
      <c r="Q2" s="57" t="s">
        <v>34</v>
      </c>
      <c r="R2" s="57" t="s">
        <v>65</v>
      </c>
      <c r="S2" s="57" t="s">
        <v>34</v>
      </c>
      <c r="T2" s="57" t="s">
        <v>66</v>
      </c>
      <c r="U2" s="57" t="s">
        <v>34</v>
      </c>
      <c r="V2" s="57" t="s">
        <v>67</v>
      </c>
      <c r="W2" s="57" t="s">
        <v>34</v>
      </c>
      <c r="X2" s="57" t="s">
        <v>68</v>
      </c>
      <c r="Y2" s="57" t="s">
        <v>34</v>
      </c>
      <c r="Z2" s="57" t="s">
        <v>69</v>
      </c>
      <c r="AA2" s="57" t="s">
        <v>34</v>
      </c>
      <c r="AB2" s="57" t="s">
        <v>70</v>
      </c>
      <c r="AC2" s="57" t="s">
        <v>34</v>
      </c>
      <c r="AD2" s="65" t="s">
        <v>71</v>
      </c>
      <c r="AE2" s="67" t="s">
        <v>72</v>
      </c>
      <c r="AF2" s="55" t="s">
        <v>34</v>
      </c>
    </row>
    <row r="3" spans="1:38">
      <c r="A3" s="54" t="s">
        <v>36</v>
      </c>
      <c r="B3" s="105">
        <v>1455929</v>
      </c>
      <c r="C3" s="61"/>
      <c r="D3" s="105">
        <v>33219465</v>
      </c>
      <c r="E3" s="60"/>
      <c r="F3" s="107">
        <v>5502</v>
      </c>
      <c r="G3" s="60"/>
      <c r="H3" s="107">
        <v>86000</v>
      </c>
      <c r="I3" s="59"/>
      <c r="J3" s="106">
        <v>178558</v>
      </c>
      <c r="K3" s="61"/>
      <c r="L3" s="107">
        <v>83247</v>
      </c>
      <c r="M3" s="60"/>
      <c r="N3" s="107">
        <v>605907</v>
      </c>
      <c r="O3" s="61"/>
      <c r="P3" s="107">
        <v>159577</v>
      </c>
      <c r="Q3" s="60"/>
      <c r="R3" s="107">
        <v>876075</v>
      </c>
      <c r="S3" s="61"/>
      <c r="T3" s="107">
        <v>67393</v>
      </c>
      <c r="U3" s="60"/>
      <c r="V3" s="107">
        <v>283070</v>
      </c>
      <c r="W3" s="61"/>
      <c r="X3" s="104">
        <v>21007</v>
      </c>
      <c r="Y3" s="60"/>
      <c r="Z3" s="104">
        <v>652943</v>
      </c>
      <c r="AA3" s="61"/>
      <c r="AB3" s="70">
        <v>1410</v>
      </c>
      <c r="AC3" s="60"/>
      <c r="AD3" s="63"/>
      <c r="AE3" s="68"/>
      <c r="AF3" s="53"/>
    </row>
    <row r="4" spans="1:38">
      <c r="A4" s="52">
        <v>44228</v>
      </c>
      <c r="B4" s="105">
        <v>1456178</v>
      </c>
      <c r="C4" s="62">
        <f>IF((B4-B3)&lt;0,"0",(B4-B3))</f>
        <v>249</v>
      </c>
      <c r="D4" s="105">
        <v>33220305</v>
      </c>
      <c r="E4" s="60">
        <f>IF((D4-D3)&lt;0,"0",(D4-D3))</f>
        <v>840</v>
      </c>
      <c r="F4" s="107">
        <v>5605</v>
      </c>
      <c r="G4" s="60">
        <f>IF((F4-F3)&lt;0,"0",(F4-F3))</f>
        <v>103</v>
      </c>
      <c r="H4" s="107">
        <v>86026</v>
      </c>
      <c r="I4" s="60">
        <f>IF((H4-H3)&lt;0,"0",(H4-H3))</f>
        <v>26</v>
      </c>
      <c r="J4" s="106">
        <v>178587</v>
      </c>
      <c r="K4" s="62">
        <f>IF((J4-J3)&lt;0,"0",(J4-J3))</f>
        <v>29</v>
      </c>
      <c r="L4" s="107">
        <v>83299</v>
      </c>
      <c r="M4" s="60">
        <f>IF((L4-L3)&lt;0,"0",(L4-L3))</f>
        <v>52</v>
      </c>
      <c r="N4" s="107">
        <v>605949</v>
      </c>
      <c r="O4" s="62">
        <f>IF((N4-N3)&lt;0,"0",(N4-N3))</f>
        <v>42</v>
      </c>
      <c r="P4" s="107">
        <v>159586</v>
      </c>
      <c r="Q4" s="60">
        <f>IF((P4-P3)&lt;0,"0",(P4-P3))</f>
        <v>9</v>
      </c>
      <c r="R4" s="107">
        <v>876202</v>
      </c>
      <c r="S4" s="62">
        <f>IF((R4-R3)&lt;0,"0",(R4-R3))</f>
        <v>127</v>
      </c>
      <c r="T4" s="107">
        <v>67421</v>
      </c>
      <c r="U4" s="60">
        <f>IF((T4-T3)&lt;0,"0",(T4-T3))</f>
        <v>28</v>
      </c>
      <c r="V4" s="107">
        <v>283127</v>
      </c>
      <c r="W4" s="62">
        <f>IF((V4-V3)&lt;0,"0",(V4-V3))</f>
        <v>57</v>
      </c>
      <c r="X4" s="104">
        <v>21007</v>
      </c>
      <c r="Y4" s="60">
        <f>IF((X4-X3)&lt;0,"0",(X4-X3))</f>
        <v>0</v>
      </c>
      <c r="Z4" s="104">
        <v>652943</v>
      </c>
      <c r="AA4" s="62">
        <f>IF((Z4-Z3)&lt;0,"0",(Z4-Z3))</f>
        <v>0</v>
      </c>
      <c r="AB4" s="70">
        <v>1410</v>
      </c>
      <c r="AC4" s="60">
        <f>IF((AB4-AB3)&lt;0,"0",(AB4-AB3))</f>
        <v>0</v>
      </c>
      <c r="AD4" s="64">
        <f>C4+E4+G4+I4+K4+M4+O4+Q4+S4+U4+W4+Y4+AA4+AC4</f>
        <v>1562</v>
      </c>
      <c r="AE4" s="18">
        <v>0</v>
      </c>
      <c r="AF4" s="53">
        <f>IF((AE4-AE3)&lt;0,"0",(AE4-AE3))</f>
        <v>0</v>
      </c>
    </row>
    <row r="5" spans="1:38">
      <c r="A5" s="52">
        <v>44229</v>
      </c>
      <c r="B5" s="105">
        <v>1456421</v>
      </c>
      <c r="C5" s="62">
        <f t="shared" ref="C5:C31" si="0">IF((B5-B4)&lt;0,"0",(B5-B4))</f>
        <v>243</v>
      </c>
      <c r="D5" s="105">
        <v>33221026</v>
      </c>
      <c r="E5" s="60">
        <f t="shared" ref="E5:E31" si="1">IF((D5-D4)&lt;0,"0",(D5-D4))</f>
        <v>721</v>
      </c>
      <c r="F5" s="107">
        <v>5697</v>
      </c>
      <c r="G5" s="60">
        <f t="shared" ref="G5:G31" si="2">IF((F5-F4)&lt;0,"0",(F5-F4))</f>
        <v>92</v>
      </c>
      <c r="H5" s="107">
        <v>86048</v>
      </c>
      <c r="I5" s="60">
        <f t="shared" ref="I5:I31" si="3">IF((H5-H4)&lt;0,"0",(H5-H4))</f>
        <v>22</v>
      </c>
      <c r="J5" s="106">
        <v>178617</v>
      </c>
      <c r="K5" s="62">
        <f t="shared" ref="K5:K31" si="4">IF((J5-J4)&lt;0,"0",(J5-J4))</f>
        <v>30</v>
      </c>
      <c r="L5" s="107">
        <v>83353</v>
      </c>
      <c r="M5" s="60">
        <f t="shared" ref="M5:M31" si="5">IF((L5-L4)&lt;0,"0",(L5-L4))</f>
        <v>54</v>
      </c>
      <c r="N5" s="107">
        <v>606021</v>
      </c>
      <c r="O5" s="62">
        <f t="shared" ref="O5:O31" si="6">IF((N5-N4)&lt;0,"0",(N5-N4))</f>
        <v>72</v>
      </c>
      <c r="P5" s="107">
        <v>159622</v>
      </c>
      <c r="Q5" s="60">
        <f t="shared" ref="Q5:Q31" si="7">IF((P5-P4)&lt;0,"0",(P5-P4))</f>
        <v>36</v>
      </c>
      <c r="R5" s="107">
        <v>876328</v>
      </c>
      <c r="S5" s="62">
        <f t="shared" ref="S5:S31" si="8">IF((R5-R4)&lt;0,"0",(R5-R4))</f>
        <v>126</v>
      </c>
      <c r="T5" s="107">
        <v>67438</v>
      </c>
      <c r="U5" s="60">
        <f t="shared" ref="U5:U31" si="9">IF((T5-T4)&lt;0,"0",(T5-T4))</f>
        <v>17</v>
      </c>
      <c r="V5" s="107">
        <v>283182</v>
      </c>
      <c r="W5" s="62">
        <f t="shared" ref="W5:W31" si="10">IF((V5-V4)&lt;0,"0",(V5-V4))</f>
        <v>55</v>
      </c>
      <c r="X5" s="104">
        <v>21007</v>
      </c>
      <c r="Y5" s="60">
        <f t="shared" ref="Y5:Y31" si="11">IF((X5-X4)&lt;0,"0",(X5-X4))</f>
        <v>0</v>
      </c>
      <c r="Z5" s="104">
        <v>652943</v>
      </c>
      <c r="AA5" s="62">
        <f t="shared" ref="AA5:AA31" si="12">IF((Z5-Z4)&lt;0,"0",(Z5-Z4))</f>
        <v>0</v>
      </c>
      <c r="AB5" s="70">
        <v>1410</v>
      </c>
      <c r="AC5" s="60">
        <f t="shared" ref="AC5:AC31" si="13">IF((AB5-AB4)&lt;0,"0",(AB5-AB4))</f>
        <v>0</v>
      </c>
      <c r="AD5" s="66">
        <f t="shared" ref="AD5:AD30" si="14">C5+E5+G5+I5+K5+M5+O5+Q5+S5+U5+W5+Y5+AA5+AC5</f>
        <v>1468</v>
      </c>
      <c r="AE5" s="18">
        <v>0</v>
      </c>
      <c r="AF5" s="53">
        <f t="shared" ref="AF5:AF31" si="15">IF((AE5-AE4)&lt;0,"0",(AE5-AE4))</f>
        <v>0</v>
      </c>
    </row>
    <row r="6" spans="1:38">
      <c r="A6" s="52">
        <v>44230</v>
      </c>
      <c r="B6" s="105">
        <v>1456673</v>
      </c>
      <c r="C6" s="62">
        <f t="shared" si="0"/>
        <v>252</v>
      </c>
      <c r="D6" s="105">
        <v>33221870</v>
      </c>
      <c r="E6" s="60">
        <f t="shared" si="1"/>
        <v>844</v>
      </c>
      <c r="F6" s="107">
        <v>5809</v>
      </c>
      <c r="G6" s="60">
        <f t="shared" si="2"/>
        <v>112</v>
      </c>
      <c r="H6" s="107">
        <v>86071</v>
      </c>
      <c r="I6" s="60">
        <f t="shared" si="3"/>
        <v>23</v>
      </c>
      <c r="J6" s="106">
        <v>178652</v>
      </c>
      <c r="K6" s="62">
        <f t="shared" si="4"/>
        <v>35</v>
      </c>
      <c r="L6" s="107">
        <v>83421</v>
      </c>
      <c r="M6" s="60">
        <f t="shared" si="5"/>
        <v>68</v>
      </c>
      <c r="N6" s="107">
        <v>606070</v>
      </c>
      <c r="O6" s="62">
        <f t="shared" si="6"/>
        <v>49</v>
      </c>
      <c r="P6" s="107">
        <v>159668</v>
      </c>
      <c r="Q6" s="60">
        <f t="shared" si="7"/>
        <v>46</v>
      </c>
      <c r="R6" s="107">
        <v>876454</v>
      </c>
      <c r="S6" s="62">
        <f t="shared" si="8"/>
        <v>126</v>
      </c>
      <c r="T6" s="107">
        <v>67480</v>
      </c>
      <c r="U6" s="60">
        <f t="shared" si="9"/>
        <v>42</v>
      </c>
      <c r="V6" s="107">
        <v>283236</v>
      </c>
      <c r="W6" s="62">
        <f t="shared" si="10"/>
        <v>54</v>
      </c>
      <c r="X6" s="104">
        <v>21007</v>
      </c>
      <c r="Y6" s="60">
        <f t="shared" si="11"/>
        <v>0</v>
      </c>
      <c r="Z6" s="104">
        <v>652943</v>
      </c>
      <c r="AA6" s="62">
        <f t="shared" si="12"/>
        <v>0</v>
      </c>
      <c r="AB6" s="70">
        <v>1410</v>
      </c>
      <c r="AC6" s="60">
        <f t="shared" si="13"/>
        <v>0</v>
      </c>
      <c r="AD6" s="66">
        <f t="shared" si="14"/>
        <v>1651</v>
      </c>
      <c r="AE6" s="18">
        <v>0</v>
      </c>
      <c r="AF6" s="53">
        <f t="shared" si="15"/>
        <v>0</v>
      </c>
    </row>
    <row r="7" spans="1:38">
      <c r="A7" s="52">
        <v>44231</v>
      </c>
      <c r="B7" s="105">
        <v>1456920</v>
      </c>
      <c r="C7" s="62">
        <f t="shared" si="0"/>
        <v>247</v>
      </c>
      <c r="D7" s="105">
        <v>33222770</v>
      </c>
      <c r="E7" s="60">
        <f t="shared" si="1"/>
        <v>900</v>
      </c>
      <c r="F7" s="107">
        <v>5960</v>
      </c>
      <c r="G7" s="60">
        <f t="shared" si="2"/>
        <v>151</v>
      </c>
      <c r="H7" s="107">
        <v>86102</v>
      </c>
      <c r="I7" s="60">
        <f t="shared" si="3"/>
        <v>31</v>
      </c>
      <c r="J7" s="106">
        <v>178678</v>
      </c>
      <c r="K7" s="62">
        <f t="shared" si="4"/>
        <v>26</v>
      </c>
      <c r="L7" s="107">
        <v>83478</v>
      </c>
      <c r="M7" s="60">
        <f t="shared" si="5"/>
        <v>57</v>
      </c>
      <c r="N7" s="107">
        <v>606116</v>
      </c>
      <c r="O7" s="62">
        <f t="shared" si="6"/>
        <v>46</v>
      </c>
      <c r="P7" s="107">
        <v>159722</v>
      </c>
      <c r="Q7" s="60">
        <f t="shared" si="7"/>
        <v>54</v>
      </c>
      <c r="R7" s="107">
        <v>876627</v>
      </c>
      <c r="S7" s="62">
        <f t="shared" si="8"/>
        <v>173</v>
      </c>
      <c r="T7" s="107">
        <v>67500</v>
      </c>
      <c r="U7" s="60">
        <f t="shared" si="9"/>
        <v>20</v>
      </c>
      <c r="V7" s="107">
        <v>283297</v>
      </c>
      <c r="W7" s="62">
        <f t="shared" si="10"/>
        <v>61</v>
      </c>
      <c r="X7" s="104">
        <v>21007</v>
      </c>
      <c r="Y7" s="60">
        <f t="shared" si="11"/>
        <v>0</v>
      </c>
      <c r="Z7" s="104">
        <v>652943</v>
      </c>
      <c r="AA7" s="62">
        <f t="shared" si="12"/>
        <v>0</v>
      </c>
      <c r="AB7" s="70">
        <v>1410</v>
      </c>
      <c r="AC7" s="60">
        <f t="shared" si="13"/>
        <v>0</v>
      </c>
      <c r="AD7" s="66">
        <f t="shared" si="14"/>
        <v>1766</v>
      </c>
      <c r="AE7" s="18">
        <v>0</v>
      </c>
      <c r="AF7" s="53">
        <f t="shared" si="15"/>
        <v>0</v>
      </c>
    </row>
    <row r="8" spans="1:38">
      <c r="A8" s="52">
        <v>44232</v>
      </c>
      <c r="B8" s="105">
        <v>1457168</v>
      </c>
      <c r="C8" s="62">
        <f t="shared" si="0"/>
        <v>248</v>
      </c>
      <c r="D8" s="105">
        <v>33223792</v>
      </c>
      <c r="E8" s="60">
        <f t="shared" si="1"/>
        <v>1022</v>
      </c>
      <c r="F8" s="107">
        <v>6074</v>
      </c>
      <c r="G8" s="60">
        <f t="shared" si="2"/>
        <v>114</v>
      </c>
      <c r="H8" s="107">
        <v>86122</v>
      </c>
      <c r="I8" s="60">
        <f t="shared" si="3"/>
        <v>20</v>
      </c>
      <c r="J8" s="106">
        <v>178710</v>
      </c>
      <c r="K8" s="62">
        <f t="shared" si="4"/>
        <v>32</v>
      </c>
      <c r="L8" s="107">
        <v>83549</v>
      </c>
      <c r="M8" s="60">
        <f t="shared" si="5"/>
        <v>71</v>
      </c>
      <c r="N8" s="107">
        <v>606254</v>
      </c>
      <c r="O8" s="62">
        <f t="shared" si="6"/>
        <v>138</v>
      </c>
      <c r="P8" s="107">
        <v>159763</v>
      </c>
      <c r="Q8" s="60">
        <f t="shared" si="7"/>
        <v>41</v>
      </c>
      <c r="R8" s="107">
        <v>876755</v>
      </c>
      <c r="S8" s="62">
        <f t="shared" si="8"/>
        <v>128</v>
      </c>
      <c r="T8" s="107">
        <v>67528</v>
      </c>
      <c r="U8" s="60">
        <f t="shared" si="9"/>
        <v>28</v>
      </c>
      <c r="V8" s="107">
        <v>283355</v>
      </c>
      <c r="W8" s="62">
        <f t="shared" si="10"/>
        <v>58</v>
      </c>
      <c r="X8" s="104">
        <v>21007</v>
      </c>
      <c r="Y8" s="60">
        <f t="shared" si="11"/>
        <v>0</v>
      </c>
      <c r="Z8" s="104">
        <v>652943</v>
      </c>
      <c r="AA8" s="62">
        <f t="shared" si="12"/>
        <v>0</v>
      </c>
      <c r="AB8" s="70">
        <v>1410</v>
      </c>
      <c r="AC8" s="60">
        <f t="shared" si="13"/>
        <v>0</v>
      </c>
      <c r="AD8" s="66">
        <f t="shared" si="14"/>
        <v>1900</v>
      </c>
      <c r="AE8" s="18">
        <v>0</v>
      </c>
      <c r="AF8" s="53">
        <f t="shared" si="15"/>
        <v>0</v>
      </c>
    </row>
    <row r="9" spans="1:38">
      <c r="A9" s="52">
        <v>44233</v>
      </c>
      <c r="B9" s="105">
        <v>1457493</v>
      </c>
      <c r="C9" s="62">
        <f t="shared" si="0"/>
        <v>325</v>
      </c>
      <c r="D9" s="105">
        <v>33224616</v>
      </c>
      <c r="E9" s="60">
        <f t="shared" si="1"/>
        <v>824</v>
      </c>
      <c r="F9" s="107">
        <v>6226</v>
      </c>
      <c r="G9" s="60">
        <f t="shared" si="2"/>
        <v>152</v>
      </c>
      <c r="H9" s="107">
        <v>86150</v>
      </c>
      <c r="I9" s="60">
        <f t="shared" si="3"/>
        <v>28</v>
      </c>
      <c r="J9" s="106">
        <v>178741</v>
      </c>
      <c r="K9" s="62">
        <f t="shared" si="4"/>
        <v>31</v>
      </c>
      <c r="L9" s="107">
        <v>83598</v>
      </c>
      <c r="M9" s="60">
        <f t="shared" si="5"/>
        <v>49</v>
      </c>
      <c r="N9" s="107">
        <v>606320</v>
      </c>
      <c r="O9" s="62">
        <f t="shared" si="6"/>
        <v>66</v>
      </c>
      <c r="P9" s="107">
        <v>159801</v>
      </c>
      <c r="Q9" s="60">
        <f t="shared" si="7"/>
        <v>38</v>
      </c>
      <c r="R9" s="107">
        <v>876937</v>
      </c>
      <c r="S9" s="62">
        <f t="shared" si="8"/>
        <v>182</v>
      </c>
      <c r="T9" s="107">
        <v>67552</v>
      </c>
      <c r="U9" s="60">
        <f t="shared" si="9"/>
        <v>24</v>
      </c>
      <c r="V9" s="107">
        <v>283411</v>
      </c>
      <c r="W9" s="62">
        <f t="shared" si="10"/>
        <v>56</v>
      </c>
      <c r="X9" s="104">
        <v>21007</v>
      </c>
      <c r="Y9" s="60">
        <f t="shared" si="11"/>
        <v>0</v>
      </c>
      <c r="Z9" s="104">
        <v>652943</v>
      </c>
      <c r="AA9" s="62">
        <f t="shared" si="12"/>
        <v>0</v>
      </c>
      <c r="AB9" s="70">
        <v>1410</v>
      </c>
      <c r="AC9" s="60">
        <f t="shared" si="13"/>
        <v>0</v>
      </c>
      <c r="AD9" s="66">
        <f t="shared" si="14"/>
        <v>1775</v>
      </c>
      <c r="AE9" s="18">
        <v>0</v>
      </c>
      <c r="AF9" s="53">
        <f t="shared" si="15"/>
        <v>0</v>
      </c>
    </row>
    <row r="10" spans="1:38">
      <c r="A10" s="52">
        <v>44234</v>
      </c>
      <c r="B10" s="105">
        <v>1457743</v>
      </c>
      <c r="C10" s="62">
        <f t="shared" si="0"/>
        <v>250</v>
      </c>
      <c r="D10" s="105">
        <v>33225361</v>
      </c>
      <c r="E10" s="60">
        <f t="shared" si="1"/>
        <v>745</v>
      </c>
      <c r="F10" s="107">
        <v>6347</v>
      </c>
      <c r="G10" s="60">
        <f t="shared" si="2"/>
        <v>121</v>
      </c>
      <c r="H10" s="107">
        <v>86168</v>
      </c>
      <c r="I10" s="60">
        <f t="shared" si="3"/>
        <v>18</v>
      </c>
      <c r="J10" s="106">
        <v>178741</v>
      </c>
      <c r="K10" s="62">
        <f t="shared" si="4"/>
        <v>0</v>
      </c>
      <c r="L10" s="107">
        <v>83648</v>
      </c>
      <c r="M10" s="60">
        <f t="shared" si="5"/>
        <v>50</v>
      </c>
      <c r="N10" s="107">
        <v>606479</v>
      </c>
      <c r="O10" s="62">
        <f t="shared" si="6"/>
        <v>159</v>
      </c>
      <c r="P10" s="107">
        <v>159843</v>
      </c>
      <c r="Q10" s="60">
        <f t="shared" si="7"/>
        <v>42</v>
      </c>
      <c r="R10" s="107">
        <v>877077</v>
      </c>
      <c r="S10" s="62">
        <f t="shared" si="8"/>
        <v>140</v>
      </c>
      <c r="T10" s="107">
        <v>67579</v>
      </c>
      <c r="U10" s="60">
        <f t="shared" si="9"/>
        <v>27</v>
      </c>
      <c r="V10" s="107">
        <v>283466</v>
      </c>
      <c r="W10" s="62">
        <f t="shared" si="10"/>
        <v>55</v>
      </c>
      <c r="X10" s="104">
        <v>21007</v>
      </c>
      <c r="Y10" s="60">
        <f t="shared" si="11"/>
        <v>0</v>
      </c>
      <c r="Z10" s="104">
        <v>652943</v>
      </c>
      <c r="AA10" s="62">
        <f t="shared" si="12"/>
        <v>0</v>
      </c>
      <c r="AB10" s="70">
        <v>1410</v>
      </c>
      <c r="AC10" s="60">
        <f t="shared" si="13"/>
        <v>0</v>
      </c>
      <c r="AD10" s="66">
        <f t="shared" si="14"/>
        <v>1607</v>
      </c>
      <c r="AE10" s="18">
        <v>0</v>
      </c>
      <c r="AF10" s="53">
        <f t="shared" si="15"/>
        <v>0</v>
      </c>
    </row>
    <row r="11" spans="1:38">
      <c r="A11" s="52">
        <v>44235</v>
      </c>
      <c r="B11" s="105">
        <v>1457992</v>
      </c>
      <c r="C11" s="62">
        <f t="shared" si="0"/>
        <v>249</v>
      </c>
      <c r="D11" s="105">
        <v>33226345</v>
      </c>
      <c r="E11" s="60">
        <f>IF((D11-D10)&lt;0,"0",(D11-D10))</f>
        <v>984</v>
      </c>
      <c r="F11" s="107">
        <v>6457</v>
      </c>
      <c r="G11" s="60">
        <f t="shared" si="2"/>
        <v>110</v>
      </c>
      <c r="H11" s="107">
        <v>86192</v>
      </c>
      <c r="I11" s="60">
        <f t="shared" si="3"/>
        <v>24</v>
      </c>
      <c r="J11" s="106">
        <v>178768</v>
      </c>
      <c r="K11" s="62">
        <f t="shared" si="4"/>
        <v>27</v>
      </c>
      <c r="L11" s="107">
        <v>83708</v>
      </c>
      <c r="M11" s="60">
        <f t="shared" si="5"/>
        <v>60</v>
      </c>
      <c r="N11" s="107">
        <v>606502</v>
      </c>
      <c r="O11" s="62">
        <f t="shared" si="6"/>
        <v>23</v>
      </c>
      <c r="P11" s="107">
        <v>159884</v>
      </c>
      <c r="Q11" s="60">
        <f t="shared" si="7"/>
        <v>41</v>
      </c>
      <c r="R11" s="107">
        <v>877212</v>
      </c>
      <c r="S11" s="62">
        <f t="shared" si="8"/>
        <v>135</v>
      </c>
      <c r="T11" s="107">
        <v>67611</v>
      </c>
      <c r="U11" s="60">
        <f t="shared" si="9"/>
        <v>32</v>
      </c>
      <c r="V11" s="107">
        <v>283525</v>
      </c>
      <c r="W11" s="62">
        <f t="shared" si="10"/>
        <v>59</v>
      </c>
      <c r="X11" s="104">
        <v>21007</v>
      </c>
      <c r="Y11" s="60">
        <f t="shared" si="11"/>
        <v>0</v>
      </c>
      <c r="Z11" s="104">
        <v>652943</v>
      </c>
      <c r="AA11" s="62">
        <f t="shared" si="12"/>
        <v>0</v>
      </c>
      <c r="AB11" s="70">
        <v>1410</v>
      </c>
      <c r="AC11" s="60">
        <f t="shared" si="13"/>
        <v>0</v>
      </c>
      <c r="AD11" s="66">
        <f t="shared" si="14"/>
        <v>1744</v>
      </c>
      <c r="AE11" s="18">
        <v>0</v>
      </c>
      <c r="AF11" s="53">
        <f t="shared" si="15"/>
        <v>0</v>
      </c>
    </row>
    <row r="12" spans="1:38">
      <c r="A12" s="52">
        <v>44236</v>
      </c>
      <c r="B12" s="105">
        <v>1458204</v>
      </c>
      <c r="C12" s="62">
        <f t="shared" si="0"/>
        <v>212</v>
      </c>
      <c r="D12" s="105">
        <v>33227052</v>
      </c>
      <c r="E12" s="60">
        <f>IF((D12-D11)&lt;0,"0",(D12-D11))</f>
        <v>707</v>
      </c>
      <c r="F12" s="107">
        <v>6563</v>
      </c>
      <c r="G12" s="60">
        <f t="shared" si="2"/>
        <v>106</v>
      </c>
      <c r="H12" s="107">
        <v>86210</v>
      </c>
      <c r="I12" s="60">
        <f t="shared" si="3"/>
        <v>18</v>
      </c>
      <c r="J12" s="106">
        <v>178793</v>
      </c>
      <c r="K12" s="62">
        <f t="shared" si="4"/>
        <v>25</v>
      </c>
      <c r="L12" s="107">
        <v>83766</v>
      </c>
      <c r="M12" s="60">
        <f t="shared" si="5"/>
        <v>58</v>
      </c>
      <c r="N12" s="107">
        <v>606527</v>
      </c>
      <c r="O12" s="62">
        <f t="shared" si="6"/>
        <v>25</v>
      </c>
      <c r="P12" s="107">
        <v>159922</v>
      </c>
      <c r="Q12" s="60">
        <f t="shared" si="7"/>
        <v>38</v>
      </c>
      <c r="R12" s="107">
        <v>877334</v>
      </c>
      <c r="S12" s="62">
        <f t="shared" si="8"/>
        <v>122</v>
      </c>
      <c r="T12" s="107">
        <v>67638</v>
      </c>
      <c r="U12" s="60">
        <f t="shared" si="9"/>
        <v>27</v>
      </c>
      <c r="V12" s="107">
        <v>283574</v>
      </c>
      <c r="W12" s="62">
        <f t="shared" si="10"/>
        <v>49</v>
      </c>
      <c r="X12" s="104">
        <v>21007</v>
      </c>
      <c r="Y12" s="60">
        <f t="shared" si="11"/>
        <v>0</v>
      </c>
      <c r="Z12" s="104">
        <v>652943</v>
      </c>
      <c r="AA12" s="62">
        <f t="shared" si="12"/>
        <v>0</v>
      </c>
      <c r="AB12" s="70">
        <v>1410</v>
      </c>
      <c r="AC12" s="60">
        <f t="shared" si="13"/>
        <v>0</v>
      </c>
      <c r="AD12" s="66">
        <f t="shared" si="14"/>
        <v>1387</v>
      </c>
      <c r="AE12" s="18">
        <v>0</v>
      </c>
      <c r="AF12" s="53">
        <f t="shared" si="15"/>
        <v>0</v>
      </c>
    </row>
    <row r="13" spans="1:38">
      <c r="A13" s="52">
        <v>44237</v>
      </c>
      <c r="B13" s="105">
        <v>1458467</v>
      </c>
      <c r="C13" s="62">
        <f t="shared" si="0"/>
        <v>263</v>
      </c>
      <c r="D13" s="105">
        <v>33227985</v>
      </c>
      <c r="E13" s="60">
        <f>IF((D13-D12)&lt;0,"0",(D13-D12))</f>
        <v>933</v>
      </c>
      <c r="F13" s="107">
        <v>6674</v>
      </c>
      <c r="G13" s="60">
        <f t="shared" si="2"/>
        <v>111</v>
      </c>
      <c r="H13" s="107">
        <v>86233</v>
      </c>
      <c r="I13" s="60">
        <f t="shared" si="3"/>
        <v>23</v>
      </c>
      <c r="J13" s="106">
        <v>178823</v>
      </c>
      <c r="K13" s="62">
        <f t="shared" si="4"/>
        <v>30</v>
      </c>
      <c r="L13" s="107">
        <v>83837</v>
      </c>
      <c r="M13" s="60">
        <f t="shared" si="5"/>
        <v>71</v>
      </c>
      <c r="N13" s="107">
        <v>606606</v>
      </c>
      <c r="O13" s="62">
        <f t="shared" si="6"/>
        <v>79</v>
      </c>
      <c r="P13" s="107">
        <v>159966</v>
      </c>
      <c r="Q13" s="60">
        <f t="shared" si="7"/>
        <v>44</v>
      </c>
      <c r="R13" s="107">
        <v>877459</v>
      </c>
      <c r="S13" s="62">
        <f t="shared" si="8"/>
        <v>125</v>
      </c>
      <c r="T13" s="107">
        <v>67664</v>
      </c>
      <c r="U13" s="60">
        <f t="shared" si="9"/>
        <v>26</v>
      </c>
      <c r="V13" s="107">
        <v>283629</v>
      </c>
      <c r="W13" s="62">
        <f t="shared" si="10"/>
        <v>55</v>
      </c>
      <c r="X13" s="104">
        <v>21007</v>
      </c>
      <c r="Y13" s="60">
        <f t="shared" si="11"/>
        <v>0</v>
      </c>
      <c r="Z13" s="104">
        <v>652943</v>
      </c>
      <c r="AA13" s="62">
        <f t="shared" si="12"/>
        <v>0</v>
      </c>
      <c r="AB13" s="70">
        <v>1410</v>
      </c>
      <c r="AC13" s="60">
        <f t="shared" si="13"/>
        <v>0</v>
      </c>
      <c r="AD13" s="66">
        <f t="shared" si="14"/>
        <v>1760</v>
      </c>
      <c r="AE13" s="18">
        <v>0</v>
      </c>
      <c r="AF13" s="53">
        <f t="shared" si="15"/>
        <v>0</v>
      </c>
    </row>
    <row r="14" spans="1:38">
      <c r="A14" s="52">
        <v>44238</v>
      </c>
      <c r="B14" s="105">
        <v>1458734</v>
      </c>
      <c r="C14" s="62">
        <f t="shared" si="0"/>
        <v>267</v>
      </c>
      <c r="D14" s="105">
        <v>33228898</v>
      </c>
      <c r="E14" s="60">
        <f t="shared" si="1"/>
        <v>913</v>
      </c>
      <c r="F14" s="107">
        <v>6800</v>
      </c>
      <c r="G14" s="60">
        <f t="shared" si="2"/>
        <v>126</v>
      </c>
      <c r="H14" s="107">
        <v>86260</v>
      </c>
      <c r="I14" s="60">
        <f t="shared" si="3"/>
        <v>27</v>
      </c>
      <c r="J14" s="106">
        <v>178856</v>
      </c>
      <c r="K14" s="62">
        <f t="shared" si="4"/>
        <v>33</v>
      </c>
      <c r="L14" s="107">
        <v>83897</v>
      </c>
      <c r="M14" s="60">
        <f t="shared" si="5"/>
        <v>60</v>
      </c>
      <c r="N14" s="108">
        <v>606718</v>
      </c>
      <c r="O14" s="62">
        <f t="shared" si="6"/>
        <v>112</v>
      </c>
      <c r="P14" s="108">
        <v>160011</v>
      </c>
      <c r="Q14" s="60">
        <f t="shared" si="7"/>
        <v>45</v>
      </c>
      <c r="R14" s="107">
        <v>877592</v>
      </c>
      <c r="S14" s="62">
        <f t="shared" si="8"/>
        <v>133</v>
      </c>
      <c r="T14" s="107">
        <v>67694</v>
      </c>
      <c r="U14" s="60">
        <f t="shared" si="9"/>
        <v>30</v>
      </c>
      <c r="V14" s="107">
        <v>283686</v>
      </c>
      <c r="W14" s="62">
        <f t="shared" si="10"/>
        <v>57</v>
      </c>
      <c r="X14" s="104">
        <v>21007</v>
      </c>
      <c r="Y14" s="60">
        <f t="shared" si="11"/>
        <v>0</v>
      </c>
      <c r="Z14" s="104">
        <v>652943</v>
      </c>
      <c r="AA14" s="62">
        <f t="shared" si="12"/>
        <v>0</v>
      </c>
      <c r="AB14" s="70">
        <v>1410</v>
      </c>
      <c r="AC14" s="60">
        <f t="shared" si="13"/>
        <v>0</v>
      </c>
      <c r="AD14" s="66">
        <f t="shared" si="14"/>
        <v>1803</v>
      </c>
      <c r="AE14" s="18">
        <v>0</v>
      </c>
      <c r="AF14" s="53">
        <f t="shared" si="15"/>
        <v>0</v>
      </c>
    </row>
    <row r="15" spans="1:38">
      <c r="A15" s="52">
        <v>44239</v>
      </c>
      <c r="B15" s="105">
        <v>1458990</v>
      </c>
      <c r="C15" s="62">
        <f t="shared" si="0"/>
        <v>256</v>
      </c>
      <c r="D15" s="105">
        <v>33229541</v>
      </c>
      <c r="E15" s="60">
        <f t="shared" si="1"/>
        <v>643</v>
      </c>
      <c r="F15" s="107">
        <v>6952</v>
      </c>
      <c r="G15" s="60">
        <f t="shared" si="2"/>
        <v>152</v>
      </c>
      <c r="H15" s="107">
        <v>86290</v>
      </c>
      <c r="I15" s="60">
        <f t="shared" si="3"/>
        <v>30</v>
      </c>
      <c r="J15" s="106">
        <v>178891</v>
      </c>
      <c r="K15" s="62">
        <f t="shared" si="4"/>
        <v>35</v>
      </c>
      <c r="L15" s="107">
        <v>83958</v>
      </c>
      <c r="M15" s="60">
        <f t="shared" si="5"/>
        <v>61</v>
      </c>
      <c r="N15" s="107">
        <v>606727</v>
      </c>
      <c r="O15" s="62">
        <f t="shared" si="6"/>
        <v>9</v>
      </c>
      <c r="P15" s="107">
        <v>160052</v>
      </c>
      <c r="Q15" s="60">
        <f t="shared" si="7"/>
        <v>41</v>
      </c>
      <c r="R15" s="107">
        <v>877764</v>
      </c>
      <c r="S15" s="62">
        <f t="shared" si="8"/>
        <v>172</v>
      </c>
      <c r="T15" s="107">
        <v>67730</v>
      </c>
      <c r="U15" s="60">
        <f t="shared" si="9"/>
        <v>36</v>
      </c>
      <c r="V15" s="107">
        <v>283747</v>
      </c>
      <c r="W15" s="62">
        <f t="shared" si="10"/>
        <v>61</v>
      </c>
      <c r="X15" s="104">
        <v>21007</v>
      </c>
      <c r="Y15" s="60">
        <f t="shared" si="11"/>
        <v>0</v>
      </c>
      <c r="Z15" s="104">
        <v>652943</v>
      </c>
      <c r="AA15" s="62">
        <f t="shared" si="12"/>
        <v>0</v>
      </c>
      <c r="AB15" s="70">
        <v>1410</v>
      </c>
      <c r="AC15" s="60">
        <f t="shared" si="13"/>
        <v>0</v>
      </c>
      <c r="AD15" s="66">
        <f t="shared" si="14"/>
        <v>1496</v>
      </c>
      <c r="AE15" s="18">
        <v>0</v>
      </c>
      <c r="AF15" s="53">
        <f t="shared" si="15"/>
        <v>0</v>
      </c>
    </row>
    <row r="16" spans="1:38">
      <c r="A16" s="52">
        <v>44240</v>
      </c>
      <c r="B16" s="105">
        <v>1459259</v>
      </c>
      <c r="C16" s="62">
        <f t="shared" si="0"/>
        <v>269</v>
      </c>
      <c r="D16" s="105">
        <v>33230330</v>
      </c>
      <c r="E16" s="60">
        <f t="shared" si="1"/>
        <v>789</v>
      </c>
      <c r="F16" s="107">
        <v>7059</v>
      </c>
      <c r="G16" s="60">
        <f t="shared" si="2"/>
        <v>107</v>
      </c>
      <c r="H16" s="107">
        <v>86316</v>
      </c>
      <c r="I16" s="60">
        <f t="shared" si="3"/>
        <v>26</v>
      </c>
      <c r="J16" s="106">
        <v>178928</v>
      </c>
      <c r="K16" s="62">
        <f t="shared" si="4"/>
        <v>37</v>
      </c>
      <c r="L16" s="107">
        <v>84031</v>
      </c>
      <c r="M16" s="60">
        <f t="shared" si="5"/>
        <v>73</v>
      </c>
      <c r="N16" s="107">
        <v>606794</v>
      </c>
      <c r="O16" s="62">
        <f t="shared" si="6"/>
        <v>67</v>
      </c>
      <c r="P16" s="107">
        <v>160093</v>
      </c>
      <c r="Q16" s="60">
        <f t="shared" si="7"/>
        <v>41</v>
      </c>
      <c r="R16" s="107">
        <v>877928</v>
      </c>
      <c r="S16" s="62">
        <f t="shared" si="8"/>
        <v>164</v>
      </c>
      <c r="T16" s="107">
        <v>67753</v>
      </c>
      <c r="U16" s="60">
        <f t="shared" si="9"/>
        <v>23</v>
      </c>
      <c r="V16" s="107">
        <v>283801</v>
      </c>
      <c r="W16" s="62">
        <f t="shared" si="10"/>
        <v>54</v>
      </c>
      <c r="X16" s="104">
        <v>21007</v>
      </c>
      <c r="Y16" s="60">
        <f t="shared" si="11"/>
        <v>0</v>
      </c>
      <c r="Z16" s="104">
        <v>652943</v>
      </c>
      <c r="AA16" s="62">
        <f t="shared" si="12"/>
        <v>0</v>
      </c>
      <c r="AB16" s="70">
        <v>1410</v>
      </c>
      <c r="AC16" s="60">
        <f t="shared" si="13"/>
        <v>0</v>
      </c>
      <c r="AD16" s="66">
        <f t="shared" si="14"/>
        <v>1650</v>
      </c>
      <c r="AE16" s="18">
        <v>0</v>
      </c>
      <c r="AF16" s="53">
        <f t="shared" si="15"/>
        <v>0</v>
      </c>
      <c r="AL16" t="s">
        <v>73</v>
      </c>
    </row>
    <row r="17" spans="1:38">
      <c r="A17" s="52">
        <v>44241</v>
      </c>
      <c r="B17" s="105">
        <v>1459517</v>
      </c>
      <c r="C17" s="62">
        <f t="shared" si="0"/>
        <v>258</v>
      </c>
      <c r="D17" s="105">
        <v>33231207</v>
      </c>
      <c r="E17" s="60">
        <f t="shared" si="1"/>
        <v>877</v>
      </c>
      <c r="F17" s="107">
        <v>7154</v>
      </c>
      <c r="G17" s="60">
        <f t="shared" si="2"/>
        <v>95</v>
      </c>
      <c r="H17" s="107">
        <v>86341</v>
      </c>
      <c r="I17" s="60">
        <f t="shared" si="3"/>
        <v>25</v>
      </c>
      <c r="J17" s="106">
        <v>178978</v>
      </c>
      <c r="K17" s="62">
        <f t="shared" si="4"/>
        <v>50</v>
      </c>
      <c r="L17" s="107">
        <v>84096</v>
      </c>
      <c r="M17" s="60">
        <f t="shared" si="5"/>
        <v>65</v>
      </c>
      <c r="N17" s="107">
        <v>606820</v>
      </c>
      <c r="O17" s="62">
        <f t="shared" si="6"/>
        <v>26</v>
      </c>
      <c r="P17" s="107">
        <v>160135</v>
      </c>
      <c r="Q17" s="60">
        <f t="shared" si="7"/>
        <v>42</v>
      </c>
      <c r="R17" s="107">
        <v>878114</v>
      </c>
      <c r="S17" s="62">
        <f t="shared" si="8"/>
        <v>186</v>
      </c>
      <c r="T17" s="107">
        <v>67774</v>
      </c>
      <c r="U17" s="60">
        <f t="shared" si="9"/>
        <v>21</v>
      </c>
      <c r="V17" s="107">
        <v>283856</v>
      </c>
      <c r="W17" s="62">
        <f t="shared" si="10"/>
        <v>55</v>
      </c>
      <c r="X17" s="104">
        <v>21007</v>
      </c>
      <c r="Y17" s="60">
        <f t="shared" si="11"/>
        <v>0</v>
      </c>
      <c r="Z17" s="104">
        <v>652943</v>
      </c>
      <c r="AA17" s="62">
        <f t="shared" si="12"/>
        <v>0</v>
      </c>
      <c r="AB17" s="70">
        <v>1410</v>
      </c>
      <c r="AC17" s="60">
        <f t="shared" si="13"/>
        <v>0</v>
      </c>
      <c r="AD17" s="66">
        <f t="shared" si="14"/>
        <v>1700</v>
      </c>
      <c r="AE17" s="18">
        <v>0</v>
      </c>
      <c r="AF17" s="53">
        <f t="shared" si="15"/>
        <v>0</v>
      </c>
    </row>
    <row r="18" spans="1:38">
      <c r="A18" s="52">
        <v>44242</v>
      </c>
      <c r="B18" s="105">
        <v>1459789</v>
      </c>
      <c r="C18" s="62">
        <f t="shared" si="0"/>
        <v>272</v>
      </c>
      <c r="D18" s="105">
        <v>33231999</v>
      </c>
      <c r="E18" s="60">
        <f t="shared" si="1"/>
        <v>792</v>
      </c>
      <c r="F18" s="107">
        <v>7248</v>
      </c>
      <c r="G18" s="60">
        <f t="shared" si="2"/>
        <v>94</v>
      </c>
      <c r="H18" s="107">
        <v>86358</v>
      </c>
      <c r="I18" s="60">
        <f t="shared" si="3"/>
        <v>17</v>
      </c>
      <c r="J18" s="106">
        <v>179006</v>
      </c>
      <c r="K18" s="62">
        <f t="shared" si="4"/>
        <v>28</v>
      </c>
      <c r="L18" s="107">
        <v>84157</v>
      </c>
      <c r="M18" s="60">
        <f t="shared" si="5"/>
        <v>61</v>
      </c>
      <c r="N18" s="107">
        <v>606870</v>
      </c>
      <c r="O18" s="62">
        <f t="shared" si="6"/>
        <v>50</v>
      </c>
      <c r="P18" s="107">
        <v>160177</v>
      </c>
      <c r="Q18" s="60">
        <f t="shared" si="7"/>
        <v>42</v>
      </c>
      <c r="R18" s="107">
        <v>878362</v>
      </c>
      <c r="S18" s="62">
        <f t="shared" si="8"/>
        <v>248</v>
      </c>
      <c r="T18" s="107">
        <v>67793</v>
      </c>
      <c r="U18" s="60">
        <f t="shared" si="9"/>
        <v>19</v>
      </c>
      <c r="V18" s="107">
        <v>283923</v>
      </c>
      <c r="W18" s="62">
        <f t="shared" si="10"/>
        <v>67</v>
      </c>
      <c r="X18" s="104">
        <v>21007</v>
      </c>
      <c r="Y18" s="60">
        <f t="shared" si="11"/>
        <v>0</v>
      </c>
      <c r="Z18" s="104">
        <v>652943</v>
      </c>
      <c r="AA18" s="62">
        <f t="shared" si="12"/>
        <v>0</v>
      </c>
      <c r="AB18" s="70">
        <v>1410</v>
      </c>
      <c r="AC18" s="60">
        <f t="shared" si="13"/>
        <v>0</v>
      </c>
      <c r="AD18" s="66">
        <f t="shared" si="14"/>
        <v>1690</v>
      </c>
      <c r="AE18" s="18">
        <v>0</v>
      </c>
      <c r="AF18" s="53">
        <f t="shared" si="15"/>
        <v>0</v>
      </c>
    </row>
    <row r="19" spans="1:38">
      <c r="A19" s="52">
        <v>44243</v>
      </c>
      <c r="B19" s="105">
        <v>1460064</v>
      </c>
      <c r="C19" s="62">
        <f t="shared" si="0"/>
        <v>275</v>
      </c>
      <c r="D19" s="105">
        <v>33232760</v>
      </c>
      <c r="E19" s="60">
        <f t="shared" si="1"/>
        <v>761</v>
      </c>
      <c r="F19" s="107">
        <v>7322</v>
      </c>
      <c r="G19" s="60">
        <f t="shared" si="2"/>
        <v>74</v>
      </c>
      <c r="H19" s="107">
        <v>86382</v>
      </c>
      <c r="I19" s="60">
        <f t="shared" si="3"/>
        <v>24</v>
      </c>
      <c r="J19" s="106">
        <v>179037</v>
      </c>
      <c r="K19" s="62">
        <f t="shared" si="4"/>
        <v>31</v>
      </c>
      <c r="L19" s="107">
        <v>84220</v>
      </c>
      <c r="M19" s="60">
        <f t="shared" si="5"/>
        <v>63</v>
      </c>
      <c r="N19" s="107">
        <v>606919</v>
      </c>
      <c r="O19" s="62">
        <f t="shared" si="6"/>
        <v>49</v>
      </c>
      <c r="P19" s="107">
        <v>160219</v>
      </c>
      <c r="Q19" s="60">
        <f t="shared" si="7"/>
        <v>42</v>
      </c>
      <c r="R19" s="107">
        <v>878422</v>
      </c>
      <c r="S19" s="62">
        <f t="shared" si="8"/>
        <v>60</v>
      </c>
      <c r="T19" s="107">
        <v>67813</v>
      </c>
      <c r="U19" s="60">
        <f t="shared" si="9"/>
        <v>20</v>
      </c>
      <c r="V19" s="107">
        <v>283978</v>
      </c>
      <c r="W19" s="62">
        <f t="shared" si="10"/>
        <v>55</v>
      </c>
      <c r="X19" s="104">
        <v>21007</v>
      </c>
      <c r="Y19" s="60">
        <f t="shared" si="11"/>
        <v>0</v>
      </c>
      <c r="Z19" s="104">
        <v>652943</v>
      </c>
      <c r="AA19" s="62">
        <f t="shared" si="12"/>
        <v>0</v>
      </c>
      <c r="AB19" s="70">
        <v>1410</v>
      </c>
      <c r="AC19" s="60">
        <f t="shared" si="13"/>
        <v>0</v>
      </c>
      <c r="AD19" s="66">
        <f t="shared" si="14"/>
        <v>1454</v>
      </c>
      <c r="AE19" s="18">
        <v>0</v>
      </c>
      <c r="AF19" s="53">
        <f t="shared" si="15"/>
        <v>0</v>
      </c>
    </row>
    <row r="20" spans="1:38">
      <c r="A20" s="52">
        <v>44244</v>
      </c>
      <c r="B20" s="105">
        <v>1460337</v>
      </c>
      <c r="C20" s="62">
        <f t="shared" si="0"/>
        <v>273</v>
      </c>
      <c r="D20" s="105">
        <v>33234000</v>
      </c>
      <c r="E20" s="60">
        <f t="shared" si="1"/>
        <v>1240</v>
      </c>
      <c r="F20" s="107">
        <v>7428</v>
      </c>
      <c r="G20" s="60">
        <f t="shared" si="2"/>
        <v>106</v>
      </c>
      <c r="H20" s="107">
        <v>86408</v>
      </c>
      <c r="I20" s="60">
        <f t="shared" si="3"/>
        <v>26</v>
      </c>
      <c r="J20" s="106">
        <v>179068</v>
      </c>
      <c r="K20" s="62">
        <f t="shared" si="4"/>
        <v>31</v>
      </c>
      <c r="L20" s="107">
        <v>84289</v>
      </c>
      <c r="M20" s="60">
        <f t="shared" si="5"/>
        <v>69</v>
      </c>
      <c r="N20" s="107">
        <v>606969</v>
      </c>
      <c r="O20" s="62">
        <f t="shared" si="6"/>
        <v>50</v>
      </c>
      <c r="P20" s="107">
        <v>160255</v>
      </c>
      <c r="Q20" s="60">
        <f t="shared" si="7"/>
        <v>36</v>
      </c>
      <c r="R20" s="107">
        <v>878555</v>
      </c>
      <c r="S20" s="62">
        <f t="shared" si="8"/>
        <v>133</v>
      </c>
      <c r="T20" s="107">
        <v>67836</v>
      </c>
      <c r="U20" s="60">
        <f t="shared" si="9"/>
        <v>23</v>
      </c>
      <c r="V20" s="107">
        <v>284036</v>
      </c>
      <c r="W20" s="62">
        <f t="shared" si="10"/>
        <v>58</v>
      </c>
      <c r="X20" s="104">
        <v>21007</v>
      </c>
      <c r="Y20" s="60">
        <f t="shared" si="11"/>
        <v>0</v>
      </c>
      <c r="Z20" s="104">
        <v>652943</v>
      </c>
      <c r="AA20" s="62">
        <f t="shared" si="12"/>
        <v>0</v>
      </c>
      <c r="AB20" s="70">
        <v>1410</v>
      </c>
      <c r="AC20" s="60">
        <f t="shared" si="13"/>
        <v>0</v>
      </c>
      <c r="AD20" s="66">
        <f t="shared" si="14"/>
        <v>2045</v>
      </c>
      <c r="AE20" s="18">
        <v>0</v>
      </c>
      <c r="AF20" s="53">
        <f t="shared" si="15"/>
        <v>0</v>
      </c>
    </row>
    <row r="21" spans="1:38">
      <c r="A21" s="52">
        <v>44245</v>
      </c>
      <c r="B21" s="105">
        <v>1460593</v>
      </c>
      <c r="C21" s="62">
        <f t="shared" si="0"/>
        <v>256</v>
      </c>
      <c r="D21" s="105">
        <v>33235076</v>
      </c>
      <c r="E21" s="60">
        <f t="shared" si="1"/>
        <v>1076</v>
      </c>
      <c r="F21" s="107">
        <v>7521</v>
      </c>
      <c r="G21" s="60">
        <f t="shared" si="2"/>
        <v>93</v>
      </c>
      <c r="H21" s="107">
        <v>86426</v>
      </c>
      <c r="I21" s="60">
        <f t="shared" si="3"/>
        <v>18</v>
      </c>
      <c r="J21" s="106">
        <v>179101</v>
      </c>
      <c r="K21" s="62">
        <f t="shared" si="4"/>
        <v>33</v>
      </c>
      <c r="L21" s="107">
        <v>84340</v>
      </c>
      <c r="M21" s="60">
        <f t="shared" si="5"/>
        <v>51</v>
      </c>
      <c r="N21" s="107">
        <v>607021</v>
      </c>
      <c r="O21" s="62">
        <f t="shared" si="6"/>
        <v>52</v>
      </c>
      <c r="P21" s="107">
        <v>160299</v>
      </c>
      <c r="Q21" s="60">
        <f t="shared" si="7"/>
        <v>44</v>
      </c>
      <c r="R21" s="107">
        <v>878702</v>
      </c>
      <c r="S21" s="62">
        <f t="shared" si="8"/>
        <v>147</v>
      </c>
      <c r="T21" s="107">
        <v>67865</v>
      </c>
      <c r="U21" s="60">
        <f t="shared" si="9"/>
        <v>29</v>
      </c>
      <c r="V21" s="107">
        <v>284093</v>
      </c>
      <c r="W21" s="62">
        <f t="shared" si="10"/>
        <v>57</v>
      </c>
      <c r="X21" s="104">
        <v>21007</v>
      </c>
      <c r="Y21" s="60">
        <f t="shared" si="11"/>
        <v>0</v>
      </c>
      <c r="Z21" s="104">
        <v>652943</v>
      </c>
      <c r="AA21" s="62">
        <f t="shared" si="12"/>
        <v>0</v>
      </c>
      <c r="AB21" s="70">
        <v>1410</v>
      </c>
      <c r="AC21" s="60">
        <f t="shared" si="13"/>
        <v>0</v>
      </c>
      <c r="AD21" s="66">
        <f t="shared" si="14"/>
        <v>1856</v>
      </c>
      <c r="AE21" s="18">
        <v>0</v>
      </c>
      <c r="AF21" s="53">
        <f t="shared" si="15"/>
        <v>0</v>
      </c>
    </row>
    <row r="22" spans="1:38">
      <c r="A22" s="52">
        <v>44246</v>
      </c>
      <c r="B22" s="105">
        <v>1460860</v>
      </c>
      <c r="C22" s="62">
        <f t="shared" si="0"/>
        <v>267</v>
      </c>
      <c r="D22" s="105">
        <v>33236051</v>
      </c>
      <c r="E22" s="60">
        <f t="shared" si="1"/>
        <v>975</v>
      </c>
      <c r="F22" s="107">
        <v>7661</v>
      </c>
      <c r="G22" s="60">
        <f t="shared" si="2"/>
        <v>140</v>
      </c>
      <c r="H22" s="107">
        <v>86452</v>
      </c>
      <c r="I22" s="60">
        <f t="shared" si="3"/>
        <v>26</v>
      </c>
      <c r="J22" s="106">
        <v>179130</v>
      </c>
      <c r="K22" s="62">
        <f t="shared" si="4"/>
        <v>29</v>
      </c>
      <c r="L22" s="107">
        <v>84408</v>
      </c>
      <c r="M22" s="60">
        <f t="shared" si="5"/>
        <v>68</v>
      </c>
      <c r="N22" s="107">
        <v>607071</v>
      </c>
      <c r="O22" s="62">
        <f t="shared" si="6"/>
        <v>50</v>
      </c>
      <c r="P22" s="107">
        <v>160340</v>
      </c>
      <c r="Q22" s="60">
        <f t="shared" si="7"/>
        <v>41</v>
      </c>
      <c r="R22" s="107">
        <v>878858</v>
      </c>
      <c r="S22" s="62">
        <f t="shared" si="8"/>
        <v>156</v>
      </c>
      <c r="T22" s="107">
        <v>67892</v>
      </c>
      <c r="U22" s="60">
        <f t="shared" si="9"/>
        <v>27</v>
      </c>
      <c r="V22" s="107">
        <v>284154</v>
      </c>
      <c r="W22" s="62">
        <f t="shared" si="10"/>
        <v>61</v>
      </c>
      <c r="X22" s="104">
        <v>21007</v>
      </c>
      <c r="Y22" s="60">
        <f t="shared" si="11"/>
        <v>0</v>
      </c>
      <c r="Z22" s="104">
        <v>652943</v>
      </c>
      <c r="AA22" s="62">
        <f t="shared" si="12"/>
        <v>0</v>
      </c>
      <c r="AB22" s="70">
        <v>1410</v>
      </c>
      <c r="AC22" s="60">
        <f t="shared" si="13"/>
        <v>0</v>
      </c>
      <c r="AD22" s="66">
        <f t="shared" si="14"/>
        <v>1840</v>
      </c>
      <c r="AE22" s="18">
        <v>0</v>
      </c>
      <c r="AF22" s="53">
        <f t="shared" si="15"/>
        <v>0</v>
      </c>
    </row>
    <row r="23" spans="1:38">
      <c r="A23" s="52">
        <v>44247</v>
      </c>
      <c r="B23" s="105">
        <v>1461216</v>
      </c>
      <c r="C23" s="62">
        <f t="shared" si="0"/>
        <v>356</v>
      </c>
      <c r="D23" s="105">
        <v>33237001</v>
      </c>
      <c r="E23" s="60">
        <f t="shared" si="1"/>
        <v>950</v>
      </c>
      <c r="F23" s="107">
        <v>7773</v>
      </c>
      <c r="G23" s="60">
        <f t="shared" si="2"/>
        <v>112</v>
      </c>
      <c r="H23" s="107">
        <v>86471</v>
      </c>
      <c r="I23" s="60">
        <f t="shared" si="3"/>
        <v>19</v>
      </c>
      <c r="J23" s="106">
        <v>179130</v>
      </c>
      <c r="K23" s="62">
        <f t="shared" si="4"/>
        <v>0</v>
      </c>
      <c r="L23" s="107">
        <v>84466</v>
      </c>
      <c r="M23" s="60">
        <f t="shared" si="5"/>
        <v>58</v>
      </c>
      <c r="N23" s="107">
        <v>607136</v>
      </c>
      <c r="O23" s="62">
        <f t="shared" si="6"/>
        <v>65</v>
      </c>
      <c r="P23" s="107">
        <v>160381</v>
      </c>
      <c r="Q23" s="60">
        <f t="shared" si="7"/>
        <v>41</v>
      </c>
      <c r="R23" s="107">
        <v>879013</v>
      </c>
      <c r="S23" s="62">
        <f t="shared" si="8"/>
        <v>155</v>
      </c>
      <c r="T23" s="107">
        <v>67921</v>
      </c>
      <c r="U23" s="60">
        <f t="shared" si="9"/>
        <v>29</v>
      </c>
      <c r="V23" s="107">
        <v>284207</v>
      </c>
      <c r="W23" s="62">
        <f t="shared" si="10"/>
        <v>53</v>
      </c>
      <c r="X23" s="104">
        <v>21007</v>
      </c>
      <c r="Y23" s="60">
        <f t="shared" si="11"/>
        <v>0</v>
      </c>
      <c r="Z23" s="104">
        <v>652943</v>
      </c>
      <c r="AA23" s="62">
        <f t="shared" si="12"/>
        <v>0</v>
      </c>
      <c r="AB23" s="70">
        <v>1410</v>
      </c>
      <c r="AC23" s="60">
        <f t="shared" si="13"/>
        <v>0</v>
      </c>
      <c r="AD23" s="66">
        <f t="shared" si="14"/>
        <v>1838</v>
      </c>
      <c r="AE23" s="18">
        <v>0</v>
      </c>
      <c r="AF23" s="53">
        <f t="shared" si="15"/>
        <v>0</v>
      </c>
    </row>
    <row r="24" spans="1:38">
      <c r="A24" s="52">
        <v>44248</v>
      </c>
      <c r="B24" s="105">
        <v>1461422</v>
      </c>
      <c r="C24" s="62">
        <f t="shared" si="0"/>
        <v>206</v>
      </c>
      <c r="D24" s="105">
        <v>33237789</v>
      </c>
      <c r="E24" s="60">
        <f t="shared" si="1"/>
        <v>788</v>
      </c>
      <c r="F24" s="107">
        <v>7894</v>
      </c>
      <c r="G24" s="60">
        <f t="shared" si="2"/>
        <v>121</v>
      </c>
      <c r="H24" s="107">
        <v>86496</v>
      </c>
      <c r="I24" s="60">
        <f t="shared" si="3"/>
        <v>25</v>
      </c>
      <c r="J24" s="106">
        <v>179156</v>
      </c>
      <c r="K24" s="62">
        <f t="shared" si="4"/>
        <v>26</v>
      </c>
      <c r="L24" s="107">
        <v>84522</v>
      </c>
      <c r="M24" s="60">
        <f t="shared" si="5"/>
        <v>56</v>
      </c>
      <c r="N24" s="107">
        <v>607151</v>
      </c>
      <c r="O24" s="62">
        <f t="shared" si="6"/>
        <v>15</v>
      </c>
      <c r="P24" s="107">
        <v>160427</v>
      </c>
      <c r="Q24" s="60">
        <f t="shared" si="7"/>
        <v>46</v>
      </c>
      <c r="R24" s="107">
        <v>879193</v>
      </c>
      <c r="S24" s="62">
        <f t="shared" si="8"/>
        <v>180</v>
      </c>
      <c r="T24" s="107">
        <v>67956</v>
      </c>
      <c r="U24" s="60">
        <f t="shared" si="9"/>
        <v>35</v>
      </c>
      <c r="V24" s="107">
        <v>284265</v>
      </c>
      <c r="W24" s="62">
        <f t="shared" si="10"/>
        <v>58</v>
      </c>
      <c r="X24" s="104">
        <v>21007</v>
      </c>
      <c r="Y24" s="60">
        <f t="shared" si="11"/>
        <v>0</v>
      </c>
      <c r="Z24" s="104">
        <v>652943</v>
      </c>
      <c r="AA24" s="62">
        <f t="shared" si="12"/>
        <v>0</v>
      </c>
      <c r="AB24" s="70">
        <v>1410</v>
      </c>
      <c r="AC24" s="60">
        <f t="shared" si="13"/>
        <v>0</v>
      </c>
      <c r="AD24" s="66">
        <f t="shared" si="14"/>
        <v>1556</v>
      </c>
      <c r="AE24" s="18">
        <v>0</v>
      </c>
      <c r="AF24" s="53">
        <f t="shared" si="15"/>
        <v>0</v>
      </c>
      <c r="AI24" t="s">
        <v>73</v>
      </c>
    </row>
    <row r="25" spans="1:38">
      <c r="A25" s="52">
        <v>44249</v>
      </c>
      <c r="B25" s="105">
        <v>1461666</v>
      </c>
      <c r="C25" s="62">
        <f t="shared" si="0"/>
        <v>244</v>
      </c>
      <c r="D25" s="105">
        <v>33238648</v>
      </c>
      <c r="E25" s="60">
        <f t="shared" si="1"/>
        <v>859</v>
      </c>
      <c r="F25" s="107">
        <v>7982</v>
      </c>
      <c r="G25" s="60">
        <f t="shared" si="2"/>
        <v>88</v>
      </c>
      <c r="H25" s="107">
        <v>86515</v>
      </c>
      <c r="I25" s="60">
        <f t="shared" si="3"/>
        <v>19</v>
      </c>
      <c r="J25" s="106">
        <v>179186</v>
      </c>
      <c r="K25" s="62">
        <f t="shared" si="4"/>
        <v>30</v>
      </c>
      <c r="L25" s="107">
        <v>84580</v>
      </c>
      <c r="M25" s="60">
        <f t="shared" si="5"/>
        <v>58</v>
      </c>
      <c r="N25" s="107">
        <v>607169</v>
      </c>
      <c r="O25" s="62">
        <f t="shared" si="6"/>
        <v>18</v>
      </c>
      <c r="P25" s="107">
        <v>160468</v>
      </c>
      <c r="Q25" s="60">
        <f t="shared" si="7"/>
        <v>41</v>
      </c>
      <c r="R25" s="107">
        <v>879334</v>
      </c>
      <c r="S25" s="62">
        <f t="shared" si="8"/>
        <v>141</v>
      </c>
      <c r="T25" s="107">
        <v>67982</v>
      </c>
      <c r="U25" s="60">
        <f t="shared" si="9"/>
        <v>26</v>
      </c>
      <c r="V25" s="107">
        <v>284321</v>
      </c>
      <c r="W25" s="62">
        <f t="shared" si="10"/>
        <v>56</v>
      </c>
      <c r="X25" s="104">
        <v>21007</v>
      </c>
      <c r="Y25" s="60">
        <f t="shared" si="11"/>
        <v>0</v>
      </c>
      <c r="Z25" s="104">
        <v>652943</v>
      </c>
      <c r="AA25" s="62">
        <f t="shared" si="12"/>
        <v>0</v>
      </c>
      <c r="AB25" s="70">
        <v>1410</v>
      </c>
      <c r="AC25" s="60">
        <f t="shared" si="13"/>
        <v>0</v>
      </c>
      <c r="AD25" s="66">
        <f t="shared" si="14"/>
        <v>1580</v>
      </c>
      <c r="AE25" s="18">
        <v>0</v>
      </c>
      <c r="AF25" s="53">
        <f t="shared" si="15"/>
        <v>0</v>
      </c>
      <c r="AH25" t="s">
        <v>73</v>
      </c>
    </row>
    <row r="26" spans="1:38">
      <c r="A26" s="52">
        <v>44250</v>
      </c>
      <c r="B26" s="105">
        <v>1461931</v>
      </c>
      <c r="C26" s="62">
        <f t="shared" si="0"/>
        <v>265</v>
      </c>
      <c r="D26" s="105">
        <v>33239461</v>
      </c>
      <c r="E26" s="60">
        <f t="shared" si="1"/>
        <v>813</v>
      </c>
      <c r="F26" s="107">
        <v>8055</v>
      </c>
      <c r="G26" s="60">
        <f t="shared" si="2"/>
        <v>73</v>
      </c>
      <c r="H26" s="107">
        <v>86539</v>
      </c>
      <c r="I26" s="60">
        <f t="shared" si="3"/>
        <v>24</v>
      </c>
      <c r="J26" s="106">
        <v>179217</v>
      </c>
      <c r="K26" s="62">
        <f t="shared" si="4"/>
        <v>31</v>
      </c>
      <c r="L26" s="107">
        <v>84644</v>
      </c>
      <c r="M26" s="60">
        <f t="shared" si="5"/>
        <v>64</v>
      </c>
      <c r="N26" s="107">
        <v>607211</v>
      </c>
      <c r="O26" s="62">
        <f t="shared" si="6"/>
        <v>42</v>
      </c>
      <c r="P26" s="107">
        <v>160504</v>
      </c>
      <c r="Q26" s="60">
        <f t="shared" si="7"/>
        <v>36</v>
      </c>
      <c r="R26" s="107">
        <v>879422</v>
      </c>
      <c r="S26" s="62">
        <f t="shared" si="8"/>
        <v>88</v>
      </c>
      <c r="T26" s="107">
        <v>68010</v>
      </c>
      <c r="U26" s="60">
        <f t="shared" si="9"/>
        <v>28</v>
      </c>
      <c r="V26" s="107">
        <v>284372</v>
      </c>
      <c r="W26" s="62">
        <f t="shared" si="10"/>
        <v>51</v>
      </c>
      <c r="X26" s="104">
        <v>21007</v>
      </c>
      <c r="Y26" s="60">
        <f t="shared" si="11"/>
        <v>0</v>
      </c>
      <c r="Z26" s="104">
        <v>652943</v>
      </c>
      <c r="AA26" s="62">
        <f t="shared" si="12"/>
        <v>0</v>
      </c>
      <c r="AB26" s="70">
        <v>1410</v>
      </c>
      <c r="AC26" s="60">
        <f t="shared" si="13"/>
        <v>0</v>
      </c>
      <c r="AD26" s="66">
        <f t="shared" si="14"/>
        <v>1515</v>
      </c>
      <c r="AE26" s="18">
        <v>0</v>
      </c>
      <c r="AF26" s="53">
        <f t="shared" si="15"/>
        <v>0</v>
      </c>
    </row>
    <row r="27" spans="1:38">
      <c r="A27" s="52">
        <v>44251</v>
      </c>
      <c r="B27" s="105">
        <v>1462138</v>
      </c>
      <c r="C27" s="62">
        <f t="shared" si="0"/>
        <v>207</v>
      </c>
      <c r="D27" s="105">
        <v>33240307</v>
      </c>
      <c r="E27" s="60">
        <f t="shared" si="1"/>
        <v>846</v>
      </c>
      <c r="F27" s="107">
        <v>8146</v>
      </c>
      <c r="G27" s="60">
        <f t="shared" si="2"/>
        <v>91</v>
      </c>
      <c r="H27" s="107">
        <v>86559</v>
      </c>
      <c r="I27" s="60">
        <f t="shared" si="3"/>
        <v>20</v>
      </c>
      <c r="J27" s="106">
        <v>179253</v>
      </c>
      <c r="K27" s="62">
        <f t="shared" si="4"/>
        <v>36</v>
      </c>
      <c r="L27" s="107">
        <v>84679</v>
      </c>
      <c r="M27" s="60">
        <f t="shared" si="5"/>
        <v>35</v>
      </c>
      <c r="N27" s="107">
        <v>607234</v>
      </c>
      <c r="O27" s="62">
        <f t="shared" si="6"/>
        <v>23</v>
      </c>
      <c r="P27" s="107">
        <v>160544</v>
      </c>
      <c r="Q27" s="60">
        <f t="shared" si="7"/>
        <v>40</v>
      </c>
      <c r="R27" s="107">
        <v>879545</v>
      </c>
      <c r="S27" s="62">
        <f t="shared" si="8"/>
        <v>123</v>
      </c>
      <c r="T27" s="107">
        <v>68034</v>
      </c>
      <c r="U27" s="60">
        <f t="shared" si="9"/>
        <v>24</v>
      </c>
      <c r="V27" s="107">
        <v>284429</v>
      </c>
      <c r="W27" s="62">
        <f t="shared" si="10"/>
        <v>57</v>
      </c>
      <c r="X27" s="104">
        <v>21007</v>
      </c>
      <c r="Y27" s="60">
        <f t="shared" si="11"/>
        <v>0</v>
      </c>
      <c r="Z27" s="104">
        <v>652943</v>
      </c>
      <c r="AA27" s="62">
        <f t="shared" si="12"/>
        <v>0</v>
      </c>
      <c r="AB27" s="70">
        <v>1410</v>
      </c>
      <c r="AC27" s="60">
        <f t="shared" si="13"/>
        <v>0</v>
      </c>
      <c r="AD27" s="66">
        <f t="shared" si="14"/>
        <v>1502</v>
      </c>
      <c r="AE27" s="18">
        <v>0</v>
      </c>
      <c r="AF27" s="53">
        <f t="shared" si="15"/>
        <v>0</v>
      </c>
    </row>
    <row r="28" spans="1:38">
      <c r="A28" s="52">
        <v>44252</v>
      </c>
      <c r="B28" s="105">
        <v>1462358</v>
      </c>
      <c r="C28" s="62">
        <f t="shared" si="0"/>
        <v>220</v>
      </c>
      <c r="D28" s="105">
        <v>33241133</v>
      </c>
      <c r="E28" s="60">
        <f t="shared" si="1"/>
        <v>826</v>
      </c>
      <c r="F28" s="107">
        <v>8250</v>
      </c>
      <c r="G28" s="60">
        <f t="shared" si="2"/>
        <v>104</v>
      </c>
      <c r="H28" s="107">
        <v>86579</v>
      </c>
      <c r="I28" s="60">
        <f t="shared" si="3"/>
        <v>20</v>
      </c>
      <c r="J28" s="106">
        <v>179287</v>
      </c>
      <c r="K28" s="62">
        <f t="shared" si="4"/>
        <v>34</v>
      </c>
      <c r="L28" s="107">
        <v>84728</v>
      </c>
      <c r="M28" s="60">
        <f t="shared" si="5"/>
        <v>49</v>
      </c>
      <c r="N28" s="107">
        <v>607255</v>
      </c>
      <c r="O28" s="62">
        <f t="shared" si="6"/>
        <v>21</v>
      </c>
      <c r="P28" s="107">
        <v>160583</v>
      </c>
      <c r="Q28" s="60">
        <f t="shared" si="7"/>
        <v>39</v>
      </c>
      <c r="R28" s="107">
        <v>879697</v>
      </c>
      <c r="S28" s="62">
        <f t="shared" si="8"/>
        <v>152</v>
      </c>
      <c r="T28" s="107">
        <v>68051</v>
      </c>
      <c r="U28" s="60">
        <f t="shared" si="9"/>
        <v>17</v>
      </c>
      <c r="V28" s="107">
        <v>284485</v>
      </c>
      <c r="W28" s="62">
        <f t="shared" si="10"/>
        <v>56</v>
      </c>
      <c r="X28" s="104">
        <v>21007</v>
      </c>
      <c r="Y28" s="60">
        <f t="shared" si="11"/>
        <v>0</v>
      </c>
      <c r="Z28" s="104">
        <v>652943</v>
      </c>
      <c r="AA28" s="62">
        <f t="shared" si="12"/>
        <v>0</v>
      </c>
      <c r="AB28" s="70">
        <v>1410</v>
      </c>
      <c r="AC28" s="60">
        <f t="shared" si="13"/>
        <v>0</v>
      </c>
      <c r="AD28" s="66">
        <f t="shared" si="14"/>
        <v>1538</v>
      </c>
      <c r="AE28" s="18">
        <v>0</v>
      </c>
      <c r="AF28" s="53">
        <f t="shared" si="15"/>
        <v>0</v>
      </c>
    </row>
    <row r="29" spans="1:38">
      <c r="A29" s="52">
        <v>44253</v>
      </c>
      <c r="B29" s="105">
        <v>1462574</v>
      </c>
      <c r="C29" s="62">
        <f t="shared" si="0"/>
        <v>216</v>
      </c>
      <c r="D29" s="105">
        <v>33241862</v>
      </c>
      <c r="E29" s="60">
        <f t="shared" si="1"/>
        <v>729</v>
      </c>
      <c r="F29" s="107">
        <v>8377</v>
      </c>
      <c r="G29" s="60">
        <f t="shared" si="2"/>
        <v>127</v>
      </c>
      <c r="H29" s="107">
        <v>86606</v>
      </c>
      <c r="I29" s="60">
        <f t="shared" si="3"/>
        <v>27</v>
      </c>
      <c r="J29" s="106">
        <v>179315</v>
      </c>
      <c r="K29" s="62">
        <f t="shared" si="4"/>
        <v>28</v>
      </c>
      <c r="L29" s="107">
        <v>84787</v>
      </c>
      <c r="M29" s="60">
        <f t="shared" si="5"/>
        <v>59</v>
      </c>
      <c r="N29" s="107">
        <v>607297</v>
      </c>
      <c r="O29" s="62">
        <f t="shared" si="6"/>
        <v>42</v>
      </c>
      <c r="P29" s="107">
        <v>160622</v>
      </c>
      <c r="Q29" s="60">
        <f t="shared" si="7"/>
        <v>39</v>
      </c>
      <c r="R29" s="107">
        <v>879827</v>
      </c>
      <c r="S29" s="62">
        <f t="shared" si="8"/>
        <v>130</v>
      </c>
      <c r="T29" s="107">
        <v>68068</v>
      </c>
      <c r="U29" s="60">
        <f t="shared" si="9"/>
        <v>17</v>
      </c>
      <c r="V29" s="107">
        <v>284541</v>
      </c>
      <c r="W29" s="62">
        <f t="shared" si="10"/>
        <v>56</v>
      </c>
      <c r="X29" s="104">
        <v>21007</v>
      </c>
      <c r="Y29" s="60">
        <f t="shared" si="11"/>
        <v>0</v>
      </c>
      <c r="Z29" s="104">
        <v>652943</v>
      </c>
      <c r="AA29" s="62">
        <f t="shared" si="12"/>
        <v>0</v>
      </c>
      <c r="AB29" s="70">
        <v>1410</v>
      </c>
      <c r="AC29" s="60">
        <f t="shared" si="13"/>
        <v>0</v>
      </c>
      <c r="AD29" s="66">
        <f t="shared" si="14"/>
        <v>1470</v>
      </c>
      <c r="AE29" s="18">
        <v>0</v>
      </c>
      <c r="AF29" s="53">
        <f t="shared" si="15"/>
        <v>0</v>
      </c>
      <c r="AL29" t="s">
        <v>73</v>
      </c>
    </row>
    <row r="30" spans="1:38">
      <c r="A30" s="52">
        <v>44254</v>
      </c>
      <c r="B30" s="105">
        <v>1462843</v>
      </c>
      <c r="C30" s="62">
        <f t="shared" si="0"/>
        <v>269</v>
      </c>
      <c r="D30" s="105">
        <v>33242670</v>
      </c>
      <c r="E30" s="60">
        <f t="shared" si="1"/>
        <v>808</v>
      </c>
      <c r="F30" s="107">
        <v>8453</v>
      </c>
      <c r="G30" s="60">
        <f t="shared" si="2"/>
        <v>76</v>
      </c>
      <c r="H30" s="107">
        <v>86626</v>
      </c>
      <c r="I30" s="60">
        <f t="shared" si="3"/>
        <v>20</v>
      </c>
      <c r="J30" s="106">
        <v>179340</v>
      </c>
      <c r="K30" s="62">
        <f t="shared" si="4"/>
        <v>25</v>
      </c>
      <c r="L30" s="107">
        <v>84848</v>
      </c>
      <c r="M30" s="60">
        <f t="shared" si="5"/>
        <v>61</v>
      </c>
      <c r="N30" s="107">
        <v>607316</v>
      </c>
      <c r="O30" s="62">
        <f t="shared" si="6"/>
        <v>19</v>
      </c>
      <c r="P30" s="107">
        <v>160655</v>
      </c>
      <c r="Q30" s="60">
        <f t="shared" si="7"/>
        <v>33</v>
      </c>
      <c r="R30" s="107">
        <v>879988</v>
      </c>
      <c r="S30" s="62">
        <f t="shared" si="8"/>
        <v>161</v>
      </c>
      <c r="T30" s="107">
        <v>68087</v>
      </c>
      <c r="U30" s="60">
        <f t="shared" si="9"/>
        <v>19</v>
      </c>
      <c r="V30" s="107">
        <v>284589</v>
      </c>
      <c r="W30" s="62">
        <f t="shared" si="10"/>
        <v>48</v>
      </c>
      <c r="X30" s="104">
        <v>21007</v>
      </c>
      <c r="Y30" s="60">
        <f t="shared" si="11"/>
        <v>0</v>
      </c>
      <c r="Z30" s="104">
        <v>652943</v>
      </c>
      <c r="AA30" s="62">
        <f t="shared" si="12"/>
        <v>0</v>
      </c>
      <c r="AB30" s="70">
        <v>1410</v>
      </c>
      <c r="AC30" s="60">
        <f t="shared" si="13"/>
        <v>0</v>
      </c>
      <c r="AD30" s="66">
        <f t="shared" si="14"/>
        <v>1539</v>
      </c>
      <c r="AE30" s="18">
        <v>0</v>
      </c>
      <c r="AF30" s="53">
        <f t="shared" si="15"/>
        <v>0</v>
      </c>
    </row>
    <row r="31" spans="1:38">
      <c r="A31" s="52">
        <v>44255</v>
      </c>
      <c r="B31" s="105">
        <v>1463070</v>
      </c>
      <c r="C31" s="62">
        <f t="shared" si="0"/>
        <v>227</v>
      </c>
      <c r="D31" s="105">
        <v>33243423</v>
      </c>
      <c r="E31" s="60">
        <f t="shared" si="1"/>
        <v>753</v>
      </c>
      <c r="F31" s="107">
        <v>8549</v>
      </c>
      <c r="G31" s="60">
        <f t="shared" si="2"/>
        <v>96</v>
      </c>
      <c r="H31" s="107">
        <v>86649</v>
      </c>
      <c r="I31" s="60">
        <f t="shared" si="3"/>
        <v>23</v>
      </c>
      <c r="J31" s="106">
        <v>179346</v>
      </c>
      <c r="K31" s="62">
        <f t="shared" si="4"/>
        <v>6</v>
      </c>
      <c r="L31" s="107">
        <v>84904</v>
      </c>
      <c r="M31" s="60">
        <f t="shared" si="5"/>
        <v>56</v>
      </c>
      <c r="N31" s="107">
        <v>607352</v>
      </c>
      <c r="O31" s="62">
        <f t="shared" si="6"/>
        <v>36</v>
      </c>
      <c r="P31" s="107">
        <v>160691</v>
      </c>
      <c r="Q31" s="60">
        <f t="shared" si="7"/>
        <v>36</v>
      </c>
      <c r="R31" s="107">
        <v>880138</v>
      </c>
      <c r="S31" s="62">
        <f t="shared" si="8"/>
        <v>150</v>
      </c>
      <c r="T31" s="107">
        <v>68106</v>
      </c>
      <c r="U31" s="60">
        <f t="shared" si="9"/>
        <v>19</v>
      </c>
      <c r="V31" s="107">
        <v>284643</v>
      </c>
      <c r="W31" s="62">
        <f t="shared" si="10"/>
        <v>54</v>
      </c>
      <c r="X31" s="104">
        <v>21007</v>
      </c>
      <c r="Y31" s="60">
        <f t="shared" si="11"/>
        <v>0</v>
      </c>
      <c r="Z31" s="104">
        <v>652943</v>
      </c>
      <c r="AA31" s="62">
        <f t="shared" si="12"/>
        <v>0</v>
      </c>
      <c r="AB31" s="70">
        <v>1410</v>
      </c>
      <c r="AC31" s="60">
        <f t="shared" si="13"/>
        <v>0</v>
      </c>
      <c r="AD31" s="66">
        <f>AC31+AA31+Y31+W31+U31+S31+Q31+O31+M31+K31+I31+G31+E31+C31</f>
        <v>1456</v>
      </c>
      <c r="AE31" s="18">
        <v>0</v>
      </c>
      <c r="AF31" s="53">
        <f t="shared" si="15"/>
        <v>0</v>
      </c>
    </row>
    <row r="32" spans="1:38">
      <c r="C32" s="17"/>
      <c r="E32" s="17"/>
      <c r="G32" s="17"/>
      <c r="I32" s="17"/>
      <c r="K32" s="17"/>
      <c r="M32" s="17"/>
      <c r="O32" s="17"/>
      <c r="Q32" s="17"/>
      <c r="S32" s="17"/>
      <c r="U32" s="17"/>
      <c r="W32" s="17"/>
      <c r="Y32" s="17"/>
      <c r="AA32" s="17"/>
      <c r="AC32" s="17"/>
      <c r="AF32" s="17"/>
    </row>
    <row r="35" spans="23:23">
      <c r="W35" s="9" t="s">
        <v>74</v>
      </c>
    </row>
  </sheetData>
  <mergeCells count="1">
    <mergeCell ref="A1:AF1"/>
  </mergeCells>
  <phoneticPr fontId="0" type="noConversion"/>
  <conditionalFormatting sqref="AD3 AD4:AE31 C3:C31 I3:I31 K3:K31 M3:M31 O3:O31 Q3:Q31 S3:S31 U3:U31 W3:AC31 G3:G31 E3:E31 A2:A31">
    <cfRule type="cellIs" dxfId="46" priority="358" stopIfTrue="1" operator="lessThan">
      <formula>0</formula>
    </cfRule>
  </conditionalFormatting>
  <conditionalFormatting sqref="X3:X15">
    <cfRule type="cellIs" dxfId="45" priority="133" stopIfTrue="1" operator="lessThan">
      <formula>0</formula>
    </cfRule>
  </conditionalFormatting>
  <conditionalFormatting sqref="X3:X15">
    <cfRule type="cellIs" dxfId="44" priority="132" stopIfTrue="1" operator="lessThan">
      <formula>0</formula>
    </cfRule>
  </conditionalFormatting>
  <conditionalFormatting sqref="Z3:Z15">
    <cfRule type="cellIs" dxfId="43" priority="131" stopIfTrue="1" operator="lessThan">
      <formula>0</formula>
    </cfRule>
  </conditionalFormatting>
  <conditionalFormatting sqref="Z3:Z15">
    <cfRule type="cellIs" dxfId="42" priority="130" stopIfTrue="1" operator="lessThan">
      <formula>0</formula>
    </cfRule>
  </conditionalFormatting>
  <conditionalFormatting sqref="X16:X31">
    <cfRule type="cellIs" dxfId="41" priority="118" stopIfTrue="1" operator="lessThan">
      <formula>0</formula>
    </cfRule>
  </conditionalFormatting>
  <conditionalFormatting sqref="Z16:Z23">
    <cfRule type="cellIs" dxfId="40" priority="117" stopIfTrue="1" operator="lessThan">
      <formula>0</formula>
    </cfRule>
  </conditionalFormatting>
  <conditionalFormatting sqref="Z24:Z31">
    <cfRule type="cellIs" dxfId="39" priority="104" stopIfTrue="1" operator="lessThan">
      <formula>0</formula>
    </cfRule>
  </conditionalFormatting>
  <conditionalFormatting sqref="X3:X14">
    <cfRule type="cellIs" dxfId="38" priority="92" stopIfTrue="1" operator="lessThan">
      <formula>0</formula>
    </cfRule>
  </conditionalFormatting>
  <conditionalFormatting sqref="Z3:Z14">
    <cfRule type="cellIs" dxfId="37" priority="91" stopIfTrue="1" operator="lessThan">
      <formula>0</formula>
    </cfRule>
  </conditionalFormatting>
  <conditionalFormatting sqref="X3:X31">
    <cfRule type="cellIs" dxfId="36" priority="78" stopIfTrue="1" operator="lessThan">
      <formula>0</formula>
    </cfRule>
  </conditionalFormatting>
  <conditionalFormatting sqref="Z3:Z24 Z26 Z28 Z30">
    <cfRule type="cellIs" dxfId="35" priority="77" stopIfTrue="1" operator="lessThan">
      <formula>0</formula>
    </cfRule>
  </conditionalFormatting>
  <conditionalFormatting sqref="Z24:Z31">
    <cfRule type="cellIs" dxfId="34" priority="64" stopIfTrue="1" operator="lessThan">
      <formula>0</formula>
    </cfRule>
  </conditionalFormatting>
  <conditionalFormatting sqref="B5:B31">
    <cfRule type="cellIs" dxfId="33" priority="33" stopIfTrue="1" operator="lessThan">
      <formula>0</formula>
    </cfRule>
  </conditionalFormatting>
  <conditionalFormatting sqref="B4:B31">
    <cfRule type="cellIs" dxfId="32" priority="32" stopIfTrue="1" operator="lessThan">
      <formula>0</formula>
    </cfRule>
  </conditionalFormatting>
  <conditionalFormatting sqref="B3">
    <cfRule type="cellIs" dxfId="31" priority="31" stopIfTrue="1" operator="lessThan">
      <formula>0</formula>
    </cfRule>
  </conditionalFormatting>
  <conditionalFormatting sqref="B3">
    <cfRule type="duplicateValues" dxfId="30" priority="30"/>
  </conditionalFormatting>
  <conditionalFormatting sqref="B4:B31">
    <cfRule type="duplicateValues" dxfId="29" priority="34"/>
  </conditionalFormatting>
  <conditionalFormatting sqref="D5:D8 D10:D31">
    <cfRule type="cellIs" dxfId="28" priority="28" stopIfTrue="1" operator="lessThan">
      <formula>0</formula>
    </cfRule>
  </conditionalFormatting>
  <conditionalFormatting sqref="D9">
    <cfRule type="cellIs" dxfId="27" priority="27" stopIfTrue="1" operator="lessThan">
      <formula>0</formula>
    </cfRule>
  </conditionalFormatting>
  <conditionalFormatting sqref="D5:D31">
    <cfRule type="cellIs" dxfId="26" priority="26" stopIfTrue="1" operator="lessThan">
      <formula>0</formula>
    </cfRule>
  </conditionalFormatting>
  <conditionalFormatting sqref="D3:D4">
    <cfRule type="cellIs" dxfId="25" priority="25" stopIfTrue="1" operator="lessThan">
      <formula>0</formula>
    </cfRule>
  </conditionalFormatting>
  <conditionalFormatting sqref="D3:D4">
    <cfRule type="duplicateValues" dxfId="24" priority="24"/>
  </conditionalFormatting>
  <conditionalFormatting sqref="D5:D31">
    <cfRule type="duplicateValues" dxfId="23" priority="29"/>
  </conditionalFormatting>
  <conditionalFormatting sqref="F6:F31">
    <cfRule type="cellIs" dxfId="22" priority="22" stopIfTrue="1" operator="lessThan">
      <formula>0</formula>
    </cfRule>
  </conditionalFormatting>
  <conditionalFormatting sqref="F6:F31">
    <cfRule type="cellIs" dxfId="21" priority="21" stopIfTrue="1" operator="lessThan">
      <formula>0</formula>
    </cfRule>
  </conditionalFormatting>
  <conditionalFormatting sqref="F3:F5">
    <cfRule type="cellIs" dxfId="20" priority="20" stopIfTrue="1" operator="lessThan">
      <formula>0</formula>
    </cfRule>
  </conditionalFormatting>
  <conditionalFormatting sqref="F3:F5">
    <cfRule type="duplicateValues" dxfId="19" priority="19"/>
  </conditionalFormatting>
  <conditionalFormatting sqref="F6:F31">
    <cfRule type="duplicateValues" dxfId="18" priority="23"/>
  </conditionalFormatting>
  <conditionalFormatting sqref="H4:H31">
    <cfRule type="cellIs" dxfId="17" priority="18" stopIfTrue="1" operator="lessThan">
      <formula>0</formula>
    </cfRule>
  </conditionalFormatting>
  <conditionalFormatting sqref="H3">
    <cfRule type="cellIs" dxfId="16" priority="17" stopIfTrue="1" operator="lessThan">
      <formula>0</formula>
    </cfRule>
  </conditionalFormatting>
  <conditionalFormatting sqref="J11:J31">
    <cfRule type="cellIs" dxfId="15" priority="16" stopIfTrue="1" operator="lessThan">
      <formula>0</formula>
    </cfRule>
  </conditionalFormatting>
  <conditionalFormatting sqref="J3:J10">
    <cfRule type="cellIs" dxfId="14" priority="15" stopIfTrue="1" operator="lessThan">
      <formula>0</formula>
    </cfRule>
  </conditionalFormatting>
  <conditionalFormatting sqref="L4:L31">
    <cfRule type="cellIs" dxfId="13" priority="14" stopIfTrue="1" operator="lessThan">
      <formula>0</formula>
    </cfRule>
  </conditionalFormatting>
  <conditionalFormatting sqref="L3">
    <cfRule type="cellIs" dxfId="12" priority="13" stopIfTrue="1" operator="lessThan">
      <formula>0</formula>
    </cfRule>
  </conditionalFormatting>
  <conditionalFormatting sqref="N4:N31">
    <cfRule type="cellIs" dxfId="11" priority="12" stopIfTrue="1" operator="lessThan">
      <formula>0</formula>
    </cfRule>
  </conditionalFormatting>
  <conditionalFormatting sqref="N3">
    <cfRule type="cellIs" dxfId="10" priority="11" stopIfTrue="1" operator="lessThan">
      <formula>0</formula>
    </cfRule>
  </conditionalFormatting>
  <conditionalFormatting sqref="P14">
    <cfRule type="cellIs" dxfId="9" priority="10" stopIfTrue="1" operator="lessThan">
      <formula>0</formula>
    </cfRule>
  </conditionalFormatting>
  <conditionalFormatting sqref="P4:P13 P15:P31">
    <cfRule type="cellIs" dxfId="8" priority="9" stopIfTrue="1" operator="lessThan">
      <formula>0</formula>
    </cfRule>
  </conditionalFormatting>
  <conditionalFormatting sqref="P3">
    <cfRule type="cellIs" dxfId="7" priority="8" stopIfTrue="1" operator="lessThan">
      <formula>0</formula>
    </cfRule>
  </conditionalFormatting>
  <conditionalFormatting sqref="R5:R31">
    <cfRule type="cellIs" dxfId="6" priority="7" stopIfTrue="1" operator="lessThan">
      <formula>0</formula>
    </cfRule>
  </conditionalFormatting>
  <conditionalFormatting sqref="R4">
    <cfRule type="cellIs" dxfId="5" priority="6" stopIfTrue="1" operator="lessThan">
      <formula>0</formula>
    </cfRule>
  </conditionalFormatting>
  <conditionalFormatting sqref="R3">
    <cfRule type="cellIs" dxfId="4" priority="5" stopIfTrue="1" operator="lessThan">
      <formula>0</formula>
    </cfRule>
  </conditionalFormatting>
  <conditionalFormatting sqref="T4:T31">
    <cfRule type="cellIs" dxfId="3" priority="4" stopIfTrue="1" operator="lessThan">
      <formula>0</formula>
    </cfRule>
  </conditionalFormatting>
  <conditionalFormatting sqref="T3">
    <cfRule type="cellIs" dxfId="2" priority="3" stopIfTrue="1" operator="lessThan">
      <formula>0</formula>
    </cfRule>
  </conditionalFormatting>
  <conditionalFormatting sqref="V4:V31">
    <cfRule type="cellIs" dxfId="1" priority="2" stopIfTrue="1" operator="lessThan">
      <formula>0</formula>
    </cfRule>
  </conditionalFormatting>
  <conditionalFormatting sqref="V3">
    <cfRule type="cellIs" dxfId="0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F08854F8-E8BB-4D41-B5A7-F9BF58E42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2021-03-06T12:27:16Z</dcterms:modified>
  <cp:category/>
  <cp:contentStatus/>
</cp:coreProperties>
</file>