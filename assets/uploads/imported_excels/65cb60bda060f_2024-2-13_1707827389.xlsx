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Y\OneDrive - ACCOR\Desktop\new system\file system new\"/>
    </mc:Choice>
  </mc:AlternateContent>
  <xr:revisionPtr revIDLastSave="13" documentId="8_{0E87D81A-2713-453A-BACC-951AB6069C90}" xr6:coauthVersionLast="36" xr6:coauthVersionMax="47" xr10:uidLastSave="{9E920BA4-1622-4A9C-B357-20476EDC7D9A}"/>
  <bookViews>
    <workbookView xWindow="-105" yWindow="-105" windowWidth="19395" windowHeight="10275" tabRatio="500" activeTab="2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</workbook>
</file>

<file path=xl/calcChain.xml><?xml version="1.0" encoding="utf-8"?>
<calcChain xmlns="http://schemas.openxmlformats.org/spreadsheetml/2006/main"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E7" i="19"/>
  <c r="D7" i="20" s="1"/>
  <c r="E3" i="19"/>
  <c r="B3" i="19"/>
  <c r="E22" i="18"/>
  <c r="D22" i="19" s="1"/>
  <c r="E18" i="18"/>
  <c r="D18" i="19" s="1"/>
  <c r="D18" i="18"/>
  <c r="F18" i="18" s="1"/>
  <c r="F17" i="18"/>
  <c r="E17" i="18"/>
  <c r="E16" i="18"/>
  <c r="E15" i="18"/>
  <c r="D15" i="19" s="1"/>
  <c r="E14" i="18"/>
  <c r="D14" i="19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E17" i="1" s="1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E16" i="1" s="1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G19" i="1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5" i="12" l="1"/>
  <c r="E12" i="1"/>
  <c r="E13" i="1"/>
  <c r="E14" i="1"/>
  <c r="E11" i="1"/>
  <c r="E15" i="1"/>
  <c r="F13" i="14"/>
  <c r="F22" i="10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16" l="1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G19" i="21"/>
  <c r="G30" i="21" s="1"/>
  <c r="F30" i="2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F30" i="14" l="1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<sst xmlns="http://schemas.openxmlformats.org/spreadsheetml/2006/main" count="2550" uniqueCount="181">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</sst>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8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2">
        <v>2.5</v>
      </c>
      <c r="I15" s="6" t="e">
        <f>Submetering!L15</f>
        <v>#VALUE!</v>
      </c>
      <c r="J15" s="5">
        <v>0.06</v>
      </c>
      <c r="K15" s="275" t="e">
        <f>Submetering!K15</f>
        <v>#VALUE!</v>
      </c>
      <c r="L15" s="5">
        <v>1.1399999999999999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2">
        <v>2.5</v>
      </c>
      <c r="I16" s="6" t="e">
        <f>Submetering!L16</f>
        <v>#VALUE!</v>
      </c>
      <c r="J16" s="5">
        <v>0.06</v>
      </c>
      <c r="K16" s="275" t="e">
        <f>Submetering!K16</f>
        <v>#VALUE!</v>
      </c>
      <c r="L16" s="5">
        <v>1.1399999999999999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v>1.1399999999999999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v>1.1399999999999999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K3" sqref="K3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14" sqref="Q14"/>
    </sheetView>
  </sheetViews>
  <sheetFormatPr defaultColWidth="8.5703125" defaultRowHeight="1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294" t="s">
        <v>180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Q1" s="16" t="s">
        <v>22</v>
      </c>
    </row>
    <row r="2" spans="1:17" s="13" customFormat="1">
      <c r="A2" s="17"/>
      <c r="B2" s="18" t="s">
        <v>23</v>
      </c>
      <c r="C2" s="295" t="s">
        <v>24</v>
      </c>
      <c r="D2" s="295"/>
      <c r="E2" s="295"/>
      <c r="F2" s="295"/>
      <c r="G2" s="295"/>
      <c r="H2" s="296" t="s">
        <v>25</v>
      </c>
      <c r="I2" s="296"/>
      <c r="J2" s="296"/>
      <c r="K2" s="296"/>
      <c r="L2" s="296"/>
      <c r="M2" s="296"/>
      <c r="N2" s="297" t="s">
        <v>26</v>
      </c>
      <c r="O2" s="298" t="s">
        <v>27</v>
      </c>
    </row>
    <row r="3" spans="1:17" s="13" customFormat="1">
      <c r="A3" s="299" t="s">
        <v>28</v>
      </c>
      <c r="B3" s="19" t="s">
        <v>29</v>
      </c>
      <c r="C3" s="20" t="s">
        <v>30</v>
      </c>
      <c r="D3" s="300" t="s">
        <v>31</v>
      </c>
      <c r="E3" s="300"/>
      <c r="F3" s="301" t="s">
        <v>32</v>
      </c>
      <c r="G3" s="301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7"/>
      <c r="O3" s="298"/>
    </row>
    <row r="4" spans="1:17" s="13" customFormat="1">
      <c r="A4" s="299"/>
      <c r="B4" s="19" t="s">
        <v>36</v>
      </c>
      <c r="C4" s="22" t="s">
        <v>37</v>
      </c>
      <c r="D4" s="302" t="s">
        <v>38</v>
      </c>
      <c r="E4" s="302"/>
      <c r="F4" s="303" t="s">
        <v>39</v>
      </c>
      <c r="G4" s="303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9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347">
        <v>94.24</v>
      </c>
    </row>
    <row r="14" spans="1:17">
      <c r="A14" s="28">
        <v>9</v>
      </c>
      <c r="B14" s="336">
        <v>54285.8</v>
      </c>
      <c r="C14" s="337">
        <v>210865</v>
      </c>
      <c r="D14" s="27" t="s">
        <v>12</v>
      </c>
      <c r="E14" s="27" t="s">
        <v>12</v>
      </c>
      <c r="F14" s="27" t="s">
        <v>12</v>
      </c>
      <c r="G14" s="27" t="s">
        <v>12</v>
      </c>
      <c r="H14" s="338">
        <v>6835.3</v>
      </c>
      <c r="I14" s="340">
        <v>4126.1000000000004</v>
      </c>
      <c r="J14" s="341">
        <v>4410.7</v>
      </c>
      <c r="K14" s="342">
        <v>2471.9</v>
      </c>
      <c r="L14" s="343">
        <v>5749</v>
      </c>
      <c r="M14" s="344">
        <v>15463.4</v>
      </c>
      <c r="N14" s="345">
        <v>95345.3</v>
      </c>
      <c r="O14" s="346">
        <v>90.32</v>
      </c>
    </row>
    <row r="15" spans="1:17">
      <c r="A15" s="28">
        <v>10</v>
      </c>
      <c r="B15" s="336">
        <v>54303.6</v>
      </c>
      <c r="C15" s="337">
        <v>211142</v>
      </c>
      <c r="D15" s="27" t="s">
        <v>12</v>
      </c>
      <c r="E15" s="27" t="s">
        <v>12</v>
      </c>
      <c r="F15" s="27" t="s">
        <v>12</v>
      </c>
      <c r="G15" s="27" t="s">
        <v>12</v>
      </c>
      <c r="H15" s="338">
        <v>6842.6</v>
      </c>
      <c r="I15" s="340">
        <v>4130.6000000000004</v>
      </c>
      <c r="J15" s="341">
        <v>4415.6000000000004</v>
      </c>
      <c r="K15" s="342">
        <v>2474.6999999999998</v>
      </c>
      <c r="L15" s="343">
        <v>5753.7</v>
      </c>
      <c r="M15" s="344">
        <v>15474.9</v>
      </c>
      <c r="N15" s="345">
        <v>95497.7</v>
      </c>
      <c r="O15" s="346">
        <v>81.34</v>
      </c>
    </row>
    <row r="16" spans="1:17">
      <c r="A16" s="28">
        <v>11</v>
      </c>
      <c r="B16" s="336">
        <v>54322.5</v>
      </c>
      <c r="C16" s="337">
        <v>211397</v>
      </c>
      <c r="D16" s="27" t="s">
        <v>12</v>
      </c>
      <c r="E16" s="27" t="s">
        <v>12</v>
      </c>
      <c r="F16" s="27" t="s">
        <v>12</v>
      </c>
      <c r="G16" s="27" t="s">
        <v>12</v>
      </c>
      <c r="H16" s="338">
        <v>6850</v>
      </c>
      <c r="I16" s="340">
        <v>4135</v>
      </c>
      <c r="J16" s="341">
        <v>4420.3999999999996</v>
      </c>
      <c r="K16" s="342">
        <v>2477.9</v>
      </c>
      <c r="L16" s="343">
        <v>5758.4</v>
      </c>
      <c r="M16" s="344">
        <v>15486.6</v>
      </c>
      <c r="N16" s="345">
        <v>95634.8</v>
      </c>
      <c r="O16" s="346">
        <v>88.48</v>
      </c>
    </row>
    <row r="17" spans="1:17">
      <c r="A17" s="28">
        <v>12</v>
      </c>
      <c r="B17" s="336">
        <v>54338.9</v>
      </c>
      <c r="C17" s="337">
        <v>211607</v>
      </c>
      <c r="D17" s="27" t="s">
        <v>12</v>
      </c>
      <c r="E17" s="27" t="s">
        <v>12</v>
      </c>
      <c r="F17" s="27" t="s">
        <v>12</v>
      </c>
      <c r="G17" s="27" t="s">
        <v>12</v>
      </c>
      <c r="H17" s="338">
        <v>6857.1</v>
      </c>
      <c r="I17" s="340">
        <v>4139</v>
      </c>
      <c r="J17" s="341">
        <v>4424.8999999999996</v>
      </c>
      <c r="K17" s="342">
        <v>2480.6</v>
      </c>
      <c r="L17" s="343">
        <v>5763</v>
      </c>
      <c r="M17" s="344">
        <v>15498.3</v>
      </c>
      <c r="N17" s="345">
        <v>95776</v>
      </c>
      <c r="O17" s="346">
        <v>79.72</v>
      </c>
    </row>
    <row r="18" spans="1:17">
      <c r="A18" s="28">
        <v>13</v>
      </c>
      <c r="B18" s="336">
        <v>54356.6</v>
      </c>
      <c r="C18" s="337">
        <v>211780</v>
      </c>
      <c r="D18" s="27" t="s">
        <v>12</v>
      </c>
      <c r="E18" s="27" t="s">
        <v>12</v>
      </c>
      <c r="F18" s="27" t="s">
        <v>12</v>
      </c>
      <c r="G18" s="27" t="s">
        <v>12</v>
      </c>
      <c r="H18" s="338">
        <v>6864.2</v>
      </c>
      <c r="I18" s="340">
        <v>4143.3</v>
      </c>
      <c r="J18" s="341">
        <v>4429.3</v>
      </c>
      <c r="K18" s="342">
        <v>2483.3000000000002</v>
      </c>
      <c r="L18" s="343">
        <v>5767.5</v>
      </c>
      <c r="M18" s="344">
        <v>15510.1</v>
      </c>
      <c r="N18" s="345">
        <v>95924.9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339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79.421666666666667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0" sqref="D10:D18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53496.247179998965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5061.2520000008271</v>
      </c>
      <c r="G8" s="66">
        <f>F8*0.63</f>
        <v>3188.5887600005212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34975.070999999996</v>
      </c>
      <c r="G11" s="74">
        <f>F11*0.06</f>
        <v>2098.5042599999997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5061.251999998758</v>
      </c>
      <c r="G8" s="66">
        <f>F8*0.63</f>
        <v>3188.5887599992175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60931.413</v>
      </c>
      <c r="G11" s="74">
        <f>F11*0.06</f>
        <v>3655.8847799999999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5374.0260000004137</v>
      </c>
      <c r="G8" s="66">
        <f>F8*0.63</f>
        <v>3385.6363800002605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56092.095000000001</v>
      </c>
      <c r="G11" s="74">
        <f>F11*0.06</f>
        <v>3365.5257000000001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4663.1760000004133</v>
      </c>
      <c r="G8" s="66">
        <f>F8*0.63</f>
        <v>2937.8008800002603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46193.49</v>
      </c>
      <c r="G11" s="74">
        <f>F11*0.06</f>
        <v>2771.6093999999998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5032.8179999991717</v>
      </c>
      <c r="G8" s="66">
        <f>F8*0.63</f>
        <v>3170.6753399994782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'13'!E7</f>
        <v>54356.6</v>
      </c>
      <c r="E7" s="61" t="str">
        <f>'Daily Meter'!B19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'13'!E10</f>
        <v>211780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06" t="s">
        <v>75</v>
      </c>
      <c r="E26" s="306"/>
      <c r="F26" s="306"/>
      <c r="G26" s="306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8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8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79.421666666666667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>
      <c r="A1" s="317" t="s">
        <v>45</v>
      </c>
      <c r="B1" s="317"/>
      <c r="C1" s="317"/>
      <c r="D1" s="317"/>
      <c r="E1" s="317"/>
      <c r="F1" s="317"/>
      <c r="G1" s="317"/>
      <c r="H1" s="108"/>
      <c r="P1" s="16" t="s">
        <v>22</v>
      </c>
    </row>
    <row r="2" spans="1:16" ht="12" customHeight="1">
      <c r="A2" s="317"/>
      <c r="B2" s="317"/>
      <c r="C2" s="317"/>
      <c r="D2" s="317"/>
      <c r="E2" s="317"/>
      <c r="F2" s="317"/>
      <c r="G2" s="317"/>
      <c r="H2" s="108"/>
    </row>
    <row r="3" spans="1:16" ht="18">
      <c r="A3" s="318" t="s">
        <v>47</v>
      </c>
      <c r="B3" s="318"/>
      <c r="C3" s="318"/>
      <c r="D3" s="318"/>
      <c r="E3" s="318"/>
      <c r="F3" s="318"/>
      <c r="G3" s="318"/>
      <c r="H3" s="108"/>
      <c r="P3" s="16" t="s">
        <v>46</v>
      </c>
    </row>
    <row r="4" spans="1:16" ht="18">
      <c r="A4" s="319" t="s">
        <v>87</v>
      </c>
      <c r="B4" s="319"/>
      <c r="C4" s="319"/>
      <c r="D4" s="109" t="s">
        <v>88</v>
      </c>
      <c r="E4" s="110"/>
      <c r="F4" s="111" t="s">
        <v>89</v>
      </c>
      <c r="G4" s="320"/>
      <c r="H4" s="320"/>
    </row>
    <row r="5" spans="1:16" ht="27.75" customHeight="1">
      <c r="A5" s="321" t="s">
        <v>49</v>
      </c>
      <c r="B5" s="322" t="s">
        <v>50</v>
      </c>
      <c r="C5" s="113"/>
      <c r="D5" s="115" t="s">
        <v>90</v>
      </c>
      <c r="E5" s="115" t="s">
        <v>91</v>
      </c>
      <c r="F5" s="323" t="s">
        <v>92</v>
      </c>
      <c r="G5" s="323" t="s">
        <v>93</v>
      </c>
      <c r="H5" s="323" t="s">
        <v>94</v>
      </c>
    </row>
    <row r="6" spans="1:16" ht="24" customHeight="1">
      <c r="A6" s="321"/>
      <c r="B6" s="322"/>
      <c r="C6" s="116"/>
      <c r="D6" s="117" t="s">
        <v>95</v>
      </c>
      <c r="E6" s="117" t="s">
        <v>96</v>
      </c>
      <c r="F6" s="323"/>
      <c r="G6" s="323"/>
      <c r="H6" s="323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11"/>
      <c r="D10" s="311"/>
      <c r="E10" s="311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11"/>
      <c r="D11" s="311"/>
      <c r="E11" s="311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5"/>
      <c r="D12" s="315"/>
      <c r="E12" s="315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5"/>
      <c r="D13" s="315"/>
      <c r="E13" s="315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6"/>
      <c r="C14" s="316"/>
      <c r="D14" s="316"/>
      <c r="E14" s="316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3"/>
      <c r="D15" s="313"/>
      <c r="E15" s="313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4" t="s">
        <v>103</v>
      </c>
      <c r="H16" s="314"/>
    </row>
    <row r="17" spans="1:8" ht="28.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11"/>
      <c r="D18" s="311"/>
      <c r="E18" s="311"/>
      <c r="F18" s="142">
        <v>350</v>
      </c>
      <c r="G18" s="143"/>
      <c r="H18" s="137"/>
    </row>
    <row r="19" spans="1:8">
      <c r="A19" s="68"/>
      <c r="B19" s="126" t="s">
        <v>106</v>
      </c>
      <c r="C19" s="311"/>
      <c r="D19" s="311"/>
      <c r="E19" s="311"/>
      <c r="F19" s="142">
        <v>400</v>
      </c>
      <c r="G19" s="143"/>
      <c r="H19" s="137"/>
    </row>
    <row r="20" spans="1:8">
      <c r="A20" s="68"/>
      <c r="B20" s="126" t="s">
        <v>107</v>
      </c>
      <c r="C20" s="311"/>
      <c r="D20" s="311"/>
      <c r="E20" s="311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11"/>
      <c r="D21" s="311"/>
      <c r="E21" s="311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11"/>
      <c r="D22" s="311"/>
      <c r="E22" s="311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2"/>
      <c r="D23" s="312"/>
      <c r="E23" s="312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3"/>
      <c r="D24" s="313"/>
      <c r="E24" s="313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3"/>
      <c r="D31" s="313"/>
      <c r="E31" s="313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11"/>
      <c r="D32" s="311"/>
      <c r="E32" s="311"/>
      <c r="F32" s="128">
        <v>460</v>
      </c>
      <c r="G32" s="153"/>
      <c r="H32" s="137"/>
    </row>
    <row r="33" spans="1:8">
      <c r="A33" s="56"/>
      <c r="B33" s="126" t="s">
        <v>112</v>
      </c>
      <c r="C33" s="311"/>
      <c r="D33" s="311"/>
      <c r="E33" s="311"/>
      <c r="F33" s="128">
        <v>560</v>
      </c>
      <c r="G33" s="153"/>
      <c r="H33" s="137"/>
    </row>
    <row r="34" spans="1:8">
      <c r="A34" s="56"/>
      <c r="B34" s="126" t="s">
        <v>113</v>
      </c>
      <c r="C34" s="311"/>
      <c r="D34" s="311"/>
      <c r="E34" s="311"/>
      <c r="F34" s="128">
        <v>640</v>
      </c>
      <c r="G34" s="153"/>
      <c r="H34" s="137"/>
    </row>
    <row r="35" spans="1:8">
      <c r="A35" s="56"/>
      <c r="B35" s="126" t="s">
        <v>114</v>
      </c>
      <c r="C35" s="311"/>
      <c r="D35" s="311"/>
      <c r="E35" s="311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11"/>
      <c r="D36" s="311"/>
      <c r="E36" s="311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08"/>
      <c r="D37" s="308"/>
      <c r="E37" s="308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09"/>
      <c r="D39" s="309"/>
      <c r="E39" s="309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08"/>
      <c r="D42" s="308"/>
      <c r="E42" s="308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10" t="s">
        <v>75</v>
      </c>
      <c r="C44" s="310"/>
      <c r="D44" s="310"/>
      <c r="E44" s="310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>
      <c r="A1" s="325" t="s">
        <v>45</v>
      </c>
      <c r="B1" s="325"/>
      <c r="C1" s="325"/>
      <c r="D1" s="325"/>
      <c r="E1" s="325"/>
      <c r="F1" s="325"/>
      <c r="G1" s="325"/>
    </row>
    <row r="2" spans="1:14" ht="10.5" customHeight="1">
      <c r="A2" s="325"/>
      <c r="B2" s="325"/>
      <c r="C2" s="325"/>
      <c r="D2" s="325"/>
      <c r="E2" s="325"/>
      <c r="F2" s="325"/>
      <c r="G2" s="325"/>
    </row>
    <row r="3" spans="1:14" ht="21.75" customHeight="1">
      <c r="A3" s="326" t="s">
        <v>47</v>
      </c>
      <c r="B3" s="326"/>
      <c r="C3" s="326"/>
      <c r="D3" s="326"/>
      <c r="E3" s="326"/>
      <c r="F3" s="326"/>
      <c r="G3" s="326"/>
    </row>
    <row r="4" spans="1:14" ht="36">
      <c r="A4" s="327" t="s">
        <v>123</v>
      </c>
      <c r="B4" s="327"/>
      <c r="C4" s="168" t="s">
        <v>124</v>
      </c>
      <c r="D4" s="112"/>
      <c r="E4" s="169" t="s">
        <v>88</v>
      </c>
      <c r="F4" s="328"/>
      <c r="G4" s="328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9" t="s">
        <v>125</v>
      </c>
      <c r="G5" s="330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9"/>
      <c r="G6" s="330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4" t="s">
        <v>75</v>
      </c>
      <c r="C44" s="324"/>
      <c r="D44" s="324"/>
      <c r="E44" s="324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31"/>
      <c r="B4" s="331"/>
      <c r="C4" s="331"/>
      <c r="D4" s="331"/>
      <c r="E4" s="331"/>
      <c r="F4" s="331"/>
      <c r="G4" s="331"/>
      <c r="H4" s="3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ht="54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31"/>
      <c r="B15" s="331"/>
      <c r="C15" s="331"/>
      <c r="D15" s="331"/>
      <c r="E15" s="331"/>
      <c r="F15" s="331"/>
      <c r="G15" s="331"/>
      <c r="H15" s="33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4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31"/>
      <c r="B18" s="331"/>
      <c r="C18" s="331"/>
      <c r="D18" s="331"/>
      <c r="E18" s="331"/>
      <c r="F18" s="331"/>
      <c r="G18" s="331"/>
      <c r="H18" s="331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4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36" customWidth="1"/>
    <col min="2" max="16384" width="35.710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3"/>
      <c r="G1" s="333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4" t="s">
        <v>158</v>
      </c>
      <c r="G2" s="334"/>
      <c r="H2" s="266"/>
    </row>
    <row r="3" spans="1:12" ht="69.75" customHeight="1">
      <c r="A3" s="265"/>
      <c r="B3" s="249"/>
      <c r="C3" s="244"/>
      <c r="E3" s="267" t="s">
        <v>159</v>
      </c>
      <c r="F3" s="335">
        <v>1292977.78</v>
      </c>
      <c r="G3" s="335"/>
      <c r="H3" s="268"/>
    </row>
    <row r="4" spans="1:12" ht="69.75" customHeight="1">
      <c r="A4" s="265"/>
      <c r="B4" s="269"/>
      <c r="C4" s="244"/>
      <c r="E4" s="270" t="s">
        <v>160</v>
      </c>
      <c r="F4" s="332">
        <v>553296</v>
      </c>
      <c r="G4" s="332"/>
      <c r="H4" s="268"/>
    </row>
    <row r="5" spans="1:12" ht="69.75" customHeight="1">
      <c r="A5" s="265"/>
      <c r="B5" s="271"/>
      <c r="C5" s="244"/>
      <c r="E5" s="270" t="s">
        <v>161</v>
      </c>
      <c r="F5" s="332">
        <v>528379</v>
      </c>
      <c r="G5" s="332"/>
      <c r="H5" s="268"/>
    </row>
    <row r="6" spans="1:12" ht="69.75" customHeight="1">
      <c r="A6" s="265"/>
      <c r="B6" s="271"/>
      <c r="C6" s="244"/>
      <c r="E6" s="270" t="s">
        <v>162</v>
      </c>
      <c r="F6" s="332">
        <v>13436.55</v>
      </c>
      <c r="G6" s="332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b6f10ed-c627-4ef3-be43-403188ac1815"/>
    <ds:schemaRef ds:uri="401fae36-edd3-4788-a18a-50cdc6e6776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2024-02-13T05:50:58Z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