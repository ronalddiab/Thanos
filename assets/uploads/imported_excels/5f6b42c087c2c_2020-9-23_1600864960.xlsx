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<sst xmlns="http://schemas.openxmlformats.org/spreadsheetml/2006/main" count="313" uniqueCount="148">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</sst>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4209.9999999999518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18.299999999999955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3620.0000000000414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14.800000000000068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4250.0000000001364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16.299999999999955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3919.9999999993088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'FS Desroches Daily'!CM26</f>
        <v>#VALUE!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1100.000000000101</v>
      </c>
      <c r="F20" s="32">
        <f>'FS Desroches Daily'!F22</f>
        <v>599.99999999993395</v>
      </c>
      <c r="G20" s="31">
        <f>'FS Desroches Daily'!H22</f>
        <v>1599.9999999998238</v>
      </c>
      <c r="H20" s="32">
        <f>'FS Desroches Daily'!J22</f>
        <v>799.99999999991189</v>
      </c>
      <c r="I20" s="31">
        <f>'FS Desroches Daily'!L22</f>
        <v>1799.9999999998017</v>
      </c>
      <c r="J20" s="32">
        <f>'FS Desroches Daily'!N22</f>
        <v>500.00000000016701</v>
      </c>
      <c r="K20" s="13">
        <f>'FS Desroches Daily'!P22</f>
        <v>0</v>
      </c>
      <c r="L20" s="31">
        <f>'FS Desroches Daily'!R22</f>
        <v>3</v>
      </c>
      <c r="M20" s="31">
        <f>'FS Desroches Daily'!T22</f>
        <v>179.19999999995343</v>
      </c>
      <c r="N20" s="31">
        <f>'FS Desroches Daily'!V22</f>
        <v>73.200000000011642</v>
      </c>
      <c r="O20" s="31">
        <f>'FS Desroches Daily'!X22</f>
        <v>79.999999999984084</v>
      </c>
      <c r="P20" s="31">
        <f>'FS Desroches Daily'!Z22</f>
        <v>400.00000000040006</v>
      </c>
      <c r="Q20" s="31">
        <f>'FS Desroches Daily'!AB22</f>
        <v>79.999999999984084</v>
      </c>
      <c r="R20" s="31">
        <f>'FS Desroches Daily'!AD22</f>
        <v>139.99999999998636</v>
      </c>
      <c r="S20" s="31">
        <f>'FS Desroches Daily'!AF22</f>
        <v>160.00000000002501</v>
      </c>
      <c r="T20" s="31">
        <f>'FS Desroches Daily'!AH22</f>
        <v>1.2000000000000455</v>
      </c>
      <c r="U20" s="35">
        <f>'FS Desroches Daily'!AJ22</f>
        <v>269.99999999998181</v>
      </c>
      <c r="V20" s="35">
        <f>'FS Desroches Daily'!AL22</f>
        <v>169.99999999998749</v>
      </c>
      <c r="W20" s="35">
        <f>'FS Desroches Daily'!AN22</f>
        <v>140.00000000001478</v>
      </c>
      <c r="X20" s="35">
        <f>'FS Desroches Daily'!AP22</f>
        <v>99.999999999994316</v>
      </c>
      <c r="Y20" s="35">
        <f>'FS Desroches Daily'!AR22</f>
        <v>39.999999999992042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19.99999999998181</v>
      </c>
      <c r="AC20" s="35">
        <f>'FS Desroches Daily'!AZ22</f>
        <v>20.000000000038654</v>
      </c>
      <c r="AD20" s="35">
        <f>'FS Desroches Daily'!BB22</f>
        <v>19.99999999998181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9.9999999999909051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19.99999999998181</v>
      </c>
      <c r="AK20" s="32">
        <f>'FS Desroches Daily'!BP22</f>
        <v>20.000000000038654</v>
      </c>
      <c r="AL20" s="32">
        <f>'FS Desroches Daily'!BR22</f>
        <v>8</v>
      </c>
      <c r="AM20" s="32">
        <f>'FS Desroches Daily'!BT22</f>
        <v>0</v>
      </c>
      <c r="AN20" s="32">
        <f>'FS Desroches Daily'!BV22</f>
        <v>40</v>
      </c>
      <c r="AO20" s="32">
        <f>'FS Desroches Daily'!BX22</f>
        <v>19.99999999998181</v>
      </c>
      <c r="AP20" s="32">
        <f>'FS Desroches Daily'!BZ22</f>
        <v>29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30</v>
      </c>
      <c r="AU20" s="31">
        <f>'FS Desroches Daily'!CJ22</f>
        <v>207</v>
      </c>
      <c r="AV20" s="31">
        <f>'FS Desroches Daily'!CL22</f>
        <v>389.99999999998636</v>
      </c>
      <c r="AW20" s="31">
        <f>'FS Desroches Daily'!CM22</f>
        <v>18.299999999999955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999.99999999988984</v>
      </c>
      <c r="F21" s="32">
        <f>'FS Desroches Daily'!F23</f>
        <v>499.99999999972289</v>
      </c>
      <c r="G21" s="31">
        <f>'FS Desroches Daily'!H23</f>
        <v>1200.000000000312</v>
      </c>
      <c r="H21" s="32">
        <f>'FS Desroches Daily'!J23</f>
        <v>800.00000000013392</v>
      </c>
      <c r="I21" s="31">
        <f>'FS Desroches Daily'!L23</f>
        <v>1400.0000000002899</v>
      </c>
      <c r="J21" s="32">
        <f>'FS Desroches Daily'!N23</f>
        <v>399.99999999995595</v>
      </c>
      <c r="K21" s="13">
        <f>'FS Desroches Daily'!P23</f>
        <v>1</v>
      </c>
      <c r="L21" s="31">
        <f>'FS Desroches Daily'!R23</f>
        <v>3</v>
      </c>
      <c r="M21" s="31">
        <f>'FS Desroches Daily'!T23</f>
        <v>59.600000000093132</v>
      </c>
      <c r="N21" s="31">
        <f>'FS Desroches Daily'!V23</f>
        <v>37</v>
      </c>
      <c r="O21" s="31">
        <f>'FS Desroches Daily'!X23</f>
        <v>79.999999999984084</v>
      </c>
      <c r="P21" s="31">
        <f>'FS Desroches Daily'!Z23</f>
        <v>399.99999999995595</v>
      </c>
      <c r="Q21" s="31">
        <f>'FS Desroches Daily'!AB23</f>
        <v>69.999999999993179</v>
      </c>
      <c r="R21" s="31">
        <f>'FS Desroches Daily'!AD23</f>
        <v>120.00000000000455</v>
      </c>
      <c r="S21" s="31">
        <f>'FS Desroches Daily'!AF23</f>
        <v>129.99999999999545</v>
      </c>
      <c r="T21" s="31">
        <f>'FS Desroches Daily'!AH23</f>
        <v>1.0999999999999091</v>
      </c>
      <c r="U21" s="35">
        <f>'FS Desroches Daily'!AJ23</f>
        <v>230.00000000001819</v>
      </c>
      <c r="V21" s="35">
        <f>'FS Desroches Daily'!AL23</f>
        <v>170.00000000001592</v>
      </c>
      <c r="W21" s="35">
        <f>'FS Desroches Daily'!AN23</f>
        <v>129.99999999999545</v>
      </c>
      <c r="X21" s="35">
        <f>'FS Desroches Daily'!AP23</f>
        <v>90.000000000003411</v>
      </c>
      <c r="Y21" s="35">
        <f>'FS Desroches Daily'!AR23</f>
        <v>40.000000000020464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30.000000000029559</v>
      </c>
      <c r="AC21" s="35">
        <f>'FS Desroches Daily'!AZ23</f>
        <v>19.99999999998181</v>
      </c>
      <c r="AD21" s="35">
        <f>'FS Desroches Daily'!BB23</f>
        <v>10.000000000047748</v>
      </c>
      <c r="AE21" s="35">
        <f>'FS Desroches Daily'!BD23</f>
        <v>30.000000000001137</v>
      </c>
      <c r="AF21" s="31">
        <f>'FS Desroches Daily'!BF23</f>
        <v>23</v>
      </c>
      <c r="AG21" s="32">
        <f>'FS Desroches Daily'!BH23</f>
        <v>10.000000000019327</v>
      </c>
      <c r="AH21" s="32">
        <f>'FS Desroches Daily'!BJ23</f>
        <v>9.9999999999909051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7</v>
      </c>
      <c r="AM21" s="32">
        <f>'FS Desroches Daily'!BT23</f>
        <v>0</v>
      </c>
      <c r="AN21" s="32">
        <f>'FS Desroches Daily'!BV23</f>
        <v>17</v>
      </c>
      <c r="AO21" s="32">
        <f>'FS Desroches Daily'!BX23</f>
        <v>30.000000000001137</v>
      </c>
      <c r="AP21" s="32">
        <f>'FS Desroches Daily'!BZ23</f>
        <v>28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10.799999999995634</v>
      </c>
      <c r="AU21" s="31">
        <f>'FS Desroches Daily'!CJ23</f>
        <v>177</v>
      </c>
      <c r="AV21" s="31">
        <f>'FS Desroches Daily'!CL23</f>
        <v>279.99999999997272</v>
      </c>
      <c r="AW21" s="31">
        <f>'FS Desroches Daily'!CM23</f>
        <v>14.800000000000068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1000.0000000001119</v>
      </c>
      <c r="F22" s="32">
        <f>'FS Desroches Daily'!F24</f>
        <v>700.00000000014495</v>
      </c>
      <c r="G22" s="31">
        <f>'FS Desroches Daily'!H24</f>
        <v>1500.0000000000568</v>
      </c>
      <c r="H22" s="32">
        <f>'FS Desroches Daily'!J24</f>
        <v>899.99999999990087</v>
      </c>
      <c r="I22" s="31">
        <f>'FS Desroches Daily'!L24</f>
        <v>1599.9999999998238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6</v>
      </c>
      <c r="M22" s="31">
        <f>'FS Desroches Daily'!T24</f>
        <v>158.39999999990687</v>
      </c>
      <c r="N22" s="31">
        <f>'FS Desroches Daily'!V24</f>
        <v>89.100000000034925</v>
      </c>
      <c r="O22" s="31">
        <f>'FS Desroches Daily'!X24</f>
        <v>90.000000000031832</v>
      </c>
      <c r="P22" s="31">
        <f>'FS Desroches Daily'!Z24</f>
        <v>399.99999999995595</v>
      </c>
      <c r="Q22" s="31">
        <f>'FS Desroches Daily'!AB24</f>
        <v>90.000000000031832</v>
      </c>
      <c r="R22" s="31">
        <f>'FS Desroches Daily'!AD24</f>
        <v>99.999999999965894</v>
      </c>
      <c r="S22" s="31">
        <f>'FS Desroches Daily'!AF24</f>
        <v>189.99999999999773</v>
      </c>
      <c r="T22" s="31">
        <f>'FS Desroches Daily'!AH24</f>
        <v>1.2999999999999545</v>
      </c>
      <c r="U22" s="35">
        <f>'FS Desroches Daily'!AJ24</f>
        <v>250</v>
      </c>
      <c r="V22" s="35">
        <f>'FS Desroches Daily'!AL24</f>
        <v>150.00000000000568</v>
      </c>
      <c r="W22" s="35">
        <f>'FS Desroches Daily'!AN24</f>
        <v>129.99999999999545</v>
      </c>
      <c r="X22" s="35">
        <f>'FS Desroches Daily'!AP24</f>
        <v>110.00000000001364</v>
      </c>
      <c r="Y22" s="35">
        <f>'FS Desroches Daily'!AR24</f>
        <v>39.999999999992042</v>
      </c>
      <c r="Z22" s="35">
        <f>'FS Desroches Daily'!AT24</f>
        <v>30.000000000029559</v>
      </c>
      <c r="AA22" s="35">
        <f>'FS Desroches Daily'!AT24</f>
        <v>30.000000000029559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29.999999999972715</v>
      </c>
      <c r="AE22" s="35">
        <f>'FS Desroches Daily'!BD24</f>
        <v>30.000000000001137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10.000000000019327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7</v>
      </c>
      <c r="AM22" s="32">
        <f>'FS Desroches Daily'!BT24</f>
        <v>9.9999999999909051</v>
      </c>
      <c r="AN22" s="32">
        <f>'FS Desroches Daily'!BV24</f>
        <v>32</v>
      </c>
      <c r="AO22" s="32">
        <f>'FS Desroches Daily'!BX24</f>
        <v>30.000000000001137</v>
      </c>
      <c r="AP22" s="32">
        <f>'FS Desroches Daily'!BZ24</f>
        <v>30</v>
      </c>
      <c r="AQ22" s="31">
        <f>'FS Desroches Daily'!CB24</f>
        <v>3.5</v>
      </c>
      <c r="AR22" s="31">
        <f>'FS Desroches Daily'!CD24</f>
        <v>2.5</v>
      </c>
      <c r="AS22" s="31">
        <f>'FS Desroches Daily'!CF24</f>
        <v>0</v>
      </c>
      <c r="AT22" s="31">
        <f>'FS Desroches Daily'!CH24</f>
        <v>21.400000000001455</v>
      </c>
      <c r="AU22" s="31">
        <f>'FS Desroches Daily'!CJ24</f>
        <v>197</v>
      </c>
      <c r="AV22" s="31">
        <f>'FS Desroches Daily'!CL24</f>
        <v>350.00000000002274</v>
      </c>
      <c r="AW22" s="31">
        <f>'FS Desroches Daily'!CM24</f>
        <v>16.299999999999955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999.99999999988984</v>
      </c>
      <c r="F23" s="32">
        <f>'FS Desroches Daily'!F25</f>
        <v>599.99999999993395</v>
      </c>
      <c r="G23" s="31">
        <f>'FS Desroches Daily'!H25</f>
        <v>1499.9999999996128</v>
      </c>
      <c r="H23" s="32">
        <f>'FS Desroches Daily'!J25</f>
        <v>799.99999999991189</v>
      </c>
      <c r="I23" s="31">
        <f>'FS Desroches Daily'!L25</f>
        <v>1599.9999999998238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5</v>
      </c>
      <c r="M23" s="31">
        <f>'FS Desroches Daily'!T25</f>
        <v>178</v>
      </c>
      <c r="N23" s="31">
        <f>'FS Desroches Daily'!V25</f>
        <v>101.79999999998836</v>
      </c>
      <c r="O23" s="31">
        <f>'FS Desroches Daily'!X25</f>
        <v>79.999999999984084</v>
      </c>
      <c r="P23" s="31">
        <f>'FS Desroches Daily'!Z25</f>
        <v>499.99999999972289</v>
      </c>
      <c r="Q23" s="31">
        <f>'FS Desroches Daily'!AB25</f>
        <v>79.999999999984084</v>
      </c>
      <c r="R23" s="31">
        <f>'FS Desroches Daily'!AD25</f>
        <v>110.00000000001364</v>
      </c>
      <c r="S23" s="31">
        <f>'FS Desroches Daily'!AF25</f>
        <v>160.00000000002501</v>
      </c>
      <c r="T23" s="31">
        <f>'FS Desroches Daily'!AH25</f>
        <v>1.2999999999999545</v>
      </c>
      <c r="U23" s="35">
        <f>'FS Desroches Daily'!AJ25</f>
        <v>220.00000000002728</v>
      </c>
      <c r="V23" s="35">
        <f>'FS Desroches Daily'!AL25</f>
        <v>139.99999999998636</v>
      </c>
      <c r="W23" s="35">
        <f>'FS Desroches Daily'!AN25</f>
        <v>129.99999999999545</v>
      </c>
      <c r="X23" s="35">
        <f>'FS Desroches Daily'!AP25</f>
        <v>109.99999999998522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41</v>
      </c>
      <c r="AG23" s="32">
        <f>'FS Desroches Daily'!BH25</f>
        <v>0</v>
      </c>
      <c r="AH23" s="32">
        <f>'FS Desroches Daily'!BJ25</f>
        <v>9.9999999999909051</v>
      </c>
      <c r="AI23" s="32">
        <f>'FS Desroches Daily'!BL25</f>
        <v>9.9999999999909051</v>
      </c>
      <c r="AJ23" s="32">
        <f>'FS Desroches Daily'!BN25</f>
        <v>19.99999999998181</v>
      </c>
      <c r="AK23" s="32">
        <f>'FS Desroches Daily'!BP25</f>
        <v>19.99999999998181</v>
      </c>
      <c r="AL23" s="32">
        <f>'FS Desroches Daily'!BR25</f>
        <v>7</v>
      </c>
      <c r="AM23" s="32">
        <f>'FS Desroches Daily'!BT25</f>
        <v>9.9999999999909051</v>
      </c>
      <c r="AN23" s="32">
        <f>'FS Desroches Daily'!BV25</f>
        <v>29</v>
      </c>
      <c r="AO23" s="32">
        <f>'FS Desroches Daily'!BX25</f>
        <v>30.000000000001137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44.900000000001455</v>
      </c>
      <c r="AU23" s="31">
        <f>'FS Desroches Daily'!CJ25</f>
        <v>193</v>
      </c>
      <c r="AV23" s="31">
        <f>'FS Desroches Daily'!CL25</f>
        <v>379.99999999999545</v>
      </c>
      <c r="AW23" s="31">
        <f>'FS Desroches Daily'!CM25</f>
        <v>13.5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28999.999999999924</v>
      </c>
      <c r="F33" s="17">
        <f t="shared" ref="F33:BC33" si="1">SUM(F2:F32)</f>
        <v>12899.999999999693</v>
      </c>
      <c r="G33" s="17">
        <f t="shared" si="1"/>
        <v>33899.999999999607</v>
      </c>
      <c r="H33" s="17">
        <f t="shared" si="1"/>
        <v>17699.999999999833</v>
      </c>
      <c r="I33" s="17">
        <f t="shared" si="1"/>
        <v>34699.999999999964</v>
      </c>
      <c r="J33" s="17">
        <f t="shared" si="1"/>
        <v>9800.0000000000309</v>
      </c>
      <c r="K33" s="17">
        <f t="shared" si="1"/>
        <v>16</v>
      </c>
      <c r="L33" s="17">
        <f t="shared" si="1"/>
        <v>62</v>
      </c>
      <c r="M33" s="17">
        <f t="shared" si="1"/>
        <v>5263</v>
      </c>
      <c r="N33" s="17">
        <f t="shared" si="1"/>
        <v>2429.9000000000233</v>
      </c>
      <c r="O33" s="17">
        <f t="shared" si="1"/>
        <v>1960.0000000000364</v>
      </c>
      <c r="P33" s="17">
        <f t="shared" si="1"/>
        <v>8699.9999999997126</v>
      </c>
      <c r="Q33" s="17">
        <f t="shared" si="1"/>
        <v>1579.9999999999841</v>
      </c>
      <c r="R33" s="17">
        <f t="shared" si="1"/>
        <v>2360.0000000000136</v>
      </c>
      <c r="S33" s="17">
        <f t="shared" si="1"/>
        <v>3540.0000000000205</v>
      </c>
      <c r="T33" s="17">
        <f t="shared" si="1"/>
        <v>28.699999999999818</v>
      </c>
      <c r="U33" s="35">
        <f t="shared" si="1"/>
        <v>12790.00000000002</v>
      </c>
      <c r="V33" s="35">
        <f t="shared" si="1"/>
        <v>3449.9999999999882</v>
      </c>
      <c r="W33" s="35">
        <f t="shared" si="1"/>
        <v>2229.99999999999</v>
      </c>
      <c r="X33" s="35">
        <f t="shared" si="1"/>
        <v>1919.9999999999875</v>
      </c>
      <c r="Y33" s="35">
        <f t="shared" si="1"/>
        <v>789.99999999999204</v>
      </c>
      <c r="Z33" s="35">
        <f t="shared" si="1"/>
        <v>807.42000000002054</v>
      </c>
      <c r="AA33" s="35">
        <f t="shared" si="1"/>
        <v>807.42000000002054</v>
      </c>
      <c r="AB33" s="35">
        <f t="shared" si="1"/>
        <v>449.99999999998863</v>
      </c>
      <c r="AC33" s="35">
        <f t="shared" si="1"/>
        <v>400.00000000003411</v>
      </c>
      <c r="AD33" s="35">
        <f t="shared" si="1"/>
        <v>409.99999999996817</v>
      </c>
      <c r="AE33" s="35">
        <f t="shared" si="1"/>
        <v>379.99999999999545</v>
      </c>
      <c r="AF33" s="17">
        <f t="shared" si="1"/>
        <v>531</v>
      </c>
      <c r="AG33" s="32">
        <f t="shared" si="1"/>
        <v>300.00000000001137</v>
      </c>
      <c r="AH33" s="32">
        <f t="shared" si="1"/>
        <v>259.99999999999091</v>
      </c>
      <c r="AI33" s="32">
        <f t="shared" si="1"/>
        <v>199.99999999998863</v>
      </c>
      <c r="AJ33" s="32">
        <f t="shared" si="1"/>
        <v>340.00000000000341</v>
      </c>
      <c r="AK33" s="32">
        <f t="shared" si="1"/>
        <v>519.99999999998181</v>
      </c>
      <c r="AL33" s="32">
        <f t="shared" si="1"/>
        <v>227</v>
      </c>
      <c r="AM33" s="32">
        <f t="shared" si="1"/>
        <v>339.99999999997499</v>
      </c>
      <c r="AN33" s="32">
        <f t="shared" si="1"/>
        <v>424</v>
      </c>
      <c r="AO33" s="32">
        <f t="shared" si="1"/>
        <v>449.99999999998863</v>
      </c>
      <c r="AP33" s="32">
        <f t="shared" si="1"/>
        <v>546</v>
      </c>
      <c r="AQ33" s="17">
        <f t="shared" si="1"/>
        <v>3.5</v>
      </c>
      <c r="AR33" s="17">
        <f t="shared" si="1"/>
        <v>2.5</v>
      </c>
      <c r="AS33" s="17">
        <f t="shared" si="1"/>
        <v>0</v>
      </c>
      <c r="AT33" s="17">
        <f t="shared" si="1"/>
        <v>683.30000000000291</v>
      </c>
      <c r="AU33" s="17">
        <f t="shared" si="1"/>
        <v>4263</v>
      </c>
      <c r="AV33" s="17">
        <f t="shared" si="1"/>
        <v>8029.9999999999727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108.05849999999998</v>
      </c>
      <c r="BC33" s="17">
        <f t="shared" si="1"/>
        <v>16</v>
      </c>
    </row>
    <row r="35" spans="5:55" x14ac:dyDescent="0.25">
      <c r="E35" s="38">
        <f>E33/E37</f>
        <v>0.30707977720832935</v>
      </c>
      <c r="G35" s="29">
        <f>G33-M36</f>
        <v>26207.099999999584</v>
      </c>
      <c r="AE35" s="35">
        <f>SUM(U33:AE33)</f>
        <v>24434.840000000004</v>
      </c>
      <c r="AG35" s="32">
        <f>SUM(AG33:AP33)</f>
        <v>3606.9999999999395</v>
      </c>
    </row>
    <row r="36" spans="5:55" x14ac:dyDescent="0.25">
      <c r="G36" s="29">
        <f>G35-633*14</f>
        <v>17345.099999999584</v>
      </c>
      <c r="M36" s="29">
        <f>M33+N33</f>
        <v>7692.9000000000233</v>
      </c>
    </row>
    <row r="37" spans="5:55" x14ac:dyDescent="0.25">
      <c r="E37" s="17">
        <f>E33+F33+G33+H33+J33-633*14</f>
        <v>94437.999999999069</v>
      </c>
      <c r="G37" s="37">
        <f>M36/E37</f>
        <v>8.1459793727102423E-2</v>
      </c>
      <c r="M37" s="35">
        <f>AE35</f>
        <v>24434.840000000004</v>
      </c>
    </row>
    <row r="38" spans="5:55" x14ac:dyDescent="0.25">
      <c r="L38" s="27">
        <f>M38/E37</f>
        <v>3.819437091001477E-2</v>
      </c>
      <c r="M38" s="29">
        <f>AG35</f>
        <v>3606.9999999999395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C1" zoomScale="80" zoomScaleNormal="80" workbookViewId="0">
      <pane ySplit="1" topLeftCell="A14" activePane="bottomLeft" state="frozen"/>
      <selection pane="bottomLeft" activeCell="BF32" sqref="BF32:BG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>
        <v>12652</v>
      </c>
      <c r="P21" s="67">
        <f t="shared" si="44"/>
        <v>0</v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>
        <v>1.8318000000000001</v>
      </c>
      <c r="D22" s="64">
        <f t="shared" si="0"/>
        <v>1100.000000000101</v>
      </c>
      <c r="E22" s="58">
        <v>2.7715000000000001</v>
      </c>
      <c r="F22" s="64">
        <f t="shared" si="1"/>
        <v>599.99999999993395</v>
      </c>
      <c r="G22" s="58">
        <v>2.7233999999999998</v>
      </c>
      <c r="H22" s="64">
        <f t="shared" si="2"/>
        <v>1599.9999999998238</v>
      </c>
      <c r="I22" s="58">
        <v>1.319</v>
      </c>
      <c r="J22" s="64">
        <f t="shared" si="3"/>
        <v>799.99999999991189</v>
      </c>
      <c r="K22" s="58">
        <v>2.0859999999999999</v>
      </c>
      <c r="L22" s="64">
        <f t="shared" si="4"/>
        <v>1799.9999999998017</v>
      </c>
      <c r="M22" s="58">
        <v>1.2490000000000001</v>
      </c>
      <c r="N22" s="64">
        <f t="shared" si="5"/>
        <v>500.00000000016701</v>
      </c>
      <c r="O22" s="58">
        <v>12652</v>
      </c>
      <c r="P22" s="67">
        <f t="shared" si="44"/>
        <v>0</v>
      </c>
      <c r="Q22" s="58">
        <v>5747</v>
      </c>
      <c r="R22" s="67">
        <f t="shared" si="6"/>
        <v>3</v>
      </c>
      <c r="S22" s="58">
        <v>855128.2</v>
      </c>
      <c r="T22" s="67">
        <f t="shared" si="7"/>
        <v>179.19999999995343</v>
      </c>
      <c r="U22" s="58">
        <v>348840.3</v>
      </c>
      <c r="V22" s="67">
        <f t="shared" si="8"/>
        <v>73.200000000011642</v>
      </c>
      <c r="W22" s="58">
        <v>341.44</v>
      </c>
      <c r="X22" s="65">
        <f t="shared" si="9"/>
        <v>79.999999999984084</v>
      </c>
      <c r="Y22" s="58">
        <v>2.4317000000000002</v>
      </c>
      <c r="Z22" s="65">
        <f t="shared" si="10"/>
        <v>400.00000000040006</v>
      </c>
      <c r="AA22" s="58">
        <v>333.44</v>
      </c>
      <c r="AB22" s="65">
        <f t="shared" si="11"/>
        <v>79.999999999984084</v>
      </c>
      <c r="AC22" s="58">
        <v>320.05</v>
      </c>
      <c r="AD22" s="65">
        <f t="shared" si="12"/>
        <v>139.99999999998636</v>
      </c>
      <c r="AE22" s="58">
        <v>500.62</v>
      </c>
      <c r="AF22" s="65">
        <f t="shared" si="13"/>
        <v>160.00000000002501</v>
      </c>
      <c r="AG22" s="58">
        <v>1373.4</v>
      </c>
      <c r="AH22" s="67">
        <f t="shared" si="14"/>
        <v>1.2000000000000455</v>
      </c>
      <c r="AI22" s="58">
        <v>472.27</v>
      </c>
      <c r="AJ22" s="65">
        <f t="shared" si="15"/>
        <v>269.99999999998181</v>
      </c>
      <c r="AK22" s="58">
        <v>161.76</v>
      </c>
      <c r="AL22" s="65">
        <f t="shared" si="15"/>
        <v>169.99999999998749</v>
      </c>
      <c r="AM22" s="58">
        <v>158.74</v>
      </c>
      <c r="AN22" s="65">
        <f t="shared" si="15"/>
        <v>140.00000000001478</v>
      </c>
      <c r="AO22" s="58">
        <v>154.16</v>
      </c>
      <c r="AP22" s="65">
        <f t="shared" si="15"/>
        <v>99.999999999994316</v>
      </c>
      <c r="AQ22" s="58">
        <v>221.2</v>
      </c>
      <c r="AR22" s="65">
        <f t="shared" si="16"/>
        <v>39.999999999992042</v>
      </c>
      <c r="AS22" s="58">
        <v>346.67</v>
      </c>
      <c r="AT22" s="65">
        <f t="shared" si="17"/>
        <v>30.000000000029559</v>
      </c>
      <c r="AU22" s="58">
        <v>267.45999999999998</v>
      </c>
      <c r="AV22" s="65">
        <f t="shared" si="18"/>
        <v>19.99999999998181</v>
      </c>
      <c r="AW22" s="58">
        <v>295.01</v>
      </c>
      <c r="AX22" s="65">
        <f t="shared" si="19"/>
        <v>19.99999999998181</v>
      </c>
      <c r="AY22" s="58">
        <v>346.23</v>
      </c>
      <c r="AZ22" s="65">
        <f t="shared" si="20"/>
        <v>20.000000000038654</v>
      </c>
      <c r="BA22" s="58">
        <v>365.96</v>
      </c>
      <c r="BB22" s="65">
        <f t="shared" si="21"/>
        <v>19.99999999998181</v>
      </c>
      <c r="BC22" s="58">
        <v>232.6</v>
      </c>
      <c r="BD22" s="65">
        <f t="shared" si="22"/>
        <v>19.99999999998181</v>
      </c>
      <c r="BE22" s="59">
        <v>31328</v>
      </c>
      <c r="BF22" s="67">
        <f t="shared" si="39"/>
        <v>19</v>
      </c>
      <c r="BG22" s="60">
        <v>226.07</v>
      </c>
      <c r="BH22" s="65">
        <f t="shared" si="23"/>
        <v>9.9999999999909051</v>
      </c>
      <c r="BI22" s="60">
        <v>284.06</v>
      </c>
      <c r="BJ22" s="65">
        <f t="shared" si="40"/>
        <v>9.9999999999909051</v>
      </c>
      <c r="BK22" s="60">
        <v>231.38</v>
      </c>
      <c r="BL22" s="65">
        <f t="shared" si="24"/>
        <v>0</v>
      </c>
      <c r="BM22" s="60">
        <v>215.23</v>
      </c>
      <c r="BN22" s="65">
        <f t="shared" si="25"/>
        <v>19.99999999998181</v>
      </c>
      <c r="BO22" s="60">
        <v>280.36</v>
      </c>
      <c r="BP22" s="65">
        <f t="shared" si="26"/>
        <v>20.000000000038654</v>
      </c>
      <c r="BQ22" s="60">
        <v>39944</v>
      </c>
      <c r="BR22" s="65">
        <f t="shared" si="27"/>
        <v>8</v>
      </c>
      <c r="BS22" s="60">
        <v>194.18</v>
      </c>
      <c r="BT22" s="65">
        <f t="shared" si="42"/>
        <v>0</v>
      </c>
      <c r="BU22" s="60">
        <v>31644</v>
      </c>
      <c r="BV22" s="65">
        <f t="shared" si="29"/>
        <v>40</v>
      </c>
      <c r="BW22" s="60">
        <v>225.38</v>
      </c>
      <c r="BX22" s="65">
        <f t="shared" si="30"/>
        <v>19.99999999998181</v>
      </c>
      <c r="BY22" s="60">
        <v>50247</v>
      </c>
      <c r="BZ22" s="67">
        <f t="shared" si="31"/>
        <v>29</v>
      </c>
      <c r="CA22" s="60">
        <v>27512.1</v>
      </c>
      <c r="CB22" s="67">
        <f t="shared" si="32"/>
        <v>0</v>
      </c>
      <c r="CC22" s="60">
        <v>11253.1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50107.3</v>
      </c>
      <c r="CH22" s="67">
        <f t="shared" si="35"/>
        <v>30</v>
      </c>
      <c r="CI22" s="60">
        <v>877865</v>
      </c>
      <c r="CJ22" s="67">
        <f t="shared" si="36"/>
        <v>207</v>
      </c>
      <c r="CK22" s="60">
        <v>608.73</v>
      </c>
      <c r="CL22" s="64">
        <f t="shared" si="37"/>
        <v>389.99999999998636</v>
      </c>
      <c r="CM22" s="65">
        <f t="shared" si="41"/>
        <v>18.299999999999955</v>
      </c>
      <c r="CN22" s="62">
        <v>0</v>
      </c>
      <c r="CO22" s="62">
        <v>0</v>
      </c>
      <c r="CP22" s="68">
        <v>994.4</v>
      </c>
      <c r="CQ22" s="67">
        <f t="shared" si="38"/>
        <v>14.299999999999955</v>
      </c>
      <c r="CR22" s="68">
        <v>10477</v>
      </c>
      <c r="CS22" s="67">
        <f t="shared" si="38"/>
        <v>4</v>
      </c>
      <c r="CT22" s="75">
        <v>3006</v>
      </c>
      <c r="CU22" s="67">
        <f t="shared" si="38"/>
        <v>12</v>
      </c>
      <c r="CV22" s="68">
        <v>9112</v>
      </c>
      <c r="CW22" s="67">
        <f t="shared" si="38"/>
        <v>21</v>
      </c>
    </row>
    <row r="23" spans="1:101" ht="25.5" customHeight="1" thickBot="1" x14ac:dyDescent="0.45">
      <c r="A23" s="63">
        <v>44094</v>
      </c>
      <c r="B23" s="44"/>
      <c r="C23" s="58">
        <v>1.8328</v>
      </c>
      <c r="D23" s="64">
        <f t="shared" si="0"/>
        <v>999.99999999988984</v>
      </c>
      <c r="E23" s="58">
        <v>2.7719999999999998</v>
      </c>
      <c r="F23" s="64">
        <f t="shared" si="1"/>
        <v>499.99999999972289</v>
      </c>
      <c r="G23" s="58">
        <v>2.7246000000000001</v>
      </c>
      <c r="H23" s="64">
        <f t="shared" si="2"/>
        <v>1200.000000000312</v>
      </c>
      <c r="I23" s="58">
        <v>1.3198000000000001</v>
      </c>
      <c r="J23" s="64">
        <f t="shared" si="3"/>
        <v>800.00000000013392</v>
      </c>
      <c r="K23" s="58">
        <v>2.0874000000000001</v>
      </c>
      <c r="L23" s="64">
        <f t="shared" si="4"/>
        <v>1400.0000000002899</v>
      </c>
      <c r="M23" s="58">
        <v>1.2494000000000001</v>
      </c>
      <c r="N23" s="64">
        <f t="shared" si="5"/>
        <v>399.99999999995595</v>
      </c>
      <c r="O23" s="58">
        <v>12653</v>
      </c>
      <c r="P23" s="67">
        <f t="shared" si="44"/>
        <v>1</v>
      </c>
      <c r="Q23" s="58">
        <v>5750</v>
      </c>
      <c r="R23" s="67">
        <f t="shared" si="6"/>
        <v>3</v>
      </c>
      <c r="S23" s="58">
        <v>855187.8</v>
      </c>
      <c r="T23" s="67">
        <f t="shared" si="7"/>
        <v>59.600000000093132</v>
      </c>
      <c r="U23" s="58">
        <v>348877.3</v>
      </c>
      <c r="V23" s="67">
        <f t="shared" si="8"/>
        <v>37</v>
      </c>
      <c r="W23" s="58">
        <v>341.52</v>
      </c>
      <c r="X23" s="65">
        <f t="shared" si="9"/>
        <v>79.999999999984084</v>
      </c>
      <c r="Y23" s="58">
        <v>2.4321000000000002</v>
      </c>
      <c r="Z23" s="65">
        <f t="shared" si="10"/>
        <v>399.99999999995595</v>
      </c>
      <c r="AA23" s="58">
        <v>333.51</v>
      </c>
      <c r="AB23" s="65">
        <f t="shared" si="11"/>
        <v>69.999999999993179</v>
      </c>
      <c r="AC23" s="58">
        <v>320.17</v>
      </c>
      <c r="AD23" s="65">
        <f t="shared" si="12"/>
        <v>120.00000000000455</v>
      </c>
      <c r="AE23" s="58">
        <v>500.75</v>
      </c>
      <c r="AF23" s="65">
        <f t="shared" si="13"/>
        <v>129.99999999999545</v>
      </c>
      <c r="AG23" s="58">
        <v>1374.5</v>
      </c>
      <c r="AH23" s="67">
        <f t="shared" si="14"/>
        <v>1.0999999999999091</v>
      </c>
      <c r="AI23" s="58">
        <v>472.5</v>
      </c>
      <c r="AJ23" s="65">
        <f t="shared" si="15"/>
        <v>230.00000000001819</v>
      </c>
      <c r="AK23" s="58">
        <v>161.93</v>
      </c>
      <c r="AL23" s="65">
        <f t="shared" si="15"/>
        <v>170.00000000001592</v>
      </c>
      <c r="AM23" s="58">
        <v>158.87</v>
      </c>
      <c r="AN23" s="65">
        <f t="shared" si="15"/>
        <v>129.99999999999545</v>
      </c>
      <c r="AO23" s="58">
        <v>154.25</v>
      </c>
      <c r="AP23" s="65">
        <f t="shared" si="15"/>
        <v>90.000000000003411</v>
      </c>
      <c r="AQ23" s="58">
        <v>221.24</v>
      </c>
      <c r="AR23" s="65">
        <f t="shared" si="16"/>
        <v>40.000000000020464</v>
      </c>
      <c r="AS23" s="58">
        <v>346.7</v>
      </c>
      <c r="AT23" s="65">
        <f t="shared" si="17"/>
        <v>29.999999999972715</v>
      </c>
      <c r="AU23" s="58">
        <v>267.49</v>
      </c>
      <c r="AV23" s="65">
        <f t="shared" si="18"/>
        <v>30.000000000029559</v>
      </c>
      <c r="AW23" s="58">
        <v>295.02</v>
      </c>
      <c r="AX23" s="65">
        <f t="shared" si="19"/>
        <v>9.9999999999909051</v>
      </c>
      <c r="AY23" s="58">
        <v>346.25</v>
      </c>
      <c r="AZ23" s="65">
        <f t="shared" si="20"/>
        <v>19.99999999998181</v>
      </c>
      <c r="BA23" s="58">
        <v>365.97</v>
      </c>
      <c r="BB23" s="65">
        <f t="shared" si="21"/>
        <v>10.000000000047748</v>
      </c>
      <c r="BC23" s="58">
        <v>232.63</v>
      </c>
      <c r="BD23" s="65">
        <f t="shared" si="22"/>
        <v>30.000000000001137</v>
      </c>
      <c r="BE23" s="59">
        <v>31351</v>
      </c>
      <c r="BF23" s="67">
        <f t="shared" si="39"/>
        <v>23</v>
      </c>
      <c r="BG23" s="60">
        <v>226.08</v>
      </c>
      <c r="BH23" s="65">
        <f t="shared" si="23"/>
        <v>10.000000000019327</v>
      </c>
      <c r="BI23" s="60">
        <v>284.07</v>
      </c>
      <c r="BJ23" s="65">
        <f t="shared" si="40"/>
        <v>9.9999999999909051</v>
      </c>
      <c r="BK23" s="60">
        <v>231.39</v>
      </c>
      <c r="BL23" s="65">
        <f t="shared" si="24"/>
        <v>9.9999999999909051</v>
      </c>
      <c r="BM23" s="60">
        <v>215.25</v>
      </c>
      <c r="BN23" s="65">
        <f t="shared" si="25"/>
        <v>20.000000000010232</v>
      </c>
      <c r="BO23" s="60">
        <v>280.39</v>
      </c>
      <c r="BP23" s="65">
        <f t="shared" si="26"/>
        <v>29.999999999972715</v>
      </c>
      <c r="BQ23" s="60">
        <v>39951</v>
      </c>
      <c r="BR23" s="65">
        <f t="shared" si="27"/>
        <v>7</v>
      </c>
      <c r="BS23" s="60">
        <v>194.18</v>
      </c>
      <c r="BT23" s="65">
        <f t="shared" si="42"/>
        <v>0</v>
      </c>
      <c r="BU23" s="60">
        <v>31661</v>
      </c>
      <c r="BV23" s="65">
        <f t="shared" si="29"/>
        <v>17</v>
      </c>
      <c r="BW23" s="60">
        <v>225.41</v>
      </c>
      <c r="BX23" s="65">
        <f t="shared" si="30"/>
        <v>30.000000000001137</v>
      </c>
      <c r="BY23" s="60">
        <v>50275</v>
      </c>
      <c r="BZ23" s="67">
        <f t="shared" si="31"/>
        <v>28</v>
      </c>
      <c r="CA23" s="60">
        <v>27512.1</v>
      </c>
      <c r="CB23" s="67">
        <f t="shared" si="32"/>
        <v>0</v>
      </c>
      <c r="CC23" s="60">
        <v>11253.1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50118.1</v>
      </c>
      <c r="CH23" s="67">
        <f t="shared" si="35"/>
        <v>10.799999999995634</v>
      </c>
      <c r="CI23" s="60">
        <v>878042</v>
      </c>
      <c r="CJ23" s="67">
        <f t="shared" si="36"/>
        <v>177</v>
      </c>
      <c r="CK23" s="60">
        <v>609.01</v>
      </c>
      <c r="CL23" s="64">
        <f t="shared" si="37"/>
        <v>279.99999999997272</v>
      </c>
      <c r="CM23" s="65">
        <f t="shared" si="41"/>
        <v>14.800000000000068</v>
      </c>
      <c r="CN23" s="62">
        <v>0</v>
      </c>
      <c r="CO23" s="62">
        <v>0</v>
      </c>
      <c r="CP23" s="68">
        <v>999.2</v>
      </c>
      <c r="CQ23" s="67">
        <f t="shared" si="38"/>
        <v>4.8000000000000682</v>
      </c>
      <c r="CR23" s="68">
        <v>10487</v>
      </c>
      <c r="CS23" s="67">
        <f t="shared" si="38"/>
        <v>10</v>
      </c>
      <c r="CT23" s="75">
        <v>3018</v>
      </c>
      <c r="CU23" s="67">
        <f t="shared" si="38"/>
        <v>12</v>
      </c>
      <c r="CV23" s="68">
        <v>9139</v>
      </c>
      <c r="CW23" s="67">
        <f t="shared" si="38"/>
        <v>27</v>
      </c>
    </row>
    <row r="24" spans="1:101" ht="25.5" customHeight="1" thickBot="1" x14ac:dyDescent="0.45">
      <c r="A24" s="63">
        <v>44095</v>
      </c>
      <c r="B24" s="44"/>
      <c r="C24" s="58">
        <v>1.8338000000000001</v>
      </c>
      <c r="D24" s="64">
        <f t="shared" si="0"/>
        <v>1000.0000000001119</v>
      </c>
      <c r="E24" s="58">
        <v>2.7726999999999999</v>
      </c>
      <c r="F24" s="64">
        <f t="shared" si="1"/>
        <v>700.00000000014495</v>
      </c>
      <c r="G24" s="58">
        <v>2.7261000000000002</v>
      </c>
      <c r="H24" s="64">
        <f t="shared" si="2"/>
        <v>1500.0000000000568</v>
      </c>
      <c r="I24" s="58">
        <v>1.3207</v>
      </c>
      <c r="J24" s="64">
        <f t="shared" si="3"/>
        <v>899.99999999990087</v>
      </c>
      <c r="K24" s="58">
        <v>2.089</v>
      </c>
      <c r="L24" s="64">
        <f t="shared" si="4"/>
        <v>1599.9999999998238</v>
      </c>
      <c r="M24" s="58">
        <v>1.2499</v>
      </c>
      <c r="N24" s="64">
        <f t="shared" si="5"/>
        <v>499.99999999994492</v>
      </c>
      <c r="O24" s="58">
        <v>12653</v>
      </c>
      <c r="P24" s="67">
        <f t="shared" si="44"/>
        <v>0</v>
      </c>
      <c r="Q24" s="58">
        <v>5756</v>
      </c>
      <c r="R24" s="67">
        <f t="shared" si="6"/>
        <v>6</v>
      </c>
      <c r="S24" s="58">
        <v>855346.2</v>
      </c>
      <c r="T24" s="67">
        <f t="shared" si="7"/>
        <v>158.39999999990687</v>
      </c>
      <c r="U24" s="58">
        <v>348966.40000000002</v>
      </c>
      <c r="V24" s="67">
        <f t="shared" si="8"/>
        <v>89.100000000034925</v>
      </c>
      <c r="W24" s="58">
        <v>341.61</v>
      </c>
      <c r="X24" s="65">
        <f t="shared" si="9"/>
        <v>90.000000000031832</v>
      </c>
      <c r="Y24" s="58">
        <v>2.4325000000000001</v>
      </c>
      <c r="Z24" s="65">
        <f t="shared" si="10"/>
        <v>399.99999999995595</v>
      </c>
      <c r="AA24" s="58">
        <v>333.6</v>
      </c>
      <c r="AB24" s="65">
        <f t="shared" si="11"/>
        <v>90.000000000031832</v>
      </c>
      <c r="AC24" s="58">
        <v>320.27</v>
      </c>
      <c r="AD24" s="65">
        <f t="shared" si="12"/>
        <v>99.999999999965894</v>
      </c>
      <c r="AE24" s="58">
        <v>500.94</v>
      </c>
      <c r="AF24" s="65">
        <f t="shared" si="13"/>
        <v>189.99999999999773</v>
      </c>
      <c r="AG24" s="58">
        <v>1375.8</v>
      </c>
      <c r="AH24" s="67">
        <f t="shared" si="14"/>
        <v>1.2999999999999545</v>
      </c>
      <c r="AI24" s="58">
        <v>472.75</v>
      </c>
      <c r="AJ24" s="65">
        <f t="shared" si="15"/>
        <v>250</v>
      </c>
      <c r="AK24" s="58">
        <v>162.08000000000001</v>
      </c>
      <c r="AL24" s="65">
        <f t="shared" si="15"/>
        <v>150.00000000000568</v>
      </c>
      <c r="AM24" s="58">
        <v>159</v>
      </c>
      <c r="AN24" s="65">
        <f t="shared" si="15"/>
        <v>129.99999999999545</v>
      </c>
      <c r="AO24" s="58">
        <v>154.36000000000001</v>
      </c>
      <c r="AP24" s="65">
        <f t="shared" si="15"/>
        <v>110.00000000001364</v>
      </c>
      <c r="AQ24" s="58">
        <v>221.28</v>
      </c>
      <c r="AR24" s="65">
        <f t="shared" si="16"/>
        <v>39.999999999992042</v>
      </c>
      <c r="AS24" s="58">
        <v>346.73</v>
      </c>
      <c r="AT24" s="65">
        <f t="shared" si="17"/>
        <v>30.000000000029559</v>
      </c>
      <c r="AU24" s="58">
        <v>267.51</v>
      </c>
      <c r="AV24" s="65">
        <f t="shared" si="18"/>
        <v>19.99999999998181</v>
      </c>
      <c r="AW24" s="58">
        <v>295.04000000000002</v>
      </c>
      <c r="AX24" s="65">
        <f t="shared" si="19"/>
        <v>20.000000000038654</v>
      </c>
      <c r="AY24" s="58">
        <v>346.27</v>
      </c>
      <c r="AZ24" s="65">
        <f t="shared" si="20"/>
        <v>19.99999999998181</v>
      </c>
      <c r="BA24" s="58">
        <v>366</v>
      </c>
      <c r="BB24" s="65">
        <f t="shared" si="21"/>
        <v>29.999999999972715</v>
      </c>
      <c r="BC24" s="58">
        <v>232.66</v>
      </c>
      <c r="BD24" s="65">
        <f t="shared" si="22"/>
        <v>30.000000000001137</v>
      </c>
      <c r="BE24" s="59">
        <v>31372</v>
      </c>
      <c r="BF24" s="67">
        <f t="shared" si="39"/>
        <v>21</v>
      </c>
      <c r="BG24" s="60">
        <v>226.09</v>
      </c>
      <c r="BH24" s="65">
        <f t="shared" si="23"/>
        <v>9.9999999999909051</v>
      </c>
      <c r="BI24" s="60">
        <v>284.08</v>
      </c>
      <c r="BJ24" s="65">
        <f t="shared" si="40"/>
        <v>9.9999999999909051</v>
      </c>
      <c r="BK24" s="60">
        <v>231.4</v>
      </c>
      <c r="BL24" s="65">
        <f t="shared" si="24"/>
        <v>10.000000000019327</v>
      </c>
      <c r="BM24" s="60">
        <v>215.27</v>
      </c>
      <c r="BN24" s="65">
        <f t="shared" si="25"/>
        <v>20.000000000010232</v>
      </c>
      <c r="BO24" s="60">
        <v>280.41000000000003</v>
      </c>
      <c r="BP24" s="65">
        <f t="shared" si="26"/>
        <v>20.000000000038654</v>
      </c>
      <c r="BQ24" s="60">
        <v>39958</v>
      </c>
      <c r="BR24" s="65">
        <f t="shared" si="27"/>
        <v>7</v>
      </c>
      <c r="BS24" s="60">
        <v>194.19</v>
      </c>
      <c r="BT24" s="65">
        <f t="shared" si="42"/>
        <v>9.9999999999909051</v>
      </c>
      <c r="BU24" s="60">
        <v>31693</v>
      </c>
      <c r="BV24" s="65">
        <f t="shared" si="29"/>
        <v>32</v>
      </c>
      <c r="BW24" s="60">
        <v>225.44</v>
      </c>
      <c r="BX24" s="65">
        <f t="shared" si="30"/>
        <v>30.000000000001137</v>
      </c>
      <c r="BY24" s="60">
        <v>50305</v>
      </c>
      <c r="BZ24" s="67">
        <f t="shared" si="31"/>
        <v>30</v>
      </c>
      <c r="CA24" s="60">
        <v>27515.599999999999</v>
      </c>
      <c r="CB24" s="67">
        <f t="shared" si="32"/>
        <v>3.5</v>
      </c>
      <c r="CC24" s="60">
        <v>11255.6</v>
      </c>
      <c r="CD24" s="67">
        <f t="shared" si="33"/>
        <v>2.5</v>
      </c>
      <c r="CE24" s="60">
        <v>5489.7</v>
      </c>
      <c r="CF24" s="67">
        <f t="shared" si="34"/>
        <v>0</v>
      </c>
      <c r="CG24" s="60">
        <v>50139.5</v>
      </c>
      <c r="CH24" s="67">
        <f t="shared" si="35"/>
        <v>21.400000000001455</v>
      </c>
      <c r="CI24" s="60">
        <v>878239</v>
      </c>
      <c r="CJ24" s="67">
        <f t="shared" si="36"/>
        <v>197</v>
      </c>
      <c r="CK24" s="60">
        <v>609.36</v>
      </c>
      <c r="CL24" s="64">
        <f t="shared" si="37"/>
        <v>350.00000000002274</v>
      </c>
      <c r="CM24" s="65">
        <f t="shared" si="41"/>
        <v>16.299999999999955</v>
      </c>
      <c r="CN24" s="62">
        <v>0</v>
      </c>
      <c r="CO24" s="62">
        <v>0</v>
      </c>
      <c r="CP24" s="68">
        <v>1010.5</v>
      </c>
      <c r="CQ24" s="67">
        <f t="shared" si="38"/>
        <v>11.299999999999955</v>
      </c>
      <c r="CR24" s="68">
        <v>10492</v>
      </c>
      <c r="CS24" s="67">
        <f t="shared" si="38"/>
        <v>5</v>
      </c>
      <c r="CT24" s="75">
        <v>3030</v>
      </c>
      <c r="CU24" s="67">
        <f t="shared" si="38"/>
        <v>12</v>
      </c>
      <c r="CV24" s="68">
        <v>9153</v>
      </c>
      <c r="CW24" s="67">
        <f t="shared" si="38"/>
        <v>14</v>
      </c>
    </row>
    <row r="25" spans="1:101" ht="25.5" customHeight="1" thickBot="1" x14ac:dyDescent="0.45">
      <c r="A25" s="63">
        <v>44096</v>
      </c>
      <c r="B25" s="44"/>
      <c r="C25" s="58">
        <v>1.8348</v>
      </c>
      <c r="D25" s="64">
        <f t="shared" si="0"/>
        <v>999.99999999988984</v>
      </c>
      <c r="E25" s="58">
        <v>2.7732999999999999</v>
      </c>
      <c r="F25" s="64">
        <f t="shared" si="1"/>
        <v>599.99999999993395</v>
      </c>
      <c r="G25" s="58">
        <v>2.7275999999999998</v>
      </c>
      <c r="H25" s="64">
        <f t="shared" si="2"/>
        <v>1499.9999999996128</v>
      </c>
      <c r="I25" s="58">
        <v>1.3214999999999999</v>
      </c>
      <c r="J25" s="64">
        <f t="shared" si="3"/>
        <v>799.99999999991189</v>
      </c>
      <c r="K25" s="58">
        <v>2.0905999999999998</v>
      </c>
      <c r="L25" s="64">
        <f t="shared" si="4"/>
        <v>1599.9999999998238</v>
      </c>
      <c r="M25" s="58">
        <v>1.2503</v>
      </c>
      <c r="N25" s="64">
        <f t="shared" si="5"/>
        <v>399.99999999995595</v>
      </c>
      <c r="O25" s="58">
        <v>12654</v>
      </c>
      <c r="P25" s="67">
        <f t="shared" si="44"/>
        <v>1</v>
      </c>
      <c r="Q25" s="58">
        <v>5761</v>
      </c>
      <c r="R25" s="67">
        <f t="shared" si="6"/>
        <v>5</v>
      </c>
      <c r="S25" s="58">
        <v>855524.2</v>
      </c>
      <c r="T25" s="67">
        <f t="shared" si="7"/>
        <v>178</v>
      </c>
      <c r="U25" s="58">
        <v>349068.2</v>
      </c>
      <c r="V25" s="67">
        <f t="shared" si="8"/>
        <v>101.79999999998836</v>
      </c>
      <c r="W25" s="58">
        <v>341.69</v>
      </c>
      <c r="X25" s="65">
        <f t="shared" si="9"/>
        <v>79.999999999984084</v>
      </c>
      <c r="Y25" s="58">
        <v>2.4329999999999998</v>
      </c>
      <c r="Z25" s="65">
        <f t="shared" si="10"/>
        <v>499.99999999972289</v>
      </c>
      <c r="AA25" s="58">
        <v>333.68</v>
      </c>
      <c r="AB25" s="65">
        <f t="shared" si="11"/>
        <v>79.999999999984084</v>
      </c>
      <c r="AC25" s="58">
        <v>320.38</v>
      </c>
      <c r="AD25" s="65">
        <f t="shared" si="12"/>
        <v>110.00000000001364</v>
      </c>
      <c r="AE25" s="58">
        <v>501.1</v>
      </c>
      <c r="AF25" s="65">
        <f t="shared" si="13"/>
        <v>160.00000000002501</v>
      </c>
      <c r="AG25" s="58">
        <v>1377.1</v>
      </c>
      <c r="AH25" s="67">
        <f t="shared" si="14"/>
        <v>1.2999999999999545</v>
      </c>
      <c r="AI25" s="58">
        <v>472.97</v>
      </c>
      <c r="AJ25" s="65">
        <f t="shared" si="15"/>
        <v>220.00000000002728</v>
      </c>
      <c r="AK25" s="58">
        <v>162.22</v>
      </c>
      <c r="AL25" s="65">
        <f t="shared" si="15"/>
        <v>139.99999999998636</v>
      </c>
      <c r="AM25" s="58">
        <v>159.13</v>
      </c>
      <c r="AN25" s="65">
        <f t="shared" si="15"/>
        <v>129.99999999999545</v>
      </c>
      <c r="AO25" s="58">
        <v>154.47</v>
      </c>
      <c r="AP25" s="65">
        <f t="shared" si="15"/>
        <v>109.99999999998522</v>
      </c>
      <c r="AQ25" s="58">
        <v>221.32</v>
      </c>
      <c r="AR25" s="65">
        <f t="shared" si="16"/>
        <v>39.999999999992042</v>
      </c>
      <c r="AS25" s="58">
        <v>346.76</v>
      </c>
      <c r="AT25" s="65">
        <f t="shared" si="17"/>
        <v>29.999999999972715</v>
      </c>
      <c r="AU25" s="58">
        <v>267.52999999999997</v>
      </c>
      <c r="AV25" s="65">
        <f t="shared" si="18"/>
        <v>19.99999999998181</v>
      </c>
      <c r="AW25" s="58">
        <v>295.06</v>
      </c>
      <c r="AX25" s="65">
        <f t="shared" si="19"/>
        <v>19.99999999998181</v>
      </c>
      <c r="AY25" s="58">
        <v>346.29</v>
      </c>
      <c r="AZ25" s="65">
        <f t="shared" si="20"/>
        <v>20.000000000038654</v>
      </c>
      <c r="BA25" s="58">
        <v>366.02</v>
      </c>
      <c r="BB25" s="65">
        <f t="shared" si="21"/>
        <v>19.99999999998181</v>
      </c>
      <c r="BC25" s="58">
        <v>232.67</v>
      </c>
      <c r="BD25" s="65">
        <f t="shared" si="22"/>
        <v>9.9999999999909051</v>
      </c>
      <c r="BE25" s="59">
        <v>31413</v>
      </c>
      <c r="BF25" s="67">
        <f t="shared" si="39"/>
        <v>41</v>
      </c>
      <c r="BG25" s="60">
        <v>226.09</v>
      </c>
      <c r="BH25" s="65">
        <f t="shared" si="23"/>
        <v>0</v>
      </c>
      <c r="BI25" s="60">
        <v>284.08999999999997</v>
      </c>
      <c r="BJ25" s="65">
        <f t="shared" si="40"/>
        <v>9.9999999999909051</v>
      </c>
      <c r="BK25" s="60">
        <v>231.41</v>
      </c>
      <c r="BL25" s="65">
        <f t="shared" si="24"/>
        <v>9.9999999999909051</v>
      </c>
      <c r="BM25" s="60">
        <v>215.29</v>
      </c>
      <c r="BN25" s="65">
        <f t="shared" si="25"/>
        <v>19.99999999998181</v>
      </c>
      <c r="BO25" s="60">
        <v>280.43</v>
      </c>
      <c r="BP25" s="65">
        <f t="shared" si="26"/>
        <v>19.99999999998181</v>
      </c>
      <c r="BQ25" s="60">
        <v>39965</v>
      </c>
      <c r="BR25" s="65">
        <f t="shared" si="27"/>
        <v>7</v>
      </c>
      <c r="BS25" s="60">
        <v>194.2</v>
      </c>
      <c r="BT25" s="65">
        <f t="shared" si="42"/>
        <v>9.9999999999909051</v>
      </c>
      <c r="BU25" s="60">
        <v>31722</v>
      </c>
      <c r="BV25" s="65">
        <f t="shared" si="29"/>
        <v>29</v>
      </c>
      <c r="BW25" s="60">
        <v>225.47</v>
      </c>
      <c r="BX25" s="65">
        <f t="shared" si="30"/>
        <v>30.000000000001137</v>
      </c>
      <c r="BY25" s="60">
        <v>50332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50184.4</v>
      </c>
      <c r="CH25" s="67">
        <f t="shared" si="35"/>
        <v>44.900000000001455</v>
      </c>
      <c r="CI25" s="60">
        <v>878432</v>
      </c>
      <c r="CJ25" s="67">
        <f t="shared" si="36"/>
        <v>193</v>
      </c>
      <c r="CK25" s="60">
        <v>609.74</v>
      </c>
      <c r="CL25" s="64">
        <f t="shared" si="37"/>
        <v>379.99999999999545</v>
      </c>
      <c r="CM25" s="65">
        <f t="shared" si="41"/>
        <v>13.5</v>
      </c>
      <c r="CN25" s="62">
        <v>0</v>
      </c>
      <c r="CO25" s="62">
        <v>0</v>
      </c>
      <c r="CP25" s="68">
        <v>1020</v>
      </c>
      <c r="CQ25" s="67">
        <f t="shared" si="38"/>
        <v>9.5</v>
      </c>
      <c r="CR25" s="68">
        <v>10496</v>
      </c>
      <c r="CS25" s="67">
        <f t="shared" si="38"/>
        <v>4</v>
      </c>
      <c r="CT25" s="75">
        <v>3041</v>
      </c>
      <c r="CU25" s="67">
        <f t="shared" si="38"/>
        <v>11</v>
      </c>
      <c r="CV25" s="68">
        <v>9168</v>
      </c>
      <c r="CW25" s="67">
        <f t="shared" si="38"/>
        <v>15</v>
      </c>
    </row>
    <row r="26" spans="1:101" ht="25.5" customHeight="1" thickBot="1" x14ac:dyDescent="0.45">
      <c r="A26" s="63">
        <v>44097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"/>
        <v>0</v>
      </c>
      <c r="M26" s="58"/>
      <c r="N26" s="64" t="str">
        <f t="shared" si="5"/>
        <v/>
      </c>
      <c r="O26" s="58"/>
      <c r="P26" s="67" t="str">
        <f t="shared" si="44"/>
        <v/>
      </c>
      <c r="Q26" s="58"/>
      <c r="R26" s="67" t="str">
        <f t="shared" si="6"/>
        <v/>
      </c>
      <c r="S26" s="58"/>
      <c r="T26" s="67" t="str">
        <f t="shared" si="7"/>
        <v/>
      </c>
      <c r="U26" s="58"/>
      <c r="V26" s="67" t="str">
        <f t="shared" si="8"/>
        <v/>
      </c>
      <c r="W26" s="58"/>
      <c r="X26" s="65" t="str">
        <f t="shared" si="9"/>
        <v/>
      </c>
      <c r="Y26" s="58"/>
      <c r="Z26" s="65" t="str">
        <f t="shared" si="10"/>
        <v/>
      </c>
      <c r="AA26" s="58"/>
      <c r="AB26" s="65" t="str">
        <f t="shared" si="11"/>
        <v/>
      </c>
      <c r="AC26" s="58"/>
      <c r="AD26" s="65" t="str">
        <f t="shared" si="12"/>
        <v/>
      </c>
      <c r="AE26" s="58"/>
      <c r="AF26" s="65" t="str">
        <f t="shared" si="13"/>
        <v/>
      </c>
      <c r="AG26" s="58"/>
      <c r="AH26" s="67" t="str">
        <f t="shared" si="14"/>
        <v/>
      </c>
      <c r="AI26" s="58"/>
      <c r="AJ26" s="65" t="str">
        <f t="shared" si="15"/>
        <v/>
      </c>
      <c r="AK26" s="58"/>
      <c r="AL26" s="65" t="str">
        <f t="shared" si="15"/>
        <v/>
      </c>
      <c r="AM26" s="58"/>
      <c r="AN26" s="65" t="str">
        <f t="shared" si="15"/>
        <v/>
      </c>
      <c r="AO26" s="58"/>
      <c r="AP26" s="65" t="str">
        <f t="shared" si="15"/>
        <v/>
      </c>
      <c r="AQ26" s="58"/>
      <c r="AR26" s="65" t="str">
        <f t="shared" si="16"/>
        <v/>
      </c>
      <c r="AS26" s="58"/>
      <c r="AT26" s="65" t="str">
        <f t="shared" si="17"/>
        <v/>
      </c>
      <c r="AU26" s="58"/>
      <c r="AV26" s="65" t="str">
        <f t="shared" si="18"/>
        <v/>
      </c>
      <c r="AW26" s="58"/>
      <c r="AX26" s="65" t="str">
        <f t="shared" si="19"/>
        <v/>
      </c>
      <c r="AY26" s="58"/>
      <c r="AZ26" s="65" t="str">
        <f t="shared" si="20"/>
        <v/>
      </c>
      <c r="BA26" s="58"/>
      <c r="BB26" s="65" t="str">
        <f t="shared" si="21"/>
        <v/>
      </c>
      <c r="BC26" s="58"/>
      <c r="BD26" s="65" t="str">
        <f t="shared" si="22"/>
        <v/>
      </c>
      <c r="BE26" s="59"/>
      <c r="BF26" s="67" t="str">
        <f t="shared" si="39"/>
        <v/>
      </c>
      <c r="BG26" s="60"/>
      <c r="BH26" s="65" t="str">
        <f t="shared" si="23"/>
        <v/>
      </c>
      <c r="BI26" s="60"/>
      <c r="BJ26" s="65" t="str">
        <f t="shared" si="40"/>
        <v/>
      </c>
      <c r="BK26" s="60"/>
      <c r="BL26" s="65" t="str">
        <f t="shared" si="24"/>
        <v/>
      </c>
      <c r="BM26" s="60"/>
      <c r="BN26" s="65" t="str">
        <f t="shared" si="25"/>
        <v/>
      </c>
      <c r="BO26" s="60"/>
      <c r="BP26" s="65" t="str">
        <f t="shared" si="26"/>
        <v/>
      </c>
      <c r="BQ26" s="60"/>
      <c r="BR26" s="65" t="str">
        <f t="shared" si="27"/>
        <v/>
      </c>
      <c r="BS26" s="60"/>
      <c r="BT26" s="65" t="str">
        <f t="shared" si="42"/>
        <v/>
      </c>
      <c r="BU26" s="60"/>
      <c r="BV26" s="65" t="str">
        <f t="shared" si="29"/>
        <v/>
      </c>
      <c r="BW26" s="60"/>
      <c r="BX26" s="65" t="str">
        <f t="shared" si="30"/>
        <v/>
      </c>
      <c r="BY26" s="60"/>
      <c r="BZ26" s="67" t="str">
        <f t="shared" si="31"/>
        <v/>
      </c>
      <c r="CA26" s="60"/>
      <c r="CB26" s="67" t="str">
        <f t="shared" si="32"/>
        <v/>
      </c>
      <c r="CC26" s="60"/>
      <c r="CD26" s="67" t="str">
        <f t="shared" si="33"/>
        <v/>
      </c>
      <c r="CE26" s="60"/>
      <c r="CF26" s="67" t="str">
        <f t="shared" si="34"/>
        <v/>
      </c>
      <c r="CG26" s="60"/>
      <c r="CH26" s="67" t="str">
        <f t="shared" si="35"/>
        <v/>
      </c>
      <c r="CI26" s="60"/>
      <c r="CJ26" s="67" t="str">
        <f t="shared" si="36"/>
        <v/>
      </c>
      <c r="CK26" s="60"/>
      <c r="CL26" s="64" t="str">
        <f t="shared" si="37"/>
        <v/>
      </c>
      <c r="CM26" s="65" t="e">
        <f t="shared" si="41"/>
        <v>#VALUE!</v>
      </c>
      <c r="CN26" s="62">
        <v>0</v>
      </c>
      <c r="CO26" s="62">
        <v>0</v>
      </c>
      <c r="CP26" s="68"/>
      <c r="CQ26" s="67" t="str">
        <f t="shared" si="38"/>
        <v/>
      </c>
      <c r="CR26" s="68"/>
      <c r="CS26" s="67" t="str">
        <f t="shared" si="38"/>
        <v/>
      </c>
      <c r="CT26" s="75"/>
      <c r="CU26" s="67" t="str">
        <f t="shared" si="38"/>
        <v/>
      </c>
      <c r="CV26" s="68"/>
      <c r="CW26" s="67" t="str">
        <f t="shared" si="38"/>
        <v/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S31" sqref="S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2</v>
      </c>
      <c r="P27" s="39">
        <v>1</v>
      </c>
      <c r="Q27" s="39">
        <v>2842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83</v>
      </c>
      <c r="O28" s="39">
        <v>1</v>
      </c>
      <c r="P28" s="39">
        <v>1</v>
      </c>
      <c r="Q28" s="39">
        <v>2844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81</v>
      </c>
      <c r="O29" s="39">
        <v>1</v>
      </c>
      <c r="P29" s="39">
        <v>1</v>
      </c>
      <c r="Q29" s="39">
        <v>2846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77</v>
      </c>
      <c r="O30" s="39">
        <v>1</v>
      </c>
      <c r="P30" s="39">
        <v>1</v>
      </c>
      <c r="Q30" s="39">
        <v>2849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-196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2020-09-23T12:28:18Z</dcterms:modified>
</cp:coreProperties>
</file>