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O29" i="7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N28" i="9"/>
  <c r="T20" i="7"/>
  <c r="T21" i="7"/>
  <c r="AI21" i="7" s="1"/>
  <c r="F22" i="9"/>
  <c r="I27" i="9"/>
  <c r="Q30" i="9"/>
  <c r="AJ35" i="7"/>
  <c r="AO31" i="7"/>
  <c r="AO11" i="7"/>
  <c r="M23" i="9"/>
  <c r="K26" i="9"/>
  <c r="K7" i="9"/>
  <c r="R29" i="9"/>
  <c r="G29" i="5" s="1"/>
  <c r="L29" i="9"/>
  <c r="AL19" i="7"/>
  <c r="AM22" i="7"/>
  <c r="F19" i="9"/>
  <c r="AN36" i="7"/>
  <c r="AN25" i="7"/>
  <c r="F31" i="9"/>
  <c r="I29" i="9"/>
  <c r="AR12" i="7"/>
  <c r="AN14" i="7"/>
  <c r="K12" i="9"/>
  <c r="P17" i="9"/>
  <c r="R10" i="9"/>
  <c r="G10" i="5" s="1"/>
  <c r="K20" i="9"/>
  <c r="AL16" i="7"/>
  <c r="AN11" i="7"/>
  <c r="AP35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AP28" i="7"/>
  <c r="N24" i="9"/>
  <c r="H25" i="9"/>
  <c r="J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J36" i="7"/>
  <c r="K25" i="9"/>
  <c r="AI35" i="7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P26" i="9" l="1"/>
  <c r="AR31" i="7"/>
  <c r="J25" i="9"/>
  <c r="AJ30" i="7"/>
  <c r="AI31" i="7"/>
  <c r="G26" i="9"/>
  <c r="P25" i="9"/>
  <c r="AM30" i="7"/>
  <c r="AH29" i="7"/>
  <c r="F25" i="9"/>
  <c r="P22" i="9"/>
  <c r="Q24" i="9"/>
  <c r="N23" i="9"/>
  <c r="H24" i="9"/>
  <c r="F24" i="9"/>
  <c r="AM28" i="7"/>
  <c r="R22" i="9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2" i="7" l="1"/>
  <c r="E24" i="5"/>
  <c r="AS26" i="7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<sst xmlns="http://schemas.openxmlformats.org/spreadsheetml/2006/main" count="127" uniqueCount="49">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</sst>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68260</v>
      </c>
      <c r="F22" s="11">
        <v>5.0000000000000001E-3</v>
      </c>
      <c r="G22" s="12">
        <f>Submetering!R22</f>
        <v>506.10931699999992</v>
      </c>
      <c r="H22" s="11">
        <v>0.52800000000000002</v>
      </c>
      <c r="I22" s="12">
        <f>Hotel!B27</f>
        <v>165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64800</v>
      </c>
      <c r="F23" s="11">
        <v>5.0000000000000001E-3</v>
      </c>
      <c r="G23" s="12">
        <f>Submetering!R23</f>
        <v>680.99525900000003</v>
      </c>
      <c r="H23" s="11">
        <v>0.52800000000000002</v>
      </c>
      <c r="I23" s="12">
        <f>Hotel!B28</f>
        <v>122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66090</v>
      </c>
      <c r="F24" s="11">
        <v>5.0000000000000001E-3</v>
      </c>
      <c r="G24" s="12">
        <f>Submetering!R24</f>
        <v>553.0484009999999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65280</v>
      </c>
      <c r="F25" s="11">
        <v>5.0000000000000001E-3</v>
      </c>
      <c r="G25" s="12">
        <f>Submetering!R25</f>
        <v>685.916292</v>
      </c>
      <c r="H25" s="11">
        <v>0.52800000000000002</v>
      </c>
      <c r="I25" s="12">
        <f>Hotel!B30</f>
        <v>206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66000</v>
      </c>
      <c r="F26" s="11">
        <v>5.0000000000000001E-3</v>
      </c>
      <c r="G26" s="12">
        <f>Submetering!R26</f>
        <v>670.39611100000002</v>
      </c>
      <c r="H26" s="11">
        <v>0.52800000000000002</v>
      </c>
      <c r="I26" s="12">
        <f>Hotel!B31</f>
        <v>122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>
        <f>Hotel!AB27</f>
        <v>8110</v>
      </c>
      <c r="Q22" s="4">
        <f>Hotel!AC27</f>
        <v>15060</v>
      </c>
      <c r="R22" s="4">
        <f>Hotel!AV27*0.00378541*100</f>
        <v>506.10931699999992</v>
      </c>
      <c r="S22" s="4">
        <f>Hotel!B27</f>
        <v>165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500</v>
      </c>
      <c r="F23" s="4">
        <f>Hotel!R28</f>
        <v>10570</v>
      </c>
      <c r="G23" s="4">
        <f>Hotel!S28</f>
        <v>0</v>
      </c>
      <c r="H23" s="4">
        <f>Hotel!T28</f>
        <v>1470</v>
      </c>
      <c r="I23" s="4">
        <f>Hotel!U28</f>
        <v>6510</v>
      </c>
      <c r="J23" s="4">
        <f>Hotel!V28</f>
        <v>4600</v>
      </c>
      <c r="K23" s="4">
        <f>Hotel!W28</f>
        <v>2850</v>
      </c>
      <c r="L23" s="4">
        <f>Hotel!X28</f>
        <v>4340</v>
      </c>
      <c r="M23" s="4">
        <f>Hotel!Y28</f>
        <v>4760</v>
      </c>
      <c r="N23" s="4">
        <f>Hotel!Z28</f>
        <v>2820</v>
      </c>
      <c r="O23" s="4">
        <f>Hotel!AA28</f>
        <v>3760</v>
      </c>
      <c r="P23" s="4">
        <f>Hotel!AB28</f>
        <v>7810</v>
      </c>
      <c r="Q23" s="4">
        <f>Hotel!AC28</f>
        <v>14810</v>
      </c>
      <c r="R23" s="4">
        <f>Hotel!AV28*0.00378541*100</f>
        <v>680.99525900000003</v>
      </c>
      <c r="S23" s="4">
        <f>Hotel!B28</f>
        <v>122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540</v>
      </c>
      <c r="F24" s="4">
        <f>Hotel!R29</f>
        <v>10670</v>
      </c>
      <c r="G24" s="4">
        <f>Hotel!S29</f>
        <v>0</v>
      </c>
      <c r="H24" s="4">
        <f>Hotel!T29</f>
        <v>1480</v>
      </c>
      <c r="I24" s="4">
        <f>Hotel!U29</f>
        <v>6850</v>
      </c>
      <c r="J24" s="4">
        <f>Hotel!V29</f>
        <v>4650</v>
      </c>
      <c r="K24" s="4">
        <f>Hotel!W29</f>
        <v>3200</v>
      </c>
      <c r="L24" s="4">
        <f>Hotel!X29</f>
        <v>4980</v>
      </c>
      <c r="M24" s="4">
        <f>Hotel!Y29</f>
        <v>4800</v>
      </c>
      <c r="N24" s="4">
        <f>Hotel!Z29</f>
        <v>2740</v>
      </c>
      <c r="O24" s="4">
        <f>Hotel!AA29</f>
        <v>3740</v>
      </c>
      <c r="P24" s="4">
        <f>Hotel!AB29</f>
        <v>7720</v>
      </c>
      <c r="Q24" s="4">
        <f>Hotel!AC29</f>
        <v>14720</v>
      </c>
      <c r="R24" s="4">
        <f>Hotel!AV29*0.00378541*100</f>
        <v>553.0484009999999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520</v>
      </c>
      <c r="F25" s="4">
        <f>Hotel!R30</f>
        <v>10490</v>
      </c>
      <c r="G25" s="4">
        <f>Hotel!S30</f>
        <v>0</v>
      </c>
      <c r="H25" s="4">
        <f>Hotel!T30</f>
        <v>1470</v>
      </c>
      <c r="I25" s="4">
        <f>Hotel!U30</f>
        <v>7040</v>
      </c>
      <c r="J25" s="4">
        <f>Hotel!V30</f>
        <v>4750</v>
      </c>
      <c r="K25" s="4">
        <f>Hotel!W30</f>
        <v>3690</v>
      </c>
      <c r="L25" s="4">
        <f>Hotel!X30</f>
        <v>4390</v>
      </c>
      <c r="M25" s="4">
        <f>Hotel!Y30</f>
        <v>4610</v>
      </c>
      <c r="N25" s="4">
        <f>Hotel!Z30</f>
        <v>2770</v>
      </c>
      <c r="O25" s="4">
        <f>Hotel!AA30</f>
        <v>3660</v>
      </c>
      <c r="P25" s="4">
        <f>Hotel!AB30</f>
        <v>7840</v>
      </c>
      <c r="Q25" s="4">
        <f>Hotel!AC30</f>
        <v>14050</v>
      </c>
      <c r="R25" s="4">
        <f>Hotel!AV30*0.00378541*100</f>
        <v>685.916292</v>
      </c>
      <c r="S25" s="4">
        <f>Hotel!B30</f>
        <v>206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520</v>
      </c>
      <c r="F26" s="4">
        <f>Hotel!R31</f>
        <v>10480</v>
      </c>
      <c r="G26" s="4">
        <f>Hotel!S31</f>
        <v>0</v>
      </c>
      <c r="H26" s="4">
        <f>Hotel!T31</f>
        <v>1490</v>
      </c>
      <c r="I26" s="4">
        <f>Hotel!U31</f>
        <v>7060</v>
      </c>
      <c r="J26" s="4">
        <f>Hotel!V31</f>
        <v>4840</v>
      </c>
      <c r="K26" s="4">
        <f>Hotel!W31</f>
        <v>3720</v>
      </c>
      <c r="L26" s="4">
        <f>Hotel!X31</f>
        <v>4590</v>
      </c>
      <c r="M26" s="4">
        <f>Hotel!Y31</f>
        <v>5170</v>
      </c>
      <c r="N26" s="4">
        <f>Hotel!Z31</f>
        <v>2910</v>
      </c>
      <c r="O26" s="4">
        <f>Hotel!AA31</f>
        <v>3720</v>
      </c>
      <c r="P26" s="4">
        <f>Hotel!AB31</f>
        <v>7760</v>
      </c>
      <c r="Q26" s="4">
        <f>Hotel!AC31</f>
        <v>13740</v>
      </c>
      <c r="R26" s="4">
        <f>Hotel!AV31*0.00378541*100</f>
        <v>670.39611100000002</v>
      </c>
      <c r="S26" s="4">
        <f>Hotel!B31</f>
        <v>122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U31" sqref="AU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8776730</v>
      </c>
      <c r="O27" s="24">
        <v>11546360</v>
      </c>
      <c r="Q27" s="37">
        <f t="shared" si="32"/>
        <v>520</v>
      </c>
      <c r="R27" s="37">
        <f t="shared" si="32"/>
        <v>11220</v>
      </c>
      <c r="S27" s="37">
        <f t="shared" si="32"/>
        <v>0</v>
      </c>
      <c r="T27" s="37">
        <f t="shared" si="32"/>
        <v>1500</v>
      </c>
      <c r="U27" s="37">
        <f t="shared" si="32"/>
        <v>7090</v>
      </c>
      <c r="V27" s="37">
        <f t="shared" si="32"/>
        <v>4790</v>
      </c>
      <c r="W27" s="37">
        <f t="shared" si="32"/>
        <v>3450</v>
      </c>
      <c r="X27" s="37">
        <f t="shared" si="32"/>
        <v>4640</v>
      </c>
      <c r="Y27" s="37">
        <f t="shared" si="32"/>
        <v>5040</v>
      </c>
      <c r="Z27" s="37">
        <f t="shared" si="32"/>
        <v>2960</v>
      </c>
      <c r="AA27" s="37">
        <f t="shared" si="32"/>
        <v>3880</v>
      </c>
      <c r="AB27" s="37">
        <f t="shared" si="32"/>
        <v>8110</v>
      </c>
      <c r="AC27" s="37">
        <f t="shared" si="32"/>
        <v>15060</v>
      </c>
      <c r="AD27" s="35">
        <f t="shared" si="28"/>
        <v>68260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40.550000000000004</v>
      </c>
      <c r="AR27" s="20">
        <f t="shared" si="13"/>
        <v>75.3</v>
      </c>
      <c r="AS27" s="35">
        <f t="shared" si="29"/>
        <v>341.3</v>
      </c>
      <c r="AU27" s="47">
        <v>700111</v>
      </c>
      <c r="AV27" s="37">
        <f>IF((AU27-AU26&lt;0),"0",AU27-AU26)</f>
        <v>1337</v>
      </c>
      <c r="AW27" s="35">
        <f t="shared" si="30"/>
        <v>2.6739999999999999</v>
      </c>
    </row>
    <row r="28" spans="1:49" x14ac:dyDescent="0.25">
      <c r="A28" s="23">
        <v>43821</v>
      </c>
      <c r="B28" s="40">
        <v>122</v>
      </c>
      <c r="C28" s="24">
        <v>5917960</v>
      </c>
      <c r="D28" s="24">
        <v>12300580</v>
      </c>
      <c r="E28" s="24">
        <v>1470300</v>
      </c>
      <c r="F28" s="24">
        <v>2631820</v>
      </c>
      <c r="G28" s="24">
        <v>8031190</v>
      </c>
      <c r="H28" s="24">
        <v>3840530</v>
      </c>
      <c r="I28" s="24">
        <v>3804980</v>
      </c>
      <c r="J28" s="24">
        <v>4318330</v>
      </c>
      <c r="K28" s="24">
        <v>6944510</v>
      </c>
      <c r="L28" s="24">
        <v>2491560</v>
      </c>
      <c r="M28" s="24">
        <v>6389860</v>
      </c>
      <c r="N28" s="24">
        <v>8784540</v>
      </c>
      <c r="O28" s="24">
        <v>11561170</v>
      </c>
      <c r="Q28" s="37">
        <f t="shared" si="16"/>
        <v>500</v>
      </c>
      <c r="R28" s="37">
        <f t="shared" si="17"/>
        <v>10570</v>
      </c>
      <c r="S28" s="37">
        <f t="shared" si="15"/>
        <v>0</v>
      </c>
      <c r="T28" s="37">
        <f t="shared" si="18"/>
        <v>1470</v>
      </c>
      <c r="U28" s="37">
        <f t="shared" si="19"/>
        <v>6510</v>
      </c>
      <c r="V28" s="37">
        <f t="shared" si="20"/>
        <v>4600</v>
      </c>
      <c r="W28" s="37">
        <f t="shared" si="21"/>
        <v>2850</v>
      </c>
      <c r="X28" s="37">
        <f t="shared" si="22"/>
        <v>4340</v>
      </c>
      <c r="Y28" s="37">
        <f t="shared" si="23"/>
        <v>4760</v>
      </c>
      <c r="Z28" s="37">
        <f t="shared" si="24"/>
        <v>2820</v>
      </c>
      <c r="AA28" s="37">
        <f t="shared" si="25"/>
        <v>3760</v>
      </c>
      <c r="AB28" s="37">
        <f t="shared" si="26"/>
        <v>7810</v>
      </c>
      <c r="AC28" s="37">
        <f t="shared" si="27"/>
        <v>14810</v>
      </c>
      <c r="AD28" s="35">
        <f t="shared" si="28"/>
        <v>64800</v>
      </c>
      <c r="AF28" s="20">
        <f t="shared" si="1"/>
        <v>2.5</v>
      </c>
      <c r="AG28" s="20">
        <f t="shared" si="2"/>
        <v>52.85</v>
      </c>
      <c r="AH28" s="20">
        <f t="shared" si="3"/>
        <v>0</v>
      </c>
      <c r="AI28" s="20">
        <f t="shared" si="4"/>
        <v>7.3500000000000005</v>
      </c>
      <c r="AJ28" s="20">
        <f t="shared" si="5"/>
        <v>32.549999999999997</v>
      </c>
      <c r="AK28" s="20">
        <f t="shared" si="6"/>
        <v>23</v>
      </c>
      <c r="AL28" s="20">
        <f t="shared" si="7"/>
        <v>14.25</v>
      </c>
      <c r="AM28" s="20">
        <f t="shared" si="8"/>
        <v>21.7</v>
      </c>
      <c r="AN28" s="20">
        <f t="shared" si="9"/>
        <v>23.8</v>
      </c>
      <c r="AO28" s="20">
        <f t="shared" si="10"/>
        <v>14.1</v>
      </c>
      <c r="AP28" s="20">
        <f t="shared" si="11"/>
        <v>18.8</v>
      </c>
      <c r="AQ28" s="20">
        <f t="shared" si="12"/>
        <v>39.050000000000004</v>
      </c>
      <c r="AR28" s="20">
        <f t="shared" si="13"/>
        <v>74.05</v>
      </c>
      <c r="AS28" s="35">
        <f t="shared" si="29"/>
        <v>324</v>
      </c>
      <c r="AU28" s="47">
        <v>701910</v>
      </c>
      <c r="AV28" s="37">
        <f>IF((AU28-AU27&lt;0),"0",AU28-AU27)</f>
        <v>1799</v>
      </c>
      <c r="AW28" s="35">
        <f t="shared" si="30"/>
        <v>3.5979999999999999</v>
      </c>
    </row>
    <row r="29" spans="1:49" x14ac:dyDescent="0.25">
      <c r="A29" s="23">
        <v>43822</v>
      </c>
      <c r="B29" s="40">
        <v>122</v>
      </c>
      <c r="C29" s="24">
        <v>5918500</v>
      </c>
      <c r="D29" s="24">
        <v>12311250</v>
      </c>
      <c r="E29" s="24">
        <v>1470300</v>
      </c>
      <c r="F29" s="24">
        <v>2633300</v>
      </c>
      <c r="G29" s="24">
        <v>8038040</v>
      </c>
      <c r="H29" s="24">
        <v>3845180</v>
      </c>
      <c r="I29" s="24">
        <v>3808180</v>
      </c>
      <c r="J29" s="24">
        <v>4323310</v>
      </c>
      <c r="K29" s="24">
        <v>6949310</v>
      </c>
      <c r="L29" s="24">
        <v>2494300</v>
      </c>
      <c r="M29" s="24">
        <v>6393600</v>
      </c>
      <c r="N29" s="24">
        <v>8792260</v>
      </c>
      <c r="O29" s="24">
        <v>11575890</v>
      </c>
      <c r="Q29" s="37">
        <f t="shared" si="16"/>
        <v>540</v>
      </c>
      <c r="R29" s="37">
        <f t="shared" si="17"/>
        <v>10670</v>
      </c>
      <c r="S29" s="37">
        <f t="shared" si="15"/>
        <v>0</v>
      </c>
      <c r="T29" s="37">
        <f t="shared" si="18"/>
        <v>1480</v>
      </c>
      <c r="U29" s="37">
        <f t="shared" si="19"/>
        <v>6850</v>
      </c>
      <c r="V29" s="37">
        <f t="shared" si="20"/>
        <v>4650</v>
      </c>
      <c r="W29" s="37">
        <f t="shared" si="21"/>
        <v>3200</v>
      </c>
      <c r="X29" s="37">
        <f t="shared" si="22"/>
        <v>4980</v>
      </c>
      <c r="Y29" s="37">
        <f t="shared" si="23"/>
        <v>4800</v>
      </c>
      <c r="Z29" s="37">
        <f t="shared" si="24"/>
        <v>2740</v>
      </c>
      <c r="AA29" s="37">
        <f t="shared" si="25"/>
        <v>3740</v>
      </c>
      <c r="AB29" s="37">
        <f t="shared" si="26"/>
        <v>7720</v>
      </c>
      <c r="AC29" s="37">
        <f t="shared" si="27"/>
        <v>14720</v>
      </c>
      <c r="AD29" s="35">
        <f t="shared" si="28"/>
        <v>66090</v>
      </c>
      <c r="AF29" s="20">
        <f t="shared" si="1"/>
        <v>2.7</v>
      </c>
      <c r="AG29" s="20">
        <f t="shared" si="2"/>
        <v>53.35</v>
      </c>
      <c r="AH29" s="20">
        <f t="shared" si="3"/>
        <v>0</v>
      </c>
      <c r="AI29" s="20">
        <f t="shared" si="4"/>
        <v>7.4</v>
      </c>
      <c r="AJ29" s="20">
        <f t="shared" si="5"/>
        <v>34.25</v>
      </c>
      <c r="AK29" s="20">
        <f t="shared" si="6"/>
        <v>23.25</v>
      </c>
      <c r="AL29" s="20">
        <f t="shared" si="7"/>
        <v>16</v>
      </c>
      <c r="AM29" s="20">
        <f t="shared" si="8"/>
        <v>24.900000000000002</v>
      </c>
      <c r="AN29" s="20">
        <f t="shared" si="9"/>
        <v>24</v>
      </c>
      <c r="AO29" s="20">
        <f t="shared" si="10"/>
        <v>13.700000000000001</v>
      </c>
      <c r="AP29" s="20">
        <f t="shared" si="11"/>
        <v>18.7</v>
      </c>
      <c r="AQ29" s="20">
        <f t="shared" si="12"/>
        <v>38.6</v>
      </c>
      <c r="AR29" s="20">
        <f t="shared" si="13"/>
        <v>73.600000000000009</v>
      </c>
      <c r="AS29" s="35">
        <f t="shared" si="29"/>
        <v>330.45</v>
      </c>
      <c r="AU29" s="47">
        <v>703371</v>
      </c>
      <c r="AV29" s="37">
        <f t="shared" ref="AV29:AV36" si="33">IF((AU29-AU28&lt;0),"0",AU29-AU28)</f>
        <v>1461</v>
      </c>
      <c r="AW29" s="35">
        <f t="shared" si="30"/>
        <v>2.9220000000000002</v>
      </c>
    </row>
    <row r="30" spans="1:49" x14ac:dyDescent="0.25">
      <c r="A30" s="23">
        <v>43823</v>
      </c>
      <c r="B30" s="40">
        <v>206</v>
      </c>
      <c r="C30" s="24">
        <v>5919020</v>
      </c>
      <c r="D30" s="24">
        <v>12321740</v>
      </c>
      <c r="E30" s="24">
        <v>1470300</v>
      </c>
      <c r="F30" s="24">
        <v>2634770</v>
      </c>
      <c r="G30" s="24">
        <v>8045080</v>
      </c>
      <c r="H30" s="24">
        <v>3849930</v>
      </c>
      <c r="I30" s="24">
        <v>3811870</v>
      </c>
      <c r="J30" s="24">
        <v>4327700</v>
      </c>
      <c r="K30" s="24">
        <v>6953920</v>
      </c>
      <c r="L30" s="24">
        <v>2497070</v>
      </c>
      <c r="M30" s="24">
        <v>6397260</v>
      </c>
      <c r="N30" s="24">
        <v>8800100</v>
      </c>
      <c r="O30" s="24">
        <v>11589940</v>
      </c>
      <c r="Q30" s="37">
        <f t="shared" si="16"/>
        <v>520</v>
      </c>
      <c r="R30" s="37">
        <f t="shared" si="17"/>
        <v>10490</v>
      </c>
      <c r="S30" s="37">
        <f t="shared" si="15"/>
        <v>0</v>
      </c>
      <c r="T30" s="37">
        <f t="shared" si="18"/>
        <v>1470</v>
      </c>
      <c r="U30" s="37">
        <f t="shared" si="19"/>
        <v>7040</v>
      </c>
      <c r="V30" s="37">
        <f t="shared" si="20"/>
        <v>4750</v>
      </c>
      <c r="W30" s="37">
        <f t="shared" si="21"/>
        <v>3690</v>
      </c>
      <c r="X30" s="37">
        <f t="shared" si="22"/>
        <v>4390</v>
      </c>
      <c r="Y30" s="37">
        <f t="shared" si="23"/>
        <v>4610</v>
      </c>
      <c r="Z30" s="37">
        <f t="shared" si="24"/>
        <v>2770</v>
      </c>
      <c r="AA30" s="37">
        <f t="shared" si="25"/>
        <v>3660</v>
      </c>
      <c r="AB30" s="37">
        <f t="shared" si="26"/>
        <v>7840</v>
      </c>
      <c r="AC30" s="37">
        <f t="shared" si="27"/>
        <v>14050</v>
      </c>
      <c r="AD30" s="35">
        <f t="shared" si="28"/>
        <v>65280</v>
      </c>
      <c r="AF30" s="20">
        <f t="shared" si="1"/>
        <v>2.6</v>
      </c>
      <c r="AG30" s="20">
        <f t="shared" si="2"/>
        <v>52.45</v>
      </c>
      <c r="AH30" s="20">
        <f t="shared" si="3"/>
        <v>0</v>
      </c>
      <c r="AI30" s="20">
        <f t="shared" si="4"/>
        <v>7.3500000000000005</v>
      </c>
      <c r="AJ30" s="20">
        <f t="shared" si="5"/>
        <v>35.200000000000003</v>
      </c>
      <c r="AK30" s="20">
        <f t="shared" si="6"/>
        <v>23.75</v>
      </c>
      <c r="AL30" s="20">
        <f t="shared" si="7"/>
        <v>18.45</v>
      </c>
      <c r="AM30" s="20">
        <f t="shared" si="8"/>
        <v>21.95</v>
      </c>
      <c r="AN30" s="20">
        <f t="shared" si="9"/>
        <v>23.05</v>
      </c>
      <c r="AO30" s="20">
        <f t="shared" si="10"/>
        <v>13.85</v>
      </c>
      <c r="AP30" s="20">
        <f t="shared" si="11"/>
        <v>18.3</v>
      </c>
      <c r="AQ30" s="20">
        <f t="shared" si="12"/>
        <v>39.200000000000003</v>
      </c>
      <c r="AR30" s="20">
        <f t="shared" si="13"/>
        <v>70.25</v>
      </c>
      <c r="AS30" s="35">
        <f t="shared" si="29"/>
        <v>326.40000000000003</v>
      </c>
      <c r="AU30" s="47">
        <v>705183</v>
      </c>
      <c r="AV30" s="37">
        <f t="shared" si="33"/>
        <v>1812</v>
      </c>
      <c r="AW30" s="35">
        <f t="shared" si="30"/>
        <v>3.6240000000000001</v>
      </c>
    </row>
    <row r="31" spans="1:49" x14ac:dyDescent="0.25">
      <c r="A31" s="23">
        <v>43824</v>
      </c>
      <c r="B31" s="40">
        <v>122</v>
      </c>
      <c r="C31" s="24">
        <v>5919540</v>
      </c>
      <c r="D31" s="24">
        <v>12332220</v>
      </c>
      <c r="E31" s="24">
        <v>1470300</v>
      </c>
      <c r="F31" s="24">
        <v>2636260</v>
      </c>
      <c r="G31" s="24">
        <v>8052140</v>
      </c>
      <c r="H31" s="24">
        <v>3854770</v>
      </c>
      <c r="I31" s="24">
        <v>3815590</v>
      </c>
      <c r="J31" s="24">
        <v>4332290</v>
      </c>
      <c r="K31" s="24">
        <v>6959090</v>
      </c>
      <c r="L31" s="24">
        <v>2499980</v>
      </c>
      <c r="M31" s="24">
        <v>6400980</v>
      </c>
      <c r="N31" s="24">
        <v>8807860</v>
      </c>
      <c r="O31" s="24">
        <v>11603680</v>
      </c>
      <c r="Q31" s="37">
        <f t="shared" si="16"/>
        <v>520</v>
      </c>
      <c r="R31" s="37">
        <f t="shared" si="17"/>
        <v>10480</v>
      </c>
      <c r="S31" s="37">
        <f t="shared" si="15"/>
        <v>0</v>
      </c>
      <c r="T31" s="37">
        <f t="shared" si="18"/>
        <v>1490</v>
      </c>
      <c r="U31" s="37">
        <f t="shared" si="19"/>
        <v>7060</v>
      </c>
      <c r="V31" s="37">
        <f t="shared" si="20"/>
        <v>4840</v>
      </c>
      <c r="W31" s="37">
        <f t="shared" si="21"/>
        <v>3720</v>
      </c>
      <c r="X31" s="37">
        <f t="shared" si="22"/>
        <v>4590</v>
      </c>
      <c r="Y31" s="37">
        <f t="shared" si="23"/>
        <v>5170</v>
      </c>
      <c r="Z31" s="37">
        <f t="shared" si="24"/>
        <v>2910</v>
      </c>
      <c r="AA31" s="37">
        <f t="shared" si="25"/>
        <v>3720</v>
      </c>
      <c r="AB31" s="37">
        <f t="shared" si="26"/>
        <v>7760</v>
      </c>
      <c r="AC31" s="37">
        <f t="shared" si="27"/>
        <v>13740</v>
      </c>
      <c r="AD31" s="35">
        <f t="shared" si="28"/>
        <v>66000</v>
      </c>
      <c r="AF31" s="20">
        <f t="shared" si="1"/>
        <v>2.6</v>
      </c>
      <c r="AG31" s="20">
        <f t="shared" si="2"/>
        <v>52.4</v>
      </c>
      <c r="AH31" s="20">
        <f t="shared" si="3"/>
        <v>0</v>
      </c>
      <c r="AI31" s="20">
        <f t="shared" si="4"/>
        <v>7.45</v>
      </c>
      <c r="AJ31" s="20">
        <f t="shared" si="5"/>
        <v>35.300000000000004</v>
      </c>
      <c r="AK31" s="20">
        <f t="shared" si="6"/>
        <v>24.2</v>
      </c>
      <c r="AL31" s="20">
        <f t="shared" si="7"/>
        <v>18.600000000000001</v>
      </c>
      <c r="AM31" s="20">
        <f t="shared" si="8"/>
        <v>22.95</v>
      </c>
      <c r="AN31" s="20">
        <f t="shared" si="9"/>
        <v>25.85</v>
      </c>
      <c r="AO31" s="20">
        <f t="shared" si="10"/>
        <v>14.55</v>
      </c>
      <c r="AP31" s="20">
        <f t="shared" si="11"/>
        <v>18.600000000000001</v>
      </c>
      <c r="AQ31" s="20">
        <f t="shared" si="12"/>
        <v>38.800000000000004</v>
      </c>
      <c r="AR31" s="20">
        <f t="shared" si="13"/>
        <v>68.7</v>
      </c>
      <c r="AS31" s="35">
        <f t="shared" si="29"/>
        <v>330</v>
      </c>
      <c r="AU31" s="47">
        <v>706954</v>
      </c>
      <c r="AV31" s="37">
        <f t="shared" si="33"/>
        <v>1771</v>
      </c>
      <c r="AW31" s="35">
        <f t="shared" si="30"/>
        <v>3.5420000000000003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 t="shared" si="16"/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21830</v>
      </c>
      <c r="R38" s="30">
        <f t="shared" si="35"/>
        <v>279950</v>
      </c>
      <c r="S38" s="30">
        <f t="shared" si="35"/>
        <v>270</v>
      </c>
      <c r="T38" s="30">
        <f t="shared" si="35"/>
        <v>37850</v>
      </c>
      <c r="U38" s="30">
        <f t="shared" si="35"/>
        <v>164430</v>
      </c>
      <c r="V38" s="30">
        <f t="shared" si="35"/>
        <v>112420</v>
      </c>
      <c r="W38" s="30">
        <f t="shared" si="35"/>
        <v>87090</v>
      </c>
      <c r="X38" s="30">
        <f t="shared" si="35"/>
        <v>114480</v>
      </c>
      <c r="Y38" s="30">
        <f t="shared" si="35"/>
        <v>125500</v>
      </c>
      <c r="Z38" s="30">
        <f t="shared" si="35"/>
        <v>71650</v>
      </c>
      <c r="AA38" s="30">
        <f t="shared" si="35"/>
        <v>93250</v>
      </c>
      <c r="AB38" s="30">
        <f t="shared" si="35"/>
        <v>196760</v>
      </c>
      <c r="AC38" s="30">
        <f t="shared" si="35"/>
        <v>366660</v>
      </c>
      <c r="AD38" s="35">
        <f t="shared" si="35"/>
        <v>1672140</v>
      </c>
      <c r="AF38" s="35">
        <f t="shared" ref="AF38:AS38" si="36">SUM(AF7:AF34)</f>
        <v>109.14999999999999</v>
      </c>
      <c r="AG38" s="35">
        <f t="shared" si="36"/>
        <v>1399.75</v>
      </c>
      <c r="AH38" s="35">
        <f t="shared" si="36"/>
        <v>1.35</v>
      </c>
      <c r="AI38" s="35">
        <f t="shared" si="36"/>
        <v>189.24999999999997</v>
      </c>
      <c r="AJ38" s="35">
        <f t="shared" si="36"/>
        <v>822.1500000000002</v>
      </c>
      <c r="AK38" s="35">
        <f t="shared" si="36"/>
        <v>562.09999999999991</v>
      </c>
      <c r="AL38" s="35">
        <f t="shared" si="36"/>
        <v>435.45</v>
      </c>
      <c r="AM38" s="35">
        <f t="shared" si="36"/>
        <v>572.40000000000009</v>
      </c>
      <c r="AN38" s="35">
        <f t="shared" si="36"/>
        <v>627.49999999999989</v>
      </c>
      <c r="AO38" s="35">
        <f t="shared" si="36"/>
        <v>358.25000000000011</v>
      </c>
      <c r="AP38" s="35">
        <f t="shared" si="36"/>
        <v>466.24999999999994</v>
      </c>
      <c r="AQ38" s="35">
        <f t="shared" si="36"/>
        <v>983.79999999999984</v>
      </c>
      <c r="AR38" s="35">
        <f t="shared" si="36"/>
        <v>1833.3</v>
      </c>
      <c r="AS38" s="35">
        <f t="shared" si="36"/>
        <v>8360.7000000000007</v>
      </c>
      <c r="AU38" s="48"/>
      <c r="AV38" s="35">
        <f>SUM(AV7:AV34)</f>
        <v>42552</v>
      </c>
      <c r="AW38" s="35">
        <f>SUM(AW7:AW34)</f>
        <v>77.389999999999986</v>
      </c>
    </row>
    <row r="39" spans="1:49" x14ac:dyDescent="0.25">
      <c r="D39">
        <v>5.0000000000000001E-3</v>
      </c>
      <c r="AV39" s="36">
        <f>AV38*0.00378541*1000</f>
        <v>161076.76632</v>
      </c>
    </row>
    <row r="40" spans="1:49" x14ac:dyDescent="0.25">
      <c r="D40">
        <v>2E-3</v>
      </c>
      <c r="AV40">
        <f>AV39/31</f>
        <v>5196.0247199999994</v>
      </c>
    </row>
    <row r="41" spans="1:49" x14ac:dyDescent="0.25">
      <c r="AV41">
        <f>AV38*0.00378541</f>
        <v>161.07676631999999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2019-12-26T06:12:14Z</dcterms:modified>
</cp:coreProperties>
</file>