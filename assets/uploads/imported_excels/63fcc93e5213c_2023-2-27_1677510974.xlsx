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35" documentId="8_{9B439D3B-B023-4087-B27B-CB56FE35C246}" xr6:coauthVersionLast="47" xr6:coauthVersionMax="47" xr10:uidLastSave="{450F6D85-83ED-472B-B3F1-90190BDA9BB0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2" i="6"/>
  <c r="AG40" i="3"/>
  <c r="AF40" i="3"/>
  <c r="AI40" i="3"/>
  <c r="AH40" i="3"/>
  <c r="AH35" i="3"/>
  <c r="AC35" i="3"/>
  <c r="AC7" i="3"/>
  <c r="X40" i="3"/>
  <c r="Y40" i="3"/>
  <c r="Z40" i="3"/>
  <c r="AA40" i="3"/>
  <c r="AB40" i="3"/>
  <c r="W40" i="3"/>
  <c r="AD40" i="3"/>
  <c r="S40" i="3"/>
  <c r="T40" i="3"/>
  <c r="U40" i="3"/>
  <c r="V40" i="3"/>
  <c r="Q40" i="3"/>
  <c r="R40" i="3"/>
  <c r="P40" i="3"/>
  <c r="O40" i="3"/>
  <c r="P35" i="3"/>
  <c r="O35" i="3"/>
  <c r="N35" i="3"/>
  <c r="I35" i="3"/>
  <c r="F40" i="3"/>
  <c r="G40" i="3"/>
  <c r="H40" i="3"/>
  <c r="J40" i="3"/>
  <c r="K40" i="3"/>
  <c r="L40" i="3"/>
  <c r="M40" i="3"/>
  <c r="E40" i="3"/>
  <c r="D40" i="3"/>
  <c r="C40" i="3"/>
  <c r="M29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30" i="6"/>
  <c r="M2" i="6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AH7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AC40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Q7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7" i="3"/>
  <c r="N40" i="3" s="1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7" i="3"/>
  <c r="I40" i="3" s="1"/>
  <c r="AE40" i="3"/>
  <c r="I30" i="6" l="1"/>
  <c r="I29" i="6"/>
  <c r="G30" i="6"/>
  <c r="G29" i="6"/>
  <c r="K30" i="6"/>
  <c r="K29" i="6"/>
  <c r="E30" i="6"/>
  <c r="E29" i="6"/>
  <c r="K2" i="6"/>
  <c r="G2" i="6"/>
  <c r="I2" i="6"/>
  <c r="AI42" i="3"/>
  <c r="AD42" i="3"/>
  <c r="O7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V42" i="3"/>
  <c r="P4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<sst xmlns="http://schemas.openxmlformats.org/spreadsheetml/2006/main" count="89" uniqueCount="53">
  <si>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</si>
  <si>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</si>
  <si>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</si>
  <si>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</si>
  <si>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</si>
  <si>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</si>
  <si>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</si>
  <si>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</si>
  <si>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</si>
  <si>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</si>
  <si>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</si>
  <si>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</si>
  <si>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</si>
  <si>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</si>
  <si>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</si>
  <si>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</si>
  <si>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FEBRUARY 2020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</si>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</sst>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4" fontId="3" fillId="0" borderId="11" xfId="2" applyNumberFormat="1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24" fillId="6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6" fontId="3" fillId="0" borderId="11" xfId="2" applyNumberFormat="1" applyFont="1" applyBorder="1"/>
    <xf numFmtId="164" fontId="24" fillId="5" borderId="11" xfId="2" applyNumberFormat="1" applyFont="1" applyFill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0"/>
  <sheetViews>
    <sheetView tabSelected="1" workbookViewId="0">
      <selection activeCell="L2" sqref="L2:L30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89" t="s">
        <v>0</v>
      </c>
      <c r="B1" s="89" t="s">
        <v>1</v>
      </c>
      <c r="C1" s="90" t="s">
        <v>2</v>
      </c>
      <c r="D1" s="89" t="s">
        <v>3</v>
      </c>
      <c r="E1" s="91" t="s">
        <v>4</v>
      </c>
      <c r="F1" s="92" t="s">
        <v>5</v>
      </c>
      <c r="G1" s="91" t="s">
        <v>6</v>
      </c>
      <c r="H1" s="92" t="s">
        <v>7</v>
      </c>
      <c r="I1" s="91" t="s">
        <v>8</v>
      </c>
      <c r="J1" s="92" t="s">
        <v>9</v>
      </c>
      <c r="K1" s="91" t="s">
        <v>10</v>
      </c>
      <c r="L1" s="93" t="s">
        <v>11</v>
      </c>
      <c r="M1" s="91" t="s">
        <v>12</v>
      </c>
      <c r="N1" s="91" t="s">
        <v>13</v>
      </c>
    </row>
    <row r="2" spans="1:14" ht="15">
      <c r="A2" s="94" t="s">
        <v>14</v>
      </c>
      <c r="B2" s="95">
        <v>1</v>
      </c>
      <c r="C2" s="96">
        <v>2</v>
      </c>
      <c r="D2" s="95">
        <v>2020</v>
      </c>
      <c r="E2" s="97">
        <f>'Localize Daily Bali Jimbaran'!P7</f>
        <v>24460.000000000491</v>
      </c>
      <c r="F2" s="98">
        <f>'Localize Daily Bali Jimbaran'!O7/'Localize Daily Bali Jimbaran'!P7</f>
        <v>1185.38796156991</v>
      </c>
      <c r="G2" s="97">
        <f>'Localize Daily Bali Jimbaran'!AC7</f>
        <v>128.16751999998593</v>
      </c>
      <c r="H2" s="98">
        <f>'Localize Daily Bali Jimbaran'!AD7/'Localize Daily Bali Jimbaran'!AC7</f>
        <v>9423.4211126188857</v>
      </c>
      <c r="I2" s="97">
        <f>'Localize Daily Bali Jimbaran'!AH7</f>
        <v>347.35000000000582</v>
      </c>
      <c r="J2" s="99">
        <f>'Localize Daily Bali Jimbaran'!AI7/'Localize Daily Bali Jimbaran'!AH7</f>
        <v>10300</v>
      </c>
      <c r="K2" s="97">
        <f>'Localize Daily Bali Jimbaran'!Q7</f>
        <v>31</v>
      </c>
      <c r="L2" s="98">
        <f>'Localize Daily Bali Jimbaran'!V7/'Localize Daily Bali Jimbaran'!Q7</f>
        <v>17527.747741935487</v>
      </c>
      <c r="M2" s="97">
        <f>'Localize Daily Bali Jimbaran'!C7</f>
        <v>79</v>
      </c>
      <c r="N2" s="97">
        <v>219</v>
      </c>
    </row>
    <row r="3" spans="1:14" ht="15">
      <c r="A3" s="94" t="s">
        <v>14</v>
      </c>
      <c r="B3" s="95">
        <v>2</v>
      </c>
      <c r="C3" s="96">
        <v>2</v>
      </c>
      <c r="D3" s="95">
        <v>2020</v>
      </c>
      <c r="E3" s="97">
        <f>'Localize Daily Bali Jimbaran'!P8</f>
        <v>25020.000000000437</v>
      </c>
      <c r="F3" s="98">
        <f>'Localize Daily Bali Jimbaran'!O8/'Localize Daily Bali Jimbaran'!P8</f>
        <v>1181.8945287769798</v>
      </c>
      <c r="G3" s="97">
        <f>'Localize Daily Bali Jimbaran'!AC8</f>
        <v>281.59132000000938</v>
      </c>
      <c r="H3" s="98">
        <f>'Localize Daily Bali Jimbaran'!AD8/'Localize Daily Bali Jimbaran'!AC8</f>
        <v>9988.8085283310302</v>
      </c>
      <c r="I3" s="97">
        <f>'Localize Daily Bali Jimbaran'!AH8</f>
        <v>422.04999999999563</v>
      </c>
      <c r="J3" s="99">
        <f>'Localize Daily Bali Jimbaran'!AI8/'Localize Daily Bali Jimbaran'!AH8</f>
        <v>10300</v>
      </c>
      <c r="K3" s="97">
        <f>'Localize Daily Bali Jimbaran'!Q8</f>
        <v>44</v>
      </c>
      <c r="L3" s="98">
        <f>'Localize Daily Bali Jimbaran'!V8/'Localize Daily Bali Jimbaran'!Q8</f>
        <v>16098.865454545454</v>
      </c>
      <c r="M3" s="97">
        <f>'Localize Daily Bali Jimbaran'!C8</f>
        <v>65</v>
      </c>
      <c r="N3" s="97">
        <v>204</v>
      </c>
    </row>
    <row r="4" spans="1:14" ht="15">
      <c r="A4" s="94" t="s">
        <v>14</v>
      </c>
      <c r="B4" s="95">
        <v>3</v>
      </c>
      <c r="C4" s="96">
        <v>2</v>
      </c>
      <c r="D4" s="95">
        <v>2020</v>
      </c>
      <c r="E4" s="97">
        <f>'Localize Daily Bali Jimbaran'!P9</f>
        <v>24600.000000001273</v>
      </c>
      <c r="F4" s="98">
        <f>'Localize Daily Bali Jimbaran'!O9/'Localize Daily Bali Jimbaran'!P9</f>
        <v>1185.2733695121917</v>
      </c>
      <c r="G4" s="97">
        <f>'Localize Daily Bali Jimbaran'!AC9</f>
        <v>208.63516000000467</v>
      </c>
      <c r="H4" s="98">
        <f>'Localize Daily Bali Jimbaran'!AD9/'Localize Daily Bali Jimbaran'!AC9</f>
        <v>9816.2214430204258</v>
      </c>
      <c r="I4" s="97">
        <f>'Localize Daily Bali Jimbaran'!AH9</f>
        <v>400</v>
      </c>
      <c r="J4" s="99">
        <f>'Localize Daily Bali Jimbaran'!AI9/'Localize Daily Bali Jimbaran'!AH9</f>
        <v>10300</v>
      </c>
      <c r="K4" s="97">
        <f>'Localize Daily Bali Jimbaran'!Q9</f>
        <v>64</v>
      </c>
      <c r="L4" s="98">
        <f>'Localize Daily Bali Jimbaran'!V9/'Localize Daily Bali Jimbaran'!Q9</f>
        <v>16898.209374999999</v>
      </c>
      <c r="M4" s="97">
        <f>'Localize Daily Bali Jimbaran'!C9</f>
        <v>68</v>
      </c>
      <c r="N4" s="97">
        <v>199</v>
      </c>
    </row>
    <row r="5" spans="1:14" ht="15">
      <c r="A5" s="94" t="s">
        <v>14</v>
      </c>
      <c r="B5" s="95">
        <v>4</v>
      </c>
      <c r="C5" s="96">
        <v>2</v>
      </c>
      <c r="D5" s="95">
        <v>2020</v>
      </c>
      <c r="E5" s="97">
        <f>'Localize Daily Bali Jimbaran'!P10</f>
        <v>23819.999999998345</v>
      </c>
      <c r="F5" s="98">
        <f>'Localize Daily Bali Jimbaran'!O10/'Localize Daily Bali Jimbaran'!P10</f>
        <v>1184.8201322418147</v>
      </c>
      <c r="G5" s="97">
        <f>'Localize Daily Bali Jimbaran'!AC10</f>
        <v>324</v>
      </c>
      <c r="H5" s="98">
        <f>'Localize Daily Bali Jimbaran'!AD10/'Localize Daily Bali Jimbaran'!AC10</f>
        <v>10574.074074074075</v>
      </c>
      <c r="I5" s="97">
        <f>'Localize Daily Bali Jimbaran'!AH10</f>
        <v>326.90000000000146</v>
      </c>
      <c r="J5" s="99">
        <f>'Localize Daily Bali Jimbaran'!AI10/'Localize Daily Bali Jimbaran'!AH10</f>
        <v>10300</v>
      </c>
      <c r="K5" s="97">
        <f>'Localize Daily Bali Jimbaran'!Q10</f>
        <v>82</v>
      </c>
      <c r="L5" s="98">
        <f>'Localize Daily Bali Jimbaran'!V10/'Localize Daily Bali Jimbaran'!Q10</f>
        <v>17635.736097560977</v>
      </c>
      <c r="M5" s="97">
        <f>'Localize Daily Bali Jimbaran'!C10</f>
        <v>62</v>
      </c>
      <c r="N5" s="97">
        <v>183</v>
      </c>
    </row>
    <row r="6" spans="1:14" ht="15">
      <c r="A6" s="94" t="s">
        <v>14</v>
      </c>
      <c r="B6" s="95">
        <v>5</v>
      </c>
      <c r="C6" s="96">
        <v>2</v>
      </c>
      <c r="D6" s="95">
        <v>2020</v>
      </c>
      <c r="E6" s="97">
        <f>'Localize Daily Bali Jimbaran'!P11</f>
        <v>24580.000000000837</v>
      </c>
      <c r="F6" s="98">
        <f>'Localize Daily Bali Jimbaran'!O11/'Localize Daily Bali Jimbaran'!P11</f>
        <v>1181.8131810414989</v>
      </c>
      <c r="G6" s="97">
        <f>'Localize Daily Bali Jimbaran'!AC11</f>
        <v>98.202640000018746</v>
      </c>
      <c r="H6" s="98">
        <f>'Localize Daily Bali Jimbaran'!AD11/'Localize Daily Bali Jimbaran'!AC11</f>
        <v>9196</v>
      </c>
      <c r="I6" s="97">
        <f>'Localize Daily Bali Jimbaran'!AH11</f>
        <v>508.85000000002765</v>
      </c>
      <c r="J6" s="99">
        <f>'Localize Daily Bali Jimbaran'!AI11/'Localize Daily Bali Jimbaran'!AH11</f>
        <v>10300</v>
      </c>
      <c r="K6" s="97">
        <f>'Localize Daily Bali Jimbaran'!Q11</f>
        <v>29</v>
      </c>
      <c r="L6" s="98">
        <f>'Localize Daily Bali Jimbaran'!V11/'Localize Daily Bali Jimbaran'!Q11</f>
        <v>10871.196551724139</v>
      </c>
      <c r="M6" s="97">
        <f>'Localize Daily Bali Jimbaran'!C11</f>
        <v>62</v>
      </c>
      <c r="N6" s="97">
        <v>156</v>
      </c>
    </row>
    <row r="7" spans="1:14" ht="15">
      <c r="A7" s="94" t="s">
        <v>14</v>
      </c>
      <c r="B7" s="95">
        <v>6</v>
      </c>
      <c r="C7" s="96">
        <v>2</v>
      </c>
      <c r="D7" s="95">
        <v>2020</v>
      </c>
      <c r="E7" s="97">
        <f>'Localize Daily Bali Jimbaran'!P12</f>
        <v>25000.000000000226</v>
      </c>
      <c r="F7" s="98">
        <f>'Localize Daily Bali Jimbaran'!O12/'Localize Daily Bali Jimbaran'!P12</f>
        <v>1179.7948511999996</v>
      </c>
      <c r="G7" s="97">
        <f>'Localize Daily Bali Jimbaran'!AC12</f>
        <v>337.22363999996014</v>
      </c>
      <c r="H7" s="98">
        <f>'Localize Daily Bali Jimbaran'!AD12/'Localize Daily Bali Jimbaran'!AC12</f>
        <v>10222.748895777417</v>
      </c>
      <c r="I7" s="97">
        <f>'Localize Daily Bali Jimbaran'!AH12</f>
        <v>608.75</v>
      </c>
      <c r="J7" s="99">
        <f>'Localize Daily Bali Jimbaran'!AI12/'Localize Daily Bali Jimbaran'!AH12</f>
        <v>10300</v>
      </c>
      <c r="K7" s="97">
        <f>'Localize Daily Bali Jimbaran'!Q12</f>
        <v>107</v>
      </c>
      <c r="L7" s="98">
        <f>'Localize Daily Bali Jimbaran'!V12/'Localize Daily Bali Jimbaran'!Q12</f>
        <v>14250.553457943925</v>
      </c>
      <c r="M7" s="97">
        <f>'Localize Daily Bali Jimbaran'!C12</f>
        <v>49</v>
      </c>
      <c r="N7" s="97">
        <v>137</v>
      </c>
    </row>
    <row r="8" spans="1:14" ht="15">
      <c r="A8" s="94" t="s">
        <v>14</v>
      </c>
      <c r="B8" s="95">
        <v>7</v>
      </c>
      <c r="C8" s="96">
        <v>2</v>
      </c>
      <c r="D8" s="95">
        <v>2020</v>
      </c>
      <c r="E8" s="97">
        <f>'Localize Daily Bali Jimbaran'!P13</f>
        <v>24139.999999998508</v>
      </c>
      <c r="F8" s="98">
        <f>'Localize Daily Bali Jimbaran'!O13/'Localize Daily Bali Jimbaran'!P13</f>
        <v>1181.2783421706738</v>
      </c>
      <c r="G8" s="97">
        <f>'Localize Daily Bali Jimbaran'!AC13</f>
        <v>200.73683999999531</v>
      </c>
      <c r="H8" s="98">
        <f>'Localize Daily Bali Jimbaran'!AD13/'Localize Daily Bali Jimbaran'!AC13</f>
        <v>9985.8301079164321</v>
      </c>
      <c r="I8" s="97">
        <f>'Localize Daily Bali Jimbaran'!AH13</f>
        <v>440.20000000000437</v>
      </c>
      <c r="J8" s="99">
        <f>'Localize Daily Bali Jimbaran'!AI13/'Localize Daily Bali Jimbaran'!AH13</f>
        <v>10300</v>
      </c>
      <c r="K8" s="97">
        <f>'Localize Daily Bali Jimbaran'!Q13</f>
        <v>5</v>
      </c>
      <c r="L8" s="98">
        <f>'Localize Daily Bali Jimbaran'!V13/'Localize Daily Bali Jimbaran'!Q13</f>
        <v>15225.435999999998</v>
      </c>
      <c r="M8" s="97">
        <f>'Localize Daily Bali Jimbaran'!C13</f>
        <v>59</v>
      </c>
      <c r="N8" s="97">
        <v>163</v>
      </c>
    </row>
    <row r="9" spans="1:14" ht="15">
      <c r="A9" s="94" t="s">
        <v>14</v>
      </c>
      <c r="B9" s="95">
        <v>8</v>
      </c>
      <c r="C9" s="96">
        <v>2</v>
      </c>
      <c r="D9" s="95">
        <v>2020</v>
      </c>
      <c r="E9" s="97">
        <f>'Localize Daily Bali Jimbaran'!P14</f>
        <v>24480.000000000473</v>
      </c>
      <c r="F9" s="98">
        <f>'Localize Daily Bali Jimbaran'!O14/'Localize Daily Bali Jimbaran'!P14</f>
        <v>1181.7538970588168</v>
      </c>
      <c r="G9" s="97">
        <f>'Localize Daily Bali Jimbaran'!AC14</f>
        <v>102.71399999999998</v>
      </c>
      <c r="H9" s="98">
        <f>'Localize Daily Bali Jimbaran'!AD14/'Localize Daily Bali Jimbaran'!AC14</f>
        <v>9196</v>
      </c>
      <c r="I9" s="97">
        <f>'Localize Daily Bali Jimbaran'!AH14</f>
        <v>427.29999999999563</v>
      </c>
      <c r="J9" s="99">
        <f>'Localize Daily Bali Jimbaran'!AI14/'Localize Daily Bali Jimbaran'!AH14</f>
        <v>10300</v>
      </c>
      <c r="K9" s="97">
        <f>'Localize Daily Bali Jimbaran'!Q14</f>
        <v>35</v>
      </c>
      <c r="L9" s="98">
        <f>'Localize Daily Bali Jimbaran'!V14/'Localize Daily Bali Jimbaran'!Q14</f>
        <v>4245.18</v>
      </c>
      <c r="M9" s="97">
        <f>'Localize Daily Bali Jimbaran'!C14</f>
        <v>55</v>
      </c>
      <c r="N9" s="97">
        <v>160</v>
      </c>
    </row>
    <row r="10" spans="1:14" ht="15">
      <c r="A10" s="94" t="s">
        <v>14</v>
      </c>
      <c r="B10" s="95">
        <v>9</v>
      </c>
      <c r="C10" s="96">
        <v>2</v>
      </c>
      <c r="D10" s="95">
        <v>2020</v>
      </c>
      <c r="E10" s="97">
        <f>'Localize Daily Bali Jimbaran'!P15</f>
        <v>20960.000000000946</v>
      </c>
      <c r="F10" s="98">
        <f>'Localize Daily Bali Jimbaran'!O15/'Localize Daily Bali Jimbaran'!P15</f>
        <v>1179.929344465655</v>
      </c>
      <c r="G10" s="97">
        <f>'Localize Daily Bali Jimbaran'!AC15</f>
        <v>138.49516000000466</v>
      </c>
      <c r="H10" s="98">
        <f>'Localize Daily Bali Jimbaran'!AD15/'Localize Daily Bali Jimbaran'!AC15</f>
        <v>9663.1643398946071</v>
      </c>
      <c r="I10" s="97">
        <f>'Localize Daily Bali Jimbaran'!AH15</f>
        <v>445.84999999999854</v>
      </c>
      <c r="J10" s="99">
        <f>'Localize Daily Bali Jimbaran'!AI15/'Localize Daily Bali Jimbaran'!AH15</f>
        <v>10300</v>
      </c>
      <c r="K10" s="97">
        <f>'Localize Daily Bali Jimbaran'!Q15</f>
        <v>46</v>
      </c>
      <c r="L10" s="98">
        <f>'Localize Daily Bali Jimbaran'!V15/'Localize Daily Bali Jimbaran'!Q15</f>
        <v>4245.18</v>
      </c>
      <c r="M10" s="97">
        <f>'Localize Daily Bali Jimbaran'!C15</f>
        <v>54</v>
      </c>
      <c r="N10" s="97">
        <v>142</v>
      </c>
    </row>
    <row r="11" spans="1:14" ht="15">
      <c r="A11" s="94" t="s">
        <v>14</v>
      </c>
      <c r="B11" s="95">
        <v>10</v>
      </c>
      <c r="C11" s="96">
        <v>2</v>
      </c>
      <c r="D11" s="95">
        <v>2020</v>
      </c>
      <c r="E11" s="97">
        <f>'Localize Daily Bali Jimbaran'!P16</f>
        <v>22600.000000000364</v>
      </c>
      <c r="F11" s="98">
        <f>'Localize Daily Bali Jimbaran'!O16/'Localize Daily Bali Jimbaran'!P16</f>
        <v>1182.851593805309</v>
      </c>
      <c r="G11" s="97">
        <f>'Localize Daily Bali Jimbaran'!AC16</f>
        <v>255.41275999999294</v>
      </c>
      <c r="H11" s="98">
        <f>'Localize Daily Bali Jimbaran'!AD16/'Localize Daily Bali Jimbaran'!AC16</f>
        <v>9955.9463707295035</v>
      </c>
      <c r="I11" s="97">
        <f>'Localize Daily Bali Jimbaran'!AH16</f>
        <v>434</v>
      </c>
      <c r="J11" s="99">
        <f>'Localize Daily Bali Jimbaran'!AI16/'Localize Daily Bali Jimbaran'!AH16</f>
        <v>10300</v>
      </c>
      <c r="K11" s="97">
        <f>'Localize Daily Bali Jimbaran'!Q16</f>
        <v>4</v>
      </c>
      <c r="L11" s="98">
        <f>'Localize Daily Bali Jimbaran'!V16/'Localize Daily Bali Jimbaran'!Q16</f>
        <v>4245.18</v>
      </c>
      <c r="M11" s="97">
        <f>'Localize Daily Bali Jimbaran'!C16</f>
        <v>50</v>
      </c>
      <c r="N11" s="97">
        <v>129</v>
      </c>
    </row>
    <row r="12" spans="1:14" ht="15">
      <c r="A12" s="94" t="s">
        <v>14</v>
      </c>
      <c r="B12" s="95">
        <v>11</v>
      </c>
      <c r="C12" s="96">
        <v>2</v>
      </c>
      <c r="D12" s="95">
        <v>2020</v>
      </c>
      <c r="E12" s="97">
        <f>'Localize Daily Bali Jimbaran'!P17</f>
        <v>22619.999999999891</v>
      </c>
      <c r="F12" s="98">
        <f>'Localize Daily Bali Jimbaran'!O17/'Localize Daily Bali Jimbaran'!P17</f>
        <v>1179.4017493368633</v>
      </c>
      <c r="G12" s="97">
        <f>'Localize Daily Bali Jimbaran'!AC17</f>
        <v>106.62116000000468</v>
      </c>
      <c r="H12" s="98">
        <f>'Localize Daily Bali Jimbaran'!AD17/'Localize Daily Bali Jimbaran'!AC17</f>
        <v>9196</v>
      </c>
      <c r="I12" s="97">
        <f>'Localize Daily Bali Jimbaran'!AH17</f>
        <v>297.26000000000204</v>
      </c>
      <c r="J12" s="99">
        <f>'Localize Daily Bali Jimbaran'!AI17/'Localize Daily Bali Jimbaran'!AH17</f>
        <v>10300</v>
      </c>
      <c r="K12" s="97">
        <f>'Localize Daily Bali Jimbaran'!Q17</f>
        <v>31</v>
      </c>
      <c r="L12" s="98">
        <f>'Localize Daily Bali Jimbaran'!V17/'Localize Daily Bali Jimbaran'!Q17</f>
        <v>4245.18</v>
      </c>
      <c r="M12" s="97">
        <f>'Localize Daily Bali Jimbaran'!C17</f>
        <v>38</v>
      </c>
      <c r="N12" s="97">
        <v>108</v>
      </c>
    </row>
    <row r="13" spans="1:14" ht="15">
      <c r="A13" s="94" t="s">
        <v>14</v>
      </c>
      <c r="B13" s="95">
        <v>12</v>
      </c>
      <c r="C13" s="96">
        <v>2</v>
      </c>
      <c r="D13" s="95">
        <v>2020</v>
      </c>
      <c r="E13" s="97">
        <f>'Localize Daily Bali Jimbaran'!P18</f>
        <v>22779.999999999745</v>
      </c>
      <c r="F13" s="98">
        <f>'Localize Daily Bali Jimbaran'!O18/'Localize Daily Bali Jimbaran'!P18</f>
        <v>1181.1438568920134</v>
      </c>
      <c r="G13" s="97">
        <f>'Localize Daily Bali Jimbaran'!AC18</f>
        <v>116.00296000002812</v>
      </c>
      <c r="H13" s="98">
        <f>'Localize Daily Bali Jimbaran'!AD18/'Localize Daily Bali Jimbaran'!AC18</f>
        <v>9447.2694503656876</v>
      </c>
      <c r="I13" s="97">
        <f>'Localize Daily Bali Jimbaran'!AH18</f>
        <v>508.70999999998457</v>
      </c>
      <c r="J13" s="99">
        <f>'Localize Daily Bali Jimbaran'!AI18/'Localize Daily Bali Jimbaran'!AH18</f>
        <v>10300</v>
      </c>
      <c r="K13" s="97">
        <f>'Localize Daily Bali Jimbaran'!Q18</f>
        <v>67</v>
      </c>
      <c r="L13" s="98">
        <f>'Localize Daily Bali Jimbaran'!V18/'Localize Daily Bali Jimbaran'!Q18</f>
        <v>4245.18</v>
      </c>
      <c r="M13" s="97">
        <f>'Localize Daily Bali Jimbaran'!C18</f>
        <v>45</v>
      </c>
      <c r="N13" s="97">
        <v>130</v>
      </c>
    </row>
    <row r="14" spans="1:14" ht="15">
      <c r="A14" s="94" t="s">
        <v>14</v>
      </c>
      <c r="B14" s="95">
        <v>13</v>
      </c>
      <c r="C14" s="96">
        <v>2</v>
      </c>
      <c r="D14" s="95">
        <v>2020</v>
      </c>
      <c r="E14" s="97">
        <f>'Localize Daily Bali Jimbaran'!P19</f>
        <v>24139.999999998963</v>
      </c>
      <c r="F14" s="98">
        <f>'Localize Daily Bali Jimbaran'!O19/'Localize Daily Bali Jimbaran'!P19</f>
        <v>1179.9267651201346</v>
      </c>
      <c r="G14" s="97">
        <f>'Localize Daily Bali Jimbaran'!AC19</f>
        <v>112.9048399999953</v>
      </c>
      <c r="H14" s="98">
        <f>'Localize Daily Bali Jimbaran'!AD19/'Localize Daily Bali Jimbaran'!AC19</f>
        <v>9196</v>
      </c>
      <c r="I14" s="97">
        <f>'Localize Daily Bali Jimbaran'!AH19</f>
        <v>484.68000000000029</v>
      </c>
      <c r="J14" s="99">
        <f>'Localize Daily Bali Jimbaran'!AI19/'Localize Daily Bali Jimbaran'!AH19</f>
        <v>10300</v>
      </c>
      <c r="K14" s="97">
        <f>'Localize Daily Bali Jimbaran'!Q19</f>
        <v>71</v>
      </c>
      <c r="L14" s="98">
        <f>'Localize Daily Bali Jimbaran'!V19/'Localize Daily Bali Jimbaran'!Q19</f>
        <v>4245.18</v>
      </c>
      <c r="M14" s="97">
        <f>'Localize Daily Bali Jimbaran'!C19</f>
        <v>45</v>
      </c>
      <c r="N14" s="97">
        <v>138</v>
      </c>
    </row>
    <row r="15" spans="1:14" ht="15">
      <c r="A15" s="94" t="s">
        <v>14</v>
      </c>
      <c r="B15" s="95">
        <v>14</v>
      </c>
      <c r="C15" s="96">
        <v>2</v>
      </c>
      <c r="D15" s="95">
        <v>2020</v>
      </c>
      <c r="E15" s="97">
        <f>'Localize Daily Bali Jimbaran'!P20</f>
        <v>23440.000000001874</v>
      </c>
      <c r="F15" s="98">
        <f>'Localize Daily Bali Jimbaran'!O20/'Localize Daily Bali Jimbaran'!P20</f>
        <v>1182.2209095563153</v>
      </c>
      <c r="G15" s="97">
        <f>'Localize Daily Bali Jimbaran'!AC20</f>
        <v>256.98367999999061</v>
      </c>
      <c r="H15" s="98">
        <f>'Localize Daily Bali Jimbaran'!AD20/'Localize Daily Bali Jimbaran'!AC20</f>
        <v>9951.3008813633896</v>
      </c>
      <c r="I15" s="97">
        <f>'Localize Daily Bali Jimbaran'!AH20</f>
        <v>388.79999999999563</v>
      </c>
      <c r="J15" s="99">
        <f>'Localize Daily Bali Jimbaran'!AI20/'Localize Daily Bali Jimbaran'!AH20</f>
        <v>10300</v>
      </c>
      <c r="K15" s="97">
        <f>'Localize Daily Bali Jimbaran'!Q20</f>
        <v>60</v>
      </c>
      <c r="L15" s="98">
        <f>'Localize Daily Bali Jimbaran'!V20/'Localize Daily Bali Jimbaran'!Q20</f>
        <v>4245.18</v>
      </c>
      <c r="M15" s="97">
        <f>'Localize Daily Bali Jimbaran'!C20</f>
        <v>46</v>
      </c>
      <c r="N15" s="97">
        <v>148</v>
      </c>
    </row>
    <row r="16" spans="1:14" ht="15">
      <c r="A16" s="94" t="s">
        <v>14</v>
      </c>
      <c r="B16" s="95">
        <v>15</v>
      </c>
      <c r="C16" s="96">
        <v>2</v>
      </c>
      <c r="D16" s="95">
        <v>2020</v>
      </c>
      <c r="E16" s="97">
        <f>'Localize Daily Bali Jimbaran'!P21</f>
        <v>24399.999999998952</v>
      </c>
      <c r="F16" s="98">
        <f>'Localize Daily Bali Jimbaran'!O21/'Localize Daily Bali Jimbaran'!P21</f>
        <v>1176.2682749999992</v>
      </c>
      <c r="G16" s="97">
        <f>'Localize Daily Bali Jimbaran'!AC21</f>
        <v>144.53716000000469</v>
      </c>
      <c r="H16" s="98">
        <f>'Localize Daily Bali Jimbaran'!AD21/'Localize Daily Bali Jimbaran'!AC21</f>
        <v>9643.6357498652796</v>
      </c>
      <c r="I16" s="97">
        <f>'Localize Daily Bali Jimbaran'!AH21</f>
        <v>299.9800000000032</v>
      </c>
      <c r="J16" s="99">
        <f>'Localize Daily Bali Jimbaran'!AI21/'Localize Daily Bali Jimbaran'!AH21</f>
        <v>10300</v>
      </c>
      <c r="K16" s="97">
        <f>'Localize Daily Bali Jimbaran'!Q21</f>
        <v>52</v>
      </c>
      <c r="L16" s="98">
        <f>'Localize Daily Bali Jimbaran'!V21/'Localize Daily Bali Jimbaran'!Q21</f>
        <v>4245.18</v>
      </c>
      <c r="M16" s="97">
        <f>'Localize Daily Bali Jimbaran'!C21</f>
        <v>35</v>
      </c>
      <c r="N16" s="97">
        <v>108</v>
      </c>
    </row>
    <row r="17" spans="1:14" ht="15">
      <c r="A17" s="94" t="s">
        <v>14</v>
      </c>
      <c r="B17" s="95">
        <v>16</v>
      </c>
      <c r="C17" s="96">
        <v>2</v>
      </c>
      <c r="D17" s="95">
        <v>2020</v>
      </c>
      <c r="E17" s="97">
        <f>'Localize Daily Bali Jimbaran'!P22</f>
        <v>23459.999999998672</v>
      </c>
      <c r="F17" s="98">
        <f>'Localize Daily Bali Jimbaran'!O22/'Localize Daily Bali Jimbaran'!P22</f>
        <v>1187.2396457800505</v>
      </c>
      <c r="G17" s="97">
        <f>'Localize Daily Bali Jimbaran'!AC22</f>
        <v>268.86283999999529</v>
      </c>
      <c r="H17" s="98">
        <f>'Localize Daily Bali Jimbaran'!AD22/'Localize Daily Bali Jimbaran'!AC22</f>
        <v>10026.341597224831</v>
      </c>
      <c r="I17" s="97">
        <f>'Localize Daily Bali Jimbaran'!AH22</f>
        <v>353.62000000000262</v>
      </c>
      <c r="J17" s="99">
        <f>'Localize Daily Bali Jimbaran'!AI22/'Localize Daily Bali Jimbaran'!AH22</f>
        <v>10300</v>
      </c>
      <c r="K17" s="97">
        <f>'Localize Daily Bali Jimbaran'!Q22</f>
        <v>44</v>
      </c>
      <c r="L17" s="98">
        <f>'Localize Daily Bali Jimbaran'!V22/'Localize Daily Bali Jimbaran'!Q22</f>
        <v>4245.18</v>
      </c>
      <c r="M17" s="97">
        <f>'Localize Daily Bali Jimbaran'!C22</f>
        <v>71</v>
      </c>
      <c r="N17" s="97">
        <v>166</v>
      </c>
    </row>
    <row r="18" spans="1:14" ht="15">
      <c r="A18" s="94" t="s">
        <v>14</v>
      </c>
      <c r="B18" s="95">
        <v>17</v>
      </c>
      <c r="C18" s="96">
        <v>2</v>
      </c>
      <c r="D18" s="95">
        <v>2020</v>
      </c>
      <c r="E18" s="97">
        <f>'Localize Daily Bali Jimbaran'!P23</f>
        <v>22880.000000000109</v>
      </c>
      <c r="F18" s="98">
        <f>'Localize Daily Bali Jimbaran'!O23/'Localize Daily Bali Jimbaran'!P23</f>
        <v>1181.6855480769234</v>
      </c>
      <c r="G18" s="97">
        <f>'Localize Daily Bali Jimbaran'!AC23</f>
        <v>103.31820000003516</v>
      </c>
      <c r="H18" s="98">
        <f>'Localize Daily Bali Jimbaran'!AD23/'Localize Daily Bali Jimbaran'!AC23</f>
        <v>9196</v>
      </c>
      <c r="I18" s="97">
        <f>'Localize Daily Bali Jimbaran'!AH23</f>
        <v>432.5</v>
      </c>
      <c r="J18" s="99">
        <f>'Localize Daily Bali Jimbaran'!AI23/'Localize Daily Bali Jimbaran'!AH23</f>
        <v>10300</v>
      </c>
      <c r="K18" s="97">
        <f>'Localize Daily Bali Jimbaran'!Q23</f>
        <v>72</v>
      </c>
      <c r="L18" s="98">
        <f>'Localize Daily Bali Jimbaran'!V23/'Localize Daily Bali Jimbaran'!Q23</f>
        <v>11107.84</v>
      </c>
      <c r="M18" s="97">
        <f>'Localize Daily Bali Jimbaran'!C23</f>
        <v>71</v>
      </c>
      <c r="N18" s="97">
        <v>162</v>
      </c>
    </row>
    <row r="19" spans="1:14" ht="15">
      <c r="A19" s="94" t="s">
        <v>14</v>
      </c>
      <c r="B19" s="95">
        <v>18</v>
      </c>
      <c r="C19" s="96">
        <v>2</v>
      </c>
      <c r="D19" s="95">
        <v>2020</v>
      </c>
      <c r="E19" s="97">
        <f>'Localize Daily Bali Jimbaran'!P24</f>
        <v>23300.000000000637</v>
      </c>
      <c r="F19" s="98">
        <f>'Localize Daily Bali Jimbaran'!O24/'Localize Daily Bali Jimbaran'!P24</f>
        <v>1179.5222587982821</v>
      </c>
      <c r="G19" s="97">
        <f>'Localize Daily Bali Jimbaran'!AC24</f>
        <v>89.300759999992962</v>
      </c>
      <c r="H19" s="98">
        <f>'Localize Daily Bali Jimbaran'!AD24/'Localize Daily Bali Jimbaran'!AC24</f>
        <v>9196</v>
      </c>
      <c r="I19" s="97">
        <f>'Localize Daily Bali Jimbaran'!AH24</f>
        <v>357</v>
      </c>
      <c r="J19" s="99">
        <f>'Localize Daily Bali Jimbaran'!AI24/'Localize Daily Bali Jimbaran'!AH24</f>
        <v>10300</v>
      </c>
      <c r="K19" s="97">
        <f>'Localize Daily Bali Jimbaran'!Q24</f>
        <v>3</v>
      </c>
      <c r="L19" s="98">
        <f>'Localize Daily Bali Jimbaran'!V24/'Localize Daily Bali Jimbaran'!Q24</f>
        <v>4245.18</v>
      </c>
      <c r="M19" s="97">
        <f>'Localize Daily Bali Jimbaran'!C24</f>
        <v>33</v>
      </c>
      <c r="N19" s="97">
        <v>108</v>
      </c>
    </row>
    <row r="20" spans="1:14" ht="15">
      <c r="A20" s="94" t="s">
        <v>14</v>
      </c>
      <c r="B20" s="95">
        <v>19</v>
      </c>
      <c r="C20" s="96">
        <v>2</v>
      </c>
      <c r="D20" s="95">
        <v>2020</v>
      </c>
      <c r="E20" s="97">
        <f>'Localize Daily Bali Jimbaran'!P25</f>
        <v>22940.000000000964</v>
      </c>
      <c r="F20" s="98">
        <f>'Localize Daily Bali Jimbaran'!O25/'Localize Daily Bali Jimbaran'!P25</f>
        <v>1180.0171059285074</v>
      </c>
      <c r="G20" s="97">
        <f>'Localize Daily Bali Jimbaran'!AC25</f>
        <v>112.21319999997654</v>
      </c>
      <c r="H20" s="98">
        <f>'Localize Daily Bali Jimbaran'!AD25/'Localize Daily Bali Jimbaran'!AC25</f>
        <v>9715.5110735636481</v>
      </c>
      <c r="I20" s="97">
        <f>'Localize Daily Bali Jimbaran'!AH25</f>
        <v>853.4999999999709</v>
      </c>
      <c r="J20" s="99">
        <f>'Localize Daily Bali Jimbaran'!AI25/'Localize Daily Bali Jimbaran'!AH25</f>
        <v>10300</v>
      </c>
      <c r="K20" s="97">
        <f>'Localize Daily Bali Jimbaran'!Q25</f>
        <v>32</v>
      </c>
      <c r="L20" s="98">
        <f>'Localize Daily Bali Jimbaran'!V25/'Localize Daily Bali Jimbaran'!Q25</f>
        <v>17541.583750000002</v>
      </c>
      <c r="M20" s="97">
        <f>'Localize Daily Bali Jimbaran'!C25</f>
        <v>37</v>
      </c>
      <c r="N20" s="97">
        <v>112</v>
      </c>
    </row>
    <row r="21" spans="1:14" ht="15">
      <c r="A21" s="94" t="s">
        <v>14</v>
      </c>
      <c r="B21" s="95">
        <v>20</v>
      </c>
      <c r="C21" s="96">
        <v>2</v>
      </c>
      <c r="D21" s="95">
        <v>2020</v>
      </c>
      <c r="E21" s="97">
        <f>'Localize Daily Bali Jimbaran'!P26</f>
        <v>22359.999999999218</v>
      </c>
      <c r="F21" s="98">
        <f>'Localize Daily Bali Jimbaran'!O26/'Localize Daily Bali Jimbaran'!P26</f>
        <v>1188.7382093023366</v>
      </c>
      <c r="G21" s="97">
        <f>'Localize Daily Bali Jimbaran'!AC26</f>
        <v>344.25519999997653</v>
      </c>
      <c r="H21" s="98">
        <f>'Localize Daily Bali Jimbaran'!AD26/'Localize Daily Bali Jimbaran'!AC26</f>
        <v>10135.709843162927</v>
      </c>
      <c r="I21" s="97">
        <f>'Localize Daily Bali Jimbaran'!AH26</f>
        <v>387.40000000002328</v>
      </c>
      <c r="J21" s="99">
        <f>'Localize Daily Bali Jimbaran'!AI26/'Localize Daily Bali Jimbaran'!AH26</f>
        <v>10300</v>
      </c>
      <c r="K21" s="97">
        <f>'Localize Daily Bali Jimbaran'!Q26</f>
        <v>5</v>
      </c>
      <c r="L21" s="98">
        <f>'Localize Daily Bali Jimbaran'!V26/'Localize Daily Bali Jimbaran'!Q26</f>
        <v>6990.2440000000006</v>
      </c>
      <c r="M21" s="97">
        <f>'Localize Daily Bali Jimbaran'!C26</f>
        <v>69</v>
      </c>
      <c r="N21" s="97">
        <v>158</v>
      </c>
    </row>
    <row r="22" spans="1:14" ht="15">
      <c r="A22" s="94" t="s">
        <v>14</v>
      </c>
      <c r="B22" s="95">
        <v>21</v>
      </c>
      <c r="C22" s="96">
        <v>2</v>
      </c>
      <c r="D22" s="95">
        <v>2020</v>
      </c>
      <c r="E22" s="97">
        <f>'Localize Daily Bali Jimbaran'!P27</f>
        <v>23319.999999999709</v>
      </c>
      <c r="F22" s="98">
        <f>'Localize Daily Bali Jimbaran'!O27/'Localize Daily Bali Jimbaran'!P27</f>
        <v>1179.4433966552233</v>
      </c>
      <c r="G22" s="97">
        <f>'Localize Daily Bali Jimbaran'!AC27</f>
        <v>185.57216000000466</v>
      </c>
      <c r="H22" s="98">
        <f>'Localize Daily Bali Jimbaran'!AD27/'Localize Daily Bali Jimbaran'!AC27</f>
        <v>10015.864358964169</v>
      </c>
      <c r="I22" s="97">
        <f>'Localize Daily Bali Jimbaran'!AH27</f>
        <v>422.79000000001543</v>
      </c>
      <c r="J22" s="99">
        <f>'Localize Daily Bali Jimbaran'!AI27/'Localize Daily Bali Jimbaran'!AH27</f>
        <v>10300</v>
      </c>
      <c r="K22" s="97">
        <f>'Localize Daily Bali Jimbaran'!Q27</f>
        <v>2</v>
      </c>
      <c r="L22" s="98">
        <f>'Localize Daily Bali Jimbaran'!V27/'Localize Daily Bali Jimbaran'!Q27</f>
        <v>4245.18</v>
      </c>
      <c r="M22" s="97">
        <f>'Localize Daily Bali Jimbaran'!C27</f>
        <v>71</v>
      </c>
      <c r="N22" s="97">
        <v>173</v>
      </c>
    </row>
    <row r="23" spans="1:14" ht="15">
      <c r="A23" s="94" t="s">
        <v>14</v>
      </c>
      <c r="B23" s="95">
        <v>22</v>
      </c>
      <c r="C23" s="96">
        <v>2</v>
      </c>
      <c r="D23" s="95">
        <v>2020</v>
      </c>
      <c r="E23" s="97">
        <f>'Localize Daily Bali Jimbaran'!P28</f>
        <v>23560.000000001535</v>
      </c>
      <c r="F23" s="98">
        <f>'Localize Daily Bali Jimbaran'!O28/'Localize Daily Bali Jimbaran'!P28</f>
        <v>1177.5842610356447</v>
      </c>
      <c r="G23" s="97">
        <f>'Localize Daily Bali Jimbaran'!AC28</f>
        <v>245.98724000000703</v>
      </c>
      <c r="H23" s="98">
        <f>'Localize Daily Bali Jimbaran'!AD28/'Localize Daily Bali Jimbaran'!AC28</f>
        <v>9985.0653189978239</v>
      </c>
      <c r="I23" s="97">
        <f>'Localize Daily Bali Jimbaran'!AH28</f>
        <v>458.59999999999854</v>
      </c>
      <c r="J23" s="99">
        <f>'Localize Daily Bali Jimbaran'!AI28/'Localize Daily Bali Jimbaran'!AH28</f>
        <v>10300</v>
      </c>
      <c r="K23" s="97">
        <f>'Localize Daily Bali Jimbaran'!Q28</f>
        <v>1</v>
      </c>
      <c r="L23" s="98">
        <f>'Localize Daily Bali Jimbaran'!V28/'Localize Daily Bali Jimbaran'!Q28</f>
        <v>4245.18</v>
      </c>
      <c r="M23" s="97">
        <f>'Localize Daily Bali Jimbaran'!C28</f>
        <v>38</v>
      </c>
      <c r="N23" s="97">
        <v>114</v>
      </c>
    </row>
    <row r="24" spans="1:14" ht="15">
      <c r="A24" s="94" t="s">
        <v>14</v>
      </c>
      <c r="B24" s="95">
        <v>23</v>
      </c>
      <c r="C24" s="96">
        <v>2</v>
      </c>
      <c r="D24" s="95">
        <v>2020</v>
      </c>
      <c r="E24" s="97">
        <f>'Localize Daily Bali Jimbaran'!P29</f>
        <v>21699.999999998454</v>
      </c>
      <c r="F24" s="98">
        <f>'Localize Daily Bali Jimbaran'!O29/'Localize Daily Bali Jimbaran'!P29</f>
        <v>1182.2927516129148</v>
      </c>
      <c r="G24" s="97">
        <f>'Localize Daily Bali Jimbaran'!AC29</f>
        <v>103.43559999998827</v>
      </c>
      <c r="H24" s="98">
        <f>'Localize Daily Bali Jimbaran'!AD29/'Localize Daily Bali Jimbaran'!AC29</f>
        <v>9477.7985297132054</v>
      </c>
      <c r="I24" s="97">
        <f>'Localize Daily Bali Jimbaran'!AH29</f>
        <v>442.26000000000204</v>
      </c>
      <c r="J24" s="99">
        <f>'Localize Daily Bali Jimbaran'!AI29/'Localize Daily Bali Jimbaran'!AH29</f>
        <v>10300.000000000002</v>
      </c>
      <c r="K24" s="97">
        <f>'Localize Daily Bali Jimbaran'!Q29</f>
        <v>2</v>
      </c>
      <c r="L24" s="98">
        <f>'Localize Daily Bali Jimbaran'!V29/'Localize Daily Bali Jimbaran'!Q29</f>
        <v>4245.18</v>
      </c>
      <c r="M24" s="97">
        <f>'Localize Daily Bali Jimbaran'!C29</f>
        <v>35</v>
      </c>
      <c r="N24" s="97">
        <v>100</v>
      </c>
    </row>
    <row r="25" spans="1:14" ht="15">
      <c r="A25" s="94" t="s">
        <v>14</v>
      </c>
      <c r="B25" s="95">
        <v>24</v>
      </c>
      <c r="C25" s="96">
        <v>2</v>
      </c>
      <c r="D25" s="95">
        <v>2020</v>
      </c>
      <c r="E25" s="97">
        <f>'Localize Daily Bali Jimbaran'!P30</f>
        <v>21280.00000000111</v>
      </c>
      <c r="F25" s="98">
        <f>'Localize Daily Bali Jimbaran'!O30/'Localize Daily Bali Jimbaran'!P30</f>
        <v>1180.584769736834</v>
      </c>
      <c r="G25" s="97">
        <f>'Localize Daily Bali Jimbaran'!AC30</f>
        <v>93.046800000023438</v>
      </c>
      <c r="H25" s="98">
        <f>'Localize Daily Bali Jimbaran'!AD30/'Localize Daily Bali Jimbaran'!AC30</f>
        <v>9196</v>
      </c>
      <c r="I25" s="97">
        <f>'Localize Daily Bali Jimbaran'!AH30</f>
        <v>399</v>
      </c>
      <c r="J25" s="99">
        <f>'Localize Daily Bali Jimbaran'!AI30/'Localize Daily Bali Jimbaran'!AH30</f>
        <v>10300</v>
      </c>
      <c r="K25" s="97">
        <f>'Localize Daily Bali Jimbaran'!Q30</f>
        <v>64</v>
      </c>
      <c r="L25" s="98">
        <f>'Localize Daily Bali Jimbaran'!V30/'Localize Daily Bali Jimbaran'!Q30</f>
        <v>17756.041874999999</v>
      </c>
      <c r="M25" s="97">
        <f>'Localize Daily Bali Jimbaran'!C30</f>
        <v>26</v>
      </c>
      <c r="N25" s="97">
        <v>73</v>
      </c>
    </row>
    <row r="26" spans="1:14" ht="15">
      <c r="A26" s="94" t="s">
        <v>14</v>
      </c>
      <c r="B26" s="95">
        <v>25</v>
      </c>
      <c r="C26" s="96">
        <v>2</v>
      </c>
      <c r="D26" s="95">
        <v>2020</v>
      </c>
      <c r="E26" s="97">
        <f>'Localize Daily Bali Jimbaran'!P31</f>
        <v>20200.000000000728</v>
      </c>
      <c r="F26" s="98">
        <f>'Localize Daily Bali Jimbaran'!O31/'Localize Daily Bali Jimbaran'!P31</f>
        <v>1180.1738851485252</v>
      </c>
      <c r="G26" s="97">
        <f>'Localize Daily Bali Jimbaran'!AC31</f>
        <v>136.86112000003283</v>
      </c>
      <c r="H26" s="98">
        <f>'Localize Daily Bali Jimbaran'!AD31/'Localize Daily Bali Jimbaran'!AC31</f>
        <v>9834.9250650584981</v>
      </c>
      <c r="I26" s="97">
        <f>'Localize Daily Bali Jimbaran'!AH31</f>
        <v>318.87999999999738</v>
      </c>
      <c r="J26" s="99">
        <f>'Localize Daily Bali Jimbaran'!AI31/'Localize Daily Bali Jimbaran'!AH31</f>
        <v>10300</v>
      </c>
      <c r="K26" s="97">
        <f>'Localize Daily Bali Jimbaran'!Q31</f>
        <v>3</v>
      </c>
      <c r="L26" s="98">
        <f>'Localize Daily Bali Jimbaran'!V31/'Localize Daily Bali Jimbaran'!Q31</f>
        <v>4245.18</v>
      </c>
      <c r="M26" s="97">
        <f>'Localize Daily Bali Jimbaran'!C31</f>
        <v>26</v>
      </c>
      <c r="N26" s="97">
        <v>76</v>
      </c>
    </row>
    <row r="27" spans="1:14" ht="15">
      <c r="A27" s="94" t="s">
        <v>14</v>
      </c>
      <c r="B27" s="95">
        <v>26</v>
      </c>
      <c r="C27" s="96">
        <v>2</v>
      </c>
      <c r="D27" s="95">
        <v>2020</v>
      </c>
      <c r="E27" s="97">
        <f>'Localize Daily Bali Jimbaran'!P32</f>
        <v>19059.999999997897</v>
      </c>
      <c r="F27" s="98">
        <f>'Localize Daily Bali Jimbaran'!O32/'Localize Daily Bali Jimbaran'!P32</f>
        <v>1177.153644805876</v>
      </c>
      <c r="G27" s="97">
        <f>'Localize Daily Bali Jimbaran'!AC32</f>
        <v>91.234199999976539</v>
      </c>
      <c r="H27" s="98">
        <f>'Localize Daily Bali Jimbaran'!AD32/'Localize Daily Bali Jimbaran'!AC32</f>
        <v>9196</v>
      </c>
      <c r="I27" s="97">
        <f>'Localize Daily Bali Jimbaran'!AH32</f>
        <v>565.43999999996595</v>
      </c>
      <c r="J27" s="99">
        <f>'Localize Daily Bali Jimbaran'!AI32/'Localize Daily Bali Jimbaran'!AH32</f>
        <v>10300</v>
      </c>
      <c r="K27" s="97">
        <f>'Localize Daily Bali Jimbaran'!Q32</f>
        <v>15</v>
      </c>
      <c r="L27" s="98">
        <f>'Localize Daily Bali Jimbaran'!V32/'Localize Daily Bali Jimbaran'!Q32</f>
        <v>15225.436</v>
      </c>
      <c r="M27" s="97">
        <f>'Localize Daily Bali Jimbaran'!C32</f>
        <v>23</v>
      </c>
      <c r="N27" s="97">
        <v>73</v>
      </c>
    </row>
    <row r="28" spans="1:14" ht="15">
      <c r="A28" s="94" t="s">
        <v>14</v>
      </c>
      <c r="B28" s="95">
        <v>27</v>
      </c>
      <c r="C28" s="96">
        <v>2</v>
      </c>
      <c r="D28" s="95">
        <v>2020</v>
      </c>
      <c r="E28" s="97">
        <f>'Localize Daily Bali Jimbaran'!P33</f>
        <v>20720.000000000709</v>
      </c>
      <c r="F28" s="98">
        <f>'Localize Daily Bali Jimbaran'!O33/'Localize Daily Bali Jimbaran'!P33</f>
        <v>1185.198263513505</v>
      </c>
      <c r="G28" s="97">
        <f>'Localize Daily Bali Jimbaran'!AC33</f>
        <v>494.33575999999294</v>
      </c>
      <c r="H28" s="98">
        <f>'Localize Daily Bali Jimbaran'!AD33/'Localize Daily Bali Jimbaran'!AC33</f>
        <v>10243.061616582236</v>
      </c>
      <c r="I28" s="97">
        <f>'Localize Daily Bali Jimbaran'!AH33</f>
        <v>500.7300000000032</v>
      </c>
      <c r="J28" s="99">
        <f>'Localize Daily Bali Jimbaran'!AI33/'Localize Daily Bali Jimbaran'!AH33</f>
        <v>10300</v>
      </c>
      <c r="K28" s="97">
        <f>'Localize Daily Bali Jimbaran'!Q33</f>
        <v>1</v>
      </c>
      <c r="L28" s="98">
        <f>'Localize Daily Bali Jimbaran'!V33/'Localize Daily Bali Jimbaran'!Q33</f>
        <v>4245.18</v>
      </c>
      <c r="M28" s="97">
        <f>'Localize Daily Bali Jimbaran'!C33</f>
        <v>23</v>
      </c>
      <c r="N28" s="97">
        <v>63</v>
      </c>
    </row>
    <row r="29" spans="1:14" ht="15">
      <c r="A29" s="94" t="s">
        <v>14</v>
      </c>
      <c r="B29" s="95">
        <v>28</v>
      </c>
      <c r="C29" s="96">
        <v>2</v>
      </c>
      <c r="D29" s="95">
        <v>2020</v>
      </c>
      <c r="E29" s="97">
        <f>'Localize Daily Bali Jimbaran'!P34</f>
        <v>20640.000000000553</v>
      </c>
      <c r="F29" s="98">
        <f>'Localize Daily Bali Jimbaran'!O34/'Localize Daily Bali Jimbaran'!P34</f>
        <v>1177.6728270348892</v>
      </c>
      <c r="G29" s="97">
        <f>'Localize Daily Bali Jimbaran'!AC34</f>
        <v>87.286759999992952</v>
      </c>
      <c r="H29" s="98">
        <f>'Localize Daily Bali Jimbaran'!AD34/'Localize Daily Bali Jimbaran'!AC34</f>
        <v>9196</v>
      </c>
      <c r="I29" s="97">
        <f>'Localize Daily Bali Jimbaran'!AH34</f>
        <v>320.91999999999825</v>
      </c>
      <c r="J29" s="99">
        <f>'Localize Daily Bali Jimbaran'!AI34/'Localize Daily Bali Jimbaran'!AH34</f>
        <v>10300</v>
      </c>
      <c r="K29" s="97">
        <f>'Localize Daily Bali Jimbaran'!Q34</f>
        <v>0</v>
      </c>
      <c r="L29" s="98" t="e">
        <f>'Localize Daily Bali Jimbaran'!V34/'Localize Daily Bali Jimbaran'!Q34</f>
        <v>#DIV/0!</v>
      </c>
      <c r="M29" s="97">
        <f>'Localize Daily Bali Jimbaran'!C34</f>
        <v>15</v>
      </c>
      <c r="N29" s="97">
        <v>47</v>
      </c>
    </row>
    <row r="30" spans="1:14" ht="15">
      <c r="A30" s="94" t="s">
        <v>14</v>
      </c>
      <c r="B30" s="95">
        <v>29</v>
      </c>
      <c r="C30" s="96">
        <v>2</v>
      </c>
      <c r="D30" s="95">
        <v>2020</v>
      </c>
      <c r="E30" s="97">
        <f>'Localize Daily Bali Jimbaran'!P34</f>
        <v>20640.000000000553</v>
      </c>
      <c r="F30" s="98">
        <f>'Localize Daily Bali Jimbaran'!O35/'Localize Daily Bali Jimbaran'!P35</f>
        <v>1185.1713461538448</v>
      </c>
      <c r="G30" s="97">
        <f>'Localize Daily Bali Jimbaran'!AC34</f>
        <v>87.286759999992952</v>
      </c>
      <c r="H30" s="98">
        <f>'Localize Daily Bali Jimbaran'!AD35/'Localize Daily Bali Jimbaran'!AC35</f>
        <v>9196</v>
      </c>
      <c r="I30" s="97">
        <f>'Localize Daily Bali Jimbaran'!AH34</f>
        <v>320.91999999999825</v>
      </c>
      <c r="J30" s="99">
        <f>'Localize Daily Bali Jimbaran'!AI35/'Localize Daily Bali Jimbaran'!AH35</f>
        <v>10300</v>
      </c>
      <c r="K30" s="97">
        <f>'Localize Daily Bali Jimbaran'!Q34</f>
        <v>0</v>
      </c>
      <c r="L30" s="98" t="e">
        <f>'Localize Daily Bali Jimbaran'!V35/'Localize Daily Bali Jimbaran'!Q35</f>
        <v>#DIV/0!</v>
      </c>
      <c r="M30" s="97">
        <f>'Localize Daily Bali Jimbaran'!C34</f>
        <v>15</v>
      </c>
      <c r="N30" s="97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6"/>
  <sheetViews>
    <sheetView topLeftCell="J1" workbookViewId="0">
      <selection activeCell="AI7" sqref="AI7:AI35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5" t="s">
        <v>16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4"/>
    </row>
    <row r="4" spans="1:36" s="81" customFormat="1" ht="15.75" customHeight="1">
      <c r="A4" s="16"/>
      <c r="B4" s="156" t="s">
        <v>17</v>
      </c>
      <c r="C4" s="157" t="s">
        <v>18</v>
      </c>
      <c r="D4" s="158" t="s">
        <v>19</v>
      </c>
      <c r="E4" s="159" t="s">
        <v>20</v>
      </c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60" t="s">
        <v>21</v>
      </c>
      <c r="R4" s="160"/>
      <c r="S4" s="160"/>
      <c r="T4" s="160"/>
      <c r="U4" s="160"/>
      <c r="V4" s="160"/>
      <c r="W4" s="161" t="s">
        <v>22</v>
      </c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7"/>
    </row>
    <row r="5" spans="1:36" s="1" customFormat="1" ht="27" customHeight="1">
      <c r="A5" s="81"/>
      <c r="B5" s="156"/>
      <c r="C5" s="157"/>
      <c r="D5" s="158"/>
      <c r="E5" s="162" t="s">
        <v>23</v>
      </c>
      <c r="F5" s="162"/>
      <c r="G5" s="162"/>
      <c r="H5" s="162"/>
      <c r="I5" s="162"/>
      <c r="J5" s="163" t="s">
        <v>24</v>
      </c>
      <c r="K5" s="163"/>
      <c r="L5" s="163"/>
      <c r="M5" s="163"/>
      <c r="N5" s="163"/>
      <c r="O5" s="164" t="s">
        <v>25</v>
      </c>
      <c r="P5" s="166" t="s">
        <v>26</v>
      </c>
      <c r="Q5" s="82"/>
      <c r="R5" s="83" t="s">
        <v>27</v>
      </c>
      <c r="S5" s="82"/>
      <c r="T5" s="83" t="s">
        <v>27</v>
      </c>
      <c r="U5" s="83"/>
      <c r="V5" s="83" t="s">
        <v>28</v>
      </c>
      <c r="W5" s="161" t="s">
        <v>29</v>
      </c>
      <c r="X5" s="161"/>
      <c r="Y5" s="161"/>
      <c r="Z5" s="161"/>
      <c r="AA5" s="161"/>
      <c r="AB5" s="161"/>
      <c r="AC5" s="161"/>
      <c r="AD5" s="161"/>
      <c r="AE5" s="165" t="s">
        <v>30</v>
      </c>
      <c r="AF5" s="165"/>
      <c r="AG5" s="165"/>
      <c r="AH5" s="165"/>
      <c r="AI5" s="165"/>
      <c r="AJ5" s="81"/>
    </row>
    <row r="6" spans="1:36" s="1" customFormat="1" ht="58.5" customHeight="1">
      <c r="A6" s="84"/>
      <c r="B6" s="156"/>
      <c r="C6" s="157"/>
      <c r="D6" s="158"/>
      <c r="E6" s="71" t="s">
        <v>31</v>
      </c>
      <c r="F6" s="71" t="s">
        <v>32</v>
      </c>
      <c r="G6" s="78" t="s">
        <v>33</v>
      </c>
      <c r="H6" s="85" t="s">
        <v>32</v>
      </c>
      <c r="I6" s="71" t="s">
        <v>34</v>
      </c>
      <c r="J6" s="71" t="s">
        <v>31</v>
      </c>
      <c r="K6" s="80" t="s">
        <v>32</v>
      </c>
      <c r="L6" s="78" t="s">
        <v>33</v>
      </c>
      <c r="M6" s="86" t="s">
        <v>32</v>
      </c>
      <c r="N6" s="77" t="s">
        <v>35</v>
      </c>
      <c r="O6" s="164"/>
      <c r="P6" s="166"/>
      <c r="Q6" s="71" t="s">
        <v>36</v>
      </c>
      <c r="R6" s="71" t="s">
        <v>37</v>
      </c>
      <c r="S6" s="71" t="s">
        <v>38</v>
      </c>
      <c r="T6" s="80" t="s">
        <v>39</v>
      </c>
      <c r="U6" s="80" t="s">
        <v>40</v>
      </c>
      <c r="V6" s="80" t="s">
        <v>41</v>
      </c>
      <c r="W6" s="87" t="s">
        <v>42</v>
      </c>
      <c r="X6" s="88" t="s">
        <v>43</v>
      </c>
      <c r="Y6" s="87" t="s">
        <v>44</v>
      </c>
      <c r="Z6" s="122" t="s">
        <v>45</v>
      </c>
      <c r="AA6" s="122" t="s">
        <v>46</v>
      </c>
      <c r="AB6" s="87" t="s">
        <v>47</v>
      </c>
      <c r="AC6" s="87" t="s">
        <v>48</v>
      </c>
      <c r="AD6" s="88" t="s">
        <v>41</v>
      </c>
      <c r="AE6" s="124" t="s">
        <v>49</v>
      </c>
      <c r="AF6" s="124" t="s">
        <v>50</v>
      </c>
      <c r="AG6" s="124" t="s">
        <v>51</v>
      </c>
      <c r="AH6" s="124" t="s">
        <v>52</v>
      </c>
      <c r="AI6" s="87" t="s">
        <v>41</v>
      </c>
      <c r="AJ6" s="84"/>
    </row>
    <row r="7" spans="1:36" ht="15">
      <c r="A7" s="18"/>
      <c r="B7" s="79">
        <v>1</v>
      </c>
      <c r="C7" s="100">
        <v>79</v>
      </c>
      <c r="D7" s="101">
        <v>568</v>
      </c>
      <c r="E7" s="151">
        <v>18200.000000000728</v>
      </c>
      <c r="F7" s="151">
        <v>19793755.800000791</v>
      </c>
      <c r="G7" s="113">
        <v>3920.0000000000728</v>
      </c>
      <c r="H7" s="150">
        <v>6394905.7200001189</v>
      </c>
      <c r="I7" s="103">
        <f>F7+H7</f>
        <v>26188661.520000909</v>
      </c>
      <c r="J7" s="113">
        <v>1859.9999999996726</v>
      </c>
      <c r="K7" s="113">
        <v>2022878.3399996439</v>
      </c>
      <c r="L7" s="116">
        <v>480.00000000001819</v>
      </c>
      <c r="M7" s="118">
        <v>783049.68000002974</v>
      </c>
      <c r="N7" s="105">
        <f>K7+M7</f>
        <v>2805928.0199996736</v>
      </c>
      <c r="O7" s="103">
        <f>I7+N7</f>
        <v>28994589.54000058</v>
      </c>
      <c r="P7" s="105">
        <f>E7+G7+J7+L7</f>
        <v>24460.000000000491</v>
      </c>
      <c r="Q7" s="120">
        <f>R7+T7</f>
        <v>31</v>
      </c>
      <c r="R7" s="113">
        <v>30</v>
      </c>
      <c r="S7" s="113">
        <v>539115</v>
      </c>
      <c r="T7" s="113">
        <v>1</v>
      </c>
      <c r="U7" s="113">
        <v>4245.18</v>
      </c>
      <c r="V7" s="113">
        <f>S7+U7</f>
        <v>543360.18000000005</v>
      </c>
      <c r="W7" s="113">
        <v>116.16751999998593</v>
      </c>
      <c r="X7" s="104"/>
      <c r="Y7" s="108">
        <v>0</v>
      </c>
      <c r="Z7" s="106"/>
      <c r="AA7" s="106"/>
      <c r="AB7" s="110">
        <v>12</v>
      </c>
      <c r="AC7" s="120">
        <f>W7+X7+Y7+Z7+AA7+AB7</f>
        <v>128.16751999998593</v>
      </c>
      <c r="AD7" s="102">
        <v>1207776.5139198706</v>
      </c>
      <c r="AE7" s="107"/>
      <c r="AF7" s="125">
        <v>347.35000000000582</v>
      </c>
      <c r="AG7" s="127">
        <v>0</v>
      </c>
      <c r="AH7" s="127">
        <f>AF7+AG7</f>
        <v>347.35000000000582</v>
      </c>
      <c r="AI7" s="129">
        <v>3577705.0000000601</v>
      </c>
      <c r="AJ7" s="18"/>
    </row>
    <row r="8" spans="1:36" ht="15">
      <c r="A8" s="19"/>
      <c r="B8" s="64">
        <v>2</v>
      </c>
      <c r="C8" s="65">
        <v>65</v>
      </c>
      <c r="D8" s="65">
        <v>557</v>
      </c>
      <c r="E8" s="109">
        <v>18680.000000000291</v>
      </c>
      <c r="F8" s="109">
        <v>20315788.920000315</v>
      </c>
      <c r="G8" s="121">
        <v>3840.0000000001455</v>
      </c>
      <c r="H8" s="121">
        <v>6264397.4400002379</v>
      </c>
      <c r="I8" s="103">
        <f>F8+H8</f>
        <v>26580186.360000551</v>
      </c>
      <c r="J8" s="152">
        <v>2000</v>
      </c>
      <c r="K8" s="152">
        <v>2175138</v>
      </c>
      <c r="L8" s="117">
        <v>500</v>
      </c>
      <c r="M8" s="119">
        <v>815676.75</v>
      </c>
      <c r="N8" s="105">
        <f>K8+M8</f>
        <v>2990814.75</v>
      </c>
      <c r="O8" s="103">
        <f>I8+N8</f>
        <v>29571001.110000551</v>
      </c>
      <c r="P8" s="105">
        <f>E8+G8+J8+L8</f>
        <v>25020.000000000437</v>
      </c>
      <c r="Q8" s="120">
        <f>R8+T8</f>
        <v>44</v>
      </c>
      <c r="R8" s="121">
        <v>38</v>
      </c>
      <c r="S8" s="121">
        <v>682879</v>
      </c>
      <c r="T8" s="114">
        <v>6</v>
      </c>
      <c r="U8" s="114">
        <v>25471.08</v>
      </c>
      <c r="V8" s="113">
        <f>S8+U8</f>
        <v>708350.08</v>
      </c>
      <c r="W8" s="123">
        <v>119.59132000000936</v>
      </c>
      <c r="X8" s="110"/>
      <c r="Y8" s="108">
        <v>150</v>
      </c>
      <c r="Z8" s="110"/>
      <c r="AA8" s="110"/>
      <c r="AB8" s="110">
        <v>12</v>
      </c>
      <c r="AC8" s="120">
        <f>W8+X8+Y8+Z8+AA8+AB8</f>
        <v>281.59132000000938</v>
      </c>
      <c r="AD8" s="108">
        <v>2812761.778720086</v>
      </c>
      <c r="AE8" s="111"/>
      <c r="AF8" s="126">
        <v>422.04999999999563</v>
      </c>
      <c r="AG8" s="128">
        <v>0</v>
      </c>
      <c r="AH8" s="127">
        <f>AF8+AG8</f>
        <v>422.04999999999563</v>
      </c>
      <c r="AI8" s="130">
        <v>4347114.9999999553</v>
      </c>
      <c r="AJ8" s="21"/>
    </row>
    <row r="9" spans="1:36" ht="15">
      <c r="A9" s="19"/>
      <c r="B9" s="79">
        <v>3</v>
      </c>
      <c r="C9" s="65">
        <v>68</v>
      </c>
      <c r="D9" s="65">
        <v>382</v>
      </c>
      <c r="E9" s="109">
        <v>18320.000000001528</v>
      </c>
      <c r="F9" s="109">
        <v>19924264.08000166</v>
      </c>
      <c r="G9" s="121">
        <v>3960.0000000000364</v>
      </c>
      <c r="H9" s="121">
        <v>6460159.8600000599</v>
      </c>
      <c r="I9" s="103">
        <f>F9+H9</f>
        <v>26384423.940001719</v>
      </c>
      <c r="J9" s="152">
        <v>1859.9999999996726</v>
      </c>
      <c r="K9" s="152">
        <v>2022878.3399996439</v>
      </c>
      <c r="L9" s="117">
        <v>460.00000000003638</v>
      </c>
      <c r="M9" s="119">
        <v>750422.61000005936</v>
      </c>
      <c r="N9" s="105">
        <f>K9+M9</f>
        <v>2773300.9499997031</v>
      </c>
      <c r="O9" s="103">
        <f>I9+N9</f>
        <v>29157724.890001424</v>
      </c>
      <c r="P9" s="105">
        <f>E9+G9+J9+L9</f>
        <v>24600.000000001273</v>
      </c>
      <c r="Q9" s="120">
        <f>R9+T9</f>
        <v>64</v>
      </c>
      <c r="R9" s="121">
        <v>59</v>
      </c>
      <c r="S9" s="121">
        <v>1060259.5</v>
      </c>
      <c r="T9" s="114">
        <v>5</v>
      </c>
      <c r="U9" s="114">
        <v>21225.9</v>
      </c>
      <c r="V9" s="113">
        <f>S9+U9</f>
        <v>1081485.3999999999</v>
      </c>
      <c r="W9" s="123">
        <v>108.63516000000467</v>
      </c>
      <c r="X9" s="110"/>
      <c r="Y9" s="108">
        <v>100</v>
      </c>
      <c r="Z9" s="110"/>
      <c r="AA9" s="110"/>
      <c r="AB9" s="110">
        <v>0</v>
      </c>
      <c r="AC9" s="120">
        <f>W9+X9+Y9+Z9+AA9+AB9</f>
        <v>208.63516000000467</v>
      </c>
      <c r="AD9" s="108">
        <v>2048008.9313600431</v>
      </c>
      <c r="AE9" s="111"/>
      <c r="AF9" s="126">
        <v>400</v>
      </c>
      <c r="AG9" s="128">
        <v>0</v>
      </c>
      <c r="AH9" s="127">
        <f>AF9+AG9</f>
        <v>400</v>
      </c>
      <c r="AI9" s="130">
        <v>4120000</v>
      </c>
      <c r="AJ9" s="21"/>
    </row>
    <row r="10" spans="1:36" ht="15">
      <c r="A10" s="19"/>
      <c r="B10" s="64">
        <v>4</v>
      </c>
      <c r="C10" s="65">
        <v>62</v>
      </c>
      <c r="D10" s="65">
        <v>438</v>
      </c>
      <c r="E10" s="109">
        <v>17679.999999998472</v>
      </c>
      <c r="F10" s="109">
        <v>19228219.919998337</v>
      </c>
      <c r="G10" s="121">
        <v>3799.9999999997272</v>
      </c>
      <c r="H10" s="121">
        <v>6199143.2999995556</v>
      </c>
      <c r="I10" s="103">
        <f>F10+H10</f>
        <v>25427363.21999789</v>
      </c>
      <c r="J10" s="152">
        <v>1880.0000000001091</v>
      </c>
      <c r="K10" s="152">
        <v>2044629.7200001187</v>
      </c>
      <c r="L10" s="117">
        <v>460.00000000003638</v>
      </c>
      <c r="M10" s="119">
        <v>750422.61000005936</v>
      </c>
      <c r="N10" s="105">
        <f>K10+M10</f>
        <v>2795052.330000178</v>
      </c>
      <c r="O10" s="103">
        <f>I10+N10</f>
        <v>28222415.549998067</v>
      </c>
      <c r="P10" s="105">
        <f>E10+G10+J10+L10</f>
        <v>23819.999999998345</v>
      </c>
      <c r="Q10" s="120">
        <f>R10+T10</f>
        <v>82</v>
      </c>
      <c r="R10" s="121">
        <v>80</v>
      </c>
      <c r="S10" s="121">
        <v>1437640</v>
      </c>
      <c r="T10" s="114">
        <v>2</v>
      </c>
      <c r="U10" s="114">
        <v>8490.36</v>
      </c>
      <c r="V10" s="113">
        <f>S10+U10</f>
        <v>1446130.36</v>
      </c>
      <c r="W10" s="123">
        <v>0</v>
      </c>
      <c r="X10" s="110"/>
      <c r="Y10" s="108">
        <v>250</v>
      </c>
      <c r="Z10" s="110">
        <v>50</v>
      </c>
      <c r="AA10" s="110"/>
      <c r="AB10" s="110">
        <v>24</v>
      </c>
      <c r="AC10" s="120">
        <f>W10+X10+Y10+Z10+AA10+AB10</f>
        <v>324</v>
      </c>
      <c r="AD10" s="108">
        <v>3426000</v>
      </c>
      <c r="AE10" s="111"/>
      <c r="AF10" s="126">
        <v>326.90000000000146</v>
      </c>
      <c r="AG10" s="128">
        <v>0</v>
      </c>
      <c r="AH10" s="127">
        <f>AF10+AG10</f>
        <v>326.90000000000146</v>
      </c>
      <c r="AI10" s="130">
        <v>3367070.0000000149</v>
      </c>
      <c r="AJ10" s="21"/>
    </row>
    <row r="11" spans="1:36" ht="15">
      <c r="A11" s="19"/>
      <c r="B11" s="79">
        <v>5</v>
      </c>
      <c r="C11" s="65">
        <v>62</v>
      </c>
      <c r="D11" s="65">
        <v>417</v>
      </c>
      <c r="E11" s="109">
        <v>18440.000000000509</v>
      </c>
      <c r="F11" s="109">
        <v>20054772.360000554</v>
      </c>
      <c r="G11" s="121">
        <v>3840.0000000001455</v>
      </c>
      <c r="H11" s="121">
        <v>6264397.4400002379</v>
      </c>
      <c r="I11" s="103">
        <f>F11+H11</f>
        <v>26319169.800000794</v>
      </c>
      <c r="J11" s="152">
        <v>1880.0000000001091</v>
      </c>
      <c r="K11" s="152">
        <v>2044629.7200001187</v>
      </c>
      <c r="L11" s="117">
        <v>420.00000000007276</v>
      </c>
      <c r="M11" s="119">
        <v>685168.47000011872</v>
      </c>
      <c r="N11" s="105">
        <f>K11+M11</f>
        <v>2729798.1900002374</v>
      </c>
      <c r="O11" s="103">
        <f>I11+N11</f>
        <v>29048967.99000103</v>
      </c>
      <c r="P11" s="105">
        <f>E11+G11+J11+L11</f>
        <v>24580.000000000837</v>
      </c>
      <c r="Q11" s="120">
        <f>R11+T11</f>
        <v>29</v>
      </c>
      <c r="R11" s="121">
        <v>14</v>
      </c>
      <c r="S11" s="121">
        <v>251587</v>
      </c>
      <c r="T11" s="114">
        <v>15</v>
      </c>
      <c r="U11" s="114">
        <v>63677.700000000004</v>
      </c>
      <c r="V11" s="113">
        <f>S11+U11</f>
        <v>315264.7</v>
      </c>
      <c r="W11" s="123">
        <v>98.202640000018746</v>
      </c>
      <c r="X11" s="110"/>
      <c r="Y11" s="108">
        <v>0</v>
      </c>
      <c r="Z11" s="110"/>
      <c r="AA11" s="110"/>
      <c r="AB11" s="110">
        <v>0</v>
      </c>
      <c r="AC11" s="120">
        <f>W11+X11+Y11+Z11+AA11+AB11</f>
        <v>98.202640000018746</v>
      </c>
      <c r="AD11" s="108">
        <v>903071.47744017234</v>
      </c>
      <c r="AE11" s="111"/>
      <c r="AF11" s="126">
        <v>442.84999999999854</v>
      </c>
      <c r="AG11" s="128">
        <v>66.000000000029104</v>
      </c>
      <c r="AH11" s="127">
        <f>AF11+AG11</f>
        <v>508.85000000002765</v>
      </c>
      <c r="AI11" s="130">
        <v>5241155.000000285</v>
      </c>
      <c r="AJ11" s="21"/>
    </row>
    <row r="12" spans="1:36" ht="15">
      <c r="A12" s="19"/>
      <c r="B12" s="64">
        <v>6</v>
      </c>
      <c r="C12" s="65">
        <v>49</v>
      </c>
      <c r="D12" s="65">
        <v>367</v>
      </c>
      <c r="E12" s="109">
        <v>18840.000000000146</v>
      </c>
      <c r="F12" s="109">
        <v>20489799.960000161</v>
      </c>
      <c r="G12" s="121">
        <v>3760.0000000002183</v>
      </c>
      <c r="H12" s="121">
        <v>6133889.1600003568</v>
      </c>
      <c r="I12" s="103">
        <f>F12+H12</f>
        <v>26623689.120000519</v>
      </c>
      <c r="J12" s="152">
        <v>1920.0000000000728</v>
      </c>
      <c r="K12" s="152">
        <v>2088132.4800000791</v>
      </c>
      <c r="L12" s="117">
        <v>479.99999999979082</v>
      </c>
      <c r="M12" s="119">
        <v>783049.67999965884</v>
      </c>
      <c r="N12" s="105">
        <f>K12+M12</f>
        <v>2871182.159999738</v>
      </c>
      <c r="O12" s="103">
        <f>I12+N12</f>
        <v>29494871.280000258</v>
      </c>
      <c r="P12" s="105">
        <f>E12+G12+J12+L12</f>
        <v>25000.000000000226</v>
      </c>
      <c r="Q12" s="120">
        <f>R12+T12</f>
        <v>107</v>
      </c>
      <c r="R12" s="121">
        <v>78</v>
      </c>
      <c r="S12" s="121">
        <v>1401699</v>
      </c>
      <c r="T12" s="114">
        <v>29</v>
      </c>
      <c r="U12" s="114">
        <v>123110.22</v>
      </c>
      <c r="V12" s="113">
        <f>S12+U12</f>
        <v>1524809.22</v>
      </c>
      <c r="W12" s="123">
        <v>101.22363999996013</v>
      </c>
      <c r="X12" s="110"/>
      <c r="Y12" s="108">
        <v>200</v>
      </c>
      <c r="Z12" s="110"/>
      <c r="AA12" s="110"/>
      <c r="AB12" s="110">
        <v>36</v>
      </c>
      <c r="AC12" s="120">
        <f>W12+X12+Y12+Z12+AA12+AB12</f>
        <v>337.22363999996014</v>
      </c>
      <c r="AD12" s="108">
        <v>3447352.5934396335</v>
      </c>
      <c r="AE12" s="111"/>
      <c r="AF12" s="126">
        <v>608.75</v>
      </c>
      <c r="AG12" s="128">
        <v>0</v>
      </c>
      <c r="AH12" s="127">
        <f>AF12+AG12</f>
        <v>608.75</v>
      </c>
      <c r="AI12" s="130">
        <v>6270125</v>
      </c>
      <c r="AJ12" s="21"/>
    </row>
    <row r="13" spans="1:36" ht="15">
      <c r="A13" s="19"/>
      <c r="B13" s="79">
        <v>7</v>
      </c>
      <c r="C13" s="65">
        <v>59</v>
      </c>
      <c r="D13" s="65">
        <v>387</v>
      </c>
      <c r="E13" s="109">
        <v>17959.999999999127</v>
      </c>
      <c r="F13" s="109">
        <v>19532739.239999052</v>
      </c>
      <c r="G13" s="121">
        <v>3679.9999999998363</v>
      </c>
      <c r="H13" s="121">
        <v>6003380.8799997335</v>
      </c>
      <c r="I13" s="103">
        <f>F13+H13</f>
        <v>25536120.119998787</v>
      </c>
      <c r="J13" s="152">
        <v>2019.9999999995271</v>
      </c>
      <c r="K13" s="152">
        <v>2196889.3799994858</v>
      </c>
      <c r="L13" s="117">
        <v>480.00000000001819</v>
      </c>
      <c r="M13" s="119">
        <v>783049.68000002974</v>
      </c>
      <c r="N13" s="105">
        <f>K13+M13</f>
        <v>2979939.0599995153</v>
      </c>
      <c r="O13" s="103">
        <f>I13+N13</f>
        <v>28516059.179998301</v>
      </c>
      <c r="P13" s="105">
        <f>E13+G13+J13+L13</f>
        <v>24139.999999998508</v>
      </c>
      <c r="Q13" s="120">
        <f>R13+T13</f>
        <v>5</v>
      </c>
      <c r="R13" s="121">
        <v>4</v>
      </c>
      <c r="S13" s="121">
        <v>71882</v>
      </c>
      <c r="T13" s="114">
        <v>1</v>
      </c>
      <c r="U13" s="114">
        <v>4245.18</v>
      </c>
      <c r="V13" s="113">
        <f>S13+U13</f>
        <v>76127.179999999993</v>
      </c>
      <c r="W13" s="123">
        <v>88.736839999995297</v>
      </c>
      <c r="X13" s="110"/>
      <c r="Y13" s="108">
        <v>100</v>
      </c>
      <c r="Z13" s="110"/>
      <c r="AA13" s="110"/>
      <c r="AB13" s="110">
        <v>12</v>
      </c>
      <c r="AC13" s="120">
        <f>W13+X13+Y13+Z13+AA13+AB13</f>
        <v>200.73683999999531</v>
      </c>
      <c r="AD13" s="108">
        <v>2004523.9806399569</v>
      </c>
      <c r="AE13" s="111"/>
      <c r="AF13" s="126">
        <v>440.20000000000437</v>
      </c>
      <c r="AG13" s="128">
        <v>0</v>
      </c>
      <c r="AH13" s="127">
        <f>AF13+AG13</f>
        <v>440.20000000000437</v>
      </c>
      <c r="AI13" s="130">
        <v>4534060.0000000447</v>
      </c>
      <c r="AJ13" s="21"/>
    </row>
    <row r="14" spans="1:36" ht="15">
      <c r="A14" s="19"/>
      <c r="B14" s="64">
        <v>8</v>
      </c>
      <c r="C14" s="65">
        <v>55</v>
      </c>
      <c r="D14" s="65">
        <v>463</v>
      </c>
      <c r="E14" s="109">
        <v>18120.0000000008</v>
      </c>
      <c r="F14" s="109">
        <v>19706750.280000869</v>
      </c>
      <c r="G14" s="121">
        <v>3719.9999999997999</v>
      </c>
      <c r="H14" s="121">
        <v>6068635.0199996736</v>
      </c>
      <c r="I14" s="103">
        <f>F14+H14</f>
        <v>25775385.300000541</v>
      </c>
      <c r="J14" s="152">
        <v>2119.9999999998909</v>
      </c>
      <c r="K14" s="152">
        <v>2305646.2799998815</v>
      </c>
      <c r="L14" s="117">
        <v>519.99999999998181</v>
      </c>
      <c r="M14" s="119">
        <v>848303.81999997038</v>
      </c>
      <c r="N14" s="105">
        <f>K14+M14</f>
        <v>3153950.099999852</v>
      </c>
      <c r="O14" s="103">
        <f>I14+N14</f>
        <v>28929335.400000393</v>
      </c>
      <c r="P14" s="105">
        <f>E14+G14+J14+L14</f>
        <v>24480.000000000473</v>
      </c>
      <c r="Q14" s="120">
        <f>R14+T14</f>
        <v>35</v>
      </c>
      <c r="R14" s="121">
        <v>0</v>
      </c>
      <c r="S14" s="121">
        <v>0</v>
      </c>
      <c r="T14" s="114">
        <v>35</v>
      </c>
      <c r="U14" s="114">
        <v>148581.30000000002</v>
      </c>
      <c r="V14" s="113">
        <f>S14+U14</f>
        <v>148581.30000000002</v>
      </c>
      <c r="W14" s="123">
        <v>102.71399999999998</v>
      </c>
      <c r="X14" s="110"/>
      <c r="Y14" s="108">
        <v>0</v>
      </c>
      <c r="Z14" s="110"/>
      <c r="AA14" s="110"/>
      <c r="AB14" s="110">
        <v>0</v>
      </c>
      <c r="AC14" s="120">
        <f>W14+X14+Y14+Z14+AA14+AB14</f>
        <v>102.71399999999998</v>
      </c>
      <c r="AD14" s="108">
        <v>944557.9439999999</v>
      </c>
      <c r="AE14" s="111"/>
      <c r="AF14" s="126">
        <v>427.29999999999563</v>
      </c>
      <c r="AG14" s="128">
        <v>0</v>
      </c>
      <c r="AH14" s="127">
        <f>AF14+AG14</f>
        <v>427.29999999999563</v>
      </c>
      <c r="AI14" s="130">
        <v>4401189.9999999553</v>
      </c>
      <c r="AJ14" s="21"/>
    </row>
    <row r="15" spans="1:36" ht="15">
      <c r="A15" s="19"/>
      <c r="B15" s="79">
        <v>9</v>
      </c>
      <c r="C15" s="65">
        <v>54</v>
      </c>
      <c r="D15" s="65">
        <v>357</v>
      </c>
      <c r="E15" s="109">
        <v>15520.000000000437</v>
      </c>
      <c r="F15" s="109">
        <v>16879070.880000476</v>
      </c>
      <c r="G15" s="121">
        <v>3120.0000000003456</v>
      </c>
      <c r="H15" s="121">
        <v>5089822.9200005643</v>
      </c>
      <c r="I15" s="103">
        <f>F15+H15</f>
        <v>21968893.80000104</v>
      </c>
      <c r="J15" s="152">
        <v>1880.0000000001091</v>
      </c>
      <c r="K15" s="152">
        <v>2044629.7200001187</v>
      </c>
      <c r="L15" s="117">
        <v>440.00000000005457</v>
      </c>
      <c r="M15" s="119">
        <v>717795.54000008909</v>
      </c>
      <c r="N15" s="105">
        <f>K15+M15</f>
        <v>2762425.2600002079</v>
      </c>
      <c r="O15" s="103">
        <f>I15+N15</f>
        <v>24731319.060001247</v>
      </c>
      <c r="P15" s="105">
        <f>E15+G15+J15+L15</f>
        <v>20960.000000000946</v>
      </c>
      <c r="Q15" s="120">
        <f>R15+T15</f>
        <v>46</v>
      </c>
      <c r="R15" s="121">
        <v>0</v>
      </c>
      <c r="S15" s="121">
        <v>0</v>
      </c>
      <c r="T15" s="114">
        <v>46</v>
      </c>
      <c r="U15" s="114">
        <v>195278.28000000003</v>
      </c>
      <c r="V15" s="113">
        <f>S15+U15</f>
        <v>195278.28000000003</v>
      </c>
      <c r="W15" s="123">
        <v>88.495160000004674</v>
      </c>
      <c r="X15" s="110"/>
      <c r="Y15" s="108">
        <v>0</v>
      </c>
      <c r="Z15" s="110">
        <v>50</v>
      </c>
      <c r="AA15" s="110"/>
      <c r="AB15" s="110">
        <v>0</v>
      </c>
      <c r="AC15" s="120">
        <f>W15+X15+Y15+Z15+AA15+AB15</f>
        <v>138.49516000000466</v>
      </c>
      <c r="AD15" s="108">
        <v>1338301.4913600429</v>
      </c>
      <c r="AE15" s="111"/>
      <c r="AF15" s="126">
        <v>445.84999999999854</v>
      </c>
      <c r="AG15" s="128">
        <v>0</v>
      </c>
      <c r="AH15" s="127">
        <f>AF15+AG15</f>
        <v>445.84999999999854</v>
      </c>
      <c r="AI15" s="130">
        <v>4592254.9999999851</v>
      </c>
      <c r="AJ15" s="21"/>
    </row>
    <row r="16" spans="1:36" ht="15">
      <c r="A16" s="19"/>
      <c r="B16" s="64">
        <v>10</v>
      </c>
      <c r="C16" s="65">
        <v>50</v>
      </c>
      <c r="D16" s="65">
        <v>316</v>
      </c>
      <c r="E16" s="109">
        <v>16760.000000000218</v>
      </c>
      <c r="F16" s="109">
        <v>18227656.440000236</v>
      </c>
      <c r="G16" s="121">
        <v>3480.0000000000182</v>
      </c>
      <c r="H16" s="121">
        <v>5677110.1800000304</v>
      </c>
      <c r="I16" s="103">
        <f>F16+H16</f>
        <v>23904766.620000266</v>
      </c>
      <c r="J16" s="152">
        <v>1880.0000000001091</v>
      </c>
      <c r="K16" s="152">
        <v>2044629.7200001187</v>
      </c>
      <c r="L16" s="117">
        <v>480.00000000001819</v>
      </c>
      <c r="M16" s="119">
        <v>783049.68000002974</v>
      </c>
      <c r="N16" s="105">
        <f>K16+M16</f>
        <v>2827679.4000001485</v>
      </c>
      <c r="O16" s="103">
        <f>I16+N16</f>
        <v>26732446.020000413</v>
      </c>
      <c r="P16" s="105">
        <f>E16+G16+J16+L16</f>
        <v>22600.000000000364</v>
      </c>
      <c r="Q16" s="120">
        <f>R16+T16</f>
        <v>4</v>
      </c>
      <c r="R16" s="121">
        <v>0</v>
      </c>
      <c r="S16" s="121">
        <v>0</v>
      </c>
      <c r="T16" s="114">
        <v>4</v>
      </c>
      <c r="U16" s="114">
        <v>16980.72</v>
      </c>
      <c r="V16" s="113">
        <f>S16+U16</f>
        <v>16980.72</v>
      </c>
      <c r="W16" s="123">
        <v>105.41275999999296</v>
      </c>
      <c r="X16" s="110"/>
      <c r="Y16" s="108">
        <v>150</v>
      </c>
      <c r="Z16" s="110"/>
      <c r="AA16" s="110"/>
      <c r="AB16" s="110">
        <v>0</v>
      </c>
      <c r="AC16" s="120">
        <f>W16+X16+Y16+Z16+AA16+AB16</f>
        <v>255.41275999999294</v>
      </c>
      <c r="AD16" s="108">
        <v>2542875.7409599354</v>
      </c>
      <c r="AE16" s="111"/>
      <c r="AF16" s="126">
        <v>434</v>
      </c>
      <c r="AG16" s="128">
        <v>0</v>
      </c>
      <c r="AH16" s="127">
        <f>AF16+AG16</f>
        <v>434</v>
      </c>
      <c r="AI16" s="130">
        <v>4470200</v>
      </c>
      <c r="AJ16" s="21"/>
    </row>
    <row r="17" spans="1:36" ht="15">
      <c r="A17" s="19"/>
      <c r="B17" s="79">
        <v>11</v>
      </c>
      <c r="C17" s="65">
        <v>38</v>
      </c>
      <c r="D17" s="65">
        <v>369</v>
      </c>
      <c r="E17" s="109">
        <v>17239.999999999782</v>
      </c>
      <c r="F17" s="109">
        <v>18749689.55999976</v>
      </c>
      <c r="G17" s="121">
        <v>3359.9999999996726</v>
      </c>
      <c r="H17" s="121">
        <v>5481347.7599994661</v>
      </c>
      <c r="I17" s="103">
        <f>F17+H17</f>
        <v>24231037.319999225</v>
      </c>
      <c r="J17" s="152">
        <v>1560.0000000004002</v>
      </c>
      <c r="K17" s="152">
        <v>1696607.6400004353</v>
      </c>
      <c r="L17" s="117">
        <v>460.00000000003638</v>
      </c>
      <c r="M17" s="119">
        <v>750422.61000005936</v>
      </c>
      <c r="N17" s="105">
        <f>K17+M17</f>
        <v>2447030.2500004945</v>
      </c>
      <c r="O17" s="103">
        <f>I17+N17</f>
        <v>26678067.569999721</v>
      </c>
      <c r="P17" s="105">
        <f>E17+G17+J17+L17</f>
        <v>22619.999999999891</v>
      </c>
      <c r="Q17" s="120">
        <f>R17+T17</f>
        <v>31</v>
      </c>
      <c r="R17" s="121">
        <v>0</v>
      </c>
      <c r="S17" s="121">
        <v>0</v>
      </c>
      <c r="T17" s="114">
        <v>31</v>
      </c>
      <c r="U17" s="114">
        <v>131600.58000000002</v>
      </c>
      <c r="V17" s="113">
        <f>S17+U17</f>
        <v>131600.58000000002</v>
      </c>
      <c r="W17" s="123">
        <v>106.62116000000468</v>
      </c>
      <c r="X17" s="110"/>
      <c r="Y17" s="108">
        <v>0</v>
      </c>
      <c r="Z17" s="110"/>
      <c r="AA17" s="110"/>
      <c r="AB17" s="110">
        <v>0</v>
      </c>
      <c r="AC17" s="120">
        <f>W17+X17+Y17+Z17+AA17+AB17</f>
        <v>106.62116000000468</v>
      </c>
      <c r="AD17" s="108">
        <v>980488.18736004306</v>
      </c>
      <c r="AE17" s="111"/>
      <c r="AF17" s="126">
        <v>297.26000000000204</v>
      </c>
      <c r="AG17" s="128">
        <v>0</v>
      </c>
      <c r="AH17" s="127">
        <f>AF17+AG17</f>
        <v>297.26000000000204</v>
      </c>
      <c r="AI17" s="130">
        <v>3061778.000000021</v>
      </c>
      <c r="AJ17" s="21"/>
    </row>
    <row r="18" spans="1:36" ht="15">
      <c r="A18" s="19"/>
      <c r="B18" s="64">
        <v>12</v>
      </c>
      <c r="C18" s="65">
        <v>45</v>
      </c>
      <c r="D18" s="65">
        <v>284</v>
      </c>
      <c r="E18" s="109">
        <v>17079.999999999927</v>
      </c>
      <c r="F18" s="109">
        <v>18575678.519999921</v>
      </c>
      <c r="G18" s="121">
        <v>3480.0000000000182</v>
      </c>
      <c r="H18" s="121">
        <v>5677110.1800000304</v>
      </c>
      <c r="I18" s="103">
        <f>F18+H18</f>
        <v>24252788.699999951</v>
      </c>
      <c r="J18" s="152">
        <v>1779.9999999997453</v>
      </c>
      <c r="K18" s="152">
        <v>1935872.819999723</v>
      </c>
      <c r="L18" s="117">
        <v>440.00000000005457</v>
      </c>
      <c r="M18" s="119">
        <v>717795.54000008909</v>
      </c>
      <c r="N18" s="105">
        <f>K18+M18</f>
        <v>2653668.3599998122</v>
      </c>
      <c r="O18" s="103">
        <f>I18+N18</f>
        <v>26906457.059999764</v>
      </c>
      <c r="P18" s="105">
        <f>E18+G18+J18+L18</f>
        <v>22779.999999999745</v>
      </c>
      <c r="Q18" s="120">
        <f>R18+T18</f>
        <v>67</v>
      </c>
      <c r="R18" s="121">
        <v>0</v>
      </c>
      <c r="S18" s="121">
        <v>0</v>
      </c>
      <c r="T18" s="114">
        <v>67</v>
      </c>
      <c r="U18" s="114">
        <v>284427.06</v>
      </c>
      <c r="V18" s="113">
        <f>S18+U18</f>
        <v>284427.06</v>
      </c>
      <c r="W18" s="123">
        <v>104.00296000002812</v>
      </c>
      <c r="X18" s="110"/>
      <c r="Y18" s="108">
        <v>0</v>
      </c>
      <c r="Z18" s="110"/>
      <c r="AA18" s="110"/>
      <c r="AB18" s="110">
        <v>12</v>
      </c>
      <c r="AC18" s="120">
        <f>W18+X18+Y18+Z18+AA18+AB18</f>
        <v>116.00296000002812</v>
      </c>
      <c r="AD18" s="108">
        <v>1095911.2201602585</v>
      </c>
      <c r="AE18" s="111"/>
      <c r="AF18" s="126">
        <v>441.01000000000204</v>
      </c>
      <c r="AG18" s="128">
        <v>67.699999999982538</v>
      </c>
      <c r="AH18" s="127">
        <f>AF18+AG18</f>
        <v>508.70999999998457</v>
      </c>
      <c r="AI18" s="130">
        <v>5239712.9999998407</v>
      </c>
      <c r="AJ18" s="21"/>
    </row>
    <row r="19" spans="1:36" ht="15">
      <c r="A19" s="19"/>
      <c r="B19" s="79">
        <v>13</v>
      </c>
      <c r="C19" s="65">
        <v>45</v>
      </c>
      <c r="D19" s="65">
        <v>323</v>
      </c>
      <c r="E19" s="109">
        <v>17959.999999999127</v>
      </c>
      <c r="F19" s="109">
        <v>19532739.239999052</v>
      </c>
      <c r="G19" s="121">
        <v>3639.9999999998727</v>
      </c>
      <c r="H19" s="121">
        <v>5938126.7399997925</v>
      </c>
      <c r="I19" s="103">
        <f>F19+H19</f>
        <v>25470865.979998846</v>
      </c>
      <c r="J19" s="152">
        <v>2079.9999999999272</v>
      </c>
      <c r="K19" s="152">
        <v>2262143.5199999209</v>
      </c>
      <c r="L19" s="117">
        <v>460.00000000003638</v>
      </c>
      <c r="M19" s="119">
        <v>750422.61000005936</v>
      </c>
      <c r="N19" s="105">
        <f>K19+M19</f>
        <v>3012566.1299999803</v>
      </c>
      <c r="O19" s="103">
        <f>I19+N19</f>
        <v>28483432.109998826</v>
      </c>
      <c r="P19" s="105">
        <f>E19+G19+J19+L19</f>
        <v>24139.999999998963</v>
      </c>
      <c r="Q19" s="120">
        <f>R19+T19</f>
        <v>71</v>
      </c>
      <c r="R19" s="121">
        <v>0</v>
      </c>
      <c r="S19" s="121">
        <v>0</v>
      </c>
      <c r="T19" s="114">
        <v>71</v>
      </c>
      <c r="U19" s="114">
        <v>301407.78000000003</v>
      </c>
      <c r="V19" s="113">
        <f>S19+U19</f>
        <v>301407.78000000003</v>
      </c>
      <c r="W19" s="123">
        <v>112.9048399999953</v>
      </c>
      <c r="X19" s="110"/>
      <c r="Y19" s="108">
        <v>0</v>
      </c>
      <c r="Z19" s="110"/>
      <c r="AA19" s="110"/>
      <c r="AB19" s="110">
        <v>0</v>
      </c>
      <c r="AC19" s="120">
        <f>W19+X19+Y19+Z19+AA19+AB19</f>
        <v>112.9048399999953</v>
      </c>
      <c r="AD19" s="108">
        <v>1038272.9086399568</v>
      </c>
      <c r="AE19" s="111"/>
      <c r="AF19" s="126">
        <v>484.68000000000029</v>
      </c>
      <c r="AG19" s="128">
        <v>0</v>
      </c>
      <c r="AH19" s="127">
        <f>AF19+AG19</f>
        <v>484.68000000000029</v>
      </c>
      <c r="AI19" s="130">
        <v>4992204.0000000028</v>
      </c>
      <c r="AJ19" s="21"/>
    </row>
    <row r="20" spans="1:36" ht="15">
      <c r="A20" s="19"/>
      <c r="B20" s="64">
        <v>14</v>
      </c>
      <c r="C20" s="65">
        <v>46</v>
      </c>
      <c r="D20" s="65">
        <v>410</v>
      </c>
      <c r="E20" s="109">
        <v>17480.000000001382</v>
      </c>
      <c r="F20" s="109">
        <v>19010706.120001506</v>
      </c>
      <c r="G20" s="121">
        <v>3600.0000000003638</v>
      </c>
      <c r="H20" s="121">
        <v>5872872.6000005938</v>
      </c>
      <c r="I20" s="103">
        <f>F20+H20</f>
        <v>24883578.7200021</v>
      </c>
      <c r="J20" s="152">
        <v>1880.0000000001091</v>
      </c>
      <c r="K20" s="152">
        <v>2044629.7200001187</v>
      </c>
      <c r="L20" s="117">
        <v>480.00000000001819</v>
      </c>
      <c r="M20" s="119">
        <v>783049.68000002974</v>
      </c>
      <c r="N20" s="105">
        <f>K20+M20</f>
        <v>2827679.4000001485</v>
      </c>
      <c r="O20" s="103">
        <f>I20+N20</f>
        <v>27711258.120002247</v>
      </c>
      <c r="P20" s="105">
        <f>E20+G20+J20+L20</f>
        <v>23440.000000001874</v>
      </c>
      <c r="Q20" s="120">
        <f>R20+T20</f>
        <v>60</v>
      </c>
      <c r="R20" s="121">
        <v>0</v>
      </c>
      <c r="S20" s="121">
        <v>0</v>
      </c>
      <c r="T20" s="114">
        <v>60</v>
      </c>
      <c r="U20" s="114">
        <v>254710.80000000002</v>
      </c>
      <c r="V20" s="113">
        <f>S20+U20</f>
        <v>254710.80000000002</v>
      </c>
      <c r="W20" s="123">
        <v>106.98367999999061</v>
      </c>
      <c r="X20" s="110"/>
      <c r="Y20" s="108">
        <v>150</v>
      </c>
      <c r="Z20" s="110"/>
      <c r="AA20" s="110"/>
      <c r="AB20" s="110">
        <v>0</v>
      </c>
      <c r="AC20" s="120">
        <f>W20+X20+Y20+Z20+AA20+AB20</f>
        <v>256.98367999999061</v>
      </c>
      <c r="AD20" s="108">
        <v>2557321.9212799137</v>
      </c>
      <c r="AE20" s="111"/>
      <c r="AF20" s="126">
        <v>388.79999999999563</v>
      </c>
      <c r="AG20" s="128">
        <v>0</v>
      </c>
      <c r="AH20" s="127">
        <f>AF20+AG20</f>
        <v>388.79999999999563</v>
      </c>
      <c r="AI20" s="130">
        <v>4004639.9999999548</v>
      </c>
      <c r="AJ20" s="21"/>
    </row>
    <row r="21" spans="1:36" ht="15">
      <c r="A21" s="19"/>
      <c r="B21" s="79">
        <v>15</v>
      </c>
      <c r="C21" s="69">
        <v>35</v>
      </c>
      <c r="D21" s="69">
        <v>344</v>
      </c>
      <c r="E21" s="112">
        <v>18479.999999999563</v>
      </c>
      <c r="F21" s="112">
        <v>20098275.119999524</v>
      </c>
      <c r="G21" s="114">
        <v>3519.9999999999818</v>
      </c>
      <c r="H21" s="114">
        <v>5742364.3199999714</v>
      </c>
      <c r="I21" s="103">
        <f>F21+H21</f>
        <v>25840639.439999495</v>
      </c>
      <c r="J21" s="112">
        <v>1939.9999999995998</v>
      </c>
      <c r="K21" s="112">
        <v>2109883.8599995649</v>
      </c>
      <c r="L21" s="112">
        <v>459.99999999980901</v>
      </c>
      <c r="M21" s="114">
        <v>750422.60999968858</v>
      </c>
      <c r="N21" s="105">
        <f>K21+M21</f>
        <v>2860306.4699992537</v>
      </c>
      <c r="O21" s="103">
        <f>I21+N21</f>
        <v>28700945.909998748</v>
      </c>
      <c r="P21" s="105">
        <f>E21+G21+J21+L21</f>
        <v>24399.999999998952</v>
      </c>
      <c r="Q21" s="120">
        <f>R21+T21</f>
        <v>52</v>
      </c>
      <c r="R21" s="121">
        <v>0</v>
      </c>
      <c r="S21" s="121">
        <v>0</v>
      </c>
      <c r="T21" s="114">
        <v>52</v>
      </c>
      <c r="U21" s="114">
        <v>220749.36000000002</v>
      </c>
      <c r="V21" s="113">
        <f>S21+U21</f>
        <v>220749.36000000002</v>
      </c>
      <c r="W21" s="123">
        <v>94.537160000004675</v>
      </c>
      <c r="X21" s="110"/>
      <c r="Y21" s="108">
        <v>0</v>
      </c>
      <c r="Z21" s="110">
        <v>50</v>
      </c>
      <c r="AA21" s="110"/>
      <c r="AB21" s="110">
        <v>0</v>
      </c>
      <c r="AC21" s="120">
        <f>W21+X21+Y21+Z21+AA21+AB21</f>
        <v>144.53716000000469</v>
      </c>
      <c r="AD21" s="108">
        <v>1393863.723360043</v>
      </c>
      <c r="AE21" s="111"/>
      <c r="AF21" s="126">
        <v>299.9800000000032</v>
      </c>
      <c r="AG21" s="128">
        <v>0</v>
      </c>
      <c r="AH21" s="127">
        <f>AF21+AG21</f>
        <v>299.9800000000032</v>
      </c>
      <c r="AI21" s="130">
        <v>3089794.0000000331</v>
      </c>
      <c r="AJ21" s="21"/>
    </row>
    <row r="22" spans="1:36" ht="15">
      <c r="A22" s="19"/>
      <c r="B22" s="64">
        <v>16</v>
      </c>
      <c r="C22" s="69">
        <v>71</v>
      </c>
      <c r="D22" s="69">
        <v>450</v>
      </c>
      <c r="E22" s="112">
        <v>17279.999999998836</v>
      </c>
      <c r="F22" s="112">
        <v>18793192.319998737</v>
      </c>
      <c r="G22" s="114">
        <v>3839.9999999996908</v>
      </c>
      <c r="H22" s="114">
        <v>6264397.4399994966</v>
      </c>
      <c r="I22" s="103">
        <f>F22+H22</f>
        <v>25057589.759998232</v>
      </c>
      <c r="J22" s="112">
        <v>1880.0000000001091</v>
      </c>
      <c r="K22" s="112">
        <v>2044629.7200001187</v>
      </c>
      <c r="L22" s="112">
        <v>460.00000000003638</v>
      </c>
      <c r="M22" s="114">
        <v>750422.61000005936</v>
      </c>
      <c r="N22" s="105">
        <f>K22+M22</f>
        <v>2795052.330000178</v>
      </c>
      <c r="O22" s="103">
        <f>I22+N22</f>
        <v>27852642.089998409</v>
      </c>
      <c r="P22" s="105">
        <f>E22+G22+J22+L22</f>
        <v>23459.999999998672</v>
      </c>
      <c r="Q22" s="120">
        <f>R22+T22</f>
        <v>44</v>
      </c>
      <c r="R22" s="121">
        <v>0</v>
      </c>
      <c r="S22" s="121">
        <v>0</v>
      </c>
      <c r="T22" s="114">
        <v>44</v>
      </c>
      <c r="U22" s="114">
        <v>186787.92</v>
      </c>
      <c r="V22" s="113">
        <f>S22+U22</f>
        <v>186787.92</v>
      </c>
      <c r="W22" s="123">
        <v>106.8628399999953</v>
      </c>
      <c r="X22" s="110"/>
      <c r="Y22" s="108">
        <v>150</v>
      </c>
      <c r="Z22" s="110"/>
      <c r="AA22" s="110"/>
      <c r="AB22" s="110">
        <v>12</v>
      </c>
      <c r="AC22" s="120">
        <f>W22+X22+Y22+Z22+AA22+AB22</f>
        <v>268.86283999999529</v>
      </c>
      <c r="AD22" s="108">
        <v>2695710.6766399569</v>
      </c>
      <c r="AE22" s="111"/>
      <c r="AF22" s="126">
        <v>353.62000000000262</v>
      </c>
      <c r="AG22" s="128">
        <v>0</v>
      </c>
      <c r="AH22" s="127">
        <f>AF22+AG22</f>
        <v>353.62000000000262</v>
      </c>
      <c r="AI22" s="130">
        <v>3642286.000000027</v>
      </c>
      <c r="AJ22" s="21"/>
    </row>
    <row r="23" spans="1:36" ht="15">
      <c r="A23" s="19"/>
      <c r="B23" s="79">
        <v>17</v>
      </c>
      <c r="C23" s="69">
        <v>71</v>
      </c>
      <c r="D23" s="69">
        <v>309</v>
      </c>
      <c r="E23" s="112">
        <v>17079.999999999927</v>
      </c>
      <c r="F23" s="112">
        <v>18575678.519999921</v>
      </c>
      <c r="G23" s="114">
        <v>3519.9999999999818</v>
      </c>
      <c r="H23" s="114">
        <v>5742364.3199999714</v>
      </c>
      <c r="I23" s="103">
        <f>F23+H23</f>
        <v>24318042.839999892</v>
      </c>
      <c r="J23" s="112">
        <v>1840.0000000001455</v>
      </c>
      <c r="K23" s="112">
        <v>2001126.9600001583</v>
      </c>
      <c r="L23" s="112">
        <v>440.00000000005457</v>
      </c>
      <c r="M23" s="114">
        <v>717795.54000008909</v>
      </c>
      <c r="N23" s="105">
        <f>K23+M23</f>
        <v>2718922.5000002473</v>
      </c>
      <c r="O23" s="103">
        <f>I23+N23</f>
        <v>27036965.340000138</v>
      </c>
      <c r="P23" s="105">
        <f>E23+G23+J23+L23</f>
        <v>22880.000000000109</v>
      </c>
      <c r="Q23" s="120">
        <f>R23+T23</f>
        <v>72</v>
      </c>
      <c r="R23" s="121">
        <v>36</v>
      </c>
      <c r="S23" s="121">
        <v>646938</v>
      </c>
      <c r="T23" s="114">
        <v>36</v>
      </c>
      <c r="U23" s="114">
        <v>152826.48000000001</v>
      </c>
      <c r="V23" s="113">
        <f>S23+U23</f>
        <v>799764.47999999998</v>
      </c>
      <c r="W23" s="123">
        <v>103.31820000003516</v>
      </c>
      <c r="X23" s="110"/>
      <c r="Y23" s="108">
        <v>0</v>
      </c>
      <c r="Z23" s="110"/>
      <c r="AA23" s="110"/>
      <c r="AB23" s="110">
        <v>0</v>
      </c>
      <c r="AC23" s="120">
        <f>W23+X23+Y23+Z23+AA23+AB23</f>
        <v>103.31820000003516</v>
      </c>
      <c r="AD23" s="108">
        <v>950114.16720032331</v>
      </c>
      <c r="AE23" s="111"/>
      <c r="AF23" s="126">
        <v>432.5</v>
      </c>
      <c r="AG23" s="128">
        <v>0</v>
      </c>
      <c r="AH23" s="127">
        <f>AF23+AG23</f>
        <v>432.5</v>
      </c>
      <c r="AI23" s="130">
        <v>4454750</v>
      </c>
      <c r="AJ23" s="21"/>
    </row>
    <row r="24" spans="1:36" ht="15">
      <c r="A24" s="19"/>
      <c r="B24" s="64">
        <v>18</v>
      </c>
      <c r="C24" s="69">
        <v>33</v>
      </c>
      <c r="D24" s="69">
        <v>341</v>
      </c>
      <c r="E24" s="112">
        <v>17600.000000000364</v>
      </c>
      <c r="F24" s="112">
        <v>19141214.400000397</v>
      </c>
      <c r="G24" s="114">
        <v>3480.0000000000182</v>
      </c>
      <c r="H24" s="114">
        <v>5677110.1800000304</v>
      </c>
      <c r="I24" s="103">
        <f>F24+H24</f>
        <v>24818324.580000427</v>
      </c>
      <c r="J24" s="112">
        <v>1760.0000000002183</v>
      </c>
      <c r="K24" s="115">
        <v>1914121.4400002374</v>
      </c>
      <c r="L24" s="112">
        <v>460.00000000003638</v>
      </c>
      <c r="M24" s="114">
        <v>750422.61000005936</v>
      </c>
      <c r="N24" s="105">
        <f>K24+M24</f>
        <v>2664544.0500002969</v>
      </c>
      <c r="O24" s="103">
        <f>I24+N24</f>
        <v>27482868.630000725</v>
      </c>
      <c r="P24" s="105">
        <f>E24+G24+J24+L24</f>
        <v>23300.000000000637</v>
      </c>
      <c r="Q24" s="120">
        <f>R24+T24</f>
        <v>3</v>
      </c>
      <c r="R24" s="121">
        <v>0</v>
      </c>
      <c r="S24" s="121">
        <v>0</v>
      </c>
      <c r="T24" s="114">
        <v>3</v>
      </c>
      <c r="U24" s="114">
        <v>12735.54</v>
      </c>
      <c r="V24" s="113">
        <f>S24+U24</f>
        <v>12735.54</v>
      </c>
      <c r="W24" s="123">
        <v>89.300759999992962</v>
      </c>
      <c r="X24" s="110"/>
      <c r="Y24" s="108">
        <v>0</v>
      </c>
      <c r="Z24" s="110"/>
      <c r="AA24" s="110"/>
      <c r="AB24" s="110">
        <v>0</v>
      </c>
      <c r="AC24" s="120">
        <f>W24+X24+Y24+Z24+AA24+AB24</f>
        <v>89.300759999992962</v>
      </c>
      <c r="AD24" s="108">
        <v>821209.78895993531</v>
      </c>
      <c r="AE24" s="111"/>
      <c r="AF24" s="126">
        <v>357</v>
      </c>
      <c r="AG24" s="128">
        <v>0</v>
      </c>
      <c r="AH24" s="127">
        <f>AF24+AG24</f>
        <v>357</v>
      </c>
      <c r="AI24" s="130">
        <v>3677100</v>
      </c>
      <c r="AJ24" s="21"/>
    </row>
    <row r="25" spans="1:36" ht="15">
      <c r="A25" s="19"/>
      <c r="B25" s="79">
        <v>19</v>
      </c>
      <c r="C25" s="69">
        <v>37</v>
      </c>
      <c r="D25" s="69">
        <v>353</v>
      </c>
      <c r="E25" s="112">
        <v>17040.000000000873</v>
      </c>
      <c r="F25" s="112">
        <v>18532175.760000952</v>
      </c>
      <c r="G25" s="114">
        <v>3440.0000000000546</v>
      </c>
      <c r="H25" s="114">
        <v>5611856.0400000904</v>
      </c>
      <c r="I25" s="103">
        <f>F25+H25</f>
        <v>24144031.80000104</v>
      </c>
      <c r="J25" s="112">
        <v>2000</v>
      </c>
      <c r="K25" s="112">
        <v>2175138</v>
      </c>
      <c r="L25" s="112">
        <v>460.00000000003638</v>
      </c>
      <c r="M25" s="114">
        <v>750422.61000005936</v>
      </c>
      <c r="N25" s="105">
        <f>K25+M25</f>
        <v>2925560.6100000595</v>
      </c>
      <c r="O25" s="103">
        <f>I25+N25</f>
        <v>27069592.410001099</v>
      </c>
      <c r="P25" s="105">
        <f>E25+G25+J25+L25</f>
        <v>22940.000000000964</v>
      </c>
      <c r="Q25" s="120">
        <f>R25+T25</f>
        <v>32</v>
      </c>
      <c r="R25" s="121">
        <v>31</v>
      </c>
      <c r="S25" s="121">
        <v>557085.5</v>
      </c>
      <c r="T25" s="114">
        <v>1</v>
      </c>
      <c r="U25" s="114">
        <v>4245.18</v>
      </c>
      <c r="V25" s="113">
        <f>S25+U25</f>
        <v>561330.68000000005</v>
      </c>
      <c r="W25" s="123">
        <v>88.213199999976538</v>
      </c>
      <c r="X25" s="110"/>
      <c r="Y25" s="108">
        <v>0</v>
      </c>
      <c r="Z25" s="110"/>
      <c r="AA25" s="110"/>
      <c r="AB25" s="110">
        <v>24</v>
      </c>
      <c r="AC25" s="120">
        <f>W25+X25+Y25+Z25+AA25+AB25</f>
        <v>112.21319999997654</v>
      </c>
      <c r="AD25" s="108">
        <v>1090208.5871997843</v>
      </c>
      <c r="AE25" s="111"/>
      <c r="AF25" s="126">
        <v>352</v>
      </c>
      <c r="AG25" s="128">
        <v>501.4999999999709</v>
      </c>
      <c r="AH25" s="127">
        <f>AF25+AG25</f>
        <v>853.4999999999709</v>
      </c>
      <c r="AI25" s="130">
        <v>8791049.9999997001</v>
      </c>
      <c r="AJ25" s="21"/>
    </row>
    <row r="26" spans="1:36" ht="15">
      <c r="A26" s="19"/>
      <c r="B26" s="64">
        <v>20</v>
      </c>
      <c r="C26" s="69">
        <v>69</v>
      </c>
      <c r="D26" s="69">
        <v>351</v>
      </c>
      <c r="E26" s="112">
        <v>16199.999999998909</v>
      </c>
      <c r="F26" s="112">
        <v>17618617.799998812</v>
      </c>
      <c r="G26" s="114">
        <v>3640.0000000003274</v>
      </c>
      <c r="H26" s="114">
        <v>5938126.7400005348</v>
      </c>
      <c r="I26" s="103">
        <f>F26+H26</f>
        <v>23556744.539999347</v>
      </c>
      <c r="J26" s="112">
        <v>2000</v>
      </c>
      <c r="K26" s="112">
        <v>2175138</v>
      </c>
      <c r="L26" s="112">
        <v>519.99999999998181</v>
      </c>
      <c r="M26" s="114">
        <v>848303.81999997038</v>
      </c>
      <c r="N26" s="105">
        <f>K26+M26</f>
        <v>3023441.8199999705</v>
      </c>
      <c r="O26" s="103">
        <f>I26+N26</f>
        <v>26580186.359999318</v>
      </c>
      <c r="P26" s="105">
        <f>E26+G26+J26+L26</f>
        <v>22359.999999999218</v>
      </c>
      <c r="Q26" s="120">
        <f>R26+T26</f>
        <v>5</v>
      </c>
      <c r="R26" s="121">
        <v>1</v>
      </c>
      <c r="S26" s="121">
        <v>17970.5</v>
      </c>
      <c r="T26" s="114">
        <v>4</v>
      </c>
      <c r="U26" s="114">
        <v>16980.72</v>
      </c>
      <c r="V26" s="113">
        <f>S26+U26</f>
        <v>34951.22</v>
      </c>
      <c r="W26" s="123">
        <v>94.25519999997654</v>
      </c>
      <c r="X26" s="110"/>
      <c r="Y26" s="108">
        <v>250</v>
      </c>
      <c r="Z26" s="110"/>
      <c r="AA26" s="110"/>
      <c r="AB26" s="110">
        <v>0</v>
      </c>
      <c r="AC26" s="120">
        <f>W26+X26+Y26+Z26+AA26+AB26</f>
        <v>344.25519999997653</v>
      </c>
      <c r="AD26" s="108">
        <v>3489270.8191997842</v>
      </c>
      <c r="AE26" s="111"/>
      <c r="AF26" s="126">
        <v>290.39999999999418</v>
      </c>
      <c r="AG26" s="128">
        <v>97.000000000029104</v>
      </c>
      <c r="AH26" s="127">
        <f>AF26+AG26</f>
        <v>387.40000000002328</v>
      </c>
      <c r="AI26" s="130">
        <v>3990220.0000002398</v>
      </c>
      <c r="AJ26" s="21"/>
    </row>
    <row r="27" spans="1:36" ht="15">
      <c r="A27" s="19"/>
      <c r="B27" s="79">
        <v>21</v>
      </c>
      <c r="C27" s="65">
        <v>71</v>
      </c>
      <c r="D27" s="65">
        <v>338</v>
      </c>
      <c r="E27" s="109">
        <v>17440.000000000509</v>
      </c>
      <c r="F27" s="109">
        <v>18967203.360000554</v>
      </c>
      <c r="G27" s="121">
        <v>3439.9999999995998</v>
      </c>
      <c r="H27" s="121">
        <v>5611856.0399993481</v>
      </c>
      <c r="I27" s="103">
        <f>F27+H27</f>
        <v>24579059.399999902</v>
      </c>
      <c r="J27" s="152">
        <v>1939.9999999995998</v>
      </c>
      <c r="K27" s="152">
        <v>2109883.8599995649</v>
      </c>
      <c r="L27" s="117">
        <v>500</v>
      </c>
      <c r="M27" s="119">
        <v>815676.75</v>
      </c>
      <c r="N27" s="105">
        <f>K27+M27</f>
        <v>2925560.6099995649</v>
      </c>
      <c r="O27" s="103">
        <f>I27+N27</f>
        <v>27504620.009999465</v>
      </c>
      <c r="P27" s="105">
        <f>E27+G27+J27+L27</f>
        <v>23319.999999999709</v>
      </c>
      <c r="Q27" s="120">
        <f>R27+T27</f>
        <v>2</v>
      </c>
      <c r="R27" s="121">
        <v>0</v>
      </c>
      <c r="S27" s="121">
        <v>0</v>
      </c>
      <c r="T27" s="114">
        <v>2</v>
      </c>
      <c r="U27" s="114">
        <v>8490.36</v>
      </c>
      <c r="V27" s="113">
        <f>S27+U27</f>
        <v>8490.36</v>
      </c>
      <c r="W27" s="123">
        <v>99.572160000004672</v>
      </c>
      <c r="X27" s="110"/>
      <c r="Y27" s="108">
        <v>0</v>
      </c>
      <c r="Z27" s="110">
        <v>50</v>
      </c>
      <c r="AA27" s="110"/>
      <c r="AB27" s="110">
        <v>36</v>
      </c>
      <c r="AC27" s="120">
        <f>W27+X27+Y27+Z27+AA27+AB27</f>
        <v>185.57216000000466</v>
      </c>
      <c r="AD27" s="108">
        <v>1858665.5833600429</v>
      </c>
      <c r="AE27" s="111"/>
      <c r="AF27" s="126">
        <v>414.09000000000378</v>
      </c>
      <c r="AG27" s="128">
        <v>8.7000000000116415</v>
      </c>
      <c r="AH27" s="127">
        <f>AF27+AG27</f>
        <v>422.79000000001543</v>
      </c>
      <c r="AI27" s="130">
        <v>4354737.0000001593</v>
      </c>
      <c r="AJ27" s="21"/>
    </row>
    <row r="28" spans="1:36" ht="15">
      <c r="A28" s="19"/>
      <c r="B28" s="64">
        <v>22</v>
      </c>
      <c r="C28" s="65">
        <v>38</v>
      </c>
      <c r="D28" s="65">
        <v>369</v>
      </c>
      <c r="E28" s="109">
        <v>17880.000000001019</v>
      </c>
      <c r="F28" s="109">
        <v>19445733.720001105</v>
      </c>
      <c r="G28" s="121">
        <v>3480.0000000000182</v>
      </c>
      <c r="H28" s="121">
        <v>5677110.1800000304</v>
      </c>
      <c r="I28" s="103">
        <f>F28+H28</f>
        <v>25122843.900001135</v>
      </c>
      <c r="J28" s="152">
        <v>1780.0000000006548</v>
      </c>
      <c r="K28" s="152">
        <v>1935872.8200007121</v>
      </c>
      <c r="L28" s="117">
        <v>419.99999999984539</v>
      </c>
      <c r="M28" s="119">
        <v>685168.46999974793</v>
      </c>
      <c r="N28" s="105">
        <f>K28+M28</f>
        <v>2621041.2900004601</v>
      </c>
      <c r="O28" s="103">
        <f>I28+N28</f>
        <v>27743885.190001596</v>
      </c>
      <c r="P28" s="105">
        <f>E28+G28+J28+L28</f>
        <v>23560.000000001535</v>
      </c>
      <c r="Q28" s="120">
        <f>R28+T28</f>
        <v>1</v>
      </c>
      <c r="R28" s="121">
        <v>0</v>
      </c>
      <c r="S28" s="121">
        <v>0</v>
      </c>
      <c r="T28" s="114">
        <v>1</v>
      </c>
      <c r="U28" s="114">
        <v>4245.18</v>
      </c>
      <c r="V28" s="113">
        <f>S28+U28</f>
        <v>4245.18</v>
      </c>
      <c r="W28" s="123">
        <v>95.98724000000702</v>
      </c>
      <c r="X28" s="110"/>
      <c r="Y28" s="108">
        <v>150</v>
      </c>
      <c r="Z28" s="110"/>
      <c r="AA28" s="110"/>
      <c r="AB28" s="110">
        <v>0</v>
      </c>
      <c r="AC28" s="120">
        <f>W28+X28+Y28+Z28+AA28+AB28</f>
        <v>245.98724000000703</v>
      </c>
      <c r="AD28" s="108">
        <v>2456198.6590400646</v>
      </c>
      <c r="AE28" s="111"/>
      <c r="AF28" s="126">
        <v>458.59999999999854</v>
      </c>
      <c r="AG28" s="128">
        <v>0</v>
      </c>
      <c r="AH28" s="127">
        <f>AF28+AG28</f>
        <v>458.59999999999854</v>
      </c>
      <c r="AI28" s="130">
        <v>4723579.9999999851</v>
      </c>
      <c r="AJ28" s="21"/>
    </row>
    <row r="29" spans="1:36" ht="15">
      <c r="A29" s="19"/>
      <c r="B29" s="79">
        <v>23</v>
      </c>
      <c r="C29" s="65">
        <v>35</v>
      </c>
      <c r="D29" s="65">
        <v>357</v>
      </c>
      <c r="E29" s="109">
        <v>16199.999999998909</v>
      </c>
      <c r="F29" s="109">
        <v>17618617.799998812</v>
      </c>
      <c r="G29" s="121">
        <v>3320.0000000001637</v>
      </c>
      <c r="H29" s="121">
        <v>5416093.6200002674</v>
      </c>
      <c r="I29" s="103">
        <f>F29+H29</f>
        <v>23034711.419999078</v>
      </c>
      <c r="J29" s="152">
        <v>1719.9999999993452</v>
      </c>
      <c r="K29" s="152">
        <v>1870618.6799992877</v>
      </c>
      <c r="L29" s="117">
        <v>460.00000000003638</v>
      </c>
      <c r="M29" s="119">
        <v>750422.61000005936</v>
      </c>
      <c r="N29" s="105">
        <f>K29+M29</f>
        <v>2621041.2899993472</v>
      </c>
      <c r="O29" s="103">
        <f>I29+N29</f>
        <v>25655752.709998425</v>
      </c>
      <c r="P29" s="105">
        <f>E29+G29+J29+L29</f>
        <v>21699.999999998454</v>
      </c>
      <c r="Q29" s="120">
        <f>R29+T29</f>
        <v>2</v>
      </c>
      <c r="R29" s="121">
        <v>0</v>
      </c>
      <c r="S29" s="121">
        <v>0</v>
      </c>
      <c r="T29" s="114">
        <v>2</v>
      </c>
      <c r="U29" s="114">
        <v>8490.36</v>
      </c>
      <c r="V29" s="113">
        <f>S29+U29</f>
        <v>8490.36</v>
      </c>
      <c r="W29" s="123">
        <v>91.43559999998827</v>
      </c>
      <c r="X29" s="110"/>
      <c r="Y29" s="108">
        <v>0</v>
      </c>
      <c r="Z29" s="110"/>
      <c r="AA29" s="110"/>
      <c r="AB29" s="110">
        <v>12</v>
      </c>
      <c r="AC29" s="120">
        <f>W29+X29+Y29+Z29+AA29+AB29</f>
        <v>103.43559999998827</v>
      </c>
      <c r="AD29" s="108">
        <v>980341.77759989211</v>
      </c>
      <c r="AE29" s="111"/>
      <c r="AF29" s="126">
        <v>442.26000000000204</v>
      </c>
      <c r="AG29" s="128">
        <v>0</v>
      </c>
      <c r="AH29" s="127">
        <f>AF29+AG29</f>
        <v>442.26000000000204</v>
      </c>
      <c r="AI29" s="130">
        <v>4555278.0000000214</v>
      </c>
      <c r="AJ29" s="21"/>
    </row>
    <row r="30" spans="1:36" ht="15">
      <c r="A30" s="19"/>
      <c r="B30" s="64">
        <v>24</v>
      </c>
      <c r="C30" s="65">
        <v>26</v>
      </c>
      <c r="D30" s="65">
        <v>270</v>
      </c>
      <c r="E30" s="109">
        <v>15960.000000000946</v>
      </c>
      <c r="F30" s="109">
        <v>17357601.240001027</v>
      </c>
      <c r="G30" s="121">
        <v>3199.9999999998181</v>
      </c>
      <c r="H30" s="121">
        <v>5220331.199999704</v>
      </c>
      <c r="I30" s="103">
        <f>F30+H30</f>
        <v>22577932.440000731</v>
      </c>
      <c r="J30" s="152">
        <v>1680.000000000291</v>
      </c>
      <c r="K30" s="152">
        <v>1827115.9200003166</v>
      </c>
      <c r="L30" s="117">
        <v>440.00000000005457</v>
      </c>
      <c r="M30" s="119">
        <v>717795.54000008909</v>
      </c>
      <c r="N30" s="105">
        <f>K30+M30</f>
        <v>2544911.4600004056</v>
      </c>
      <c r="O30" s="103">
        <f>I30+N30</f>
        <v>25122843.900001138</v>
      </c>
      <c r="P30" s="105">
        <f>E30+G30+J30+L30</f>
        <v>21280.00000000111</v>
      </c>
      <c r="Q30" s="120">
        <f>R30+T30</f>
        <v>64</v>
      </c>
      <c r="R30" s="121">
        <v>63</v>
      </c>
      <c r="S30" s="121">
        <v>1132141.5</v>
      </c>
      <c r="T30" s="114">
        <v>1</v>
      </c>
      <c r="U30" s="114">
        <v>4245.18</v>
      </c>
      <c r="V30" s="113">
        <f>S30+U30</f>
        <v>1136386.68</v>
      </c>
      <c r="W30" s="123">
        <v>93.046800000023438</v>
      </c>
      <c r="X30" s="110"/>
      <c r="Y30" s="108">
        <v>0</v>
      </c>
      <c r="Z30" s="110"/>
      <c r="AA30" s="110"/>
      <c r="AB30" s="110">
        <v>0</v>
      </c>
      <c r="AC30" s="120">
        <f>W30+X30+Y30+Z30+AA30+AB30</f>
        <v>93.046800000023438</v>
      </c>
      <c r="AD30" s="108">
        <v>855658.3728002155</v>
      </c>
      <c r="AE30" s="111"/>
      <c r="AF30" s="126">
        <v>399</v>
      </c>
      <c r="AG30" s="128">
        <v>0</v>
      </c>
      <c r="AH30" s="127">
        <f>AF30+AG30</f>
        <v>399</v>
      </c>
      <c r="AI30" s="130">
        <v>4109700</v>
      </c>
      <c r="AJ30" s="21"/>
    </row>
    <row r="31" spans="1:36" ht="15">
      <c r="A31" s="19"/>
      <c r="B31" s="79">
        <v>25</v>
      </c>
      <c r="C31" s="65">
        <v>26</v>
      </c>
      <c r="D31" s="65">
        <v>234</v>
      </c>
      <c r="E31" s="109">
        <v>15159.999999999854</v>
      </c>
      <c r="F31" s="109">
        <v>16487546.039999841</v>
      </c>
      <c r="G31" s="121">
        <v>3040.0000000004184</v>
      </c>
      <c r="H31" s="121">
        <v>4959314.6400006823</v>
      </c>
      <c r="I31" s="103">
        <f>F31+H31</f>
        <v>21446860.680000521</v>
      </c>
      <c r="J31" s="152">
        <v>1600.0000000003638</v>
      </c>
      <c r="K31" s="152">
        <v>1740110.4000003957</v>
      </c>
      <c r="L31" s="117">
        <v>400.00000000009095</v>
      </c>
      <c r="M31" s="119">
        <v>652541.40000014845</v>
      </c>
      <c r="N31" s="105">
        <f>K31+M31</f>
        <v>2392651.8000005442</v>
      </c>
      <c r="O31" s="103">
        <f>I31+N31</f>
        <v>23839512.480001066</v>
      </c>
      <c r="P31" s="105">
        <f>E31+G31+J31+L31</f>
        <v>20200.000000000728</v>
      </c>
      <c r="Q31" s="120">
        <f>R31+T31</f>
        <v>3</v>
      </c>
      <c r="R31" s="121">
        <v>0</v>
      </c>
      <c r="S31" s="121">
        <v>0</v>
      </c>
      <c r="T31" s="114">
        <v>3</v>
      </c>
      <c r="U31" s="114">
        <v>12735.54</v>
      </c>
      <c r="V31" s="113">
        <f>S31+U31</f>
        <v>12735.54</v>
      </c>
      <c r="W31" s="123">
        <v>100.86112000003281</v>
      </c>
      <c r="X31" s="110"/>
      <c r="Y31" s="108">
        <v>0</v>
      </c>
      <c r="Z31" s="110"/>
      <c r="AA31" s="110"/>
      <c r="AB31" s="110">
        <v>36</v>
      </c>
      <c r="AC31" s="120">
        <f>W31+X31+Y31+Z31+AA31+AB31</f>
        <v>136.86112000003283</v>
      </c>
      <c r="AD31" s="108">
        <v>1346018.8595203017</v>
      </c>
      <c r="AE31" s="111"/>
      <c r="AF31" s="126">
        <v>318.87999999999738</v>
      </c>
      <c r="AG31" s="128">
        <v>0</v>
      </c>
      <c r="AH31" s="127">
        <f>AF31+AG31</f>
        <v>318.87999999999738</v>
      </c>
      <c r="AI31" s="130">
        <v>3284463.999999973</v>
      </c>
      <c r="AJ31" s="21"/>
    </row>
    <row r="32" spans="1:36" ht="15">
      <c r="A32" s="19"/>
      <c r="B32" s="64">
        <v>26</v>
      </c>
      <c r="C32" s="65">
        <v>23</v>
      </c>
      <c r="D32" s="65">
        <v>209</v>
      </c>
      <c r="E32" s="109">
        <v>14519.999999998618</v>
      </c>
      <c r="F32" s="109">
        <v>15791501.879998496</v>
      </c>
      <c r="G32" s="121">
        <v>2799.9999999997272</v>
      </c>
      <c r="H32" s="121">
        <v>4567789.7999995556</v>
      </c>
      <c r="I32" s="103">
        <f>F32+H32</f>
        <v>20359291.679998051</v>
      </c>
      <c r="J32" s="152">
        <v>1399.9999999996362</v>
      </c>
      <c r="K32" s="152">
        <v>1522596.5999996043</v>
      </c>
      <c r="L32" s="117">
        <v>339.99999999991815</v>
      </c>
      <c r="M32" s="119">
        <v>554660.18999986642</v>
      </c>
      <c r="N32" s="105">
        <f>K32+M32</f>
        <v>2077256.7899994706</v>
      </c>
      <c r="O32" s="103">
        <f>I32+N32</f>
        <v>22436548.469997521</v>
      </c>
      <c r="P32" s="105">
        <f>E32+G32+J32+L32</f>
        <v>19059.999999997897</v>
      </c>
      <c r="Q32" s="120">
        <f>R32+T32</f>
        <v>15</v>
      </c>
      <c r="R32" s="121">
        <v>12</v>
      </c>
      <c r="S32" s="121">
        <v>215646</v>
      </c>
      <c r="T32" s="114">
        <v>3</v>
      </c>
      <c r="U32" s="114">
        <v>12735.54</v>
      </c>
      <c r="V32" s="113">
        <f>S32+U32</f>
        <v>228381.54</v>
      </c>
      <c r="W32" s="123">
        <v>91.234199999976539</v>
      </c>
      <c r="X32" s="110"/>
      <c r="Y32" s="108">
        <v>0</v>
      </c>
      <c r="Z32" s="110"/>
      <c r="AA32" s="110"/>
      <c r="AB32" s="110">
        <v>0</v>
      </c>
      <c r="AC32" s="120">
        <f>W32+X32+Y32+Z32+AA32+AB32</f>
        <v>91.234199999976539</v>
      </c>
      <c r="AD32" s="108">
        <v>838989.70319978427</v>
      </c>
      <c r="AE32" s="111"/>
      <c r="AF32" s="126">
        <v>448.54000000000087</v>
      </c>
      <c r="AG32" s="128">
        <v>116.89999999996508</v>
      </c>
      <c r="AH32" s="127">
        <f>AF32+AG32</f>
        <v>565.43999999996595</v>
      </c>
      <c r="AI32" s="130">
        <v>5824031.9999996489</v>
      </c>
      <c r="AJ32" s="21"/>
    </row>
    <row r="33" spans="1:36" ht="15">
      <c r="A33" s="19"/>
      <c r="B33" s="79">
        <v>27</v>
      </c>
      <c r="C33" s="65">
        <v>23</v>
      </c>
      <c r="D33" s="65">
        <v>224</v>
      </c>
      <c r="E33" s="109">
        <v>15520.000000000437</v>
      </c>
      <c r="F33" s="109">
        <v>16879070.880000476</v>
      </c>
      <c r="G33" s="121">
        <v>3159.9999999998545</v>
      </c>
      <c r="H33" s="121">
        <v>5155077.059999763</v>
      </c>
      <c r="I33" s="103">
        <f>F33+H33</f>
        <v>22034147.94000024</v>
      </c>
      <c r="J33" s="152">
        <v>1480.0000000004729</v>
      </c>
      <c r="K33" s="152">
        <v>1609602.1200005144</v>
      </c>
      <c r="L33" s="117">
        <v>559.99999999994543</v>
      </c>
      <c r="M33" s="119">
        <v>913557.95999991102</v>
      </c>
      <c r="N33" s="105">
        <f>K33+M33</f>
        <v>2523160.0800004257</v>
      </c>
      <c r="O33" s="103">
        <f>I33+N33</f>
        <v>24557308.020000666</v>
      </c>
      <c r="P33" s="105">
        <f>E33+G33+J33+L33</f>
        <v>20720.000000000709</v>
      </c>
      <c r="Q33" s="120">
        <f>R33+T33</f>
        <v>1</v>
      </c>
      <c r="R33" s="121">
        <v>0</v>
      </c>
      <c r="S33" s="121">
        <v>0</v>
      </c>
      <c r="T33" s="114">
        <v>1</v>
      </c>
      <c r="U33" s="114">
        <v>4245.18</v>
      </c>
      <c r="V33" s="113">
        <f>S33+U33</f>
        <v>4245.18</v>
      </c>
      <c r="W33" s="123">
        <v>94.335759999992959</v>
      </c>
      <c r="X33" s="110"/>
      <c r="Y33" s="108">
        <v>350</v>
      </c>
      <c r="Z33" s="110">
        <v>50</v>
      </c>
      <c r="AA33" s="110"/>
      <c r="AB33" s="110">
        <v>0</v>
      </c>
      <c r="AC33" s="120">
        <f>W33+X33+Y33+Z33+AA33+AB33</f>
        <v>494.33575999999294</v>
      </c>
      <c r="AD33" s="108">
        <v>5063511.6489599356</v>
      </c>
      <c r="AE33" s="111"/>
      <c r="AF33" s="126">
        <v>500.7300000000032</v>
      </c>
      <c r="AG33" s="128">
        <v>0</v>
      </c>
      <c r="AH33" s="127">
        <f>AF33+AG33</f>
        <v>500.7300000000032</v>
      </c>
      <c r="AI33" s="130">
        <v>5157519.0000000326</v>
      </c>
      <c r="AJ33" s="21"/>
    </row>
    <row r="34" spans="1:36" ht="15">
      <c r="A34" s="19"/>
      <c r="B34" s="64">
        <v>28</v>
      </c>
      <c r="C34" s="65">
        <v>15</v>
      </c>
      <c r="D34" s="65">
        <v>205</v>
      </c>
      <c r="E34" s="109">
        <v>15440.000000000509</v>
      </c>
      <c r="F34" s="109">
        <v>16792065.360000554</v>
      </c>
      <c r="G34" s="121">
        <v>3160.0000000003092</v>
      </c>
      <c r="H34" s="121">
        <v>5155077.0600005053</v>
      </c>
      <c r="I34" s="103">
        <f>F34+H34</f>
        <v>21947142.42000106</v>
      </c>
      <c r="J34" s="152">
        <v>1779.9999999997453</v>
      </c>
      <c r="K34" s="152">
        <v>1935872.819999723</v>
      </c>
      <c r="L34" s="117">
        <v>259.99999999999091</v>
      </c>
      <c r="M34" s="119">
        <v>424151.90999998519</v>
      </c>
      <c r="N34" s="105">
        <f>K34+M34</f>
        <v>2360024.729999708</v>
      </c>
      <c r="O34" s="103">
        <f>I34+N34</f>
        <v>24307167.150000766</v>
      </c>
      <c r="P34" s="105">
        <f>E34+G34+J34+L34</f>
        <v>20640.000000000553</v>
      </c>
      <c r="Q34" s="120">
        <f>R34+T34</f>
        <v>0</v>
      </c>
      <c r="R34" s="121">
        <v>0</v>
      </c>
      <c r="S34" s="121">
        <v>0</v>
      </c>
      <c r="T34" s="114">
        <v>0</v>
      </c>
      <c r="U34" s="114">
        <v>0</v>
      </c>
      <c r="V34" s="113">
        <f>S34+U34</f>
        <v>0</v>
      </c>
      <c r="W34" s="123">
        <v>87.286759999992952</v>
      </c>
      <c r="X34" s="110"/>
      <c r="Y34" s="108"/>
      <c r="Z34" s="110"/>
      <c r="AA34" s="110"/>
      <c r="AB34" s="110"/>
      <c r="AC34" s="120">
        <f>W34+X34+Y34+Z34+AA34+AB34</f>
        <v>87.286759999992952</v>
      </c>
      <c r="AD34" s="108">
        <v>802689.04495993524</v>
      </c>
      <c r="AE34" s="111"/>
      <c r="AF34" s="126">
        <v>320.91999999999825</v>
      </c>
      <c r="AG34" s="128">
        <v>0</v>
      </c>
      <c r="AH34" s="127">
        <f>AF34+AG34</f>
        <v>320.91999999999825</v>
      </c>
      <c r="AI34" s="130">
        <v>3305475.9999999818</v>
      </c>
      <c r="AJ34" s="21"/>
    </row>
    <row r="35" spans="1:36" ht="15">
      <c r="A35" s="19"/>
      <c r="B35" s="64">
        <v>29</v>
      </c>
      <c r="C35" s="65">
        <v>11</v>
      </c>
      <c r="D35" s="65">
        <v>198</v>
      </c>
      <c r="E35" s="66">
        <v>12959.999999999127</v>
      </c>
      <c r="F35" s="66">
        <v>14094894.23999905</v>
      </c>
      <c r="G35" s="67">
        <v>2799.9999999997272</v>
      </c>
      <c r="H35" s="66">
        <v>4567789.7999995556</v>
      </c>
      <c r="I35" s="103">
        <f>F35+H35</f>
        <v>18662684.039998606</v>
      </c>
      <c r="J35" s="66">
        <v>1760.0000000002183</v>
      </c>
      <c r="K35" s="66">
        <v>1914121.4400002374</v>
      </c>
      <c r="L35" s="68">
        <v>420.00000000007276</v>
      </c>
      <c r="M35" s="153">
        <v>685168.47000011872</v>
      </c>
      <c r="N35" s="105">
        <f>K35+M35</f>
        <v>2599289.9100003559</v>
      </c>
      <c r="O35" s="103">
        <f>I35+N35</f>
        <v>21261973.94999896</v>
      </c>
      <c r="P35" s="105">
        <f>E35+G35+J35+L35</f>
        <v>17939.999999999145</v>
      </c>
      <c r="Q35" s="74"/>
      <c r="R35" s="66">
        <v>1</v>
      </c>
      <c r="S35" s="66">
        <v>17970.5</v>
      </c>
      <c r="T35" s="75">
        <v>2</v>
      </c>
      <c r="U35" s="75">
        <v>8490.36</v>
      </c>
      <c r="V35" s="75"/>
      <c r="W35" s="65">
        <v>90.106359999981237</v>
      </c>
      <c r="X35" s="66"/>
      <c r="Y35" s="66">
        <v>0</v>
      </c>
      <c r="Z35" s="66"/>
      <c r="AA35" s="66"/>
      <c r="AB35" s="66">
        <v>0</v>
      </c>
      <c r="AC35" s="120">
        <f>W35+X35+Y35+Z35+AA35+AB35</f>
        <v>90.106359999981237</v>
      </c>
      <c r="AD35" s="108">
        <v>828618.08655982744</v>
      </c>
      <c r="AE35" s="70"/>
      <c r="AF35" s="70">
        <v>371.08000000000175</v>
      </c>
      <c r="AG35" s="70">
        <v>0</v>
      </c>
      <c r="AH35" s="127">
        <f>AF35+AG35</f>
        <v>371.08000000000175</v>
      </c>
      <c r="AI35" s="20">
        <v>3822124.0000000182</v>
      </c>
      <c r="AJ35" s="21"/>
    </row>
    <row r="36" spans="1:36">
      <c r="A36" s="19"/>
      <c r="B36" s="64"/>
      <c r="C36" s="67"/>
      <c r="D36" s="66"/>
      <c r="E36" s="66"/>
      <c r="F36" s="66"/>
      <c r="G36" s="69"/>
      <c r="H36" s="66"/>
      <c r="I36" s="69"/>
      <c r="J36" s="69"/>
      <c r="K36" s="69"/>
      <c r="L36" s="66"/>
      <c r="M36" s="76"/>
      <c r="N36" s="72"/>
      <c r="O36" s="73"/>
      <c r="P36" s="72"/>
      <c r="Q36" s="74"/>
      <c r="R36" s="66"/>
      <c r="S36" s="66"/>
      <c r="T36" s="75"/>
      <c r="U36" s="75"/>
      <c r="V36" s="69"/>
      <c r="W36" s="69"/>
      <c r="X36" s="66"/>
      <c r="Y36" s="69"/>
      <c r="Z36" s="69"/>
      <c r="AA36" s="69"/>
      <c r="AB36" s="69"/>
      <c r="AC36" s="69"/>
      <c r="AD36" s="66"/>
      <c r="AE36" s="70"/>
      <c r="AF36" s="70"/>
      <c r="AG36" s="70"/>
      <c r="AH36" s="70"/>
      <c r="AI36" s="20"/>
      <c r="AJ36" s="21"/>
    </row>
    <row r="37" spans="1:36" s="2" customFormat="1" ht="15.75" customHeight="1">
      <c r="B37" s="22"/>
      <c r="C37" s="23"/>
      <c r="D37" s="23"/>
      <c r="E37" s="24"/>
      <c r="F37" s="21"/>
      <c r="H37" s="21"/>
      <c r="L37" s="21"/>
      <c r="M37" s="25"/>
      <c r="N37" s="26"/>
      <c r="P37" s="26"/>
      <c r="Q37" s="28"/>
      <c r="X37" s="21"/>
      <c r="AE37" s="27"/>
      <c r="AF37" s="27"/>
      <c r="AG37" s="27"/>
      <c r="AH37" s="27"/>
    </row>
    <row r="38" spans="1:36" s="2" customFormat="1" ht="15.75" customHeight="1">
      <c r="B38" s="22"/>
      <c r="C38" s="23"/>
      <c r="D38" s="23"/>
      <c r="E38" s="24"/>
      <c r="F38" s="21"/>
      <c r="H38" s="21"/>
      <c r="L38" s="21"/>
      <c r="M38" s="25"/>
      <c r="N38" s="26"/>
      <c r="P38" s="26"/>
      <c r="Q38" s="28"/>
      <c r="X38" s="21"/>
      <c r="AD38" s="21"/>
      <c r="AE38" s="30"/>
      <c r="AF38" s="30"/>
      <c r="AG38" s="30"/>
      <c r="AH38" s="30"/>
      <c r="AI38" s="31"/>
    </row>
    <row r="39" spans="1:36" s="2" customFormat="1">
      <c r="B39" s="32"/>
      <c r="C39" s="139"/>
      <c r="D39" s="139"/>
      <c r="E39" s="140"/>
      <c r="F39" s="141"/>
      <c r="G39" s="142"/>
      <c r="H39" s="141"/>
      <c r="I39" s="142"/>
      <c r="J39" s="142"/>
      <c r="K39" s="142"/>
      <c r="L39" s="141"/>
      <c r="M39" s="143"/>
      <c r="N39" s="144"/>
      <c r="O39" s="142"/>
      <c r="P39" s="144"/>
      <c r="Q39" s="145"/>
      <c r="R39" s="146"/>
      <c r="S39" s="142"/>
      <c r="T39" s="142"/>
      <c r="U39" s="142"/>
      <c r="V39" s="142"/>
      <c r="W39" s="147"/>
      <c r="X39" s="141"/>
      <c r="Y39" s="147"/>
      <c r="Z39" s="147"/>
      <c r="AA39" s="147"/>
      <c r="AB39" s="147"/>
      <c r="AC39" s="147"/>
      <c r="AD39" s="141"/>
      <c r="AE39" s="148"/>
      <c r="AF39" s="148"/>
      <c r="AG39" s="148"/>
      <c r="AH39" s="148"/>
      <c r="AI39" s="149"/>
    </row>
    <row r="40" spans="1:36">
      <c r="A40" s="33"/>
      <c r="B40" s="138"/>
      <c r="C40" s="131">
        <f>SUM(C7:C35)</f>
        <v>1361</v>
      </c>
      <c r="D40" s="131">
        <f>SUM(D7:D35)</f>
        <v>10190</v>
      </c>
      <c r="E40" s="132">
        <f>SUM(E7:E35)</f>
        <v>493040.00000000093</v>
      </c>
      <c r="F40" s="132">
        <f>SUM(F7:F35)</f>
        <v>536215019.76000094</v>
      </c>
      <c r="G40" s="132">
        <f t="shared" ref="F40:N40" si="0">SUM(G7:G35)</f>
        <v>101039.99999999997</v>
      </c>
      <c r="H40" s="132">
        <f t="shared" si="0"/>
        <v>164831957.63999996</v>
      </c>
      <c r="I40" s="132">
        <f t="shared" si="0"/>
        <v>701046977.40000105</v>
      </c>
      <c r="J40" s="132">
        <f t="shared" si="0"/>
        <v>53159.999999999854</v>
      </c>
      <c r="K40" s="132">
        <f t="shared" si="0"/>
        <v>57815168.039999843</v>
      </c>
      <c r="L40" s="132">
        <f t="shared" si="0"/>
        <v>13160.000000000082</v>
      </c>
      <c r="M40" s="132">
        <f t="shared" si="0"/>
        <v>21468612.060000133</v>
      </c>
      <c r="N40" s="132">
        <f t="shared" si="0"/>
        <v>79283780.099999979</v>
      </c>
      <c r="O40" s="133">
        <f>SUM(O7:O35)</f>
        <v>780330757.50000107</v>
      </c>
      <c r="P40" s="133">
        <f>SUM(P7:P35)</f>
        <v>660400.00000000093</v>
      </c>
      <c r="Q40" s="134">
        <f>SUM(Q7:Q35)</f>
        <v>972</v>
      </c>
      <c r="R40" s="132">
        <f>SUM(R7:R35)</f>
        <v>447</v>
      </c>
      <c r="S40" s="132">
        <f t="shared" ref="S40:U40" si="1">SUM(S7:S35)</f>
        <v>8032813.5</v>
      </c>
      <c r="T40" s="132">
        <f t="shared" si="1"/>
        <v>528</v>
      </c>
      <c r="U40" s="132">
        <f t="shared" si="1"/>
        <v>2241455.040000001</v>
      </c>
      <c r="V40" s="134">
        <f>SUM(V7:V35)</f>
        <v>10247807.679999998</v>
      </c>
      <c r="W40" s="154">
        <f>SUM(W7:W35)</f>
        <v>2780.0450399999722</v>
      </c>
      <c r="X40" s="154">
        <f t="shared" ref="X40:AB40" si="2">SUM(X7:X35)</f>
        <v>0</v>
      </c>
      <c r="Y40" s="154">
        <f t="shared" si="2"/>
        <v>2000</v>
      </c>
      <c r="Z40" s="154">
        <f t="shared" si="2"/>
        <v>250</v>
      </c>
      <c r="AA40" s="154">
        <f t="shared" si="2"/>
        <v>0</v>
      </c>
      <c r="AB40" s="154">
        <f t="shared" si="2"/>
        <v>228</v>
      </c>
      <c r="AC40" s="135">
        <f>SUM(AC7:AC35)</f>
        <v>5258.0450399999709</v>
      </c>
      <c r="AD40" s="135">
        <f>SUM(AD7:AD35)</f>
        <v>51818294.187839732</v>
      </c>
      <c r="AE40" s="136">
        <f>SUM(AE8:AE36)</f>
        <v>0</v>
      </c>
      <c r="AF40" s="132">
        <f>SUM(AF7:AF35)</f>
        <v>11666.600000000006</v>
      </c>
      <c r="AG40" s="132">
        <f>SUM(AG7:AG35)</f>
        <v>857.79999999998836</v>
      </c>
      <c r="AH40" s="137">
        <f>SUM(AH7:AH35)</f>
        <v>12524.399999999994</v>
      </c>
      <c r="AI40" s="137">
        <f>SUM(AI7:AI35)</f>
        <v>129001319.99999993</v>
      </c>
      <c r="AJ40" s="33"/>
    </row>
    <row r="41" spans="1:36">
      <c r="A41" s="33"/>
      <c r="B41" s="33"/>
      <c r="C41" s="31"/>
      <c r="D41" s="34"/>
      <c r="E41" s="31"/>
      <c r="F41" s="31"/>
      <c r="G41" s="34"/>
      <c r="H41" s="31"/>
      <c r="I41" s="35"/>
      <c r="J41" s="35"/>
      <c r="K41" s="35"/>
      <c r="L41" s="36"/>
      <c r="M41" s="37"/>
      <c r="N41" s="38"/>
      <c r="O41" s="39"/>
      <c r="P41" s="38"/>
      <c r="Q41" s="34"/>
      <c r="R41" s="34"/>
      <c r="S41" s="34"/>
      <c r="T41" s="41"/>
      <c r="U41" s="34"/>
      <c r="V41" s="34"/>
      <c r="W41" s="29"/>
      <c r="X41" s="21"/>
      <c r="Y41" s="29"/>
      <c r="Z41" s="29"/>
      <c r="AA41" s="29"/>
      <c r="AB41" s="29"/>
      <c r="AC41" s="21"/>
      <c r="AD41" s="31"/>
      <c r="AE41" s="30"/>
      <c r="AF41" s="30"/>
      <c r="AG41" s="30"/>
      <c r="AH41" s="30"/>
      <c r="AI41" s="34"/>
      <c r="AJ41" s="33"/>
    </row>
    <row r="42" spans="1:36" s="44" customFormat="1">
      <c r="A42" s="42"/>
      <c r="B42" s="42"/>
      <c r="C42" s="36"/>
      <c r="D42" s="43"/>
      <c r="E42" s="36"/>
      <c r="F42" s="36"/>
      <c r="G42" s="36"/>
      <c r="H42" s="36"/>
      <c r="I42" s="35"/>
      <c r="J42" s="35"/>
      <c r="K42" s="35"/>
      <c r="L42" s="36"/>
      <c r="M42" s="38"/>
      <c r="N42" s="38"/>
      <c r="O42" s="39"/>
      <c r="P42" s="38">
        <f>O40/P40</f>
        <v>1181.6032063900666</v>
      </c>
      <c r="Q42" s="43"/>
      <c r="R42" s="43"/>
      <c r="S42" s="43"/>
      <c r="T42" s="36"/>
      <c r="U42" s="36"/>
      <c r="V42" s="43">
        <f>V40/Q40</f>
        <v>10543.012016460903</v>
      </c>
      <c r="W42" s="43"/>
      <c r="X42" s="36"/>
      <c r="Y42" s="43"/>
      <c r="Z42" s="43"/>
      <c r="AA42" s="43"/>
      <c r="AB42" s="43"/>
      <c r="AC42" s="36"/>
      <c r="AD42" s="36">
        <f>AD40/AC40</f>
        <v>9855.0495086363917</v>
      </c>
      <c r="AE42" s="40"/>
      <c r="AF42" s="40"/>
      <c r="AG42" s="40"/>
      <c r="AH42" s="40"/>
      <c r="AI42" s="43">
        <f>AI40/AH40</f>
        <v>10299.999999999998</v>
      </c>
      <c r="AJ42" s="42"/>
    </row>
    <row r="43" spans="1:36" s="46" customFormat="1">
      <c r="A43" s="45"/>
      <c r="B43" s="45"/>
      <c r="E43" s="47"/>
      <c r="F43" s="48"/>
      <c r="G43" s="47"/>
      <c r="I43" s="47"/>
      <c r="J43" s="47"/>
      <c r="K43" s="47"/>
      <c r="L43" s="47"/>
      <c r="M43" s="47"/>
      <c r="N43" s="49"/>
      <c r="O43" s="50"/>
      <c r="P43" s="51"/>
      <c r="T43" s="53"/>
      <c r="U43" s="54"/>
      <c r="AE43" s="52"/>
      <c r="AF43" s="52"/>
      <c r="AG43" s="52"/>
      <c r="AH43" s="52"/>
      <c r="AJ43" s="45"/>
    </row>
    <row r="44" spans="1:36" s="57" customFormat="1">
      <c r="A44" s="55"/>
      <c r="B44" s="55"/>
      <c r="C44" s="56"/>
      <c r="E44" s="56"/>
      <c r="F44" s="56"/>
      <c r="H44" s="56"/>
      <c r="L44" s="56"/>
      <c r="M44" s="58"/>
      <c r="N44" s="59"/>
      <c r="P44" s="58"/>
      <c r="Q44" s="61"/>
      <c r="R44" s="61"/>
      <c r="S44" s="62"/>
      <c r="X44" s="56"/>
      <c r="AD44" s="56"/>
      <c r="AE44" s="60"/>
      <c r="AF44" s="60"/>
      <c r="AG44" s="60"/>
      <c r="AH44" s="60"/>
      <c r="AJ44" s="55"/>
    </row>
    <row r="45" spans="1:36" s="57" customFormat="1">
      <c r="A45" s="55"/>
      <c r="B45" s="55"/>
      <c r="C45" s="56"/>
      <c r="E45" s="56"/>
      <c r="F45" s="56"/>
      <c r="H45" s="56"/>
      <c r="L45" s="56"/>
      <c r="M45" s="58"/>
      <c r="N45" s="59"/>
      <c r="P45" s="58"/>
      <c r="X45" s="56"/>
      <c r="AD45" s="56"/>
      <c r="AE45" s="60"/>
      <c r="AF45" s="60"/>
      <c r="AG45" s="60"/>
      <c r="AH45" s="60"/>
      <c r="AJ45" s="5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8"/>
      <c r="M47" s="58"/>
      <c r="N47" s="58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63"/>
      <c r="N48" s="58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63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