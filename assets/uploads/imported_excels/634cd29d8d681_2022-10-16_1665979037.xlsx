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B42" i="5"/>
  <c r="C42" i="5"/>
  <c r="L14" i="3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J42" i="5" l="1"/>
  <c r="I42" i="5"/>
  <c r="I43" i="5" s="1"/>
  <c r="H42" i="5"/>
  <c r="G42" i="5"/>
  <c r="F42" i="5"/>
  <c r="E42" i="5"/>
  <c r="K39" i="5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C44" i="5" l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K19" i="3" l="1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<sst xmlns="http://schemas.openxmlformats.org/spreadsheetml/2006/main" count="108" uniqueCount="39">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</sst>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Q12" sqref="Q1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v>0</v>
      </c>
      <c r="F19" s="13">
        <v>0.11799999999999999</v>
      </c>
      <c r="G19" s="15">
        <v>0</v>
      </c>
      <c r="H19" s="13">
        <v>0.99</v>
      </c>
      <c r="I19" s="15">
        <v>0</v>
      </c>
      <c r="J19" s="13">
        <v>8.1000000000000003E-2</v>
      </c>
      <c r="K19" s="21">
        <f>'10 - 2022'!H25-'10 - 2022'!H24</f>
        <v>0</v>
      </c>
      <c r="L19" s="15"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0</v>
      </c>
      <c r="F20" s="13">
        <v>0.11799999999999999</v>
      </c>
      <c r="G20" s="15">
        <f>'10 - 2022'!D26-'10 - 2022'!D25+'10 - 2022'!E26-'10 - 2022'!E25</f>
        <v>0</v>
      </c>
      <c r="H20" s="13">
        <v>0.99</v>
      </c>
      <c r="I20" s="15">
        <f>'10 - 2022'!J26-'10 - 2022'!J25</f>
        <v>0</v>
      </c>
      <c r="J20" s="13">
        <v>8.1000000000000003E-2</v>
      </c>
      <c r="K20" s="21">
        <f>'10 - 2022'!H26-'10 - 2022'!H25</f>
        <v>0</v>
      </c>
      <c r="L20" s="15">
        <f>'10 - 2022'!I26-'10 - 2022'!I25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0</v>
      </c>
      <c r="F21" s="13">
        <v>0.11799999999999999</v>
      </c>
      <c r="G21" s="15">
        <f>'10 - 2022'!D27-'10 - 2022'!D26+'10 - 2022'!E27-'10 - 2022'!E26</f>
        <v>0</v>
      </c>
      <c r="H21" s="13">
        <v>0.99</v>
      </c>
      <c r="I21" s="15">
        <f>'10 - 2022'!J27-'10 - 2022'!J26</f>
        <v>0</v>
      </c>
      <c r="J21" s="13">
        <v>8.1000000000000003E-2</v>
      </c>
      <c r="K21" s="21">
        <f>'10 - 2022'!H27-'10 - 2022'!H26</f>
        <v>0</v>
      </c>
      <c r="L21" s="15">
        <f>'10 - 2022'!I27-'10 - 2022'!I26</f>
        <v>0</v>
      </c>
      <c r="M21" s="14">
        <v>4.393629424766913</v>
      </c>
      <c r="N21" s="40"/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0</v>
      </c>
      <c r="F22" s="13">
        <v>0.11799999999999999</v>
      </c>
      <c r="G22" s="15">
        <f>'10 - 2022'!D28-'10 - 2022'!D27+'10 - 2022'!E28-'10 - 2022'!E27</f>
        <v>0</v>
      </c>
      <c r="H22" s="13">
        <v>0.99</v>
      </c>
      <c r="I22" s="15">
        <f>'10 - 2022'!J28-'10 - 2022'!J27</f>
        <v>0</v>
      </c>
      <c r="J22" s="13">
        <v>8.1000000000000003E-2</v>
      </c>
      <c r="K22" s="21">
        <f>'10 - 2022'!H28-'10 - 2022'!H27</f>
        <v>0</v>
      </c>
      <c r="L22" s="15">
        <f>'10 - 2022'!I28-'10 - 2022'!I27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0</v>
      </c>
      <c r="F23" s="13">
        <v>0.11799999999999999</v>
      </c>
      <c r="G23" s="15">
        <f>'10 - 2022'!D29-'10 - 2022'!D28+'10 - 2022'!E29-'10 - 2022'!E28</f>
        <v>0</v>
      </c>
      <c r="H23" s="13">
        <v>0.99</v>
      </c>
      <c r="I23" s="15">
        <f>'10 - 2022'!J29-'10 - 2022'!J28</f>
        <v>0</v>
      </c>
      <c r="J23" s="13">
        <v>8.1000000000000003E-2</v>
      </c>
      <c r="K23" s="21">
        <f>'10 - 2022'!H29-'10 - 2022'!H28</f>
        <v>0</v>
      </c>
      <c r="L23" s="15">
        <f>'10 - 2022'!I29-'10 - 2022'!I28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8" sqref="P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v>0</v>
      </c>
      <c r="F19" s="15">
        <v>0</v>
      </c>
      <c r="G19" s="13">
        <v>0.11799999999999999</v>
      </c>
      <c r="H19" s="15">
        <v>0</v>
      </c>
      <c r="I19" s="15">
        <v>0</v>
      </c>
      <c r="J19" s="15"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0</v>
      </c>
      <c r="F20" s="15">
        <f>'10 - 2022'!C26-'10 - 2022'!C25</f>
        <v>0</v>
      </c>
      <c r="G20" s="13">
        <v>0.11799999999999999</v>
      </c>
      <c r="H20" s="15">
        <f>'10 - 2022'!E26-'10 - 2022'!E25</f>
        <v>0</v>
      </c>
      <c r="I20" s="15">
        <f>'10 - 2022'!F26-'10 - 2022'!F25</f>
        <v>0</v>
      </c>
      <c r="J20" s="15">
        <f>'10 - 2022'!G26-'10 - 2022'!G25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0</v>
      </c>
      <c r="F21" s="15">
        <f>'10 - 2022'!C27-'10 - 2022'!C26</f>
        <v>0</v>
      </c>
      <c r="G21" s="13">
        <v>0.11799999999999999</v>
      </c>
      <c r="H21" s="15">
        <f>'10 - 2022'!E27-'10 - 2022'!E26</f>
        <v>0</v>
      </c>
      <c r="I21" s="15">
        <f>'10 - 2022'!F27-'10 - 2022'!F26</f>
        <v>0</v>
      </c>
      <c r="J21" s="15">
        <f>'10 - 2022'!G27-'10 - 2022'!G26</f>
        <v>0</v>
      </c>
      <c r="K21" s="13">
        <v>0.74</v>
      </c>
      <c r="L21" s="40"/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0</v>
      </c>
      <c r="F22" s="15">
        <f>'10 - 2022'!C28-'10 - 2022'!C27</f>
        <v>0</v>
      </c>
      <c r="G22" s="13">
        <v>0.11799999999999999</v>
      </c>
      <c r="H22" s="15">
        <f>'10 - 2022'!E28-'10 - 2022'!E27</f>
        <v>0</v>
      </c>
      <c r="I22" s="15">
        <f>'10 - 2022'!F28-'10 - 2022'!F27</f>
        <v>0</v>
      </c>
      <c r="J22" s="15">
        <f>'10 - 2022'!G28-'10 - 2022'!G27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0</v>
      </c>
      <c r="F23" s="15">
        <f>'10 - 2022'!C29-'10 - 2022'!C28</f>
        <v>0</v>
      </c>
      <c r="G23" s="13">
        <v>0.11799999999999999</v>
      </c>
      <c r="H23" s="15">
        <f>'10 - 2022'!E29-'10 - 2022'!E28</f>
        <v>0</v>
      </c>
      <c r="I23" s="15">
        <f>'10 - 2022'!F29-'10 - 2022'!F28</f>
        <v>0</v>
      </c>
      <c r="J23" s="15">
        <f>'10 - 2022'!G29-'10 - 2022'!G28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7" zoomScaleNormal="100" workbookViewId="0">
      <selection activeCell="B22" sqref="B22:J24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5"/>
      <c r="L3" s="55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5"/>
      <c r="L4" s="55"/>
    </row>
    <row r="5" spans="1:17" ht="16.5" thickBot="1" x14ac:dyDescent="0.3">
      <c r="A5" s="56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>
        <v>669718</v>
      </c>
      <c r="C22" s="76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/>
      <c r="C25" s="51"/>
      <c r="D25" s="45"/>
      <c r="E25" s="51"/>
      <c r="F25" s="44"/>
      <c r="G25" s="51"/>
      <c r="H25" s="46">
        <v>14528</v>
      </c>
      <c r="I25" s="50"/>
      <c r="J25" s="50"/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/>
      <c r="C26" s="51"/>
      <c r="D26" s="49"/>
      <c r="E26" s="51"/>
      <c r="F26" s="44"/>
      <c r="G26" s="51"/>
      <c r="H26" s="46">
        <v>14528</v>
      </c>
      <c r="I26" s="50"/>
      <c r="J26" s="50"/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/>
      <c r="C27" s="50"/>
      <c r="D27" s="45"/>
      <c r="E27" s="51"/>
      <c r="F27" s="44"/>
      <c r="G27" s="51"/>
      <c r="H27" s="46">
        <v>14528</v>
      </c>
      <c r="I27" s="50"/>
      <c r="J27" s="50"/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/>
      <c r="C28" s="50"/>
      <c r="D28" s="45"/>
      <c r="E28" s="51"/>
      <c r="F28" s="44"/>
      <c r="G28" s="51"/>
      <c r="H28" s="46">
        <v>14528</v>
      </c>
      <c r="I28" s="50"/>
      <c r="J28" s="50"/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  <row r="42" spans="1:16" x14ac:dyDescent="0.25">
      <c r="A42" s="92"/>
      <c r="B42" s="93">
        <f>B32-B10</f>
        <v>-619737</v>
      </c>
      <c r="C42" s="93">
        <f>C32-C10</f>
        <v>-637450</v>
      </c>
      <c r="D42" s="92"/>
      <c r="E42" s="93" t="e">
        <f>E32-#REF!</f>
        <v>#REF!</v>
      </c>
      <c r="F42" s="93">
        <f>F32-F10</f>
        <v>-3383.63</v>
      </c>
      <c r="G42" s="93">
        <f>G32-G10</f>
        <v>-46182.11</v>
      </c>
      <c r="H42" s="93">
        <f>H32-H10</f>
        <v>0</v>
      </c>
      <c r="I42" s="93">
        <f t="shared" ref="I42:J42" si="2">I32-I10</f>
        <v>-172777</v>
      </c>
      <c r="J42" s="93">
        <f t="shared" si="2"/>
        <v>-60261167</v>
      </c>
      <c r="K42" s="92"/>
      <c r="L42" s="92"/>
    </row>
    <row r="43" spans="1:16" x14ac:dyDescent="0.25">
      <c r="A43" s="55"/>
      <c r="B43" s="55"/>
      <c r="C43" s="55"/>
      <c r="D43" s="55"/>
      <c r="E43" s="55"/>
      <c r="F43" s="55"/>
      <c r="G43" s="55"/>
      <c r="H43" s="55"/>
      <c r="I43" s="38">
        <f>I42*219.969</f>
        <v>-38005583.913000003</v>
      </c>
      <c r="J43" s="55">
        <v>768611</v>
      </c>
      <c r="K43" s="55"/>
      <c r="L43" s="55"/>
    </row>
    <row r="44" spans="1:16" x14ac:dyDescent="0.25">
      <c r="A44" s="55"/>
      <c r="B44" s="55"/>
      <c r="C44" s="90">
        <f>C42+B42</f>
        <v>-1257187</v>
      </c>
      <c r="D44" s="55"/>
      <c r="E44" s="55"/>
      <c r="F44" s="55"/>
      <c r="G44" s="55"/>
      <c r="H44" s="55"/>
      <c r="I44" s="55">
        <v>450276.54300000001</v>
      </c>
      <c r="J44" s="55"/>
      <c r="K44" s="55"/>
      <c r="L44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2022-10-17T03:55:10Z</dcterms:modified>
</cp:coreProperties>
</file>