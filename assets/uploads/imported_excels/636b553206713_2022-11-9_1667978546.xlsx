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09879014-F301-46F8-A8C1-DA4C00816AFD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<sst xmlns="http://schemas.openxmlformats.org/spreadsheetml/2006/main" count="63" uniqueCount="31">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</sst>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Q9" sqref="Q9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0" t="s">
        <v>22</v>
      </c>
      <c r="J1" s="31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3" t="s">
        <v>29</v>
      </c>
    </row>
    <row r="2" spans="1:15" ht="15" x14ac:dyDescent="0.25">
      <c r="A2" s="6" t="s">
        <v>24</v>
      </c>
      <c r="B2" s="7">
        <v>1</v>
      </c>
      <c r="C2" s="8">
        <v>10</v>
      </c>
      <c r="D2" s="7">
        <v>2022</v>
      </c>
      <c r="E2" s="9">
        <f>'Marunouchi Daily'!D5</f>
        <v>5771</v>
      </c>
      <c r="F2" s="32">
        <v>15.371801912396213</v>
      </c>
      <c r="G2" s="9">
        <f>'Marunouchi Daily'!F5</f>
        <v>183.13</v>
      </c>
      <c r="H2" s="32">
        <v>55.660872462574005</v>
      </c>
      <c r="I2" s="9">
        <f>'Marunouchi Daily'!H5</f>
        <v>0</v>
      </c>
      <c r="J2" s="32">
        <v>2.68</v>
      </c>
      <c r="K2" s="9">
        <f>'Marunouchi Daily'!J5</f>
        <v>117</v>
      </c>
      <c r="L2" s="32">
        <v>866.58593380320269</v>
      </c>
      <c r="M2" s="9">
        <f>'Marunouchi Daily'!K5</f>
        <v>40</v>
      </c>
      <c r="N2" s="9">
        <f>'Marunouchi Daily'!L5</f>
        <v>212</v>
      </c>
      <c r="O2" s="9">
        <f>'Marunouchi Daily'!M5</f>
        <v>85</v>
      </c>
    </row>
    <row r="3" spans="1:15" ht="15" x14ac:dyDescent="0.25">
      <c r="A3" s="6" t="s">
        <v>24</v>
      </c>
      <c r="B3" s="7">
        <f>B2+1</f>
        <v>2</v>
      </c>
      <c r="C3" s="8">
        <v>10</v>
      </c>
      <c r="D3" s="7">
        <v>2022</v>
      </c>
      <c r="E3" s="9">
        <f>'Marunouchi Daily'!D6</f>
        <v>5574</v>
      </c>
      <c r="F3" s="32">
        <v>15.371801912396213</v>
      </c>
      <c r="G3" s="9">
        <f>'Marunouchi Daily'!F6</f>
        <v>244.77999999999997</v>
      </c>
      <c r="H3" s="32">
        <v>55.660872462574005</v>
      </c>
      <c r="I3" s="9">
        <f>'Marunouchi Daily'!H6</f>
        <v>0</v>
      </c>
      <c r="J3" s="32">
        <v>2.68</v>
      </c>
      <c r="K3" s="9">
        <f>'Marunouchi Daily'!J6</f>
        <v>103</v>
      </c>
      <c r="L3" s="32">
        <v>866.58593380320269</v>
      </c>
      <c r="M3" s="9">
        <f>'Marunouchi Daily'!K6</f>
        <v>18</v>
      </c>
      <c r="N3" s="9">
        <f>'Marunouchi Daily'!L6</f>
        <v>174</v>
      </c>
      <c r="O3" s="9">
        <f>'Marunouchi Daily'!M6</f>
        <v>28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10</v>
      </c>
      <c r="D4" s="7">
        <v>2022</v>
      </c>
      <c r="E4" s="9">
        <f>'Marunouchi Daily'!D7</f>
        <v>5172</v>
      </c>
      <c r="F4" s="32">
        <v>15.371801912396213</v>
      </c>
      <c r="G4" s="9">
        <f>'Marunouchi Daily'!F7</f>
        <v>142.35999999999999</v>
      </c>
      <c r="H4" s="32">
        <v>55.660872462574005</v>
      </c>
      <c r="I4" s="9">
        <f>'Marunouchi Daily'!H7</f>
        <v>0</v>
      </c>
      <c r="J4" s="32">
        <v>2.68</v>
      </c>
      <c r="K4" s="9">
        <f>'Marunouchi Daily'!J7</f>
        <v>82</v>
      </c>
      <c r="L4" s="32">
        <v>866.58593380320269</v>
      </c>
      <c r="M4" s="9">
        <f>'Marunouchi Daily'!K7</f>
        <v>24</v>
      </c>
      <c r="N4" s="9">
        <f>'Marunouchi Daily'!L7</f>
        <v>109</v>
      </c>
      <c r="O4" s="9">
        <f>'Marunouchi Daily'!M7</f>
        <v>39</v>
      </c>
    </row>
    <row r="5" spans="1:15" ht="15" x14ac:dyDescent="0.25">
      <c r="A5" s="6" t="s">
        <v>24</v>
      </c>
      <c r="B5" s="7">
        <f t="shared" si="0"/>
        <v>4</v>
      </c>
      <c r="C5" s="8">
        <v>10</v>
      </c>
      <c r="D5" s="7">
        <v>2022</v>
      </c>
      <c r="E5" s="9">
        <f>'Marunouchi Daily'!D8</f>
        <v>5294</v>
      </c>
      <c r="F5" s="32">
        <v>15.371801912396213</v>
      </c>
      <c r="G5" s="9">
        <f>'Marunouchi Daily'!F8</f>
        <v>191.74</v>
      </c>
      <c r="H5" s="32">
        <v>55.660872462574005</v>
      </c>
      <c r="I5" s="9">
        <f>'Marunouchi Daily'!H8</f>
        <v>0</v>
      </c>
      <c r="J5" s="32">
        <v>2.68</v>
      </c>
      <c r="K5" s="9">
        <f>'Marunouchi Daily'!J8</f>
        <v>81</v>
      </c>
      <c r="L5" s="32">
        <v>866.58593380320269</v>
      </c>
      <c r="M5" s="9">
        <f>'Marunouchi Daily'!K8</f>
        <v>31</v>
      </c>
      <c r="N5" s="9">
        <f>'Marunouchi Daily'!L8</f>
        <v>88</v>
      </c>
      <c r="O5" s="9">
        <f>'Marunouchi Daily'!M8</f>
        <v>48</v>
      </c>
    </row>
    <row r="6" spans="1:15" ht="15" x14ac:dyDescent="0.25">
      <c r="A6" s="6" t="s">
        <v>24</v>
      </c>
      <c r="B6" s="7">
        <f t="shared" si="0"/>
        <v>5</v>
      </c>
      <c r="C6" s="8">
        <v>10</v>
      </c>
      <c r="D6" s="7">
        <v>2022</v>
      </c>
      <c r="E6" s="9">
        <f>'Marunouchi Daily'!D9</f>
        <v>5525</v>
      </c>
      <c r="F6" s="32">
        <v>15.371801912396213</v>
      </c>
      <c r="G6" s="9">
        <f>'Marunouchi Daily'!F9</f>
        <v>310.12</v>
      </c>
      <c r="H6" s="32">
        <v>55.660872462574005</v>
      </c>
      <c r="I6" s="9">
        <f>'Marunouchi Daily'!H9</f>
        <v>0</v>
      </c>
      <c r="J6" s="32">
        <v>2.68</v>
      </c>
      <c r="K6" s="9">
        <f>'Marunouchi Daily'!J9</f>
        <v>91</v>
      </c>
      <c r="L6" s="32">
        <v>866.58593380320269</v>
      </c>
      <c r="M6" s="9">
        <f>'Marunouchi Daily'!K9</f>
        <v>22</v>
      </c>
      <c r="N6" s="9">
        <f>'Marunouchi Daily'!L9</f>
        <v>101</v>
      </c>
      <c r="O6" s="9">
        <f>'Marunouchi Daily'!M9</f>
        <v>31</v>
      </c>
    </row>
    <row r="7" spans="1:15" ht="15" x14ac:dyDescent="0.25">
      <c r="A7" s="6" t="s">
        <v>24</v>
      </c>
      <c r="B7" s="7">
        <f t="shared" si="0"/>
        <v>6</v>
      </c>
      <c r="C7" s="8">
        <v>10</v>
      </c>
      <c r="D7" s="7">
        <v>2022</v>
      </c>
      <c r="E7" s="9">
        <f>'Marunouchi Daily'!D10</f>
        <v>5363</v>
      </c>
      <c r="F7" s="32">
        <v>15.371801912396213</v>
      </c>
      <c r="G7" s="9">
        <f>'Marunouchi Daily'!F10</f>
        <v>68.09</v>
      </c>
      <c r="H7" s="32">
        <v>55.660872462574005</v>
      </c>
      <c r="I7" s="9">
        <f>'Marunouchi Daily'!H10</f>
        <v>0</v>
      </c>
      <c r="J7" s="32">
        <v>2.68</v>
      </c>
      <c r="K7" s="9">
        <f>'Marunouchi Daily'!J10</f>
        <v>95</v>
      </c>
      <c r="L7" s="32">
        <v>866.58593380320269</v>
      </c>
      <c r="M7" s="9">
        <f>'Marunouchi Daily'!K10</f>
        <v>19</v>
      </c>
      <c r="N7" s="9">
        <f>'Marunouchi Daily'!L10</f>
        <v>158</v>
      </c>
      <c r="O7" s="9">
        <f>'Marunouchi Daily'!M10</f>
        <v>26</v>
      </c>
    </row>
    <row r="8" spans="1:15" ht="15" x14ac:dyDescent="0.25">
      <c r="A8" s="6" t="s">
        <v>24</v>
      </c>
      <c r="B8" s="7">
        <f t="shared" si="0"/>
        <v>7</v>
      </c>
      <c r="C8" s="8">
        <v>10</v>
      </c>
      <c r="D8" s="7">
        <v>2022</v>
      </c>
      <c r="E8" s="9">
        <f>'Marunouchi Daily'!D11</f>
        <v>5306</v>
      </c>
      <c r="F8" s="32">
        <v>15.371801912396213</v>
      </c>
      <c r="G8" s="9">
        <f>'Marunouchi Daily'!F11</f>
        <v>194.07999999999998</v>
      </c>
      <c r="H8" s="32">
        <v>55.660872462574005</v>
      </c>
      <c r="I8" s="9">
        <f>'Marunouchi Daily'!H11</f>
        <v>0</v>
      </c>
      <c r="J8" s="32">
        <v>2.68</v>
      </c>
      <c r="K8" s="9">
        <f>'Marunouchi Daily'!J11</f>
        <v>87</v>
      </c>
      <c r="L8" s="32">
        <v>866.58593380320269</v>
      </c>
      <c r="M8" s="9">
        <f>'Marunouchi Daily'!K11</f>
        <v>19</v>
      </c>
      <c r="N8" s="9">
        <f>'Marunouchi Daily'!L11</f>
        <v>171</v>
      </c>
      <c r="O8" s="9">
        <f>'Marunouchi Daily'!M11</f>
        <v>37</v>
      </c>
    </row>
    <row r="9" spans="1:15" ht="15" x14ac:dyDescent="0.25">
      <c r="A9" s="6" t="s">
        <v>24</v>
      </c>
      <c r="B9" s="7">
        <f t="shared" si="0"/>
        <v>8</v>
      </c>
      <c r="C9" s="8">
        <v>10</v>
      </c>
      <c r="D9" s="7">
        <v>2022</v>
      </c>
      <c r="E9" s="9">
        <f>'Marunouchi Daily'!D12</f>
        <v>5578</v>
      </c>
      <c r="F9" s="32">
        <v>15.371801912396213</v>
      </c>
      <c r="G9" s="9">
        <f>'Marunouchi Daily'!F12</f>
        <v>213.63</v>
      </c>
      <c r="H9" s="32">
        <v>55.660872462574005</v>
      </c>
      <c r="I9" s="9">
        <f>'Marunouchi Daily'!H12</f>
        <v>0</v>
      </c>
      <c r="J9" s="32">
        <v>2.68</v>
      </c>
      <c r="K9" s="9">
        <f>'Marunouchi Daily'!J12</f>
        <v>111</v>
      </c>
      <c r="L9" s="32">
        <v>866.58593380320269</v>
      </c>
      <c r="M9" s="9">
        <f>'Marunouchi Daily'!K12</f>
        <v>32</v>
      </c>
      <c r="N9" s="9">
        <f>'Marunouchi Daily'!L12</f>
        <v>228</v>
      </c>
      <c r="O9" s="9">
        <f>'Marunouchi Daily'!M12</f>
        <v>72</v>
      </c>
    </row>
    <row r="10" spans="1:15" ht="15" x14ac:dyDescent="0.25">
      <c r="A10" s="6" t="s">
        <v>24</v>
      </c>
      <c r="B10" s="7">
        <f t="shared" si="0"/>
        <v>9</v>
      </c>
      <c r="C10" s="8">
        <v>10</v>
      </c>
      <c r="D10" s="7">
        <v>2022</v>
      </c>
      <c r="E10" s="9">
        <f>'Marunouchi Daily'!D13</f>
        <v>5708</v>
      </c>
      <c r="F10" s="32">
        <v>15.371801912396213</v>
      </c>
      <c r="G10" s="9">
        <f>'Marunouchi Daily'!F13</f>
        <v>192.3</v>
      </c>
      <c r="H10" s="32">
        <v>55.660872462574005</v>
      </c>
      <c r="I10" s="9">
        <f>'Marunouchi Daily'!H13</f>
        <v>0</v>
      </c>
      <c r="J10" s="32">
        <v>2.68</v>
      </c>
      <c r="K10" s="9">
        <f>'Marunouchi Daily'!J13</f>
        <v>112</v>
      </c>
      <c r="L10" s="32">
        <v>866.58593380320269</v>
      </c>
      <c r="M10" s="9">
        <f>'Marunouchi Daily'!K13</f>
        <v>48</v>
      </c>
      <c r="N10" s="9">
        <f>'Marunouchi Daily'!L13</f>
        <v>205</v>
      </c>
      <c r="O10" s="9">
        <f>'Marunouchi Daily'!M13</f>
        <v>105</v>
      </c>
    </row>
    <row r="11" spans="1:15" ht="15" x14ac:dyDescent="0.25">
      <c r="A11" s="6" t="s">
        <v>24</v>
      </c>
      <c r="B11" s="7">
        <f t="shared" si="0"/>
        <v>10</v>
      </c>
      <c r="C11" s="8">
        <v>10</v>
      </c>
      <c r="D11" s="7">
        <v>2022</v>
      </c>
      <c r="E11" s="9">
        <f>'Marunouchi Daily'!D14</f>
        <v>5528</v>
      </c>
      <c r="F11" s="32">
        <v>15.371801912396213</v>
      </c>
      <c r="G11" s="9">
        <f>'Marunouchi Daily'!F14</f>
        <v>333.35</v>
      </c>
      <c r="H11" s="32">
        <v>55.660872462574005</v>
      </c>
      <c r="I11" s="9">
        <f>'Marunouchi Daily'!H14</f>
        <v>0</v>
      </c>
      <c r="J11" s="32">
        <v>2.68</v>
      </c>
      <c r="K11" s="9">
        <f>'Marunouchi Daily'!J14</f>
        <v>99</v>
      </c>
      <c r="L11" s="32">
        <v>866.58593380320269</v>
      </c>
      <c r="M11" s="9">
        <f>'Marunouchi Daily'!K14</f>
        <v>41</v>
      </c>
      <c r="N11" s="9">
        <f>'Marunouchi Daily'!L14</f>
        <v>185</v>
      </c>
      <c r="O11" s="9">
        <f>'Marunouchi Daily'!M14</f>
        <v>60</v>
      </c>
    </row>
    <row r="12" spans="1:15" ht="15" x14ac:dyDescent="0.25">
      <c r="A12" s="6" t="s">
        <v>24</v>
      </c>
      <c r="B12" s="7">
        <f t="shared" si="0"/>
        <v>11</v>
      </c>
      <c r="C12" s="8">
        <v>10</v>
      </c>
      <c r="D12" s="7">
        <v>2022</v>
      </c>
      <c r="E12" s="9">
        <f>'Marunouchi Daily'!D15</f>
        <v>5422</v>
      </c>
      <c r="F12" s="32">
        <v>15.371801912396213</v>
      </c>
      <c r="G12" s="9">
        <f>'Marunouchi Daily'!F15</f>
        <v>69.330000000000013</v>
      </c>
      <c r="H12" s="32">
        <v>55.660872462574005</v>
      </c>
      <c r="I12" s="9">
        <f>'Marunouchi Daily'!H15</f>
        <v>0</v>
      </c>
      <c r="J12" s="32">
        <v>2.68</v>
      </c>
      <c r="K12" s="9">
        <f>'Marunouchi Daily'!J15</f>
        <v>98</v>
      </c>
      <c r="L12" s="32">
        <v>866.58593380320269</v>
      </c>
      <c r="M12" s="9">
        <f>'Marunouchi Daily'!K15</f>
        <v>49</v>
      </c>
      <c r="N12" s="9">
        <f>'Marunouchi Daily'!L15</f>
        <v>153</v>
      </c>
      <c r="O12" s="9">
        <f>'Marunouchi Daily'!M15</f>
        <v>78</v>
      </c>
    </row>
    <row r="13" spans="1:15" ht="15" x14ac:dyDescent="0.25">
      <c r="A13" s="6" t="s">
        <v>24</v>
      </c>
      <c r="B13" s="7">
        <f t="shared" si="0"/>
        <v>12</v>
      </c>
      <c r="C13" s="8">
        <v>10</v>
      </c>
      <c r="D13" s="7">
        <v>2022</v>
      </c>
      <c r="E13" s="9">
        <f>'Marunouchi Daily'!D16</f>
        <v>5765</v>
      </c>
      <c r="F13" s="32">
        <v>15.371801912396213</v>
      </c>
      <c r="G13" s="9">
        <f>'Marunouchi Daily'!F16</f>
        <v>208.12</v>
      </c>
      <c r="H13" s="32">
        <v>55.660872462574005</v>
      </c>
      <c r="I13" s="9">
        <f>'Marunouchi Daily'!H16</f>
        <v>0</v>
      </c>
      <c r="J13" s="32">
        <v>2.68</v>
      </c>
      <c r="K13" s="9">
        <f>'Marunouchi Daily'!J16</f>
        <v>113</v>
      </c>
      <c r="L13" s="32">
        <v>866.58593380320269</v>
      </c>
      <c r="M13" s="9">
        <f>'Marunouchi Daily'!K16</f>
        <v>38</v>
      </c>
      <c r="N13" s="9">
        <f>'Marunouchi Daily'!L16</f>
        <v>181</v>
      </c>
      <c r="O13" s="9">
        <f>'Marunouchi Daily'!M16</f>
        <v>62</v>
      </c>
    </row>
    <row r="14" spans="1:15" ht="15" x14ac:dyDescent="0.25">
      <c r="A14" s="6" t="s">
        <v>24</v>
      </c>
      <c r="B14" s="7">
        <f t="shared" si="0"/>
        <v>13</v>
      </c>
      <c r="C14" s="8">
        <v>10</v>
      </c>
      <c r="D14" s="7">
        <v>2022</v>
      </c>
      <c r="E14" s="9">
        <f>'Marunouchi Daily'!D17</f>
        <v>5665</v>
      </c>
      <c r="F14" s="32">
        <v>15.371801912396213</v>
      </c>
      <c r="G14" s="9">
        <f>'Marunouchi Daily'!F17</f>
        <v>212.32999999999998</v>
      </c>
      <c r="H14" s="32">
        <v>55.660872462574005</v>
      </c>
      <c r="I14" s="9">
        <f>'Marunouchi Daily'!H17</f>
        <v>0</v>
      </c>
      <c r="J14" s="32">
        <v>2.68</v>
      </c>
      <c r="K14" s="9">
        <f>'Marunouchi Daily'!J17</f>
        <v>107</v>
      </c>
      <c r="L14" s="32">
        <v>866.58593380320269</v>
      </c>
      <c r="M14" s="9">
        <f>'Marunouchi Daily'!K17</f>
        <v>46</v>
      </c>
      <c r="N14" s="9">
        <f>'Marunouchi Daily'!L17</f>
        <v>230</v>
      </c>
      <c r="O14" s="9">
        <f>'Marunouchi Daily'!M17</f>
        <v>74</v>
      </c>
    </row>
    <row r="15" spans="1:15" ht="15" x14ac:dyDescent="0.25">
      <c r="A15" s="6" t="s">
        <v>24</v>
      </c>
      <c r="B15" s="7">
        <f t="shared" si="0"/>
        <v>14</v>
      </c>
      <c r="C15" s="8">
        <v>10</v>
      </c>
      <c r="D15" s="7">
        <v>2022</v>
      </c>
      <c r="E15" s="9">
        <f>'Marunouchi Daily'!D18</f>
        <v>5843</v>
      </c>
      <c r="F15" s="32">
        <v>15.371801912396213</v>
      </c>
      <c r="G15" s="9">
        <f>'Marunouchi Daily'!F18</f>
        <v>171.69</v>
      </c>
      <c r="H15" s="32">
        <v>55.660872462574005</v>
      </c>
      <c r="I15" s="9">
        <f>'Marunouchi Daily'!H18</f>
        <v>0</v>
      </c>
      <c r="J15" s="32">
        <v>2.68</v>
      </c>
      <c r="K15" s="9">
        <f>'Marunouchi Daily'!J18</f>
        <v>115</v>
      </c>
      <c r="L15" s="32">
        <v>866.58593380320269</v>
      </c>
      <c r="M15" s="9">
        <f>'Marunouchi Daily'!K18</f>
        <v>42</v>
      </c>
      <c r="N15" s="9">
        <f>'Marunouchi Daily'!L18</f>
        <v>158</v>
      </c>
      <c r="O15" s="9">
        <f>'Marunouchi Daily'!M18</f>
        <v>80</v>
      </c>
    </row>
    <row r="16" spans="1:15" ht="15" x14ac:dyDescent="0.25">
      <c r="A16" s="6" t="s">
        <v>24</v>
      </c>
      <c r="B16" s="7">
        <f t="shared" si="0"/>
        <v>15</v>
      </c>
      <c r="C16" s="8">
        <v>10</v>
      </c>
      <c r="D16" s="7">
        <v>2022</v>
      </c>
      <c r="E16" s="9">
        <f>'Marunouchi Daily'!D19</f>
        <v>5881</v>
      </c>
      <c r="F16" s="32">
        <v>15.371801912396213</v>
      </c>
      <c r="G16" s="9">
        <f>'Marunouchi Daily'!F19</f>
        <v>211.11</v>
      </c>
      <c r="H16" s="32">
        <v>55.660872462574005</v>
      </c>
      <c r="I16" s="9">
        <f>'Marunouchi Daily'!H19</f>
        <v>0</v>
      </c>
      <c r="J16" s="32">
        <v>2.68</v>
      </c>
      <c r="K16" s="9">
        <f>'Marunouchi Daily'!J19</f>
        <v>131</v>
      </c>
      <c r="L16" s="32">
        <v>866.58593380320269</v>
      </c>
      <c r="M16" s="9">
        <f>'Marunouchi Daily'!K19</f>
        <v>54</v>
      </c>
      <c r="N16" s="9">
        <f>'Marunouchi Daily'!L19</f>
        <v>240</v>
      </c>
      <c r="O16" s="9">
        <f>'Marunouchi Daily'!M19</f>
        <v>118</v>
      </c>
    </row>
    <row r="17" spans="1:15" ht="15" x14ac:dyDescent="0.25">
      <c r="A17" s="6" t="s">
        <v>24</v>
      </c>
      <c r="B17" s="7">
        <f t="shared" si="0"/>
        <v>16</v>
      </c>
      <c r="C17" s="8">
        <v>10</v>
      </c>
      <c r="D17" s="7">
        <v>2022</v>
      </c>
      <c r="E17" s="9">
        <f>'Marunouchi Daily'!D20</f>
        <v>5898</v>
      </c>
      <c r="F17" s="32">
        <v>15.371801912396213</v>
      </c>
      <c r="G17" s="9">
        <f>'Marunouchi Daily'!F20</f>
        <v>216.11</v>
      </c>
      <c r="H17" s="32">
        <v>55.660872462574005</v>
      </c>
      <c r="I17" s="9">
        <f>'Marunouchi Daily'!H20</f>
        <v>0</v>
      </c>
      <c r="J17" s="32">
        <v>2.68</v>
      </c>
      <c r="K17" s="9">
        <f>'Marunouchi Daily'!J20</f>
        <v>122</v>
      </c>
      <c r="L17" s="32">
        <v>866.58593380320269</v>
      </c>
      <c r="M17" s="9">
        <f>'Marunouchi Daily'!K20</f>
        <v>46</v>
      </c>
      <c r="N17" s="9">
        <f>'Marunouchi Daily'!L20</f>
        <v>213</v>
      </c>
      <c r="O17" s="9">
        <f>'Marunouchi Daily'!M20</f>
        <v>86</v>
      </c>
    </row>
    <row r="18" spans="1:15" ht="15" x14ac:dyDescent="0.25">
      <c r="A18" s="6" t="s">
        <v>24</v>
      </c>
      <c r="B18" s="7">
        <f t="shared" si="0"/>
        <v>17</v>
      </c>
      <c r="C18" s="8">
        <v>10</v>
      </c>
      <c r="D18" s="7">
        <v>2022</v>
      </c>
      <c r="E18" s="9">
        <f>'Marunouchi Daily'!D21</f>
        <v>5544</v>
      </c>
      <c r="F18" s="32">
        <v>15.371801912396213</v>
      </c>
      <c r="G18" s="9">
        <f>'Marunouchi Daily'!F21</f>
        <v>210.63</v>
      </c>
      <c r="H18" s="32">
        <v>55.660872462574005</v>
      </c>
      <c r="I18" s="9">
        <f>'Marunouchi Daily'!H21</f>
        <v>0</v>
      </c>
      <c r="J18" s="32">
        <v>2.68</v>
      </c>
      <c r="K18" s="9">
        <f>'Marunouchi Daily'!J21</f>
        <v>103</v>
      </c>
      <c r="L18" s="32">
        <v>866.58593380320269</v>
      </c>
      <c r="M18" s="9">
        <f>'Marunouchi Daily'!K21</f>
        <v>49</v>
      </c>
      <c r="N18" s="9">
        <f>'Marunouchi Daily'!L21</f>
        <v>130</v>
      </c>
      <c r="O18" s="9">
        <f>'Marunouchi Daily'!M21</f>
        <v>86</v>
      </c>
    </row>
    <row r="19" spans="1:15" ht="15" x14ac:dyDescent="0.25">
      <c r="A19" s="6" t="s">
        <v>24</v>
      </c>
      <c r="B19" s="7">
        <f t="shared" si="0"/>
        <v>18</v>
      </c>
      <c r="C19" s="8">
        <v>10</v>
      </c>
      <c r="D19" s="7">
        <v>2022</v>
      </c>
      <c r="E19" s="9">
        <f>'Marunouchi Daily'!D22</f>
        <v>5569</v>
      </c>
      <c r="F19" s="32">
        <v>15.371801912396213</v>
      </c>
      <c r="G19" s="9">
        <f>'Marunouchi Daily'!F22</f>
        <v>191.76999999999998</v>
      </c>
      <c r="H19" s="32">
        <v>55.660872462574005</v>
      </c>
      <c r="I19" s="9">
        <f>'Marunouchi Daily'!H22</f>
        <v>0</v>
      </c>
      <c r="J19" s="32">
        <v>2.68</v>
      </c>
      <c r="K19" s="9">
        <f>'Marunouchi Daily'!J22</f>
        <v>98</v>
      </c>
      <c r="L19" s="32">
        <v>866.58593380320269</v>
      </c>
      <c r="M19" s="9">
        <f>'Marunouchi Daily'!K22</f>
        <v>48</v>
      </c>
      <c r="N19" s="9">
        <f>'Marunouchi Daily'!L22</f>
        <v>106</v>
      </c>
      <c r="O19" s="9">
        <f>'Marunouchi Daily'!M22</f>
        <v>77</v>
      </c>
    </row>
    <row r="20" spans="1:15" ht="15" x14ac:dyDescent="0.25">
      <c r="A20" s="6" t="s">
        <v>24</v>
      </c>
      <c r="B20" s="7">
        <f t="shared" si="0"/>
        <v>19</v>
      </c>
      <c r="C20" s="8">
        <v>10</v>
      </c>
      <c r="D20" s="7">
        <v>2022</v>
      </c>
      <c r="E20" s="9">
        <f>'Marunouchi Daily'!D23</f>
        <v>5631</v>
      </c>
      <c r="F20" s="32">
        <v>15.371801912396213</v>
      </c>
      <c r="G20" s="9">
        <f>'Marunouchi Daily'!F23</f>
        <v>332.2</v>
      </c>
      <c r="H20" s="32">
        <v>55.660872462574005</v>
      </c>
      <c r="I20" s="9">
        <f>'Marunouchi Daily'!H23</f>
        <v>0</v>
      </c>
      <c r="J20" s="32">
        <v>2.68</v>
      </c>
      <c r="K20" s="9">
        <f>'Marunouchi Daily'!J23</f>
        <v>101</v>
      </c>
      <c r="L20" s="32">
        <v>866.58593380320269</v>
      </c>
      <c r="M20" s="9">
        <f>'Marunouchi Daily'!K23</f>
        <v>41</v>
      </c>
      <c r="N20" s="9">
        <f>'Marunouchi Daily'!L23</f>
        <v>157</v>
      </c>
      <c r="O20" s="9">
        <f>'Marunouchi Daily'!M23</f>
        <v>63</v>
      </c>
    </row>
    <row r="21" spans="1:15" ht="15" x14ac:dyDescent="0.25">
      <c r="A21" s="6" t="s">
        <v>24</v>
      </c>
      <c r="B21" s="7">
        <f t="shared" si="0"/>
        <v>20</v>
      </c>
      <c r="C21" s="8">
        <v>10</v>
      </c>
      <c r="D21" s="7">
        <v>2022</v>
      </c>
      <c r="E21" s="9">
        <f>'Marunouchi Daily'!D24</f>
        <v>5635</v>
      </c>
      <c r="F21" s="32">
        <v>15.371801912396213</v>
      </c>
      <c r="G21" s="9">
        <f>'Marunouchi Daily'!F24</f>
        <v>101.74000000000001</v>
      </c>
      <c r="H21" s="32">
        <v>55.660872462574005</v>
      </c>
      <c r="I21" s="9">
        <f>'Marunouchi Daily'!H24</f>
        <v>0</v>
      </c>
      <c r="J21" s="32">
        <v>2.68</v>
      </c>
      <c r="K21" s="9">
        <f>'Marunouchi Daily'!J24</f>
        <v>110</v>
      </c>
      <c r="L21" s="32">
        <v>866.58593380320269</v>
      </c>
      <c r="M21" s="9">
        <f>'Marunouchi Daily'!K24</f>
        <v>40</v>
      </c>
      <c r="N21" s="9">
        <f>'Marunouchi Daily'!L24</f>
        <v>181</v>
      </c>
      <c r="O21" s="9">
        <f>'Marunouchi Daily'!M24</f>
        <v>71</v>
      </c>
    </row>
    <row r="22" spans="1:15" ht="15" x14ac:dyDescent="0.25">
      <c r="A22" s="6" t="s">
        <v>24</v>
      </c>
      <c r="B22" s="7">
        <f t="shared" si="0"/>
        <v>21</v>
      </c>
      <c r="C22" s="8">
        <v>10</v>
      </c>
      <c r="D22" s="7">
        <v>2022</v>
      </c>
      <c r="E22" s="9">
        <f>'Marunouchi Daily'!D25</f>
        <v>5712</v>
      </c>
      <c r="F22" s="32">
        <v>15.371801912396213</v>
      </c>
      <c r="G22" s="9">
        <f>'Marunouchi Daily'!F25</f>
        <v>201.51</v>
      </c>
      <c r="H22" s="32">
        <v>55.660872462574005</v>
      </c>
      <c r="I22" s="9">
        <f>'Marunouchi Daily'!H25</f>
        <v>0</v>
      </c>
      <c r="J22" s="32">
        <v>2.68</v>
      </c>
      <c r="K22" s="9">
        <f>'Marunouchi Daily'!J25</f>
        <v>120</v>
      </c>
      <c r="L22" s="32">
        <v>866.58593380320269</v>
      </c>
      <c r="M22" s="9">
        <f>'Marunouchi Daily'!K25</f>
        <v>44</v>
      </c>
      <c r="N22" s="9">
        <f>'Marunouchi Daily'!L25</f>
        <v>215</v>
      </c>
      <c r="O22" s="9">
        <f>'Marunouchi Daily'!M25</f>
        <v>84</v>
      </c>
    </row>
    <row r="23" spans="1:15" ht="15" x14ac:dyDescent="0.25">
      <c r="A23" s="6" t="s">
        <v>24</v>
      </c>
      <c r="B23" s="7">
        <f t="shared" si="0"/>
        <v>22</v>
      </c>
      <c r="C23" s="8">
        <v>10</v>
      </c>
      <c r="D23" s="7">
        <v>2022</v>
      </c>
      <c r="E23" s="9">
        <f>'Marunouchi Daily'!D26</f>
        <v>5636</v>
      </c>
      <c r="F23" s="32">
        <v>15.371801912396213</v>
      </c>
      <c r="G23" s="9">
        <f>'Marunouchi Daily'!F26</f>
        <v>188.82</v>
      </c>
      <c r="H23" s="32">
        <v>55.660872462574005</v>
      </c>
      <c r="I23" s="9">
        <f>'Marunouchi Daily'!H26</f>
        <v>0</v>
      </c>
      <c r="J23" s="32">
        <v>2.68</v>
      </c>
      <c r="K23" s="9">
        <f>'Marunouchi Daily'!J26</f>
        <v>131</v>
      </c>
      <c r="L23" s="32">
        <v>866.58593380320269</v>
      </c>
      <c r="M23" s="9">
        <f>'Marunouchi Daily'!K26</f>
        <v>52</v>
      </c>
      <c r="N23" s="9">
        <f>'Marunouchi Daily'!L26</f>
        <v>225</v>
      </c>
      <c r="O23" s="9">
        <f>'Marunouchi Daily'!M26</f>
        <v>108</v>
      </c>
    </row>
    <row r="24" spans="1:15" ht="15" x14ac:dyDescent="0.25">
      <c r="A24" s="6" t="s">
        <v>24</v>
      </c>
      <c r="B24" s="7">
        <f t="shared" si="0"/>
        <v>23</v>
      </c>
      <c r="C24" s="8">
        <v>10</v>
      </c>
      <c r="D24" s="7">
        <v>2022</v>
      </c>
      <c r="E24" s="9">
        <f>'Marunouchi Daily'!D27</f>
        <v>5544</v>
      </c>
      <c r="F24" s="32">
        <v>15.371801912396213</v>
      </c>
      <c r="G24" s="9">
        <f>'Marunouchi Daily'!F27</f>
        <v>198.8</v>
      </c>
      <c r="H24" s="32">
        <v>55.660872462574005</v>
      </c>
      <c r="I24" s="9">
        <f>'Marunouchi Daily'!H27</f>
        <v>0</v>
      </c>
      <c r="J24" s="32">
        <v>2.68</v>
      </c>
      <c r="K24" s="9">
        <f>'Marunouchi Daily'!J27</f>
        <v>104</v>
      </c>
      <c r="L24" s="32">
        <v>866.58593380320269</v>
      </c>
      <c r="M24" s="9">
        <f>'Marunouchi Daily'!K27</f>
        <v>35</v>
      </c>
      <c r="N24" s="9">
        <f>'Marunouchi Daily'!L27</f>
        <v>211</v>
      </c>
      <c r="O24" s="9">
        <f>'Marunouchi Daily'!M27</f>
        <v>52</v>
      </c>
    </row>
    <row r="25" spans="1:15" ht="15" x14ac:dyDescent="0.25">
      <c r="A25" s="6" t="s">
        <v>24</v>
      </c>
      <c r="B25" s="7">
        <f t="shared" si="0"/>
        <v>24</v>
      </c>
      <c r="C25" s="8">
        <v>10</v>
      </c>
      <c r="D25" s="7">
        <v>2022</v>
      </c>
      <c r="E25" s="9">
        <f>'Marunouchi Daily'!D28</f>
        <v>5340</v>
      </c>
      <c r="F25" s="32">
        <v>15.371801912396213</v>
      </c>
      <c r="G25" s="9">
        <f>'Marunouchi Daily'!F28</f>
        <v>226.19</v>
      </c>
      <c r="H25" s="32">
        <v>55.660872462574005</v>
      </c>
      <c r="I25" s="9">
        <f>'Marunouchi Daily'!H28</f>
        <v>0</v>
      </c>
      <c r="J25" s="32">
        <v>2.68</v>
      </c>
      <c r="K25" s="9">
        <f>'Marunouchi Daily'!J28</f>
        <v>92</v>
      </c>
      <c r="L25" s="32">
        <v>866.58593380320269</v>
      </c>
      <c r="M25" s="9">
        <f>'Marunouchi Daily'!K28</f>
        <v>39</v>
      </c>
      <c r="N25" s="9">
        <f>'Marunouchi Daily'!L28</f>
        <v>109</v>
      </c>
      <c r="O25" s="9">
        <f>'Marunouchi Daily'!M28</f>
        <v>53</v>
      </c>
    </row>
    <row r="26" spans="1:15" ht="15" x14ac:dyDescent="0.25">
      <c r="A26" s="6" t="s">
        <v>24</v>
      </c>
      <c r="B26" s="7">
        <f>B25+1</f>
        <v>25</v>
      </c>
      <c r="C26" s="8">
        <v>10</v>
      </c>
      <c r="D26" s="7">
        <v>2022</v>
      </c>
      <c r="E26" s="9">
        <f>'Marunouchi Daily'!D29</f>
        <v>5291</v>
      </c>
      <c r="F26" s="32">
        <v>15.371801912396213</v>
      </c>
      <c r="G26" s="9">
        <f>'Marunouchi Daily'!F29</f>
        <v>241.8</v>
      </c>
      <c r="H26" s="32">
        <v>55.660872462574005</v>
      </c>
      <c r="I26" s="9">
        <f>'Marunouchi Daily'!H29</f>
        <v>0</v>
      </c>
      <c r="J26" s="32">
        <v>2.68</v>
      </c>
      <c r="K26" s="9">
        <f>'Marunouchi Daily'!J29</f>
        <v>88</v>
      </c>
      <c r="L26" s="32">
        <v>866.58593380320269</v>
      </c>
      <c r="M26" s="9">
        <f>'Marunouchi Daily'!K29</f>
        <v>43</v>
      </c>
      <c r="N26" s="9">
        <f>'Marunouchi Daily'!L29</f>
        <v>151</v>
      </c>
      <c r="O26" s="9">
        <f>'Marunouchi Daily'!M29</f>
        <v>67</v>
      </c>
    </row>
    <row r="27" spans="1:15" ht="15" x14ac:dyDescent="0.25">
      <c r="A27" s="6" t="s">
        <v>24</v>
      </c>
      <c r="B27" s="7">
        <f t="shared" si="0"/>
        <v>26</v>
      </c>
      <c r="C27" s="8">
        <v>10</v>
      </c>
      <c r="D27" s="7">
        <v>2022</v>
      </c>
      <c r="E27" s="9">
        <f>'Marunouchi Daily'!D30</f>
        <v>5817</v>
      </c>
      <c r="F27" s="32">
        <v>15.371801912396213</v>
      </c>
      <c r="G27" s="9">
        <f>'Marunouchi Daily'!F30</f>
        <v>146.37</v>
      </c>
      <c r="H27" s="32">
        <v>55.660872462574005</v>
      </c>
      <c r="I27" s="9">
        <f>'Marunouchi Daily'!H30</f>
        <v>0</v>
      </c>
      <c r="J27" s="32">
        <v>2.68</v>
      </c>
      <c r="K27" s="9">
        <f>'Marunouchi Daily'!J30</f>
        <v>111</v>
      </c>
      <c r="L27" s="32">
        <v>866.58593380320269</v>
      </c>
      <c r="M27" s="9">
        <f>'Marunouchi Daily'!K30</f>
        <v>53</v>
      </c>
      <c r="N27" s="9">
        <f>'Marunouchi Daily'!L30</f>
        <v>225</v>
      </c>
      <c r="O27" s="9">
        <f>'Marunouchi Daily'!M30</f>
        <v>72</v>
      </c>
    </row>
    <row r="28" spans="1:15" ht="15" x14ac:dyDescent="0.25">
      <c r="A28" s="6" t="s">
        <v>24</v>
      </c>
      <c r="B28" s="7">
        <f t="shared" si="0"/>
        <v>27</v>
      </c>
      <c r="C28" s="8">
        <v>10</v>
      </c>
      <c r="D28" s="7">
        <v>2022</v>
      </c>
      <c r="E28" s="9">
        <f>'Marunouchi Daily'!D31</f>
        <v>5823</v>
      </c>
      <c r="F28" s="32">
        <v>15.371801912396213</v>
      </c>
      <c r="G28" s="9">
        <f>'Marunouchi Daily'!F31</f>
        <v>174.88</v>
      </c>
      <c r="H28" s="32">
        <v>55.660872462574005</v>
      </c>
      <c r="I28" s="9">
        <f>'Marunouchi Daily'!H31</f>
        <v>0</v>
      </c>
      <c r="J28" s="32">
        <v>2.68</v>
      </c>
      <c r="K28" s="9">
        <f>'Marunouchi Daily'!J31</f>
        <v>112</v>
      </c>
      <c r="L28" s="32">
        <v>866.58593380320269</v>
      </c>
      <c r="M28" s="9">
        <f>'Marunouchi Daily'!K31</f>
        <v>44</v>
      </c>
      <c r="N28" s="9">
        <f>'Marunouchi Daily'!L31</f>
        <v>180</v>
      </c>
      <c r="O28" s="9">
        <f>'Marunouchi Daily'!M31</f>
        <v>68</v>
      </c>
    </row>
    <row r="29" spans="1:15" ht="15" x14ac:dyDescent="0.25">
      <c r="A29" s="6" t="s">
        <v>24</v>
      </c>
      <c r="B29" s="7">
        <f t="shared" si="0"/>
        <v>28</v>
      </c>
      <c r="C29" s="8">
        <v>10</v>
      </c>
      <c r="D29" s="7">
        <v>2022</v>
      </c>
      <c r="E29" s="9">
        <f>'Marunouchi Daily'!D32</f>
        <v>5709</v>
      </c>
      <c r="F29" s="32">
        <v>15.371801912396213</v>
      </c>
      <c r="G29" s="9">
        <f>'Marunouchi Daily'!F32</f>
        <v>211.47</v>
      </c>
      <c r="H29" s="32">
        <v>55.660872462574005</v>
      </c>
      <c r="I29" s="9">
        <f>'Marunouchi Daily'!H32</f>
        <v>0</v>
      </c>
      <c r="J29" s="32">
        <v>2.68</v>
      </c>
      <c r="K29" s="9">
        <f>'Marunouchi Daily'!J32</f>
        <v>107</v>
      </c>
      <c r="L29" s="32">
        <v>866.58593380320269</v>
      </c>
      <c r="M29" s="9">
        <f>'Marunouchi Daily'!K32</f>
        <v>39</v>
      </c>
      <c r="N29" s="9">
        <f>'Marunouchi Daily'!L32</f>
        <v>215</v>
      </c>
      <c r="O29" s="9">
        <f>'Marunouchi Daily'!M32</f>
        <v>71</v>
      </c>
    </row>
    <row r="30" spans="1:15" ht="15" x14ac:dyDescent="0.25">
      <c r="A30" s="6" t="s">
        <v>24</v>
      </c>
      <c r="B30" s="7">
        <f t="shared" si="0"/>
        <v>29</v>
      </c>
      <c r="C30" s="8">
        <v>10</v>
      </c>
      <c r="D30" s="7">
        <v>2022</v>
      </c>
      <c r="E30" s="9">
        <f>'Marunouchi Daily'!D33</f>
        <v>5764</v>
      </c>
      <c r="F30" s="32">
        <v>15.371801912396213</v>
      </c>
      <c r="G30" s="9">
        <f>'Marunouchi Daily'!F33</f>
        <v>188.20999999999998</v>
      </c>
      <c r="H30" s="32">
        <v>55.660872462574005</v>
      </c>
      <c r="I30" s="9">
        <f>'Marunouchi Daily'!H33</f>
        <v>0</v>
      </c>
      <c r="J30" s="32">
        <v>2.68</v>
      </c>
      <c r="K30" s="9">
        <f>'Marunouchi Daily'!J33</f>
        <v>127</v>
      </c>
      <c r="L30" s="32">
        <v>866.58593380320269</v>
      </c>
      <c r="M30" s="9">
        <f>'Marunouchi Daily'!K33</f>
        <v>48</v>
      </c>
      <c r="N30" s="9">
        <f>'Marunouchi Daily'!L33</f>
        <v>244</v>
      </c>
      <c r="O30" s="9">
        <f>'Marunouchi Daily'!M33</f>
        <v>98</v>
      </c>
    </row>
    <row r="31" spans="1:15" ht="15" x14ac:dyDescent="0.25">
      <c r="A31" s="6" t="s">
        <v>24</v>
      </c>
      <c r="B31" s="7">
        <f t="shared" si="0"/>
        <v>30</v>
      </c>
      <c r="C31" s="8">
        <v>10</v>
      </c>
      <c r="D31" s="7">
        <v>2022</v>
      </c>
      <c r="E31" s="9">
        <f>'Marunouchi Daily'!D34</f>
        <v>5649</v>
      </c>
      <c r="F31" s="32">
        <v>15.371801912396213</v>
      </c>
      <c r="G31" s="9">
        <f>'Marunouchi Daily'!F34</f>
        <v>206.03</v>
      </c>
      <c r="H31" s="32">
        <v>55.660872462574005</v>
      </c>
      <c r="I31" s="9">
        <f>'Marunouchi Daily'!H34</f>
        <v>0</v>
      </c>
      <c r="J31" s="32">
        <v>2.68</v>
      </c>
      <c r="K31" s="9">
        <f>'Marunouchi Daily'!J34</f>
        <v>113</v>
      </c>
      <c r="L31" s="32">
        <v>866.58593380320269</v>
      </c>
      <c r="M31" s="9">
        <f>'Marunouchi Daily'!K34</f>
        <v>36</v>
      </c>
      <c r="N31" s="9">
        <f>'Marunouchi Daily'!L34</f>
        <v>215</v>
      </c>
      <c r="O31" s="9">
        <f>'Marunouchi Daily'!M34</f>
        <v>77</v>
      </c>
    </row>
    <row r="32" spans="1:15" ht="15" x14ac:dyDescent="0.25">
      <c r="A32" s="6" t="s">
        <v>24</v>
      </c>
      <c r="B32" s="7">
        <v>31</v>
      </c>
      <c r="C32" s="8">
        <v>10</v>
      </c>
      <c r="D32" s="7">
        <v>2022</v>
      </c>
      <c r="E32" s="9">
        <f>'Marunouchi Daily'!D35</f>
        <v>5341</v>
      </c>
      <c r="F32" s="32">
        <v>15.371801912396213</v>
      </c>
      <c r="G32" s="9">
        <f>'Marunouchi Daily'!F35</f>
        <v>207.26</v>
      </c>
      <c r="H32" s="32">
        <v>55.660872462574005</v>
      </c>
      <c r="I32" s="9">
        <f>'Marunouchi Daily'!H35</f>
        <v>0</v>
      </c>
      <c r="J32" s="32">
        <v>2.68</v>
      </c>
      <c r="K32" s="9">
        <f>'Marunouchi Daily'!J35</f>
        <v>90</v>
      </c>
      <c r="L32" s="32">
        <v>866.58593380320269</v>
      </c>
      <c r="M32" s="9">
        <f>'Marunouchi Daily'!K35</f>
        <v>42</v>
      </c>
      <c r="N32" s="9">
        <f>'Marunouchi Daily'!L35</f>
        <v>122</v>
      </c>
      <c r="O32" s="9">
        <f>'Marunouchi Daily'!M35</f>
        <v>82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L36" sqref="L3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3" ht="35.25" customHeight="1" thickBot="1" x14ac:dyDescent="0.2">
      <c r="A2" s="14" t="s">
        <v>10</v>
      </c>
      <c r="B2" s="35"/>
      <c r="C2" s="37" t="s">
        <v>19</v>
      </c>
      <c r="D2" s="38"/>
      <c r="E2" s="39" t="s">
        <v>25</v>
      </c>
      <c r="F2" s="39"/>
      <c r="G2" s="42" t="s">
        <v>20</v>
      </c>
      <c r="H2" s="43"/>
      <c r="I2" s="40" t="s">
        <v>11</v>
      </c>
      <c r="J2" s="41"/>
      <c r="K2" s="15"/>
      <c r="L2" s="15"/>
    </row>
    <row r="3" spans="1:13" ht="44.25" customHeight="1" x14ac:dyDescent="0.15">
      <c r="A3" s="16" t="s">
        <v>12</v>
      </c>
      <c r="B3" s="35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44834</v>
      </c>
      <c r="B4" s="35"/>
      <c r="C4" s="24"/>
      <c r="D4" s="25">
        <v>5781</v>
      </c>
      <c r="E4" s="24"/>
      <c r="F4" s="25">
        <v>186.54</v>
      </c>
      <c r="G4" s="24"/>
      <c r="H4" s="25"/>
      <c r="I4" s="24"/>
      <c r="J4" s="25">
        <v>85</v>
      </c>
      <c r="K4" s="34"/>
      <c r="L4" s="26"/>
      <c r="M4" s="26"/>
    </row>
    <row r="5" spans="1:13" ht="33" customHeight="1" x14ac:dyDescent="0.15">
      <c r="A5" s="22">
        <v>44835</v>
      </c>
      <c r="B5" s="35"/>
      <c r="C5" s="24"/>
      <c r="D5" s="25">
        <v>5771</v>
      </c>
      <c r="E5" s="24"/>
      <c r="F5" s="25">
        <v>183.13</v>
      </c>
      <c r="G5" s="24"/>
      <c r="H5" s="25"/>
      <c r="I5" s="24"/>
      <c r="J5" s="25">
        <v>117</v>
      </c>
      <c r="K5" s="34">
        <v>40</v>
      </c>
      <c r="L5" s="26">
        <v>212</v>
      </c>
      <c r="M5" s="26">
        <v>85</v>
      </c>
    </row>
    <row r="6" spans="1:13" ht="45" customHeight="1" x14ac:dyDescent="0.15">
      <c r="A6" s="22">
        <v>44836</v>
      </c>
      <c r="B6" s="35"/>
      <c r="C6" s="24"/>
      <c r="D6" s="25">
        <v>5574</v>
      </c>
      <c r="E6" s="24"/>
      <c r="F6" s="25">
        <v>244.77999999999997</v>
      </c>
      <c r="G6" s="24"/>
      <c r="H6" s="25"/>
      <c r="I6" s="24"/>
      <c r="J6" s="25">
        <v>103</v>
      </c>
      <c r="K6" s="34">
        <v>18</v>
      </c>
      <c r="L6" s="26">
        <v>174</v>
      </c>
      <c r="M6" s="26">
        <v>28</v>
      </c>
    </row>
    <row r="7" spans="1:13" ht="45" customHeight="1" x14ac:dyDescent="0.15">
      <c r="A7" s="22">
        <v>44837</v>
      </c>
      <c r="B7" s="35"/>
      <c r="C7" s="24"/>
      <c r="D7" s="25">
        <v>5172</v>
      </c>
      <c r="E7" s="24"/>
      <c r="F7" s="25">
        <v>142.35999999999999</v>
      </c>
      <c r="G7" s="24"/>
      <c r="H7" s="25"/>
      <c r="I7" s="24"/>
      <c r="J7" s="25">
        <v>82</v>
      </c>
      <c r="K7" s="34">
        <v>24</v>
      </c>
      <c r="L7" s="26">
        <v>109</v>
      </c>
      <c r="M7" s="26">
        <v>39</v>
      </c>
    </row>
    <row r="8" spans="1:13" ht="45" customHeight="1" x14ac:dyDescent="0.15">
      <c r="A8" s="22">
        <v>44838</v>
      </c>
      <c r="B8" s="35"/>
      <c r="C8" s="24"/>
      <c r="D8" s="25">
        <v>5294</v>
      </c>
      <c r="E8" s="24"/>
      <c r="F8" s="25">
        <v>191.74</v>
      </c>
      <c r="G8" s="24"/>
      <c r="H8" s="25"/>
      <c r="I8" s="24"/>
      <c r="J8" s="25">
        <v>81</v>
      </c>
      <c r="K8" s="34">
        <v>31</v>
      </c>
      <c r="L8" s="26">
        <v>88</v>
      </c>
      <c r="M8" s="26">
        <v>48</v>
      </c>
    </row>
    <row r="9" spans="1:13" ht="45" customHeight="1" x14ac:dyDescent="0.15">
      <c r="A9" s="22">
        <v>44839</v>
      </c>
      <c r="B9" s="35"/>
      <c r="C9" s="24"/>
      <c r="D9" s="25">
        <v>5525</v>
      </c>
      <c r="E9" s="24"/>
      <c r="F9" s="25">
        <v>310.12</v>
      </c>
      <c r="G9" s="24"/>
      <c r="H9" s="25"/>
      <c r="I9" s="24"/>
      <c r="J9" s="25">
        <v>91</v>
      </c>
      <c r="K9" s="34">
        <v>22</v>
      </c>
      <c r="L9" s="26">
        <v>101</v>
      </c>
      <c r="M9" s="26">
        <v>31</v>
      </c>
    </row>
    <row r="10" spans="1:13" ht="45" customHeight="1" x14ac:dyDescent="0.15">
      <c r="A10" s="22">
        <v>44840</v>
      </c>
      <c r="B10" s="35"/>
      <c r="C10" s="24"/>
      <c r="D10" s="25">
        <v>5363</v>
      </c>
      <c r="E10" s="24"/>
      <c r="F10" s="25">
        <v>68.09</v>
      </c>
      <c r="G10" s="24"/>
      <c r="H10" s="25"/>
      <c r="I10" s="24"/>
      <c r="J10" s="25">
        <v>95</v>
      </c>
      <c r="K10" s="34">
        <v>19</v>
      </c>
      <c r="L10" s="26">
        <v>158</v>
      </c>
      <c r="M10" s="26">
        <v>26</v>
      </c>
    </row>
    <row r="11" spans="1:13" ht="45" customHeight="1" x14ac:dyDescent="0.15">
      <c r="A11" s="22">
        <v>44841</v>
      </c>
      <c r="B11" s="35"/>
      <c r="C11" s="24"/>
      <c r="D11" s="25">
        <v>5306</v>
      </c>
      <c r="E11" s="24"/>
      <c r="F11" s="25">
        <v>194.07999999999998</v>
      </c>
      <c r="G11" s="24"/>
      <c r="H11" s="25"/>
      <c r="I11" s="24"/>
      <c r="J11" s="25">
        <v>87</v>
      </c>
      <c r="K11" s="34">
        <v>19</v>
      </c>
      <c r="L11" s="26">
        <v>171</v>
      </c>
      <c r="M11" s="26">
        <v>37</v>
      </c>
    </row>
    <row r="12" spans="1:13" ht="45" customHeight="1" x14ac:dyDescent="0.15">
      <c r="A12" s="22">
        <v>44842</v>
      </c>
      <c r="B12" s="35"/>
      <c r="C12" s="24"/>
      <c r="D12" s="25">
        <v>5578</v>
      </c>
      <c r="E12" s="24"/>
      <c r="F12" s="25">
        <v>213.63</v>
      </c>
      <c r="G12" s="24"/>
      <c r="H12" s="25"/>
      <c r="I12" s="24"/>
      <c r="J12" s="25">
        <v>111</v>
      </c>
      <c r="K12" s="34">
        <v>32</v>
      </c>
      <c r="L12" s="26">
        <v>228</v>
      </c>
      <c r="M12" s="26">
        <v>72</v>
      </c>
    </row>
    <row r="13" spans="1:13" ht="45" customHeight="1" x14ac:dyDescent="0.15">
      <c r="A13" s="22">
        <v>44843</v>
      </c>
      <c r="B13" s="35"/>
      <c r="C13" s="24"/>
      <c r="D13" s="25">
        <v>5708</v>
      </c>
      <c r="E13" s="24"/>
      <c r="F13" s="25">
        <v>192.3</v>
      </c>
      <c r="G13" s="24"/>
      <c r="H13" s="25"/>
      <c r="I13" s="24"/>
      <c r="J13" s="25">
        <v>112</v>
      </c>
      <c r="K13" s="34">
        <v>48</v>
      </c>
      <c r="L13" s="26">
        <v>205</v>
      </c>
      <c r="M13" s="26">
        <v>105</v>
      </c>
    </row>
    <row r="14" spans="1:13" ht="45" customHeight="1" x14ac:dyDescent="0.15">
      <c r="A14" s="22">
        <v>44844</v>
      </c>
      <c r="B14" s="35"/>
      <c r="C14" s="24"/>
      <c r="D14" s="25">
        <v>5528</v>
      </c>
      <c r="E14" s="24"/>
      <c r="F14" s="25">
        <v>333.35</v>
      </c>
      <c r="G14" s="24"/>
      <c r="H14" s="25"/>
      <c r="I14" s="24"/>
      <c r="J14" s="25">
        <v>99</v>
      </c>
      <c r="K14" s="34">
        <v>41</v>
      </c>
      <c r="L14" s="26">
        <v>185</v>
      </c>
      <c r="M14" s="26">
        <v>60</v>
      </c>
    </row>
    <row r="15" spans="1:13" ht="45" customHeight="1" x14ac:dyDescent="0.15">
      <c r="A15" s="22">
        <v>44845</v>
      </c>
      <c r="B15" s="35"/>
      <c r="C15" s="24"/>
      <c r="D15" s="25">
        <v>5422</v>
      </c>
      <c r="E15" s="24"/>
      <c r="F15" s="25">
        <v>69.330000000000013</v>
      </c>
      <c r="G15" s="24"/>
      <c r="H15" s="25"/>
      <c r="I15" s="24"/>
      <c r="J15" s="25">
        <v>98</v>
      </c>
      <c r="K15" s="34">
        <v>49</v>
      </c>
      <c r="L15" s="26">
        <v>153</v>
      </c>
      <c r="M15" s="26">
        <v>78</v>
      </c>
    </row>
    <row r="16" spans="1:13" ht="45" customHeight="1" x14ac:dyDescent="0.15">
      <c r="A16" s="22">
        <v>44846</v>
      </c>
      <c r="B16" s="35"/>
      <c r="C16" s="24"/>
      <c r="D16" s="25">
        <v>5765</v>
      </c>
      <c r="E16" s="24"/>
      <c r="F16" s="25">
        <v>208.12</v>
      </c>
      <c r="G16" s="24"/>
      <c r="H16" s="25"/>
      <c r="I16" s="24"/>
      <c r="J16" s="25">
        <v>113</v>
      </c>
      <c r="K16" s="34">
        <v>38</v>
      </c>
      <c r="L16" s="26">
        <v>181</v>
      </c>
      <c r="M16" s="26">
        <v>62</v>
      </c>
    </row>
    <row r="17" spans="1:13" ht="45" customHeight="1" x14ac:dyDescent="0.15">
      <c r="A17" s="22">
        <v>44847</v>
      </c>
      <c r="B17" s="35"/>
      <c r="C17" s="24"/>
      <c r="D17" s="25">
        <v>5665</v>
      </c>
      <c r="E17" s="24"/>
      <c r="F17" s="25">
        <v>212.32999999999998</v>
      </c>
      <c r="G17" s="24"/>
      <c r="H17" s="25"/>
      <c r="I17" s="24"/>
      <c r="J17" s="25">
        <v>107</v>
      </c>
      <c r="K17" s="34">
        <v>46</v>
      </c>
      <c r="L17" s="26">
        <v>230</v>
      </c>
      <c r="M17" s="26">
        <v>74</v>
      </c>
    </row>
    <row r="18" spans="1:13" ht="45" customHeight="1" x14ac:dyDescent="0.15">
      <c r="A18" s="22">
        <v>44848</v>
      </c>
      <c r="B18" s="35"/>
      <c r="C18" s="24"/>
      <c r="D18" s="25">
        <v>5843</v>
      </c>
      <c r="E18" s="24"/>
      <c r="F18" s="25">
        <v>171.69</v>
      </c>
      <c r="G18" s="24"/>
      <c r="H18" s="25"/>
      <c r="I18" s="24"/>
      <c r="J18" s="25">
        <v>115</v>
      </c>
      <c r="K18" s="34">
        <v>42</v>
      </c>
      <c r="L18" s="26">
        <v>158</v>
      </c>
      <c r="M18" s="26">
        <v>80</v>
      </c>
    </row>
    <row r="19" spans="1:13" ht="45" customHeight="1" x14ac:dyDescent="0.15">
      <c r="A19" s="22">
        <v>44849</v>
      </c>
      <c r="B19" s="35"/>
      <c r="C19" s="24"/>
      <c r="D19" s="25">
        <v>5881</v>
      </c>
      <c r="E19" s="24"/>
      <c r="F19" s="25">
        <v>211.11</v>
      </c>
      <c r="G19" s="24"/>
      <c r="H19" s="25"/>
      <c r="I19" s="24"/>
      <c r="J19" s="25">
        <v>131</v>
      </c>
      <c r="K19" s="34">
        <v>54</v>
      </c>
      <c r="L19" s="26">
        <v>240</v>
      </c>
      <c r="M19" s="26">
        <v>118</v>
      </c>
    </row>
    <row r="20" spans="1:13" ht="45" customHeight="1" x14ac:dyDescent="0.15">
      <c r="A20" s="22">
        <v>44850</v>
      </c>
      <c r="B20" s="35"/>
      <c r="C20" s="24"/>
      <c r="D20" s="25">
        <v>5898</v>
      </c>
      <c r="E20" s="24"/>
      <c r="F20" s="25">
        <v>216.11</v>
      </c>
      <c r="G20" s="24"/>
      <c r="H20" s="25"/>
      <c r="I20" s="24"/>
      <c r="J20" s="25">
        <v>122</v>
      </c>
      <c r="K20" s="34">
        <v>46</v>
      </c>
      <c r="L20" s="26">
        <v>213</v>
      </c>
      <c r="M20" s="26">
        <v>86</v>
      </c>
    </row>
    <row r="21" spans="1:13" ht="45" customHeight="1" x14ac:dyDescent="0.15">
      <c r="A21" s="22">
        <v>44851</v>
      </c>
      <c r="B21" s="35"/>
      <c r="C21" s="24"/>
      <c r="D21" s="25">
        <v>5544</v>
      </c>
      <c r="E21" s="24"/>
      <c r="F21" s="25">
        <v>210.63</v>
      </c>
      <c r="G21" s="24"/>
      <c r="H21" s="25"/>
      <c r="I21" s="24"/>
      <c r="J21" s="25">
        <v>103</v>
      </c>
      <c r="K21" s="34">
        <v>49</v>
      </c>
      <c r="L21" s="26">
        <v>130</v>
      </c>
      <c r="M21" s="26">
        <v>86</v>
      </c>
    </row>
    <row r="22" spans="1:13" ht="45" customHeight="1" x14ac:dyDescent="0.15">
      <c r="A22" s="22">
        <v>44852</v>
      </c>
      <c r="B22" s="35"/>
      <c r="C22" s="24"/>
      <c r="D22" s="25">
        <v>5569</v>
      </c>
      <c r="E22" s="24"/>
      <c r="F22" s="25">
        <v>191.76999999999998</v>
      </c>
      <c r="G22" s="24"/>
      <c r="H22" s="25"/>
      <c r="I22" s="24"/>
      <c r="J22" s="25">
        <v>98</v>
      </c>
      <c r="K22" s="34">
        <v>48</v>
      </c>
      <c r="L22" s="26">
        <v>106</v>
      </c>
      <c r="M22" s="26">
        <v>77</v>
      </c>
    </row>
    <row r="23" spans="1:13" ht="45" customHeight="1" x14ac:dyDescent="0.15">
      <c r="A23" s="22">
        <v>44853</v>
      </c>
      <c r="B23" s="35"/>
      <c r="C23" s="24"/>
      <c r="D23" s="25">
        <v>5631</v>
      </c>
      <c r="E23" s="24"/>
      <c r="F23" s="25">
        <v>332.2</v>
      </c>
      <c r="G23" s="24"/>
      <c r="H23" s="25"/>
      <c r="I23" s="24"/>
      <c r="J23" s="25">
        <v>101</v>
      </c>
      <c r="K23" s="34">
        <v>41</v>
      </c>
      <c r="L23" s="26">
        <v>157</v>
      </c>
      <c r="M23" s="26">
        <v>63</v>
      </c>
    </row>
    <row r="24" spans="1:13" ht="45" customHeight="1" x14ac:dyDescent="0.15">
      <c r="A24" s="22">
        <v>44854</v>
      </c>
      <c r="B24" s="35"/>
      <c r="C24" s="24"/>
      <c r="D24" s="25">
        <v>5635</v>
      </c>
      <c r="E24" s="24"/>
      <c r="F24" s="25">
        <v>101.74000000000001</v>
      </c>
      <c r="G24" s="24"/>
      <c r="H24" s="25"/>
      <c r="I24" s="24"/>
      <c r="J24" s="25">
        <v>110</v>
      </c>
      <c r="K24" s="34">
        <v>40</v>
      </c>
      <c r="L24" s="26">
        <v>181</v>
      </c>
      <c r="M24" s="26">
        <v>71</v>
      </c>
    </row>
    <row r="25" spans="1:13" ht="45" customHeight="1" x14ac:dyDescent="0.15">
      <c r="A25" s="22">
        <v>44855</v>
      </c>
      <c r="B25" s="35"/>
      <c r="C25" s="24"/>
      <c r="D25" s="25">
        <v>5712</v>
      </c>
      <c r="E25" s="24"/>
      <c r="F25" s="25">
        <v>201.51</v>
      </c>
      <c r="G25" s="24"/>
      <c r="H25" s="25"/>
      <c r="I25" s="24"/>
      <c r="J25" s="25">
        <v>120</v>
      </c>
      <c r="K25" s="34">
        <v>44</v>
      </c>
      <c r="L25" s="26">
        <v>215</v>
      </c>
      <c r="M25" s="26">
        <v>84</v>
      </c>
    </row>
    <row r="26" spans="1:13" ht="45" customHeight="1" x14ac:dyDescent="0.15">
      <c r="A26" s="22">
        <v>44856</v>
      </c>
      <c r="B26" s="35"/>
      <c r="C26" s="24"/>
      <c r="D26" s="25">
        <v>5636</v>
      </c>
      <c r="E26" s="24"/>
      <c r="F26" s="25">
        <v>188.82</v>
      </c>
      <c r="G26" s="24"/>
      <c r="H26" s="25"/>
      <c r="I26" s="24"/>
      <c r="J26" s="25">
        <v>131</v>
      </c>
      <c r="K26" s="34">
        <v>52</v>
      </c>
      <c r="L26" s="26">
        <v>225</v>
      </c>
      <c r="M26" s="26">
        <v>108</v>
      </c>
    </row>
    <row r="27" spans="1:13" ht="45" customHeight="1" x14ac:dyDescent="0.15">
      <c r="A27" s="22">
        <v>44857</v>
      </c>
      <c r="B27" s="35"/>
      <c r="C27" s="24"/>
      <c r="D27" s="25">
        <v>5544</v>
      </c>
      <c r="E27" s="24"/>
      <c r="F27" s="25">
        <v>198.8</v>
      </c>
      <c r="G27" s="24"/>
      <c r="H27" s="25"/>
      <c r="I27" s="24"/>
      <c r="J27" s="25">
        <v>104</v>
      </c>
      <c r="K27" s="34">
        <v>35</v>
      </c>
      <c r="L27" s="26">
        <v>211</v>
      </c>
      <c r="M27" s="26">
        <v>52</v>
      </c>
    </row>
    <row r="28" spans="1:13" ht="45" customHeight="1" x14ac:dyDescent="0.15">
      <c r="A28" s="22">
        <v>44858</v>
      </c>
      <c r="B28" s="35"/>
      <c r="C28" s="24"/>
      <c r="D28" s="25">
        <v>5340</v>
      </c>
      <c r="E28" s="24"/>
      <c r="F28" s="25">
        <v>226.19</v>
      </c>
      <c r="G28" s="24"/>
      <c r="H28" s="25"/>
      <c r="I28" s="24"/>
      <c r="J28" s="25">
        <v>92</v>
      </c>
      <c r="K28" s="34">
        <v>39</v>
      </c>
      <c r="L28" s="26">
        <v>109</v>
      </c>
      <c r="M28" s="26">
        <v>53</v>
      </c>
    </row>
    <row r="29" spans="1:13" ht="45" customHeight="1" x14ac:dyDescent="0.15">
      <c r="A29" s="22">
        <v>44859</v>
      </c>
      <c r="B29" s="35"/>
      <c r="C29" s="24"/>
      <c r="D29" s="25">
        <v>5291</v>
      </c>
      <c r="E29" s="24"/>
      <c r="F29" s="25">
        <v>241.8</v>
      </c>
      <c r="G29" s="24"/>
      <c r="H29" s="25"/>
      <c r="I29" s="24"/>
      <c r="J29" s="25">
        <v>88</v>
      </c>
      <c r="K29" s="34">
        <v>43</v>
      </c>
      <c r="L29" s="26">
        <v>151</v>
      </c>
      <c r="M29" s="26">
        <v>67</v>
      </c>
    </row>
    <row r="30" spans="1:13" ht="45" customHeight="1" x14ac:dyDescent="0.15">
      <c r="A30" s="22">
        <v>44860</v>
      </c>
      <c r="B30" s="35"/>
      <c r="C30" s="24"/>
      <c r="D30" s="25">
        <v>5817</v>
      </c>
      <c r="E30" s="24"/>
      <c r="F30" s="25">
        <v>146.37</v>
      </c>
      <c r="G30" s="24"/>
      <c r="H30" s="25"/>
      <c r="I30" s="24"/>
      <c r="J30" s="25">
        <v>111</v>
      </c>
      <c r="K30" s="34">
        <v>53</v>
      </c>
      <c r="L30" s="26">
        <v>225</v>
      </c>
      <c r="M30" s="26">
        <v>72</v>
      </c>
    </row>
    <row r="31" spans="1:13" ht="45" customHeight="1" x14ac:dyDescent="0.15">
      <c r="A31" s="22">
        <v>44861</v>
      </c>
      <c r="B31" s="35"/>
      <c r="C31" s="24"/>
      <c r="D31" s="25">
        <v>5823</v>
      </c>
      <c r="E31" s="24"/>
      <c r="F31" s="25">
        <v>174.88</v>
      </c>
      <c r="G31" s="24"/>
      <c r="H31" s="25"/>
      <c r="I31" s="24"/>
      <c r="J31" s="25">
        <v>112</v>
      </c>
      <c r="K31" s="34">
        <v>44</v>
      </c>
      <c r="L31" s="26">
        <v>180</v>
      </c>
      <c r="M31" s="26">
        <v>68</v>
      </c>
    </row>
    <row r="32" spans="1:13" ht="45" customHeight="1" x14ac:dyDescent="0.15">
      <c r="A32" s="22">
        <v>44862</v>
      </c>
      <c r="B32" s="35"/>
      <c r="C32" s="24"/>
      <c r="D32" s="25">
        <v>5709</v>
      </c>
      <c r="E32" s="24"/>
      <c r="F32" s="25">
        <v>211.47</v>
      </c>
      <c r="G32" s="24"/>
      <c r="H32" s="25"/>
      <c r="I32" s="24"/>
      <c r="J32" s="25">
        <v>107</v>
      </c>
      <c r="K32" s="34">
        <v>39</v>
      </c>
      <c r="L32" s="26">
        <v>215</v>
      </c>
      <c r="M32" s="26">
        <v>71</v>
      </c>
    </row>
    <row r="33" spans="1:13" ht="36" customHeight="1" x14ac:dyDescent="0.15">
      <c r="A33" s="22">
        <v>44863</v>
      </c>
      <c r="C33" s="24"/>
      <c r="D33" s="25">
        <v>5764</v>
      </c>
      <c r="E33" s="24"/>
      <c r="F33" s="25">
        <v>188.20999999999998</v>
      </c>
      <c r="G33" s="24"/>
      <c r="H33" s="25"/>
      <c r="I33" s="24"/>
      <c r="J33" s="25">
        <v>127</v>
      </c>
      <c r="K33" s="34">
        <v>48</v>
      </c>
      <c r="L33" s="26">
        <v>244</v>
      </c>
      <c r="M33" s="26">
        <v>98</v>
      </c>
    </row>
    <row r="34" spans="1:13" ht="45.6" customHeight="1" x14ac:dyDescent="0.15">
      <c r="A34" s="22">
        <v>44864</v>
      </c>
      <c r="C34" s="24"/>
      <c r="D34" s="25">
        <v>5649</v>
      </c>
      <c r="E34" s="24"/>
      <c r="F34" s="25">
        <v>206.03</v>
      </c>
      <c r="G34" s="24"/>
      <c r="H34" s="25"/>
      <c r="I34" s="24"/>
      <c r="J34" s="25">
        <v>113</v>
      </c>
      <c r="K34" s="34">
        <v>36</v>
      </c>
      <c r="L34" s="26">
        <v>215</v>
      </c>
      <c r="M34" s="26">
        <v>77</v>
      </c>
    </row>
    <row r="35" spans="1:13" ht="47.45" customHeight="1" x14ac:dyDescent="0.15">
      <c r="A35" s="22">
        <v>44865</v>
      </c>
      <c r="C35" s="24"/>
      <c r="D35" s="25">
        <v>5341</v>
      </c>
      <c r="E35" s="24"/>
      <c r="F35" s="25">
        <v>207.26</v>
      </c>
      <c r="G35" s="24"/>
      <c r="H35" s="25"/>
      <c r="I35" s="24"/>
      <c r="J35" s="25">
        <v>90</v>
      </c>
      <c r="K35" s="34">
        <v>42</v>
      </c>
      <c r="L35" s="26">
        <v>122</v>
      </c>
      <c r="M35" s="26">
        <v>82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2022-11-09T07:21:07Z</dcterms:modified>
</cp:coreProperties>
</file>