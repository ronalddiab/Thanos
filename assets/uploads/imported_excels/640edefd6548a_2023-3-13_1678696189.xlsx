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5-15-2022\"/>
    </mc:Choice>
  </mc:AlternateContent>
  <xr:revisionPtr revIDLastSave="20" documentId="13_ncr:1_{6A8ED29C-4504-41F9-B83B-A3BD677EDB1E}" xr6:coauthVersionLast="47" xr6:coauthVersionMax="47" xr10:uidLastSave="{E13B1FBC-3C04-44FF-97F8-BDCAFF6B8FE9}"/>
  <bookViews>
    <workbookView xWindow="-120" yWindow="-120" windowWidth="29040" windowHeight="15720" firstSheet="1" xr2:uid="{00000000-000D-0000-FFFF-FFFF00000000}"/>
  </bookViews>
  <sheets>
    <sheet name="Total" sheetId="13" r:id="rId1"/>
    <sheet name="Submetering" sheetId="12" r:id="rId2"/>
    <sheet name="Sheet1" sheetId="14" state="hidden" r:id="rId3"/>
    <sheet name="Sheet2" sheetId="15" state="hidden" r:id="rId4"/>
    <sheet name="Elect" sheetId="1" r:id="rId5"/>
    <sheet name="Water" sheetId="2" r:id="rId6"/>
    <sheet name="Consp" sheetId="9" state="hidden" r:id="rId7"/>
    <sheet name="Temp." sheetId="4" state="hidden" r:id="rId8"/>
    <sheet name="M-Rep" sheetId="7" state="hidden" r:id="rId9"/>
    <sheet name="YTD" sheetId="10" state="hidden" r:id="rId10"/>
    <sheet name="Gas" sheetId="6" r:id="rId11"/>
    <sheet name="Utility Consnsumption" sheetId="11" r:id="rId12"/>
  </sheets>
  <definedNames>
    <definedName name="_xlnm.Print_Area" localSheetId="6">Consp!$A$1:$BQ$40</definedName>
    <definedName name="_xlnm.Print_Area" localSheetId="4">Elect!$A$1:$BZ$40</definedName>
    <definedName name="_xlnm.Print_Area" localSheetId="10">Gas!$A$1:$J$40</definedName>
    <definedName name="_xlnm.Print_Area" localSheetId="7">Temp.!$A$1:$J$45</definedName>
    <definedName name="_xlnm.Print_Area" localSheetId="11">'Utility Consnsumption'!$A$1:$M$62</definedName>
    <definedName name="_xlnm.Print_Area" localSheetId="5">Water!$A$1:$Z$50</definedName>
    <definedName name="_xlnm.Print_Area" localSheetId="9">YTD!$A$1:$Q$2370</definedName>
    <definedName name="_xlnm.Print_Titles" localSheetId="6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6" l="1"/>
  <c r="J39" i="1"/>
  <c r="J40" i="1"/>
  <c r="W17" i="1"/>
  <c r="J17" i="1"/>
  <c r="S8" i="1"/>
  <c r="S9" i="1"/>
  <c r="Q9" i="1"/>
  <c r="Q8" i="1"/>
  <c r="G25" i="6" l="1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BF21" i="1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O9" i="1"/>
  <c r="G8" i="9"/>
  <c r="O10" i="1"/>
  <c r="G9" i="9"/>
  <c r="O11" i="1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O22" i="1"/>
  <c r="G21" i="9"/>
  <c r="O23" i="1"/>
  <c r="G22" i="9"/>
  <c r="O24" i="1"/>
  <c r="M22" i="1"/>
  <c r="E21" i="9"/>
  <c r="M23" i="1"/>
  <c r="M24" i="1"/>
  <c r="E23" i="9"/>
  <c r="M25" i="1"/>
  <c r="M26" i="1"/>
  <c r="E25" i="9"/>
  <c r="M27" i="1"/>
  <c r="M28" i="1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 s="1"/>
  <c r="BT39" i="1" s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U27" i="1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O12" i="1"/>
  <c r="G11" i="9"/>
  <c r="O13" i="1"/>
  <c r="G12" i="9"/>
  <c r="O14" i="1"/>
  <c r="G13" i="9"/>
  <c r="O15" i="1"/>
  <c r="G14" i="9"/>
  <c r="O16" i="1"/>
  <c r="G15" i="9"/>
  <c r="O17" i="1"/>
  <c r="G16" i="9"/>
  <c r="O18" i="1"/>
  <c r="G17" i="9"/>
  <c r="O19" i="1"/>
  <c r="G18" i="9"/>
  <c r="O20" i="1"/>
  <c r="O21" i="1"/>
  <c r="G20" i="9"/>
  <c r="O25" i="1"/>
  <c r="G24" i="9"/>
  <c r="O26" i="1"/>
  <c r="G25" i="9"/>
  <c r="O27" i="1"/>
  <c r="G26" i="9"/>
  <c r="O28" i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E6" i="9"/>
  <c r="M8" i="1"/>
  <c r="E7" i="9"/>
  <c r="M9" i="1"/>
  <c r="E8" i="9"/>
  <c r="M10" i="1"/>
  <c r="K10" i="1"/>
  <c r="G6" i="12"/>
  <c r="M11" i="1"/>
  <c r="E10" i="9"/>
  <c r="M12" i="1"/>
  <c r="M13" i="1"/>
  <c r="E12" i="9"/>
  <c r="M14" i="1"/>
  <c r="E13" i="9"/>
  <c r="M15" i="1"/>
  <c r="E14" i="9"/>
  <c r="M16" i="1"/>
  <c r="E15" i="9"/>
  <c r="M17" i="1"/>
  <c r="E16" i="9"/>
  <c r="M18" i="1"/>
  <c r="E17" i="9"/>
  <c r="M19" i="1"/>
  <c r="E18" i="9"/>
  <c r="M20" i="1"/>
  <c r="E19" i="9"/>
  <c r="M21" i="1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/>
  <c r="J5" i="1"/>
  <c r="C35" i="9"/>
  <c r="G6" i="6"/>
  <c r="C6" i="6"/>
  <c r="G6" i="2"/>
  <c r="E6" i="2"/>
  <c r="C6" i="2"/>
  <c r="D34" i="1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/>
  <c r="C20" i="7"/>
  <c r="T5" i="9"/>
  <c r="T7" i="9"/>
  <c r="T10" i="9"/>
  <c r="T12" i="9"/>
  <c r="T14" i="9"/>
  <c r="T16" i="9"/>
  <c r="T19" i="9"/>
  <c r="U40" i="2"/>
  <c r="BM35" i="9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2346" i="10"/>
  <c r="X40" i="2"/>
  <c r="Y40" i="2"/>
  <c r="BP35" i="9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/>
  <c r="V44" i="2"/>
  <c r="V45" i="2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/>
  <c r="Q185" i="10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K26" i="1"/>
  <c r="G22" i="12"/>
  <c r="K28" i="1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/>
  <c r="F18" i="12"/>
  <c r="C21" i="9"/>
  <c r="E24" i="9"/>
  <c r="K25" i="1"/>
  <c r="G21" i="12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/>
  <c r="T41" i="2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/>
  <c r="BO38" i="9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BJ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H28" i="2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K5" i="1"/>
  <c r="AC27" i="12"/>
  <c r="AF24" i="12"/>
  <c r="AE27" i="12"/>
  <c r="K6" i="1"/>
  <c r="G2" i="12"/>
  <c r="K19" i="1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K16" i="1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/>
  <c r="F4" i="12"/>
  <c r="K8" i="1"/>
  <c r="G4" i="12"/>
  <c r="BO35" i="9"/>
  <c r="X45" i="2"/>
  <c r="BO40" i="9"/>
  <c r="Y43" i="2"/>
  <c r="BP38" i="9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K15" i="1"/>
  <c r="G11" i="12"/>
  <c r="K7" i="1"/>
  <c r="G3" i="12"/>
  <c r="K29" i="1"/>
  <c r="G25" i="12"/>
  <c r="K17" i="1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/>
  <c r="V42" i="2"/>
  <c r="V41" i="2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K22" i="1"/>
  <c r="G18" i="12"/>
  <c r="AT28" i="9"/>
  <c r="H29" i="2"/>
  <c r="AO12" i="12"/>
  <c r="K8" i="6"/>
  <c r="G3" i="13"/>
  <c r="AN18" i="12"/>
  <c r="K24" i="1"/>
  <c r="G20" i="12"/>
  <c r="K23" i="1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K27" i="1"/>
  <c r="G23" i="12"/>
  <c r="E26" i="9"/>
  <c r="N19" i="12"/>
  <c r="G10" i="9"/>
  <c r="K11" i="1"/>
  <c r="G7" i="12"/>
  <c r="F15" i="12"/>
  <c r="C18" i="9"/>
  <c r="K21" i="1"/>
  <c r="G17" i="12"/>
  <c r="K12" i="1"/>
  <c r="G8" i="12"/>
  <c r="K20" i="1"/>
  <c r="G16" i="12"/>
  <c r="X44" i="2"/>
  <c r="Y44" i="2"/>
  <c r="BP39" i="9"/>
  <c r="Z40" i="2"/>
  <c r="BQ35" i="9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/>
  <c r="K33" i="9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K13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Z43" i="2"/>
  <c r="BQ38" i="9"/>
  <c r="E22" i="9"/>
  <c r="M37" i="1"/>
  <c r="M38" i="1"/>
  <c r="Z27" i="2"/>
  <c r="BQ25" i="9"/>
  <c r="Y27" i="2"/>
  <c r="BP25" i="9"/>
  <c r="BJ20" i="1"/>
  <c r="AC22" i="12"/>
  <c r="AC19" i="12"/>
  <c r="BJ12" i="1"/>
  <c r="T45" i="2"/>
  <c r="BI25" i="1"/>
  <c r="BJ25" i="1"/>
  <c r="W22" i="2"/>
  <c r="U22" i="2"/>
  <c r="BM20" i="9"/>
  <c r="Q36" i="2"/>
  <c r="W36" i="2"/>
  <c r="U36" i="2"/>
  <c r="W35" i="2"/>
  <c r="U35" i="2"/>
  <c r="W30" i="2"/>
  <c r="U30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W31" i="2"/>
  <c r="U31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Z44" i="2"/>
  <c r="BQ39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X31" i="2"/>
  <c r="P29" i="9"/>
  <c r="BM29" i="9"/>
  <c r="I26" i="13"/>
  <c r="BN29" i="9"/>
  <c r="Q31" i="2"/>
  <c r="X29" i="9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BO39" i="9"/>
  <c r="X13" i="2"/>
  <c r="BO11" i="9"/>
  <c r="I16" i="4"/>
  <c r="J32" i="4"/>
  <c r="E44" i="4"/>
  <c r="C39" i="7"/>
  <c r="I30" i="4"/>
  <c r="Q12" i="2"/>
  <c r="X10" i="9"/>
  <c r="X12" i="2"/>
  <c r="P10" i="9"/>
  <c r="I7" i="13"/>
  <c r="K37" i="1"/>
  <c r="K38" i="1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I33" i="9"/>
  <c r="C39" i="2"/>
  <c r="I34" i="9"/>
  <c r="X36" i="2"/>
  <c r="I31" i="13"/>
  <c r="P13" i="9"/>
  <c r="Q30" i="2"/>
  <c r="X28" i="9"/>
  <c r="I25" i="13"/>
  <c r="BM28" i="9"/>
  <c r="P28" i="9"/>
  <c r="BN28" i="9"/>
  <c r="X30" i="2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/>
  <c r="Z31" i="2"/>
  <c r="BQ29" i="9"/>
  <c r="BO29" i="9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P33" i="9"/>
  <c r="X38" i="2"/>
  <c r="Z38" i="2"/>
  <c r="BQ33" i="9"/>
  <c r="W38" i="2"/>
  <c r="BN33" i="9"/>
  <c r="Z15" i="2"/>
  <c r="BQ13" i="9"/>
  <c r="U38" i="2"/>
  <c r="BM3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Z30" i="2"/>
  <c r="BQ28" i="9"/>
  <c r="BO28" i="9"/>
  <c r="Y30" i="2"/>
  <c r="BP28" i="9"/>
  <c r="Y36" i="2"/>
  <c r="Z36" i="2"/>
  <c r="Z22" i="2"/>
  <c r="BQ20" i="9"/>
  <c r="BO20" i="9"/>
  <c r="Y22" i="2"/>
  <c r="BP20" i="9"/>
  <c r="Y34" i="2"/>
  <c r="BP32" i="9"/>
  <c r="BO32" i="9"/>
  <c r="Z34" i="2"/>
  <c r="BQ32" i="9"/>
  <c r="Z32" i="2"/>
  <c r="BQ30" i="9"/>
  <c r="Y32" i="2"/>
  <c r="BP30" i="9"/>
  <c r="BO30" i="9"/>
  <c r="Z35" i="2"/>
  <c r="Y35" i="2"/>
  <c r="BY23" i="1"/>
  <c r="BZ23" i="1"/>
  <c r="Q38" i="2"/>
  <c r="X33" i="9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H39" i="2"/>
  <c r="W39" i="2"/>
  <c r="BN34" i="9"/>
  <c r="E20" i="11"/>
  <c r="F20" i="11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O33" i="9"/>
  <c r="C43" i="7"/>
  <c r="Q39" i="2"/>
  <c r="X34" i="9"/>
  <c r="U39" i="2"/>
  <c r="BM34" i="9"/>
  <c r="Y38" i="2"/>
  <c r="BP33" i="9"/>
  <c r="X39" i="2"/>
  <c r="Z39" i="2"/>
  <c r="BQ34" i="9"/>
  <c r="BZ35" i="1"/>
  <c r="BY35" i="1"/>
  <c r="BY19" i="1"/>
  <c r="BZ19" i="1"/>
  <c r="BZ21" i="1"/>
  <c r="BY21" i="1"/>
  <c r="BZ22" i="1"/>
  <c r="BY22" i="1"/>
  <c r="P34" i="9"/>
  <c r="L13" i="11"/>
  <c r="BZ11" i="1"/>
  <c r="BY11" i="1"/>
  <c r="M13" i="11"/>
  <c r="BZ25" i="1"/>
  <c r="BY25" i="1"/>
  <c r="BY34" i="1"/>
  <c r="BO34" i="9"/>
  <c r="Y39" i="2"/>
  <c r="BP34" i="9"/>
  <c r="J13" i="11" l="1"/>
  <c r="I13" i="11"/>
  <c r="K13" i="11" s="1"/>
  <c r="K17" i="11" s="1"/>
  <c r="Q38" i="1"/>
  <c r="BU8" i="1"/>
  <c r="BW8" i="1"/>
  <c r="BX8" i="1"/>
  <c r="BS37" i="1"/>
  <c r="BS38" i="1" s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BW38" i="1" l="1"/>
  <c r="BU38" i="1"/>
  <c r="BY37" i="1"/>
  <c r="BZ37" i="1"/>
  <c r="BX38" i="1"/>
  <c r="BZ38" i="1" l="1"/>
  <c r="BY38" i="1"/>
</calcChain>
</file>

<file path=xl/sharedStrings.xml><?xml version="1.0" encoding="utf-8"?>
<sst xmlns="http://schemas.openxmlformats.org/spreadsheetml/2006/main" count="889" uniqueCount="416">
  <si>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</si>
  <si>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</si>
  <si>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</si>
  <si>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</si>
  <si>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</si>
  <si>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</si>
  <si>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</si>
  <si>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</si>
  <si>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</si>
  <si>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</si>
  <si>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</si>
  <si>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</si>
  <si>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</si>
  <si>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</si>
  <si>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</si>
  <si>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</si>
  <si>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</si>
  <si>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</si>
  <si>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</si>
  <si>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</si>
  <si>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</si>
  <si>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</si>
  <si>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</si>
  <si>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</si>
  <si>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</si>
  <si>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</si>
  <si>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</si>
  <si>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</si>
  <si>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</si>
  <si>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</si>
  <si>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</si>
  <si>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</si>
  <si>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</si>
  <si>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</si>
  <si>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</si>
  <si>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</si>
  <si>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</si>
  <si>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</si>
  <si>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</si>
  <si>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</si>
  <si>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</si>
  <si>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</si>
  <si>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</si>
  <si>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</si>
  <si>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</si>
  <si>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</si>
  <si>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</si>
  <si>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</si>
  <si>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</si>
  <si>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</si>
  <si>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</si>
  <si>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January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</si>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</sst>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3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0" fontId="4" fillId="0" borderId="9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I25" sqref="I25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1</v>
      </c>
      <c r="D2" s="752">
        <v>2022</v>
      </c>
      <c r="E2" s="747">
        <f>Elect!BS6</f>
        <v>21837.962500000001</v>
      </c>
      <c r="F2" s="745">
        <f>'Utility Consnsumption'!K13/'Utility Consnsumption'!J13</f>
        <v>1.4111953691045176</v>
      </c>
      <c r="G2" s="746">
        <f>Gas!K7</f>
        <v>2864.3</v>
      </c>
      <c r="H2" s="745">
        <v>3.8</v>
      </c>
      <c r="I2" s="746">
        <f>Water!H7</f>
        <v>539.39999999999986</v>
      </c>
      <c r="J2" s="745">
        <v>10</v>
      </c>
      <c r="K2" s="746">
        <f>Elect!BT6</f>
        <v>232</v>
      </c>
    </row>
    <row r="3" spans="1:12">
      <c r="A3" s="753" t="s">
        <v>11</v>
      </c>
      <c r="B3" s="730">
        <f>B2+1</f>
        <v>2</v>
      </c>
      <c r="C3" s="772">
        <v>1</v>
      </c>
      <c r="D3" s="752">
        <v>2022</v>
      </c>
      <c r="E3" s="747">
        <f>Elect!BS7</f>
        <v>23186.297500000001</v>
      </c>
      <c r="F3" s="745">
        <f>F2</f>
        <v>1.4111953691045176</v>
      </c>
      <c r="G3" s="746">
        <f>Gas!K8</f>
        <v>1821.3000000000002</v>
      </c>
      <c r="H3" s="745">
        <v>3.8</v>
      </c>
      <c r="I3" s="746">
        <f>Water!H8</f>
        <v>237.79999999999998</v>
      </c>
      <c r="J3" s="745">
        <v>10</v>
      </c>
      <c r="K3" s="746">
        <f>Elect!BT7</f>
        <v>191</v>
      </c>
    </row>
    <row r="4" spans="1:12">
      <c r="A4" s="753" t="s">
        <v>11</v>
      </c>
      <c r="B4" s="730">
        <f t="shared" ref="B4:B32" si="0">B3+1</f>
        <v>3</v>
      </c>
      <c r="C4" s="772">
        <v>1</v>
      </c>
      <c r="D4" s="752">
        <v>2022</v>
      </c>
      <c r="E4" s="747">
        <f>Elect!BS8</f>
        <v>21488.202499999999</v>
      </c>
      <c r="F4" s="745">
        <f t="shared" ref="F4:F32" si="1">F3</f>
        <v>1.4111953691045176</v>
      </c>
      <c r="G4" s="746">
        <f>Gas!K9</f>
        <v>1829</v>
      </c>
      <c r="H4" s="745">
        <v>3.8</v>
      </c>
      <c r="I4" s="746">
        <f>Water!H9</f>
        <v>348</v>
      </c>
      <c r="J4" s="745">
        <v>10</v>
      </c>
      <c r="K4" s="746">
        <f>Elect!BT8</f>
        <v>219</v>
      </c>
    </row>
    <row r="5" spans="1:12">
      <c r="A5" s="753" t="s">
        <v>11</v>
      </c>
      <c r="B5" s="730">
        <f t="shared" si="0"/>
        <v>4</v>
      </c>
      <c r="C5" s="772">
        <v>1</v>
      </c>
      <c r="D5" s="752">
        <v>2022</v>
      </c>
      <c r="E5" s="747">
        <f>Elect!BS9</f>
        <v>22502.702499999999</v>
      </c>
      <c r="F5" s="745">
        <f t="shared" si="1"/>
        <v>1.4111953691045176</v>
      </c>
      <c r="G5" s="746">
        <f>Gas!K10</f>
        <v>1808.7</v>
      </c>
      <c r="H5" s="745">
        <v>3.8</v>
      </c>
      <c r="I5" s="746">
        <f>Water!H10</f>
        <v>336.4</v>
      </c>
      <c r="J5" s="745">
        <v>10</v>
      </c>
      <c r="K5" s="746">
        <f>Elect!BT9</f>
        <v>205</v>
      </c>
    </row>
    <row r="6" spans="1:12">
      <c r="A6" s="753" t="s">
        <v>11</v>
      </c>
      <c r="B6" s="730">
        <f t="shared" si="0"/>
        <v>5</v>
      </c>
      <c r="C6" s="772">
        <v>1</v>
      </c>
      <c r="D6" s="752">
        <v>2022</v>
      </c>
      <c r="E6" s="747">
        <f>Elect!BS10</f>
        <v>23106.327499999999</v>
      </c>
      <c r="F6" s="745">
        <f t="shared" si="1"/>
        <v>1.4111953691045176</v>
      </c>
      <c r="G6" s="746">
        <f>Gas!K11</f>
        <v>1808.7</v>
      </c>
      <c r="H6" s="745">
        <v>3.8</v>
      </c>
      <c r="I6" s="746">
        <f>Water!H11</f>
        <v>336.4</v>
      </c>
      <c r="J6" s="745">
        <v>10</v>
      </c>
      <c r="K6" s="746">
        <f>Elect!BT10</f>
        <v>199</v>
      </c>
    </row>
    <row r="7" spans="1:12">
      <c r="A7" s="753" t="s">
        <v>11</v>
      </c>
      <c r="B7" s="730">
        <f t="shared" si="0"/>
        <v>6</v>
      </c>
      <c r="C7" s="772">
        <v>1</v>
      </c>
      <c r="D7" s="752">
        <v>2022</v>
      </c>
      <c r="E7" s="747">
        <f>Elect!BS11</f>
        <v>20150.847500000003</v>
      </c>
      <c r="F7" s="745">
        <f t="shared" si="1"/>
        <v>1.4111953691045176</v>
      </c>
      <c r="G7" s="746">
        <f>Gas!K12</f>
        <v>1808.7</v>
      </c>
      <c r="H7" s="745">
        <v>3.8</v>
      </c>
      <c r="I7" s="746">
        <f>Water!H12</f>
        <v>336.4</v>
      </c>
      <c r="J7" s="745">
        <v>10</v>
      </c>
      <c r="K7" s="746">
        <f>Elect!BT11</f>
        <v>203</v>
      </c>
    </row>
    <row r="8" spans="1:12">
      <c r="A8" s="753" t="s">
        <v>11</v>
      </c>
      <c r="B8" s="730">
        <f t="shared" si="0"/>
        <v>7</v>
      </c>
      <c r="C8" s="772">
        <v>1</v>
      </c>
      <c r="D8" s="752">
        <v>2022</v>
      </c>
      <c r="E8" s="747">
        <f>Elect!BS12</f>
        <v>20696.565000000002</v>
      </c>
      <c r="F8" s="745">
        <f t="shared" si="1"/>
        <v>1.4111953691045176</v>
      </c>
      <c r="G8" s="746">
        <f>Gas!K13</f>
        <v>1763.2</v>
      </c>
      <c r="H8" s="745">
        <v>3.8</v>
      </c>
      <c r="I8" s="746">
        <f>Water!H13</f>
        <v>353.79999999999995</v>
      </c>
      <c r="J8" s="745">
        <v>10</v>
      </c>
      <c r="K8" s="746">
        <f>Elect!BT12</f>
        <v>233</v>
      </c>
    </row>
    <row r="9" spans="1:12">
      <c r="A9" s="753" t="s">
        <v>11</v>
      </c>
      <c r="B9" s="730">
        <f t="shared" si="0"/>
        <v>8</v>
      </c>
      <c r="C9" s="772">
        <v>1</v>
      </c>
      <c r="D9" s="752">
        <v>2022</v>
      </c>
      <c r="E9" s="747">
        <f>Elect!BS13</f>
        <v>21269.522499999999</v>
      </c>
      <c r="F9" s="745">
        <f t="shared" si="1"/>
        <v>1.4111953691045176</v>
      </c>
      <c r="G9" s="746">
        <f>Gas!K14</f>
        <v>1763.2</v>
      </c>
      <c r="H9" s="745">
        <v>3.8</v>
      </c>
      <c r="I9" s="746">
        <f>Water!H14</f>
        <v>353.79999999999995</v>
      </c>
      <c r="J9" s="745">
        <v>10</v>
      </c>
      <c r="K9" s="746">
        <f>Elect!BT13</f>
        <v>238</v>
      </c>
    </row>
    <row r="10" spans="1:12">
      <c r="A10" s="753" t="s">
        <v>11</v>
      </c>
      <c r="B10" s="730">
        <f t="shared" si="0"/>
        <v>9</v>
      </c>
      <c r="C10" s="772">
        <v>1</v>
      </c>
      <c r="D10" s="752">
        <v>2022</v>
      </c>
      <c r="E10" s="747">
        <f>Elect!BS14</f>
        <v>20624.4925</v>
      </c>
      <c r="F10" s="745">
        <f t="shared" si="1"/>
        <v>1.4111953691045176</v>
      </c>
      <c r="G10" s="746">
        <f>Gas!K15</f>
        <v>1811.5</v>
      </c>
      <c r="H10" s="745">
        <v>3.8</v>
      </c>
      <c r="I10" s="746">
        <f>Water!H15</f>
        <v>336.4</v>
      </c>
      <c r="J10" s="745">
        <v>10</v>
      </c>
      <c r="K10" s="746">
        <f>Elect!BT14</f>
        <v>220</v>
      </c>
    </row>
    <row r="11" spans="1:12">
      <c r="A11" s="753" t="s">
        <v>11</v>
      </c>
      <c r="B11" s="730">
        <f t="shared" si="0"/>
        <v>10</v>
      </c>
      <c r="C11" s="772">
        <v>1</v>
      </c>
      <c r="D11" s="752">
        <v>2022</v>
      </c>
      <c r="E11" s="747">
        <f>Elect!BS15</f>
        <v>23026.137499999997</v>
      </c>
      <c r="F11" s="745">
        <f t="shared" si="1"/>
        <v>1.4111953691045176</v>
      </c>
      <c r="G11" s="746">
        <f>Gas!K16</f>
        <v>1811.5</v>
      </c>
      <c r="H11" s="745">
        <v>3.8</v>
      </c>
      <c r="I11" s="746">
        <f>Water!H16</f>
        <v>377</v>
      </c>
      <c r="J11" s="745">
        <v>10</v>
      </c>
      <c r="K11" s="746">
        <f>Elect!BT15</f>
        <v>211</v>
      </c>
    </row>
    <row r="12" spans="1:12">
      <c r="A12" s="753" t="s">
        <v>11</v>
      </c>
      <c r="B12" s="730">
        <f t="shared" si="0"/>
        <v>11</v>
      </c>
      <c r="C12" s="772">
        <v>1</v>
      </c>
      <c r="D12" s="752">
        <v>2022</v>
      </c>
      <c r="E12" s="747">
        <f>Elect!BS16</f>
        <v>20406.877500000002</v>
      </c>
      <c r="F12" s="745">
        <f t="shared" si="1"/>
        <v>1.4111953691045176</v>
      </c>
      <c r="G12" s="746">
        <f>Gas!K17</f>
        <v>1811.5</v>
      </c>
      <c r="H12" s="745">
        <v>3.8</v>
      </c>
      <c r="I12" s="746">
        <f>Water!H17</f>
        <v>382.79999999999995</v>
      </c>
      <c r="J12" s="745">
        <v>10</v>
      </c>
      <c r="K12" s="746">
        <f>Elect!BT16</f>
        <v>201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1</v>
      </c>
      <c r="D13" s="752">
        <v>2022</v>
      </c>
      <c r="E13" s="747">
        <f>Elect!BS17</f>
        <v>21834.892500000002</v>
      </c>
      <c r="F13" s="745">
        <f t="shared" si="1"/>
        <v>1.4111953691045176</v>
      </c>
      <c r="G13" s="746">
        <f>Gas!K18</f>
        <v>1811.5</v>
      </c>
      <c r="H13" s="745">
        <v>3.8</v>
      </c>
      <c r="I13" s="746">
        <f>Water!H18</f>
        <v>382.79999999999995</v>
      </c>
      <c r="J13" s="745">
        <v>10</v>
      </c>
      <c r="K13" s="746">
        <f>Elect!BT17</f>
        <v>179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1</v>
      </c>
      <c r="D14" s="752">
        <v>2022</v>
      </c>
      <c r="E14" s="747">
        <f>Elect!BS18</f>
        <v>22562.3675</v>
      </c>
      <c r="F14" s="745">
        <f t="shared" si="1"/>
        <v>1.4111953691045176</v>
      </c>
      <c r="G14" s="746">
        <f>Gas!K19</f>
        <v>1811.5</v>
      </c>
      <c r="H14" s="745">
        <v>3.8</v>
      </c>
      <c r="I14" s="746">
        <f>Water!H19</f>
        <v>382.79999999999995</v>
      </c>
      <c r="J14" s="745">
        <v>10</v>
      </c>
      <c r="K14" s="746">
        <f>Elect!BT18</f>
        <v>207</v>
      </c>
    </row>
    <row r="15" spans="1:12">
      <c r="A15" s="753" t="s">
        <v>11</v>
      </c>
      <c r="B15" s="730">
        <f t="shared" si="0"/>
        <v>14</v>
      </c>
      <c r="C15" s="772">
        <v>1</v>
      </c>
      <c r="D15" s="752">
        <v>2022</v>
      </c>
      <c r="E15" s="747">
        <f>Elect!BS19</f>
        <v>21066.99</v>
      </c>
      <c r="F15" s="745">
        <f t="shared" si="1"/>
        <v>1.4111953691045176</v>
      </c>
      <c r="G15" s="746">
        <f>Gas!K20</f>
        <v>1902.5</v>
      </c>
      <c r="H15" s="745">
        <v>3.8</v>
      </c>
      <c r="I15" s="746">
        <f>Water!H20</f>
        <v>279.55999999999995</v>
      </c>
      <c r="J15" s="745">
        <v>10</v>
      </c>
      <c r="K15" s="746">
        <f>Elect!BT19</f>
        <v>215</v>
      </c>
    </row>
    <row r="16" spans="1:12">
      <c r="A16" s="753" t="s">
        <v>11</v>
      </c>
      <c r="B16" s="730">
        <f t="shared" si="0"/>
        <v>15</v>
      </c>
      <c r="C16" s="772">
        <v>1</v>
      </c>
      <c r="D16" s="752">
        <v>2022</v>
      </c>
      <c r="E16" s="747">
        <f>Elect!BS20</f>
        <v>21680.232499999998</v>
      </c>
      <c r="F16" s="745">
        <f t="shared" si="1"/>
        <v>1.4111953691045176</v>
      </c>
      <c r="G16" s="746">
        <f>Gas!K21</f>
        <v>1902.5</v>
      </c>
      <c r="H16" s="745">
        <v>3.8</v>
      </c>
      <c r="I16" s="746">
        <f>Water!H21</f>
        <v>272.59999999999997</v>
      </c>
      <c r="J16" s="745">
        <v>10</v>
      </c>
      <c r="K16" s="746">
        <f>Elect!BT20</f>
        <v>197</v>
      </c>
    </row>
    <row r="17" spans="1:11">
      <c r="A17" s="753" t="s">
        <v>11</v>
      </c>
      <c r="B17" s="730">
        <f t="shared" si="0"/>
        <v>16</v>
      </c>
      <c r="C17" s="772">
        <v>1</v>
      </c>
      <c r="D17" s="752">
        <v>2022</v>
      </c>
      <c r="E17" s="747">
        <f>Elect!BS21</f>
        <v>23854.657500000001</v>
      </c>
      <c r="F17" s="745">
        <f t="shared" si="1"/>
        <v>1.4111953691045176</v>
      </c>
      <c r="G17" s="746">
        <f>Gas!K22</f>
        <v>1716.3000000000002</v>
      </c>
      <c r="H17" s="745">
        <v>3.8</v>
      </c>
      <c r="I17" s="746">
        <f>Water!H22</f>
        <v>440.79999999999995</v>
      </c>
      <c r="J17" s="745">
        <v>10</v>
      </c>
      <c r="K17" s="746">
        <f>Elect!BT21</f>
        <v>176</v>
      </c>
    </row>
    <row r="18" spans="1:11">
      <c r="A18" s="753" t="s">
        <v>11</v>
      </c>
      <c r="B18" s="730">
        <f t="shared" si="0"/>
        <v>17</v>
      </c>
      <c r="C18" s="772">
        <v>1</v>
      </c>
      <c r="D18" s="752">
        <v>2022</v>
      </c>
      <c r="E18" s="747">
        <f>Elect!BS22</f>
        <v>22841.3825</v>
      </c>
      <c r="F18" s="745">
        <f t="shared" si="1"/>
        <v>1.4111953691045176</v>
      </c>
      <c r="G18" s="746">
        <f>Gas!K23</f>
        <v>1835.3000000000002</v>
      </c>
      <c r="H18" s="745">
        <v>3.8</v>
      </c>
      <c r="I18" s="746">
        <f>Water!H23</f>
        <v>377</v>
      </c>
      <c r="J18" s="745">
        <v>10</v>
      </c>
      <c r="K18" s="746">
        <f>Elect!BT22</f>
        <v>171</v>
      </c>
    </row>
    <row r="19" spans="1:11">
      <c r="A19" s="753" t="s">
        <v>11</v>
      </c>
      <c r="B19" s="730">
        <f t="shared" si="0"/>
        <v>18</v>
      </c>
      <c r="C19" s="772">
        <v>1</v>
      </c>
      <c r="D19" s="752">
        <v>2022</v>
      </c>
      <c r="E19" s="747">
        <f>Elect!BS23</f>
        <v>23085.72</v>
      </c>
      <c r="F19" s="745">
        <f t="shared" si="1"/>
        <v>1.4111953691045176</v>
      </c>
      <c r="G19" s="746">
        <f>Gas!K24</f>
        <v>1857.7</v>
      </c>
      <c r="H19" s="745">
        <v>3.8</v>
      </c>
      <c r="I19" s="746">
        <f>Water!H24</f>
        <v>371.19999999999993</v>
      </c>
      <c r="J19" s="745">
        <v>10</v>
      </c>
      <c r="K19" s="746">
        <f>Elect!BT23</f>
        <v>146</v>
      </c>
    </row>
    <row r="20" spans="1:11">
      <c r="A20" s="753" t="s">
        <v>11</v>
      </c>
      <c r="B20" s="730">
        <f t="shared" si="0"/>
        <v>19</v>
      </c>
      <c r="C20" s="772">
        <v>1</v>
      </c>
      <c r="D20" s="752">
        <v>2022</v>
      </c>
      <c r="E20" s="747">
        <f>Elect!BS24</f>
        <v>21683.207500000004</v>
      </c>
      <c r="F20" s="745">
        <f t="shared" si="1"/>
        <v>1.4111953691045176</v>
      </c>
      <c r="G20" s="746">
        <f>Gas!K25</f>
        <v>1885.7</v>
      </c>
      <c r="H20" s="745">
        <v>3.8</v>
      </c>
      <c r="I20" s="746">
        <f>Water!H25</f>
        <v>353.79999999999995</v>
      </c>
      <c r="J20" s="745">
        <v>10</v>
      </c>
      <c r="K20" s="746">
        <f>Elect!BT24</f>
        <v>162</v>
      </c>
    </row>
    <row r="21" spans="1:11">
      <c r="A21" s="753" t="s">
        <v>11</v>
      </c>
      <c r="B21" s="730">
        <f t="shared" si="0"/>
        <v>20</v>
      </c>
      <c r="C21" s="772">
        <v>1</v>
      </c>
      <c r="D21" s="752">
        <v>2022</v>
      </c>
      <c r="E21" s="747">
        <f>Elect!BS25</f>
        <v>22717.597500000003</v>
      </c>
      <c r="F21" s="745">
        <f t="shared" si="1"/>
        <v>1.4111953691045176</v>
      </c>
      <c r="G21" s="746">
        <f>Gas!K26</f>
        <v>1743.6000000000001</v>
      </c>
      <c r="H21" s="745">
        <v>3.8</v>
      </c>
      <c r="I21" s="746">
        <f>Water!H26</f>
        <v>353.79999999999995</v>
      </c>
      <c r="J21" s="745">
        <v>10</v>
      </c>
      <c r="K21" s="746">
        <f>Elect!BT25</f>
        <v>195</v>
      </c>
    </row>
    <row r="22" spans="1:11">
      <c r="A22" s="753" t="s">
        <v>11</v>
      </c>
      <c r="B22" s="730">
        <f t="shared" si="0"/>
        <v>21</v>
      </c>
      <c r="C22" s="772">
        <v>1</v>
      </c>
      <c r="D22" s="752">
        <v>2022</v>
      </c>
      <c r="E22" s="747">
        <f>Elect!BS26</f>
        <v>22149.767500000002</v>
      </c>
      <c r="F22" s="745">
        <f t="shared" si="1"/>
        <v>1.4111953691045176</v>
      </c>
      <c r="G22" s="746">
        <f>Gas!K27</f>
        <v>1743.6000000000001</v>
      </c>
      <c r="H22" s="745">
        <v>3.8</v>
      </c>
      <c r="I22" s="746">
        <f>Water!H27</f>
        <v>353.79999999999995</v>
      </c>
      <c r="J22" s="745">
        <v>10</v>
      </c>
      <c r="K22" s="746">
        <f>Elect!BT26</f>
        <v>199</v>
      </c>
    </row>
    <row r="23" spans="1:11">
      <c r="A23" s="753" t="s">
        <v>11</v>
      </c>
      <c r="B23" s="730">
        <f t="shared" si="0"/>
        <v>22</v>
      </c>
      <c r="C23" s="772">
        <v>1</v>
      </c>
      <c r="D23" s="752">
        <v>2022</v>
      </c>
      <c r="E23" s="747">
        <f>Elect!BS27</f>
        <v>22546.5275</v>
      </c>
      <c r="F23" s="745">
        <f t="shared" si="1"/>
        <v>1.4111953691045176</v>
      </c>
      <c r="G23" s="746">
        <f>Gas!K28</f>
        <v>1743.6000000000001</v>
      </c>
      <c r="H23" s="745">
        <v>3.8</v>
      </c>
      <c r="I23" s="746">
        <f>Water!H28</f>
        <v>353.79999999999995</v>
      </c>
      <c r="J23" s="745">
        <v>10</v>
      </c>
      <c r="K23" s="746">
        <f>Elect!BT27</f>
        <v>201</v>
      </c>
    </row>
    <row r="24" spans="1:11">
      <c r="A24" s="753" t="s">
        <v>11</v>
      </c>
      <c r="B24" s="730">
        <f t="shared" si="0"/>
        <v>23</v>
      </c>
      <c r="C24" s="772">
        <v>1</v>
      </c>
      <c r="D24" s="752">
        <v>2022</v>
      </c>
      <c r="E24" s="747">
        <f>Elect!BS28</f>
        <v>22306.787499999999</v>
      </c>
      <c r="F24" s="745">
        <f t="shared" si="1"/>
        <v>1.4111953691045176</v>
      </c>
      <c r="G24" s="746">
        <f>Gas!K29</f>
        <v>1743.6000000000001</v>
      </c>
      <c r="H24" s="745">
        <v>3.8</v>
      </c>
      <c r="I24" s="746">
        <f>Water!H29</f>
        <v>266.8</v>
      </c>
      <c r="J24" s="745">
        <v>10</v>
      </c>
      <c r="K24" s="746">
        <f>Elect!BT28</f>
        <v>220</v>
      </c>
    </row>
    <row r="25" spans="1:11">
      <c r="A25" s="753" t="s">
        <v>11</v>
      </c>
      <c r="B25" s="730">
        <f t="shared" si="0"/>
        <v>24</v>
      </c>
      <c r="C25" s="772">
        <v>1</v>
      </c>
      <c r="D25" s="752">
        <v>2022</v>
      </c>
      <c r="E25" s="747">
        <f>Elect!BS29</f>
        <v>21380.552500000002</v>
      </c>
      <c r="F25" s="745">
        <f t="shared" si="1"/>
        <v>1.4111953691045176</v>
      </c>
      <c r="G25" s="746">
        <f>Gas!K30</f>
        <v>1743.6000000000001</v>
      </c>
      <c r="H25" s="745">
        <v>3.8</v>
      </c>
      <c r="I25" s="746">
        <f>Water!H30</f>
        <v>156.6</v>
      </c>
      <c r="J25" s="745">
        <v>10</v>
      </c>
      <c r="K25" s="746">
        <f>Elect!BT29</f>
        <v>202</v>
      </c>
    </row>
    <row r="26" spans="1:11">
      <c r="A26" s="753" t="s">
        <v>11</v>
      </c>
      <c r="B26" s="730">
        <f>B25+1</f>
        <v>25</v>
      </c>
      <c r="C26" s="772">
        <v>1</v>
      </c>
      <c r="D26" s="752">
        <v>2022</v>
      </c>
      <c r="E26" s="747">
        <f>Elect!BS30</f>
        <v>21755.66</v>
      </c>
      <c r="F26" s="745">
        <f t="shared" si="1"/>
        <v>1.4111953691045176</v>
      </c>
      <c r="G26" s="746">
        <f>Gas!K31</f>
        <v>2088.6999999999998</v>
      </c>
      <c r="H26" s="745">
        <v>3.8</v>
      </c>
      <c r="I26" s="746">
        <f>Water!H31</f>
        <v>233.16</v>
      </c>
      <c r="J26" s="745">
        <v>10</v>
      </c>
      <c r="K26" s="746">
        <f>Elect!BT30</f>
        <v>201</v>
      </c>
    </row>
    <row r="27" spans="1:11">
      <c r="A27" s="753" t="s">
        <v>11</v>
      </c>
      <c r="B27" s="730">
        <f t="shared" si="0"/>
        <v>26</v>
      </c>
      <c r="C27" s="772">
        <v>1</v>
      </c>
      <c r="D27" s="752">
        <v>2022</v>
      </c>
      <c r="E27" s="747">
        <f>Elect!BS31</f>
        <v>23117.787499999999</v>
      </c>
      <c r="F27" s="745">
        <f t="shared" si="1"/>
        <v>1.4111953691045176</v>
      </c>
      <c r="G27" s="746">
        <f>Gas!K32</f>
        <v>1740.1000000000001</v>
      </c>
      <c r="H27" s="745">
        <v>3.8</v>
      </c>
      <c r="I27" s="746">
        <f>Water!H32</f>
        <v>290.58</v>
      </c>
      <c r="J27" s="745">
        <v>10</v>
      </c>
      <c r="K27" s="746">
        <f>Elect!BT31</f>
        <v>209</v>
      </c>
    </row>
    <row r="28" spans="1:11">
      <c r="A28" s="753" t="s">
        <v>11</v>
      </c>
      <c r="B28" s="730">
        <f t="shared" si="0"/>
        <v>27</v>
      </c>
      <c r="C28" s="772">
        <v>1</v>
      </c>
      <c r="D28" s="752">
        <v>2022</v>
      </c>
      <c r="E28" s="747">
        <f>Elect!BS32</f>
        <v>20226.907500000001</v>
      </c>
      <c r="F28" s="745">
        <f t="shared" si="1"/>
        <v>1.4111953691045176</v>
      </c>
      <c r="G28" s="746">
        <f>Gas!K33</f>
        <v>1817.1000000000001</v>
      </c>
      <c r="H28" s="745">
        <v>3.8</v>
      </c>
      <c r="I28" s="746">
        <f>Water!H33</f>
        <v>244.17999999999998</v>
      </c>
      <c r="J28" s="745">
        <v>10</v>
      </c>
      <c r="K28" s="746">
        <f>Elect!BT32</f>
        <v>222</v>
      </c>
    </row>
    <row r="29" spans="1:11">
      <c r="A29" s="753" t="s">
        <v>11</v>
      </c>
      <c r="B29" s="730">
        <f t="shared" si="0"/>
        <v>28</v>
      </c>
      <c r="C29" s="772">
        <v>1</v>
      </c>
      <c r="D29" s="752">
        <v>2022</v>
      </c>
      <c r="E29" s="747">
        <f>Elect!BS33</f>
        <v>23204.127499999999</v>
      </c>
      <c r="F29" s="745">
        <f t="shared" si="1"/>
        <v>1.4111953691045176</v>
      </c>
      <c r="G29" s="746">
        <f>Gas!K34</f>
        <v>2054.4</v>
      </c>
      <c r="H29" s="745">
        <v>3.8</v>
      </c>
      <c r="I29" s="746">
        <f>Water!H34</f>
        <v>383.37999999999994</v>
      </c>
      <c r="J29" s="745">
        <v>10</v>
      </c>
      <c r="K29" s="746">
        <f>Elect!BT33</f>
        <v>229</v>
      </c>
    </row>
    <row r="30" spans="1:11">
      <c r="A30" s="753" t="s">
        <v>11</v>
      </c>
      <c r="B30" s="730">
        <f t="shared" si="0"/>
        <v>29</v>
      </c>
      <c r="C30" s="772">
        <v>1</v>
      </c>
      <c r="D30" s="752">
        <v>2022</v>
      </c>
      <c r="E30" s="747">
        <f>Elect!BS34</f>
        <v>20089.837500000001</v>
      </c>
      <c r="F30" s="745">
        <f t="shared" si="1"/>
        <v>1.4111953691045176</v>
      </c>
      <c r="G30" s="746">
        <f>Gas!K35</f>
        <v>1702.3000000000002</v>
      </c>
      <c r="H30" s="745">
        <v>3.8</v>
      </c>
      <c r="I30" s="746">
        <f>Water!H35</f>
        <v>336.4</v>
      </c>
      <c r="J30" s="745">
        <v>10</v>
      </c>
      <c r="K30" s="746">
        <f>Elect!BT34</f>
        <v>203</v>
      </c>
    </row>
    <row r="31" spans="1:11">
      <c r="A31" s="753" t="s">
        <v>11</v>
      </c>
      <c r="B31" s="730">
        <f t="shared" si="0"/>
        <v>30</v>
      </c>
      <c r="C31" s="772">
        <v>1</v>
      </c>
      <c r="D31" s="752">
        <v>2022</v>
      </c>
      <c r="E31" s="747">
        <f>Elect!BS35</f>
        <v>21459.137500000001</v>
      </c>
      <c r="F31" s="745">
        <f t="shared" si="1"/>
        <v>1.4111953691045176</v>
      </c>
      <c r="G31" s="746">
        <f>Gas!K36</f>
        <v>2055.1</v>
      </c>
      <c r="H31" s="745">
        <v>3.8</v>
      </c>
      <c r="I31" s="746">
        <f>Water!H36</f>
        <v>261</v>
      </c>
      <c r="J31" s="745">
        <v>10</v>
      </c>
      <c r="K31" s="746">
        <f>Elect!BT35</f>
        <v>187</v>
      </c>
    </row>
    <row r="32" spans="1:11">
      <c r="A32" s="754" t="s">
        <v>11</v>
      </c>
      <c r="B32" s="755">
        <f t="shared" si="0"/>
        <v>31</v>
      </c>
      <c r="C32" s="772">
        <v>1</v>
      </c>
      <c r="D32" s="752">
        <v>2022</v>
      </c>
      <c r="E32" s="747">
        <f>Elect!BS36</f>
        <v>22026.787499999999</v>
      </c>
      <c r="F32" s="745">
        <f t="shared" si="1"/>
        <v>1.4111953691045176</v>
      </c>
      <c r="G32" s="746">
        <f>Gas!K37</f>
        <v>1870.3000000000002</v>
      </c>
      <c r="H32" s="745">
        <v>3.8</v>
      </c>
      <c r="I32" s="746">
        <f>Water!H37</f>
        <v>284.2</v>
      </c>
      <c r="J32" s="745">
        <v>10</v>
      </c>
      <c r="K32" s="746">
        <f>Elect!BT36</f>
        <v>190</v>
      </c>
    </row>
    <row r="34" spans="5:5">
      <c r="E34" s="805"/>
    </row>
  </sheetData>
  <sheetProtection algorithmName="SHA-512" hashValue="fzf+mLmhrEiCX8j8ihtMZI5ch1us57n+68RynQDz5BP6nzdj68pOG3LEd2KFb7XjOjGVuTHjXecPGZM45q+jeQ==" saltValue="QcuFx8+1WGvSsIrLbsT/w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D2" sqref="D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06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06" t="s">
        <v>43</v>
      </c>
      <c r="AI1" s="756" t="s">
        <v>44</v>
      </c>
      <c r="AJ1" s="756" t="s">
        <v>45</v>
      </c>
      <c r="AK1" s="756" t="s">
        <v>46</v>
      </c>
      <c r="AL1" s="806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1</v>
      </c>
      <c r="D2" s="752">
        <v>2022</v>
      </c>
      <c r="E2" s="807"/>
      <c r="F2" s="739">
        <f>Elect!J6</f>
        <v>5837</v>
      </c>
      <c r="G2" s="739">
        <f>Elect!K6</f>
        <v>3617</v>
      </c>
      <c r="H2" s="739">
        <f>Elect!Q6</f>
        <v>540</v>
      </c>
      <c r="I2" s="739">
        <f>Elect!S6</f>
        <v>132</v>
      </c>
      <c r="J2" s="739">
        <f>Elect!U6</f>
        <v>257</v>
      </c>
      <c r="K2" s="739">
        <f>Elect!W6</f>
        <v>719.74</v>
      </c>
      <c r="L2" s="739">
        <f>Elect!Y6</f>
        <v>91.69</v>
      </c>
      <c r="M2" s="739">
        <f>Elect!AA6</f>
        <v>0</v>
      </c>
      <c r="N2" s="739">
        <f>Elect!AC6</f>
        <v>0</v>
      </c>
      <c r="O2" s="739">
        <f>Elect!AE6</f>
        <v>15.370000000000001</v>
      </c>
      <c r="P2" s="739">
        <f>Elect!AG6</f>
        <v>14.31</v>
      </c>
      <c r="Q2" s="739">
        <f>Elect!AI6</f>
        <v>528.41000000000008</v>
      </c>
      <c r="R2" s="739">
        <f>Elect!AK6</f>
        <v>3404.7200000000003</v>
      </c>
      <c r="S2" s="739">
        <f>Elect!AM6</f>
        <v>144.16</v>
      </c>
      <c r="T2" s="739">
        <f>Elect!AP6</f>
        <v>4.1625000000000005</v>
      </c>
      <c r="U2" s="739">
        <f>Elect!AR6</f>
        <v>331</v>
      </c>
      <c r="V2" s="739">
        <f>Elect!AT6</f>
        <v>116</v>
      </c>
      <c r="W2" s="739">
        <f>Elect!AV6</f>
        <v>24</v>
      </c>
      <c r="X2" s="739">
        <f>Elect!AX6</f>
        <v>487</v>
      </c>
      <c r="Y2" s="739">
        <f>Elect!AZ6</f>
        <v>69</v>
      </c>
      <c r="Z2" s="739">
        <f>Elect!BB6</f>
        <v>4331</v>
      </c>
      <c r="AA2" s="739">
        <f>Elect!BD6</f>
        <v>212</v>
      </c>
      <c r="AB2" s="739">
        <f>Elect!BF6</f>
        <v>38</v>
      </c>
      <c r="AC2" s="739">
        <f>Elect!BH6</f>
        <v>4930.3999999999996</v>
      </c>
      <c r="AD2" s="739">
        <f>Elect!BL6</f>
        <v>314</v>
      </c>
      <c r="AE2" s="739">
        <f>Elect!BN6</f>
        <v>383</v>
      </c>
      <c r="AF2" s="739">
        <f>Elect!BP6</f>
        <v>125</v>
      </c>
      <c r="AG2" s="739">
        <f>Elect!BR6</f>
        <v>141</v>
      </c>
      <c r="AH2" s="807"/>
      <c r="AI2" s="739">
        <f>Water!C7</f>
        <v>284.2</v>
      </c>
      <c r="AJ2" s="739">
        <f>Water!E7</f>
        <v>249.39999999999998</v>
      </c>
      <c r="AK2" s="739">
        <f>Water!G7</f>
        <v>5.8</v>
      </c>
      <c r="AL2" s="807"/>
      <c r="AM2" s="739">
        <f>Gas!C7</f>
        <v>1473.4</v>
      </c>
      <c r="AN2" s="739">
        <f>Gas!E7</f>
        <v>1390.8999999999999</v>
      </c>
      <c r="AO2" s="739">
        <f>Gas!G7</f>
        <v>186</v>
      </c>
      <c r="AP2" s="746">
        <f>Elect!BT6</f>
        <v>232</v>
      </c>
    </row>
    <row r="3" spans="1:42" ht="12.75" customHeight="1">
      <c r="A3" s="753" t="s">
        <v>11</v>
      </c>
      <c r="B3" s="730">
        <f>B2+1</f>
        <v>2</v>
      </c>
      <c r="C3" s="772">
        <v>1</v>
      </c>
      <c r="D3" s="752">
        <v>2022</v>
      </c>
      <c r="E3" s="807"/>
      <c r="F3" s="739">
        <f>Elect!J7</f>
        <v>6605</v>
      </c>
      <c r="G3" s="739">
        <f>Elect!K7</f>
        <v>3882</v>
      </c>
      <c r="H3" s="739">
        <f>Elect!Q7</f>
        <v>570</v>
      </c>
      <c r="I3" s="739">
        <f>Elect!S7</f>
        <v>148</v>
      </c>
      <c r="J3" s="739">
        <f>Elect!U7</f>
        <v>274</v>
      </c>
      <c r="K3" s="739">
        <f>Elect!W7</f>
        <v>1250.8</v>
      </c>
      <c r="L3" s="739">
        <f>Elect!Y7</f>
        <v>0</v>
      </c>
      <c r="M3" s="739">
        <f>Elect!AA7</f>
        <v>0</v>
      </c>
      <c r="N3" s="739">
        <f>Elect!AC7</f>
        <v>0</v>
      </c>
      <c r="O3" s="739">
        <f>Elect!AE7</f>
        <v>13.780000000000001</v>
      </c>
      <c r="P3" s="739">
        <f>Elect!AG7</f>
        <v>13.25</v>
      </c>
      <c r="Q3" s="739">
        <f>Elect!AI7</f>
        <v>587.77</v>
      </c>
      <c r="R3" s="739">
        <f>Elect!AK7</f>
        <v>2593.8200000000002</v>
      </c>
      <c r="S3" s="739">
        <f>Elect!AM7</f>
        <v>163.24</v>
      </c>
      <c r="T3" s="739">
        <f>Elect!AP7</f>
        <v>4.3875000000000002</v>
      </c>
      <c r="U3" s="739">
        <f>Elect!AR7</f>
        <v>353</v>
      </c>
      <c r="V3" s="739">
        <f>Elect!AT7</f>
        <v>136</v>
      </c>
      <c r="W3" s="739">
        <f>Elect!AV7</f>
        <v>28</v>
      </c>
      <c r="X3" s="739">
        <f>Elect!AX7</f>
        <v>622</v>
      </c>
      <c r="Y3" s="739">
        <f>Elect!AZ7</f>
        <v>66</v>
      </c>
      <c r="Z3" s="739">
        <f>Elect!BB7</f>
        <v>4687</v>
      </c>
      <c r="AA3" s="739">
        <f>Elect!BD7</f>
        <v>254</v>
      </c>
      <c r="AB3" s="739">
        <f>Elect!BF7</f>
        <v>52</v>
      </c>
      <c r="AC3" s="739">
        <f>Elect!BH7</f>
        <v>5186.25</v>
      </c>
      <c r="AD3" s="739">
        <f>Elect!BL7</f>
        <v>275</v>
      </c>
      <c r="AE3" s="739">
        <f>Elect!BN7</f>
        <v>938</v>
      </c>
      <c r="AF3" s="739">
        <f>Elect!BP7</f>
        <v>157</v>
      </c>
      <c r="AG3" s="739">
        <f>Elect!BR7</f>
        <v>164</v>
      </c>
      <c r="AH3" s="807"/>
      <c r="AI3" s="739">
        <f>Water!C8</f>
        <v>98.6</v>
      </c>
      <c r="AJ3" s="739">
        <f>Water!E8</f>
        <v>139.19999999999999</v>
      </c>
      <c r="AK3" s="739">
        <f>Water!G8</f>
        <v>0</v>
      </c>
      <c r="AL3" s="807"/>
      <c r="AM3" s="739">
        <f>Gas!C8</f>
        <v>1473.4</v>
      </c>
      <c r="AN3" s="739">
        <f>Gas!E8</f>
        <v>347.9</v>
      </c>
      <c r="AO3" s="739">
        <f>Gas!G8</f>
        <v>82</v>
      </c>
      <c r="AP3" s="746">
        <f>Elect!BT7</f>
        <v>191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1</v>
      </c>
      <c r="D4" s="752">
        <v>2022</v>
      </c>
      <c r="E4" s="807"/>
      <c r="F4" s="739">
        <f>Elect!J8</f>
        <v>6146</v>
      </c>
      <c r="G4" s="739">
        <f>Elect!K8</f>
        <v>3709</v>
      </c>
      <c r="H4" s="739">
        <f>Elect!Q8</f>
        <v>480</v>
      </c>
      <c r="I4" s="739">
        <f>Elect!S8</f>
        <v>142</v>
      </c>
      <c r="J4" s="739">
        <f>Elect!U8</f>
        <v>201</v>
      </c>
      <c r="K4" s="739">
        <f>Elect!W8</f>
        <v>1217.94</v>
      </c>
      <c r="L4" s="739">
        <f>Elect!Y8</f>
        <v>12.190000000000001</v>
      </c>
      <c r="M4" s="739">
        <f>Elect!AA8</f>
        <v>40.28</v>
      </c>
      <c r="N4" s="739">
        <f>Elect!AC8</f>
        <v>24.380000000000003</v>
      </c>
      <c r="O4" s="739">
        <f>Elect!AE8</f>
        <v>12.72</v>
      </c>
      <c r="P4" s="739">
        <f>Elect!AG8</f>
        <v>12.190000000000001</v>
      </c>
      <c r="Q4" s="739">
        <f>Elect!AI8</f>
        <v>581.94000000000005</v>
      </c>
      <c r="R4" s="739">
        <f>Elect!AK8</f>
        <v>2132.7200000000003</v>
      </c>
      <c r="S4" s="739">
        <f>Elect!AM8</f>
        <v>154.23000000000002</v>
      </c>
      <c r="T4" s="739">
        <f>Elect!AP8</f>
        <v>4.1625000000000005</v>
      </c>
      <c r="U4" s="739">
        <f>Elect!AR8</f>
        <v>329</v>
      </c>
      <c r="V4" s="739">
        <f>Elect!AT8</f>
        <v>136</v>
      </c>
      <c r="W4" s="739">
        <f>Elect!AV8</f>
        <v>29</v>
      </c>
      <c r="X4" s="739">
        <f>Elect!AX8</f>
        <v>578</v>
      </c>
      <c r="Y4" s="739">
        <f>Elect!AZ8</f>
        <v>59</v>
      </c>
      <c r="Z4" s="739">
        <f>Elect!BB8</f>
        <v>4533</v>
      </c>
      <c r="AA4" s="739">
        <f>Elect!BD8</f>
        <v>259</v>
      </c>
      <c r="AB4" s="739">
        <f>Elect!BF8</f>
        <v>51</v>
      </c>
      <c r="AC4" s="739">
        <f>Elect!BH8</f>
        <v>4695.4500000000007</v>
      </c>
      <c r="AD4" s="739">
        <f>Elect!BL8</f>
        <v>246</v>
      </c>
      <c r="AE4" s="739">
        <f>Elect!BN8</f>
        <v>862</v>
      </c>
      <c r="AF4" s="739">
        <f>Elect!BP8</f>
        <v>137</v>
      </c>
      <c r="AG4" s="739">
        <f>Elect!BR8</f>
        <v>149</v>
      </c>
      <c r="AH4" s="807"/>
      <c r="AI4" s="739">
        <f>Water!C9</f>
        <v>150.79999999999998</v>
      </c>
      <c r="AJ4" s="739">
        <f>Water!E9</f>
        <v>197.2</v>
      </c>
      <c r="AK4" s="739">
        <f>Water!G9</f>
        <v>0</v>
      </c>
      <c r="AL4" s="807"/>
      <c r="AM4" s="739">
        <f>Gas!C9</f>
        <v>1473.4</v>
      </c>
      <c r="AN4" s="739">
        <f>Gas!E9</f>
        <v>355.59999999999997</v>
      </c>
      <c r="AO4" s="739">
        <f>Gas!G9</f>
        <v>102</v>
      </c>
      <c r="AP4" s="746">
        <f>Elect!BT8</f>
        <v>219</v>
      </c>
    </row>
    <row r="5" spans="1:42" ht="12.75" customHeight="1">
      <c r="A5" s="753" t="s">
        <v>11</v>
      </c>
      <c r="B5" s="730">
        <f t="shared" si="0"/>
        <v>4</v>
      </c>
      <c r="C5" s="772">
        <v>1</v>
      </c>
      <c r="D5" s="752">
        <v>2022</v>
      </c>
      <c r="E5" s="807"/>
      <c r="F5" s="739">
        <f>Elect!J9</f>
        <v>6575</v>
      </c>
      <c r="G5" s="739">
        <f>Elect!K9</f>
        <v>3994</v>
      </c>
      <c r="H5" s="739">
        <f>Elect!Q9</f>
        <v>570</v>
      </c>
      <c r="I5" s="739">
        <f>Elect!S9</f>
        <v>138</v>
      </c>
      <c r="J5" s="739">
        <f>Elect!U9</f>
        <v>330</v>
      </c>
      <c r="K5" s="739">
        <f>Elect!W9</f>
        <v>1102.4000000000001</v>
      </c>
      <c r="L5" s="739">
        <f>Elect!Y9</f>
        <v>0</v>
      </c>
      <c r="M5" s="739">
        <f>Elect!AA9</f>
        <v>0</v>
      </c>
      <c r="N5" s="739">
        <f>Elect!AC9</f>
        <v>0</v>
      </c>
      <c r="O5" s="739">
        <f>Elect!AE9</f>
        <v>12.190000000000001</v>
      </c>
      <c r="P5" s="739">
        <f>Elect!AG9</f>
        <v>12.190000000000001</v>
      </c>
      <c r="Q5" s="739">
        <f>Elect!AI9</f>
        <v>458.98</v>
      </c>
      <c r="R5" s="739">
        <f>Elect!AK9</f>
        <v>2027.7800000000002</v>
      </c>
      <c r="S5" s="739">
        <f>Elect!AM9</f>
        <v>164.3</v>
      </c>
      <c r="T5" s="739">
        <f>Elect!AP9</f>
        <v>4.6124999999999998</v>
      </c>
      <c r="U5" s="739">
        <f>Elect!AR9</f>
        <v>326</v>
      </c>
      <c r="V5" s="739">
        <f>Elect!AT9</f>
        <v>137</v>
      </c>
      <c r="W5" s="739">
        <f>Elect!AV9</f>
        <v>33</v>
      </c>
      <c r="X5" s="739">
        <f>Elect!AX9</f>
        <v>617</v>
      </c>
      <c r="Y5" s="739">
        <f>Elect!AZ9</f>
        <v>65</v>
      </c>
      <c r="Z5" s="739">
        <f>Elect!BB9</f>
        <v>4856</v>
      </c>
      <c r="AA5" s="739">
        <f>Elect!BD9</f>
        <v>291</v>
      </c>
      <c r="AB5" s="739">
        <f>Elect!BF9</f>
        <v>52</v>
      </c>
      <c r="AC5" s="739">
        <f>Elect!BH9</f>
        <v>5198.25</v>
      </c>
      <c r="AD5" s="739">
        <f>Elect!BL9</f>
        <v>269</v>
      </c>
      <c r="AE5" s="739">
        <f>Elect!BN9</f>
        <v>949</v>
      </c>
      <c r="AF5" s="739">
        <f>Elect!BP9</f>
        <v>146</v>
      </c>
      <c r="AG5" s="739">
        <f>Elect!BR9</f>
        <v>151</v>
      </c>
      <c r="AH5" s="807"/>
      <c r="AI5" s="739">
        <f>Water!C10</f>
        <v>145</v>
      </c>
      <c r="AJ5" s="739">
        <f>Water!E10</f>
        <v>191.39999999999998</v>
      </c>
      <c r="AK5" s="739">
        <f>Water!G10</f>
        <v>0</v>
      </c>
      <c r="AL5" s="807"/>
      <c r="AM5" s="739">
        <f>Gas!C10</f>
        <v>1473.4</v>
      </c>
      <c r="AN5" s="739">
        <f>Gas!E10</f>
        <v>335.29999999999995</v>
      </c>
      <c r="AO5" s="739">
        <f>Gas!G10</f>
        <v>171</v>
      </c>
      <c r="AP5" s="746">
        <f>Elect!BT9</f>
        <v>205</v>
      </c>
    </row>
    <row r="6" spans="1:42" ht="12.75" customHeight="1">
      <c r="A6" s="753" t="s">
        <v>11</v>
      </c>
      <c r="B6" s="730">
        <f t="shared" si="0"/>
        <v>5</v>
      </c>
      <c r="C6" s="772">
        <v>1</v>
      </c>
      <c r="D6" s="752">
        <v>2022</v>
      </c>
      <c r="E6" s="807"/>
      <c r="F6" s="739">
        <f>Elect!J10</f>
        <v>6573</v>
      </c>
      <c r="G6" s="739">
        <f>Elect!K10</f>
        <v>4119</v>
      </c>
      <c r="H6" s="739">
        <f>Elect!Q10</f>
        <v>510</v>
      </c>
      <c r="I6" s="739">
        <f>Elect!S10</f>
        <v>144</v>
      </c>
      <c r="J6" s="739">
        <f>Elect!U10</f>
        <v>272</v>
      </c>
      <c r="K6" s="739">
        <f>Elect!W10</f>
        <v>1726.74</v>
      </c>
      <c r="L6" s="739">
        <f>Elect!Y10</f>
        <v>0</v>
      </c>
      <c r="M6" s="739">
        <f>Elect!AA10</f>
        <v>0</v>
      </c>
      <c r="N6" s="739">
        <f>Elect!AC10</f>
        <v>0</v>
      </c>
      <c r="O6" s="739">
        <f>Elect!AE10</f>
        <v>14.31</v>
      </c>
      <c r="P6" s="739">
        <f>Elect!AG10</f>
        <v>13.780000000000001</v>
      </c>
      <c r="Q6" s="739">
        <f>Elect!AI10</f>
        <v>465.87</v>
      </c>
      <c r="R6" s="739">
        <f>Elect!AK10</f>
        <v>2319.2800000000002</v>
      </c>
      <c r="S6" s="739">
        <f>Elect!AM10</f>
        <v>170.66</v>
      </c>
      <c r="T6" s="739">
        <f>Elect!AP10</f>
        <v>4.3875000000000002</v>
      </c>
      <c r="U6" s="739">
        <f>Elect!AR10</f>
        <v>305</v>
      </c>
      <c r="V6" s="739">
        <f>Elect!AT10</f>
        <v>138</v>
      </c>
      <c r="W6" s="739">
        <f>Elect!AV10</f>
        <v>25</v>
      </c>
      <c r="X6" s="739">
        <f>Elect!AX10</f>
        <v>638</v>
      </c>
      <c r="Y6" s="739">
        <f>Elect!AZ10</f>
        <v>61</v>
      </c>
      <c r="Z6" s="739">
        <f>Elect!BB10</f>
        <v>4811</v>
      </c>
      <c r="AA6" s="739">
        <f>Elect!BD10</f>
        <v>262</v>
      </c>
      <c r="AB6" s="739">
        <f>Elect!BF10</f>
        <v>54</v>
      </c>
      <c r="AC6" s="739">
        <f>Elect!BH10</f>
        <v>5014.3</v>
      </c>
      <c r="AD6" s="739">
        <f>Elect!BL10</f>
        <v>263</v>
      </c>
      <c r="AE6" s="739">
        <f>Elect!BN10</f>
        <v>919</v>
      </c>
      <c r="AF6" s="739">
        <f>Elect!BP10</f>
        <v>127</v>
      </c>
      <c r="AG6" s="739">
        <f>Elect!BR10</f>
        <v>161</v>
      </c>
      <c r="AH6" s="807"/>
      <c r="AI6" s="739">
        <f>Water!C11</f>
        <v>145</v>
      </c>
      <c r="AJ6" s="739">
        <f>Water!E11</f>
        <v>191.39999999999998</v>
      </c>
      <c r="AK6" s="739">
        <f>Water!G11</f>
        <v>0</v>
      </c>
      <c r="AL6" s="807"/>
      <c r="AM6" s="739">
        <f>Gas!C11</f>
        <v>1473.4</v>
      </c>
      <c r="AN6" s="739">
        <f>Gas!E11</f>
        <v>335.29999999999995</v>
      </c>
      <c r="AO6" s="739">
        <f>Gas!G11</f>
        <v>139</v>
      </c>
      <c r="AP6" s="746">
        <f>Elect!BT10</f>
        <v>199</v>
      </c>
    </row>
    <row r="7" spans="1:42" ht="12.75" customHeight="1">
      <c r="A7" s="753" t="s">
        <v>11</v>
      </c>
      <c r="B7" s="730">
        <f t="shared" si="0"/>
        <v>6</v>
      </c>
      <c r="C7" s="772">
        <v>1</v>
      </c>
      <c r="D7" s="752">
        <v>2022</v>
      </c>
      <c r="E7" s="807"/>
      <c r="F7" s="739">
        <f>Elect!J11</f>
        <v>5578</v>
      </c>
      <c r="G7" s="739">
        <f>Elect!K11</f>
        <v>3498</v>
      </c>
      <c r="H7" s="739">
        <f>Elect!Q11</f>
        <v>510</v>
      </c>
      <c r="I7" s="739">
        <f>Elect!S11</f>
        <v>134</v>
      </c>
      <c r="J7" s="739">
        <f>Elect!U11</f>
        <v>252</v>
      </c>
      <c r="K7" s="739">
        <f>Elect!W11</f>
        <v>1262.99</v>
      </c>
      <c r="L7" s="739">
        <f>Elect!Y11</f>
        <v>0</v>
      </c>
      <c r="M7" s="739">
        <f>Elect!AA11</f>
        <v>0</v>
      </c>
      <c r="N7" s="739">
        <f>Elect!AC11</f>
        <v>0</v>
      </c>
      <c r="O7" s="739">
        <f>Elect!AE11</f>
        <v>12.190000000000001</v>
      </c>
      <c r="P7" s="739">
        <f>Elect!AG11</f>
        <v>11.66</v>
      </c>
      <c r="Q7" s="739">
        <f>Elect!AI11</f>
        <v>414.99</v>
      </c>
      <c r="R7" s="739">
        <f>Elect!AK11</f>
        <v>1996.51</v>
      </c>
      <c r="S7" s="739">
        <f>Elect!AM11</f>
        <v>153.17000000000002</v>
      </c>
      <c r="T7" s="739">
        <f>Elect!AP11</f>
        <v>4.3875000000000002</v>
      </c>
      <c r="U7" s="739">
        <f>Elect!AR11</f>
        <v>316</v>
      </c>
      <c r="V7" s="739">
        <f>Elect!AT11</f>
        <v>129</v>
      </c>
      <c r="W7" s="739">
        <f>Elect!AV11</f>
        <v>23</v>
      </c>
      <c r="X7" s="739">
        <f>Elect!AX11</f>
        <v>576</v>
      </c>
      <c r="Y7" s="739">
        <f>Elect!AZ11</f>
        <v>58</v>
      </c>
      <c r="Z7" s="739">
        <f>Elect!BB11</f>
        <v>4274</v>
      </c>
      <c r="AA7" s="739">
        <f>Elect!BD11</f>
        <v>236</v>
      </c>
      <c r="AB7" s="739">
        <f>Elect!BF11</f>
        <v>54</v>
      </c>
      <c r="AC7" s="739">
        <f>Elect!BH11</f>
        <v>4540.9500000000007</v>
      </c>
      <c r="AD7" s="739">
        <f>Elect!BL11</f>
        <v>242</v>
      </c>
      <c r="AE7" s="739">
        <f>Elect!BN11</f>
        <v>812</v>
      </c>
      <c r="AF7" s="739">
        <f>Elect!BP11</f>
        <v>137</v>
      </c>
      <c r="AG7" s="739">
        <f>Elect!BR11</f>
        <v>147</v>
      </c>
      <c r="AH7" s="807"/>
      <c r="AI7" s="739">
        <f>Water!C12</f>
        <v>145</v>
      </c>
      <c r="AJ7" s="739">
        <f>Water!E12</f>
        <v>191.39999999999998</v>
      </c>
      <c r="AK7" s="739">
        <f>Water!G12</f>
        <v>0</v>
      </c>
      <c r="AL7" s="807"/>
      <c r="AM7" s="739">
        <f>Gas!C12</f>
        <v>1473.4</v>
      </c>
      <c r="AN7" s="739">
        <f>Gas!E12</f>
        <v>335.29999999999995</v>
      </c>
      <c r="AO7" s="739">
        <f>Gas!G12</f>
        <v>103</v>
      </c>
      <c r="AP7" s="746">
        <f>Elect!BT11</f>
        <v>203</v>
      </c>
    </row>
    <row r="8" spans="1:42" ht="12.75" customHeight="1">
      <c r="A8" s="753" t="s">
        <v>11</v>
      </c>
      <c r="B8" s="730">
        <f t="shared" si="0"/>
        <v>7</v>
      </c>
      <c r="C8" s="772">
        <v>1</v>
      </c>
      <c r="D8" s="752">
        <v>2022</v>
      </c>
      <c r="E8" s="807"/>
      <c r="F8" s="739">
        <f>Elect!J12</f>
        <v>5618</v>
      </c>
      <c r="G8" s="739">
        <f>Elect!K12</f>
        <v>3516</v>
      </c>
      <c r="H8" s="739">
        <f>Elect!Q12</f>
        <v>480</v>
      </c>
      <c r="I8" s="739">
        <f>Elect!S12</f>
        <v>140</v>
      </c>
      <c r="J8" s="739">
        <f>Elect!U12</f>
        <v>265</v>
      </c>
      <c r="K8" s="739">
        <f>Elect!W12</f>
        <v>1335.6000000000001</v>
      </c>
      <c r="L8" s="739">
        <f>Elect!Y12</f>
        <v>0</v>
      </c>
      <c r="M8" s="739">
        <f>Elect!AA12</f>
        <v>0</v>
      </c>
      <c r="N8" s="739">
        <f>Elect!AC12</f>
        <v>0</v>
      </c>
      <c r="O8" s="739">
        <f>Elect!AE12</f>
        <v>13.25</v>
      </c>
      <c r="P8" s="739">
        <f>Elect!AG12</f>
        <v>12.72</v>
      </c>
      <c r="Q8" s="739">
        <f>Elect!AI12</f>
        <v>430.36</v>
      </c>
      <c r="R8" s="739">
        <f>Elect!AK12</f>
        <v>2163.46</v>
      </c>
      <c r="S8" s="739">
        <f>Elect!AM12</f>
        <v>156.35</v>
      </c>
      <c r="T8" s="739">
        <f>Elect!AP12</f>
        <v>4.2750000000000004</v>
      </c>
      <c r="U8" s="739">
        <f>Elect!AR12</f>
        <v>345</v>
      </c>
      <c r="V8" s="739">
        <f>Elect!AT12</f>
        <v>133</v>
      </c>
      <c r="W8" s="739">
        <f>Elect!AV12</f>
        <v>17</v>
      </c>
      <c r="X8" s="739">
        <f>Elect!AX12</f>
        <v>588</v>
      </c>
      <c r="Y8" s="739">
        <f>Elect!AZ12</f>
        <v>30</v>
      </c>
      <c r="Z8" s="739">
        <f>Elect!BB12</f>
        <v>4236</v>
      </c>
      <c r="AA8" s="739">
        <f>Elect!BD12</f>
        <v>259</v>
      </c>
      <c r="AB8" s="739">
        <f>Elect!BF12</f>
        <v>56</v>
      </c>
      <c r="AC8" s="739">
        <f>Elect!BH12</f>
        <v>4818.55</v>
      </c>
      <c r="AD8" s="739">
        <f>Elect!BL12</f>
        <v>255</v>
      </c>
      <c r="AE8" s="739">
        <f>Elect!BN12</f>
        <v>882</v>
      </c>
      <c r="AF8" s="739">
        <f>Elect!BP12</f>
        <v>139</v>
      </c>
      <c r="AG8" s="739">
        <f>Elect!BR12</f>
        <v>154</v>
      </c>
      <c r="AH8" s="807"/>
      <c r="AI8" s="739">
        <f>Water!C13</f>
        <v>150.79999999999998</v>
      </c>
      <c r="AJ8" s="739">
        <f>Water!E13</f>
        <v>203</v>
      </c>
      <c r="AK8" s="739">
        <f>Water!G13</f>
        <v>0</v>
      </c>
      <c r="AL8" s="807"/>
      <c r="AM8" s="739">
        <f>Gas!C13</f>
        <v>1473.4</v>
      </c>
      <c r="AN8" s="739">
        <f>Gas!E13</f>
        <v>289.79999999999995</v>
      </c>
      <c r="AO8" s="739">
        <f>Gas!G13</f>
        <v>103</v>
      </c>
      <c r="AP8" s="746">
        <f>Elect!BT12</f>
        <v>233</v>
      </c>
    </row>
    <row r="9" spans="1:42" ht="12.75" customHeight="1">
      <c r="A9" s="753" t="s">
        <v>11</v>
      </c>
      <c r="B9" s="730">
        <f t="shared" si="0"/>
        <v>8</v>
      </c>
      <c r="C9" s="772">
        <v>1</v>
      </c>
      <c r="D9" s="752">
        <v>2022</v>
      </c>
      <c r="E9" s="807"/>
      <c r="F9" s="739">
        <f>Elect!J13</f>
        <v>5864</v>
      </c>
      <c r="G9" s="739">
        <f>Elect!K13</f>
        <v>3590</v>
      </c>
      <c r="H9" s="739">
        <f>Elect!Q13</f>
        <v>510</v>
      </c>
      <c r="I9" s="739">
        <f>Elect!S13</f>
        <v>142</v>
      </c>
      <c r="J9" s="739">
        <f>Elect!U13</f>
        <v>265</v>
      </c>
      <c r="K9" s="739">
        <f>Elect!W13</f>
        <v>1401.3200000000002</v>
      </c>
      <c r="L9" s="739">
        <f>Elect!Y13</f>
        <v>257.58000000000004</v>
      </c>
      <c r="M9" s="739">
        <f>Elect!AA13</f>
        <v>0</v>
      </c>
      <c r="N9" s="739">
        <f>Elect!AC13</f>
        <v>0</v>
      </c>
      <c r="O9" s="739">
        <f>Elect!AE13</f>
        <v>13.25</v>
      </c>
      <c r="P9" s="739">
        <f>Elect!AG13</f>
        <v>12.72</v>
      </c>
      <c r="Q9" s="739">
        <f>Elect!AI13</f>
        <v>414.46000000000004</v>
      </c>
      <c r="R9" s="739">
        <f>Elect!AK13</f>
        <v>2071.2400000000002</v>
      </c>
      <c r="S9" s="739">
        <f>Elect!AM13</f>
        <v>155.29000000000002</v>
      </c>
      <c r="T9" s="739">
        <f>Elect!AP13</f>
        <v>4.1625000000000005</v>
      </c>
      <c r="U9" s="739">
        <f>Elect!AR13</f>
        <v>317</v>
      </c>
      <c r="V9" s="739">
        <f>Elect!AT13</f>
        <v>139</v>
      </c>
      <c r="W9" s="739">
        <f>Elect!AV13</f>
        <v>20</v>
      </c>
      <c r="X9" s="739">
        <f>Elect!AX13</f>
        <v>590</v>
      </c>
      <c r="Y9" s="739">
        <f>Elect!AZ13</f>
        <v>0</v>
      </c>
      <c r="Z9" s="739">
        <f>Elect!BB13</f>
        <v>4343</v>
      </c>
      <c r="AA9" s="739">
        <f>Elect!BD13</f>
        <v>260</v>
      </c>
      <c r="AB9" s="739">
        <f>Elect!BF13</f>
        <v>46</v>
      </c>
      <c r="AC9" s="739">
        <f>Elect!BH13</f>
        <v>4850.5</v>
      </c>
      <c r="AD9" s="739">
        <f>Elect!BL13</f>
        <v>255</v>
      </c>
      <c r="AE9" s="739">
        <f>Elect!BN13</f>
        <v>900</v>
      </c>
      <c r="AF9" s="739">
        <f>Elect!BP13</f>
        <v>130</v>
      </c>
      <c r="AG9" s="739">
        <f>Elect!BR13</f>
        <v>157</v>
      </c>
      <c r="AH9" s="807"/>
      <c r="AI9" s="739">
        <f>Water!C14</f>
        <v>150.79999999999998</v>
      </c>
      <c r="AJ9" s="739">
        <f>Water!E14</f>
        <v>203</v>
      </c>
      <c r="AK9" s="739">
        <f>Water!G14</f>
        <v>0</v>
      </c>
      <c r="AL9" s="807"/>
      <c r="AM9" s="739">
        <f>Gas!C14</f>
        <v>1473.4</v>
      </c>
      <c r="AN9" s="739">
        <f>Gas!E14</f>
        <v>289.79999999999995</v>
      </c>
      <c r="AO9" s="739">
        <f>Gas!G14</f>
        <v>103</v>
      </c>
      <c r="AP9" s="746">
        <f>Elect!BT13</f>
        <v>238</v>
      </c>
    </row>
    <row r="10" spans="1:42" ht="12.75" customHeight="1">
      <c r="A10" s="753" t="s">
        <v>11</v>
      </c>
      <c r="B10" s="730">
        <f t="shared" si="0"/>
        <v>9</v>
      </c>
      <c r="C10" s="772">
        <v>1</v>
      </c>
      <c r="D10" s="752">
        <v>2022</v>
      </c>
      <c r="E10" s="807"/>
      <c r="F10" s="739">
        <f>Elect!J14</f>
        <v>5583</v>
      </c>
      <c r="G10" s="739">
        <f>Elect!K14</f>
        <v>3778</v>
      </c>
      <c r="H10" s="739">
        <f>Elect!Q14</f>
        <v>480</v>
      </c>
      <c r="I10" s="739">
        <f>Elect!S14</f>
        <v>137</v>
      </c>
      <c r="J10" s="739">
        <f>Elect!U14</f>
        <v>253</v>
      </c>
      <c r="K10" s="739">
        <f>Elect!W14</f>
        <v>1171.3</v>
      </c>
      <c r="L10" s="739">
        <f>Elect!Y14</f>
        <v>0</v>
      </c>
      <c r="M10" s="739">
        <f>Elect!AA14</f>
        <v>0</v>
      </c>
      <c r="N10" s="739">
        <f>Elect!AC14</f>
        <v>0</v>
      </c>
      <c r="O10" s="739">
        <f>Elect!AE14</f>
        <v>12.72</v>
      </c>
      <c r="P10" s="739">
        <f>Elect!AG14</f>
        <v>12.72</v>
      </c>
      <c r="Q10" s="739">
        <f>Elect!AI14</f>
        <v>419.76000000000005</v>
      </c>
      <c r="R10" s="739">
        <f>Elect!AK14</f>
        <v>2187.84</v>
      </c>
      <c r="S10" s="739">
        <f>Elect!AM14</f>
        <v>157.94</v>
      </c>
      <c r="T10" s="739">
        <f>Elect!AP14</f>
        <v>4.1625000000000005</v>
      </c>
      <c r="U10" s="739">
        <f>Elect!AR14</f>
        <v>322</v>
      </c>
      <c r="V10" s="739">
        <f>Elect!AT14</f>
        <v>146</v>
      </c>
      <c r="W10" s="739">
        <f>Elect!AV14</f>
        <v>28</v>
      </c>
      <c r="X10" s="739">
        <f>Elect!AX14</f>
        <v>591</v>
      </c>
      <c r="Y10" s="739">
        <f>Elect!AZ14</f>
        <v>0</v>
      </c>
      <c r="Z10" s="739">
        <f>Elect!BB14</f>
        <v>4454</v>
      </c>
      <c r="AA10" s="739">
        <f>Elect!BD14</f>
        <v>240</v>
      </c>
      <c r="AB10" s="739">
        <f>Elect!BF14</f>
        <v>46</v>
      </c>
      <c r="AC10" s="739">
        <f>Elect!BH14</f>
        <v>4768.05</v>
      </c>
      <c r="AD10" s="739">
        <f>Elect!BL14</f>
        <v>250</v>
      </c>
      <c r="AE10" s="739">
        <f>Elect!BN14</f>
        <v>879</v>
      </c>
      <c r="AF10" s="739">
        <f>Elect!BP14</f>
        <v>132</v>
      </c>
      <c r="AG10" s="739">
        <f>Elect!BR14</f>
        <v>152</v>
      </c>
      <c r="AH10" s="807"/>
      <c r="AI10" s="739">
        <f>Water!C15</f>
        <v>145</v>
      </c>
      <c r="AJ10" s="739">
        <f>Water!E15</f>
        <v>191.39999999999998</v>
      </c>
      <c r="AK10" s="739">
        <f>Water!G15</f>
        <v>0</v>
      </c>
      <c r="AL10" s="807"/>
      <c r="AM10" s="739">
        <f>Gas!C15</f>
        <v>1473.4</v>
      </c>
      <c r="AN10" s="739">
        <f>Gas!E15</f>
        <v>338.09999999999997</v>
      </c>
      <c r="AO10" s="739">
        <f>Gas!G15</f>
        <v>103</v>
      </c>
      <c r="AP10" s="746">
        <f>Elect!BT14</f>
        <v>220</v>
      </c>
    </row>
    <row r="11" spans="1:42" ht="12.75" customHeight="1">
      <c r="A11" s="753" t="s">
        <v>11</v>
      </c>
      <c r="B11" s="730">
        <f t="shared" si="0"/>
        <v>10</v>
      </c>
      <c r="C11" s="772">
        <v>1</v>
      </c>
      <c r="D11" s="752">
        <v>2022</v>
      </c>
      <c r="E11" s="807"/>
      <c r="F11" s="739">
        <f>Elect!J15</f>
        <v>7367</v>
      </c>
      <c r="G11" s="739">
        <f>Elect!K15</f>
        <v>4484</v>
      </c>
      <c r="H11" s="739">
        <f>Elect!Q15</f>
        <v>570</v>
      </c>
      <c r="I11" s="739">
        <f>Elect!S15</f>
        <v>150</v>
      </c>
      <c r="J11" s="739">
        <f>Elect!U15</f>
        <v>278</v>
      </c>
      <c r="K11" s="739">
        <f>Elect!W15</f>
        <v>1014.95</v>
      </c>
      <c r="L11" s="739">
        <f>Elect!Y15</f>
        <v>0</v>
      </c>
      <c r="M11" s="739">
        <f>Elect!AA15</f>
        <v>0</v>
      </c>
      <c r="N11" s="739">
        <f>Elect!AC15</f>
        <v>0</v>
      </c>
      <c r="O11" s="739">
        <f>Elect!AE15</f>
        <v>14.31</v>
      </c>
      <c r="P11" s="739">
        <f>Elect!AG15</f>
        <v>13.780000000000001</v>
      </c>
      <c r="Q11" s="739">
        <f>Elect!AI15</f>
        <v>463.75</v>
      </c>
      <c r="R11" s="739">
        <f>Elect!AK15</f>
        <v>2390.3000000000002</v>
      </c>
      <c r="S11" s="739">
        <f>Elect!AM15</f>
        <v>173.31</v>
      </c>
      <c r="T11" s="739">
        <f>Elect!AP15</f>
        <v>4.8375000000000004</v>
      </c>
      <c r="U11" s="739">
        <f>Elect!AR15</f>
        <v>332</v>
      </c>
      <c r="V11" s="739">
        <f>Elect!AT15</f>
        <v>152</v>
      </c>
      <c r="W11" s="739">
        <f>Elect!AV15</f>
        <v>40</v>
      </c>
      <c r="X11" s="739">
        <f>Elect!AX15</f>
        <v>625</v>
      </c>
      <c r="Y11" s="739">
        <f>Elect!AZ15</f>
        <v>0</v>
      </c>
      <c r="Z11" s="739">
        <f>Elect!BB15</f>
        <v>4484</v>
      </c>
      <c r="AA11" s="739">
        <f>Elect!BD15</f>
        <v>273</v>
      </c>
      <c r="AB11" s="739">
        <f>Elect!BF15</f>
        <v>64</v>
      </c>
      <c r="AC11" s="739">
        <f>Elect!BH15</f>
        <v>5043.8999999999996</v>
      </c>
      <c r="AD11" s="739">
        <f>Elect!BL15</f>
        <v>267</v>
      </c>
      <c r="AE11" s="739">
        <f>Elect!BN15</f>
        <v>918</v>
      </c>
      <c r="AF11" s="739">
        <f>Elect!BP15</f>
        <v>140</v>
      </c>
      <c r="AG11" s="739">
        <f>Elect!BR15</f>
        <v>151</v>
      </c>
      <c r="AH11" s="807"/>
      <c r="AI11" s="739">
        <f>Water!C16</f>
        <v>162.39999999999998</v>
      </c>
      <c r="AJ11" s="739">
        <f>Water!E16</f>
        <v>214.6</v>
      </c>
      <c r="AK11" s="739">
        <f>Water!G16</f>
        <v>0</v>
      </c>
      <c r="AL11" s="807"/>
      <c r="AM11" s="739">
        <f>Gas!C16</f>
        <v>1473.4</v>
      </c>
      <c r="AN11" s="739">
        <f>Gas!E16</f>
        <v>338.09999999999997</v>
      </c>
      <c r="AO11" s="739">
        <f>Gas!G16</f>
        <v>103</v>
      </c>
      <c r="AP11" s="746">
        <f>Elect!BT15</f>
        <v>211</v>
      </c>
    </row>
    <row r="12" spans="1:42" ht="12.75" customHeight="1">
      <c r="A12" s="753" t="s">
        <v>11</v>
      </c>
      <c r="B12" s="730">
        <f t="shared" si="0"/>
        <v>11</v>
      </c>
      <c r="C12" s="772">
        <v>1</v>
      </c>
      <c r="D12" s="752">
        <v>2022</v>
      </c>
      <c r="E12" s="807"/>
      <c r="F12" s="739">
        <f>Elect!J16</f>
        <v>6246</v>
      </c>
      <c r="G12" s="739">
        <f>Elect!K16</f>
        <v>3878</v>
      </c>
      <c r="H12" s="739">
        <f>Elect!Q16</f>
        <v>510</v>
      </c>
      <c r="I12" s="739">
        <f>Elect!S16</f>
        <v>130</v>
      </c>
      <c r="J12" s="739">
        <f>Elect!U16</f>
        <v>244</v>
      </c>
      <c r="K12" s="739">
        <f>Elect!W16</f>
        <v>950.29000000000008</v>
      </c>
      <c r="L12" s="739">
        <f>Elect!Y16</f>
        <v>0</v>
      </c>
      <c r="M12" s="739">
        <f>Elect!AA16</f>
        <v>0</v>
      </c>
      <c r="N12" s="739">
        <f>Elect!AC16</f>
        <v>0</v>
      </c>
      <c r="O12" s="739">
        <f>Elect!AE16</f>
        <v>11.66</v>
      </c>
      <c r="P12" s="739">
        <f>Elect!AG16</f>
        <v>11.66</v>
      </c>
      <c r="Q12" s="739">
        <f>Elect!AI16</f>
        <v>393.26000000000005</v>
      </c>
      <c r="R12" s="739">
        <f>Elect!AK16</f>
        <v>2143.3200000000002</v>
      </c>
      <c r="S12" s="739">
        <f>Elect!AM16</f>
        <v>148.4</v>
      </c>
      <c r="T12" s="739">
        <f>Elect!AP16</f>
        <v>4.3875000000000002</v>
      </c>
      <c r="U12" s="739">
        <f>Elect!AR16</f>
        <v>324</v>
      </c>
      <c r="V12" s="739">
        <f>Elect!AT16</f>
        <v>133</v>
      </c>
      <c r="W12" s="739">
        <f>Elect!AV16</f>
        <v>27</v>
      </c>
      <c r="X12" s="739">
        <f>Elect!AX16</f>
        <v>545</v>
      </c>
      <c r="Y12" s="739">
        <f>Elect!AZ16</f>
        <v>0</v>
      </c>
      <c r="Z12" s="739">
        <f>Elect!BB16</f>
        <v>4155</v>
      </c>
      <c r="AA12" s="739">
        <f>Elect!BD16</f>
        <v>242</v>
      </c>
      <c r="AB12" s="739">
        <f>Elect!BF16</f>
        <v>54</v>
      </c>
      <c r="AC12" s="739">
        <f>Elect!BH16</f>
        <v>4507.9000000000005</v>
      </c>
      <c r="AD12" s="739">
        <f>Elect!BL16</f>
        <v>240</v>
      </c>
      <c r="AE12" s="739">
        <f>Elect!BN16</f>
        <v>811</v>
      </c>
      <c r="AF12" s="739">
        <f>Elect!BP16</f>
        <v>127</v>
      </c>
      <c r="AG12" s="739">
        <f>Elect!BR16</f>
        <v>138</v>
      </c>
      <c r="AH12" s="807"/>
      <c r="AI12" s="739">
        <f>Water!C17</f>
        <v>162.39999999999998</v>
      </c>
      <c r="AJ12" s="739">
        <f>Water!E17</f>
        <v>220.39999999999998</v>
      </c>
      <c r="AK12" s="739">
        <f>Water!G17</f>
        <v>0</v>
      </c>
      <c r="AL12" s="807"/>
      <c r="AM12" s="739">
        <f>Gas!C17</f>
        <v>1473.4</v>
      </c>
      <c r="AN12" s="739">
        <f>Gas!E17</f>
        <v>338.09999999999997</v>
      </c>
      <c r="AO12" s="739">
        <f>Gas!G17</f>
        <v>103</v>
      </c>
      <c r="AP12" s="746">
        <f>Elect!BT16</f>
        <v>201</v>
      </c>
    </row>
    <row r="13" spans="1:42" ht="12.75" customHeight="1">
      <c r="A13" s="753" t="s">
        <v>11</v>
      </c>
      <c r="B13" s="730">
        <f t="shared" si="0"/>
        <v>12</v>
      </c>
      <c r="C13" s="772">
        <v>1</v>
      </c>
      <c r="D13" s="752">
        <v>2022</v>
      </c>
      <c r="E13" s="807"/>
      <c r="F13" s="739">
        <f>Elect!J17</f>
        <v>6655</v>
      </c>
      <c r="G13" s="739">
        <f>Elect!K17</f>
        <v>4174</v>
      </c>
      <c r="H13" s="739">
        <f>Elect!Q17</f>
        <v>450</v>
      </c>
      <c r="I13" s="739">
        <f>Elect!S17</f>
        <v>138</v>
      </c>
      <c r="J13" s="739">
        <f>Elect!U17</f>
        <v>257</v>
      </c>
      <c r="K13" s="739">
        <f>Elect!W17</f>
        <v>1049.4000000000001</v>
      </c>
      <c r="L13" s="739">
        <f>Elect!Y17</f>
        <v>0</v>
      </c>
      <c r="M13" s="739">
        <f>Elect!AA17</f>
        <v>0</v>
      </c>
      <c r="N13" s="739">
        <f>Elect!AC17</f>
        <v>0</v>
      </c>
      <c r="O13" s="739">
        <f>Elect!AE17</f>
        <v>12.72</v>
      </c>
      <c r="P13" s="739">
        <f>Elect!AG17</f>
        <v>12.72</v>
      </c>
      <c r="Q13" s="739">
        <f>Elect!AI17</f>
        <v>438.84000000000003</v>
      </c>
      <c r="R13" s="739">
        <f>Elect!AK17</f>
        <v>2360.6200000000003</v>
      </c>
      <c r="S13" s="739">
        <f>Elect!AM17</f>
        <v>162.18</v>
      </c>
      <c r="T13" s="739">
        <f>Elect!AP17</f>
        <v>4.1625000000000005</v>
      </c>
      <c r="U13" s="739">
        <f>Elect!AR17</f>
        <v>327</v>
      </c>
      <c r="V13" s="739">
        <f>Elect!AT17</f>
        <v>136</v>
      </c>
      <c r="W13" s="739">
        <f>Elect!AV17</f>
        <v>21</v>
      </c>
      <c r="X13" s="739">
        <f>Elect!AX17</f>
        <v>589</v>
      </c>
      <c r="Y13" s="739">
        <f>Elect!AZ17</f>
        <v>0</v>
      </c>
      <c r="Z13" s="739">
        <f>Elect!BB17</f>
        <v>4537</v>
      </c>
      <c r="AA13" s="739">
        <f>Elect!BD17</f>
        <v>237</v>
      </c>
      <c r="AB13" s="739">
        <f>Elect!BF17</f>
        <v>56</v>
      </c>
      <c r="AC13" s="739">
        <f>Elect!BH17</f>
        <v>4786.25</v>
      </c>
      <c r="AD13" s="739">
        <f>Elect!BL17</f>
        <v>255</v>
      </c>
      <c r="AE13" s="739">
        <f>Elect!BN17</f>
        <v>879</v>
      </c>
      <c r="AF13" s="739">
        <f>Elect!BP17</f>
        <v>136</v>
      </c>
      <c r="AG13" s="739">
        <f>Elect!BR17</f>
        <v>139</v>
      </c>
      <c r="AH13" s="807"/>
      <c r="AI13" s="739">
        <f>Water!C18</f>
        <v>162.39999999999998</v>
      </c>
      <c r="AJ13" s="739">
        <f>Water!E18</f>
        <v>220.39999999999998</v>
      </c>
      <c r="AK13" s="739">
        <f>Water!G18</f>
        <v>0</v>
      </c>
      <c r="AL13" s="807"/>
      <c r="AM13" s="739">
        <f>Gas!C18</f>
        <v>1473.4</v>
      </c>
      <c r="AN13" s="739">
        <f>Gas!E18</f>
        <v>338.09999999999997</v>
      </c>
      <c r="AO13" s="739">
        <f>Gas!G18</f>
        <v>103</v>
      </c>
      <c r="AP13" s="746">
        <f>Elect!BT17</f>
        <v>179</v>
      </c>
    </row>
    <row r="14" spans="1:42" ht="12.75" customHeight="1">
      <c r="A14" s="753" t="s">
        <v>11</v>
      </c>
      <c r="B14" s="730">
        <f t="shared" si="0"/>
        <v>13</v>
      </c>
      <c r="C14" s="772">
        <v>1</v>
      </c>
      <c r="D14" s="752">
        <v>2022</v>
      </c>
      <c r="E14" s="807"/>
      <c r="F14" s="739">
        <f>Elect!J18</f>
        <v>6659</v>
      </c>
      <c r="G14" s="739">
        <f>Elect!K18</f>
        <v>4184</v>
      </c>
      <c r="H14" s="739">
        <f>Elect!Q18</f>
        <v>540</v>
      </c>
      <c r="I14" s="739">
        <f>Elect!S18</f>
        <v>139</v>
      </c>
      <c r="J14" s="739">
        <f>Elect!U18</f>
        <v>251</v>
      </c>
      <c r="K14" s="739">
        <f>Elect!W18</f>
        <v>1052.5800000000002</v>
      </c>
      <c r="L14" s="739">
        <f>Elect!Y18</f>
        <v>0</v>
      </c>
      <c r="M14" s="739">
        <f>Elect!AA18</f>
        <v>0</v>
      </c>
      <c r="N14" s="739">
        <f>Elect!AC18</f>
        <v>0</v>
      </c>
      <c r="O14" s="739">
        <f>Elect!AE18</f>
        <v>13.780000000000001</v>
      </c>
      <c r="P14" s="739">
        <f>Elect!AG18</f>
        <v>13.25</v>
      </c>
      <c r="Q14" s="739">
        <f>Elect!AI18</f>
        <v>443.61</v>
      </c>
      <c r="R14" s="739">
        <f>Elect!AK18</f>
        <v>2365.3900000000003</v>
      </c>
      <c r="S14" s="739">
        <f>Elect!AM18</f>
        <v>163.77000000000001</v>
      </c>
      <c r="T14" s="739">
        <f>Elect!AP18</f>
        <v>4.8375000000000004</v>
      </c>
      <c r="U14" s="739">
        <f>Elect!AR18</f>
        <v>320</v>
      </c>
      <c r="V14" s="739">
        <f>Elect!AT18</f>
        <v>139</v>
      </c>
      <c r="W14" s="739">
        <f>Elect!AV18</f>
        <v>23</v>
      </c>
      <c r="X14" s="739">
        <f>Elect!AX18</f>
        <v>585</v>
      </c>
      <c r="Y14" s="739">
        <f>Elect!AZ18</f>
        <v>0</v>
      </c>
      <c r="Z14" s="739">
        <f>Elect!BB18</f>
        <v>4835</v>
      </c>
      <c r="AA14" s="739">
        <f>Elect!BD18</f>
        <v>233</v>
      </c>
      <c r="AB14" s="739">
        <f>Elect!BF18</f>
        <v>51</v>
      </c>
      <c r="AC14" s="739">
        <f>Elect!BH18</f>
        <v>5120.1500000000005</v>
      </c>
      <c r="AD14" s="739">
        <f>Elect!BL18</f>
        <v>265</v>
      </c>
      <c r="AE14" s="739">
        <f>Elect!BN18</f>
        <v>912</v>
      </c>
      <c r="AF14" s="739">
        <f>Elect!BP18</f>
        <v>141</v>
      </c>
      <c r="AG14" s="739">
        <f>Elect!BR18</f>
        <v>145</v>
      </c>
      <c r="AH14" s="807"/>
      <c r="AI14" s="739">
        <f>Water!C19</f>
        <v>162.39999999999998</v>
      </c>
      <c r="AJ14" s="739">
        <f>Water!E19</f>
        <v>220.39999999999998</v>
      </c>
      <c r="AK14" s="739">
        <f>Water!G19</f>
        <v>0</v>
      </c>
      <c r="AL14" s="807"/>
      <c r="AM14" s="739">
        <f>Gas!C19</f>
        <v>1473.4</v>
      </c>
      <c r="AN14" s="739">
        <f>Gas!E19</f>
        <v>338.09999999999997</v>
      </c>
      <c r="AO14" s="739">
        <f>Gas!G19</f>
        <v>103</v>
      </c>
      <c r="AP14" s="746">
        <f>Elect!BT18</f>
        <v>207</v>
      </c>
    </row>
    <row r="15" spans="1:42" ht="12.75" customHeight="1">
      <c r="A15" s="753" t="s">
        <v>11</v>
      </c>
      <c r="B15" s="730">
        <f t="shared" si="0"/>
        <v>14</v>
      </c>
      <c r="C15" s="772">
        <v>1</v>
      </c>
      <c r="D15" s="752">
        <v>2022</v>
      </c>
      <c r="E15" s="807"/>
      <c r="F15" s="739">
        <f>Elect!J19</f>
        <v>7066</v>
      </c>
      <c r="G15" s="739">
        <f>Elect!K19</f>
        <v>4000</v>
      </c>
      <c r="H15" s="739">
        <f>Elect!Q19</f>
        <v>540</v>
      </c>
      <c r="I15" s="739">
        <f>Elect!S19</f>
        <v>140</v>
      </c>
      <c r="J15" s="739">
        <f>Elect!U19</f>
        <v>261</v>
      </c>
      <c r="K15" s="739">
        <f>Elect!W19</f>
        <v>1007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12.190000000000001</v>
      </c>
      <c r="P15" s="739">
        <f>Elect!AG19</f>
        <v>12.72</v>
      </c>
      <c r="Q15" s="739">
        <f>Elect!AI19</f>
        <v>439.90000000000003</v>
      </c>
      <c r="R15" s="739">
        <f>Elect!AK19</f>
        <v>2364.33</v>
      </c>
      <c r="S15" s="739">
        <f>Elect!AM19</f>
        <v>161.65</v>
      </c>
      <c r="T15" s="739">
        <f>Elect!AP19</f>
        <v>4.5</v>
      </c>
      <c r="U15" s="739">
        <f>Elect!AR19</f>
        <v>329</v>
      </c>
      <c r="V15" s="739">
        <f>Elect!AT19</f>
        <v>134</v>
      </c>
      <c r="W15" s="739">
        <f>Elect!AV19</f>
        <v>5</v>
      </c>
      <c r="X15" s="739">
        <f>Elect!AX19</f>
        <v>0</v>
      </c>
      <c r="Y15" s="739">
        <f>Elect!AZ19</f>
        <v>0</v>
      </c>
      <c r="Z15" s="739">
        <f>Elect!BB19</f>
        <v>4242</v>
      </c>
      <c r="AA15" s="739">
        <f>Elect!BD19</f>
        <v>213</v>
      </c>
      <c r="AB15" s="739">
        <f>Elect!BF19</f>
        <v>55</v>
      </c>
      <c r="AC15" s="739">
        <f>Elect!BH19</f>
        <v>4480.7</v>
      </c>
      <c r="AD15" s="739">
        <f>Elect!BL19</f>
        <v>242</v>
      </c>
      <c r="AE15" s="739">
        <f>Elect!BN19</f>
        <v>606</v>
      </c>
      <c r="AF15" s="739">
        <f>Elect!BP19</f>
        <v>128</v>
      </c>
      <c r="AG15" s="739">
        <f>Elect!BR19</f>
        <v>129</v>
      </c>
      <c r="AH15" s="807"/>
      <c r="AI15" s="739">
        <f>Water!C20</f>
        <v>121.8</v>
      </c>
      <c r="AJ15" s="739">
        <f>Water!E20</f>
        <v>150.79999999999998</v>
      </c>
      <c r="AK15" s="739">
        <f>Water!G20</f>
        <v>6.9599999999999991</v>
      </c>
      <c r="AL15" s="807"/>
      <c r="AM15" s="739">
        <f>Gas!C20</f>
        <v>1473.4</v>
      </c>
      <c r="AN15" s="739">
        <f>Gas!E20</f>
        <v>429.09999999999997</v>
      </c>
      <c r="AO15" s="739">
        <f>Gas!G20</f>
        <v>103</v>
      </c>
      <c r="AP15" s="746">
        <f>Elect!BT19</f>
        <v>215</v>
      </c>
    </row>
    <row r="16" spans="1:42" ht="12.75" customHeight="1">
      <c r="A16" s="753" t="s">
        <v>11</v>
      </c>
      <c r="B16" s="730">
        <f t="shared" si="0"/>
        <v>15</v>
      </c>
      <c r="C16" s="772">
        <v>1</v>
      </c>
      <c r="D16" s="752">
        <v>2022</v>
      </c>
      <c r="E16" s="807"/>
      <c r="F16" s="739">
        <f>Elect!J20</f>
        <v>6511</v>
      </c>
      <c r="G16" s="739">
        <f>Elect!K20</f>
        <v>4004</v>
      </c>
      <c r="H16" s="739">
        <f>Elect!Q20</f>
        <v>540</v>
      </c>
      <c r="I16" s="739">
        <f>Elect!S20</f>
        <v>141</v>
      </c>
      <c r="J16" s="739">
        <f>Elect!U20</f>
        <v>260</v>
      </c>
      <c r="K16" s="739">
        <f>Elect!W20</f>
        <v>1007.5300000000001</v>
      </c>
      <c r="L16" s="739">
        <f>Elect!Y20</f>
        <v>0</v>
      </c>
      <c r="M16" s="739">
        <f>Elect!AA20</f>
        <v>0</v>
      </c>
      <c r="N16" s="739">
        <f>Elect!AC20</f>
        <v>0</v>
      </c>
      <c r="O16" s="739">
        <f>Elect!AE20</f>
        <v>13.780000000000001</v>
      </c>
      <c r="P16" s="739">
        <f>Elect!AG20</f>
        <v>13.25</v>
      </c>
      <c r="Q16" s="739">
        <f>Elect!AI20</f>
        <v>439.37</v>
      </c>
      <c r="R16" s="739">
        <f>Elect!AK20</f>
        <v>2361.6800000000003</v>
      </c>
      <c r="S16" s="739">
        <f>Elect!AM20</f>
        <v>162.71</v>
      </c>
      <c r="T16" s="739">
        <f>Elect!AP20</f>
        <v>4.1625000000000005</v>
      </c>
      <c r="U16" s="739">
        <f>Elect!AR20</f>
        <v>328</v>
      </c>
      <c r="V16" s="739">
        <f>Elect!AT20</f>
        <v>136</v>
      </c>
      <c r="W16" s="739">
        <f>Elect!AV20</f>
        <v>16</v>
      </c>
      <c r="X16" s="739">
        <f>Elect!AX20</f>
        <v>590</v>
      </c>
      <c r="Y16" s="739">
        <f>Elect!AZ20</f>
        <v>0</v>
      </c>
      <c r="Z16" s="739">
        <f>Elect!BB20</f>
        <v>4591</v>
      </c>
      <c r="AA16" s="739">
        <f>Elect!BD20</f>
        <v>216</v>
      </c>
      <c r="AB16" s="739">
        <f>Elect!BF20</f>
        <v>55</v>
      </c>
      <c r="AC16" s="739">
        <f>Elect!BH20</f>
        <v>4694.75</v>
      </c>
      <c r="AD16" s="739">
        <f>Elect!BL20</f>
        <v>256</v>
      </c>
      <c r="AE16" s="739">
        <f>Elect!BN20</f>
        <v>606</v>
      </c>
      <c r="AF16" s="739">
        <f>Elect!BP20</f>
        <v>139</v>
      </c>
      <c r="AG16" s="739">
        <f>Elect!BR20</f>
        <v>138</v>
      </c>
      <c r="AH16" s="807"/>
      <c r="AI16" s="739">
        <f>Water!C21</f>
        <v>121.8</v>
      </c>
      <c r="AJ16" s="739">
        <f>Water!E21</f>
        <v>150.79999999999998</v>
      </c>
      <c r="AK16" s="739">
        <f>Water!G21</f>
        <v>0</v>
      </c>
      <c r="AL16" s="807"/>
      <c r="AM16" s="739">
        <f>Gas!C21</f>
        <v>1473.4</v>
      </c>
      <c r="AN16" s="739">
        <f>Gas!E21</f>
        <v>429.09999999999997</v>
      </c>
      <c r="AO16" s="739">
        <f>Gas!G21</f>
        <v>103</v>
      </c>
      <c r="AP16" s="746">
        <f>Elect!BT20</f>
        <v>197</v>
      </c>
    </row>
    <row r="17" spans="1:42" ht="12.75" customHeight="1">
      <c r="A17" s="753" t="s">
        <v>11</v>
      </c>
      <c r="B17" s="730">
        <f t="shared" si="0"/>
        <v>16</v>
      </c>
      <c r="C17" s="772">
        <v>1</v>
      </c>
      <c r="D17" s="752">
        <v>2022</v>
      </c>
      <c r="E17" s="807"/>
      <c r="F17" s="739">
        <f>Elect!J21</f>
        <v>8017</v>
      </c>
      <c r="G17" s="739">
        <f>Elect!K21</f>
        <v>5075</v>
      </c>
      <c r="H17" s="739">
        <f>Elect!Q21</f>
        <v>510</v>
      </c>
      <c r="I17" s="739">
        <f>Elect!S21</f>
        <v>147</v>
      </c>
      <c r="J17" s="739">
        <f>Elect!U21</f>
        <v>267</v>
      </c>
      <c r="K17" s="739">
        <f>Elect!W21</f>
        <v>717.62</v>
      </c>
      <c r="L17" s="739">
        <f>Elect!Y21</f>
        <v>988.98</v>
      </c>
      <c r="M17" s="739">
        <f>Elect!AA21</f>
        <v>0</v>
      </c>
      <c r="N17" s="739">
        <f>Elect!AC21</f>
        <v>0</v>
      </c>
      <c r="O17" s="739">
        <f>Elect!AE21</f>
        <v>17.490000000000002</v>
      </c>
      <c r="P17" s="739">
        <f>Elect!AG21</f>
        <v>12.72</v>
      </c>
      <c r="Q17" s="739">
        <f>Elect!AI21</f>
        <v>428.24</v>
      </c>
      <c r="R17" s="739">
        <f>Elect!AK21</f>
        <v>2133.7800000000002</v>
      </c>
      <c r="S17" s="739">
        <f>Elect!AM21</f>
        <v>142.04000000000002</v>
      </c>
      <c r="T17" s="739">
        <f>Elect!AP21</f>
        <v>6.1875</v>
      </c>
      <c r="U17" s="739">
        <f>Elect!AR21</f>
        <v>365</v>
      </c>
      <c r="V17" s="739">
        <f>Elect!AT21</f>
        <v>137</v>
      </c>
      <c r="W17" s="739">
        <f>Elect!AV21</f>
        <v>38</v>
      </c>
      <c r="X17" s="739">
        <f>Elect!AX21</f>
        <v>995</v>
      </c>
      <c r="Y17" s="739">
        <f>Elect!AZ21</f>
        <v>0</v>
      </c>
      <c r="Z17" s="739">
        <f>Elect!BB21</f>
        <v>4359</v>
      </c>
      <c r="AA17" s="739">
        <f>Elect!BD21</f>
        <v>217</v>
      </c>
      <c r="AB17" s="739">
        <f>Elect!BF21</f>
        <v>52</v>
      </c>
      <c r="AC17" s="739">
        <f>Elect!BH21</f>
        <v>4717.6000000000004</v>
      </c>
      <c r="AD17" s="739">
        <f>Elect!BL21</f>
        <v>256</v>
      </c>
      <c r="AE17" s="739">
        <f>Elect!BN21</f>
        <v>775</v>
      </c>
      <c r="AF17" s="739">
        <f>Elect!BP21</f>
        <v>137</v>
      </c>
      <c r="AG17" s="739">
        <f>Elect!BR21</f>
        <v>137</v>
      </c>
      <c r="AH17" s="807"/>
      <c r="AI17" s="739">
        <f>Water!C22</f>
        <v>185.6</v>
      </c>
      <c r="AJ17" s="739">
        <f>Water!E22</f>
        <v>255.2</v>
      </c>
      <c r="AK17" s="739">
        <f>Water!G22</f>
        <v>0</v>
      </c>
      <c r="AL17" s="807"/>
      <c r="AM17" s="739">
        <f>Gas!C22</f>
        <v>1473.4</v>
      </c>
      <c r="AN17" s="739">
        <f>Gas!E22</f>
        <v>242.89999999999998</v>
      </c>
      <c r="AO17" s="739">
        <f>Gas!G22</f>
        <v>103</v>
      </c>
      <c r="AP17" s="746">
        <f>Elect!BT21</f>
        <v>176</v>
      </c>
    </row>
    <row r="18" spans="1:42" ht="12.75" customHeight="1">
      <c r="A18" s="753" t="s">
        <v>11</v>
      </c>
      <c r="B18" s="730">
        <f t="shared" si="0"/>
        <v>17</v>
      </c>
      <c r="C18" s="772">
        <v>1</v>
      </c>
      <c r="D18" s="752">
        <v>2022</v>
      </c>
      <c r="E18" s="807"/>
      <c r="F18" s="739">
        <f>Elect!J22</f>
        <v>7722</v>
      </c>
      <c r="G18" s="739">
        <f>Elect!K22</f>
        <v>4612</v>
      </c>
      <c r="H18" s="739">
        <f>Elect!Q22</f>
        <v>540</v>
      </c>
      <c r="I18" s="739">
        <f>Elect!S22</f>
        <v>144</v>
      </c>
      <c r="J18" s="739">
        <f>Elect!U22</f>
        <v>261</v>
      </c>
      <c r="K18" s="739">
        <f>Elect!W22</f>
        <v>237.44</v>
      </c>
      <c r="L18" s="739">
        <f>Elect!Y22</f>
        <v>1001.7</v>
      </c>
      <c r="M18" s="739">
        <f>Elect!AA22</f>
        <v>0</v>
      </c>
      <c r="N18" s="739">
        <f>Elect!AC22</f>
        <v>0</v>
      </c>
      <c r="O18" s="739">
        <f>Elect!AE22</f>
        <v>12.190000000000001</v>
      </c>
      <c r="P18" s="739">
        <f>Elect!AG22</f>
        <v>12.72</v>
      </c>
      <c r="Q18" s="739">
        <f>Elect!AI22</f>
        <v>282.49</v>
      </c>
      <c r="R18" s="739">
        <f>Elect!AK22</f>
        <v>2332.5300000000002</v>
      </c>
      <c r="S18" s="739">
        <f>Elect!AM22</f>
        <v>161.65</v>
      </c>
      <c r="T18" s="739">
        <f>Elect!AP22</f>
        <v>4.6124999999999998</v>
      </c>
      <c r="U18" s="739">
        <f>Elect!AR22</f>
        <v>328</v>
      </c>
      <c r="V18" s="739">
        <f>Elect!AT22</f>
        <v>137</v>
      </c>
      <c r="W18" s="739">
        <f>Elect!AV22</f>
        <v>21</v>
      </c>
      <c r="X18" s="739">
        <f>Elect!AX22</f>
        <v>586</v>
      </c>
      <c r="Y18" s="739">
        <f>Elect!AZ22</f>
        <v>0</v>
      </c>
      <c r="Z18" s="739">
        <f>Elect!BB22</f>
        <v>4387</v>
      </c>
      <c r="AA18" s="739">
        <f>Elect!BD22</f>
        <v>201</v>
      </c>
      <c r="AB18" s="739">
        <f>Elect!BF22</f>
        <v>54</v>
      </c>
      <c r="AC18" s="739">
        <f>Elect!BH22</f>
        <v>4820.05</v>
      </c>
      <c r="AD18" s="739">
        <f>Elect!BL22</f>
        <v>254</v>
      </c>
      <c r="AE18" s="739">
        <f>Elect!BN22</f>
        <v>815</v>
      </c>
      <c r="AF18" s="739">
        <f>Elect!BP22</f>
        <v>136</v>
      </c>
      <c r="AG18" s="739">
        <f>Elect!BR22</f>
        <v>141</v>
      </c>
      <c r="AH18" s="807"/>
      <c r="AI18" s="739">
        <f>Water!C23</f>
        <v>162.39999999999998</v>
      </c>
      <c r="AJ18" s="739">
        <f>Water!E23</f>
        <v>214.6</v>
      </c>
      <c r="AK18" s="739">
        <f>Water!G23</f>
        <v>0</v>
      </c>
      <c r="AL18" s="807"/>
      <c r="AM18" s="739">
        <f>Gas!C23</f>
        <v>1473.4</v>
      </c>
      <c r="AN18" s="739">
        <f>Gas!E23</f>
        <v>361.9</v>
      </c>
      <c r="AO18" s="739">
        <f>Gas!G23</f>
        <v>103</v>
      </c>
      <c r="AP18" s="746">
        <f>Elect!BT22</f>
        <v>171</v>
      </c>
    </row>
    <row r="19" spans="1:42" ht="12.75" customHeight="1">
      <c r="A19" s="753" t="s">
        <v>11</v>
      </c>
      <c r="B19" s="730">
        <f t="shared" si="0"/>
        <v>18</v>
      </c>
      <c r="C19" s="772">
        <v>1</v>
      </c>
      <c r="D19" s="752">
        <v>2022</v>
      </c>
      <c r="E19" s="807"/>
      <c r="F19" s="739">
        <f>Elect!J23</f>
        <v>7812</v>
      </c>
      <c r="G19" s="739">
        <f>Elect!K23</f>
        <v>4634</v>
      </c>
      <c r="H19" s="739">
        <f>Elect!Q23</f>
        <v>450</v>
      </c>
      <c r="I19" s="739">
        <f>Elect!S23</f>
        <v>143</v>
      </c>
      <c r="J19" s="739">
        <f>Elect!U23</f>
        <v>262</v>
      </c>
      <c r="K19" s="739">
        <f>Elect!W23</f>
        <v>916.37</v>
      </c>
      <c r="L19" s="739">
        <f>Elect!Y23</f>
        <v>0</v>
      </c>
      <c r="M19" s="739">
        <f>Elect!AA23</f>
        <v>0</v>
      </c>
      <c r="N19" s="739">
        <f>Elect!AC23</f>
        <v>0</v>
      </c>
      <c r="O19" s="739">
        <f>Elect!AE23</f>
        <v>13.25</v>
      </c>
      <c r="P19" s="739">
        <f>Elect!AG23</f>
        <v>14.31</v>
      </c>
      <c r="Q19" s="739">
        <f>Elect!AI23</f>
        <v>434.07000000000005</v>
      </c>
      <c r="R19" s="739">
        <f>Elect!AK23</f>
        <v>2498.9500000000003</v>
      </c>
      <c r="S19" s="739">
        <f>Elect!AM23</f>
        <v>163.77000000000001</v>
      </c>
      <c r="T19" s="739">
        <f>Elect!AP23</f>
        <v>4.5</v>
      </c>
      <c r="U19" s="739">
        <f>Elect!AR23</f>
        <v>329</v>
      </c>
      <c r="V19" s="739">
        <f>Elect!AT23</f>
        <v>133</v>
      </c>
      <c r="W19" s="739">
        <f>Elect!AV23</f>
        <v>33</v>
      </c>
      <c r="X19" s="739">
        <f>Elect!AX23</f>
        <v>574</v>
      </c>
      <c r="Y19" s="739">
        <f>Elect!AZ23</f>
        <v>0</v>
      </c>
      <c r="Z19" s="739">
        <f>Elect!BB23</f>
        <v>4373</v>
      </c>
      <c r="AA19" s="739">
        <f>Elect!BD23</f>
        <v>244</v>
      </c>
      <c r="AB19" s="739">
        <f>Elect!BF23</f>
        <v>53</v>
      </c>
      <c r="AC19" s="739">
        <f>Elect!BH23</f>
        <v>5039.5</v>
      </c>
      <c r="AD19" s="739">
        <f>Elect!BL23</f>
        <v>270</v>
      </c>
      <c r="AE19" s="739">
        <f>Elect!BN23</f>
        <v>827</v>
      </c>
      <c r="AF19" s="739">
        <f>Elect!BP23</f>
        <v>143</v>
      </c>
      <c r="AG19" s="739">
        <f>Elect!BR23</f>
        <v>148</v>
      </c>
      <c r="AH19" s="807"/>
      <c r="AI19" s="739">
        <f>Water!C24</f>
        <v>162.39999999999998</v>
      </c>
      <c r="AJ19" s="739">
        <f>Water!E24</f>
        <v>208.79999999999998</v>
      </c>
      <c r="AK19" s="739">
        <f>Water!G24</f>
        <v>0</v>
      </c>
      <c r="AL19" s="807"/>
      <c r="AM19" s="739">
        <f>Gas!C24</f>
        <v>1473.4</v>
      </c>
      <c r="AN19" s="739">
        <f>Gas!E24</f>
        <v>384.29999999999995</v>
      </c>
      <c r="AO19" s="739">
        <f>Gas!G24</f>
        <v>103</v>
      </c>
      <c r="AP19" s="746">
        <f>Elect!BT23</f>
        <v>146</v>
      </c>
    </row>
    <row r="20" spans="1:42" ht="12.75" customHeight="1">
      <c r="A20" s="753" t="s">
        <v>11</v>
      </c>
      <c r="B20" s="730">
        <f t="shared" si="0"/>
        <v>19</v>
      </c>
      <c r="C20" s="772">
        <v>1</v>
      </c>
      <c r="D20" s="752">
        <v>2022</v>
      </c>
      <c r="E20" s="807"/>
      <c r="F20" s="739">
        <f>Elect!J24</f>
        <v>8105</v>
      </c>
      <c r="G20" s="739">
        <f>Elect!K24</f>
        <v>4736</v>
      </c>
      <c r="H20" s="739">
        <f>Elect!Q24</f>
        <v>540</v>
      </c>
      <c r="I20" s="739">
        <f>Elect!S24</f>
        <v>26</v>
      </c>
      <c r="J20" s="739">
        <f>Elect!U24</f>
        <v>264</v>
      </c>
      <c r="K20" s="739">
        <f>Elect!W24</f>
        <v>755.78000000000009</v>
      </c>
      <c r="L20" s="739">
        <f>Elect!Y24</f>
        <v>0</v>
      </c>
      <c r="M20" s="739">
        <f>Elect!AA24</f>
        <v>0</v>
      </c>
      <c r="N20" s="739">
        <f>Elect!AC24</f>
        <v>0</v>
      </c>
      <c r="O20" s="739">
        <f>Elect!AE24</f>
        <v>13.25</v>
      </c>
      <c r="P20" s="739">
        <f>Elect!AG24</f>
        <v>11.66</v>
      </c>
      <c r="Q20" s="739">
        <f>Elect!AI24</f>
        <v>429.83000000000004</v>
      </c>
      <c r="R20" s="739">
        <f>Elect!AK24</f>
        <v>2185.7200000000003</v>
      </c>
      <c r="S20" s="739">
        <f>Elect!AM24</f>
        <v>143.63</v>
      </c>
      <c r="T20" s="739">
        <f>Elect!AP24</f>
        <v>4.3875000000000002</v>
      </c>
      <c r="U20" s="739">
        <f>Elect!AR24</f>
        <v>326</v>
      </c>
      <c r="V20" s="739">
        <f>Elect!AT24</f>
        <v>134</v>
      </c>
      <c r="W20" s="739">
        <f>Elect!AV24</f>
        <v>38</v>
      </c>
      <c r="X20" s="739">
        <f>Elect!AX24</f>
        <v>550</v>
      </c>
      <c r="Y20" s="739">
        <f>Elect!AZ24</f>
        <v>0</v>
      </c>
      <c r="Z20" s="739">
        <f>Elect!BB24</f>
        <v>3773</v>
      </c>
      <c r="AA20" s="739">
        <f>Elect!BD24</f>
        <v>215</v>
      </c>
      <c r="AB20" s="739">
        <f>Elect!BF24</f>
        <v>53</v>
      </c>
      <c r="AC20" s="739">
        <f>Elect!BH24</f>
        <v>4404.9500000000007</v>
      </c>
      <c r="AD20" s="739">
        <f>Elect!BL24</f>
        <v>199</v>
      </c>
      <c r="AE20" s="739">
        <f>Elect!BN24</f>
        <v>682</v>
      </c>
      <c r="AF20" s="739">
        <f>Elect!BP24</f>
        <v>127</v>
      </c>
      <c r="AG20" s="739">
        <f>Elect!BR24</f>
        <v>128</v>
      </c>
      <c r="AH20" s="807"/>
      <c r="AI20" s="739">
        <f>Water!C25</f>
        <v>150.79999999999998</v>
      </c>
      <c r="AJ20" s="739">
        <f>Water!E25</f>
        <v>203</v>
      </c>
      <c r="AK20" s="739">
        <f>Water!G25</f>
        <v>0</v>
      </c>
      <c r="AL20" s="807"/>
      <c r="AM20" s="739">
        <f>Gas!C25</f>
        <v>1473.4</v>
      </c>
      <c r="AN20" s="739">
        <f>Gas!E25</f>
        <v>412.29999999999995</v>
      </c>
      <c r="AO20" s="739">
        <f>Gas!G25</f>
        <v>49</v>
      </c>
      <c r="AP20" s="746">
        <f>Elect!BT24</f>
        <v>162</v>
      </c>
    </row>
    <row r="21" spans="1:42" ht="12.75" customHeight="1">
      <c r="A21" s="753" t="s">
        <v>11</v>
      </c>
      <c r="B21" s="730">
        <f t="shared" si="0"/>
        <v>20</v>
      </c>
      <c r="C21" s="772">
        <v>1</v>
      </c>
      <c r="D21" s="752">
        <v>2022</v>
      </c>
      <c r="E21" s="807"/>
      <c r="F21" s="739">
        <f>Elect!J25</f>
        <v>7921</v>
      </c>
      <c r="G21" s="739">
        <f>Elect!K25</f>
        <v>4765</v>
      </c>
      <c r="H21" s="739">
        <f>Elect!Q25</f>
        <v>540</v>
      </c>
      <c r="I21" s="739">
        <f>Elect!S25</f>
        <v>251</v>
      </c>
      <c r="J21" s="739">
        <f>Elect!U25</f>
        <v>261.85714285698486</v>
      </c>
      <c r="K21" s="739">
        <f>Elect!W25</f>
        <v>1004.35</v>
      </c>
      <c r="L21" s="739">
        <f>Elect!Y25</f>
        <v>0</v>
      </c>
      <c r="M21" s="739">
        <f>Elect!AA25</f>
        <v>0</v>
      </c>
      <c r="N21" s="739">
        <f>Elect!AC25</f>
        <v>0</v>
      </c>
      <c r="O21" s="739">
        <f>Elect!AE25</f>
        <v>15.9</v>
      </c>
      <c r="P21" s="739">
        <f>Elect!AG25</f>
        <v>13.780000000000001</v>
      </c>
      <c r="Q21" s="739">
        <f>Elect!AI25</f>
        <v>264.47000000000003</v>
      </c>
      <c r="R21" s="739">
        <f>Elect!AK25</f>
        <v>2290.6600000000003</v>
      </c>
      <c r="S21" s="739">
        <f>Elect!AM25</f>
        <v>164.3</v>
      </c>
      <c r="T21" s="739">
        <f>Elect!AP25</f>
        <v>4.3875000000000002</v>
      </c>
      <c r="U21" s="739">
        <f>Elect!AR25</f>
        <v>335</v>
      </c>
      <c r="V21" s="739">
        <f>Elect!AT25</f>
        <v>155</v>
      </c>
      <c r="W21" s="739">
        <f>Elect!AV25</f>
        <v>32</v>
      </c>
      <c r="X21" s="739">
        <f>Elect!AX25</f>
        <v>574</v>
      </c>
      <c r="Y21" s="739">
        <f>Elect!AZ25</f>
        <v>15</v>
      </c>
      <c r="Z21" s="739">
        <f>Elect!BB25</f>
        <v>4388</v>
      </c>
      <c r="AA21" s="739">
        <f>Elect!BD25</f>
        <v>210</v>
      </c>
      <c r="AB21" s="739">
        <f>Elect!BF25</f>
        <v>56</v>
      </c>
      <c r="AC21" s="739">
        <f>Elect!BH25</f>
        <v>4733.75</v>
      </c>
      <c r="AD21" s="739">
        <f>Elect!BL25</f>
        <v>97</v>
      </c>
      <c r="AE21" s="739">
        <f>Elect!BN25</f>
        <v>725</v>
      </c>
      <c r="AF21" s="739">
        <f>Elect!BP25</f>
        <v>140</v>
      </c>
      <c r="AG21" s="739">
        <f>Elect!BR25</f>
        <v>139</v>
      </c>
      <c r="AH21" s="807"/>
      <c r="AI21" s="739">
        <f>Water!C26</f>
        <v>150.79999999999998</v>
      </c>
      <c r="AJ21" s="739">
        <f>Water!E26</f>
        <v>203</v>
      </c>
      <c r="AK21" s="739">
        <f>Water!G26</f>
        <v>0</v>
      </c>
      <c r="AL21" s="807"/>
      <c r="AM21" s="739">
        <f>Gas!C26</f>
        <v>1473.4</v>
      </c>
      <c r="AN21" s="739">
        <f>Gas!E26</f>
        <v>270.2</v>
      </c>
      <c r="AO21" s="739">
        <f>Gas!G26</f>
        <v>67</v>
      </c>
      <c r="AP21" s="746">
        <f>Elect!BT25</f>
        <v>195</v>
      </c>
    </row>
    <row r="22" spans="1:42" ht="12.75" customHeight="1">
      <c r="A22" s="753" t="s">
        <v>11</v>
      </c>
      <c r="B22" s="730">
        <f t="shared" si="0"/>
        <v>21</v>
      </c>
      <c r="C22" s="772">
        <v>1</v>
      </c>
      <c r="D22" s="752">
        <v>2022</v>
      </c>
      <c r="E22" s="807"/>
      <c r="F22" s="739">
        <f>Elect!J26</f>
        <v>7603</v>
      </c>
      <c r="G22" s="739">
        <f>Elect!K26</f>
        <v>4422</v>
      </c>
      <c r="H22" s="739">
        <f>Elect!Q26</f>
        <v>510</v>
      </c>
      <c r="I22" s="739">
        <f>Elect!S26</f>
        <v>140</v>
      </c>
      <c r="J22" s="739">
        <f>Elect!U26</f>
        <v>253.14285714301514</v>
      </c>
      <c r="K22" s="739">
        <f>Elect!W26</f>
        <v>1170.77</v>
      </c>
      <c r="L22" s="739">
        <f>Elect!Y26</f>
        <v>0</v>
      </c>
      <c r="M22" s="739">
        <f>Elect!AA26</f>
        <v>0</v>
      </c>
      <c r="N22" s="739">
        <f>Elect!AC26</f>
        <v>0</v>
      </c>
      <c r="O22" s="739">
        <f>Elect!AE26</f>
        <v>13.25</v>
      </c>
      <c r="P22" s="739">
        <f>Elect!AG26</f>
        <v>12.72</v>
      </c>
      <c r="Q22" s="739">
        <f>Elect!AI26</f>
        <v>139.92000000000002</v>
      </c>
      <c r="R22" s="739">
        <f>Elect!AK26</f>
        <v>2245.61</v>
      </c>
      <c r="S22" s="739">
        <f>Elect!AM26</f>
        <v>125.61</v>
      </c>
      <c r="T22" s="739">
        <f>Elect!AP26</f>
        <v>3.9375</v>
      </c>
      <c r="U22" s="739">
        <f>Elect!AR26</f>
        <v>310</v>
      </c>
      <c r="V22" s="739">
        <f>Elect!AT26</f>
        <v>143</v>
      </c>
      <c r="W22" s="739">
        <f>Elect!AV26</f>
        <v>32</v>
      </c>
      <c r="X22" s="739">
        <f>Elect!AX26</f>
        <v>546</v>
      </c>
      <c r="Y22" s="739">
        <f>Elect!AZ26</f>
        <v>6</v>
      </c>
      <c r="Z22" s="739">
        <f>Elect!BB26</f>
        <v>4498</v>
      </c>
      <c r="AA22" s="739">
        <f>Elect!BD26</f>
        <v>192</v>
      </c>
      <c r="AB22" s="739">
        <f>Elect!BF26</f>
        <v>54</v>
      </c>
      <c r="AC22" s="739">
        <f>Elect!BH26</f>
        <v>4543.9500000000007</v>
      </c>
      <c r="AD22" s="739">
        <f>Elect!BL26</f>
        <v>60</v>
      </c>
      <c r="AE22" s="739">
        <f>Elect!BN26</f>
        <v>677</v>
      </c>
      <c r="AF22" s="739">
        <f>Elect!BP26</f>
        <v>132</v>
      </c>
      <c r="AG22" s="739">
        <f>Elect!BR26</f>
        <v>151</v>
      </c>
      <c r="AH22" s="807"/>
      <c r="AI22" s="739">
        <f>Water!C27</f>
        <v>150.79999999999998</v>
      </c>
      <c r="AJ22" s="739">
        <f>Water!E27</f>
        <v>203</v>
      </c>
      <c r="AK22" s="739">
        <f>Water!G27</f>
        <v>0</v>
      </c>
      <c r="AL22" s="807"/>
      <c r="AM22" s="739">
        <f>Gas!C27</f>
        <v>1473.4</v>
      </c>
      <c r="AN22" s="739">
        <f>Gas!E27</f>
        <v>270.2</v>
      </c>
      <c r="AO22" s="739">
        <f>Gas!G27</f>
        <v>67</v>
      </c>
      <c r="AP22" s="746">
        <f>Elect!BT26</f>
        <v>199</v>
      </c>
    </row>
    <row r="23" spans="1:42" ht="12.75" customHeight="1">
      <c r="A23" s="753" t="s">
        <v>11</v>
      </c>
      <c r="B23" s="730">
        <f t="shared" si="0"/>
        <v>22</v>
      </c>
      <c r="C23" s="772">
        <v>1</v>
      </c>
      <c r="D23" s="752">
        <v>2022</v>
      </c>
      <c r="E23" s="807"/>
      <c r="F23" s="739">
        <f>Elect!J27</f>
        <v>7748</v>
      </c>
      <c r="G23" s="739">
        <f>Elect!K27</f>
        <v>4407</v>
      </c>
      <c r="H23" s="739">
        <f>Elect!Q27</f>
        <v>510</v>
      </c>
      <c r="I23" s="739">
        <f>Elect!S27</f>
        <v>143</v>
      </c>
      <c r="J23" s="739">
        <f>Elect!U27</f>
        <v>270</v>
      </c>
      <c r="K23" s="739">
        <f>Elect!W27</f>
        <v>1025.55</v>
      </c>
      <c r="L23" s="739">
        <f>Elect!Y27</f>
        <v>0</v>
      </c>
      <c r="M23" s="739">
        <f>Elect!AA27</f>
        <v>0</v>
      </c>
      <c r="N23" s="739">
        <f>Elect!AC27</f>
        <v>0</v>
      </c>
      <c r="O23" s="739">
        <f>Elect!AE27</f>
        <v>13.780000000000001</v>
      </c>
      <c r="P23" s="739">
        <f>Elect!AG27</f>
        <v>13.25</v>
      </c>
      <c r="Q23" s="739">
        <f>Elect!AI27</f>
        <v>151.58000000000001</v>
      </c>
      <c r="R23" s="739">
        <f>Elect!AK27</f>
        <v>2163.9900000000002</v>
      </c>
      <c r="S23" s="739">
        <f>Elect!AM27</f>
        <v>149.99</v>
      </c>
      <c r="T23" s="739">
        <f>Elect!AP27</f>
        <v>4.3875000000000002</v>
      </c>
      <c r="U23" s="739">
        <f>Elect!AR27</f>
        <v>312</v>
      </c>
      <c r="V23" s="739">
        <f>Elect!AT27</f>
        <v>149</v>
      </c>
      <c r="W23" s="739">
        <f>Elect!AV27</f>
        <v>34</v>
      </c>
      <c r="X23" s="739">
        <f>Elect!AX27</f>
        <v>545</v>
      </c>
      <c r="Y23" s="739">
        <f>Elect!AZ27</f>
        <v>6</v>
      </c>
      <c r="Z23" s="739">
        <f>Elect!BB27</f>
        <v>4322</v>
      </c>
      <c r="AA23" s="739">
        <f>Elect!BD27</f>
        <v>215</v>
      </c>
      <c r="AB23" s="739">
        <f>Elect!BF27</f>
        <v>54</v>
      </c>
      <c r="AC23" s="739">
        <f>Elect!BH27</f>
        <v>5129</v>
      </c>
      <c r="AD23" s="739">
        <f>Elect!BL27</f>
        <v>62</v>
      </c>
      <c r="AE23" s="739">
        <f>Elect!BN27</f>
        <v>0</v>
      </c>
      <c r="AF23" s="739">
        <f>Elect!BP27</f>
        <v>0</v>
      </c>
      <c r="AG23" s="739">
        <f>Elect!BR27</f>
        <v>0</v>
      </c>
      <c r="AH23" s="807"/>
      <c r="AI23" s="739">
        <f>Water!C28</f>
        <v>150.79999999999998</v>
      </c>
      <c r="AJ23" s="739">
        <f>Water!E28</f>
        <v>203</v>
      </c>
      <c r="AK23" s="739">
        <f>Water!G28</f>
        <v>0</v>
      </c>
      <c r="AL23" s="807"/>
      <c r="AM23" s="739">
        <f>Gas!C28</f>
        <v>1473.4</v>
      </c>
      <c r="AN23" s="739">
        <f>Gas!E28</f>
        <v>270.2</v>
      </c>
      <c r="AO23" s="739">
        <f>Gas!G28</f>
        <v>67</v>
      </c>
      <c r="AP23" s="746">
        <f>Elect!BT27</f>
        <v>201</v>
      </c>
    </row>
    <row r="24" spans="1:42" ht="12.75" customHeight="1">
      <c r="A24" s="753" t="s">
        <v>11</v>
      </c>
      <c r="B24" s="730">
        <f t="shared" si="0"/>
        <v>23</v>
      </c>
      <c r="C24" s="772">
        <v>1</v>
      </c>
      <c r="D24" s="752">
        <v>2022</v>
      </c>
      <c r="E24" s="807"/>
      <c r="F24" s="739">
        <f>Elect!J28</f>
        <v>7641</v>
      </c>
      <c r="G24" s="739">
        <f>Elect!K28</f>
        <v>4663</v>
      </c>
      <c r="H24" s="739">
        <f>Elect!Q28</f>
        <v>540</v>
      </c>
      <c r="I24" s="739">
        <f>Elect!S28</f>
        <v>142</v>
      </c>
      <c r="J24" s="739">
        <f>Elect!U28</f>
        <v>271</v>
      </c>
      <c r="K24" s="739">
        <f>Elect!W28</f>
        <v>909.48</v>
      </c>
      <c r="L24" s="739">
        <f>Elect!Y28</f>
        <v>0</v>
      </c>
      <c r="M24" s="739">
        <f>Elect!AA28</f>
        <v>0</v>
      </c>
      <c r="N24" s="739">
        <f>Elect!AC28</f>
        <v>0</v>
      </c>
      <c r="O24" s="739">
        <f>Elect!AE28</f>
        <v>13.780000000000001</v>
      </c>
      <c r="P24" s="739">
        <f>Elect!AG28</f>
        <v>13.25</v>
      </c>
      <c r="Q24" s="739">
        <f>Elect!AI28</f>
        <v>278.25</v>
      </c>
      <c r="R24" s="739">
        <f>Elect!AK28</f>
        <v>2231.83</v>
      </c>
      <c r="S24" s="739">
        <f>Elect!AM28</f>
        <v>160.06</v>
      </c>
      <c r="T24" s="739">
        <f>Elect!AP28</f>
        <v>4.3875000000000002</v>
      </c>
      <c r="U24" s="739">
        <f>Elect!AR28</f>
        <v>315</v>
      </c>
      <c r="V24" s="739">
        <f>Elect!AT28</f>
        <v>148</v>
      </c>
      <c r="W24" s="739">
        <f>Elect!AV28</f>
        <v>39</v>
      </c>
      <c r="X24" s="739">
        <f>Elect!AX28</f>
        <v>580</v>
      </c>
      <c r="Y24" s="739">
        <f>Elect!AZ28</f>
        <v>10</v>
      </c>
      <c r="Z24" s="739">
        <f>Elect!BB28</f>
        <v>4516</v>
      </c>
      <c r="AA24" s="739">
        <f>Elect!BD28</f>
        <v>236</v>
      </c>
      <c r="AB24" s="739">
        <f>Elect!BF28</f>
        <v>54</v>
      </c>
      <c r="AC24" s="739">
        <f>Elect!BH28</f>
        <v>4616.75</v>
      </c>
      <c r="AD24" s="739">
        <f>Elect!BL28</f>
        <v>60</v>
      </c>
      <c r="AE24" s="739">
        <f>Elect!BN28</f>
        <v>660</v>
      </c>
      <c r="AF24" s="739">
        <f>Elect!BP28</f>
        <v>145</v>
      </c>
      <c r="AG24" s="739">
        <f>Elect!BR28</f>
        <v>152</v>
      </c>
      <c r="AH24" s="807"/>
      <c r="AI24" s="739">
        <f>Water!C29</f>
        <v>121.8</v>
      </c>
      <c r="AJ24" s="739">
        <f>Water!E29</f>
        <v>145</v>
      </c>
      <c r="AK24" s="739">
        <f>Water!G29</f>
        <v>0</v>
      </c>
      <c r="AL24" s="807"/>
      <c r="AM24" s="739">
        <f>Gas!C29</f>
        <v>1473.4</v>
      </c>
      <c r="AN24" s="739">
        <f>Gas!E29</f>
        <v>270.2</v>
      </c>
      <c r="AO24" s="739">
        <f>Gas!G29</f>
        <v>67</v>
      </c>
      <c r="AP24" s="746">
        <f>Elect!BT28</f>
        <v>220</v>
      </c>
    </row>
    <row r="25" spans="1:42" ht="12.75" customHeight="1">
      <c r="A25" s="753" t="s">
        <v>11</v>
      </c>
      <c r="B25" s="730">
        <f t="shared" si="0"/>
        <v>24</v>
      </c>
      <c r="C25" s="772">
        <v>1</v>
      </c>
      <c r="D25" s="752">
        <v>2022</v>
      </c>
      <c r="E25" s="807"/>
      <c r="F25" s="739">
        <f>Elect!J29</f>
        <v>7140</v>
      </c>
      <c r="G25" s="739">
        <f>Elect!K29</f>
        <v>4400</v>
      </c>
      <c r="H25" s="739">
        <f>Elect!Q29</f>
        <v>480</v>
      </c>
      <c r="I25" s="739">
        <f>Elect!S29</f>
        <v>139</v>
      </c>
      <c r="J25" s="739">
        <f>Elect!U29</f>
        <v>261</v>
      </c>
      <c r="K25" s="739">
        <f>Elect!W29</f>
        <v>853.83</v>
      </c>
      <c r="L25" s="739">
        <f>Elect!Y29</f>
        <v>0</v>
      </c>
      <c r="M25" s="739">
        <f>Elect!AA29</f>
        <v>0</v>
      </c>
      <c r="N25" s="739">
        <f>Elect!AC29</f>
        <v>0</v>
      </c>
      <c r="O25" s="739">
        <f>Elect!AE29</f>
        <v>13.25</v>
      </c>
      <c r="P25" s="739">
        <f>Elect!AG29</f>
        <v>12.72</v>
      </c>
      <c r="Q25" s="739">
        <f>Elect!AI29</f>
        <v>357.75</v>
      </c>
      <c r="R25" s="739">
        <f>Elect!AK29</f>
        <v>2068.06</v>
      </c>
      <c r="S25" s="739">
        <f>Elect!AM29</f>
        <v>154.23000000000002</v>
      </c>
      <c r="T25" s="739">
        <f>Elect!AP29</f>
        <v>4.6124999999999998</v>
      </c>
      <c r="U25" s="739">
        <f>Elect!AR29</f>
        <v>318</v>
      </c>
      <c r="V25" s="739">
        <f>Elect!AT29</f>
        <v>129</v>
      </c>
      <c r="W25" s="739">
        <f>Elect!AV29</f>
        <v>39</v>
      </c>
      <c r="X25" s="739">
        <f>Elect!AX29</f>
        <v>554</v>
      </c>
      <c r="Y25" s="739">
        <f>Elect!AZ29</f>
        <v>2</v>
      </c>
      <c r="Z25" s="739">
        <f>Elect!BB29</f>
        <v>4292</v>
      </c>
      <c r="AA25" s="739">
        <f>Elect!BD29</f>
        <v>233</v>
      </c>
      <c r="AB25" s="739">
        <f>Elect!BF29</f>
        <v>56</v>
      </c>
      <c r="AC25" s="739">
        <f>Elect!BH29</f>
        <v>4673.1000000000004</v>
      </c>
      <c r="AD25" s="739">
        <f>Elect!BL29</f>
        <v>50</v>
      </c>
      <c r="AE25" s="739">
        <f>Elect!BN29</f>
        <v>736</v>
      </c>
      <c r="AF25" s="739">
        <f>Elect!BP29</f>
        <v>146</v>
      </c>
      <c r="AG25" s="739">
        <f>Elect!BR29</f>
        <v>156</v>
      </c>
      <c r="AH25" s="807"/>
      <c r="AI25" s="739">
        <f>Water!C30</f>
        <v>57.999999999999993</v>
      </c>
      <c r="AJ25" s="739">
        <f>Water!E30</f>
        <v>98.6</v>
      </c>
      <c r="AK25" s="739">
        <f>Water!G30</f>
        <v>0</v>
      </c>
      <c r="AL25" s="807"/>
      <c r="AM25" s="739">
        <f>Gas!C30</f>
        <v>1473.4</v>
      </c>
      <c r="AN25" s="739">
        <f>Gas!E30</f>
        <v>270.2</v>
      </c>
      <c r="AO25" s="739">
        <f>Gas!G30</f>
        <v>67</v>
      </c>
      <c r="AP25" s="746">
        <f>Elect!BT29</f>
        <v>202</v>
      </c>
    </row>
    <row r="26" spans="1:42" ht="12.75" customHeight="1">
      <c r="A26" s="753" t="s">
        <v>11</v>
      </c>
      <c r="B26" s="730">
        <f>B25+1</f>
        <v>25</v>
      </c>
      <c r="C26" s="772">
        <v>1</v>
      </c>
      <c r="D26" s="752">
        <v>2022</v>
      </c>
      <c r="E26" s="807"/>
      <c r="F26" s="739">
        <f>Elect!J30</f>
        <v>7420</v>
      </c>
      <c r="G26" s="739">
        <f>Elect!K30</f>
        <v>4362</v>
      </c>
      <c r="H26" s="739">
        <f>Elect!Q30</f>
        <v>540</v>
      </c>
      <c r="I26" s="739">
        <f>Elect!S30</f>
        <v>143</v>
      </c>
      <c r="J26" s="739">
        <f>Elect!U30</f>
        <v>273</v>
      </c>
      <c r="K26" s="739">
        <f>Elect!W30</f>
        <v>631.23</v>
      </c>
      <c r="L26" s="739">
        <f>Elect!Y30</f>
        <v>0</v>
      </c>
      <c r="M26" s="739">
        <f>Elect!AA30</f>
        <v>0</v>
      </c>
      <c r="N26" s="739">
        <f>Elect!AC30</f>
        <v>0</v>
      </c>
      <c r="O26" s="739">
        <f>Elect!AE30</f>
        <v>14.31</v>
      </c>
      <c r="P26" s="739">
        <f>Elect!AG30</f>
        <v>13.780000000000001</v>
      </c>
      <c r="Q26" s="739">
        <f>Elect!AI30</f>
        <v>412.87</v>
      </c>
      <c r="R26" s="739">
        <f>Elect!AK30</f>
        <v>2094.0300000000002</v>
      </c>
      <c r="S26" s="739">
        <f>Elect!AM30</f>
        <v>152.64000000000001</v>
      </c>
      <c r="T26" s="739">
        <f>Elect!AP30</f>
        <v>4.5</v>
      </c>
      <c r="U26" s="739">
        <f>Elect!AR30</f>
        <v>310</v>
      </c>
      <c r="V26" s="739">
        <f>Elect!AT30</f>
        <v>135</v>
      </c>
      <c r="W26" s="739">
        <f>Elect!AV30</f>
        <v>39</v>
      </c>
      <c r="X26" s="739">
        <f>Elect!AX30</f>
        <v>552</v>
      </c>
      <c r="Y26" s="739">
        <f>Elect!AZ30</f>
        <v>6</v>
      </c>
      <c r="Z26" s="739">
        <f>Elect!BB30</f>
        <v>4382</v>
      </c>
      <c r="AA26" s="739">
        <f>Elect!BD30</f>
        <v>223</v>
      </c>
      <c r="AB26" s="739">
        <f>Elect!BF30</f>
        <v>53</v>
      </c>
      <c r="AC26" s="739">
        <f>Elect!BH30</f>
        <v>4772.3</v>
      </c>
      <c r="AD26" s="739">
        <f>Elect!BL30</f>
        <v>63</v>
      </c>
      <c r="AE26" s="739">
        <f>Elect!BN30</f>
        <v>817</v>
      </c>
      <c r="AF26" s="739">
        <f>Elect!BP30</f>
        <v>149</v>
      </c>
      <c r="AG26" s="739">
        <f>Elect!BR30</f>
        <v>157</v>
      </c>
      <c r="AH26" s="807"/>
      <c r="AI26" s="739">
        <f>Water!C31</f>
        <v>110.19999999999999</v>
      </c>
      <c r="AJ26" s="739">
        <f>Water!E31</f>
        <v>115.99999999999999</v>
      </c>
      <c r="AK26" s="739">
        <f>Water!G31</f>
        <v>6.9599999999999991</v>
      </c>
      <c r="AL26" s="807"/>
      <c r="AM26" s="739">
        <f>Gas!C31</f>
        <v>1473.4</v>
      </c>
      <c r="AN26" s="739">
        <f>Gas!E31</f>
        <v>615.29999999999995</v>
      </c>
      <c r="AO26" s="739">
        <f>Gas!G31</f>
        <v>198</v>
      </c>
      <c r="AP26" s="746">
        <f>Elect!BT30</f>
        <v>201</v>
      </c>
    </row>
    <row r="27" spans="1:42" ht="12.75" customHeight="1">
      <c r="A27" s="753" t="s">
        <v>11</v>
      </c>
      <c r="B27" s="730">
        <f t="shared" si="0"/>
        <v>26</v>
      </c>
      <c r="C27" s="772">
        <v>1</v>
      </c>
      <c r="D27" s="752">
        <v>2022</v>
      </c>
      <c r="E27" s="807"/>
      <c r="F27" s="739">
        <f>Elect!J31</f>
        <v>8640</v>
      </c>
      <c r="G27" s="739">
        <f>Elect!K31</f>
        <v>5326</v>
      </c>
      <c r="H27" s="739">
        <f>Elect!Q31</f>
        <v>540</v>
      </c>
      <c r="I27" s="739">
        <f>Elect!S31</f>
        <v>144</v>
      </c>
      <c r="J27" s="739">
        <f>Elect!U31</f>
        <v>272</v>
      </c>
      <c r="K27" s="739">
        <f>Elect!W31</f>
        <v>728.75</v>
      </c>
      <c r="L27" s="739">
        <f>Elect!Y31</f>
        <v>0</v>
      </c>
      <c r="M27" s="739">
        <f>Elect!AA31</f>
        <v>0</v>
      </c>
      <c r="N27" s="739">
        <f>Elect!AC31</f>
        <v>0</v>
      </c>
      <c r="O27" s="739">
        <f>Elect!AE31</f>
        <v>14.31</v>
      </c>
      <c r="P27" s="739">
        <f>Elect!AG31</f>
        <v>13.780000000000001</v>
      </c>
      <c r="Q27" s="739">
        <f>Elect!AI31</f>
        <v>243.8</v>
      </c>
      <c r="R27" s="739">
        <f>Elect!AK31</f>
        <v>2215.4</v>
      </c>
      <c r="S27" s="739">
        <f>Elect!AM31</f>
        <v>168.01000000000002</v>
      </c>
      <c r="T27" s="739">
        <f>Elect!AP31</f>
        <v>3.9375</v>
      </c>
      <c r="U27" s="739">
        <f>Elect!AR31</f>
        <v>326</v>
      </c>
      <c r="V27" s="739">
        <f>Elect!AT31</f>
        <v>121</v>
      </c>
      <c r="W27" s="739">
        <f>Elect!AV31</f>
        <v>42</v>
      </c>
      <c r="X27" s="739">
        <f>Elect!AX31</f>
        <v>579</v>
      </c>
      <c r="Y27" s="739">
        <f>Elect!AZ31</f>
        <v>6</v>
      </c>
      <c r="Z27" s="739">
        <f>Elect!BB31</f>
        <v>4365</v>
      </c>
      <c r="AA27" s="739">
        <f>Elect!BD31</f>
        <v>235</v>
      </c>
      <c r="AB27" s="739">
        <f>Elect!BF31</f>
        <v>54</v>
      </c>
      <c r="AC27" s="739">
        <f>Elect!BH31</f>
        <v>4821.8</v>
      </c>
      <c r="AD27" s="739">
        <f>Elect!BL31</f>
        <v>61</v>
      </c>
      <c r="AE27" s="739">
        <f>Elect!BN31</f>
        <v>849</v>
      </c>
      <c r="AF27" s="739">
        <f>Elect!BP31</f>
        <v>147</v>
      </c>
      <c r="AG27" s="739">
        <f>Elect!BR31</f>
        <v>155</v>
      </c>
      <c r="AH27" s="807"/>
      <c r="AI27" s="739">
        <f>Water!C32</f>
        <v>121.8</v>
      </c>
      <c r="AJ27" s="739">
        <f>Water!E32</f>
        <v>168.2</v>
      </c>
      <c r="AK27" s="739">
        <f>Water!G32</f>
        <v>0.57999999999999996</v>
      </c>
      <c r="AL27" s="807"/>
      <c r="AM27" s="739">
        <f>Gas!C32</f>
        <v>1473.4</v>
      </c>
      <c r="AN27" s="739">
        <f>Gas!E32</f>
        <v>266.7</v>
      </c>
      <c r="AO27" s="739">
        <f>Gas!G32</f>
        <v>42</v>
      </c>
      <c r="AP27" s="746">
        <f>Elect!BT31</f>
        <v>209</v>
      </c>
    </row>
    <row r="28" spans="1:42" ht="12.75" customHeight="1">
      <c r="A28" s="753" t="s">
        <v>11</v>
      </c>
      <c r="B28" s="730">
        <f t="shared" si="0"/>
        <v>27</v>
      </c>
      <c r="C28" s="772">
        <v>1</v>
      </c>
      <c r="D28" s="752">
        <v>2022</v>
      </c>
      <c r="E28" s="807"/>
      <c r="F28" s="739">
        <f>Elect!J32</f>
        <v>7676</v>
      </c>
      <c r="G28" s="739">
        <f>Elect!K32</f>
        <v>4472</v>
      </c>
      <c r="H28" s="739">
        <f>Elect!Q32</f>
        <v>600</v>
      </c>
      <c r="I28" s="739">
        <f>Elect!S32</f>
        <v>129</v>
      </c>
      <c r="J28" s="739">
        <f>Elect!U32</f>
        <v>240</v>
      </c>
      <c r="K28" s="739">
        <f>Elect!W32</f>
        <v>720.80000000000007</v>
      </c>
      <c r="L28" s="739">
        <f>Elect!Y32</f>
        <v>0</v>
      </c>
      <c r="M28" s="739">
        <f>Elect!AA32</f>
        <v>0</v>
      </c>
      <c r="N28" s="739">
        <f>Elect!AC32</f>
        <v>0</v>
      </c>
      <c r="O28" s="739">
        <f>Elect!AE32</f>
        <v>12.190000000000001</v>
      </c>
      <c r="P28" s="739">
        <f>Elect!AG32</f>
        <v>11.66</v>
      </c>
      <c r="Q28" s="739">
        <f>Elect!AI32</f>
        <v>119.25</v>
      </c>
      <c r="R28" s="739">
        <f>Elect!AK32</f>
        <v>1912.24</v>
      </c>
      <c r="S28" s="739">
        <f>Elect!AM32</f>
        <v>140.98000000000002</v>
      </c>
      <c r="T28" s="739">
        <f>Elect!AP32</f>
        <v>4.3875000000000002</v>
      </c>
      <c r="U28" s="739">
        <f>Elect!AR32</f>
        <v>323</v>
      </c>
      <c r="V28" s="739">
        <f>Elect!AT32</f>
        <v>106</v>
      </c>
      <c r="W28" s="739">
        <f>Elect!AV32</f>
        <v>33</v>
      </c>
      <c r="X28" s="739">
        <f>Elect!AX32</f>
        <v>493</v>
      </c>
      <c r="Y28" s="739">
        <f>Elect!AZ32</f>
        <v>6</v>
      </c>
      <c r="Z28" s="739">
        <f>Elect!BB32</f>
        <v>3384</v>
      </c>
      <c r="AA28" s="739">
        <f>Elect!BD32</f>
        <v>182</v>
      </c>
      <c r="AB28" s="739">
        <f>Elect!BF32</f>
        <v>54</v>
      </c>
      <c r="AC28" s="739">
        <f>Elect!BH32</f>
        <v>4448.4000000000005</v>
      </c>
      <c r="AD28" s="739">
        <f>Elect!BL32</f>
        <v>55</v>
      </c>
      <c r="AE28" s="739">
        <f>Elect!BN32</f>
        <v>756</v>
      </c>
      <c r="AF28" s="739">
        <f>Elect!BP32</f>
        <v>132</v>
      </c>
      <c r="AG28" s="739">
        <f>Elect!BR32</f>
        <v>137</v>
      </c>
      <c r="AH28" s="807"/>
      <c r="AI28" s="739">
        <f>Water!C33</f>
        <v>104.39999999999999</v>
      </c>
      <c r="AJ28" s="739">
        <f>Water!E33</f>
        <v>139.19999999999999</v>
      </c>
      <c r="AK28" s="739">
        <f>Water!G33</f>
        <v>0.57999999999999996</v>
      </c>
      <c r="AL28" s="807"/>
      <c r="AM28" s="739">
        <f>Gas!C33</f>
        <v>1473.4</v>
      </c>
      <c r="AN28" s="739">
        <f>Gas!E33</f>
        <v>343.7</v>
      </c>
      <c r="AO28" s="739">
        <f>Gas!G33</f>
        <v>87</v>
      </c>
      <c r="AP28" s="746">
        <f>Elect!BT32</f>
        <v>222</v>
      </c>
    </row>
    <row r="29" spans="1:42" ht="12.75" customHeight="1">
      <c r="A29" s="753" t="s">
        <v>11</v>
      </c>
      <c r="B29" s="730">
        <f t="shared" si="0"/>
        <v>28</v>
      </c>
      <c r="C29" s="772">
        <v>1</v>
      </c>
      <c r="D29" s="752">
        <v>2022</v>
      </c>
      <c r="E29" s="807"/>
      <c r="F29" s="739">
        <f>Elect!J33</f>
        <v>8058</v>
      </c>
      <c r="G29" s="739">
        <f>Elect!K33</f>
        <v>4810</v>
      </c>
      <c r="H29" s="739">
        <f>Elect!Q33</f>
        <v>630</v>
      </c>
      <c r="I29" s="739">
        <f>Elect!S33</f>
        <v>142</v>
      </c>
      <c r="J29" s="739">
        <f>Elect!U33</f>
        <v>266</v>
      </c>
      <c r="K29" s="739">
        <f>Elect!W33</f>
        <v>943.40000000000009</v>
      </c>
      <c r="L29" s="739">
        <f>Elect!Y33</f>
        <v>0</v>
      </c>
      <c r="M29" s="739">
        <f>Elect!AA33</f>
        <v>0</v>
      </c>
      <c r="N29" s="739">
        <f>Elect!AC33</f>
        <v>0</v>
      </c>
      <c r="O29" s="739">
        <f>Elect!AE33</f>
        <v>13.25</v>
      </c>
      <c r="P29" s="739">
        <f>Elect!AG33</f>
        <v>12.72</v>
      </c>
      <c r="Q29" s="739">
        <f>Elect!AI33</f>
        <v>129.32</v>
      </c>
      <c r="R29" s="739">
        <f>Elect!AK33</f>
        <v>2138.02</v>
      </c>
      <c r="S29" s="739">
        <f>Elect!AM33</f>
        <v>162.18</v>
      </c>
      <c r="T29" s="739">
        <f>Elect!AP33</f>
        <v>4.8375000000000004</v>
      </c>
      <c r="U29" s="739">
        <f>Elect!AR33</f>
        <v>336</v>
      </c>
      <c r="V29" s="739">
        <f>Elect!AT33</f>
        <v>120</v>
      </c>
      <c r="W29" s="739">
        <f>Elect!AV33</f>
        <v>34</v>
      </c>
      <c r="X29" s="739">
        <f>Elect!AX33</f>
        <v>553</v>
      </c>
      <c r="Y29" s="739">
        <f>Elect!AZ33</f>
        <v>6</v>
      </c>
      <c r="Z29" s="739">
        <f>Elect!BB33</f>
        <v>4937</v>
      </c>
      <c r="AA29" s="739">
        <f>Elect!BD33</f>
        <v>214</v>
      </c>
      <c r="AB29" s="739">
        <f>Elect!BF33</f>
        <v>45</v>
      </c>
      <c r="AC29" s="739">
        <f>Elect!BH33</f>
        <v>4867.4000000000005</v>
      </c>
      <c r="AD29" s="739">
        <f>Elect!BL33</f>
        <v>64</v>
      </c>
      <c r="AE29" s="739">
        <f>Elect!BN33</f>
        <v>867</v>
      </c>
      <c r="AF29" s="739">
        <f>Elect!BP33</f>
        <v>161</v>
      </c>
      <c r="AG29" s="739">
        <f>Elect!BR33</f>
        <v>138</v>
      </c>
      <c r="AH29" s="807"/>
      <c r="AI29" s="739">
        <f>Water!C34</f>
        <v>174</v>
      </c>
      <c r="AJ29" s="739">
        <f>Water!E34</f>
        <v>208.79999999999998</v>
      </c>
      <c r="AK29" s="739">
        <f>Water!G34</f>
        <v>0.57999999999999996</v>
      </c>
      <c r="AL29" s="807"/>
      <c r="AM29" s="739">
        <f>Gas!C34</f>
        <v>1473.4</v>
      </c>
      <c r="AN29" s="739">
        <f>Gas!E34</f>
        <v>581</v>
      </c>
      <c r="AO29" s="739">
        <f>Gas!G34</f>
        <v>160</v>
      </c>
      <c r="AP29" s="746">
        <f>Elect!BT33</f>
        <v>229</v>
      </c>
    </row>
    <row r="30" spans="1:42" ht="12.75" customHeight="1">
      <c r="A30" s="753" t="s">
        <v>11</v>
      </c>
      <c r="B30" s="730">
        <f t="shared" si="0"/>
        <v>29</v>
      </c>
      <c r="C30" s="772">
        <v>1</v>
      </c>
      <c r="D30" s="752">
        <v>2022</v>
      </c>
      <c r="E30" s="807"/>
      <c r="F30" s="739">
        <f>Elect!J34</f>
        <v>7572</v>
      </c>
      <c r="G30" s="739">
        <f>Elect!K34</f>
        <v>4537</v>
      </c>
      <c r="H30" s="739">
        <f>Elect!Q34</f>
        <v>570</v>
      </c>
      <c r="I30" s="739">
        <f>Elect!S34</f>
        <v>144</v>
      </c>
      <c r="J30" s="739">
        <f>Elect!U34</f>
        <v>269</v>
      </c>
      <c r="K30" s="739">
        <f>Elect!W34</f>
        <v>1052.5800000000002</v>
      </c>
      <c r="L30" s="739">
        <f>Elect!Y34</f>
        <v>0</v>
      </c>
      <c r="M30" s="739">
        <f>Elect!AA34</f>
        <v>0</v>
      </c>
      <c r="N30" s="739">
        <f>Elect!AC34</f>
        <v>0</v>
      </c>
      <c r="O30" s="739">
        <f>Elect!AE34</f>
        <v>13.25</v>
      </c>
      <c r="P30" s="739">
        <f>Elect!AG34</f>
        <v>13.780000000000001</v>
      </c>
      <c r="Q30" s="739">
        <f>Elect!AI34</f>
        <v>130.91</v>
      </c>
      <c r="R30" s="739">
        <f>Elect!AK34</f>
        <v>2166.6400000000003</v>
      </c>
      <c r="S30" s="739">
        <f>Elect!AM34</f>
        <v>152.64000000000001</v>
      </c>
      <c r="T30" s="739">
        <f>Elect!AP34</f>
        <v>4.3875000000000002</v>
      </c>
      <c r="U30" s="739">
        <f>Elect!AR34</f>
        <v>297</v>
      </c>
      <c r="V30" s="739">
        <f>Elect!AT34</f>
        <v>135</v>
      </c>
      <c r="W30" s="739">
        <f>Elect!AV34</f>
        <v>38</v>
      </c>
      <c r="X30" s="739">
        <f>Elect!AX34</f>
        <v>566</v>
      </c>
      <c r="Y30" s="739">
        <f>Elect!AZ34</f>
        <v>6</v>
      </c>
      <c r="Z30" s="739">
        <f>Elect!BB34</f>
        <v>2686</v>
      </c>
      <c r="AA30" s="739">
        <f>Elect!BD34</f>
        <v>184</v>
      </c>
      <c r="AB30" s="739">
        <f>Elect!BF34</f>
        <v>58</v>
      </c>
      <c r="AC30" s="739">
        <f>Elect!BH34</f>
        <v>4443.6499999999996</v>
      </c>
      <c r="AD30" s="739">
        <f>Elect!BL34</f>
        <v>59</v>
      </c>
      <c r="AE30" s="739">
        <f>Elect!BN34</f>
        <v>619</v>
      </c>
      <c r="AF30" s="739">
        <f>Elect!BP34</f>
        <v>144</v>
      </c>
      <c r="AG30" s="739">
        <f>Elect!BR34</f>
        <v>133</v>
      </c>
      <c r="AH30" s="807"/>
      <c r="AI30" s="739">
        <f>Water!C35</f>
        <v>145</v>
      </c>
      <c r="AJ30" s="739">
        <f>Water!E35</f>
        <v>191.39999999999998</v>
      </c>
      <c r="AK30" s="739">
        <f>Water!G35</f>
        <v>0</v>
      </c>
      <c r="AL30" s="807"/>
      <c r="AM30" s="739">
        <f>Gas!C35</f>
        <v>1473.4</v>
      </c>
      <c r="AN30" s="739">
        <f>Gas!E35</f>
        <v>228.89999999999998</v>
      </c>
      <c r="AO30" s="739">
        <f>Gas!G35</f>
        <v>101</v>
      </c>
      <c r="AP30" s="746">
        <f>Elect!BT34</f>
        <v>203</v>
      </c>
    </row>
    <row r="31" spans="1:42" ht="12.75" customHeight="1">
      <c r="A31" s="753" t="s">
        <v>11</v>
      </c>
      <c r="B31" s="730">
        <f t="shared" si="0"/>
        <v>30</v>
      </c>
      <c r="C31" s="772">
        <v>1</v>
      </c>
      <c r="D31" s="752">
        <v>2022</v>
      </c>
      <c r="E31" s="807"/>
      <c r="F31" s="739">
        <f>Elect!J35</f>
        <v>7537</v>
      </c>
      <c r="G31" s="739">
        <f>Elect!K35</f>
        <v>4526</v>
      </c>
      <c r="H31" s="739">
        <f>Elect!Q35</f>
        <v>360</v>
      </c>
      <c r="I31" s="739">
        <f>Elect!S35</f>
        <v>141</v>
      </c>
      <c r="J31" s="739">
        <f>Elect!U35</f>
        <v>267</v>
      </c>
      <c r="K31" s="739">
        <f>Elect!W35</f>
        <v>1112.47</v>
      </c>
      <c r="L31" s="739">
        <f>Elect!Y35</f>
        <v>39.75</v>
      </c>
      <c r="M31" s="739">
        <f>Elect!AA35</f>
        <v>0</v>
      </c>
      <c r="N31" s="739">
        <f>Elect!AC35</f>
        <v>0</v>
      </c>
      <c r="O31" s="739">
        <f>Elect!AE35</f>
        <v>13.25</v>
      </c>
      <c r="P31" s="739">
        <f>Elect!AG35</f>
        <v>12.72</v>
      </c>
      <c r="Q31" s="739">
        <f>Elect!AI35</f>
        <v>133.03</v>
      </c>
      <c r="R31" s="739">
        <f>Elect!AK35</f>
        <v>2096.15</v>
      </c>
      <c r="S31" s="739">
        <f>Elect!AM35</f>
        <v>156.88</v>
      </c>
      <c r="T31" s="739">
        <f>Elect!AP35</f>
        <v>4.3875000000000002</v>
      </c>
      <c r="U31" s="739">
        <f>Elect!AR35</f>
        <v>329</v>
      </c>
      <c r="V31" s="739">
        <f>Elect!AT35</f>
        <v>131</v>
      </c>
      <c r="W31" s="739">
        <f>Elect!AV35</f>
        <v>45</v>
      </c>
      <c r="X31" s="739">
        <f>Elect!AX35</f>
        <v>567</v>
      </c>
      <c r="Y31" s="739">
        <f>Elect!AZ35</f>
        <v>6</v>
      </c>
      <c r="Z31" s="739">
        <f>Elect!BB35</f>
        <v>4007</v>
      </c>
      <c r="AA31" s="739">
        <f>Elect!BD35</f>
        <v>219</v>
      </c>
      <c r="AB31" s="739">
        <f>Elect!BF35</f>
        <v>53</v>
      </c>
      <c r="AC31" s="739">
        <f>Elect!BH35</f>
        <v>4636.5</v>
      </c>
      <c r="AD31" s="739">
        <f>Elect!BL35</f>
        <v>60</v>
      </c>
      <c r="AE31" s="739">
        <f>Elect!BN35</f>
        <v>828</v>
      </c>
      <c r="AF31" s="739">
        <f>Elect!BP35</f>
        <v>142</v>
      </c>
      <c r="AG31" s="739">
        <f>Elect!BR35</f>
        <v>120</v>
      </c>
      <c r="AH31" s="807"/>
      <c r="AI31" s="739">
        <f>Water!C36</f>
        <v>115.99999999999999</v>
      </c>
      <c r="AJ31" s="739">
        <f>Water!E36</f>
        <v>145</v>
      </c>
      <c r="AK31" s="739">
        <f>Water!G36</f>
        <v>0</v>
      </c>
      <c r="AL31" s="807"/>
      <c r="AM31" s="739">
        <f>Gas!C36</f>
        <v>1473.4</v>
      </c>
      <c r="AN31" s="739">
        <f>Gas!E36</f>
        <v>581.69999999999993</v>
      </c>
      <c r="AO31" s="739">
        <f>Gas!G36</f>
        <v>91</v>
      </c>
      <c r="AP31" s="746">
        <f>Elect!BT35</f>
        <v>187</v>
      </c>
    </row>
    <row r="32" spans="1:42" ht="12.75" customHeight="1">
      <c r="A32" s="754" t="s">
        <v>11</v>
      </c>
      <c r="B32" s="755">
        <f>B31+1</f>
        <v>31</v>
      </c>
      <c r="C32" s="772">
        <v>1</v>
      </c>
      <c r="D32" s="752">
        <v>2022</v>
      </c>
      <c r="E32" s="808"/>
      <c r="F32" s="739">
        <f>Elect!J36</f>
        <v>8003</v>
      </c>
      <c r="G32" s="739">
        <f>Elect!K36</f>
        <v>4648</v>
      </c>
      <c r="H32" s="739">
        <f>Elect!Q36</f>
        <v>630</v>
      </c>
      <c r="I32" s="739">
        <f>Elect!S36</f>
        <v>138</v>
      </c>
      <c r="J32" s="739">
        <f>Elect!U36</f>
        <v>267.5</v>
      </c>
      <c r="K32" s="739">
        <f>Elect!W36</f>
        <v>512.51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13.780000000000001</v>
      </c>
      <c r="P32" s="739">
        <f>Elect!AG36</f>
        <v>12.72</v>
      </c>
      <c r="Q32" s="739">
        <f>Elect!AI36</f>
        <v>402.27000000000004</v>
      </c>
      <c r="R32" s="739">
        <f>Elect!AK36</f>
        <v>2076.0100000000002</v>
      </c>
      <c r="S32" s="739">
        <f>Elect!AM36</f>
        <v>154.76000000000002</v>
      </c>
      <c r="T32" s="739">
        <f>Elect!AP36</f>
        <v>4.3875000000000002</v>
      </c>
      <c r="U32" s="739">
        <f>Elect!AR36</f>
        <v>320</v>
      </c>
      <c r="V32" s="739">
        <f>Elect!AT36</f>
        <v>114</v>
      </c>
      <c r="W32" s="739">
        <f>Elect!AV36</f>
        <v>33</v>
      </c>
      <c r="X32" s="739">
        <f>Elect!AX36</f>
        <v>532</v>
      </c>
      <c r="Y32" s="739">
        <f>Elect!AZ36</f>
        <v>6</v>
      </c>
      <c r="Z32" s="739">
        <f>Elect!BB36</f>
        <v>4266</v>
      </c>
      <c r="AA32" s="739">
        <f>Elect!BD36</f>
        <v>209</v>
      </c>
      <c r="AB32" s="739">
        <f>Elect!BF36</f>
        <v>52</v>
      </c>
      <c r="AC32" s="739">
        <f>Elect!BH36</f>
        <v>4685.3499999999995</v>
      </c>
      <c r="AD32" s="739">
        <f>Elect!BL36</f>
        <v>59</v>
      </c>
      <c r="AE32" s="739">
        <f>Elect!BN36</f>
        <v>789</v>
      </c>
      <c r="AF32" s="739">
        <f>Elect!BP36</f>
        <v>148</v>
      </c>
      <c r="AG32" s="739">
        <f>Elect!BR36</f>
        <v>139</v>
      </c>
      <c r="AH32" s="808"/>
      <c r="AI32" s="739">
        <f>Water!C37</f>
        <v>121.8</v>
      </c>
      <c r="AJ32" s="739">
        <f>Water!E37</f>
        <v>162.39999999999998</v>
      </c>
      <c r="AK32" s="739">
        <f>Water!G37</f>
        <v>0</v>
      </c>
      <c r="AL32" s="808"/>
      <c r="AM32" s="739">
        <f>Gas!C37</f>
        <v>1473.4</v>
      </c>
      <c r="AN32" s="739">
        <f>Gas!E37</f>
        <v>396.9</v>
      </c>
      <c r="AO32" s="739">
        <f>Gas!G37</f>
        <v>81</v>
      </c>
      <c r="AP32" s="746">
        <f>Elect!BT36</f>
        <v>190</v>
      </c>
    </row>
    <row r="33" spans="39:41">
      <c r="AM33" s="736"/>
      <c r="AN33" s="736"/>
      <c r="AO33" s="736"/>
    </row>
  </sheetData>
  <sheetProtection algorithmName="SHA-512" hashValue="pvQ5sdqPfW+QynVybl8FBGNAopoJ297QWycYqkftrO9LrYvPS92mikSw3+wIUEwuhg3pM9xIzrtEkpMjp2m2fQ==" saltValue="AEqunqmV3HQ+XYRTKpRmV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AM5" activePane="bottomRight" state="frozen"/>
      <selection pane="bottomRight" activeCell="BK8" sqref="BK8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31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33" t="s">
        <v>14</v>
      </c>
      <c r="N1" s="833"/>
      <c r="O1" s="833"/>
      <c r="Q1" s="833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787"/>
      <c r="BK1" s="530"/>
      <c r="BL1" s="530"/>
      <c r="BM1" s="787"/>
      <c r="BN1" s="787"/>
      <c r="BO1" s="528"/>
      <c r="BP1" s="809" t="s">
        <v>52</v>
      </c>
      <c r="BQ1" s="810"/>
      <c r="BR1" s="565">
        <v>1.6</v>
      </c>
      <c r="BS1" s="562" t="s">
        <v>53</v>
      </c>
      <c r="BT1" s="563"/>
      <c r="BU1" s="811" t="s">
        <v>54</v>
      </c>
      <c r="BV1" s="812"/>
      <c r="BW1" s="565">
        <v>500</v>
      </c>
      <c r="BX1" s="809" t="s">
        <v>55</v>
      </c>
      <c r="BY1" s="810"/>
      <c r="BZ1" s="565">
        <v>1.1499999999999999</v>
      </c>
    </row>
    <row r="2" spans="1:78" ht="28.5" hidden="1" customHeight="1" thickBot="1">
      <c r="A2" s="832"/>
      <c r="B2" s="114"/>
      <c r="C2" s="28"/>
      <c r="D2" s="28"/>
      <c r="E2" s="189"/>
      <c r="F2" s="189"/>
      <c r="I2" s="190"/>
      <c r="M2" s="834"/>
      <c r="N2" s="834"/>
      <c r="O2" s="834"/>
      <c r="Q2" s="834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09"/>
      <c r="BQ2" s="810"/>
      <c r="BR2" s="565"/>
      <c r="BS2" s="567" t="s">
        <v>56</v>
      </c>
      <c r="BT2" s="568"/>
      <c r="BU2" s="811" t="s">
        <v>57</v>
      </c>
      <c r="BV2" s="812"/>
      <c r="BW2" s="569"/>
      <c r="BX2" s="809" t="s">
        <v>58</v>
      </c>
      <c r="BY2" s="810"/>
      <c r="BZ2" s="565">
        <v>30</v>
      </c>
    </row>
    <row r="3" spans="1:78" s="205" customFormat="1" ht="37.5" customHeight="1">
      <c r="A3" s="816" t="s">
        <v>59</v>
      </c>
      <c r="B3" s="818" t="s">
        <v>60</v>
      </c>
      <c r="C3" s="819"/>
      <c r="D3" s="813" t="s">
        <v>61</v>
      </c>
      <c r="E3" s="813"/>
      <c r="F3" s="813" t="s">
        <v>62</v>
      </c>
      <c r="G3" s="813"/>
      <c r="H3" s="835" t="s">
        <v>63</v>
      </c>
      <c r="I3" s="570" t="s">
        <v>64</v>
      </c>
      <c r="J3" s="536"/>
      <c r="K3" s="790"/>
      <c r="L3" s="813"/>
      <c r="M3" s="813"/>
      <c r="N3" s="813"/>
      <c r="O3" s="813"/>
      <c r="P3" s="813"/>
      <c r="Q3" s="813"/>
      <c r="R3" s="822" t="s">
        <v>65</v>
      </c>
      <c r="S3" s="822"/>
      <c r="T3" s="822"/>
      <c r="U3" s="823"/>
      <c r="V3" s="824" t="s">
        <v>66</v>
      </c>
      <c r="W3" s="825"/>
      <c r="X3" s="825"/>
      <c r="Y3" s="825"/>
      <c r="Z3" s="825"/>
      <c r="AA3" s="825"/>
      <c r="AB3" s="825"/>
      <c r="AC3" s="825"/>
      <c r="AD3" s="825"/>
      <c r="AE3" s="825"/>
      <c r="AF3" s="825"/>
      <c r="AG3" s="825"/>
      <c r="AH3" s="825"/>
      <c r="AI3" s="825"/>
      <c r="AJ3" s="825"/>
      <c r="AK3" s="825"/>
      <c r="AL3" s="825"/>
      <c r="AM3" s="825"/>
      <c r="AN3" s="826"/>
      <c r="AO3" s="830" t="s">
        <v>67</v>
      </c>
      <c r="AP3" s="822"/>
      <c r="AQ3" s="822"/>
      <c r="AR3" s="822"/>
      <c r="AS3" s="822"/>
      <c r="AT3" s="822"/>
      <c r="AU3" s="822"/>
      <c r="AV3" s="822"/>
      <c r="AW3" s="822"/>
      <c r="AX3" s="822"/>
      <c r="AY3" s="822"/>
      <c r="AZ3" s="822"/>
      <c r="BA3" s="822"/>
      <c r="BB3" s="822"/>
      <c r="BC3" s="822"/>
      <c r="BD3" s="822"/>
      <c r="BE3" s="822"/>
      <c r="BF3" s="822"/>
      <c r="BG3" s="822"/>
      <c r="BH3" s="822"/>
      <c r="BI3" s="822"/>
      <c r="BJ3" s="823"/>
      <c r="BK3" s="827" t="s">
        <v>68</v>
      </c>
      <c r="BL3" s="828"/>
      <c r="BM3" s="828"/>
      <c r="BN3" s="828"/>
      <c r="BO3" s="828"/>
      <c r="BP3" s="828"/>
      <c r="BQ3" s="828"/>
      <c r="BR3" s="829"/>
      <c r="BS3" s="820" t="s">
        <v>69</v>
      </c>
      <c r="BT3" s="791" t="s">
        <v>70</v>
      </c>
      <c r="BU3" s="791" t="s">
        <v>71</v>
      </c>
      <c r="BV3" s="791" t="s">
        <v>70</v>
      </c>
      <c r="BW3" s="791" t="s">
        <v>71</v>
      </c>
      <c r="BX3" s="813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17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36"/>
      <c r="I4" s="575" t="s">
        <v>79</v>
      </c>
      <c r="J4" s="537" t="s">
        <v>80</v>
      </c>
      <c r="K4" s="537" t="s">
        <v>81</v>
      </c>
      <c r="L4" s="789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9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9" t="s">
        <v>89</v>
      </c>
      <c r="X4" s="548" t="s">
        <v>90</v>
      </c>
      <c r="Y4" s="789" t="s">
        <v>89</v>
      </c>
      <c r="Z4" s="714" t="s">
        <v>91</v>
      </c>
      <c r="AA4" s="789" t="s">
        <v>89</v>
      </c>
      <c r="AB4" s="548" t="s">
        <v>92</v>
      </c>
      <c r="AC4" s="789" t="s">
        <v>89</v>
      </c>
      <c r="AD4" s="548" t="s">
        <v>93</v>
      </c>
      <c r="AE4" s="789" t="s">
        <v>89</v>
      </c>
      <c r="AF4" s="548" t="s">
        <v>94</v>
      </c>
      <c r="AG4" s="789" t="s">
        <v>89</v>
      </c>
      <c r="AH4" s="548" t="s">
        <v>95</v>
      </c>
      <c r="AI4" s="789" t="s">
        <v>89</v>
      </c>
      <c r="AJ4" s="548" t="s">
        <v>96</v>
      </c>
      <c r="AK4" s="789" t="s">
        <v>89</v>
      </c>
      <c r="AL4" s="686" t="s">
        <v>97</v>
      </c>
      <c r="AM4" s="789" t="s">
        <v>89</v>
      </c>
      <c r="AN4" s="576" t="s">
        <v>98</v>
      </c>
      <c r="AO4" s="789" t="s">
        <v>99</v>
      </c>
      <c r="AP4" s="537" t="s">
        <v>80</v>
      </c>
      <c r="AQ4" s="789" t="s">
        <v>100</v>
      </c>
      <c r="AR4" s="537" t="s">
        <v>80</v>
      </c>
      <c r="AS4" s="789" t="s">
        <v>101</v>
      </c>
      <c r="AT4" s="537" t="s">
        <v>80</v>
      </c>
      <c r="AU4" s="789" t="s">
        <v>102</v>
      </c>
      <c r="AV4" s="537" t="s">
        <v>80</v>
      </c>
      <c r="AW4" s="537" t="s">
        <v>103</v>
      </c>
      <c r="AX4" s="537" t="s">
        <v>80</v>
      </c>
      <c r="AY4" s="789" t="s">
        <v>104</v>
      </c>
      <c r="AZ4" s="537" t="s">
        <v>80</v>
      </c>
      <c r="BA4" s="537" t="s">
        <v>105</v>
      </c>
      <c r="BB4" s="537" t="s">
        <v>80</v>
      </c>
      <c r="BC4" s="789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9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1"/>
      <c r="BT4" s="537" t="s">
        <v>115</v>
      </c>
      <c r="BU4" s="537" t="s">
        <v>116</v>
      </c>
      <c r="BV4" s="537" t="s">
        <v>117</v>
      </c>
      <c r="BW4" s="537" t="s">
        <v>117</v>
      </c>
      <c r="BX4" s="814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0">
        <v>23715588</v>
      </c>
      <c r="J5" s="636">
        <f>IF(I5&gt;=I4,I5-I4,0)</f>
        <v>0</v>
      </c>
      <c r="K5" s="636">
        <f t="shared" ref="K5:K36" si="0">M5+O5</f>
        <v>0</v>
      </c>
      <c r="L5" s="770">
        <v>595387</v>
      </c>
      <c r="M5" s="636">
        <f t="shared" ref="M5:M36" si="1">IF(L5&gt;=L4,L5-L4,0)</f>
        <v>0</v>
      </c>
      <c r="N5" s="770">
        <v>522852</v>
      </c>
      <c r="O5" s="636">
        <f t="shared" ref="O5:O36" si="2">IF(N5&gt;=N4,N5-N4,0)</f>
        <v>0</v>
      </c>
      <c r="P5" s="770">
        <v>221186</v>
      </c>
      <c r="Q5" s="636">
        <f t="shared" ref="Q5:Q18" si="3">IF(P5&gt;=P4,P5-P4,0)*30</f>
        <v>0</v>
      </c>
      <c r="R5" s="769">
        <v>177935</v>
      </c>
      <c r="S5" s="636">
        <f t="shared" ref="S5:S20" si="4">IF(R5&gt;=R4,R5-R4,0)</f>
        <v>0</v>
      </c>
      <c r="T5" s="769">
        <v>325086</v>
      </c>
      <c r="U5" s="636">
        <f t="shared" ref="U5:U28" si="5">IF(T5&gt;=T4,T5-T4,0)</f>
        <v>0</v>
      </c>
      <c r="V5" s="769">
        <v>734409</v>
      </c>
      <c r="W5" s="636">
        <f t="shared" ref="W5:W36" si="6">IF(V5&gt;=V4,V5-V4,0)*0.53</f>
        <v>0</v>
      </c>
      <c r="X5" s="770">
        <v>116729</v>
      </c>
      <c r="Y5" s="636">
        <f t="shared" ref="Y5:Y36" si="7">IF(X5&gt;=X4,X5-X4,0)*0.53</f>
        <v>0</v>
      </c>
      <c r="Z5" s="769">
        <v>134669</v>
      </c>
      <c r="AA5" s="636">
        <f t="shared" ref="AA5:AA36" si="8">IF(Z5&gt;=Z4,Z5-Z4,0)*0.53</f>
        <v>0</v>
      </c>
      <c r="AB5" s="769">
        <v>488247</v>
      </c>
      <c r="AC5" s="636">
        <f>IF(AB5&gt;=AB4,AB5-AB4,0)*0.53</f>
        <v>0</v>
      </c>
      <c r="AD5" s="769">
        <v>656201</v>
      </c>
      <c r="AE5" s="636">
        <f>IF(AD5&gt;=AD4,AD5-AD4,0)*0.53</f>
        <v>0</v>
      </c>
      <c r="AF5" s="769">
        <v>834896</v>
      </c>
      <c r="AG5" s="636">
        <f t="shared" ref="AG5:AG12" si="9">IF(AF5&gt;=AF4,AF5-AF4,0)*0.53</f>
        <v>0</v>
      </c>
      <c r="AH5" s="769">
        <v>967240</v>
      </c>
      <c r="AI5" s="636">
        <f t="shared" ref="AI5:AI36" si="10">IF(AH5&gt;=AH4,AH5-AH4,0)*0.53</f>
        <v>0</v>
      </c>
      <c r="AJ5" s="769">
        <v>621756</v>
      </c>
      <c r="AK5" s="636">
        <f t="shared" ref="AK5:AK12" si="11">IF(AJ5&gt;=AJ4,AJ5-AJ4,0)*0.53</f>
        <v>0</v>
      </c>
      <c r="AL5" s="769">
        <v>484025</v>
      </c>
      <c r="AM5" s="636">
        <f t="shared" ref="AM5:AM36" si="12">IF(AL5&gt;=AL4,AL5-AL4,0)*0.53</f>
        <v>0</v>
      </c>
      <c r="AN5" s="636">
        <f>W5+Y5+AA5+AC5+AE5+AG5+AI5+AK5+AM5</f>
        <v>0</v>
      </c>
      <c r="AO5" s="769">
        <v>7649849</v>
      </c>
      <c r="AP5" s="636">
        <f>IF(AO5&gt;=AO4,AO5-AO4,0)*0.1125</f>
        <v>0</v>
      </c>
      <c r="AQ5" s="770">
        <v>667350</v>
      </c>
      <c r="AR5" s="636">
        <f t="shared" ref="AR5:AR36" si="13">IF(AQ5&gt;=AQ4,AQ5-AQ4,0)</f>
        <v>0</v>
      </c>
      <c r="AS5" s="769">
        <v>961991</v>
      </c>
      <c r="AT5" s="636">
        <f>IF(AS5&gt;=AS4,AS5-AS4,0)</f>
        <v>0</v>
      </c>
      <c r="AU5" s="769">
        <v>809269</v>
      </c>
      <c r="AV5" s="636">
        <f t="shared" ref="AV5:AV36" si="14">IF(AU5&gt;=AU4,AU5-AU4,0)</f>
        <v>0</v>
      </c>
      <c r="AW5" s="769">
        <v>2603425</v>
      </c>
      <c r="AX5" s="636">
        <f t="shared" ref="AX5:AX36" si="15">IF(AW5&gt;=AW4,AW5-AW4,0)</f>
        <v>0</v>
      </c>
      <c r="AY5" s="769">
        <v>229064</v>
      </c>
      <c r="AZ5" s="636">
        <f t="shared" ref="AZ5:AZ18" si="16">IF(AY5&gt;=AY4,AY5-AY4,0)</f>
        <v>0</v>
      </c>
      <c r="BA5" s="769">
        <v>19163085</v>
      </c>
      <c r="BB5" s="636">
        <f t="shared" ref="BB5:BF36" si="17">IF(BA5&gt;=BA4,BA5-BA4,0)</f>
        <v>0</v>
      </c>
      <c r="BC5" s="769">
        <v>560194</v>
      </c>
      <c r="BD5" s="636">
        <f t="shared" si="17"/>
        <v>0</v>
      </c>
      <c r="BE5" s="769">
        <v>25110</v>
      </c>
      <c r="BF5" s="636">
        <f t="shared" si="17"/>
        <v>0</v>
      </c>
      <c r="BG5" s="770">
        <v>23964679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1419836</v>
      </c>
      <c r="BL5" s="636">
        <f t="shared" ref="BL5:BL36" si="18">IF(BK5&gt;=BK4,BK5-BK4,0)</f>
        <v>0</v>
      </c>
      <c r="BM5" s="770">
        <v>3909467</v>
      </c>
      <c r="BN5" s="636">
        <f t="shared" ref="BN5:BN36" si="19">IF(BM5&gt;=BM4,BM5-BM4,0)</f>
        <v>0</v>
      </c>
      <c r="BO5" s="707">
        <v>409591</v>
      </c>
      <c r="BP5" s="636">
        <f t="shared" ref="BP5:BP36" si="20">IF(BO5&gt;=BO4,BO5-BO4,0)</f>
        <v>0</v>
      </c>
      <c r="BQ5" s="769">
        <v>513610</v>
      </c>
      <c r="BR5" s="636">
        <f t="shared" ref="BR5:BR11" si="21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23721425</v>
      </c>
      <c r="J6" s="636">
        <f t="shared" ref="J6:J36" si="22">IF(I6&gt;=I5,I6-I5,0)</f>
        <v>5837</v>
      </c>
      <c r="K6" s="636">
        <f t="shared" si="0"/>
        <v>3617</v>
      </c>
      <c r="L6" s="770">
        <v>597404</v>
      </c>
      <c r="M6" s="636">
        <f t="shared" si="1"/>
        <v>2017</v>
      </c>
      <c r="N6" s="770">
        <v>524452</v>
      </c>
      <c r="O6" s="636">
        <f>IF(N6&gt;=N5,N6-N5,0)</f>
        <v>1600</v>
      </c>
      <c r="P6" s="770">
        <v>221204</v>
      </c>
      <c r="Q6" s="636">
        <f t="shared" si="3"/>
        <v>540</v>
      </c>
      <c r="R6" s="769">
        <v>178067</v>
      </c>
      <c r="S6" s="636">
        <f t="shared" si="4"/>
        <v>132</v>
      </c>
      <c r="T6" s="769">
        <v>325343</v>
      </c>
      <c r="U6" s="636">
        <f t="shared" si="5"/>
        <v>257</v>
      </c>
      <c r="V6" s="769">
        <v>735767</v>
      </c>
      <c r="W6" s="636">
        <f t="shared" si="6"/>
        <v>719.74</v>
      </c>
      <c r="X6" s="770">
        <v>116902</v>
      </c>
      <c r="Y6" s="636">
        <f t="shared" si="7"/>
        <v>91.69</v>
      </c>
      <c r="Z6" s="770">
        <v>134669</v>
      </c>
      <c r="AA6" s="636">
        <f t="shared" si="8"/>
        <v>0</v>
      </c>
      <c r="AB6" s="769">
        <v>488247</v>
      </c>
      <c r="AC6" s="636">
        <f>IF(AB6&gt;=AB5,AB6-AB5,0)*0.53</f>
        <v>0</v>
      </c>
      <c r="AD6" s="769">
        <v>656230</v>
      </c>
      <c r="AE6" s="636">
        <f t="shared" ref="AE6:AE36" si="23">IF(AD6&gt;=AD5,AD6-AD5,0)*0.53</f>
        <v>15.370000000000001</v>
      </c>
      <c r="AF6" s="769">
        <v>834923</v>
      </c>
      <c r="AG6" s="636">
        <f t="shared" si="9"/>
        <v>14.31</v>
      </c>
      <c r="AH6" s="770">
        <v>968237</v>
      </c>
      <c r="AI6" s="636">
        <f t="shared" si="10"/>
        <v>528.41000000000008</v>
      </c>
      <c r="AJ6" s="770">
        <v>628180</v>
      </c>
      <c r="AK6" s="636">
        <f t="shared" si="11"/>
        <v>3404.7200000000003</v>
      </c>
      <c r="AL6" s="769">
        <v>484297</v>
      </c>
      <c r="AM6" s="636">
        <f t="shared" si="12"/>
        <v>144.16</v>
      </c>
      <c r="AN6" s="636">
        <f t="shared" ref="AN6:AN36" si="24">W6+Y6+AA6+AC6+AE6+AG6+AI6+AK6+AM6</f>
        <v>4918.3999999999996</v>
      </c>
      <c r="AO6" s="769">
        <v>7649886</v>
      </c>
      <c r="AP6" s="636">
        <f t="shared" ref="AP6:AP36" si="25">IF(AO6&gt;=AO5,AO6-AO5,0)*0.1125</f>
        <v>4.1625000000000005</v>
      </c>
      <c r="AQ6" s="769">
        <v>667681</v>
      </c>
      <c r="AR6" s="636">
        <f t="shared" si="13"/>
        <v>331</v>
      </c>
      <c r="AS6" s="769">
        <v>962107</v>
      </c>
      <c r="AT6" s="636">
        <f t="shared" ref="AT6:AT34" si="26">IF(AS6&gt;=AS5,AS6-AS5,0)</f>
        <v>116</v>
      </c>
      <c r="AU6" s="710">
        <v>809293</v>
      </c>
      <c r="AV6" s="636">
        <f t="shared" si="14"/>
        <v>24</v>
      </c>
      <c r="AW6" s="770">
        <v>2603912</v>
      </c>
      <c r="AX6" s="636">
        <f t="shared" si="15"/>
        <v>487</v>
      </c>
      <c r="AY6" s="770">
        <v>229133</v>
      </c>
      <c r="AZ6" s="636">
        <f t="shared" si="16"/>
        <v>69</v>
      </c>
      <c r="BA6" s="770">
        <v>19167416</v>
      </c>
      <c r="BB6" s="636">
        <f t="shared" si="17"/>
        <v>4331</v>
      </c>
      <c r="BC6" s="769">
        <v>560406</v>
      </c>
      <c r="BD6" s="636">
        <f t="shared" si="17"/>
        <v>212</v>
      </c>
      <c r="BE6" s="769">
        <v>25148</v>
      </c>
      <c r="BF6" s="636">
        <f t="shared" si="17"/>
        <v>38</v>
      </c>
      <c r="BG6" s="769">
        <v>23969979</v>
      </c>
      <c r="BH6" s="636">
        <f t="shared" ref="BH6:BH36" si="27">IF(BG6&gt;=BG5,BG6-BG5,0)-(0.45*BN6)-(0.45*BP6)-BR6</f>
        <v>4930.3999999999996</v>
      </c>
      <c r="BI6" s="636">
        <f t="shared" ref="BI6:BI36" si="28">AP6+AR6+AT6+AV6+AX6+AZ6+BB6+BD6+BF6+BH6</f>
        <v>10542.5625</v>
      </c>
      <c r="BJ6" s="636">
        <f>BI6+AN6</f>
        <v>15460.9625</v>
      </c>
      <c r="BK6" s="770">
        <v>1420150</v>
      </c>
      <c r="BL6" s="636">
        <f t="shared" si="18"/>
        <v>314</v>
      </c>
      <c r="BM6" s="770">
        <v>3909850</v>
      </c>
      <c r="BN6" s="636">
        <f t="shared" si="19"/>
        <v>383</v>
      </c>
      <c r="BO6" s="770">
        <v>409716</v>
      </c>
      <c r="BP6" s="636">
        <f t="shared" si="20"/>
        <v>125</v>
      </c>
      <c r="BQ6" s="769">
        <v>513751</v>
      </c>
      <c r="BR6" s="636">
        <f t="shared" si="21"/>
        <v>141</v>
      </c>
      <c r="BS6" s="692">
        <f t="shared" ref="BS6:BS36" si="29">J6+Q6+AN6+BI6</f>
        <v>21837.962500000001</v>
      </c>
      <c r="BT6" s="693">
        <v>232</v>
      </c>
      <c r="BU6" s="692" t="e">
        <f t="shared" ref="BU6:BU12" si="30">IF(BS6&gt;0,BS6/BT5,0)</f>
        <v>#DIV/0!</v>
      </c>
      <c r="BV6" s="693"/>
      <c r="BW6" s="692" t="e">
        <f t="shared" ref="BW6:BW36" si="31">IF(BS6&gt;0,BS6/BV6,0)</f>
        <v>#DIV/0!</v>
      </c>
      <c r="BX6" s="692">
        <f>((BS6-Q6)*$BZ$1)+(Q6*$BR$1)</f>
        <v>25356.656875000001</v>
      </c>
      <c r="BY6" s="692" t="e">
        <f t="shared" ref="BY6:BY15" si="32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23728030</v>
      </c>
      <c r="J7" s="636">
        <f t="shared" si="22"/>
        <v>6605</v>
      </c>
      <c r="K7" s="636">
        <f t="shared" si="0"/>
        <v>3882</v>
      </c>
      <c r="L7" s="770">
        <v>599815</v>
      </c>
      <c r="M7" s="636">
        <f>IF(L7&gt;=L6,L7-L6,0)</f>
        <v>2411</v>
      </c>
      <c r="N7" s="770">
        <v>525923</v>
      </c>
      <c r="O7" s="636">
        <f>IF(N7&gt;=N6,N7-N6,0)</f>
        <v>1471</v>
      </c>
      <c r="P7" s="770">
        <v>221223</v>
      </c>
      <c r="Q7" s="636">
        <f t="shared" si="3"/>
        <v>570</v>
      </c>
      <c r="R7" s="769">
        <v>178215</v>
      </c>
      <c r="S7" s="636">
        <f t="shared" si="4"/>
        <v>148</v>
      </c>
      <c r="T7" s="769">
        <v>325617</v>
      </c>
      <c r="U7" s="636">
        <f t="shared" si="5"/>
        <v>274</v>
      </c>
      <c r="V7" s="769">
        <v>738127</v>
      </c>
      <c r="W7" s="636">
        <f t="shared" si="6"/>
        <v>1250.8</v>
      </c>
      <c r="X7" s="770">
        <v>116902</v>
      </c>
      <c r="Y7" s="636">
        <f t="shared" si="7"/>
        <v>0</v>
      </c>
      <c r="Z7" s="769">
        <v>134669</v>
      </c>
      <c r="AA7" s="636">
        <f t="shared" si="8"/>
        <v>0</v>
      </c>
      <c r="AB7" s="769">
        <v>488247</v>
      </c>
      <c r="AC7" s="636">
        <f t="shared" ref="AC7:AC36" si="33">IF(AB7&gt;=AB6,AB7-AB6,0)*0.53</f>
        <v>0</v>
      </c>
      <c r="AD7" s="769">
        <v>656256</v>
      </c>
      <c r="AE7" s="636">
        <f t="shared" si="23"/>
        <v>13.780000000000001</v>
      </c>
      <c r="AF7" s="769">
        <v>834948</v>
      </c>
      <c r="AG7" s="636">
        <f t="shared" si="9"/>
        <v>13.25</v>
      </c>
      <c r="AH7" s="770">
        <v>969346</v>
      </c>
      <c r="AI7" s="636">
        <f t="shared" si="10"/>
        <v>587.77</v>
      </c>
      <c r="AJ7" s="770">
        <v>633074</v>
      </c>
      <c r="AK7" s="636">
        <f t="shared" si="11"/>
        <v>2593.8200000000002</v>
      </c>
      <c r="AL7" s="769">
        <v>484605</v>
      </c>
      <c r="AM7" s="636">
        <f t="shared" si="12"/>
        <v>163.24</v>
      </c>
      <c r="AN7" s="636">
        <f t="shared" si="24"/>
        <v>4622.66</v>
      </c>
      <c r="AO7" s="769">
        <v>7649925</v>
      </c>
      <c r="AP7" s="636">
        <f t="shared" si="25"/>
        <v>4.3875000000000002</v>
      </c>
      <c r="AQ7" s="769">
        <v>668034</v>
      </c>
      <c r="AR7" s="636">
        <f t="shared" si="13"/>
        <v>353</v>
      </c>
      <c r="AS7" s="769">
        <v>962243</v>
      </c>
      <c r="AT7" s="636">
        <f t="shared" si="26"/>
        <v>136</v>
      </c>
      <c r="AU7" s="710">
        <v>809321</v>
      </c>
      <c r="AV7" s="636">
        <f t="shared" si="14"/>
        <v>28</v>
      </c>
      <c r="AW7" s="770">
        <v>2604534</v>
      </c>
      <c r="AX7" s="636">
        <f t="shared" si="15"/>
        <v>622</v>
      </c>
      <c r="AY7" s="769">
        <v>229199</v>
      </c>
      <c r="AZ7" s="636">
        <f t="shared" si="16"/>
        <v>66</v>
      </c>
      <c r="BA7" s="770">
        <v>19172103</v>
      </c>
      <c r="BB7" s="636">
        <f t="shared" si="17"/>
        <v>4687</v>
      </c>
      <c r="BC7" s="769">
        <v>560660</v>
      </c>
      <c r="BD7" s="636">
        <f t="shared" si="17"/>
        <v>254</v>
      </c>
      <c r="BE7" s="769">
        <v>25200</v>
      </c>
      <c r="BF7" s="636">
        <f t="shared" si="17"/>
        <v>52</v>
      </c>
      <c r="BG7" s="770">
        <v>23975822</v>
      </c>
      <c r="BH7" s="636">
        <f t="shared" si="27"/>
        <v>5186.25</v>
      </c>
      <c r="BI7" s="636">
        <f t="shared" si="28"/>
        <v>11388.637500000001</v>
      </c>
      <c r="BJ7" s="636">
        <f t="shared" ref="BJ7:BJ36" si="34">BI7+AN7</f>
        <v>16011.297500000001</v>
      </c>
      <c r="BK7" s="770">
        <v>1420425</v>
      </c>
      <c r="BL7" s="636">
        <f t="shared" si="18"/>
        <v>275</v>
      </c>
      <c r="BM7" s="770">
        <v>3910788</v>
      </c>
      <c r="BN7" s="636">
        <f t="shared" si="19"/>
        <v>938</v>
      </c>
      <c r="BO7" s="770">
        <v>409873</v>
      </c>
      <c r="BP7" s="636">
        <f t="shared" si="20"/>
        <v>157</v>
      </c>
      <c r="BQ7" s="769">
        <v>513915</v>
      </c>
      <c r="BR7" s="636">
        <f t="shared" si="21"/>
        <v>164</v>
      </c>
      <c r="BS7" s="692">
        <f t="shared" si="29"/>
        <v>23186.297500000001</v>
      </c>
      <c r="BT7" s="693">
        <v>191</v>
      </c>
      <c r="BU7" s="692">
        <f t="shared" si="30"/>
        <v>99.940937500000004</v>
      </c>
      <c r="BV7" s="693"/>
      <c r="BW7" s="692" t="e">
        <f t="shared" si="31"/>
        <v>#DIV/0!</v>
      </c>
      <c r="BX7" s="692">
        <f t="shared" ref="BX7:BX36" si="35">((BS7-Q7)*$BZ$1)+(Q7*$BR$1)</f>
        <v>26920.742124999997</v>
      </c>
      <c r="BY7" s="692">
        <f t="shared" si="32"/>
        <v>116.03768157327585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23734176</v>
      </c>
      <c r="J8" s="636">
        <f t="shared" si="22"/>
        <v>6146</v>
      </c>
      <c r="K8" s="636">
        <f t="shared" si="0"/>
        <v>3709</v>
      </c>
      <c r="L8" s="770">
        <v>602116</v>
      </c>
      <c r="M8" s="636">
        <f>IF(L8&gt;=L7,L8-L7,0)</f>
        <v>2301</v>
      </c>
      <c r="N8" s="770">
        <v>527331</v>
      </c>
      <c r="O8" s="636">
        <f t="shared" ref="O8:O11" si="40">IF(N8&gt;=N7,N8-N7,0)</f>
        <v>1408</v>
      </c>
      <c r="P8" s="770">
        <v>221239</v>
      </c>
      <c r="Q8" s="636">
        <f t="shared" si="3"/>
        <v>480</v>
      </c>
      <c r="R8" s="770">
        <v>178357</v>
      </c>
      <c r="S8" s="636">
        <f t="shared" si="4"/>
        <v>142</v>
      </c>
      <c r="T8" s="769">
        <v>325818</v>
      </c>
      <c r="U8" s="636">
        <f t="shared" si="5"/>
        <v>201</v>
      </c>
      <c r="V8" s="769">
        <v>740425</v>
      </c>
      <c r="W8" s="636">
        <f t="shared" si="6"/>
        <v>1217.94</v>
      </c>
      <c r="X8" s="770">
        <v>116925</v>
      </c>
      <c r="Y8" s="636">
        <f t="shared" si="7"/>
        <v>12.190000000000001</v>
      </c>
      <c r="Z8" s="769">
        <v>134745</v>
      </c>
      <c r="AA8" s="636">
        <f t="shared" si="8"/>
        <v>40.28</v>
      </c>
      <c r="AB8" s="769">
        <v>488293</v>
      </c>
      <c r="AC8" s="636">
        <f t="shared" si="33"/>
        <v>24.380000000000003</v>
      </c>
      <c r="AD8" s="769">
        <v>656280</v>
      </c>
      <c r="AE8" s="636">
        <f t="shared" si="23"/>
        <v>12.72</v>
      </c>
      <c r="AF8" s="769">
        <v>834971</v>
      </c>
      <c r="AG8" s="636">
        <f t="shared" si="9"/>
        <v>12.190000000000001</v>
      </c>
      <c r="AH8" s="769">
        <v>970444</v>
      </c>
      <c r="AI8" s="636">
        <f t="shared" si="10"/>
        <v>581.94000000000005</v>
      </c>
      <c r="AJ8" s="769">
        <v>637098</v>
      </c>
      <c r="AK8" s="636">
        <f t="shared" si="11"/>
        <v>2132.7200000000003</v>
      </c>
      <c r="AL8" s="769">
        <v>484896</v>
      </c>
      <c r="AM8" s="636">
        <f t="shared" si="12"/>
        <v>154.23000000000002</v>
      </c>
      <c r="AN8" s="636">
        <f t="shared" si="24"/>
        <v>4188.59</v>
      </c>
      <c r="AO8" s="769">
        <v>7649962</v>
      </c>
      <c r="AP8" s="636">
        <f t="shared" si="25"/>
        <v>4.1625000000000005</v>
      </c>
      <c r="AQ8" s="770">
        <v>668363</v>
      </c>
      <c r="AR8" s="636">
        <f t="shared" si="13"/>
        <v>329</v>
      </c>
      <c r="AS8" s="770">
        <v>962379</v>
      </c>
      <c r="AT8" s="636">
        <f t="shared" si="26"/>
        <v>136</v>
      </c>
      <c r="AU8" s="769">
        <v>809350</v>
      </c>
      <c r="AV8" s="636">
        <f>IF(AU8&gt;=AU7,AU8-AU7,0)</f>
        <v>29</v>
      </c>
      <c r="AW8" s="769">
        <v>2605112</v>
      </c>
      <c r="AX8" s="636">
        <f t="shared" si="15"/>
        <v>578</v>
      </c>
      <c r="AY8" s="769">
        <v>229258</v>
      </c>
      <c r="AZ8" s="636">
        <f t="shared" si="16"/>
        <v>59</v>
      </c>
      <c r="BA8" s="769">
        <v>19176636</v>
      </c>
      <c r="BB8" s="636">
        <f t="shared" si="17"/>
        <v>4533</v>
      </c>
      <c r="BC8" s="769">
        <v>560919</v>
      </c>
      <c r="BD8" s="636">
        <f t="shared" si="17"/>
        <v>259</v>
      </c>
      <c r="BE8" s="769">
        <v>25251</v>
      </c>
      <c r="BF8" s="636">
        <f t="shared" si="17"/>
        <v>51</v>
      </c>
      <c r="BG8" s="770">
        <v>23981116</v>
      </c>
      <c r="BH8" s="636">
        <f t="shared" si="27"/>
        <v>4695.4500000000007</v>
      </c>
      <c r="BI8" s="636">
        <f t="shared" si="28"/>
        <v>10673.612500000001</v>
      </c>
      <c r="BJ8" s="636">
        <f t="shared" si="34"/>
        <v>14862.202500000001</v>
      </c>
      <c r="BK8" s="770">
        <v>1420671</v>
      </c>
      <c r="BL8" s="636">
        <f t="shared" si="18"/>
        <v>246</v>
      </c>
      <c r="BM8" s="769">
        <v>3911650</v>
      </c>
      <c r="BN8" s="636">
        <f t="shared" si="19"/>
        <v>862</v>
      </c>
      <c r="BO8" s="769">
        <v>410010</v>
      </c>
      <c r="BP8" s="636">
        <f t="shared" si="20"/>
        <v>137</v>
      </c>
      <c r="BQ8" s="769">
        <v>514064</v>
      </c>
      <c r="BR8" s="636">
        <f t="shared" si="21"/>
        <v>149</v>
      </c>
      <c r="BS8" s="692">
        <f t="shared" si="29"/>
        <v>21488.202499999999</v>
      </c>
      <c r="BT8" s="693">
        <v>219</v>
      </c>
      <c r="BU8" s="692">
        <f t="shared" si="30"/>
        <v>112.50367801047121</v>
      </c>
      <c r="BV8" s="693"/>
      <c r="BW8" s="692" t="e">
        <f t="shared" si="31"/>
        <v>#DIV/0!</v>
      </c>
      <c r="BX8" s="692">
        <f t="shared" si="35"/>
        <v>24927.432874999999</v>
      </c>
      <c r="BY8" s="692">
        <f t="shared" si="32"/>
        <v>130.5101197643979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23740751</v>
      </c>
      <c r="J9" s="636">
        <f>IF(I9&gt;=I8,I9-I8,0)</f>
        <v>6575</v>
      </c>
      <c r="K9" s="636">
        <f t="shared" si="0"/>
        <v>3994</v>
      </c>
      <c r="L9" s="770">
        <v>604576</v>
      </c>
      <c r="M9" s="636">
        <f>IF(L9&gt;=L8,L9-L8,0)</f>
        <v>2460</v>
      </c>
      <c r="N9" s="770">
        <v>528865</v>
      </c>
      <c r="O9" s="636">
        <f t="shared" si="40"/>
        <v>1534</v>
      </c>
      <c r="P9" s="770">
        <v>221258</v>
      </c>
      <c r="Q9" s="636">
        <f t="shared" si="3"/>
        <v>570</v>
      </c>
      <c r="R9" s="769">
        <v>178495</v>
      </c>
      <c r="S9" s="636">
        <f t="shared" si="4"/>
        <v>138</v>
      </c>
      <c r="T9" s="769">
        <v>326148</v>
      </c>
      <c r="U9" s="636">
        <f t="shared" si="5"/>
        <v>330</v>
      </c>
      <c r="V9" s="769">
        <v>742505</v>
      </c>
      <c r="W9" s="636">
        <f t="shared" si="6"/>
        <v>1102.4000000000001</v>
      </c>
      <c r="X9" s="770">
        <v>116925</v>
      </c>
      <c r="Y9" s="636">
        <f t="shared" si="7"/>
        <v>0</v>
      </c>
      <c r="Z9" s="769">
        <v>134745</v>
      </c>
      <c r="AA9" s="636">
        <f t="shared" si="8"/>
        <v>0</v>
      </c>
      <c r="AB9" s="769">
        <v>488293</v>
      </c>
      <c r="AC9" s="636">
        <f t="shared" si="33"/>
        <v>0</v>
      </c>
      <c r="AD9" s="769">
        <v>656303</v>
      </c>
      <c r="AE9" s="636">
        <f t="shared" si="23"/>
        <v>12.190000000000001</v>
      </c>
      <c r="AF9" s="769">
        <v>834994</v>
      </c>
      <c r="AG9" s="636">
        <f t="shared" si="9"/>
        <v>12.190000000000001</v>
      </c>
      <c r="AH9" s="770">
        <v>971310</v>
      </c>
      <c r="AI9" s="636">
        <f t="shared" si="10"/>
        <v>458.98</v>
      </c>
      <c r="AJ9" s="770">
        <v>640924</v>
      </c>
      <c r="AK9" s="636">
        <f t="shared" si="11"/>
        <v>2027.7800000000002</v>
      </c>
      <c r="AL9" s="769">
        <v>485206</v>
      </c>
      <c r="AM9" s="636">
        <f t="shared" si="12"/>
        <v>164.3</v>
      </c>
      <c r="AN9" s="636">
        <f t="shared" si="24"/>
        <v>3777.8400000000006</v>
      </c>
      <c r="AO9" s="769">
        <v>7650003</v>
      </c>
      <c r="AP9" s="636">
        <f t="shared" si="25"/>
        <v>4.6124999999999998</v>
      </c>
      <c r="AQ9" s="769">
        <v>668689</v>
      </c>
      <c r="AR9" s="636">
        <f t="shared" si="13"/>
        <v>326</v>
      </c>
      <c r="AS9" s="770">
        <v>962516</v>
      </c>
      <c r="AT9" s="636">
        <f t="shared" si="26"/>
        <v>137</v>
      </c>
      <c r="AU9" s="710">
        <v>809383</v>
      </c>
      <c r="AV9" s="636">
        <f>IF(AU9&gt;=AU8,AU9-AU8,0)</f>
        <v>33</v>
      </c>
      <c r="AW9" s="770">
        <v>2605729</v>
      </c>
      <c r="AX9" s="636">
        <f t="shared" si="15"/>
        <v>617</v>
      </c>
      <c r="AY9" s="769">
        <v>229323</v>
      </c>
      <c r="AZ9" s="636">
        <f t="shared" si="16"/>
        <v>65</v>
      </c>
      <c r="BA9" s="770">
        <v>19181492</v>
      </c>
      <c r="BB9" s="636">
        <f t="shared" si="17"/>
        <v>4856</v>
      </c>
      <c r="BC9" s="769">
        <v>561210</v>
      </c>
      <c r="BD9" s="636">
        <f t="shared" si="17"/>
        <v>291</v>
      </c>
      <c r="BE9" s="769">
        <v>25303</v>
      </c>
      <c r="BF9" s="636">
        <f t="shared" si="17"/>
        <v>52</v>
      </c>
      <c r="BG9" s="770">
        <v>23986958</v>
      </c>
      <c r="BH9" s="636">
        <f t="shared" si="27"/>
        <v>5198.25</v>
      </c>
      <c r="BI9" s="636">
        <f t="shared" si="28"/>
        <v>11579.862499999999</v>
      </c>
      <c r="BJ9" s="636">
        <f t="shared" si="34"/>
        <v>15357.702499999999</v>
      </c>
      <c r="BK9" s="770">
        <v>1420940</v>
      </c>
      <c r="BL9" s="636">
        <f t="shared" si="18"/>
        <v>269</v>
      </c>
      <c r="BM9" s="770">
        <v>3912599</v>
      </c>
      <c r="BN9" s="636">
        <f t="shared" si="19"/>
        <v>949</v>
      </c>
      <c r="BO9" s="770">
        <v>410156</v>
      </c>
      <c r="BP9" s="636">
        <f t="shared" si="20"/>
        <v>146</v>
      </c>
      <c r="BQ9" s="769">
        <v>514215</v>
      </c>
      <c r="BR9" s="636">
        <f t="shared" si="21"/>
        <v>151</v>
      </c>
      <c r="BS9" s="692">
        <f t="shared" si="29"/>
        <v>22502.702499999999</v>
      </c>
      <c r="BT9" s="693">
        <v>205</v>
      </c>
      <c r="BU9" s="692">
        <f t="shared" si="30"/>
        <v>102.75206621004565</v>
      </c>
      <c r="BV9" s="693"/>
      <c r="BW9" s="692" t="e">
        <f t="shared" si="31"/>
        <v>#DIV/0!</v>
      </c>
      <c r="BX9" s="692">
        <f t="shared" si="35"/>
        <v>26134.607874999998</v>
      </c>
      <c r="BY9" s="692">
        <f t="shared" si="32"/>
        <v>119.33610901826484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23747324</v>
      </c>
      <c r="J10" s="636">
        <f>IF(I10&gt;=I9,I10-I9,0)</f>
        <v>6573</v>
      </c>
      <c r="K10" s="636">
        <f t="shared" si="0"/>
        <v>4119</v>
      </c>
      <c r="L10" s="770">
        <v>607115</v>
      </c>
      <c r="M10" s="636">
        <f>IF(L10&gt;=L9,L10-L9,0)</f>
        <v>2539</v>
      </c>
      <c r="N10" s="770">
        <v>530445</v>
      </c>
      <c r="O10" s="636">
        <f t="shared" si="40"/>
        <v>1580</v>
      </c>
      <c r="P10" s="770">
        <v>221275</v>
      </c>
      <c r="Q10" s="636">
        <f t="shared" si="3"/>
        <v>510</v>
      </c>
      <c r="R10" s="769">
        <v>178639</v>
      </c>
      <c r="S10" s="636">
        <f t="shared" si="4"/>
        <v>144</v>
      </c>
      <c r="T10" s="769">
        <v>326420</v>
      </c>
      <c r="U10" s="636">
        <f t="shared" si="5"/>
        <v>272</v>
      </c>
      <c r="V10" s="769">
        <v>745763</v>
      </c>
      <c r="W10" s="636">
        <f t="shared" si="6"/>
        <v>1726.74</v>
      </c>
      <c r="X10" s="770">
        <v>116925</v>
      </c>
      <c r="Y10" s="636">
        <f t="shared" si="7"/>
        <v>0</v>
      </c>
      <c r="Z10" s="769">
        <v>134745</v>
      </c>
      <c r="AA10" s="636">
        <f t="shared" si="8"/>
        <v>0</v>
      </c>
      <c r="AB10" s="769">
        <v>488293</v>
      </c>
      <c r="AC10" s="636">
        <f t="shared" si="33"/>
        <v>0</v>
      </c>
      <c r="AD10" s="769">
        <v>656330</v>
      </c>
      <c r="AE10" s="636">
        <f t="shared" si="23"/>
        <v>14.31</v>
      </c>
      <c r="AF10" s="769">
        <v>835020</v>
      </c>
      <c r="AG10" s="636">
        <f t="shared" si="9"/>
        <v>13.780000000000001</v>
      </c>
      <c r="AH10" s="770">
        <v>972189</v>
      </c>
      <c r="AI10" s="636">
        <f t="shared" si="10"/>
        <v>465.87</v>
      </c>
      <c r="AJ10" s="770">
        <v>645300</v>
      </c>
      <c r="AK10" s="636">
        <f t="shared" si="11"/>
        <v>2319.2800000000002</v>
      </c>
      <c r="AL10" s="769">
        <v>485528</v>
      </c>
      <c r="AM10" s="636">
        <f t="shared" si="12"/>
        <v>170.66</v>
      </c>
      <c r="AN10" s="636">
        <f t="shared" si="24"/>
        <v>4710.6399999999994</v>
      </c>
      <c r="AO10" s="769">
        <v>7650042</v>
      </c>
      <c r="AP10" s="636">
        <f t="shared" si="25"/>
        <v>4.3875000000000002</v>
      </c>
      <c r="AQ10" s="769">
        <v>668994</v>
      </c>
      <c r="AR10" s="636">
        <f t="shared" si="13"/>
        <v>305</v>
      </c>
      <c r="AS10" s="769">
        <v>962654</v>
      </c>
      <c r="AT10" s="636">
        <f t="shared" si="26"/>
        <v>138</v>
      </c>
      <c r="AU10" s="710">
        <v>809408</v>
      </c>
      <c r="AV10" s="636">
        <f>IF(AU10&gt;=AU9,AU10-AU9,0)</f>
        <v>25</v>
      </c>
      <c r="AW10" s="770">
        <v>2606367</v>
      </c>
      <c r="AX10" s="636">
        <f t="shared" si="15"/>
        <v>638</v>
      </c>
      <c r="AY10" s="770">
        <v>229384</v>
      </c>
      <c r="AZ10" s="636">
        <f t="shared" si="16"/>
        <v>61</v>
      </c>
      <c r="BA10" s="769">
        <v>19186303</v>
      </c>
      <c r="BB10" s="636">
        <f t="shared" si="17"/>
        <v>4811</v>
      </c>
      <c r="BC10" s="769">
        <v>561472</v>
      </c>
      <c r="BD10" s="636">
        <f t="shared" si="17"/>
        <v>262</v>
      </c>
      <c r="BE10" s="769">
        <v>25357</v>
      </c>
      <c r="BF10" s="636">
        <f t="shared" si="17"/>
        <v>54</v>
      </c>
      <c r="BG10" s="770">
        <v>23992604</v>
      </c>
      <c r="BH10" s="636">
        <f t="shared" si="27"/>
        <v>5014.3</v>
      </c>
      <c r="BI10" s="636">
        <f t="shared" si="28"/>
        <v>11312.6875</v>
      </c>
      <c r="BJ10" s="636">
        <f t="shared" si="34"/>
        <v>16023.327499999999</v>
      </c>
      <c r="BK10" s="770">
        <v>1421203</v>
      </c>
      <c r="BL10" s="636">
        <f t="shared" si="18"/>
        <v>263</v>
      </c>
      <c r="BM10" s="770">
        <v>3913518</v>
      </c>
      <c r="BN10" s="636">
        <f t="shared" si="19"/>
        <v>919</v>
      </c>
      <c r="BO10" s="707">
        <v>410283</v>
      </c>
      <c r="BP10" s="636">
        <f t="shared" si="20"/>
        <v>127</v>
      </c>
      <c r="BQ10" s="769">
        <v>514376</v>
      </c>
      <c r="BR10" s="636">
        <f t="shared" si="21"/>
        <v>161</v>
      </c>
      <c r="BS10" s="692">
        <f t="shared" si="29"/>
        <v>23106.327499999999</v>
      </c>
      <c r="BT10" s="693">
        <v>199</v>
      </c>
      <c r="BU10" s="692">
        <f t="shared" si="30"/>
        <v>112.71379268292682</v>
      </c>
      <c r="BV10" s="693"/>
      <c r="BW10" s="692" t="e">
        <f t="shared" si="31"/>
        <v>#DIV/0!</v>
      </c>
      <c r="BX10" s="692">
        <f t="shared" si="35"/>
        <v>26801.776624999999</v>
      </c>
      <c r="BY10" s="692">
        <f t="shared" si="32"/>
        <v>130.7403737804878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23752902</v>
      </c>
      <c r="J11" s="636">
        <f>IF(I11&gt;=I10,I11-I10,0)</f>
        <v>5578</v>
      </c>
      <c r="K11" s="636">
        <f t="shared" si="0"/>
        <v>3498</v>
      </c>
      <c r="L11" s="769">
        <v>609280</v>
      </c>
      <c r="M11" s="636">
        <f>IF(L11&gt;=L10,L11-L10,0)</f>
        <v>2165</v>
      </c>
      <c r="N11" s="769">
        <v>531778</v>
      </c>
      <c r="O11" s="636">
        <f t="shared" si="40"/>
        <v>1333</v>
      </c>
      <c r="P11" s="770">
        <v>221292</v>
      </c>
      <c r="Q11" s="636">
        <f t="shared" si="3"/>
        <v>510</v>
      </c>
      <c r="R11" s="769">
        <v>178773</v>
      </c>
      <c r="S11" s="636">
        <f t="shared" si="4"/>
        <v>134</v>
      </c>
      <c r="T11" s="769">
        <v>326672</v>
      </c>
      <c r="U11" s="636">
        <f t="shared" si="5"/>
        <v>252</v>
      </c>
      <c r="V11" s="769">
        <v>748146</v>
      </c>
      <c r="W11" s="636">
        <f t="shared" si="6"/>
        <v>1262.99</v>
      </c>
      <c r="X11" s="770">
        <v>116925</v>
      </c>
      <c r="Y11" s="636">
        <f t="shared" si="7"/>
        <v>0</v>
      </c>
      <c r="Z11" s="773">
        <v>134745</v>
      </c>
      <c r="AA11" s="636">
        <f t="shared" si="8"/>
        <v>0</v>
      </c>
      <c r="AB11" s="769">
        <v>488293</v>
      </c>
      <c r="AC11" s="636">
        <f>IF(AB11&gt;=AB10,AB11-AB10,0)*0.53</f>
        <v>0</v>
      </c>
      <c r="AD11" s="769">
        <v>656353</v>
      </c>
      <c r="AE11" s="636">
        <f t="shared" si="23"/>
        <v>12.190000000000001</v>
      </c>
      <c r="AF11" s="769">
        <v>835042</v>
      </c>
      <c r="AG11" s="636">
        <f t="shared" si="9"/>
        <v>11.66</v>
      </c>
      <c r="AH11" s="769">
        <v>972972</v>
      </c>
      <c r="AI11" s="636">
        <f t="shared" si="10"/>
        <v>414.99</v>
      </c>
      <c r="AJ11" s="769">
        <v>649067</v>
      </c>
      <c r="AK11" s="636">
        <f t="shared" si="11"/>
        <v>1996.51</v>
      </c>
      <c r="AL11" s="769">
        <v>485817</v>
      </c>
      <c r="AM11" s="636">
        <f t="shared" si="12"/>
        <v>153.17000000000002</v>
      </c>
      <c r="AN11" s="636">
        <f t="shared" si="24"/>
        <v>3851.51</v>
      </c>
      <c r="AO11" s="707">
        <v>7650081</v>
      </c>
      <c r="AP11" s="636">
        <f t="shared" si="25"/>
        <v>4.3875000000000002</v>
      </c>
      <c r="AQ11" s="769">
        <v>669310</v>
      </c>
      <c r="AR11" s="636">
        <f t="shared" si="13"/>
        <v>316</v>
      </c>
      <c r="AS11" s="770">
        <v>962783</v>
      </c>
      <c r="AT11" s="636">
        <f t="shared" si="26"/>
        <v>129</v>
      </c>
      <c r="AU11" s="770">
        <v>809431</v>
      </c>
      <c r="AV11" s="636">
        <f t="shared" si="14"/>
        <v>23</v>
      </c>
      <c r="AW11" s="769">
        <v>2606943</v>
      </c>
      <c r="AX11" s="636">
        <f t="shared" si="15"/>
        <v>576</v>
      </c>
      <c r="AY11" s="770">
        <v>229442</v>
      </c>
      <c r="AZ11" s="636">
        <f t="shared" si="16"/>
        <v>58</v>
      </c>
      <c r="BA11" s="770">
        <v>19190577</v>
      </c>
      <c r="BB11" s="636">
        <f t="shared" si="17"/>
        <v>4274</v>
      </c>
      <c r="BC11" s="769">
        <v>561708</v>
      </c>
      <c r="BD11" s="636">
        <f t="shared" si="17"/>
        <v>236</v>
      </c>
      <c r="BE11" s="769">
        <v>25411</v>
      </c>
      <c r="BF11" s="636">
        <f t="shared" si="17"/>
        <v>54</v>
      </c>
      <c r="BG11" s="770">
        <v>23997719</v>
      </c>
      <c r="BH11" s="636">
        <f t="shared" si="27"/>
        <v>4540.9500000000007</v>
      </c>
      <c r="BI11" s="636">
        <f t="shared" si="28"/>
        <v>10211.337500000001</v>
      </c>
      <c r="BJ11" s="636">
        <f t="shared" si="34"/>
        <v>14062.847500000002</v>
      </c>
      <c r="BK11" s="770">
        <v>1421445</v>
      </c>
      <c r="BL11" s="636">
        <f t="shared" si="18"/>
        <v>242</v>
      </c>
      <c r="BM11" s="770">
        <v>3914330</v>
      </c>
      <c r="BN11" s="636">
        <f t="shared" si="19"/>
        <v>812</v>
      </c>
      <c r="BO11" s="769">
        <v>410420</v>
      </c>
      <c r="BP11" s="636">
        <f t="shared" si="20"/>
        <v>137</v>
      </c>
      <c r="BQ11" s="770">
        <v>514523</v>
      </c>
      <c r="BR11" s="636">
        <f t="shared" si="21"/>
        <v>147</v>
      </c>
      <c r="BS11" s="692">
        <f t="shared" si="29"/>
        <v>20150.847500000003</v>
      </c>
      <c r="BT11" s="693">
        <v>203</v>
      </c>
      <c r="BU11" s="692">
        <f t="shared" si="30"/>
        <v>101.26054020100504</v>
      </c>
      <c r="BV11" s="693"/>
      <c r="BW11" s="692" t="e">
        <f t="shared" si="31"/>
        <v>#DIV/0!</v>
      </c>
      <c r="BX11" s="692">
        <f t="shared" si="35"/>
        <v>23402.974625000003</v>
      </c>
      <c r="BY11" s="692">
        <f t="shared" si="32"/>
        <v>117.60288756281409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23758520</v>
      </c>
      <c r="J12" s="636">
        <f>IF(I12&gt;=I11,I12-I11,0)</f>
        <v>5618</v>
      </c>
      <c r="K12" s="636">
        <f t="shared" si="0"/>
        <v>3516</v>
      </c>
      <c r="L12" s="770">
        <v>611439</v>
      </c>
      <c r="M12" s="636">
        <f t="shared" si="1"/>
        <v>2159</v>
      </c>
      <c r="N12" s="770">
        <v>533135</v>
      </c>
      <c r="O12" s="636">
        <f>IF(N12&gt;=N11,N12-N11,0)</f>
        <v>1357</v>
      </c>
      <c r="P12" s="770">
        <v>221308</v>
      </c>
      <c r="Q12" s="636">
        <f t="shared" si="3"/>
        <v>480</v>
      </c>
      <c r="R12" s="769">
        <v>178913</v>
      </c>
      <c r="S12" s="636">
        <f t="shared" si="4"/>
        <v>140</v>
      </c>
      <c r="T12" s="769">
        <v>326937</v>
      </c>
      <c r="U12" s="636">
        <f t="shared" si="5"/>
        <v>265</v>
      </c>
      <c r="V12" s="769">
        <v>750666</v>
      </c>
      <c r="W12" s="636">
        <f t="shared" si="6"/>
        <v>1335.6000000000001</v>
      </c>
      <c r="X12" s="770">
        <v>116439</v>
      </c>
      <c r="Y12" s="636">
        <f t="shared" si="7"/>
        <v>0</v>
      </c>
      <c r="Z12" s="769">
        <v>134745</v>
      </c>
      <c r="AA12" s="636">
        <f t="shared" si="8"/>
        <v>0</v>
      </c>
      <c r="AB12" s="769">
        <v>488293</v>
      </c>
      <c r="AC12" s="636">
        <f t="shared" si="33"/>
        <v>0</v>
      </c>
      <c r="AD12" s="769">
        <v>656378</v>
      </c>
      <c r="AE12" s="636">
        <f t="shared" si="23"/>
        <v>13.25</v>
      </c>
      <c r="AF12" s="769">
        <v>835066</v>
      </c>
      <c r="AG12" s="636">
        <f t="shared" si="9"/>
        <v>12.72</v>
      </c>
      <c r="AH12" s="769">
        <v>973784</v>
      </c>
      <c r="AI12" s="636">
        <f t="shared" si="10"/>
        <v>430.36</v>
      </c>
      <c r="AJ12" s="770">
        <v>653149</v>
      </c>
      <c r="AK12" s="636">
        <f t="shared" si="11"/>
        <v>2163.46</v>
      </c>
      <c r="AL12" s="769">
        <v>486112</v>
      </c>
      <c r="AM12" s="636">
        <f t="shared" si="12"/>
        <v>156.35</v>
      </c>
      <c r="AN12" s="636">
        <f t="shared" si="24"/>
        <v>4111.7400000000007</v>
      </c>
      <c r="AO12" s="769">
        <v>7650119</v>
      </c>
      <c r="AP12" s="636">
        <f t="shared" si="25"/>
        <v>4.2750000000000004</v>
      </c>
      <c r="AQ12" s="770">
        <v>669655</v>
      </c>
      <c r="AR12" s="636">
        <f t="shared" si="13"/>
        <v>345</v>
      </c>
      <c r="AS12" s="769">
        <v>962916</v>
      </c>
      <c r="AT12" s="636">
        <f t="shared" si="26"/>
        <v>133</v>
      </c>
      <c r="AU12" s="710">
        <v>809448</v>
      </c>
      <c r="AV12" s="636">
        <f t="shared" si="14"/>
        <v>17</v>
      </c>
      <c r="AW12" s="770">
        <v>2607531</v>
      </c>
      <c r="AX12" s="636">
        <f t="shared" si="15"/>
        <v>588</v>
      </c>
      <c r="AY12" s="769">
        <v>229472</v>
      </c>
      <c r="AZ12" s="636">
        <f t="shared" si="16"/>
        <v>30</v>
      </c>
      <c r="BA12" s="770">
        <v>19194813</v>
      </c>
      <c r="BB12" s="636">
        <f t="shared" si="17"/>
        <v>4236</v>
      </c>
      <c r="BC12" s="769">
        <v>561967</v>
      </c>
      <c r="BD12" s="636">
        <f t="shared" si="17"/>
        <v>259</v>
      </c>
      <c r="BE12" s="769">
        <v>25467</v>
      </c>
      <c r="BF12" s="636">
        <f t="shared" si="17"/>
        <v>56</v>
      </c>
      <c r="BG12" s="770">
        <v>24003151</v>
      </c>
      <c r="BH12" s="636">
        <f t="shared" si="27"/>
        <v>4818.55</v>
      </c>
      <c r="BI12" s="636">
        <f t="shared" si="28"/>
        <v>10486.825000000001</v>
      </c>
      <c r="BJ12" s="636">
        <f t="shared" si="34"/>
        <v>14598.565000000002</v>
      </c>
      <c r="BK12" s="770">
        <v>1421700</v>
      </c>
      <c r="BL12" s="636">
        <f t="shared" si="18"/>
        <v>255</v>
      </c>
      <c r="BM12" s="770">
        <v>3915212</v>
      </c>
      <c r="BN12" s="636">
        <f t="shared" si="19"/>
        <v>882</v>
      </c>
      <c r="BO12" s="770">
        <v>410559</v>
      </c>
      <c r="BP12" s="636">
        <f t="shared" si="20"/>
        <v>139</v>
      </c>
      <c r="BQ12" s="769">
        <v>514677</v>
      </c>
      <c r="BR12" s="636">
        <f t="shared" ref="BR12:BR36" si="41">IF(BQ12&gt;=BQ11,BQ12-BQ11,0)</f>
        <v>154</v>
      </c>
      <c r="BS12" s="692">
        <f t="shared" si="29"/>
        <v>20696.565000000002</v>
      </c>
      <c r="BT12" s="693">
        <v>233</v>
      </c>
      <c r="BU12" s="692">
        <f t="shared" si="30"/>
        <v>101.95352216748769</v>
      </c>
      <c r="BV12" s="693"/>
      <c r="BW12" s="692" t="e">
        <f t="shared" si="31"/>
        <v>#DIV/0!</v>
      </c>
      <c r="BX12" s="692">
        <f t="shared" si="35"/>
        <v>24017.049750000002</v>
      </c>
      <c r="BY12" s="692">
        <f t="shared" si="32"/>
        <v>118.31058990147784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23764384</v>
      </c>
      <c r="J13" s="636">
        <f t="shared" si="22"/>
        <v>5864</v>
      </c>
      <c r="K13" s="636">
        <f t="shared" si="0"/>
        <v>3590</v>
      </c>
      <c r="L13" s="770">
        <v>613655</v>
      </c>
      <c r="M13" s="636">
        <f t="shared" si="1"/>
        <v>2216</v>
      </c>
      <c r="N13" s="770">
        <v>534509</v>
      </c>
      <c r="O13" s="636">
        <f>IF(N13&gt;=N12,N13-N12,0)</f>
        <v>1374</v>
      </c>
      <c r="P13" s="770">
        <v>221325</v>
      </c>
      <c r="Q13" s="636">
        <f t="shared" si="3"/>
        <v>510</v>
      </c>
      <c r="R13" s="769">
        <v>179055</v>
      </c>
      <c r="S13" s="636">
        <f t="shared" si="4"/>
        <v>142</v>
      </c>
      <c r="T13" s="769">
        <v>327202</v>
      </c>
      <c r="U13" s="636">
        <f t="shared" si="5"/>
        <v>265</v>
      </c>
      <c r="V13" s="769">
        <v>753310</v>
      </c>
      <c r="W13" s="636">
        <f t="shared" si="6"/>
        <v>1401.3200000000002</v>
      </c>
      <c r="X13" s="770">
        <v>116925</v>
      </c>
      <c r="Y13" s="636">
        <f t="shared" si="7"/>
        <v>257.58000000000004</v>
      </c>
      <c r="Z13" s="769">
        <v>134745</v>
      </c>
      <c r="AA13" s="636">
        <f t="shared" si="8"/>
        <v>0</v>
      </c>
      <c r="AB13" s="769">
        <v>488293</v>
      </c>
      <c r="AC13" s="636">
        <f t="shared" si="33"/>
        <v>0</v>
      </c>
      <c r="AD13" s="769">
        <v>656403</v>
      </c>
      <c r="AE13" s="636">
        <f t="shared" si="23"/>
        <v>13.25</v>
      </c>
      <c r="AF13" s="769">
        <v>835090</v>
      </c>
      <c r="AG13" s="636">
        <f t="shared" ref="AG13:AG36" si="42">IF(AF13&gt;=AF12,AF13-AF12,0)*0.53</f>
        <v>12.72</v>
      </c>
      <c r="AH13" s="770">
        <v>974566</v>
      </c>
      <c r="AI13" s="636">
        <f t="shared" si="10"/>
        <v>414.46000000000004</v>
      </c>
      <c r="AJ13" s="770">
        <v>657057</v>
      </c>
      <c r="AK13" s="636">
        <f t="shared" ref="AK13" si="43">IF(AJ13&gt;=AJ12,AJ13-AJ12,0)*0.53</f>
        <v>2071.2400000000002</v>
      </c>
      <c r="AL13" s="769">
        <v>486405</v>
      </c>
      <c r="AM13" s="636">
        <f t="shared" si="12"/>
        <v>155.29000000000002</v>
      </c>
      <c r="AN13" s="636">
        <f t="shared" si="24"/>
        <v>4325.8599999999997</v>
      </c>
      <c r="AO13" s="769">
        <v>7650156</v>
      </c>
      <c r="AP13" s="636">
        <f t="shared" si="25"/>
        <v>4.1625000000000005</v>
      </c>
      <c r="AQ13" s="769">
        <v>669972</v>
      </c>
      <c r="AR13" s="636">
        <f t="shared" si="13"/>
        <v>317</v>
      </c>
      <c r="AS13" s="770">
        <v>963055</v>
      </c>
      <c r="AT13" s="636">
        <f t="shared" si="26"/>
        <v>139</v>
      </c>
      <c r="AU13" s="770">
        <v>809468</v>
      </c>
      <c r="AV13" s="636">
        <f t="shared" si="14"/>
        <v>20</v>
      </c>
      <c r="AW13" s="770">
        <v>2608121</v>
      </c>
      <c r="AX13" s="636">
        <f t="shared" si="15"/>
        <v>590</v>
      </c>
      <c r="AY13" s="770">
        <v>229472</v>
      </c>
      <c r="AZ13" s="636">
        <f t="shared" si="16"/>
        <v>0</v>
      </c>
      <c r="BA13" s="770">
        <v>19199156</v>
      </c>
      <c r="BB13" s="636">
        <f t="shared" si="17"/>
        <v>4343</v>
      </c>
      <c r="BC13" s="769">
        <v>562227</v>
      </c>
      <c r="BD13" s="636">
        <f t="shared" si="17"/>
        <v>260</v>
      </c>
      <c r="BE13" s="769">
        <v>25513</v>
      </c>
      <c r="BF13" s="636">
        <f t="shared" si="17"/>
        <v>46</v>
      </c>
      <c r="BG13" s="770">
        <v>24008622</v>
      </c>
      <c r="BH13" s="636">
        <f t="shared" si="27"/>
        <v>4850.5</v>
      </c>
      <c r="BI13" s="636">
        <f t="shared" si="28"/>
        <v>10569.6625</v>
      </c>
      <c r="BJ13" s="636">
        <f t="shared" si="34"/>
        <v>14895.522499999999</v>
      </c>
      <c r="BK13" s="770">
        <v>1421955</v>
      </c>
      <c r="BL13" s="636">
        <f t="shared" si="18"/>
        <v>255</v>
      </c>
      <c r="BM13" s="770">
        <v>3916112</v>
      </c>
      <c r="BN13" s="636">
        <f t="shared" si="19"/>
        <v>900</v>
      </c>
      <c r="BO13" s="770">
        <v>410689</v>
      </c>
      <c r="BP13" s="636">
        <f t="shared" si="20"/>
        <v>130</v>
      </c>
      <c r="BQ13" s="770">
        <v>514834</v>
      </c>
      <c r="BR13" s="636">
        <f t="shared" si="41"/>
        <v>157</v>
      </c>
      <c r="BS13" s="692">
        <f t="shared" si="29"/>
        <v>21269.522499999999</v>
      </c>
      <c r="BT13" s="693">
        <v>238</v>
      </c>
      <c r="BU13" s="692">
        <f t="shared" ref="BU13:BU19" si="44">IF(BS13&gt;0,BS13/BT12,0)</f>
        <v>91.285504291845484</v>
      </c>
      <c r="BV13" s="693"/>
      <c r="BW13" s="692" t="e">
        <f t="shared" si="31"/>
        <v>#DIV/0!</v>
      </c>
      <c r="BX13" s="692">
        <f t="shared" si="35"/>
        <v>24689.450874999999</v>
      </c>
      <c r="BY13" s="692">
        <f t="shared" si="32"/>
        <v>105.96330847639484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23769967</v>
      </c>
      <c r="J14" s="636">
        <f t="shared" si="22"/>
        <v>5583</v>
      </c>
      <c r="K14" s="636">
        <f t="shared" si="0"/>
        <v>3778</v>
      </c>
      <c r="L14" s="770">
        <v>615991</v>
      </c>
      <c r="M14" s="636">
        <f>IF(L14&gt;=L13,L14-L13,0)</f>
        <v>2336</v>
      </c>
      <c r="N14" s="770">
        <v>535951</v>
      </c>
      <c r="O14" s="636">
        <f t="shared" si="2"/>
        <v>1442</v>
      </c>
      <c r="P14" s="770">
        <v>221341</v>
      </c>
      <c r="Q14" s="636">
        <f t="shared" si="3"/>
        <v>480</v>
      </c>
      <c r="R14" s="769">
        <v>179192</v>
      </c>
      <c r="S14" s="636">
        <f t="shared" si="4"/>
        <v>137</v>
      </c>
      <c r="T14" s="769">
        <v>327455</v>
      </c>
      <c r="U14" s="636">
        <f t="shared" si="5"/>
        <v>253</v>
      </c>
      <c r="V14" s="769">
        <v>755520</v>
      </c>
      <c r="W14" s="636">
        <f t="shared" si="6"/>
        <v>1171.3</v>
      </c>
      <c r="X14" s="770">
        <v>116925</v>
      </c>
      <c r="Y14" s="636">
        <f t="shared" si="7"/>
        <v>0</v>
      </c>
      <c r="Z14" s="770">
        <v>134745</v>
      </c>
      <c r="AA14" s="636">
        <f t="shared" si="8"/>
        <v>0</v>
      </c>
      <c r="AB14" s="769">
        <v>488293</v>
      </c>
      <c r="AC14" s="636">
        <f t="shared" si="33"/>
        <v>0</v>
      </c>
      <c r="AD14" s="769">
        <v>656427</v>
      </c>
      <c r="AE14" s="636">
        <f t="shared" si="23"/>
        <v>12.72</v>
      </c>
      <c r="AF14" s="769">
        <v>835114</v>
      </c>
      <c r="AG14" s="636">
        <f t="shared" si="42"/>
        <v>12.72</v>
      </c>
      <c r="AH14" s="769">
        <v>975358</v>
      </c>
      <c r="AI14" s="636">
        <f t="shared" si="10"/>
        <v>419.76000000000005</v>
      </c>
      <c r="AJ14" s="769">
        <v>661185</v>
      </c>
      <c r="AK14" s="636">
        <f t="shared" ref="AK14:AK36" si="45">IF(AJ14&gt;=AJ13,AJ14-AJ13,0)*0.53</f>
        <v>2187.84</v>
      </c>
      <c r="AL14" s="769">
        <v>486703</v>
      </c>
      <c r="AM14" s="636">
        <f t="shared" si="12"/>
        <v>157.94</v>
      </c>
      <c r="AN14" s="636">
        <f t="shared" si="24"/>
        <v>3962.28</v>
      </c>
      <c r="AO14" s="769">
        <v>7650193</v>
      </c>
      <c r="AP14" s="636">
        <f t="shared" si="25"/>
        <v>4.1625000000000005</v>
      </c>
      <c r="AQ14" s="770">
        <v>670294</v>
      </c>
      <c r="AR14" s="636">
        <f t="shared" si="13"/>
        <v>322</v>
      </c>
      <c r="AS14" s="770">
        <v>963201</v>
      </c>
      <c r="AT14" s="636">
        <f t="shared" si="26"/>
        <v>146</v>
      </c>
      <c r="AU14" s="770">
        <v>809496</v>
      </c>
      <c r="AV14" s="636">
        <f t="shared" si="14"/>
        <v>28</v>
      </c>
      <c r="AW14" s="769">
        <v>2608712</v>
      </c>
      <c r="AX14" s="636">
        <f t="shared" si="15"/>
        <v>591</v>
      </c>
      <c r="AY14" s="770">
        <v>229472</v>
      </c>
      <c r="AZ14" s="636">
        <f t="shared" si="16"/>
        <v>0</v>
      </c>
      <c r="BA14" s="770">
        <v>19203610</v>
      </c>
      <c r="BB14" s="636">
        <f t="shared" si="17"/>
        <v>4454</v>
      </c>
      <c r="BC14" s="769">
        <v>562467</v>
      </c>
      <c r="BD14" s="636">
        <f t="shared" si="17"/>
        <v>240</v>
      </c>
      <c r="BE14" s="769">
        <v>25559</v>
      </c>
      <c r="BF14" s="636">
        <f t="shared" si="17"/>
        <v>46</v>
      </c>
      <c r="BG14" s="770">
        <v>24013997</v>
      </c>
      <c r="BH14" s="636">
        <f t="shared" si="27"/>
        <v>4768.05</v>
      </c>
      <c r="BI14" s="636">
        <f t="shared" si="28"/>
        <v>10599.212500000001</v>
      </c>
      <c r="BJ14" s="636">
        <f t="shared" si="34"/>
        <v>14561.492500000002</v>
      </c>
      <c r="BK14" s="770">
        <v>1422205</v>
      </c>
      <c r="BL14" s="636">
        <f t="shared" si="18"/>
        <v>250</v>
      </c>
      <c r="BM14" s="770">
        <v>3916991</v>
      </c>
      <c r="BN14" s="636">
        <f t="shared" si="19"/>
        <v>879</v>
      </c>
      <c r="BO14" s="770">
        <v>410821</v>
      </c>
      <c r="BP14" s="636">
        <f t="shared" si="20"/>
        <v>132</v>
      </c>
      <c r="BQ14" s="770">
        <v>514986</v>
      </c>
      <c r="BR14" s="636">
        <f t="shared" si="41"/>
        <v>152</v>
      </c>
      <c r="BS14" s="692">
        <f t="shared" si="29"/>
        <v>20624.4925</v>
      </c>
      <c r="BT14" s="693">
        <v>220</v>
      </c>
      <c r="BU14" s="692">
        <f t="shared" si="44"/>
        <v>86.657531512605047</v>
      </c>
      <c r="BV14" s="693"/>
      <c r="BW14" s="692" t="e">
        <f t="shared" si="31"/>
        <v>#DIV/0!</v>
      </c>
      <c r="BX14" s="692">
        <f t="shared" si="35"/>
        <v>23934.166374999997</v>
      </c>
      <c r="BY14" s="692">
        <f t="shared" si="32"/>
        <v>100.56372426470587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23777334</v>
      </c>
      <c r="J15" s="636">
        <f t="shared" si="22"/>
        <v>7367</v>
      </c>
      <c r="K15" s="636">
        <f t="shared" si="0"/>
        <v>4484</v>
      </c>
      <c r="L15" s="770">
        <v>618882</v>
      </c>
      <c r="M15" s="636">
        <f>IF(L15&gt;=L14,L15-L14,0)</f>
        <v>2891</v>
      </c>
      <c r="N15" s="770">
        <v>537544</v>
      </c>
      <c r="O15" s="636">
        <f t="shared" si="2"/>
        <v>1593</v>
      </c>
      <c r="P15" s="770">
        <v>221360</v>
      </c>
      <c r="Q15" s="636">
        <f t="shared" si="3"/>
        <v>570</v>
      </c>
      <c r="R15" s="769">
        <v>179342</v>
      </c>
      <c r="S15" s="636">
        <f t="shared" si="4"/>
        <v>150</v>
      </c>
      <c r="T15" s="769">
        <v>327733</v>
      </c>
      <c r="U15" s="636">
        <f t="shared" si="5"/>
        <v>278</v>
      </c>
      <c r="V15" s="769">
        <v>757435</v>
      </c>
      <c r="W15" s="636">
        <f t="shared" si="6"/>
        <v>1014.95</v>
      </c>
      <c r="X15" s="770">
        <v>116925</v>
      </c>
      <c r="Y15" s="636">
        <f t="shared" si="7"/>
        <v>0</v>
      </c>
      <c r="Z15" s="770">
        <v>134745</v>
      </c>
      <c r="AA15" s="636">
        <f t="shared" si="8"/>
        <v>0</v>
      </c>
      <c r="AB15" s="769">
        <v>488293</v>
      </c>
      <c r="AC15" s="636">
        <f t="shared" si="33"/>
        <v>0</v>
      </c>
      <c r="AD15" s="769">
        <v>656454</v>
      </c>
      <c r="AE15" s="636">
        <f t="shared" si="23"/>
        <v>14.31</v>
      </c>
      <c r="AF15" s="769">
        <v>835140</v>
      </c>
      <c r="AG15" s="636">
        <f t="shared" si="42"/>
        <v>13.780000000000001</v>
      </c>
      <c r="AH15" s="770">
        <v>976233</v>
      </c>
      <c r="AI15" s="636">
        <f t="shared" si="10"/>
        <v>463.75</v>
      </c>
      <c r="AJ15" s="770">
        <v>665695</v>
      </c>
      <c r="AK15" s="636">
        <f t="shared" si="45"/>
        <v>2390.3000000000002</v>
      </c>
      <c r="AL15" s="769">
        <v>487030</v>
      </c>
      <c r="AM15" s="636">
        <f t="shared" si="12"/>
        <v>173.31</v>
      </c>
      <c r="AN15" s="636">
        <f t="shared" si="24"/>
        <v>4070.4</v>
      </c>
      <c r="AO15" s="769">
        <v>7650236</v>
      </c>
      <c r="AP15" s="636">
        <f t="shared" si="25"/>
        <v>4.8375000000000004</v>
      </c>
      <c r="AQ15" s="769">
        <v>670626</v>
      </c>
      <c r="AR15" s="636">
        <f t="shared" si="13"/>
        <v>332</v>
      </c>
      <c r="AS15" s="770">
        <v>963353</v>
      </c>
      <c r="AT15" s="636">
        <f t="shared" si="26"/>
        <v>152</v>
      </c>
      <c r="AU15" s="769">
        <v>809536</v>
      </c>
      <c r="AV15" s="636">
        <f t="shared" si="14"/>
        <v>40</v>
      </c>
      <c r="AW15" s="770">
        <v>2609337</v>
      </c>
      <c r="AX15" s="636">
        <f t="shared" si="15"/>
        <v>625</v>
      </c>
      <c r="AY15" s="770">
        <v>229472</v>
      </c>
      <c r="AZ15" s="636">
        <f t="shared" si="16"/>
        <v>0</v>
      </c>
      <c r="BA15" s="770">
        <v>19208094</v>
      </c>
      <c r="BB15" s="636">
        <f t="shared" si="17"/>
        <v>4484</v>
      </c>
      <c r="BC15" s="769">
        <v>562740</v>
      </c>
      <c r="BD15" s="636">
        <f t="shared" si="17"/>
        <v>273</v>
      </c>
      <c r="BE15" s="769">
        <v>25623</v>
      </c>
      <c r="BF15" s="636">
        <f t="shared" si="17"/>
        <v>64</v>
      </c>
      <c r="BG15" s="770">
        <v>24019668</v>
      </c>
      <c r="BH15" s="636">
        <f t="shared" si="27"/>
        <v>5043.8999999999996</v>
      </c>
      <c r="BI15" s="636">
        <f t="shared" si="28"/>
        <v>11018.737499999999</v>
      </c>
      <c r="BJ15" s="636">
        <f t="shared" si="34"/>
        <v>15089.137499999999</v>
      </c>
      <c r="BK15" s="770">
        <v>1422472</v>
      </c>
      <c r="BL15" s="636">
        <f t="shared" si="18"/>
        <v>267</v>
      </c>
      <c r="BM15" s="770">
        <v>3917909</v>
      </c>
      <c r="BN15" s="636">
        <f t="shared" si="19"/>
        <v>918</v>
      </c>
      <c r="BO15" s="770">
        <v>410961</v>
      </c>
      <c r="BP15" s="636">
        <f t="shared" si="20"/>
        <v>140</v>
      </c>
      <c r="BQ15" s="770">
        <v>515137</v>
      </c>
      <c r="BR15" s="636">
        <f t="shared" si="41"/>
        <v>151</v>
      </c>
      <c r="BS15" s="692">
        <f t="shared" si="29"/>
        <v>23026.137499999997</v>
      </c>
      <c r="BT15" s="693">
        <v>211</v>
      </c>
      <c r="BU15" s="692">
        <f t="shared" si="44"/>
        <v>104.66426136363636</v>
      </c>
      <c r="BV15" s="693"/>
      <c r="BW15" s="692" t="e">
        <f t="shared" si="31"/>
        <v>#DIV/0!</v>
      </c>
      <c r="BX15" s="692">
        <f t="shared" si="35"/>
        <v>26736.558124999996</v>
      </c>
      <c r="BY15" s="692">
        <f t="shared" si="32"/>
        <v>121.52980965909089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23783580</v>
      </c>
      <c r="J16" s="636">
        <f t="shared" si="22"/>
        <v>6246</v>
      </c>
      <c r="K16" s="636">
        <f t="shared" si="0"/>
        <v>3878</v>
      </c>
      <c r="L16" s="770">
        <v>621407</v>
      </c>
      <c r="M16" s="636">
        <f>IF(L16&gt;=L15,L16-L15,0)</f>
        <v>2525</v>
      </c>
      <c r="N16" s="769">
        <v>538897</v>
      </c>
      <c r="O16" s="636">
        <f t="shared" si="2"/>
        <v>1353</v>
      </c>
      <c r="P16" s="770">
        <v>221377</v>
      </c>
      <c r="Q16" s="636">
        <f t="shared" si="3"/>
        <v>510</v>
      </c>
      <c r="R16" s="769">
        <v>179472</v>
      </c>
      <c r="S16" s="636">
        <f t="shared" si="4"/>
        <v>130</v>
      </c>
      <c r="T16" s="769">
        <v>327977</v>
      </c>
      <c r="U16" s="636">
        <f t="shared" si="5"/>
        <v>244</v>
      </c>
      <c r="V16" s="769">
        <v>759228</v>
      </c>
      <c r="W16" s="636">
        <f t="shared" si="6"/>
        <v>950.29000000000008</v>
      </c>
      <c r="X16" s="770">
        <v>116925</v>
      </c>
      <c r="Y16" s="636">
        <f t="shared" si="7"/>
        <v>0</v>
      </c>
      <c r="Z16" s="770">
        <v>134745</v>
      </c>
      <c r="AA16" s="636">
        <f t="shared" si="8"/>
        <v>0</v>
      </c>
      <c r="AB16" s="769">
        <v>488293</v>
      </c>
      <c r="AC16" s="636">
        <f t="shared" si="33"/>
        <v>0</v>
      </c>
      <c r="AD16" s="769">
        <v>656476</v>
      </c>
      <c r="AE16" s="636">
        <f t="shared" si="23"/>
        <v>11.66</v>
      </c>
      <c r="AF16" s="769">
        <v>835162</v>
      </c>
      <c r="AG16" s="636">
        <f t="shared" si="42"/>
        <v>11.66</v>
      </c>
      <c r="AH16" s="769">
        <v>976975</v>
      </c>
      <c r="AI16" s="636">
        <f t="shared" si="10"/>
        <v>393.26000000000005</v>
      </c>
      <c r="AJ16" s="769">
        <v>669739</v>
      </c>
      <c r="AK16" s="636">
        <f t="shared" si="45"/>
        <v>2143.3200000000002</v>
      </c>
      <c r="AL16" s="769">
        <v>487310</v>
      </c>
      <c r="AM16" s="636">
        <f t="shared" si="12"/>
        <v>148.4</v>
      </c>
      <c r="AN16" s="636">
        <f t="shared" si="24"/>
        <v>3658.5900000000006</v>
      </c>
      <c r="AO16" s="769">
        <v>7650275</v>
      </c>
      <c r="AP16" s="636">
        <f t="shared" si="25"/>
        <v>4.3875000000000002</v>
      </c>
      <c r="AQ16" s="769">
        <v>670950</v>
      </c>
      <c r="AR16" s="636">
        <f t="shared" si="13"/>
        <v>324</v>
      </c>
      <c r="AS16" s="769">
        <v>963486</v>
      </c>
      <c r="AT16" s="636">
        <f t="shared" si="26"/>
        <v>133</v>
      </c>
      <c r="AU16" s="769">
        <v>809563</v>
      </c>
      <c r="AV16" s="636">
        <f t="shared" si="14"/>
        <v>27</v>
      </c>
      <c r="AW16" s="769">
        <v>2609882</v>
      </c>
      <c r="AX16" s="636">
        <f t="shared" si="15"/>
        <v>545</v>
      </c>
      <c r="AY16" s="769">
        <v>229472</v>
      </c>
      <c r="AZ16" s="636">
        <f t="shared" si="16"/>
        <v>0</v>
      </c>
      <c r="BA16" s="769">
        <v>19212249</v>
      </c>
      <c r="BB16" s="636">
        <f t="shared" si="17"/>
        <v>4155</v>
      </c>
      <c r="BC16" s="769">
        <v>562982</v>
      </c>
      <c r="BD16" s="636">
        <f t="shared" si="17"/>
        <v>242</v>
      </c>
      <c r="BE16" s="769">
        <v>25677</v>
      </c>
      <c r="BF16" s="636">
        <f t="shared" si="17"/>
        <v>54</v>
      </c>
      <c r="BG16" s="770">
        <v>24024736</v>
      </c>
      <c r="BH16" s="636">
        <f t="shared" si="27"/>
        <v>4507.9000000000005</v>
      </c>
      <c r="BI16" s="636">
        <f t="shared" si="28"/>
        <v>9992.2875000000004</v>
      </c>
      <c r="BJ16" s="636">
        <f t="shared" si="34"/>
        <v>13650.877500000001</v>
      </c>
      <c r="BK16" s="770">
        <v>1422712</v>
      </c>
      <c r="BL16" s="636">
        <f t="shared" si="18"/>
        <v>240</v>
      </c>
      <c r="BM16" s="770">
        <v>3918720</v>
      </c>
      <c r="BN16" s="636">
        <f t="shared" si="19"/>
        <v>811</v>
      </c>
      <c r="BO16" s="769">
        <v>411088</v>
      </c>
      <c r="BP16" s="636">
        <f t="shared" si="20"/>
        <v>127</v>
      </c>
      <c r="BQ16" s="769">
        <v>515275</v>
      </c>
      <c r="BR16" s="636">
        <f t="shared" si="41"/>
        <v>138</v>
      </c>
      <c r="BS16" s="692">
        <f t="shared" si="29"/>
        <v>20406.877500000002</v>
      </c>
      <c r="BT16" s="693">
        <v>201</v>
      </c>
      <c r="BU16" s="692">
        <f t="shared" si="44"/>
        <v>96.715059241706172</v>
      </c>
      <c r="BV16" s="693"/>
      <c r="BW16" s="692" t="e">
        <f t="shared" si="31"/>
        <v>#DIV/0!</v>
      </c>
      <c r="BX16" s="692">
        <f t="shared" si="35"/>
        <v>23697.409125000002</v>
      </c>
      <c r="BY16" s="692">
        <f>IF(BX16&gt;0,BX16/BT15,0)</f>
        <v>112.30999585308058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23790235</v>
      </c>
      <c r="J17" s="636">
        <f>IF(I17&gt;=I16,I17-I16,0)</f>
        <v>6655</v>
      </c>
      <c r="K17" s="636">
        <f t="shared" si="0"/>
        <v>4174</v>
      </c>
      <c r="L17" s="769">
        <v>624095</v>
      </c>
      <c r="M17" s="636">
        <f>IF(L17&gt;=L16,L17-L16,0)</f>
        <v>2688</v>
      </c>
      <c r="N17" s="769">
        <v>540383</v>
      </c>
      <c r="O17" s="636">
        <f t="shared" si="2"/>
        <v>1486</v>
      </c>
      <c r="P17" s="770">
        <v>221392</v>
      </c>
      <c r="Q17" s="636">
        <f t="shared" si="3"/>
        <v>450</v>
      </c>
      <c r="R17" s="769">
        <v>179610</v>
      </c>
      <c r="S17" s="636">
        <f t="shared" si="4"/>
        <v>138</v>
      </c>
      <c r="T17" s="769">
        <v>328234</v>
      </c>
      <c r="U17" s="636">
        <f t="shared" si="5"/>
        <v>257</v>
      </c>
      <c r="V17" s="769">
        <v>761208</v>
      </c>
      <c r="W17" s="636">
        <f t="shared" si="6"/>
        <v>1049.4000000000001</v>
      </c>
      <c r="X17" s="770">
        <v>116925</v>
      </c>
      <c r="Y17" s="636">
        <f t="shared" si="7"/>
        <v>0</v>
      </c>
      <c r="Z17" s="773">
        <v>134745</v>
      </c>
      <c r="AA17" s="636">
        <f t="shared" si="8"/>
        <v>0</v>
      </c>
      <c r="AB17" s="769">
        <v>488293</v>
      </c>
      <c r="AC17" s="636">
        <f t="shared" si="33"/>
        <v>0</v>
      </c>
      <c r="AD17" s="769">
        <v>656500</v>
      </c>
      <c r="AE17" s="636">
        <f t="shared" si="23"/>
        <v>12.72</v>
      </c>
      <c r="AF17" s="769">
        <v>835186</v>
      </c>
      <c r="AG17" s="636">
        <f t="shared" si="42"/>
        <v>12.72</v>
      </c>
      <c r="AH17" s="769">
        <v>977803</v>
      </c>
      <c r="AI17" s="636">
        <f t="shared" si="10"/>
        <v>438.84000000000003</v>
      </c>
      <c r="AJ17" s="769">
        <v>674193</v>
      </c>
      <c r="AK17" s="636">
        <f t="shared" si="45"/>
        <v>2360.6200000000003</v>
      </c>
      <c r="AL17" s="769">
        <v>487616</v>
      </c>
      <c r="AM17" s="636">
        <f t="shared" si="12"/>
        <v>162.18</v>
      </c>
      <c r="AN17" s="636">
        <f t="shared" si="24"/>
        <v>4036.4800000000005</v>
      </c>
      <c r="AO17" s="707">
        <v>7650312</v>
      </c>
      <c r="AP17" s="636">
        <f t="shared" si="25"/>
        <v>4.1625000000000005</v>
      </c>
      <c r="AQ17" s="769">
        <v>671277</v>
      </c>
      <c r="AR17" s="636">
        <f t="shared" si="13"/>
        <v>327</v>
      </c>
      <c r="AS17" s="769">
        <v>963622</v>
      </c>
      <c r="AT17" s="636">
        <f t="shared" si="26"/>
        <v>136</v>
      </c>
      <c r="AU17" s="769">
        <v>809584</v>
      </c>
      <c r="AV17" s="636">
        <f t="shared" si="14"/>
        <v>21</v>
      </c>
      <c r="AW17" s="769">
        <v>2610471</v>
      </c>
      <c r="AX17" s="636">
        <f t="shared" si="15"/>
        <v>589</v>
      </c>
      <c r="AY17" s="769">
        <v>229472</v>
      </c>
      <c r="AZ17" s="636">
        <f t="shared" si="16"/>
        <v>0</v>
      </c>
      <c r="BA17" s="769">
        <v>19216786</v>
      </c>
      <c r="BB17" s="636">
        <f t="shared" si="17"/>
        <v>4537</v>
      </c>
      <c r="BC17" s="769">
        <v>563219</v>
      </c>
      <c r="BD17" s="636">
        <f t="shared" si="17"/>
        <v>237</v>
      </c>
      <c r="BE17" s="769">
        <v>25733</v>
      </c>
      <c r="BF17" s="636">
        <f t="shared" si="17"/>
        <v>56</v>
      </c>
      <c r="BG17" s="770">
        <v>24030118</v>
      </c>
      <c r="BH17" s="636">
        <f t="shared" si="27"/>
        <v>4786.25</v>
      </c>
      <c r="BI17" s="636">
        <f t="shared" si="28"/>
        <v>10693.4125</v>
      </c>
      <c r="BJ17" s="636">
        <f t="shared" si="34"/>
        <v>14729.892500000002</v>
      </c>
      <c r="BK17" s="770">
        <v>1422967</v>
      </c>
      <c r="BL17" s="636">
        <f t="shared" si="18"/>
        <v>255</v>
      </c>
      <c r="BM17" s="769">
        <v>3919599</v>
      </c>
      <c r="BN17" s="636">
        <f t="shared" si="19"/>
        <v>879</v>
      </c>
      <c r="BO17" s="707">
        <v>411224</v>
      </c>
      <c r="BP17" s="636">
        <f t="shared" si="20"/>
        <v>136</v>
      </c>
      <c r="BQ17" s="769">
        <v>515414</v>
      </c>
      <c r="BR17" s="636">
        <f t="shared" si="41"/>
        <v>139</v>
      </c>
      <c r="BS17" s="692">
        <f t="shared" si="29"/>
        <v>21834.892500000002</v>
      </c>
      <c r="BT17" s="693">
        <v>179</v>
      </c>
      <c r="BU17" s="692">
        <f t="shared" si="44"/>
        <v>108.63130597014926</v>
      </c>
      <c r="BV17" s="693"/>
      <c r="BW17" s="692" t="e">
        <f t="shared" si="31"/>
        <v>#DIV/0!</v>
      </c>
      <c r="BX17" s="692">
        <f t="shared" si="35"/>
        <v>25312.626375</v>
      </c>
      <c r="BY17" s="692">
        <f>IF(BX17&gt;0,BX17/BT16,0)</f>
        <v>125.9334645522388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23796894</v>
      </c>
      <c r="J18" s="636">
        <f t="shared" si="22"/>
        <v>6659</v>
      </c>
      <c r="K18" s="636">
        <f t="shared" si="0"/>
        <v>4184</v>
      </c>
      <c r="L18" s="770">
        <v>626789</v>
      </c>
      <c r="M18" s="636">
        <f>IF(L18&gt;=L17,L18-L17,0)</f>
        <v>2694</v>
      </c>
      <c r="N18" s="770">
        <v>541873</v>
      </c>
      <c r="O18" s="636">
        <f t="shared" si="2"/>
        <v>1490</v>
      </c>
      <c r="P18" s="770">
        <v>221410</v>
      </c>
      <c r="Q18" s="636">
        <f t="shared" si="3"/>
        <v>540</v>
      </c>
      <c r="R18" s="769">
        <v>179749</v>
      </c>
      <c r="S18" s="636">
        <f t="shared" si="4"/>
        <v>139</v>
      </c>
      <c r="T18" s="769">
        <v>328485</v>
      </c>
      <c r="U18" s="636">
        <f t="shared" si="5"/>
        <v>251</v>
      </c>
      <c r="V18" s="769">
        <v>763194</v>
      </c>
      <c r="W18" s="636">
        <f t="shared" si="6"/>
        <v>1052.5800000000002</v>
      </c>
      <c r="X18" s="770">
        <v>116925</v>
      </c>
      <c r="Y18" s="636">
        <f t="shared" si="7"/>
        <v>0</v>
      </c>
      <c r="Z18" s="769">
        <v>134745</v>
      </c>
      <c r="AA18" s="636">
        <f t="shared" si="8"/>
        <v>0</v>
      </c>
      <c r="AB18" s="769">
        <v>488293</v>
      </c>
      <c r="AC18" s="636">
        <f t="shared" si="33"/>
        <v>0</v>
      </c>
      <c r="AD18" s="769">
        <v>656526</v>
      </c>
      <c r="AE18" s="636">
        <f t="shared" si="23"/>
        <v>13.780000000000001</v>
      </c>
      <c r="AF18" s="769">
        <v>835211</v>
      </c>
      <c r="AG18" s="636">
        <f t="shared" si="42"/>
        <v>13.25</v>
      </c>
      <c r="AH18" s="769">
        <v>978640</v>
      </c>
      <c r="AI18" s="636">
        <f t="shared" si="10"/>
        <v>443.61</v>
      </c>
      <c r="AJ18" s="769">
        <v>678656</v>
      </c>
      <c r="AK18" s="636">
        <f t="shared" si="45"/>
        <v>2365.3900000000003</v>
      </c>
      <c r="AL18" s="769">
        <v>487925</v>
      </c>
      <c r="AM18" s="636">
        <f t="shared" si="12"/>
        <v>163.77000000000001</v>
      </c>
      <c r="AN18" s="636">
        <f t="shared" si="24"/>
        <v>4052.3800000000006</v>
      </c>
      <c r="AO18" s="769">
        <v>7650355</v>
      </c>
      <c r="AP18" s="636">
        <f t="shared" si="25"/>
        <v>4.8375000000000004</v>
      </c>
      <c r="AQ18" s="770">
        <v>671597</v>
      </c>
      <c r="AR18" s="636">
        <f t="shared" si="13"/>
        <v>320</v>
      </c>
      <c r="AS18" s="770">
        <v>963761</v>
      </c>
      <c r="AT18" s="636">
        <f t="shared" si="26"/>
        <v>139</v>
      </c>
      <c r="AU18" s="770">
        <v>809607</v>
      </c>
      <c r="AV18" s="636">
        <f t="shared" si="14"/>
        <v>23</v>
      </c>
      <c r="AW18" s="770">
        <v>2611056</v>
      </c>
      <c r="AX18" s="636">
        <f t="shared" si="15"/>
        <v>585</v>
      </c>
      <c r="AY18" s="769">
        <v>229472</v>
      </c>
      <c r="AZ18" s="636">
        <f t="shared" si="16"/>
        <v>0</v>
      </c>
      <c r="BA18" s="769">
        <v>19221621</v>
      </c>
      <c r="BB18" s="636">
        <f t="shared" si="17"/>
        <v>4835</v>
      </c>
      <c r="BC18" s="769">
        <v>563452</v>
      </c>
      <c r="BD18" s="636">
        <f t="shared" si="17"/>
        <v>233</v>
      </c>
      <c r="BE18" s="769">
        <v>25784</v>
      </c>
      <c r="BF18" s="636">
        <f t="shared" si="17"/>
        <v>51</v>
      </c>
      <c r="BG18" s="770">
        <v>24035857</v>
      </c>
      <c r="BH18" s="636">
        <f t="shared" si="27"/>
        <v>5120.1500000000005</v>
      </c>
      <c r="BI18" s="636">
        <f t="shared" si="28"/>
        <v>11310.987499999999</v>
      </c>
      <c r="BJ18" s="636">
        <f t="shared" si="34"/>
        <v>15363.3675</v>
      </c>
      <c r="BK18" s="770">
        <v>1423232</v>
      </c>
      <c r="BL18" s="636">
        <f t="shared" si="18"/>
        <v>265</v>
      </c>
      <c r="BM18" s="769">
        <v>3920511</v>
      </c>
      <c r="BN18" s="636">
        <f t="shared" si="19"/>
        <v>912</v>
      </c>
      <c r="BO18" s="769">
        <v>411365</v>
      </c>
      <c r="BP18" s="636">
        <f t="shared" si="20"/>
        <v>141</v>
      </c>
      <c r="BQ18" s="769">
        <v>515559</v>
      </c>
      <c r="BR18" s="636">
        <f t="shared" si="41"/>
        <v>145</v>
      </c>
      <c r="BS18" s="692">
        <f t="shared" si="29"/>
        <v>22562.3675</v>
      </c>
      <c r="BT18" s="693">
        <v>207</v>
      </c>
      <c r="BU18" s="692">
        <f t="shared" si="44"/>
        <v>126.04674581005587</v>
      </c>
      <c r="BV18" s="693"/>
      <c r="BW18" s="692" t="e">
        <f t="shared" si="31"/>
        <v>#DIV/0!</v>
      </c>
      <c r="BX18" s="692">
        <f t="shared" si="35"/>
        <v>26189.722624999999</v>
      </c>
      <c r="BY18" s="692">
        <f>IF(BX18&gt;0,BX18/BT17,0)</f>
        <v>146.31129958100558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23803960</v>
      </c>
      <c r="J19" s="636">
        <f t="shared" si="22"/>
        <v>7066</v>
      </c>
      <c r="K19" s="636">
        <f t="shared" si="0"/>
        <v>4000</v>
      </c>
      <c r="L19" s="770">
        <v>629289</v>
      </c>
      <c r="M19" s="636">
        <f t="shared" si="1"/>
        <v>2500</v>
      </c>
      <c r="N19" s="770">
        <v>543373</v>
      </c>
      <c r="O19" s="636">
        <f t="shared" si="2"/>
        <v>1500</v>
      </c>
      <c r="P19" s="770">
        <v>221428</v>
      </c>
      <c r="Q19" s="636">
        <f t="shared" ref="Q19:Q36" si="46">IF(P19&gt;=P18,P19-P18,0)*30</f>
        <v>540</v>
      </c>
      <c r="R19" s="769">
        <v>179889</v>
      </c>
      <c r="S19" s="636">
        <f t="shared" si="4"/>
        <v>140</v>
      </c>
      <c r="T19" s="769">
        <v>328746</v>
      </c>
      <c r="U19" s="636">
        <f t="shared" si="5"/>
        <v>261</v>
      </c>
      <c r="V19" s="769">
        <v>765094</v>
      </c>
      <c r="W19" s="636">
        <f t="shared" si="6"/>
        <v>1007</v>
      </c>
      <c r="X19" s="770">
        <v>116925</v>
      </c>
      <c r="Y19" s="636">
        <f t="shared" si="7"/>
        <v>0</v>
      </c>
      <c r="Z19" s="769">
        <v>134745</v>
      </c>
      <c r="AA19" s="636">
        <f t="shared" si="8"/>
        <v>0</v>
      </c>
      <c r="AB19" s="769">
        <v>488293</v>
      </c>
      <c r="AC19" s="636">
        <f t="shared" si="33"/>
        <v>0</v>
      </c>
      <c r="AD19" s="769">
        <v>656549</v>
      </c>
      <c r="AE19" s="636">
        <f t="shared" si="23"/>
        <v>12.190000000000001</v>
      </c>
      <c r="AF19" s="769">
        <v>835235</v>
      </c>
      <c r="AG19" s="636">
        <f t="shared" si="42"/>
        <v>12.72</v>
      </c>
      <c r="AH19" s="770">
        <v>979470</v>
      </c>
      <c r="AI19" s="636">
        <f t="shared" si="10"/>
        <v>439.90000000000003</v>
      </c>
      <c r="AJ19" s="770">
        <v>683117</v>
      </c>
      <c r="AK19" s="636">
        <f t="shared" si="45"/>
        <v>2364.33</v>
      </c>
      <c r="AL19" s="769">
        <v>488230</v>
      </c>
      <c r="AM19" s="636">
        <f t="shared" si="12"/>
        <v>161.65</v>
      </c>
      <c r="AN19" s="636">
        <f t="shared" si="24"/>
        <v>3997.7900000000004</v>
      </c>
      <c r="AO19" s="769">
        <v>7650395</v>
      </c>
      <c r="AP19" s="636">
        <f t="shared" si="25"/>
        <v>4.5</v>
      </c>
      <c r="AQ19" s="769">
        <v>671926</v>
      </c>
      <c r="AR19" s="636">
        <f t="shared" si="13"/>
        <v>329</v>
      </c>
      <c r="AS19" s="770">
        <v>963895</v>
      </c>
      <c r="AT19" s="636">
        <f t="shared" si="26"/>
        <v>134</v>
      </c>
      <c r="AU19" s="769">
        <v>809612</v>
      </c>
      <c r="AV19" s="636">
        <f t="shared" si="14"/>
        <v>5</v>
      </c>
      <c r="AW19" s="770">
        <v>2611056</v>
      </c>
      <c r="AX19" s="636">
        <f t="shared" si="15"/>
        <v>0</v>
      </c>
      <c r="AY19" s="769">
        <v>229472</v>
      </c>
      <c r="AZ19" s="636">
        <f t="shared" ref="AZ19:AZ36" si="47">IF(AY19&gt;=AY18,AY19-AY18,0)</f>
        <v>0</v>
      </c>
      <c r="BA19" s="770">
        <v>19225863</v>
      </c>
      <c r="BB19" s="636">
        <f t="shared" si="17"/>
        <v>4242</v>
      </c>
      <c r="BC19" s="769">
        <v>563665</v>
      </c>
      <c r="BD19" s="636">
        <f t="shared" si="17"/>
        <v>213</v>
      </c>
      <c r="BE19" s="769">
        <v>25839</v>
      </c>
      <c r="BF19" s="636">
        <f t="shared" si="17"/>
        <v>55</v>
      </c>
      <c r="BG19" s="770">
        <v>24040797</v>
      </c>
      <c r="BH19" s="636">
        <f t="shared" si="27"/>
        <v>4480.7</v>
      </c>
      <c r="BI19" s="636">
        <f t="shared" si="28"/>
        <v>9463.2000000000007</v>
      </c>
      <c r="BJ19" s="636">
        <f t="shared" si="34"/>
        <v>13460.990000000002</v>
      </c>
      <c r="BK19" s="770">
        <v>1423474</v>
      </c>
      <c r="BL19" s="636">
        <f t="shared" si="18"/>
        <v>242</v>
      </c>
      <c r="BM19" s="769">
        <v>3921117</v>
      </c>
      <c r="BN19" s="636">
        <f t="shared" si="19"/>
        <v>606</v>
      </c>
      <c r="BO19" s="707">
        <v>411493</v>
      </c>
      <c r="BP19" s="636">
        <f t="shared" si="20"/>
        <v>128</v>
      </c>
      <c r="BQ19" s="770">
        <v>515688</v>
      </c>
      <c r="BR19" s="636">
        <f t="shared" si="41"/>
        <v>129</v>
      </c>
      <c r="BS19" s="692">
        <f t="shared" si="29"/>
        <v>21066.99</v>
      </c>
      <c r="BT19" s="693">
        <v>215</v>
      </c>
      <c r="BU19" s="692">
        <f t="shared" si="44"/>
        <v>101.77289855072465</v>
      </c>
      <c r="BV19" s="693"/>
      <c r="BW19" s="692" t="e">
        <f t="shared" si="31"/>
        <v>#DIV/0!</v>
      </c>
      <c r="BX19" s="692">
        <f t="shared" si="35"/>
        <v>24470.038499999999</v>
      </c>
      <c r="BY19" s="692">
        <f>IF(BX19&gt;0,BX19/BT18,0)</f>
        <v>118.21274637681159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23810471</v>
      </c>
      <c r="J20" s="636">
        <f>IF(I20&gt;=I19,I20-I19,0)</f>
        <v>6511</v>
      </c>
      <c r="K20" s="636">
        <f t="shared" si="0"/>
        <v>4004</v>
      </c>
      <c r="L20" s="770">
        <v>631790</v>
      </c>
      <c r="M20" s="636">
        <f t="shared" si="1"/>
        <v>2501</v>
      </c>
      <c r="N20" s="770">
        <v>544876</v>
      </c>
      <c r="O20" s="636">
        <f t="shared" si="2"/>
        <v>1503</v>
      </c>
      <c r="P20" s="770">
        <v>221446</v>
      </c>
      <c r="Q20" s="636">
        <f t="shared" si="46"/>
        <v>540</v>
      </c>
      <c r="R20" s="769">
        <v>180030</v>
      </c>
      <c r="S20" s="636">
        <f t="shared" si="4"/>
        <v>141</v>
      </c>
      <c r="T20" s="769">
        <v>329006</v>
      </c>
      <c r="U20" s="636">
        <f t="shared" si="5"/>
        <v>260</v>
      </c>
      <c r="V20" s="769">
        <v>766995</v>
      </c>
      <c r="W20" s="636">
        <f t="shared" si="6"/>
        <v>1007.5300000000001</v>
      </c>
      <c r="X20" s="770">
        <v>116925</v>
      </c>
      <c r="Y20" s="636">
        <f t="shared" si="7"/>
        <v>0</v>
      </c>
      <c r="Z20" s="770">
        <v>134745</v>
      </c>
      <c r="AA20" s="636">
        <f t="shared" si="8"/>
        <v>0</v>
      </c>
      <c r="AB20" s="769">
        <v>488293</v>
      </c>
      <c r="AC20" s="636">
        <f t="shared" si="33"/>
        <v>0</v>
      </c>
      <c r="AD20" s="769">
        <v>656575</v>
      </c>
      <c r="AE20" s="636">
        <f t="shared" si="23"/>
        <v>13.780000000000001</v>
      </c>
      <c r="AF20" s="769">
        <v>835260</v>
      </c>
      <c r="AG20" s="636">
        <f t="shared" si="42"/>
        <v>13.25</v>
      </c>
      <c r="AH20" s="769">
        <v>980299</v>
      </c>
      <c r="AI20" s="636">
        <f t="shared" si="10"/>
        <v>439.37</v>
      </c>
      <c r="AJ20" s="769">
        <v>687573</v>
      </c>
      <c r="AK20" s="636">
        <f t="shared" si="45"/>
        <v>2361.6800000000003</v>
      </c>
      <c r="AL20" s="769">
        <v>488537</v>
      </c>
      <c r="AM20" s="636">
        <f t="shared" si="12"/>
        <v>162.71</v>
      </c>
      <c r="AN20" s="636">
        <f t="shared" si="24"/>
        <v>3998.32</v>
      </c>
      <c r="AO20" s="769">
        <v>7650432</v>
      </c>
      <c r="AP20" s="636">
        <f t="shared" si="25"/>
        <v>4.1625000000000005</v>
      </c>
      <c r="AQ20" s="770">
        <v>672254</v>
      </c>
      <c r="AR20" s="636">
        <f t="shared" si="13"/>
        <v>328</v>
      </c>
      <c r="AS20" s="769">
        <v>964031</v>
      </c>
      <c r="AT20" s="636">
        <f t="shared" si="26"/>
        <v>136</v>
      </c>
      <c r="AU20" s="769">
        <v>809628</v>
      </c>
      <c r="AV20" s="636">
        <f t="shared" si="14"/>
        <v>16</v>
      </c>
      <c r="AW20" s="769">
        <v>2611646</v>
      </c>
      <c r="AX20" s="636">
        <f t="shared" si="15"/>
        <v>590</v>
      </c>
      <c r="AY20" s="769">
        <v>229472</v>
      </c>
      <c r="AZ20" s="636">
        <f t="shared" si="47"/>
        <v>0</v>
      </c>
      <c r="BA20" s="769">
        <v>19230454</v>
      </c>
      <c r="BB20" s="636">
        <f t="shared" si="17"/>
        <v>4591</v>
      </c>
      <c r="BC20" s="769">
        <v>563881</v>
      </c>
      <c r="BD20" s="636">
        <f t="shared" si="17"/>
        <v>216</v>
      </c>
      <c r="BE20" s="769">
        <v>25894</v>
      </c>
      <c r="BF20" s="636">
        <f t="shared" si="17"/>
        <v>55</v>
      </c>
      <c r="BG20" s="770">
        <v>24045965</v>
      </c>
      <c r="BH20" s="636">
        <f t="shared" si="27"/>
        <v>4694.75</v>
      </c>
      <c r="BI20" s="636">
        <f t="shared" si="28"/>
        <v>10630.9125</v>
      </c>
      <c r="BJ20" s="636">
        <f t="shared" si="34"/>
        <v>14629.2325</v>
      </c>
      <c r="BK20" s="770">
        <v>1423730</v>
      </c>
      <c r="BL20" s="636">
        <f t="shared" si="18"/>
        <v>256</v>
      </c>
      <c r="BM20" s="769">
        <v>3921723</v>
      </c>
      <c r="BN20" s="636">
        <f t="shared" si="19"/>
        <v>606</v>
      </c>
      <c r="BO20" s="769">
        <v>411632</v>
      </c>
      <c r="BP20" s="636">
        <f t="shared" si="20"/>
        <v>139</v>
      </c>
      <c r="BQ20" s="769">
        <v>515826</v>
      </c>
      <c r="BR20" s="636">
        <f t="shared" si="41"/>
        <v>138</v>
      </c>
      <c r="BS20" s="692">
        <f t="shared" si="29"/>
        <v>21680.232499999998</v>
      </c>
      <c r="BT20" s="693">
        <v>197</v>
      </c>
      <c r="BU20" s="692">
        <f>IF(BS20&gt;0,BS20/BT20,0)</f>
        <v>110.05194162436547</v>
      </c>
      <c r="BV20" s="693"/>
      <c r="BW20" s="692" t="e">
        <f t="shared" si="31"/>
        <v>#DIV/0!</v>
      </c>
      <c r="BX20" s="692">
        <f t="shared" si="35"/>
        <v>25175.267374999996</v>
      </c>
      <c r="BY20" s="692">
        <f t="shared" ref="BY20:BY36" si="48">IF(BX20&gt;0,BX20/BT20,0)</f>
        <v>127.79323540609136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23818488</v>
      </c>
      <c r="J21" s="636">
        <f>IF(I21&gt;=I20,I21-I20,0)</f>
        <v>8017</v>
      </c>
      <c r="K21" s="636">
        <f t="shared" si="0"/>
        <v>5075</v>
      </c>
      <c r="L21" s="770">
        <v>635323</v>
      </c>
      <c r="M21" s="636">
        <f t="shared" si="1"/>
        <v>3533</v>
      </c>
      <c r="N21" s="770">
        <v>546418</v>
      </c>
      <c r="O21" s="636">
        <f t="shared" si="2"/>
        <v>1542</v>
      </c>
      <c r="P21" s="770">
        <v>221463</v>
      </c>
      <c r="Q21" s="636">
        <f t="shared" si="46"/>
        <v>510</v>
      </c>
      <c r="R21" s="769">
        <v>180177</v>
      </c>
      <c r="S21" s="636">
        <f t="shared" ref="S21:S36" si="49">IF(R21&gt;=R20,R21-R20,0)</f>
        <v>147</v>
      </c>
      <c r="T21" s="769">
        <v>329273</v>
      </c>
      <c r="U21" s="636">
        <f t="shared" si="5"/>
        <v>267</v>
      </c>
      <c r="V21" s="769">
        <v>768349</v>
      </c>
      <c r="W21" s="636">
        <f t="shared" si="6"/>
        <v>717.62</v>
      </c>
      <c r="X21" s="770">
        <v>118791</v>
      </c>
      <c r="Y21" s="636">
        <f t="shared" si="7"/>
        <v>988.98</v>
      </c>
      <c r="Z21" s="770">
        <v>134745</v>
      </c>
      <c r="AA21" s="636">
        <f t="shared" si="8"/>
        <v>0</v>
      </c>
      <c r="AB21" s="769">
        <v>488293</v>
      </c>
      <c r="AC21" s="636">
        <f t="shared" si="33"/>
        <v>0</v>
      </c>
      <c r="AD21" s="769">
        <v>656608</v>
      </c>
      <c r="AE21" s="636">
        <f t="shared" si="23"/>
        <v>17.490000000000002</v>
      </c>
      <c r="AF21" s="769">
        <v>835284</v>
      </c>
      <c r="AG21" s="636">
        <f t="shared" si="42"/>
        <v>12.72</v>
      </c>
      <c r="AH21" s="770">
        <v>981107</v>
      </c>
      <c r="AI21" s="636">
        <f t="shared" si="10"/>
        <v>428.24</v>
      </c>
      <c r="AJ21" s="770">
        <v>691599</v>
      </c>
      <c r="AK21" s="636">
        <f t="shared" si="45"/>
        <v>2133.7800000000002</v>
      </c>
      <c r="AL21" s="769">
        <v>488805</v>
      </c>
      <c r="AM21" s="636">
        <f t="shared" si="12"/>
        <v>142.04000000000002</v>
      </c>
      <c r="AN21" s="636">
        <f t="shared" si="24"/>
        <v>4440.87</v>
      </c>
      <c r="AO21" s="769">
        <v>7650487</v>
      </c>
      <c r="AP21" s="636">
        <f t="shared" si="25"/>
        <v>6.1875</v>
      </c>
      <c r="AQ21" s="769">
        <v>672619</v>
      </c>
      <c r="AR21" s="636">
        <f t="shared" si="13"/>
        <v>365</v>
      </c>
      <c r="AS21" s="769">
        <v>964168</v>
      </c>
      <c r="AT21" s="636">
        <f t="shared" si="26"/>
        <v>137</v>
      </c>
      <c r="AU21" s="769">
        <v>809666</v>
      </c>
      <c r="AV21" s="636">
        <f t="shared" si="14"/>
        <v>38</v>
      </c>
      <c r="AW21" s="769">
        <v>2612641</v>
      </c>
      <c r="AX21" s="636">
        <f t="shared" si="15"/>
        <v>995</v>
      </c>
      <c r="AY21" s="770">
        <v>229472</v>
      </c>
      <c r="AZ21" s="636">
        <f t="shared" si="47"/>
        <v>0</v>
      </c>
      <c r="BA21" s="770">
        <v>19234813</v>
      </c>
      <c r="BB21" s="636">
        <f t="shared" si="17"/>
        <v>4359</v>
      </c>
      <c r="BC21" s="769">
        <v>564098</v>
      </c>
      <c r="BD21" s="636">
        <f t="shared" si="17"/>
        <v>217</v>
      </c>
      <c r="BE21" s="769">
        <v>25946</v>
      </c>
      <c r="BF21" s="636">
        <f t="shared" si="17"/>
        <v>52</v>
      </c>
      <c r="BG21" s="770">
        <v>24051230</v>
      </c>
      <c r="BH21" s="636">
        <f t="shared" si="27"/>
        <v>4717.6000000000004</v>
      </c>
      <c r="BI21" s="636">
        <f t="shared" si="28"/>
        <v>10886.7875</v>
      </c>
      <c r="BJ21" s="636">
        <f t="shared" si="34"/>
        <v>15327.657500000001</v>
      </c>
      <c r="BK21" s="770">
        <v>1423986</v>
      </c>
      <c r="BL21" s="636">
        <f t="shared" si="18"/>
        <v>256</v>
      </c>
      <c r="BM21" s="769">
        <v>3922498</v>
      </c>
      <c r="BN21" s="636">
        <f t="shared" si="19"/>
        <v>775</v>
      </c>
      <c r="BO21" s="769">
        <v>411769</v>
      </c>
      <c r="BP21" s="636">
        <f t="shared" si="20"/>
        <v>137</v>
      </c>
      <c r="BQ21" s="769">
        <v>515963</v>
      </c>
      <c r="BR21" s="636">
        <f t="shared" si="41"/>
        <v>137</v>
      </c>
      <c r="BS21" s="692">
        <f t="shared" si="29"/>
        <v>23854.657500000001</v>
      </c>
      <c r="BT21" s="693">
        <v>176</v>
      </c>
      <c r="BU21" s="692">
        <f t="shared" ref="BU21:BU36" si="50">IF(BS21&gt;0,BS21/BT21,0)</f>
        <v>135.53782670454547</v>
      </c>
      <c r="BV21" s="693"/>
      <c r="BW21" s="692" t="e">
        <f t="shared" si="31"/>
        <v>#DIV/0!</v>
      </c>
      <c r="BX21" s="692">
        <f t="shared" si="35"/>
        <v>27662.356124999998</v>
      </c>
      <c r="BY21" s="692">
        <f t="shared" si="48"/>
        <v>157.17247798295455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23826210</v>
      </c>
      <c r="J22" s="636">
        <f t="shared" ref="J22:J31" si="51">IF(I22&gt;=I21,I22-I21,0)</f>
        <v>7722</v>
      </c>
      <c r="K22" s="636">
        <f t="shared" si="0"/>
        <v>4612</v>
      </c>
      <c r="L22" s="770">
        <v>638423</v>
      </c>
      <c r="M22" s="636">
        <f t="shared" si="1"/>
        <v>3100</v>
      </c>
      <c r="N22" s="770">
        <v>547930</v>
      </c>
      <c r="O22" s="636">
        <f t="shared" si="2"/>
        <v>1512</v>
      </c>
      <c r="P22" s="770">
        <v>221481</v>
      </c>
      <c r="Q22" s="636">
        <f t="shared" si="46"/>
        <v>540</v>
      </c>
      <c r="R22" s="769">
        <v>180321</v>
      </c>
      <c r="S22" s="636">
        <f t="shared" si="49"/>
        <v>144</v>
      </c>
      <c r="T22" s="769">
        <v>329534</v>
      </c>
      <c r="U22" s="636">
        <f t="shared" si="5"/>
        <v>261</v>
      </c>
      <c r="V22" s="769">
        <v>768797</v>
      </c>
      <c r="W22" s="636">
        <f t="shared" si="6"/>
        <v>237.44</v>
      </c>
      <c r="X22" s="770">
        <v>120681</v>
      </c>
      <c r="Y22" s="636">
        <f t="shared" si="7"/>
        <v>1001.7</v>
      </c>
      <c r="Z22" s="770">
        <v>134745</v>
      </c>
      <c r="AA22" s="636">
        <f t="shared" si="8"/>
        <v>0</v>
      </c>
      <c r="AB22" s="769">
        <v>488293</v>
      </c>
      <c r="AC22" s="636">
        <f t="shared" si="33"/>
        <v>0</v>
      </c>
      <c r="AD22" s="769">
        <v>656631</v>
      </c>
      <c r="AE22" s="636">
        <f t="shared" si="23"/>
        <v>12.190000000000001</v>
      </c>
      <c r="AF22" s="769">
        <v>835308</v>
      </c>
      <c r="AG22" s="636">
        <f t="shared" si="42"/>
        <v>12.72</v>
      </c>
      <c r="AH22" s="769">
        <v>981640</v>
      </c>
      <c r="AI22" s="636">
        <f t="shared" si="10"/>
        <v>282.49</v>
      </c>
      <c r="AJ22" s="769">
        <v>696000</v>
      </c>
      <c r="AK22" s="636">
        <f t="shared" si="45"/>
        <v>2332.5300000000002</v>
      </c>
      <c r="AL22" s="769">
        <v>489110</v>
      </c>
      <c r="AM22" s="636">
        <f t="shared" si="12"/>
        <v>161.65</v>
      </c>
      <c r="AN22" s="636">
        <f t="shared" si="24"/>
        <v>4040.7200000000007</v>
      </c>
      <c r="AO22" s="769">
        <v>7650528</v>
      </c>
      <c r="AP22" s="636">
        <f t="shared" si="25"/>
        <v>4.6124999999999998</v>
      </c>
      <c r="AQ22" s="770">
        <v>672947</v>
      </c>
      <c r="AR22" s="636">
        <f t="shared" si="13"/>
        <v>328</v>
      </c>
      <c r="AS22" s="769">
        <v>964305</v>
      </c>
      <c r="AT22" s="636">
        <f t="shared" si="26"/>
        <v>137</v>
      </c>
      <c r="AU22" s="769">
        <v>809687</v>
      </c>
      <c r="AV22" s="636">
        <f t="shared" si="14"/>
        <v>21</v>
      </c>
      <c r="AW22" s="769">
        <v>2613227</v>
      </c>
      <c r="AX22" s="636">
        <f t="shared" si="15"/>
        <v>586</v>
      </c>
      <c r="AY22" s="769">
        <v>229472</v>
      </c>
      <c r="AZ22" s="636">
        <f t="shared" si="47"/>
        <v>0</v>
      </c>
      <c r="BA22" s="769">
        <v>19239200</v>
      </c>
      <c r="BB22" s="636">
        <f t="shared" si="17"/>
        <v>4387</v>
      </c>
      <c r="BC22" s="769">
        <v>564299</v>
      </c>
      <c r="BD22" s="636">
        <f t="shared" si="17"/>
        <v>201</v>
      </c>
      <c r="BE22" s="769">
        <v>26000</v>
      </c>
      <c r="BF22" s="636">
        <f t="shared" si="17"/>
        <v>54</v>
      </c>
      <c r="BG22" s="770">
        <v>24056619</v>
      </c>
      <c r="BH22" s="636">
        <f t="shared" si="27"/>
        <v>4820.05</v>
      </c>
      <c r="BI22" s="636">
        <f t="shared" si="28"/>
        <v>10538.6625</v>
      </c>
      <c r="BJ22" s="636">
        <f t="shared" si="34"/>
        <v>14579.382500000002</v>
      </c>
      <c r="BK22" s="770">
        <v>1424240</v>
      </c>
      <c r="BL22" s="636">
        <f t="shared" si="18"/>
        <v>254</v>
      </c>
      <c r="BM22" s="770">
        <v>3923313</v>
      </c>
      <c r="BN22" s="636">
        <f t="shared" si="19"/>
        <v>815</v>
      </c>
      <c r="BO22" s="769">
        <v>411905</v>
      </c>
      <c r="BP22" s="636">
        <f t="shared" si="20"/>
        <v>136</v>
      </c>
      <c r="BQ22" s="769">
        <v>516104</v>
      </c>
      <c r="BR22" s="636">
        <f t="shared" si="41"/>
        <v>141</v>
      </c>
      <c r="BS22" s="692">
        <f t="shared" si="29"/>
        <v>22841.3825</v>
      </c>
      <c r="BT22" s="693">
        <v>171</v>
      </c>
      <c r="BU22" s="692">
        <f t="shared" si="50"/>
        <v>133.57533625730994</v>
      </c>
      <c r="BV22" s="693"/>
      <c r="BW22" s="692" t="e">
        <f t="shared" si="31"/>
        <v>#DIV/0!</v>
      </c>
      <c r="BX22" s="692">
        <f t="shared" si="35"/>
        <v>26510.589874999998</v>
      </c>
      <c r="BY22" s="692">
        <f t="shared" si="48"/>
        <v>155.03268932748537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23834022</v>
      </c>
      <c r="J23" s="636">
        <f t="shared" si="51"/>
        <v>7812</v>
      </c>
      <c r="K23" s="636">
        <f t="shared" si="0"/>
        <v>4634</v>
      </c>
      <c r="L23" s="770">
        <v>641640</v>
      </c>
      <c r="M23" s="636">
        <f t="shared" si="1"/>
        <v>3217</v>
      </c>
      <c r="N23" s="770">
        <v>549347</v>
      </c>
      <c r="O23" s="636">
        <f t="shared" si="2"/>
        <v>1417</v>
      </c>
      <c r="P23" s="770">
        <v>221496</v>
      </c>
      <c r="Q23" s="636">
        <f t="shared" si="46"/>
        <v>450</v>
      </c>
      <c r="R23" s="769">
        <v>180464</v>
      </c>
      <c r="S23" s="636">
        <f t="shared" si="49"/>
        <v>143</v>
      </c>
      <c r="T23" s="769">
        <v>329796</v>
      </c>
      <c r="U23" s="636">
        <f t="shared" si="5"/>
        <v>262</v>
      </c>
      <c r="V23" s="769">
        <v>770526</v>
      </c>
      <c r="W23" s="636">
        <f t="shared" si="6"/>
        <v>916.37</v>
      </c>
      <c r="X23" s="770">
        <v>120681</v>
      </c>
      <c r="Y23" s="636">
        <f t="shared" si="7"/>
        <v>0</v>
      </c>
      <c r="Z23" s="773">
        <v>134745</v>
      </c>
      <c r="AA23" s="636">
        <f t="shared" si="8"/>
        <v>0</v>
      </c>
      <c r="AB23" s="769">
        <v>488293</v>
      </c>
      <c r="AC23" s="636">
        <f t="shared" si="33"/>
        <v>0</v>
      </c>
      <c r="AD23" s="769">
        <v>656656</v>
      </c>
      <c r="AE23" s="636">
        <f t="shared" si="23"/>
        <v>13.25</v>
      </c>
      <c r="AF23" s="769">
        <v>835335</v>
      </c>
      <c r="AG23" s="636">
        <f t="shared" si="42"/>
        <v>14.31</v>
      </c>
      <c r="AH23" s="769">
        <v>982459</v>
      </c>
      <c r="AI23" s="636">
        <f t="shared" si="10"/>
        <v>434.07000000000005</v>
      </c>
      <c r="AJ23" s="769">
        <v>700715</v>
      </c>
      <c r="AK23" s="636">
        <f t="shared" si="45"/>
        <v>2498.9500000000003</v>
      </c>
      <c r="AL23" s="769">
        <v>489419</v>
      </c>
      <c r="AM23" s="636">
        <f t="shared" si="12"/>
        <v>163.77000000000001</v>
      </c>
      <c r="AN23" s="636">
        <f t="shared" si="24"/>
        <v>4040.7200000000003</v>
      </c>
      <c r="AO23" s="707">
        <v>7650568</v>
      </c>
      <c r="AP23" s="636">
        <f t="shared" si="25"/>
        <v>4.5</v>
      </c>
      <c r="AQ23" s="769">
        <v>673276</v>
      </c>
      <c r="AR23" s="636">
        <f t="shared" si="13"/>
        <v>329</v>
      </c>
      <c r="AS23" s="769">
        <v>964438</v>
      </c>
      <c r="AT23" s="636">
        <f t="shared" si="26"/>
        <v>133</v>
      </c>
      <c r="AU23" s="769">
        <v>809720</v>
      </c>
      <c r="AV23" s="636">
        <f t="shared" si="14"/>
        <v>33</v>
      </c>
      <c r="AW23" s="769">
        <v>2613801</v>
      </c>
      <c r="AX23" s="636">
        <f t="shared" si="15"/>
        <v>574</v>
      </c>
      <c r="AY23" s="770">
        <v>229472</v>
      </c>
      <c r="AZ23" s="636">
        <f t="shared" si="47"/>
        <v>0</v>
      </c>
      <c r="BA23" s="770">
        <v>19243573</v>
      </c>
      <c r="BB23" s="636">
        <f t="shared" si="17"/>
        <v>4373</v>
      </c>
      <c r="BC23" s="769">
        <v>564543</v>
      </c>
      <c r="BD23" s="636">
        <f t="shared" si="17"/>
        <v>244</v>
      </c>
      <c r="BE23" s="769">
        <v>26053</v>
      </c>
      <c r="BF23" s="636">
        <f t="shared" si="17"/>
        <v>53</v>
      </c>
      <c r="BG23" s="770">
        <v>24062243</v>
      </c>
      <c r="BH23" s="636">
        <f t="shared" si="27"/>
        <v>5039.5</v>
      </c>
      <c r="BI23" s="636">
        <f t="shared" si="28"/>
        <v>10783</v>
      </c>
      <c r="BJ23" s="636">
        <f t="shared" si="34"/>
        <v>14823.720000000001</v>
      </c>
      <c r="BK23" s="770">
        <v>1424510</v>
      </c>
      <c r="BL23" s="636">
        <f t="shared" si="18"/>
        <v>270</v>
      </c>
      <c r="BM23" s="769">
        <v>3924140</v>
      </c>
      <c r="BN23" s="636">
        <f t="shared" si="19"/>
        <v>827</v>
      </c>
      <c r="BO23" s="769">
        <v>412048</v>
      </c>
      <c r="BP23" s="636">
        <f t="shared" si="20"/>
        <v>143</v>
      </c>
      <c r="BQ23" s="770">
        <v>516252</v>
      </c>
      <c r="BR23" s="636">
        <f t="shared" si="41"/>
        <v>148</v>
      </c>
      <c r="BS23" s="692">
        <f t="shared" si="29"/>
        <v>23085.72</v>
      </c>
      <c r="BT23" s="693">
        <v>146</v>
      </c>
      <c r="BU23" s="692">
        <f t="shared" si="50"/>
        <v>158.12136986301371</v>
      </c>
      <c r="BV23" s="693"/>
      <c r="BW23" s="692" t="e">
        <f t="shared" si="31"/>
        <v>#DIV/0!</v>
      </c>
      <c r="BX23" s="692">
        <f t="shared" si="35"/>
        <v>26751.077999999998</v>
      </c>
      <c r="BY23" s="692">
        <f t="shared" si="48"/>
        <v>183.22656164383559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23842127</v>
      </c>
      <c r="J24" s="636">
        <f t="shared" si="51"/>
        <v>8105</v>
      </c>
      <c r="K24" s="636">
        <f t="shared" si="0"/>
        <v>4736</v>
      </c>
      <c r="L24" s="770">
        <v>645005</v>
      </c>
      <c r="M24" s="636">
        <f t="shared" si="1"/>
        <v>3365</v>
      </c>
      <c r="N24" s="770">
        <v>550718</v>
      </c>
      <c r="O24" s="636">
        <f t="shared" si="2"/>
        <v>1371</v>
      </c>
      <c r="P24" s="770">
        <v>221514</v>
      </c>
      <c r="Q24" s="636">
        <f>IF(P24&gt;=P23,P24-P23,0)*30</f>
        <v>540</v>
      </c>
      <c r="R24" s="769">
        <v>180490</v>
      </c>
      <c r="S24" s="636">
        <f t="shared" si="49"/>
        <v>26</v>
      </c>
      <c r="T24" s="769">
        <v>330060</v>
      </c>
      <c r="U24" s="636">
        <f t="shared" si="5"/>
        <v>264</v>
      </c>
      <c r="V24" s="769">
        <v>771952</v>
      </c>
      <c r="W24" s="636">
        <f t="shared" si="6"/>
        <v>755.78000000000009</v>
      </c>
      <c r="X24" s="770">
        <v>120681</v>
      </c>
      <c r="Y24" s="636">
        <f t="shared" si="7"/>
        <v>0</v>
      </c>
      <c r="Z24" s="769">
        <v>134745</v>
      </c>
      <c r="AA24" s="636">
        <f t="shared" si="8"/>
        <v>0</v>
      </c>
      <c r="AB24" s="769">
        <v>488293</v>
      </c>
      <c r="AC24" s="636">
        <f t="shared" si="33"/>
        <v>0</v>
      </c>
      <c r="AD24" s="769">
        <v>656681</v>
      </c>
      <c r="AE24" s="636">
        <f t="shared" si="23"/>
        <v>13.25</v>
      </c>
      <c r="AF24" s="769">
        <v>835357</v>
      </c>
      <c r="AG24" s="636">
        <f t="shared" si="42"/>
        <v>11.66</v>
      </c>
      <c r="AH24" s="769">
        <v>983270</v>
      </c>
      <c r="AI24" s="636">
        <f t="shared" si="10"/>
        <v>429.83000000000004</v>
      </c>
      <c r="AJ24" s="769">
        <v>704839</v>
      </c>
      <c r="AK24" s="636">
        <f t="shared" si="45"/>
        <v>2185.7200000000003</v>
      </c>
      <c r="AL24" s="769">
        <v>489690</v>
      </c>
      <c r="AM24" s="636">
        <f t="shared" si="12"/>
        <v>143.63</v>
      </c>
      <c r="AN24" s="636">
        <f t="shared" si="24"/>
        <v>3539.8700000000003</v>
      </c>
      <c r="AO24" s="769">
        <v>7650607</v>
      </c>
      <c r="AP24" s="636">
        <f t="shared" si="25"/>
        <v>4.3875000000000002</v>
      </c>
      <c r="AQ24" s="770">
        <v>673602</v>
      </c>
      <c r="AR24" s="636">
        <f t="shared" si="13"/>
        <v>326</v>
      </c>
      <c r="AS24" s="770">
        <v>964572</v>
      </c>
      <c r="AT24" s="636">
        <f t="shared" si="26"/>
        <v>134</v>
      </c>
      <c r="AU24" s="769">
        <v>809758</v>
      </c>
      <c r="AV24" s="636">
        <f t="shared" si="14"/>
        <v>38</v>
      </c>
      <c r="AW24" s="769">
        <v>2614351</v>
      </c>
      <c r="AX24" s="636">
        <f t="shared" si="15"/>
        <v>550</v>
      </c>
      <c r="AY24" s="770">
        <v>229472</v>
      </c>
      <c r="AZ24" s="636">
        <f t="shared" si="47"/>
        <v>0</v>
      </c>
      <c r="BA24" s="769">
        <v>19247346</v>
      </c>
      <c r="BB24" s="636">
        <f t="shared" si="17"/>
        <v>3773</v>
      </c>
      <c r="BC24" s="769">
        <v>564758</v>
      </c>
      <c r="BD24" s="636">
        <f t="shared" si="17"/>
        <v>215</v>
      </c>
      <c r="BE24" s="769">
        <v>26106</v>
      </c>
      <c r="BF24" s="636">
        <f t="shared" si="17"/>
        <v>53</v>
      </c>
      <c r="BG24" s="770">
        <v>24067140</v>
      </c>
      <c r="BH24" s="636">
        <f t="shared" si="27"/>
        <v>4404.9500000000007</v>
      </c>
      <c r="BI24" s="636">
        <f t="shared" si="28"/>
        <v>9498.3375000000015</v>
      </c>
      <c r="BJ24" s="636">
        <f t="shared" si="34"/>
        <v>13038.207500000002</v>
      </c>
      <c r="BK24" s="770">
        <v>1424709</v>
      </c>
      <c r="BL24" s="636">
        <f t="shared" si="18"/>
        <v>199</v>
      </c>
      <c r="BM24" s="770">
        <v>3924822</v>
      </c>
      <c r="BN24" s="636">
        <f t="shared" si="19"/>
        <v>682</v>
      </c>
      <c r="BO24" s="769">
        <v>412175</v>
      </c>
      <c r="BP24" s="636">
        <f t="shared" si="20"/>
        <v>127</v>
      </c>
      <c r="BQ24" s="770">
        <v>516380</v>
      </c>
      <c r="BR24" s="636">
        <f t="shared" si="41"/>
        <v>128</v>
      </c>
      <c r="BS24" s="692">
        <f t="shared" si="29"/>
        <v>21683.207500000004</v>
      </c>
      <c r="BT24" s="693">
        <v>162</v>
      </c>
      <c r="BU24" s="692">
        <f t="shared" si="50"/>
        <v>133.84695987654322</v>
      </c>
      <c r="BV24" s="693"/>
      <c r="BW24" s="692" t="e">
        <f t="shared" si="31"/>
        <v>#DIV/0!</v>
      </c>
      <c r="BX24" s="692">
        <f t="shared" si="35"/>
        <v>25178.688625000003</v>
      </c>
      <c r="BY24" s="692">
        <f t="shared" si="48"/>
        <v>155.42400385802472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23850048</v>
      </c>
      <c r="J25" s="636">
        <f t="shared" si="51"/>
        <v>7921</v>
      </c>
      <c r="K25" s="636">
        <f t="shared" si="0"/>
        <v>4765</v>
      </c>
      <c r="L25" s="770">
        <v>648318</v>
      </c>
      <c r="M25" s="636">
        <f t="shared" si="1"/>
        <v>3313</v>
      </c>
      <c r="N25" s="770">
        <v>552170</v>
      </c>
      <c r="O25" s="636">
        <f t="shared" si="2"/>
        <v>1452</v>
      </c>
      <c r="P25" s="770">
        <v>221532</v>
      </c>
      <c r="Q25" s="636">
        <f t="shared" si="46"/>
        <v>540</v>
      </c>
      <c r="R25" s="769">
        <v>180741</v>
      </c>
      <c r="S25" s="636">
        <f t="shared" si="49"/>
        <v>251</v>
      </c>
      <c r="T25" s="769">
        <v>330321.85714285698</v>
      </c>
      <c r="U25" s="636">
        <f t="shared" si="5"/>
        <v>261.85714285698486</v>
      </c>
      <c r="V25" s="769">
        <v>773847</v>
      </c>
      <c r="W25" s="636">
        <f t="shared" si="6"/>
        <v>1004.35</v>
      </c>
      <c r="X25" s="770">
        <v>120681</v>
      </c>
      <c r="Y25" s="636">
        <f t="shared" si="7"/>
        <v>0</v>
      </c>
      <c r="Z25" s="769">
        <v>134745</v>
      </c>
      <c r="AA25" s="636">
        <f t="shared" si="8"/>
        <v>0</v>
      </c>
      <c r="AB25" s="769">
        <v>488293</v>
      </c>
      <c r="AC25" s="636">
        <f t="shared" si="33"/>
        <v>0</v>
      </c>
      <c r="AD25" s="769">
        <v>656711</v>
      </c>
      <c r="AE25" s="636">
        <f t="shared" si="23"/>
        <v>15.9</v>
      </c>
      <c r="AF25" s="769">
        <v>835383</v>
      </c>
      <c r="AG25" s="636">
        <f t="shared" si="42"/>
        <v>13.780000000000001</v>
      </c>
      <c r="AH25" s="769">
        <v>983769</v>
      </c>
      <c r="AI25" s="636">
        <f t="shared" si="10"/>
        <v>264.47000000000003</v>
      </c>
      <c r="AJ25" s="769">
        <v>709161</v>
      </c>
      <c r="AK25" s="636">
        <f t="shared" si="45"/>
        <v>2290.6600000000003</v>
      </c>
      <c r="AL25" s="769">
        <v>490000</v>
      </c>
      <c r="AM25" s="636">
        <f t="shared" si="12"/>
        <v>164.3</v>
      </c>
      <c r="AN25" s="636">
        <f t="shared" si="24"/>
        <v>3753.4600000000005</v>
      </c>
      <c r="AO25" s="769">
        <v>7650646</v>
      </c>
      <c r="AP25" s="636">
        <f t="shared" si="25"/>
        <v>4.3875000000000002</v>
      </c>
      <c r="AQ25" s="769">
        <v>673937</v>
      </c>
      <c r="AR25" s="636">
        <f>IF(AQ25&gt;=AQ24,AQ25-AQ24,0)</f>
        <v>335</v>
      </c>
      <c r="AS25" s="770">
        <v>964727</v>
      </c>
      <c r="AT25" s="636">
        <f t="shared" si="26"/>
        <v>155</v>
      </c>
      <c r="AU25" s="769">
        <v>809790</v>
      </c>
      <c r="AV25" s="636">
        <f t="shared" si="14"/>
        <v>32</v>
      </c>
      <c r="AW25" s="769">
        <v>2614925</v>
      </c>
      <c r="AX25" s="636">
        <f t="shared" si="15"/>
        <v>574</v>
      </c>
      <c r="AY25" s="770">
        <v>229487</v>
      </c>
      <c r="AZ25" s="636">
        <f t="shared" si="47"/>
        <v>15</v>
      </c>
      <c r="BA25" s="769">
        <v>19251734</v>
      </c>
      <c r="BB25" s="636">
        <f t="shared" si="17"/>
        <v>4388</v>
      </c>
      <c r="BC25" s="769">
        <v>564968</v>
      </c>
      <c r="BD25" s="636">
        <f t="shared" si="17"/>
        <v>210</v>
      </c>
      <c r="BE25" s="769">
        <v>26162</v>
      </c>
      <c r="BF25" s="636">
        <f t="shared" si="17"/>
        <v>56</v>
      </c>
      <c r="BG25" s="770">
        <v>24072402</v>
      </c>
      <c r="BH25" s="636">
        <f t="shared" si="27"/>
        <v>4733.75</v>
      </c>
      <c r="BI25" s="636">
        <f t="shared" si="28"/>
        <v>10503.137500000001</v>
      </c>
      <c r="BJ25" s="636">
        <f t="shared" si="34"/>
        <v>14256.597500000002</v>
      </c>
      <c r="BK25" s="770">
        <v>1424806</v>
      </c>
      <c r="BL25" s="636">
        <f t="shared" si="18"/>
        <v>97</v>
      </c>
      <c r="BM25" s="770">
        <v>3925547</v>
      </c>
      <c r="BN25" s="636">
        <f t="shared" si="19"/>
        <v>725</v>
      </c>
      <c r="BO25" s="707">
        <v>412315</v>
      </c>
      <c r="BP25" s="636">
        <f t="shared" si="20"/>
        <v>140</v>
      </c>
      <c r="BQ25" s="769">
        <v>516519</v>
      </c>
      <c r="BR25" s="636">
        <f t="shared" si="41"/>
        <v>139</v>
      </c>
      <c r="BS25" s="692">
        <f t="shared" si="29"/>
        <v>22717.597500000003</v>
      </c>
      <c r="BT25" s="693">
        <v>195</v>
      </c>
      <c r="BU25" s="692">
        <f t="shared" si="50"/>
        <v>116.50050000000002</v>
      </c>
      <c r="BV25" s="693"/>
      <c r="BW25" s="692" t="e">
        <f t="shared" si="31"/>
        <v>#DIV/0!</v>
      </c>
      <c r="BX25" s="692">
        <f t="shared" si="35"/>
        <v>26368.237125000003</v>
      </c>
      <c r="BY25" s="692">
        <f t="shared" si="48"/>
        <v>135.22172884615387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23857651</v>
      </c>
      <c r="J26" s="636">
        <f t="shared" si="51"/>
        <v>7603</v>
      </c>
      <c r="K26" s="636">
        <f t="shared" si="0"/>
        <v>4422</v>
      </c>
      <c r="L26" s="770">
        <v>651405</v>
      </c>
      <c r="M26" s="636">
        <f t="shared" si="1"/>
        <v>3087</v>
      </c>
      <c r="N26" s="770">
        <v>553505</v>
      </c>
      <c r="O26" s="636">
        <f t="shared" si="2"/>
        <v>1335</v>
      </c>
      <c r="P26" s="770">
        <v>221549</v>
      </c>
      <c r="Q26" s="636">
        <f t="shared" si="46"/>
        <v>510</v>
      </c>
      <c r="R26" s="769">
        <v>180881</v>
      </c>
      <c r="S26" s="636">
        <f t="shared" si="49"/>
        <v>140</v>
      </c>
      <c r="T26" s="769">
        <v>330575</v>
      </c>
      <c r="U26" s="636">
        <f t="shared" si="5"/>
        <v>253.14285714301514</v>
      </c>
      <c r="V26" s="769">
        <v>776056</v>
      </c>
      <c r="W26" s="636">
        <f t="shared" si="6"/>
        <v>1170.77</v>
      </c>
      <c r="X26" s="770">
        <v>120681</v>
      </c>
      <c r="Y26" s="636">
        <f t="shared" si="7"/>
        <v>0</v>
      </c>
      <c r="Z26" s="770">
        <v>134745</v>
      </c>
      <c r="AA26" s="636">
        <f t="shared" si="8"/>
        <v>0</v>
      </c>
      <c r="AB26" s="769">
        <v>488293</v>
      </c>
      <c r="AC26" s="636">
        <f t="shared" si="33"/>
        <v>0</v>
      </c>
      <c r="AD26" s="769">
        <v>656736</v>
      </c>
      <c r="AE26" s="636">
        <f t="shared" si="23"/>
        <v>13.25</v>
      </c>
      <c r="AF26" s="769">
        <v>835407</v>
      </c>
      <c r="AG26" s="636">
        <f t="shared" si="42"/>
        <v>12.72</v>
      </c>
      <c r="AH26" s="769">
        <v>984033</v>
      </c>
      <c r="AI26" s="636">
        <f t="shared" si="10"/>
        <v>139.92000000000002</v>
      </c>
      <c r="AJ26" s="769">
        <v>713398</v>
      </c>
      <c r="AK26" s="636">
        <f t="shared" si="45"/>
        <v>2245.61</v>
      </c>
      <c r="AL26" s="769">
        <v>490237</v>
      </c>
      <c r="AM26" s="636">
        <f t="shared" si="12"/>
        <v>125.61</v>
      </c>
      <c r="AN26" s="636">
        <f t="shared" si="24"/>
        <v>3707.8800000000006</v>
      </c>
      <c r="AO26" s="769">
        <v>7650681</v>
      </c>
      <c r="AP26" s="636">
        <f t="shared" si="25"/>
        <v>3.9375</v>
      </c>
      <c r="AQ26" s="770">
        <v>674247</v>
      </c>
      <c r="AR26" s="636">
        <f>IF(AQ26&gt;=AQ25,AQ26-AQ25,0)</f>
        <v>310</v>
      </c>
      <c r="AS26" s="770">
        <v>964870</v>
      </c>
      <c r="AT26" s="636">
        <f t="shared" si="26"/>
        <v>143</v>
      </c>
      <c r="AU26" s="769">
        <v>809822</v>
      </c>
      <c r="AV26" s="636">
        <f t="shared" si="14"/>
        <v>32</v>
      </c>
      <c r="AW26" s="769">
        <v>2615471</v>
      </c>
      <c r="AX26" s="636">
        <f t="shared" si="15"/>
        <v>546</v>
      </c>
      <c r="AY26" s="770">
        <v>229493</v>
      </c>
      <c r="AZ26" s="636">
        <f t="shared" si="47"/>
        <v>6</v>
      </c>
      <c r="BA26" s="769">
        <v>19256232</v>
      </c>
      <c r="BB26" s="636">
        <f t="shared" si="17"/>
        <v>4498</v>
      </c>
      <c r="BC26" s="769">
        <v>565160</v>
      </c>
      <c r="BD26" s="636">
        <f t="shared" si="17"/>
        <v>192</v>
      </c>
      <c r="BE26" s="769">
        <v>26216</v>
      </c>
      <c r="BF26" s="636">
        <f t="shared" si="17"/>
        <v>54</v>
      </c>
      <c r="BG26" s="770">
        <v>24077461</v>
      </c>
      <c r="BH26" s="636">
        <f t="shared" si="27"/>
        <v>4543.9500000000007</v>
      </c>
      <c r="BI26" s="636">
        <f t="shared" si="28"/>
        <v>10328.887500000001</v>
      </c>
      <c r="BJ26" s="636">
        <f t="shared" si="34"/>
        <v>14036.767500000002</v>
      </c>
      <c r="BK26" s="770">
        <v>1424866</v>
      </c>
      <c r="BL26" s="636">
        <f t="shared" si="18"/>
        <v>60</v>
      </c>
      <c r="BM26" s="769">
        <v>3926224</v>
      </c>
      <c r="BN26" s="636">
        <f t="shared" si="19"/>
        <v>677</v>
      </c>
      <c r="BO26" s="769">
        <v>412447</v>
      </c>
      <c r="BP26" s="636">
        <f t="shared" si="20"/>
        <v>132</v>
      </c>
      <c r="BQ26" s="769">
        <v>516670</v>
      </c>
      <c r="BR26" s="636">
        <f t="shared" si="41"/>
        <v>151</v>
      </c>
      <c r="BS26" s="692">
        <f t="shared" si="29"/>
        <v>22149.767500000002</v>
      </c>
      <c r="BT26" s="693">
        <v>199</v>
      </c>
      <c r="BU26" s="692">
        <f t="shared" si="50"/>
        <v>111.30536432160805</v>
      </c>
      <c r="BV26" s="693"/>
      <c r="BW26" s="692" t="e">
        <f t="shared" si="31"/>
        <v>#DIV/0!</v>
      </c>
      <c r="BX26" s="692">
        <f t="shared" si="35"/>
        <v>25701.732625000001</v>
      </c>
      <c r="BY26" s="692">
        <f t="shared" si="48"/>
        <v>129.15443530150753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23865399</v>
      </c>
      <c r="J27" s="636">
        <f t="shared" si="51"/>
        <v>7748</v>
      </c>
      <c r="K27" s="636">
        <f t="shared" si="0"/>
        <v>4407</v>
      </c>
      <c r="L27" s="770">
        <v>654394</v>
      </c>
      <c r="M27" s="636">
        <f t="shared" si="1"/>
        <v>2989</v>
      </c>
      <c r="N27" s="770">
        <v>554923</v>
      </c>
      <c r="O27" s="636">
        <f t="shared" si="2"/>
        <v>1418</v>
      </c>
      <c r="P27" s="770">
        <v>221566</v>
      </c>
      <c r="Q27" s="636">
        <f>IF(P27&gt;=P26,P27-P26,0)*30</f>
        <v>510</v>
      </c>
      <c r="R27" s="769">
        <v>181024</v>
      </c>
      <c r="S27" s="636">
        <f t="shared" si="49"/>
        <v>143</v>
      </c>
      <c r="T27" s="769">
        <v>330845</v>
      </c>
      <c r="U27" s="636">
        <f t="shared" si="5"/>
        <v>270</v>
      </c>
      <c r="V27" s="769">
        <v>777991</v>
      </c>
      <c r="W27" s="636">
        <f t="shared" si="6"/>
        <v>1025.55</v>
      </c>
      <c r="X27" s="770">
        <v>120681</v>
      </c>
      <c r="Y27" s="636">
        <f t="shared" si="7"/>
        <v>0</v>
      </c>
      <c r="Z27" s="770">
        <v>134745</v>
      </c>
      <c r="AA27" s="636">
        <f t="shared" si="8"/>
        <v>0</v>
      </c>
      <c r="AB27" s="769">
        <v>488293</v>
      </c>
      <c r="AC27" s="636">
        <f t="shared" si="33"/>
        <v>0</v>
      </c>
      <c r="AD27" s="769">
        <v>656762</v>
      </c>
      <c r="AE27" s="636">
        <f t="shared" si="23"/>
        <v>13.780000000000001</v>
      </c>
      <c r="AF27" s="769">
        <v>835432</v>
      </c>
      <c r="AG27" s="636">
        <f t="shared" si="42"/>
        <v>13.25</v>
      </c>
      <c r="AH27" s="770">
        <v>984319</v>
      </c>
      <c r="AI27" s="636">
        <f t="shared" si="10"/>
        <v>151.58000000000001</v>
      </c>
      <c r="AJ27" s="770">
        <v>717481</v>
      </c>
      <c r="AK27" s="636">
        <f t="shared" si="45"/>
        <v>2163.9900000000002</v>
      </c>
      <c r="AL27" s="769">
        <v>490520</v>
      </c>
      <c r="AM27" s="636">
        <f t="shared" si="12"/>
        <v>149.99</v>
      </c>
      <c r="AN27" s="636">
        <f t="shared" si="24"/>
        <v>3518.1400000000003</v>
      </c>
      <c r="AO27" s="769">
        <v>7650720</v>
      </c>
      <c r="AP27" s="636">
        <f t="shared" si="25"/>
        <v>4.3875000000000002</v>
      </c>
      <c r="AQ27" s="769">
        <v>674559</v>
      </c>
      <c r="AR27" s="636">
        <f>IF(AQ27&gt;=AQ26,AQ27-AQ26,0)</f>
        <v>312</v>
      </c>
      <c r="AS27" s="769">
        <v>965019</v>
      </c>
      <c r="AT27" s="636">
        <f t="shared" si="26"/>
        <v>149</v>
      </c>
      <c r="AU27" s="769">
        <v>809856</v>
      </c>
      <c r="AV27" s="636">
        <f t="shared" si="14"/>
        <v>34</v>
      </c>
      <c r="AW27" s="769">
        <v>2616016</v>
      </c>
      <c r="AX27" s="636">
        <f t="shared" si="15"/>
        <v>545</v>
      </c>
      <c r="AY27" s="770">
        <v>229499</v>
      </c>
      <c r="AZ27" s="636">
        <f t="shared" si="47"/>
        <v>6</v>
      </c>
      <c r="BA27" s="769">
        <v>19260554</v>
      </c>
      <c r="BB27" s="636">
        <f t="shared" si="17"/>
        <v>4322</v>
      </c>
      <c r="BC27" s="769">
        <v>565375</v>
      </c>
      <c r="BD27" s="636">
        <f t="shared" si="17"/>
        <v>215</v>
      </c>
      <c r="BE27" s="769">
        <v>26270</v>
      </c>
      <c r="BF27" s="636">
        <f t="shared" si="17"/>
        <v>54</v>
      </c>
      <c r="BG27" s="770">
        <v>24082590</v>
      </c>
      <c r="BH27" s="636">
        <f t="shared" si="27"/>
        <v>5129</v>
      </c>
      <c r="BI27" s="636">
        <f t="shared" si="28"/>
        <v>10770.387500000001</v>
      </c>
      <c r="BJ27" s="636">
        <f t="shared" si="34"/>
        <v>14288.5275</v>
      </c>
      <c r="BK27" s="770">
        <v>1424928</v>
      </c>
      <c r="BL27" s="636">
        <f t="shared" si="18"/>
        <v>62</v>
      </c>
      <c r="BM27" s="769">
        <v>3926224</v>
      </c>
      <c r="BN27" s="636">
        <f t="shared" si="19"/>
        <v>0</v>
      </c>
      <c r="BO27" s="769">
        <v>412447</v>
      </c>
      <c r="BP27" s="636">
        <f t="shared" si="20"/>
        <v>0</v>
      </c>
      <c r="BQ27" s="769">
        <v>516670</v>
      </c>
      <c r="BR27" s="636">
        <f t="shared" si="41"/>
        <v>0</v>
      </c>
      <c r="BS27" s="692">
        <f t="shared" si="29"/>
        <v>22546.5275</v>
      </c>
      <c r="BT27" s="693">
        <v>201</v>
      </c>
      <c r="BU27" s="692">
        <f t="shared" si="50"/>
        <v>112.17177860696518</v>
      </c>
      <c r="BV27" s="693"/>
      <c r="BW27" s="692" t="e">
        <f t="shared" si="31"/>
        <v>#DIV/0!</v>
      </c>
      <c r="BX27" s="692">
        <f t="shared" si="35"/>
        <v>26158.006624999998</v>
      </c>
      <c r="BY27" s="692">
        <f t="shared" si="48"/>
        <v>130.13933644278606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23873040</v>
      </c>
      <c r="J28" s="636">
        <f t="shared" si="51"/>
        <v>7641</v>
      </c>
      <c r="K28" s="636">
        <f t="shared" si="0"/>
        <v>4663</v>
      </c>
      <c r="L28" s="770">
        <v>657606</v>
      </c>
      <c r="M28" s="636">
        <f t="shared" si="1"/>
        <v>3212</v>
      </c>
      <c r="N28" s="769">
        <v>556374</v>
      </c>
      <c r="O28" s="636">
        <f t="shared" si="2"/>
        <v>1451</v>
      </c>
      <c r="P28" s="770">
        <v>221584</v>
      </c>
      <c r="Q28" s="636">
        <f t="shared" si="46"/>
        <v>540</v>
      </c>
      <c r="R28" s="769">
        <v>181166</v>
      </c>
      <c r="S28" s="636">
        <f t="shared" si="49"/>
        <v>142</v>
      </c>
      <c r="T28" s="769">
        <v>331116</v>
      </c>
      <c r="U28" s="636">
        <f t="shared" si="5"/>
        <v>271</v>
      </c>
      <c r="V28" s="769">
        <v>779707</v>
      </c>
      <c r="W28" s="636">
        <f t="shared" si="6"/>
        <v>909.48</v>
      </c>
      <c r="X28" s="770">
        <v>120681</v>
      </c>
      <c r="Y28" s="636">
        <f t="shared" si="7"/>
        <v>0</v>
      </c>
      <c r="Z28" s="770">
        <v>134745</v>
      </c>
      <c r="AA28" s="636">
        <f t="shared" si="8"/>
        <v>0</v>
      </c>
      <c r="AB28" s="769">
        <v>488293</v>
      </c>
      <c r="AC28" s="636">
        <f t="shared" si="33"/>
        <v>0</v>
      </c>
      <c r="AD28" s="769">
        <v>656788</v>
      </c>
      <c r="AE28" s="636">
        <f t="shared" si="23"/>
        <v>13.780000000000001</v>
      </c>
      <c r="AF28" s="769">
        <v>835457</v>
      </c>
      <c r="AG28" s="636">
        <f t="shared" si="42"/>
        <v>13.25</v>
      </c>
      <c r="AH28" s="769">
        <v>984844</v>
      </c>
      <c r="AI28" s="636">
        <f t="shared" si="10"/>
        <v>278.25</v>
      </c>
      <c r="AJ28" s="769">
        <v>721692</v>
      </c>
      <c r="AK28" s="636">
        <f t="shared" si="45"/>
        <v>2231.83</v>
      </c>
      <c r="AL28" s="769">
        <v>490822</v>
      </c>
      <c r="AM28" s="636">
        <f t="shared" si="12"/>
        <v>160.06</v>
      </c>
      <c r="AN28" s="636">
        <f t="shared" si="24"/>
        <v>3606.65</v>
      </c>
      <c r="AO28" s="769">
        <v>7650759</v>
      </c>
      <c r="AP28" s="636">
        <f t="shared" si="25"/>
        <v>4.3875000000000002</v>
      </c>
      <c r="AQ28" s="769">
        <v>674874</v>
      </c>
      <c r="AR28" s="636">
        <f>IF(AQ28&gt;=AQ27,AQ28-AQ27,0)</f>
        <v>315</v>
      </c>
      <c r="AS28" s="770">
        <v>965167</v>
      </c>
      <c r="AT28" s="636">
        <f t="shared" si="26"/>
        <v>148</v>
      </c>
      <c r="AU28" s="769">
        <v>809895</v>
      </c>
      <c r="AV28" s="636">
        <f t="shared" si="14"/>
        <v>39</v>
      </c>
      <c r="AW28" s="769">
        <v>2616596</v>
      </c>
      <c r="AX28" s="636">
        <f t="shared" si="15"/>
        <v>580</v>
      </c>
      <c r="AY28" s="769">
        <v>229509</v>
      </c>
      <c r="AZ28" s="636">
        <f t="shared" si="47"/>
        <v>10</v>
      </c>
      <c r="BA28" s="769">
        <v>19265070</v>
      </c>
      <c r="BB28" s="636">
        <f t="shared" si="17"/>
        <v>4516</v>
      </c>
      <c r="BC28" s="769">
        <v>565611</v>
      </c>
      <c r="BD28" s="636">
        <f t="shared" si="17"/>
        <v>236</v>
      </c>
      <c r="BE28" s="769">
        <v>26324</v>
      </c>
      <c r="BF28" s="636">
        <f t="shared" si="17"/>
        <v>54</v>
      </c>
      <c r="BG28" s="769">
        <v>24087721</v>
      </c>
      <c r="BH28" s="636">
        <f t="shared" si="27"/>
        <v>4616.75</v>
      </c>
      <c r="BI28" s="636">
        <f t="shared" si="28"/>
        <v>10519.137500000001</v>
      </c>
      <c r="BJ28" s="636">
        <f t="shared" si="34"/>
        <v>14125.7875</v>
      </c>
      <c r="BK28" s="770">
        <v>1424988</v>
      </c>
      <c r="BL28" s="636">
        <f t="shared" si="18"/>
        <v>60</v>
      </c>
      <c r="BM28" s="769">
        <v>3926884</v>
      </c>
      <c r="BN28" s="636">
        <f t="shared" si="19"/>
        <v>660</v>
      </c>
      <c r="BO28" s="769">
        <v>412592</v>
      </c>
      <c r="BP28" s="636">
        <f t="shared" si="20"/>
        <v>145</v>
      </c>
      <c r="BQ28" s="769">
        <v>516822</v>
      </c>
      <c r="BR28" s="636">
        <f t="shared" si="41"/>
        <v>152</v>
      </c>
      <c r="BS28" s="692">
        <f t="shared" si="29"/>
        <v>22306.787499999999</v>
      </c>
      <c r="BT28" s="693">
        <v>220</v>
      </c>
      <c r="BU28" s="692">
        <f t="shared" si="50"/>
        <v>101.39448863636363</v>
      </c>
      <c r="BV28" s="693"/>
      <c r="BW28" s="692" t="e">
        <f t="shared" si="31"/>
        <v>#DIV/0!</v>
      </c>
      <c r="BX28" s="692">
        <f t="shared" si="35"/>
        <v>25895.805624999997</v>
      </c>
      <c r="BY28" s="692">
        <f t="shared" si="48"/>
        <v>117.70820738636363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23880180</v>
      </c>
      <c r="J29" s="636">
        <f t="shared" si="51"/>
        <v>7140</v>
      </c>
      <c r="K29" s="636">
        <f t="shared" si="0"/>
        <v>4400</v>
      </c>
      <c r="L29" s="769">
        <v>660522</v>
      </c>
      <c r="M29" s="636">
        <f t="shared" si="1"/>
        <v>2916</v>
      </c>
      <c r="N29" s="769">
        <v>557858</v>
      </c>
      <c r="O29" s="636">
        <f t="shared" si="2"/>
        <v>1484</v>
      </c>
      <c r="P29" s="770">
        <v>221600</v>
      </c>
      <c r="Q29" s="636">
        <f t="shared" si="46"/>
        <v>480</v>
      </c>
      <c r="R29" s="769">
        <v>181305</v>
      </c>
      <c r="S29" s="636">
        <f>IF(R29&gt;=R28,R29-R28,0)</f>
        <v>139</v>
      </c>
      <c r="T29" s="769">
        <v>331377</v>
      </c>
      <c r="U29" s="636">
        <f t="shared" ref="U29:U36" si="52">IF(T29&gt;=T28,T29-T28,0)</f>
        <v>261</v>
      </c>
      <c r="V29" s="769">
        <v>781318</v>
      </c>
      <c r="W29" s="636">
        <f t="shared" si="6"/>
        <v>853.83</v>
      </c>
      <c r="X29" s="770">
        <v>120681</v>
      </c>
      <c r="Y29" s="636">
        <f t="shared" si="7"/>
        <v>0</v>
      </c>
      <c r="Z29" s="773">
        <v>134745</v>
      </c>
      <c r="AA29" s="636">
        <f t="shared" si="8"/>
        <v>0</v>
      </c>
      <c r="AB29" s="769">
        <v>488293</v>
      </c>
      <c r="AC29" s="636">
        <f t="shared" si="33"/>
        <v>0</v>
      </c>
      <c r="AD29" s="769">
        <v>656813</v>
      </c>
      <c r="AE29" s="636">
        <f t="shared" si="23"/>
        <v>13.25</v>
      </c>
      <c r="AF29" s="769">
        <v>835481</v>
      </c>
      <c r="AG29" s="636">
        <f t="shared" si="42"/>
        <v>12.72</v>
      </c>
      <c r="AH29" s="769">
        <v>985519</v>
      </c>
      <c r="AI29" s="636">
        <f t="shared" si="10"/>
        <v>357.75</v>
      </c>
      <c r="AJ29" s="769">
        <v>725594</v>
      </c>
      <c r="AK29" s="636">
        <f t="shared" si="45"/>
        <v>2068.06</v>
      </c>
      <c r="AL29" s="769">
        <v>491113</v>
      </c>
      <c r="AM29" s="636">
        <f t="shared" si="12"/>
        <v>154.23000000000002</v>
      </c>
      <c r="AN29" s="636">
        <f t="shared" si="24"/>
        <v>3459.84</v>
      </c>
      <c r="AO29" s="769">
        <v>7650800</v>
      </c>
      <c r="AP29" s="636">
        <f t="shared" si="25"/>
        <v>4.6124999999999998</v>
      </c>
      <c r="AQ29" s="769">
        <v>675192</v>
      </c>
      <c r="AR29" s="636">
        <f t="shared" si="13"/>
        <v>318</v>
      </c>
      <c r="AS29" s="769">
        <v>965296</v>
      </c>
      <c r="AT29" s="636">
        <f t="shared" si="26"/>
        <v>129</v>
      </c>
      <c r="AU29" s="769">
        <v>809934</v>
      </c>
      <c r="AV29" s="636">
        <f t="shared" si="14"/>
        <v>39</v>
      </c>
      <c r="AW29" s="769">
        <v>2617150</v>
      </c>
      <c r="AX29" s="636">
        <f t="shared" si="15"/>
        <v>554</v>
      </c>
      <c r="AY29" s="769">
        <v>229511</v>
      </c>
      <c r="AZ29" s="636">
        <f t="shared" si="47"/>
        <v>2</v>
      </c>
      <c r="BA29" s="769">
        <v>19269362</v>
      </c>
      <c r="BB29" s="636">
        <f t="shared" si="17"/>
        <v>4292</v>
      </c>
      <c r="BC29" s="769">
        <v>565844</v>
      </c>
      <c r="BD29" s="636">
        <f t="shared" si="17"/>
        <v>233</v>
      </c>
      <c r="BE29" s="769">
        <v>26380</v>
      </c>
      <c r="BF29" s="636">
        <f t="shared" si="17"/>
        <v>56</v>
      </c>
      <c r="BG29" s="770">
        <v>24092947</v>
      </c>
      <c r="BH29" s="636">
        <f t="shared" si="27"/>
        <v>4673.1000000000004</v>
      </c>
      <c r="BI29" s="636">
        <f t="shared" si="28"/>
        <v>10300.712500000001</v>
      </c>
      <c r="BJ29" s="636">
        <f t="shared" si="34"/>
        <v>13760.552500000002</v>
      </c>
      <c r="BK29" s="770">
        <v>1425038</v>
      </c>
      <c r="BL29" s="636">
        <f t="shared" si="18"/>
        <v>50</v>
      </c>
      <c r="BM29" s="769">
        <v>3927620</v>
      </c>
      <c r="BN29" s="636">
        <f t="shared" si="19"/>
        <v>736</v>
      </c>
      <c r="BO29" s="769">
        <v>412738</v>
      </c>
      <c r="BP29" s="636">
        <f t="shared" si="20"/>
        <v>146</v>
      </c>
      <c r="BQ29" s="770">
        <v>516978</v>
      </c>
      <c r="BR29" s="636">
        <f t="shared" si="41"/>
        <v>156</v>
      </c>
      <c r="BS29" s="692">
        <f t="shared" si="29"/>
        <v>21380.552500000002</v>
      </c>
      <c r="BT29" s="693">
        <v>202</v>
      </c>
      <c r="BU29" s="692">
        <f t="shared" si="50"/>
        <v>105.8443193069307</v>
      </c>
      <c r="BV29" s="693"/>
      <c r="BW29" s="692" t="e">
        <f t="shared" si="31"/>
        <v>#DIV/0!</v>
      </c>
      <c r="BX29" s="692">
        <f t="shared" si="35"/>
        <v>24803.635375000002</v>
      </c>
      <c r="BY29" s="692">
        <f t="shared" si="48"/>
        <v>122.79027413366337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0">
        <v>23887600</v>
      </c>
      <c r="J30" s="636">
        <f t="shared" si="51"/>
        <v>7420</v>
      </c>
      <c r="K30" s="636">
        <f t="shared" si="0"/>
        <v>4362</v>
      </c>
      <c r="L30" s="770">
        <v>663366</v>
      </c>
      <c r="M30" s="636">
        <f t="shared" si="1"/>
        <v>2844</v>
      </c>
      <c r="N30" s="770">
        <v>559376</v>
      </c>
      <c r="O30" s="636">
        <f t="shared" si="2"/>
        <v>1518</v>
      </c>
      <c r="P30" s="770">
        <v>221618</v>
      </c>
      <c r="Q30" s="636">
        <f t="shared" si="46"/>
        <v>540</v>
      </c>
      <c r="R30" s="769">
        <v>181448</v>
      </c>
      <c r="S30" s="636">
        <f>IF(R30&gt;=R29,R30-R29,0)</f>
        <v>143</v>
      </c>
      <c r="T30" s="769">
        <v>331650</v>
      </c>
      <c r="U30" s="636">
        <f t="shared" si="52"/>
        <v>273</v>
      </c>
      <c r="V30" s="769">
        <v>782509</v>
      </c>
      <c r="W30" s="636">
        <f t="shared" si="6"/>
        <v>631.23</v>
      </c>
      <c r="X30" s="770">
        <v>120681</v>
      </c>
      <c r="Y30" s="636">
        <f t="shared" si="7"/>
        <v>0</v>
      </c>
      <c r="Z30" s="769">
        <v>134745</v>
      </c>
      <c r="AA30" s="636">
        <f t="shared" si="8"/>
        <v>0</v>
      </c>
      <c r="AB30" s="769">
        <v>488293</v>
      </c>
      <c r="AC30" s="636">
        <f t="shared" si="33"/>
        <v>0</v>
      </c>
      <c r="AD30" s="769">
        <v>656840</v>
      </c>
      <c r="AE30" s="636">
        <f t="shared" si="23"/>
        <v>14.31</v>
      </c>
      <c r="AF30" s="769">
        <v>835507</v>
      </c>
      <c r="AG30" s="636">
        <f t="shared" si="42"/>
        <v>13.780000000000001</v>
      </c>
      <c r="AH30" s="769">
        <v>986298</v>
      </c>
      <c r="AI30" s="636">
        <f t="shared" si="10"/>
        <v>412.87</v>
      </c>
      <c r="AJ30" s="769">
        <v>729545</v>
      </c>
      <c r="AK30" s="636">
        <f t="shared" si="45"/>
        <v>2094.0300000000002</v>
      </c>
      <c r="AL30" s="769">
        <v>491401</v>
      </c>
      <c r="AM30" s="636">
        <f t="shared" si="12"/>
        <v>152.64000000000001</v>
      </c>
      <c r="AN30" s="636">
        <f t="shared" si="24"/>
        <v>3318.86</v>
      </c>
      <c r="AO30" s="769">
        <v>7650840</v>
      </c>
      <c r="AP30" s="636">
        <f t="shared" si="25"/>
        <v>4.5</v>
      </c>
      <c r="AQ30" s="770">
        <v>675502</v>
      </c>
      <c r="AR30" s="636">
        <f t="shared" si="13"/>
        <v>310</v>
      </c>
      <c r="AS30" s="769">
        <v>965431</v>
      </c>
      <c r="AT30" s="636">
        <f t="shared" si="26"/>
        <v>135</v>
      </c>
      <c r="AU30" s="769">
        <v>809973</v>
      </c>
      <c r="AV30" s="636">
        <f t="shared" si="14"/>
        <v>39</v>
      </c>
      <c r="AW30" s="769">
        <v>2617702</v>
      </c>
      <c r="AX30" s="636">
        <f t="shared" si="15"/>
        <v>552</v>
      </c>
      <c r="AY30" s="769">
        <v>229517</v>
      </c>
      <c r="AZ30" s="636">
        <f t="shared" si="47"/>
        <v>6</v>
      </c>
      <c r="BA30" s="769">
        <v>19273744</v>
      </c>
      <c r="BB30" s="636">
        <f t="shared" si="17"/>
        <v>4382</v>
      </c>
      <c r="BC30" s="769">
        <v>566067</v>
      </c>
      <c r="BD30" s="636">
        <f t="shared" si="17"/>
        <v>223</v>
      </c>
      <c r="BE30" s="769">
        <v>26433</v>
      </c>
      <c r="BF30" s="636">
        <f t="shared" si="17"/>
        <v>53</v>
      </c>
      <c r="BG30" s="770">
        <v>24098311</v>
      </c>
      <c r="BH30" s="636">
        <f t="shared" si="27"/>
        <v>4772.3</v>
      </c>
      <c r="BI30" s="636">
        <f t="shared" si="28"/>
        <v>10476.799999999999</v>
      </c>
      <c r="BJ30" s="636">
        <f t="shared" si="34"/>
        <v>13795.66</v>
      </c>
      <c r="BK30" s="770">
        <v>1425101</v>
      </c>
      <c r="BL30" s="636">
        <f t="shared" si="18"/>
        <v>63</v>
      </c>
      <c r="BM30" s="769">
        <v>3928437</v>
      </c>
      <c r="BN30" s="636">
        <f t="shared" si="19"/>
        <v>817</v>
      </c>
      <c r="BO30" s="769">
        <v>412887</v>
      </c>
      <c r="BP30" s="636">
        <f t="shared" si="20"/>
        <v>149</v>
      </c>
      <c r="BQ30" s="769">
        <v>517135</v>
      </c>
      <c r="BR30" s="636">
        <f t="shared" si="41"/>
        <v>157</v>
      </c>
      <c r="BS30" s="692">
        <f t="shared" si="29"/>
        <v>21755.66</v>
      </c>
      <c r="BT30" s="693">
        <v>201</v>
      </c>
      <c r="BU30" s="692">
        <f t="shared" si="50"/>
        <v>108.23711442786069</v>
      </c>
      <c r="BV30" s="693"/>
      <c r="BW30" s="692" t="e">
        <f t="shared" si="31"/>
        <v>#DIV/0!</v>
      </c>
      <c r="BX30" s="692">
        <f t="shared" si="35"/>
        <v>25262.008999999998</v>
      </c>
      <c r="BY30" s="692">
        <f t="shared" si="48"/>
        <v>125.68163681592038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0">
        <v>23896240</v>
      </c>
      <c r="J31" s="636">
        <f t="shared" si="51"/>
        <v>8640</v>
      </c>
      <c r="K31" s="636">
        <f t="shared" si="0"/>
        <v>5326</v>
      </c>
      <c r="L31" s="770">
        <v>667055</v>
      </c>
      <c r="M31" s="636">
        <f t="shared" si="1"/>
        <v>3689</v>
      </c>
      <c r="N31" s="770">
        <v>561013</v>
      </c>
      <c r="O31" s="636">
        <f t="shared" si="2"/>
        <v>1637</v>
      </c>
      <c r="P31" s="770">
        <v>221636</v>
      </c>
      <c r="Q31" s="636">
        <f t="shared" si="46"/>
        <v>540</v>
      </c>
      <c r="R31" s="769">
        <v>181592</v>
      </c>
      <c r="S31" s="636">
        <f t="shared" si="49"/>
        <v>144</v>
      </c>
      <c r="T31" s="769">
        <v>331922</v>
      </c>
      <c r="U31" s="636">
        <f t="shared" si="52"/>
        <v>272</v>
      </c>
      <c r="V31" s="769">
        <v>783884</v>
      </c>
      <c r="W31" s="636">
        <f t="shared" si="6"/>
        <v>728.75</v>
      </c>
      <c r="X31" s="770">
        <v>120681</v>
      </c>
      <c r="Y31" s="636">
        <f t="shared" si="7"/>
        <v>0</v>
      </c>
      <c r="Z31" s="769">
        <v>134745</v>
      </c>
      <c r="AA31" s="636">
        <f t="shared" si="8"/>
        <v>0</v>
      </c>
      <c r="AB31" s="769">
        <v>488293</v>
      </c>
      <c r="AC31" s="636">
        <f t="shared" si="33"/>
        <v>0</v>
      </c>
      <c r="AD31" s="769">
        <v>656867</v>
      </c>
      <c r="AE31" s="636">
        <f t="shared" si="23"/>
        <v>14.31</v>
      </c>
      <c r="AF31" s="769">
        <v>835533</v>
      </c>
      <c r="AG31" s="636">
        <f t="shared" si="42"/>
        <v>13.780000000000001</v>
      </c>
      <c r="AH31" s="770">
        <v>986758</v>
      </c>
      <c r="AI31" s="636">
        <f t="shared" si="10"/>
        <v>243.8</v>
      </c>
      <c r="AJ31" s="770">
        <v>733725</v>
      </c>
      <c r="AK31" s="636">
        <f t="shared" si="45"/>
        <v>2215.4</v>
      </c>
      <c r="AL31" s="769">
        <v>491718</v>
      </c>
      <c r="AM31" s="636">
        <f t="shared" si="12"/>
        <v>168.01000000000002</v>
      </c>
      <c r="AN31" s="636">
        <f t="shared" si="24"/>
        <v>3384.05</v>
      </c>
      <c r="AO31" s="769">
        <v>7650875</v>
      </c>
      <c r="AP31" s="636">
        <f t="shared" si="25"/>
        <v>3.9375</v>
      </c>
      <c r="AQ31" s="769">
        <v>675828</v>
      </c>
      <c r="AR31" s="636">
        <f t="shared" si="13"/>
        <v>326</v>
      </c>
      <c r="AS31" s="769">
        <v>965552</v>
      </c>
      <c r="AT31" s="636">
        <f t="shared" si="26"/>
        <v>121</v>
      </c>
      <c r="AU31" s="769">
        <v>810015</v>
      </c>
      <c r="AV31" s="636">
        <f t="shared" si="14"/>
        <v>42</v>
      </c>
      <c r="AW31" s="769">
        <v>2618281</v>
      </c>
      <c r="AX31" s="636">
        <f t="shared" si="15"/>
        <v>579</v>
      </c>
      <c r="AY31" s="770">
        <v>229523</v>
      </c>
      <c r="AZ31" s="636">
        <f t="shared" si="47"/>
        <v>6</v>
      </c>
      <c r="BA31" s="769">
        <v>19278109</v>
      </c>
      <c r="BB31" s="636">
        <f t="shared" si="17"/>
        <v>4365</v>
      </c>
      <c r="BC31" s="769">
        <v>566302</v>
      </c>
      <c r="BD31" s="636">
        <f t="shared" si="17"/>
        <v>235</v>
      </c>
      <c r="BE31" s="769">
        <v>26487</v>
      </c>
      <c r="BF31" s="636">
        <f t="shared" si="17"/>
        <v>54</v>
      </c>
      <c r="BG31" s="769">
        <v>24103736</v>
      </c>
      <c r="BH31" s="636">
        <f t="shared" si="27"/>
        <v>4821.8</v>
      </c>
      <c r="BI31" s="636">
        <f t="shared" si="28"/>
        <v>10553.737499999999</v>
      </c>
      <c r="BJ31" s="636">
        <f t="shared" si="34"/>
        <v>13937.787499999999</v>
      </c>
      <c r="BK31" s="770">
        <v>1425162</v>
      </c>
      <c r="BL31" s="636">
        <f t="shared" si="18"/>
        <v>61</v>
      </c>
      <c r="BM31" s="770">
        <v>3929286</v>
      </c>
      <c r="BN31" s="636">
        <f t="shared" si="19"/>
        <v>849</v>
      </c>
      <c r="BO31" s="707">
        <v>413034</v>
      </c>
      <c r="BP31" s="636">
        <f t="shared" si="20"/>
        <v>147</v>
      </c>
      <c r="BQ31" s="769">
        <v>517290</v>
      </c>
      <c r="BR31" s="636">
        <f t="shared" si="41"/>
        <v>155</v>
      </c>
      <c r="BS31" s="692">
        <f t="shared" si="29"/>
        <v>23117.787499999999</v>
      </c>
      <c r="BT31" s="693">
        <v>209</v>
      </c>
      <c r="BU31" s="692">
        <f t="shared" si="50"/>
        <v>110.61142344497607</v>
      </c>
      <c r="BV31" s="693"/>
      <c r="BW31" s="692" t="e">
        <f t="shared" si="31"/>
        <v>#DIV/0!</v>
      </c>
      <c r="BX31" s="692">
        <f t="shared" si="35"/>
        <v>26828.455624999995</v>
      </c>
      <c r="BY31" s="692">
        <f t="shared" si="48"/>
        <v>128.36581638755979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0">
        <v>23903916</v>
      </c>
      <c r="J32" s="636">
        <f t="shared" si="22"/>
        <v>7676</v>
      </c>
      <c r="K32" s="636">
        <f t="shared" si="0"/>
        <v>4472</v>
      </c>
      <c r="L32" s="770">
        <v>670132</v>
      </c>
      <c r="M32" s="636">
        <f t="shared" si="1"/>
        <v>3077</v>
      </c>
      <c r="N32" s="770">
        <v>562408</v>
      </c>
      <c r="O32" s="636">
        <f t="shared" si="2"/>
        <v>1395</v>
      </c>
      <c r="P32" s="770">
        <v>221656</v>
      </c>
      <c r="Q32" s="636">
        <f t="shared" si="46"/>
        <v>600</v>
      </c>
      <c r="R32" s="769">
        <v>181721</v>
      </c>
      <c r="S32" s="636">
        <f t="shared" si="49"/>
        <v>129</v>
      </c>
      <c r="T32" s="769">
        <v>332162</v>
      </c>
      <c r="U32" s="636">
        <f t="shared" si="52"/>
        <v>240</v>
      </c>
      <c r="V32" s="769">
        <v>785244</v>
      </c>
      <c r="W32" s="636">
        <f t="shared" si="6"/>
        <v>720.80000000000007</v>
      </c>
      <c r="X32" s="770">
        <v>120681</v>
      </c>
      <c r="Y32" s="636">
        <f t="shared" si="7"/>
        <v>0</v>
      </c>
      <c r="Z32" s="770">
        <v>134745</v>
      </c>
      <c r="AA32" s="636">
        <f t="shared" si="8"/>
        <v>0</v>
      </c>
      <c r="AB32" s="769">
        <v>488293</v>
      </c>
      <c r="AC32" s="636">
        <f t="shared" si="33"/>
        <v>0</v>
      </c>
      <c r="AD32" s="769">
        <v>656890</v>
      </c>
      <c r="AE32" s="636">
        <f t="shared" si="23"/>
        <v>12.190000000000001</v>
      </c>
      <c r="AF32" s="769">
        <v>835555</v>
      </c>
      <c r="AG32" s="636">
        <f t="shared" si="42"/>
        <v>11.66</v>
      </c>
      <c r="AH32" s="769">
        <v>986983</v>
      </c>
      <c r="AI32" s="636">
        <f t="shared" si="10"/>
        <v>119.25</v>
      </c>
      <c r="AJ32" s="769">
        <v>737333</v>
      </c>
      <c r="AK32" s="636">
        <f t="shared" si="45"/>
        <v>1912.24</v>
      </c>
      <c r="AL32" s="769">
        <v>491984</v>
      </c>
      <c r="AM32" s="636">
        <f t="shared" si="12"/>
        <v>140.98000000000002</v>
      </c>
      <c r="AN32" s="636">
        <f t="shared" si="24"/>
        <v>2917.1200000000003</v>
      </c>
      <c r="AO32" s="769">
        <v>7650914</v>
      </c>
      <c r="AP32" s="636">
        <f t="shared" si="25"/>
        <v>4.3875000000000002</v>
      </c>
      <c r="AQ32" s="770">
        <v>676151</v>
      </c>
      <c r="AR32" s="636">
        <f t="shared" si="13"/>
        <v>323</v>
      </c>
      <c r="AS32" s="769">
        <v>965658</v>
      </c>
      <c r="AT32" s="636">
        <f t="shared" si="26"/>
        <v>106</v>
      </c>
      <c r="AU32" s="769">
        <v>810048</v>
      </c>
      <c r="AV32" s="636">
        <f t="shared" si="14"/>
        <v>33</v>
      </c>
      <c r="AW32" s="769">
        <v>2618774</v>
      </c>
      <c r="AX32" s="636">
        <f t="shared" si="15"/>
        <v>493</v>
      </c>
      <c r="AY32" s="770">
        <v>229529</v>
      </c>
      <c r="AZ32" s="636">
        <f t="shared" si="47"/>
        <v>6</v>
      </c>
      <c r="BA32" s="769">
        <v>19281493</v>
      </c>
      <c r="BB32" s="636">
        <f t="shared" si="17"/>
        <v>3384</v>
      </c>
      <c r="BC32" s="769">
        <v>566484</v>
      </c>
      <c r="BD32" s="636">
        <f t="shared" si="17"/>
        <v>182</v>
      </c>
      <c r="BE32" s="769">
        <v>26541</v>
      </c>
      <c r="BF32" s="636">
        <f t="shared" si="17"/>
        <v>54</v>
      </c>
      <c r="BG32" s="770">
        <v>24108721</v>
      </c>
      <c r="BH32" s="636">
        <f t="shared" si="27"/>
        <v>4448.4000000000005</v>
      </c>
      <c r="BI32" s="636">
        <f t="shared" si="28"/>
        <v>9033.7875000000004</v>
      </c>
      <c r="BJ32" s="636">
        <f t="shared" si="34"/>
        <v>11950.907500000001</v>
      </c>
      <c r="BK32" s="770">
        <v>1425217</v>
      </c>
      <c r="BL32" s="636">
        <f t="shared" si="18"/>
        <v>55</v>
      </c>
      <c r="BM32" s="770">
        <v>3930042</v>
      </c>
      <c r="BN32" s="636">
        <f t="shared" si="19"/>
        <v>756</v>
      </c>
      <c r="BO32" s="707">
        <v>413166</v>
      </c>
      <c r="BP32" s="636">
        <f t="shared" si="20"/>
        <v>132</v>
      </c>
      <c r="BQ32" s="769">
        <v>517427</v>
      </c>
      <c r="BR32" s="636">
        <f t="shared" si="41"/>
        <v>137</v>
      </c>
      <c r="BS32" s="692">
        <f t="shared" si="29"/>
        <v>20226.907500000001</v>
      </c>
      <c r="BT32" s="693">
        <v>222</v>
      </c>
      <c r="BU32" s="692">
        <f t="shared" si="50"/>
        <v>91.112195945945956</v>
      </c>
      <c r="BV32" s="695"/>
      <c r="BW32" s="692" t="e">
        <f t="shared" si="31"/>
        <v>#DIV/0!</v>
      </c>
      <c r="BX32" s="692">
        <f t="shared" si="35"/>
        <v>23530.943625</v>
      </c>
      <c r="BY32" s="692">
        <f t="shared" si="48"/>
        <v>105.99524155405405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0">
        <v>23911974</v>
      </c>
      <c r="J33" s="636">
        <f t="shared" si="22"/>
        <v>8058</v>
      </c>
      <c r="K33" s="636">
        <f t="shared" si="0"/>
        <v>4810</v>
      </c>
      <c r="L33" s="770">
        <v>673408</v>
      </c>
      <c r="M33" s="636">
        <f t="shared" si="1"/>
        <v>3276</v>
      </c>
      <c r="N33" s="770">
        <v>563942</v>
      </c>
      <c r="O33" s="636">
        <f t="shared" si="2"/>
        <v>1534</v>
      </c>
      <c r="P33" s="770">
        <v>221677</v>
      </c>
      <c r="Q33" s="636">
        <f t="shared" si="46"/>
        <v>630</v>
      </c>
      <c r="R33" s="769">
        <v>181863</v>
      </c>
      <c r="S33" s="636">
        <f t="shared" si="49"/>
        <v>142</v>
      </c>
      <c r="T33" s="769">
        <v>332428</v>
      </c>
      <c r="U33" s="636">
        <f t="shared" si="52"/>
        <v>266</v>
      </c>
      <c r="V33" s="769">
        <v>787024</v>
      </c>
      <c r="W33" s="636">
        <f t="shared" si="6"/>
        <v>943.40000000000009</v>
      </c>
      <c r="X33" s="770">
        <v>120681</v>
      </c>
      <c r="Y33" s="636">
        <f t="shared" si="7"/>
        <v>0</v>
      </c>
      <c r="Z33" s="770">
        <v>134745</v>
      </c>
      <c r="AA33" s="636">
        <f t="shared" si="8"/>
        <v>0</v>
      </c>
      <c r="AB33" s="769">
        <v>488293</v>
      </c>
      <c r="AC33" s="636">
        <f t="shared" si="33"/>
        <v>0</v>
      </c>
      <c r="AD33" s="769">
        <v>656915</v>
      </c>
      <c r="AE33" s="636">
        <f t="shared" si="23"/>
        <v>13.25</v>
      </c>
      <c r="AF33" s="769">
        <v>835579</v>
      </c>
      <c r="AG33" s="636">
        <f t="shared" si="42"/>
        <v>12.72</v>
      </c>
      <c r="AH33" s="769">
        <v>987227</v>
      </c>
      <c r="AI33" s="636">
        <f t="shared" si="10"/>
        <v>129.32</v>
      </c>
      <c r="AJ33" s="770">
        <v>741367</v>
      </c>
      <c r="AK33" s="636">
        <f t="shared" si="45"/>
        <v>2138.02</v>
      </c>
      <c r="AL33" s="769">
        <v>492290</v>
      </c>
      <c r="AM33" s="636">
        <f t="shared" si="12"/>
        <v>162.18</v>
      </c>
      <c r="AN33" s="636">
        <f t="shared" si="24"/>
        <v>3398.89</v>
      </c>
      <c r="AO33" s="769">
        <v>7650957</v>
      </c>
      <c r="AP33" s="636">
        <f t="shared" si="25"/>
        <v>4.8375000000000004</v>
      </c>
      <c r="AQ33" s="769">
        <v>676487</v>
      </c>
      <c r="AR33" s="636">
        <f t="shared" si="13"/>
        <v>336</v>
      </c>
      <c r="AS33" s="769">
        <v>965778</v>
      </c>
      <c r="AT33" s="636">
        <f t="shared" si="26"/>
        <v>120</v>
      </c>
      <c r="AU33" s="769">
        <v>810082</v>
      </c>
      <c r="AV33" s="636">
        <f t="shared" si="14"/>
        <v>34</v>
      </c>
      <c r="AW33" s="770">
        <v>2619327</v>
      </c>
      <c r="AX33" s="636">
        <f t="shared" si="15"/>
        <v>553</v>
      </c>
      <c r="AY33" s="770">
        <v>229535</v>
      </c>
      <c r="AZ33" s="636">
        <f t="shared" si="47"/>
        <v>6</v>
      </c>
      <c r="BA33" s="769">
        <v>19286430</v>
      </c>
      <c r="BB33" s="636">
        <f t="shared" si="17"/>
        <v>4937</v>
      </c>
      <c r="BC33" s="769">
        <v>566698</v>
      </c>
      <c r="BD33" s="636">
        <f t="shared" si="17"/>
        <v>214</v>
      </c>
      <c r="BE33" s="769">
        <v>26586</v>
      </c>
      <c r="BF33" s="636">
        <f t="shared" si="17"/>
        <v>45</v>
      </c>
      <c r="BG33" s="770">
        <v>24114189</v>
      </c>
      <c r="BH33" s="636">
        <f t="shared" si="27"/>
        <v>4867.4000000000005</v>
      </c>
      <c r="BI33" s="636">
        <f t="shared" si="28"/>
        <v>11117.237499999999</v>
      </c>
      <c r="BJ33" s="636">
        <f t="shared" si="34"/>
        <v>14516.127499999999</v>
      </c>
      <c r="BK33" s="770">
        <v>1425281</v>
      </c>
      <c r="BL33" s="636">
        <f t="shared" si="18"/>
        <v>64</v>
      </c>
      <c r="BM33" s="769">
        <v>3930909</v>
      </c>
      <c r="BN33" s="636">
        <f t="shared" si="19"/>
        <v>867</v>
      </c>
      <c r="BO33" s="769">
        <v>413327</v>
      </c>
      <c r="BP33" s="636">
        <f t="shared" si="20"/>
        <v>161</v>
      </c>
      <c r="BQ33" s="769">
        <v>517565</v>
      </c>
      <c r="BR33" s="636">
        <f t="shared" si="41"/>
        <v>138</v>
      </c>
      <c r="BS33" s="692">
        <f t="shared" si="29"/>
        <v>23204.127499999999</v>
      </c>
      <c r="BT33" s="693">
        <v>229</v>
      </c>
      <c r="BU33" s="692">
        <f t="shared" si="50"/>
        <v>101.32806768558952</v>
      </c>
      <c r="BV33" s="693"/>
      <c r="BW33" s="692" t="e">
        <f t="shared" si="31"/>
        <v>#DIV/0!</v>
      </c>
      <c r="BX33" s="692">
        <f t="shared" si="35"/>
        <v>26968.246624999996</v>
      </c>
      <c r="BY33" s="692">
        <f t="shared" si="48"/>
        <v>117.76526910480348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0">
        <v>23919546</v>
      </c>
      <c r="J34" s="636">
        <f t="shared" si="22"/>
        <v>7572</v>
      </c>
      <c r="K34" s="636">
        <f t="shared" si="0"/>
        <v>4537</v>
      </c>
      <c r="L34" s="770">
        <v>676409</v>
      </c>
      <c r="M34" s="636">
        <f t="shared" si="1"/>
        <v>3001</v>
      </c>
      <c r="N34" s="770">
        <v>565478</v>
      </c>
      <c r="O34" s="636">
        <f t="shared" si="2"/>
        <v>1536</v>
      </c>
      <c r="P34" s="770">
        <v>221696</v>
      </c>
      <c r="Q34" s="636">
        <f t="shared" si="46"/>
        <v>570</v>
      </c>
      <c r="R34" s="769">
        <v>182007</v>
      </c>
      <c r="S34" s="636">
        <f t="shared" si="49"/>
        <v>144</v>
      </c>
      <c r="T34" s="769">
        <v>332697</v>
      </c>
      <c r="U34" s="636">
        <f t="shared" si="52"/>
        <v>269</v>
      </c>
      <c r="V34" s="769">
        <v>789010</v>
      </c>
      <c r="W34" s="636">
        <f t="shared" si="6"/>
        <v>1052.5800000000002</v>
      </c>
      <c r="X34" s="770">
        <v>120681</v>
      </c>
      <c r="Y34" s="636">
        <f t="shared" si="7"/>
        <v>0</v>
      </c>
      <c r="Z34" s="769">
        <v>134745</v>
      </c>
      <c r="AA34" s="636">
        <f t="shared" si="8"/>
        <v>0</v>
      </c>
      <c r="AB34" s="769">
        <v>488293</v>
      </c>
      <c r="AC34" s="636">
        <f t="shared" si="33"/>
        <v>0</v>
      </c>
      <c r="AD34" s="769">
        <v>656940</v>
      </c>
      <c r="AE34" s="636">
        <f t="shared" si="23"/>
        <v>13.25</v>
      </c>
      <c r="AF34" s="769">
        <v>835605</v>
      </c>
      <c r="AG34" s="636">
        <f t="shared" si="42"/>
        <v>13.780000000000001</v>
      </c>
      <c r="AH34" s="770">
        <v>987474</v>
      </c>
      <c r="AI34" s="636">
        <f t="shared" si="10"/>
        <v>130.91</v>
      </c>
      <c r="AJ34" s="769">
        <v>745455</v>
      </c>
      <c r="AK34" s="636">
        <f t="shared" si="45"/>
        <v>2166.6400000000003</v>
      </c>
      <c r="AL34" s="769">
        <v>492578</v>
      </c>
      <c r="AM34" s="636">
        <f t="shared" si="12"/>
        <v>152.64000000000001</v>
      </c>
      <c r="AN34" s="636">
        <f t="shared" si="24"/>
        <v>3529.8000000000006</v>
      </c>
      <c r="AO34" s="769">
        <v>7650996</v>
      </c>
      <c r="AP34" s="636">
        <f t="shared" si="25"/>
        <v>4.3875000000000002</v>
      </c>
      <c r="AQ34" s="770">
        <v>676784</v>
      </c>
      <c r="AR34" s="636">
        <f t="shared" si="13"/>
        <v>297</v>
      </c>
      <c r="AS34" s="770">
        <v>965913</v>
      </c>
      <c r="AT34" s="636">
        <f t="shared" si="26"/>
        <v>135</v>
      </c>
      <c r="AU34" s="769">
        <v>810120</v>
      </c>
      <c r="AV34" s="636">
        <f t="shared" si="14"/>
        <v>38</v>
      </c>
      <c r="AW34" s="769">
        <v>2619893</v>
      </c>
      <c r="AX34" s="636">
        <f t="shared" si="15"/>
        <v>566</v>
      </c>
      <c r="AY34" s="769">
        <v>229541</v>
      </c>
      <c r="AZ34" s="636">
        <f t="shared" si="47"/>
        <v>6</v>
      </c>
      <c r="BA34" s="769">
        <v>19289116</v>
      </c>
      <c r="BB34" s="636">
        <f t="shared" si="17"/>
        <v>2686</v>
      </c>
      <c r="BC34" s="769">
        <v>566882</v>
      </c>
      <c r="BD34" s="636">
        <f t="shared" si="17"/>
        <v>184</v>
      </c>
      <c r="BE34" s="769">
        <v>26644</v>
      </c>
      <c r="BF34" s="636">
        <f t="shared" si="17"/>
        <v>58</v>
      </c>
      <c r="BG34" s="770">
        <v>24119109</v>
      </c>
      <c r="BH34" s="636">
        <f t="shared" si="27"/>
        <v>4443.6499999999996</v>
      </c>
      <c r="BI34" s="636">
        <f t="shared" si="28"/>
        <v>8418.0374999999985</v>
      </c>
      <c r="BJ34" s="636">
        <f t="shared" si="34"/>
        <v>11947.8375</v>
      </c>
      <c r="BK34" s="770">
        <v>1425340</v>
      </c>
      <c r="BL34" s="636">
        <f t="shared" si="18"/>
        <v>59</v>
      </c>
      <c r="BM34" s="769">
        <v>3931528</v>
      </c>
      <c r="BN34" s="636">
        <f t="shared" si="19"/>
        <v>619</v>
      </c>
      <c r="BO34" s="769">
        <v>413471</v>
      </c>
      <c r="BP34" s="636">
        <f t="shared" si="20"/>
        <v>144</v>
      </c>
      <c r="BQ34" s="769">
        <v>517698</v>
      </c>
      <c r="BR34" s="636">
        <f t="shared" si="41"/>
        <v>133</v>
      </c>
      <c r="BS34" s="692">
        <f t="shared" si="29"/>
        <v>20089.837500000001</v>
      </c>
      <c r="BT34" s="693">
        <v>203</v>
      </c>
      <c r="BU34" s="692">
        <f t="shared" si="50"/>
        <v>98.964716748768481</v>
      </c>
      <c r="BV34" s="693"/>
      <c r="BW34" s="692" t="e">
        <f t="shared" si="31"/>
        <v>#DIV/0!</v>
      </c>
      <c r="BX34" s="692">
        <f t="shared" si="35"/>
        <v>23359.813125000001</v>
      </c>
      <c r="BY34" s="692">
        <f t="shared" si="48"/>
        <v>115.0729710591133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0">
        <v>23927083</v>
      </c>
      <c r="J35" s="636">
        <f t="shared" si="22"/>
        <v>7537</v>
      </c>
      <c r="K35" s="636">
        <f t="shared" si="0"/>
        <v>4526</v>
      </c>
      <c r="L35" s="769">
        <v>679450</v>
      </c>
      <c r="M35" s="636">
        <f t="shared" si="1"/>
        <v>3041</v>
      </c>
      <c r="N35" s="769">
        <v>566963</v>
      </c>
      <c r="O35" s="636">
        <f t="shared" si="2"/>
        <v>1485</v>
      </c>
      <c r="P35" s="770">
        <v>221708</v>
      </c>
      <c r="Q35" s="636">
        <f t="shared" si="46"/>
        <v>360</v>
      </c>
      <c r="R35" s="769">
        <v>182148</v>
      </c>
      <c r="S35" s="636">
        <f t="shared" si="49"/>
        <v>141</v>
      </c>
      <c r="T35" s="769">
        <v>332964</v>
      </c>
      <c r="U35" s="636">
        <f t="shared" si="52"/>
        <v>267</v>
      </c>
      <c r="V35" s="769">
        <v>791109</v>
      </c>
      <c r="W35" s="636">
        <f t="shared" si="6"/>
        <v>1112.47</v>
      </c>
      <c r="X35" s="770">
        <v>120756</v>
      </c>
      <c r="Y35" s="636">
        <f t="shared" si="7"/>
        <v>39.75</v>
      </c>
      <c r="Z35" s="769">
        <v>134745</v>
      </c>
      <c r="AA35" s="636">
        <f t="shared" si="8"/>
        <v>0</v>
      </c>
      <c r="AB35" s="769">
        <v>488293</v>
      </c>
      <c r="AC35" s="636">
        <f t="shared" si="33"/>
        <v>0</v>
      </c>
      <c r="AD35" s="769">
        <v>656965</v>
      </c>
      <c r="AE35" s="636">
        <f t="shared" si="23"/>
        <v>13.25</v>
      </c>
      <c r="AF35" s="769">
        <v>835629</v>
      </c>
      <c r="AG35" s="636">
        <f t="shared" si="42"/>
        <v>12.72</v>
      </c>
      <c r="AH35" s="769">
        <v>987725</v>
      </c>
      <c r="AI35" s="636">
        <f t="shared" si="10"/>
        <v>133.03</v>
      </c>
      <c r="AJ35" s="769">
        <v>749410</v>
      </c>
      <c r="AK35" s="636">
        <f t="shared" si="45"/>
        <v>2096.15</v>
      </c>
      <c r="AL35" s="769">
        <v>492874</v>
      </c>
      <c r="AM35" s="636">
        <f t="shared" si="12"/>
        <v>156.88</v>
      </c>
      <c r="AN35" s="636">
        <f t="shared" si="24"/>
        <v>3564.25</v>
      </c>
      <c r="AO35" s="707">
        <v>7651035</v>
      </c>
      <c r="AP35" s="636">
        <f t="shared" si="25"/>
        <v>4.3875000000000002</v>
      </c>
      <c r="AQ35" s="769">
        <v>677113</v>
      </c>
      <c r="AR35" s="636">
        <f t="shared" si="13"/>
        <v>329</v>
      </c>
      <c r="AS35" s="769">
        <v>966044</v>
      </c>
      <c r="AT35" s="636">
        <f>IF(AS35&gt;=AS34,AS35-AS34,0)</f>
        <v>131</v>
      </c>
      <c r="AU35" s="769">
        <v>810165</v>
      </c>
      <c r="AV35" s="636">
        <f t="shared" si="14"/>
        <v>45</v>
      </c>
      <c r="AW35" s="769">
        <v>2620460</v>
      </c>
      <c r="AX35" s="636">
        <f t="shared" si="15"/>
        <v>567</v>
      </c>
      <c r="AY35" s="769">
        <v>229547</v>
      </c>
      <c r="AZ35" s="636">
        <f t="shared" si="47"/>
        <v>6</v>
      </c>
      <c r="BA35" s="769">
        <v>19293123</v>
      </c>
      <c r="BB35" s="636">
        <f t="shared" si="17"/>
        <v>4007</v>
      </c>
      <c r="BC35" s="769">
        <v>567101</v>
      </c>
      <c r="BD35" s="636">
        <f t="shared" si="17"/>
        <v>219</v>
      </c>
      <c r="BE35" s="769">
        <v>26697</v>
      </c>
      <c r="BF35" s="636">
        <f t="shared" si="17"/>
        <v>53</v>
      </c>
      <c r="BG35" s="770">
        <v>24124302</v>
      </c>
      <c r="BH35" s="636">
        <f t="shared" si="27"/>
        <v>4636.5</v>
      </c>
      <c r="BI35" s="636">
        <f t="shared" si="28"/>
        <v>9997.8875000000007</v>
      </c>
      <c r="BJ35" s="636">
        <f t="shared" si="34"/>
        <v>13562.137500000001</v>
      </c>
      <c r="BK35" s="770">
        <v>1425400</v>
      </c>
      <c r="BL35" s="636">
        <f t="shared" si="18"/>
        <v>60</v>
      </c>
      <c r="BM35" s="770">
        <v>3932356</v>
      </c>
      <c r="BN35" s="636">
        <f t="shared" si="19"/>
        <v>828</v>
      </c>
      <c r="BO35" s="707">
        <v>413613</v>
      </c>
      <c r="BP35" s="636">
        <f t="shared" si="20"/>
        <v>142</v>
      </c>
      <c r="BQ35" s="769">
        <v>517818</v>
      </c>
      <c r="BR35" s="636">
        <f t="shared" si="41"/>
        <v>120</v>
      </c>
      <c r="BS35" s="692">
        <f t="shared" si="29"/>
        <v>21459.137500000001</v>
      </c>
      <c r="BT35" s="693">
        <v>187</v>
      </c>
      <c r="BU35" s="692">
        <f t="shared" si="50"/>
        <v>114.75474598930482</v>
      </c>
      <c r="BV35" s="693"/>
      <c r="BW35" s="692" t="e">
        <f t="shared" si="31"/>
        <v>#DIV/0!</v>
      </c>
      <c r="BX35" s="692">
        <f t="shared" si="35"/>
        <v>24840.008125</v>
      </c>
      <c r="BY35" s="692">
        <f t="shared" si="48"/>
        <v>132.83426804812834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23935086</v>
      </c>
      <c r="J36" s="636">
        <f t="shared" si="22"/>
        <v>8003</v>
      </c>
      <c r="K36" s="636">
        <f t="shared" si="0"/>
        <v>4648</v>
      </c>
      <c r="L36" s="770">
        <v>682610</v>
      </c>
      <c r="M36" s="636">
        <f t="shared" si="1"/>
        <v>3160</v>
      </c>
      <c r="N36" s="770">
        <v>568451</v>
      </c>
      <c r="O36" s="636">
        <f t="shared" si="2"/>
        <v>1488</v>
      </c>
      <c r="P36" s="770">
        <v>221729</v>
      </c>
      <c r="Q36" s="636">
        <f t="shared" si="46"/>
        <v>630</v>
      </c>
      <c r="R36" s="769">
        <v>182286</v>
      </c>
      <c r="S36" s="636">
        <f t="shared" si="49"/>
        <v>138</v>
      </c>
      <c r="T36" s="769">
        <v>333231.5</v>
      </c>
      <c r="U36" s="636">
        <f t="shared" si="52"/>
        <v>267.5</v>
      </c>
      <c r="V36" s="769">
        <v>792076</v>
      </c>
      <c r="W36" s="636">
        <f t="shared" si="6"/>
        <v>512.51</v>
      </c>
      <c r="X36" s="770">
        <v>120756</v>
      </c>
      <c r="Y36" s="636">
        <f t="shared" si="7"/>
        <v>0</v>
      </c>
      <c r="Z36" s="769">
        <v>134745</v>
      </c>
      <c r="AA36" s="636">
        <f t="shared" si="8"/>
        <v>0</v>
      </c>
      <c r="AB36" s="769">
        <v>488293</v>
      </c>
      <c r="AC36" s="636">
        <f t="shared" si="33"/>
        <v>0</v>
      </c>
      <c r="AD36" s="769">
        <v>656991</v>
      </c>
      <c r="AE36" s="636">
        <f t="shared" si="23"/>
        <v>13.780000000000001</v>
      </c>
      <c r="AF36" s="769">
        <v>835653</v>
      </c>
      <c r="AG36" s="636">
        <f t="shared" si="42"/>
        <v>12.72</v>
      </c>
      <c r="AH36" s="770">
        <v>988484</v>
      </c>
      <c r="AI36" s="636">
        <f t="shared" si="10"/>
        <v>402.27000000000004</v>
      </c>
      <c r="AJ36" s="769">
        <v>753327</v>
      </c>
      <c r="AK36" s="636">
        <f t="shared" si="45"/>
        <v>2076.0100000000002</v>
      </c>
      <c r="AL36" s="769">
        <v>493166</v>
      </c>
      <c r="AM36" s="636">
        <f t="shared" si="12"/>
        <v>154.76000000000002</v>
      </c>
      <c r="AN36" s="636">
        <f t="shared" si="24"/>
        <v>3172.05</v>
      </c>
      <c r="AO36" s="769">
        <v>7651074</v>
      </c>
      <c r="AP36" s="636">
        <f t="shared" si="25"/>
        <v>4.3875000000000002</v>
      </c>
      <c r="AQ36" s="769">
        <v>677433</v>
      </c>
      <c r="AR36" s="636">
        <f t="shared" si="13"/>
        <v>320</v>
      </c>
      <c r="AS36" s="769">
        <v>966158</v>
      </c>
      <c r="AT36" s="636">
        <f>IF(AS36&gt;=AS35,AS36-AS35,0)</f>
        <v>114</v>
      </c>
      <c r="AU36" s="769">
        <v>810198</v>
      </c>
      <c r="AV36" s="636">
        <f t="shared" si="14"/>
        <v>33</v>
      </c>
      <c r="AW36" s="769">
        <v>2620992</v>
      </c>
      <c r="AX36" s="636">
        <f t="shared" si="15"/>
        <v>532</v>
      </c>
      <c r="AY36" s="769">
        <v>229553</v>
      </c>
      <c r="AZ36" s="636">
        <f t="shared" si="47"/>
        <v>6</v>
      </c>
      <c r="BA36" s="769">
        <v>19297389</v>
      </c>
      <c r="BB36" s="636">
        <f t="shared" si="17"/>
        <v>4266</v>
      </c>
      <c r="BC36" s="769">
        <v>567310</v>
      </c>
      <c r="BD36" s="636">
        <f t="shared" si="17"/>
        <v>209</v>
      </c>
      <c r="BE36" s="769">
        <v>26749</v>
      </c>
      <c r="BF36" s="636">
        <f t="shared" si="17"/>
        <v>52</v>
      </c>
      <c r="BG36" s="770">
        <v>24129548</v>
      </c>
      <c r="BH36" s="636">
        <f t="shared" si="27"/>
        <v>4685.3499999999995</v>
      </c>
      <c r="BI36" s="636">
        <f t="shared" si="28"/>
        <v>10221.737499999999</v>
      </c>
      <c r="BJ36" s="636">
        <f t="shared" si="34"/>
        <v>13393.787499999999</v>
      </c>
      <c r="BK36" s="770">
        <v>1425459</v>
      </c>
      <c r="BL36" s="636">
        <f t="shared" si="18"/>
        <v>59</v>
      </c>
      <c r="BM36" s="769">
        <v>3933145</v>
      </c>
      <c r="BN36" s="636">
        <f t="shared" si="19"/>
        <v>789</v>
      </c>
      <c r="BO36" s="707">
        <v>413761</v>
      </c>
      <c r="BP36" s="636">
        <f t="shared" si="20"/>
        <v>148</v>
      </c>
      <c r="BQ36" s="769">
        <v>517957</v>
      </c>
      <c r="BR36" s="636">
        <f t="shared" si="41"/>
        <v>139</v>
      </c>
      <c r="BS36" s="692">
        <f t="shared" si="29"/>
        <v>22026.787499999999</v>
      </c>
      <c r="BT36" s="693">
        <v>190</v>
      </c>
      <c r="BU36" s="692">
        <f t="shared" si="50"/>
        <v>115.93046052631578</v>
      </c>
      <c r="BV36" s="721"/>
      <c r="BW36" s="692" t="e">
        <f t="shared" si="31"/>
        <v>#DIV/0!</v>
      </c>
      <c r="BX36" s="692">
        <f t="shared" si="35"/>
        <v>25614.305624999997</v>
      </c>
      <c r="BY36" s="692">
        <f t="shared" si="48"/>
        <v>134.81213486842103</v>
      </c>
      <c r="BZ36" s="694" t="e">
        <f t="shared" si="36"/>
        <v>#DIV/0!</v>
      </c>
    </row>
    <row r="37" spans="1:78" s="3" customFormat="1" ht="36.75" customHeight="1" thickBo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219498</v>
      </c>
      <c r="K37" s="712">
        <f>SUM(K6:K36)</f>
        <v>132822</v>
      </c>
      <c r="L37" s="696"/>
      <c r="M37" s="552">
        <f>SUM(M6:M36)</f>
        <v>87223</v>
      </c>
      <c r="N37" s="696"/>
      <c r="O37" s="552">
        <f>SUM(O6:O36)</f>
        <v>45599</v>
      </c>
      <c r="P37" s="696"/>
      <c r="Q37" s="552">
        <f>SUM(Q6:Q36)</f>
        <v>16290</v>
      </c>
      <c r="R37" s="716"/>
      <c r="S37" s="552">
        <f>SUM(S6:S36)</f>
        <v>4351</v>
      </c>
      <c r="T37" s="716"/>
      <c r="U37" s="552">
        <f>SUM(U6:U36)</f>
        <v>8145.5</v>
      </c>
      <c r="V37" s="696"/>
      <c r="W37" s="552">
        <f>SUM(W6:W36)</f>
        <v>30563.509999999995</v>
      </c>
      <c r="X37" s="769"/>
      <c r="Y37" s="552">
        <f>SUM(Y5:Y36)</f>
        <v>2391.8900000000003</v>
      </c>
      <c r="Z37" s="713"/>
      <c r="AA37" s="712">
        <f>SUM(AA6:AA36)</f>
        <v>40.28</v>
      </c>
      <c r="AB37" s="696"/>
      <c r="AC37" s="552">
        <f>SUM(AC6:AC36)</f>
        <v>24.380000000000003</v>
      </c>
      <c r="AD37" s="785"/>
      <c r="AE37" s="712">
        <f>SUM(AE6:AE36)</f>
        <v>418.70000000000005</v>
      </c>
      <c r="AF37" s="785"/>
      <c r="AG37" s="712">
        <f>SUM(AG6:AG36)</f>
        <v>401.21000000000015</v>
      </c>
      <c r="AH37" s="697"/>
      <c r="AI37" s="552">
        <f>SUM(AI6:AI36)</f>
        <v>11259.32</v>
      </c>
      <c r="AJ37" s="697"/>
      <c r="AK37" s="552">
        <f>SUM(AK6:AK36)</f>
        <v>69732.62999999999</v>
      </c>
      <c r="AL37" s="712"/>
      <c r="AM37" s="552">
        <f>SUM(AM6:AM36)</f>
        <v>4844.7300000000014</v>
      </c>
      <c r="AN37" s="712">
        <f>SUM(AN6:AN36)</f>
        <v>119676.65000000001</v>
      </c>
      <c r="AO37" s="774"/>
      <c r="AP37" s="552">
        <f>SUM(AP6:AP36)</f>
        <v>137.8125</v>
      </c>
      <c r="AQ37" s="697"/>
      <c r="AR37" s="552">
        <f>SUM(AR6:AR36)</f>
        <v>10083</v>
      </c>
      <c r="AS37" s="697"/>
      <c r="AT37" s="552">
        <f>SUM(AT6:AT36)</f>
        <v>4167</v>
      </c>
      <c r="AU37" s="697"/>
      <c r="AV37" s="552">
        <f>SUM(AV6:AV36)</f>
        <v>929</v>
      </c>
      <c r="AW37" s="697"/>
      <c r="AX37" s="552">
        <f>SUM(AX6:AX36)</f>
        <v>17567</v>
      </c>
      <c r="AY37" s="697"/>
      <c r="AZ37" s="552">
        <f>SUM(AZ6:AZ36)</f>
        <v>489</v>
      </c>
      <c r="BA37" s="697"/>
      <c r="BB37" s="552">
        <f>SUM(BB6:BB36)</f>
        <v>134304</v>
      </c>
      <c r="BC37" s="785"/>
      <c r="BD37" s="552">
        <f>SUM(BD6:BD36)</f>
        <v>7116</v>
      </c>
      <c r="BE37" s="785"/>
      <c r="BF37" s="552">
        <f>SUM(BF6:BF36)</f>
        <v>1639</v>
      </c>
      <c r="BG37" s="697"/>
      <c r="BH37" s="712">
        <f>SUM(BH6:BH36)</f>
        <v>147990.40000000002</v>
      </c>
      <c r="BI37" s="712">
        <f>SUM(BI6:BI36)</f>
        <v>324422.21250000002</v>
      </c>
      <c r="BJ37" s="712">
        <f>SUM(BJ6:BJ36)</f>
        <v>444098.86249999993</v>
      </c>
      <c r="BK37" s="696"/>
      <c r="BL37" s="552">
        <f>SUM(BL6:BL36)</f>
        <v>5623</v>
      </c>
      <c r="BM37" s="697"/>
      <c r="BN37" s="552">
        <f>SUM(BN6:BN36)</f>
        <v>23678</v>
      </c>
      <c r="BO37" s="697"/>
      <c r="BP37" s="552">
        <f>SUM(BP6:BP36)</f>
        <v>4170</v>
      </c>
      <c r="BQ37" s="697"/>
      <c r="BR37" s="552">
        <f>SUM(BR6:BR36)</f>
        <v>4347</v>
      </c>
      <c r="BS37" s="552">
        <f>SUM(BS6:BS36)</f>
        <v>679886.86249999993</v>
      </c>
      <c r="BT37" s="698">
        <f>SUM(BT6:BT36)</f>
        <v>6263</v>
      </c>
      <c r="BU37" s="699">
        <f>IF(BS37&gt;0,BS37/BT37,0)</f>
        <v>108.5561013092767</v>
      </c>
      <c r="BV37" s="698">
        <f>SUM(BV6:BV35)</f>
        <v>0</v>
      </c>
      <c r="BW37" s="699" t="e">
        <f>IF(BS37&gt;0,BS37/BV37,0)</f>
        <v>#DIV/0!</v>
      </c>
      <c r="BX37" s="544">
        <f>SUM(BX6:BX35)</f>
        <v>763586.08624999993</v>
      </c>
      <c r="BY37" s="699">
        <f>IF(BX37&gt;0,BX37/BT37,0)</f>
        <v>121.92017982596199</v>
      </c>
      <c r="BZ37" s="700" t="e">
        <f>IF(BX37&gt;0,BX37/BV37,0)</f>
        <v>#DIV/0!</v>
      </c>
    </row>
    <row r="38" spans="1:78" s="3" customFormat="1" ht="36.75" customHeight="1" thickBo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7080.5806451612907</v>
      </c>
      <c r="K38" s="701">
        <f>K37/J39</f>
        <v>4284.5806451612907</v>
      </c>
      <c r="L38" s="702"/>
      <c r="M38" s="701">
        <f>M37/J39</f>
        <v>2813.6451612903224</v>
      </c>
      <c r="N38" s="702"/>
      <c r="O38" s="701">
        <f>O37/J39</f>
        <v>1470.9354838709678</v>
      </c>
      <c r="P38" s="702"/>
      <c r="Q38" s="701">
        <f>Q37/J39</f>
        <v>525.48387096774195</v>
      </c>
      <c r="R38" s="717"/>
      <c r="S38" s="701">
        <f>S37/J39</f>
        <v>140.35483870967741</v>
      </c>
      <c r="T38" s="717"/>
      <c r="U38" s="701">
        <f>U37/J39</f>
        <v>262.75806451612902</v>
      </c>
      <c r="V38" s="702"/>
      <c r="W38" s="701">
        <f>W37/J39</f>
        <v>985.91967741935468</v>
      </c>
      <c r="X38" s="702"/>
      <c r="Y38" s="701">
        <f>Y37/J39</f>
        <v>77.157741935483884</v>
      </c>
      <c r="Z38" s="703"/>
      <c r="AA38" s="701">
        <f>AA37/J39</f>
        <v>1.2993548387096774</v>
      </c>
      <c r="AB38" s="702"/>
      <c r="AC38" s="701">
        <f>AC37/J39</f>
        <v>0.78645161290322585</v>
      </c>
      <c r="AD38" s="784"/>
      <c r="AE38" s="701">
        <f>AE37/J39</f>
        <v>13.506451612903227</v>
      </c>
      <c r="AF38" s="784"/>
      <c r="AG38" s="701">
        <f>AG37/J39</f>
        <v>12.942258064516134</v>
      </c>
      <c r="AH38" s="704"/>
      <c r="AI38" s="701">
        <f>AI37/J39</f>
        <v>363.20387096774192</v>
      </c>
      <c r="AJ38" s="704"/>
      <c r="AK38" s="701">
        <f>AK37/J39</f>
        <v>2249.4396774193547</v>
      </c>
      <c r="AL38" s="701"/>
      <c r="AM38" s="701">
        <f>AM37/J39</f>
        <v>156.28161290322586</v>
      </c>
      <c r="AN38" s="701">
        <f>AN37/J39</f>
        <v>3860.5370967741937</v>
      </c>
      <c r="AO38" s="704"/>
      <c r="AP38" s="701">
        <f>AP37/J39</f>
        <v>4.445564516129032</v>
      </c>
      <c r="AQ38" s="704"/>
      <c r="AR38" s="701">
        <f>AR37/J39</f>
        <v>325.25806451612902</v>
      </c>
      <c r="AS38" s="704"/>
      <c r="AT38" s="701">
        <f>AT37/J39</f>
        <v>134.41935483870967</v>
      </c>
      <c r="AU38" s="704"/>
      <c r="AV38" s="701">
        <f>AV37/J39</f>
        <v>29.967741935483872</v>
      </c>
      <c r="AW38" s="704"/>
      <c r="AX38" s="701">
        <f>AX37/J39</f>
        <v>566.67741935483866</v>
      </c>
      <c r="AY38" s="704"/>
      <c r="AZ38" s="701">
        <f>AZ37/J39</f>
        <v>15.774193548387096</v>
      </c>
      <c r="BA38" s="704"/>
      <c r="BB38" s="701">
        <f>BB37/J39</f>
        <v>4332.3870967741932</v>
      </c>
      <c r="BC38" s="784"/>
      <c r="BD38" s="701">
        <f>BD37/J39</f>
        <v>229.54838709677421</v>
      </c>
      <c r="BE38" s="784"/>
      <c r="BF38" s="701">
        <f>BF37/J39</f>
        <v>52.87096774193548</v>
      </c>
      <c r="BG38" s="704"/>
      <c r="BH38" s="701">
        <f>BH37/J39</f>
        <v>4773.883870967743</v>
      </c>
      <c r="BI38" s="701"/>
      <c r="BJ38" s="701"/>
      <c r="BK38" s="702"/>
      <c r="BL38" s="701">
        <f>BL37/J39</f>
        <v>181.38709677419354</v>
      </c>
      <c r="BM38" s="704"/>
      <c r="BN38" s="701">
        <f>BN37/J39</f>
        <v>763.80645161290317</v>
      </c>
      <c r="BO38" s="704"/>
      <c r="BP38" s="701">
        <f>BP37/J39</f>
        <v>134.51612903225808</v>
      </c>
      <c r="BQ38" s="704"/>
      <c r="BR38" s="701">
        <f>BR37/J39</f>
        <v>140.2258064516129</v>
      </c>
      <c r="BS38" s="549">
        <f xml:space="preserve"> BS37/J40</f>
        <v>21931.834274193545</v>
      </c>
      <c r="BT38" s="549">
        <f>BT37/J40</f>
        <v>202.03225806451613</v>
      </c>
      <c r="BU38" s="549">
        <f>BS38/BT38</f>
        <v>108.55610130927668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COUNTIF(I6:I36,"&gt;0")</f>
        <v>31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804">
        <f>BT38/262</f>
        <v>0.77111548879586311</v>
      </c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COUNTIF(A6:A36,"&gt;0")</f>
        <v>31</v>
      </c>
      <c r="K40" s="540"/>
      <c r="BU40" s="551"/>
      <c r="BW40" s="551"/>
      <c r="BX40" s="561"/>
    </row>
    <row r="45" spans="1:78" ht="30.75" customHeight="1">
      <c r="A45" s="815"/>
      <c r="B45" s="815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U5:U36 S5:S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7" activePane="bottomRight" state="frozen"/>
      <selection pane="bottomRight" activeCell="B30" sqref="B30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48" t="str">
        <f>Elect!A1</f>
        <v>January</v>
      </c>
      <c r="B1" s="579"/>
      <c r="C1" s="580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581"/>
      <c r="P1" s="850"/>
      <c r="Q1" s="850"/>
      <c r="R1" s="850"/>
      <c r="S1" s="2"/>
      <c r="T1" s="582" t="s">
        <v>125</v>
      </c>
      <c r="U1" s="566"/>
      <c r="V1" s="565">
        <v>4</v>
      </c>
      <c r="W1" s="564" t="s">
        <v>126</v>
      </c>
      <c r="X1" s="583"/>
      <c r="Y1" s="584"/>
      <c r="Z1" s="566"/>
    </row>
    <row r="2" spans="1:26" ht="39.75" customHeight="1" thickBot="1">
      <c r="A2" s="849"/>
      <c r="B2" s="586"/>
      <c r="C2" s="580"/>
      <c r="O2" s="581"/>
      <c r="P2" s="851"/>
      <c r="Q2" s="851"/>
      <c r="R2" s="851"/>
    </row>
    <row r="3" spans="1:26" s="3" customFormat="1" ht="42" customHeight="1" thickBot="1">
      <c r="A3" s="840" t="s">
        <v>1</v>
      </c>
      <c r="B3" s="587"/>
      <c r="C3" s="588"/>
      <c r="D3" s="588"/>
      <c r="E3" s="589" t="s">
        <v>127</v>
      </c>
      <c r="F3" s="588"/>
      <c r="G3" s="588"/>
      <c r="H3" s="590"/>
      <c r="I3" s="870" t="s">
        <v>128</v>
      </c>
      <c r="J3" s="871"/>
      <c r="K3" s="871"/>
      <c r="L3" s="871"/>
      <c r="M3" s="872"/>
      <c r="N3" s="862" t="s">
        <v>129</v>
      </c>
      <c r="O3" s="863"/>
      <c r="P3" s="843" t="s">
        <v>130</v>
      </c>
      <c r="Q3" s="843"/>
      <c r="R3" s="843" t="s">
        <v>131</v>
      </c>
      <c r="S3" s="843"/>
      <c r="T3" s="858" t="s">
        <v>132</v>
      </c>
      <c r="U3" s="854" t="s">
        <v>133</v>
      </c>
      <c r="V3" s="854" t="s">
        <v>134</v>
      </c>
      <c r="W3" s="854" t="s">
        <v>135</v>
      </c>
      <c r="X3" s="855" t="s">
        <v>136</v>
      </c>
      <c r="Y3" s="591" t="s">
        <v>73</v>
      </c>
      <c r="Z3" s="592" t="s">
        <v>73</v>
      </c>
    </row>
    <row r="4" spans="1:26" s="3" customFormat="1" ht="45" customHeight="1" thickBot="1">
      <c r="A4" s="841"/>
      <c r="B4" s="864" t="s">
        <v>137</v>
      </c>
      <c r="C4" s="865"/>
      <c r="D4" s="866" t="s">
        <v>138</v>
      </c>
      <c r="E4" s="867"/>
      <c r="F4" s="866" t="s">
        <v>139</v>
      </c>
      <c r="G4" s="867"/>
      <c r="H4" s="846" t="s">
        <v>140</v>
      </c>
      <c r="I4" s="868" t="s">
        <v>141</v>
      </c>
      <c r="J4" s="869"/>
      <c r="K4" s="868" t="s">
        <v>142</v>
      </c>
      <c r="L4" s="869"/>
      <c r="M4" s="793"/>
      <c r="N4" s="846" t="s">
        <v>143</v>
      </c>
      <c r="O4" s="846" t="s">
        <v>144</v>
      </c>
      <c r="P4" s="844" t="s">
        <v>145</v>
      </c>
      <c r="Q4" s="844" t="s">
        <v>146</v>
      </c>
      <c r="R4" s="844" t="s">
        <v>145</v>
      </c>
      <c r="S4" s="844" t="s">
        <v>146</v>
      </c>
      <c r="T4" s="859"/>
      <c r="U4" s="844"/>
      <c r="V4" s="844"/>
      <c r="W4" s="844"/>
      <c r="X4" s="856"/>
      <c r="Y4" s="852" t="s">
        <v>118</v>
      </c>
      <c r="Z4" s="837" t="s">
        <v>119</v>
      </c>
    </row>
    <row r="5" spans="1:26" s="3" customFormat="1" ht="48.75" customHeight="1" thickBot="1">
      <c r="A5" s="842"/>
      <c r="B5" s="593" t="s">
        <v>147</v>
      </c>
      <c r="C5" s="792" t="s">
        <v>148</v>
      </c>
      <c r="D5" s="594" t="s">
        <v>147</v>
      </c>
      <c r="E5" s="792" t="s">
        <v>148</v>
      </c>
      <c r="F5" s="594" t="s">
        <v>147</v>
      </c>
      <c r="G5" s="792" t="s">
        <v>148</v>
      </c>
      <c r="H5" s="847"/>
      <c r="I5" s="726" t="s">
        <v>147</v>
      </c>
      <c r="J5" s="727"/>
      <c r="K5" s="726" t="s">
        <v>147</v>
      </c>
      <c r="L5" s="727"/>
      <c r="M5" s="725"/>
      <c r="N5" s="845"/>
      <c r="O5" s="845"/>
      <c r="P5" s="845"/>
      <c r="Q5" s="845"/>
      <c r="R5" s="845"/>
      <c r="S5" s="845"/>
      <c r="T5" s="860"/>
      <c r="U5" s="845"/>
      <c r="V5" s="845"/>
      <c r="W5" s="845"/>
      <c r="X5" s="857"/>
      <c r="Y5" s="853"/>
      <c r="Z5" s="838"/>
    </row>
    <row r="6" spans="1:26" s="3" customFormat="1" ht="36.75" customHeight="1">
      <c r="A6" s="595"/>
      <c r="B6" s="768">
        <v>82399</v>
      </c>
      <c r="C6" s="636">
        <f t="shared" ref="C6:C37" si="0">IF(B6&gt;=B5,B6-B5,0)*10*0.58</f>
        <v>0</v>
      </c>
      <c r="D6" s="771">
        <v>3285</v>
      </c>
      <c r="E6" s="636">
        <f t="shared" ref="E6:E37" si="1">IF(D6&gt;=D5,D6-D5,0)*10*0.58</f>
        <v>0</v>
      </c>
      <c r="F6" s="767">
        <v>29102</v>
      </c>
      <c r="G6" s="636">
        <f>IF(F6&gt;=F5,F6-F5,0)*0.58</f>
        <v>0</v>
      </c>
      <c r="H6" s="708"/>
      <c r="I6" s="767">
        <v>245</v>
      </c>
      <c r="J6" s="724"/>
      <c r="K6" s="767">
        <v>3986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82448</v>
      </c>
      <c r="C7" s="636">
        <f t="shared" si="0"/>
        <v>284.2</v>
      </c>
      <c r="D7" s="771">
        <v>3328</v>
      </c>
      <c r="E7" s="636">
        <f t="shared" si="1"/>
        <v>249.39999999999998</v>
      </c>
      <c r="F7" s="767">
        <v>29112</v>
      </c>
      <c r="G7" s="636">
        <f t="shared" ref="G7:G37" si="2">IF(F7&gt;=F6,F7-F6,0)*0.58</f>
        <v>5.8</v>
      </c>
      <c r="H7" s="636">
        <f t="shared" ref="H7:H37" si="3">C7+E7+G7</f>
        <v>539.39999999999986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312.85199999999992</v>
      </c>
      <c r="R7" s="109"/>
      <c r="S7" s="436">
        <f>IF(R7-R6&gt;0,R7-R6,0)</f>
        <v>0</v>
      </c>
      <c r="T7" s="706">
        <f>Elect!BT6</f>
        <v>232</v>
      </c>
      <c r="U7" s="604">
        <f>H7/T7</f>
        <v>2.3249999999999993</v>
      </c>
      <c r="V7" s="706">
        <f>Elect!BV6</f>
        <v>0</v>
      </c>
      <c r="W7" s="604" t="e">
        <f>H7/V7</f>
        <v>#DIV/0!</v>
      </c>
      <c r="X7" s="429">
        <f>H7*V1</f>
        <v>2157.5999999999995</v>
      </c>
      <c r="Y7" s="604">
        <f>IF(X7&gt;0,X7/T7,0)</f>
        <v>9.2999999999999972</v>
      </c>
      <c r="Z7" s="607">
        <v>0</v>
      </c>
    </row>
    <row r="8" spans="1:26" s="3" customFormat="1" ht="36.75" customHeight="1">
      <c r="A8" s="595">
        <v>2</v>
      </c>
      <c r="B8" s="768">
        <v>82465</v>
      </c>
      <c r="C8" s="636">
        <f t="shared" si="0"/>
        <v>98.6</v>
      </c>
      <c r="D8" s="771">
        <v>3352</v>
      </c>
      <c r="E8" s="636">
        <f t="shared" si="1"/>
        <v>139.19999999999999</v>
      </c>
      <c r="F8" s="767">
        <v>29112</v>
      </c>
      <c r="G8" s="636">
        <f t="shared" si="2"/>
        <v>0</v>
      </c>
      <c r="H8" s="636">
        <f t="shared" si="3"/>
        <v>237.79999999999998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137.92399999999998</v>
      </c>
      <c r="R8" s="109"/>
      <c r="S8" s="436">
        <f t="shared" ref="S8:S37" si="6">IF(R8-R7&gt;0,R8-R7,0)</f>
        <v>0</v>
      </c>
      <c r="T8" s="706">
        <f>Elect!BT7</f>
        <v>191</v>
      </c>
      <c r="U8" s="604">
        <f t="shared" ref="U8:U37" si="7">H8/T8</f>
        <v>1.2450261780104712</v>
      </c>
      <c r="V8" s="706">
        <f>Elect!BV7</f>
        <v>0</v>
      </c>
      <c r="W8" s="604" t="e">
        <f t="shared" ref="W8:W37" si="8">H8/V8</f>
        <v>#DIV/0!</v>
      </c>
      <c r="X8" s="429">
        <f>H8*V1</f>
        <v>951.19999999999993</v>
      </c>
      <c r="Y8" s="604">
        <f>IF(X8&gt;0,X8/T8,0)</f>
        <v>4.9801047120418849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82491</v>
      </c>
      <c r="C9" s="636">
        <f t="shared" si="0"/>
        <v>150.79999999999998</v>
      </c>
      <c r="D9" s="771">
        <v>3386</v>
      </c>
      <c r="E9" s="636">
        <f t="shared" si="1"/>
        <v>197.2</v>
      </c>
      <c r="F9" s="767">
        <v>29112</v>
      </c>
      <c r="G9" s="636">
        <f t="shared" si="2"/>
        <v>0</v>
      </c>
      <c r="H9" s="636">
        <f t="shared" si="3"/>
        <v>348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201.83999999999997</v>
      </c>
      <c r="R9" s="109"/>
      <c r="S9" s="436">
        <f t="shared" si="6"/>
        <v>0</v>
      </c>
      <c r="T9" s="706">
        <f>Elect!BT8</f>
        <v>219</v>
      </c>
      <c r="U9" s="604">
        <f t="shared" si="7"/>
        <v>1.5890410958904109</v>
      </c>
      <c r="V9" s="706">
        <f>Elect!BV8</f>
        <v>0</v>
      </c>
      <c r="W9" s="604" t="e">
        <f t="shared" si="8"/>
        <v>#DIV/0!</v>
      </c>
      <c r="X9" s="429">
        <f>H9*V1</f>
        <v>1392</v>
      </c>
      <c r="Y9" s="604">
        <f t="shared" ref="Y9:Y37" si="9">IF(X9&gt;0,X9/T9,0)</f>
        <v>6.3561643835616435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82516</v>
      </c>
      <c r="C10" s="636">
        <f t="shared" si="0"/>
        <v>145</v>
      </c>
      <c r="D10" s="771">
        <v>3419</v>
      </c>
      <c r="E10" s="636">
        <f t="shared" si="1"/>
        <v>191.39999999999998</v>
      </c>
      <c r="F10" s="767">
        <v>29112</v>
      </c>
      <c r="G10" s="636">
        <f t="shared" si="2"/>
        <v>0</v>
      </c>
      <c r="H10" s="636">
        <f t="shared" si="3"/>
        <v>336.4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195.11199999999997</v>
      </c>
      <c r="R10" s="109"/>
      <c r="S10" s="436">
        <f t="shared" si="6"/>
        <v>0</v>
      </c>
      <c r="T10" s="706">
        <f>Elect!BT9</f>
        <v>205</v>
      </c>
      <c r="U10" s="604">
        <f t="shared" si="7"/>
        <v>1.6409756097560975</v>
      </c>
      <c r="V10" s="706">
        <f>Elect!BV9</f>
        <v>0</v>
      </c>
      <c r="W10" s="604" t="e">
        <f t="shared" si="8"/>
        <v>#DIV/0!</v>
      </c>
      <c r="X10" s="429">
        <f>H10*V1</f>
        <v>1345.6</v>
      </c>
      <c r="Y10" s="604">
        <f t="shared" si="9"/>
        <v>6.5639024390243899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82541</v>
      </c>
      <c r="C11" s="636">
        <f t="shared" si="0"/>
        <v>145</v>
      </c>
      <c r="D11" s="771">
        <v>3452</v>
      </c>
      <c r="E11" s="636">
        <f t="shared" si="1"/>
        <v>191.39999999999998</v>
      </c>
      <c r="F11" s="767">
        <v>29112</v>
      </c>
      <c r="G11" s="636">
        <f t="shared" si="2"/>
        <v>0</v>
      </c>
      <c r="H11" s="636">
        <f t="shared" si="3"/>
        <v>336.4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195.11199999999997</v>
      </c>
      <c r="R11" s="109"/>
      <c r="S11" s="436">
        <f t="shared" si="6"/>
        <v>0</v>
      </c>
      <c r="T11" s="706">
        <f>Elect!BT10</f>
        <v>199</v>
      </c>
      <c r="U11" s="604">
        <f t="shared" si="7"/>
        <v>1.6904522613065325</v>
      </c>
      <c r="V11" s="706">
        <f>Elect!BV10</f>
        <v>0</v>
      </c>
      <c r="W11" s="604" t="e">
        <f t="shared" si="8"/>
        <v>#DIV/0!</v>
      </c>
      <c r="X11" s="429">
        <f>H11*V1</f>
        <v>1345.6</v>
      </c>
      <c r="Y11" s="604">
        <f t="shared" si="9"/>
        <v>6.7618090452261299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82566</v>
      </c>
      <c r="C12" s="636">
        <f t="shared" si="0"/>
        <v>145</v>
      </c>
      <c r="D12" s="771">
        <v>3485</v>
      </c>
      <c r="E12" s="636">
        <f t="shared" si="1"/>
        <v>191.39999999999998</v>
      </c>
      <c r="F12" s="767">
        <v>29112</v>
      </c>
      <c r="G12" s="636">
        <f t="shared" si="2"/>
        <v>0</v>
      </c>
      <c r="H12" s="636">
        <f t="shared" si="3"/>
        <v>336.4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195.11199999999997</v>
      </c>
      <c r="R12" s="109"/>
      <c r="S12" s="436">
        <f t="shared" si="6"/>
        <v>0</v>
      </c>
      <c r="T12" s="706">
        <f>Elect!BT11</f>
        <v>203</v>
      </c>
      <c r="U12" s="604">
        <f t="shared" si="7"/>
        <v>1.657142857142857</v>
      </c>
      <c r="V12" s="706">
        <f>Elect!BV11</f>
        <v>0</v>
      </c>
      <c r="W12" s="604" t="e">
        <f t="shared" si="8"/>
        <v>#DIV/0!</v>
      </c>
      <c r="X12" s="429">
        <f>H12*V1</f>
        <v>1345.6</v>
      </c>
      <c r="Y12" s="604">
        <f t="shared" si="9"/>
        <v>6.6285714285714281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82592</v>
      </c>
      <c r="C13" s="636">
        <f t="shared" si="0"/>
        <v>150.79999999999998</v>
      </c>
      <c r="D13" s="771">
        <v>3520</v>
      </c>
      <c r="E13" s="636">
        <f t="shared" si="1"/>
        <v>203</v>
      </c>
      <c r="F13" s="767">
        <v>29112</v>
      </c>
      <c r="G13" s="636">
        <f t="shared" si="2"/>
        <v>0</v>
      </c>
      <c r="H13" s="636">
        <f t="shared" si="3"/>
        <v>353.79999999999995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205.20399999999995</v>
      </c>
      <c r="R13" s="109"/>
      <c r="S13" s="436">
        <f t="shared" si="6"/>
        <v>0</v>
      </c>
      <c r="T13" s="706">
        <f>Elect!BT12</f>
        <v>233</v>
      </c>
      <c r="U13" s="604">
        <f t="shared" si="7"/>
        <v>1.5184549356223174</v>
      </c>
      <c r="V13" s="706">
        <f>Elect!BV12</f>
        <v>0</v>
      </c>
      <c r="W13" s="604" t="e">
        <f t="shared" si="8"/>
        <v>#DIV/0!</v>
      </c>
      <c r="X13" s="429">
        <f>H13*V1</f>
        <v>1415.1999999999998</v>
      </c>
      <c r="Y13" s="604">
        <f t="shared" si="9"/>
        <v>6.0738197424892695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82618</v>
      </c>
      <c r="C14" s="636">
        <f>IF(B14&gt;=B13,B14-B13,0)*10*0.58</f>
        <v>150.79999999999998</v>
      </c>
      <c r="D14" s="771">
        <v>3555</v>
      </c>
      <c r="E14" s="636">
        <f t="shared" si="1"/>
        <v>203</v>
      </c>
      <c r="F14" s="767">
        <v>29112</v>
      </c>
      <c r="G14" s="636">
        <f t="shared" si="2"/>
        <v>0</v>
      </c>
      <c r="H14" s="636">
        <f t="shared" si="3"/>
        <v>353.79999999999995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205.20399999999995</v>
      </c>
      <c r="R14" s="109"/>
      <c r="S14" s="436">
        <f t="shared" si="6"/>
        <v>0</v>
      </c>
      <c r="T14" s="706">
        <f>Elect!BT13</f>
        <v>238</v>
      </c>
      <c r="U14" s="604">
        <f t="shared" si="7"/>
        <v>1.4865546218487393</v>
      </c>
      <c r="V14" s="706">
        <f>Elect!BV13</f>
        <v>0</v>
      </c>
      <c r="W14" s="604" t="e">
        <f t="shared" si="8"/>
        <v>#DIV/0!</v>
      </c>
      <c r="X14" s="429">
        <f>H14*V1</f>
        <v>1415.1999999999998</v>
      </c>
      <c r="Y14" s="604">
        <f t="shared" si="9"/>
        <v>5.9462184873949573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82643</v>
      </c>
      <c r="C15" s="636">
        <f>IF(B15&gt;=B14,B15-B14,0)*10*0.58</f>
        <v>145</v>
      </c>
      <c r="D15" s="771">
        <v>3588</v>
      </c>
      <c r="E15" s="636">
        <f t="shared" si="1"/>
        <v>191.39999999999998</v>
      </c>
      <c r="F15" s="767">
        <v>29112</v>
      </c>
      <c r="G15" s="636">
        <f t="shared" si="2"/>
        <v>0</v>
      </c>
      <c r="H15" s="636">
        <f t="shared" si="3"/>
        <v>336.4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195.11199999999997</v>
      </c>
      <c r="R15" s="109"/>
      <c r="S15" s="436">
        <f t="shared" si="6"/>
        <v>0</v>
      </c>
      <c r="T15" s="706">
        <f>Elect!BT14</f>
        <v>220</v>
      </c>
      <c r="U15" s="604">
        <f t="shared" si="7"/>
        <v>1.5290909090909091</v>
      </c>
      <c r="V15" s="706">
        <f>Elect!BV14</f>
        <v>0</v>
      </c>
      <c r="W15" s="604" t="e">
        <f t="shared" si="8"/>
        <v>#DIV/0!</v>
      </c>
      <c r="X15" s="429">
        <f>H15*V1</f>
        <v>1345.6</v>
      </c>
      <c r="Y15" s="604">
        <f t="shared" si="9"/>
        <v>6.1163636363636362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82671</v>
      </c>
      <c r="C16" s="636">
        <f>IF(B16&gt;=B15,B16-B15,0)*10*0.58</f>
        <v>162.39999999999998</v>
      </c>
      <c r="D16" s="771">
        <v>3625</v>
      </c>
      <c r="E16" s="636">
        <f t="shared" si="1"/>
        <v>214.6</v>
      </c>
      <c r="F16" s="767">
        <v>29112</v>
      </c>
      <c r="G16" s="636">
        <f t="shared" si="2"/>
        <v>0</v>
      </c>
      <c r="H16" s="636">
        <f t="shared" si="3"/>
        <v>377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218.66</v>
      </c>
      <c r="R16" s="109"/>
      <c r="S16" s="436">
        <f t="shared" si="6"/>
        <v>0</v>
      </c>
      <c r="T16" s="706">
        <f>Elect!BT15</f>
        <v>211</v>
      </c>
      <c r="U16" s="604">
        <f t="shared" si="7"/>
        <v>1.7867298578199051</v>
      </c>
      <c r="V16" s="706">
        <f>Elect!BV15</f>
        <v>0</v>
      </c>
      <c r="W16" s="604" t="e">
        <f t="shared" si="8"/>
        <v>#DIV/0!</v>
      </c>
      <c r="X16" s="429">
        <f>H16*V1</f>
        <v>1508</v>
      </c>
      <c r="Y16" s="604">
        <f t="shared" si="9"/>
        <v>7.1469194312796205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82699</v>
      </c>
      <c r="C17" s="636">
        <f t="shared" si="0"/>
        <v>162.39999999999998</v>
      </c>
      <c r="D17" s="771">
        <v>3663</v>
      </c>
      <c r="E17" s="636">
        <f t="shared" si="1"/>
        <v>220.39999999999998</v>
      </c>
      <c r="F17" s="767">
        <v>29112</v>
      </c>
      <c r="G17" s="636">
        <f t="shared" si="2"/>
        <v>0</v>
      </c>
      <c r="H17" s="636">
        <f t="shared" si="3"/>
        <v>382.79999999999995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222.02399999999997</v>
      </c>
      <c r="R17" s="109"/>
      <c r="S17" s="436">
        <f t="shared" si="6"/>
        <v>0</v>
      </c>
      <c r="T17" s="706">
        <f>Elect!BT16</f>
        <v>201</v>
      </c>
      <c r="U17" s="604">
        <f t="shared" si="7"/>
        <v>1.9044776119402982</v>
      </c>
      <c r="V17" s="706">
        <f>Elect!BV16</f>
        <v>0</v>
      </c>
      <c r="W17" s="604" t="e">
        <f t="shared" si="8"/>
        <v>#DIV/0!</v>
      </c>
      <c r="X17" s="429">
        <f>H17*V1</f>
        <v>1531.1999999999998</v>
      </c>
      <c r="Y17" s="604">
        <f t="shared" si="9"/>
        <v>7.6179104477611927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82727</v>
      </c>
      <c r="C18" s="636">
        <f t="shared" si="0"/>
        <v>162.39999999999998</v>
      </c>
      <c r="D18" s="771">
        <v>3701</v>
      </c>
      <c r="E18" s="636">
        <f t="shared" si="1"/>
        <v>220.39999999999998</v>
      </c>
      <c r="F18" s="767">
        <v>29112</v>
      </c>
      <c r="G18" s="636">
        <f t="shared" si="2"/>
        <v>0</v>
      </c>
      <c r="H18" s="636">
        <f t="shared" si="3"/>
        <v>382.79999999999995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222.02399999999997</v>
      </c>
      <c r="R18" s="109"/>
      <c r="S18" s="436">
        <f t="shared" si="6"/>
        <v>0</v>
      </c>
      <c r="T18" s="706">
        <f>Elect!BT17</f>
        <v>179</v>
      </c>
      <c r="U18" s="604">
        <f t="shared" si="7"/>
        <v>2.1385474860335192</v>
      </c>
      <c r="V18" s="706">
        <f>Elect!BV17</f>
        <v>0</v>
      </c>
      <c r="W18" s="604" t="e">
        <f t="shared" si="8"/>
        <v>#DIV/0!</v>
      </c>
      <c r="X18" s="429">
        <f>H18*V1</f>
        <v>1531.1999999999998</v>
      </c>
      <c r="Y18" s="604">
        <f t="shared" si="9"/>
        <v>8.5541899441340767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82755</v>
      </c>
      <c r="C19" s="636">
        <f t="shared" si="0"/>
        <v>162.39999999999998</v>
      </c>
      <c r="D19" s="771">
        <v>3739</v>
      </c>
      <c r="E19" s="636">
        <f t="shared" si="1"/>
        <v>220.39999999999998</v>
      </c>
      <c r="F19" s="767">
        <v>29112</v>
      </c>
      <c r="G19" s="636">
        <f t="shared" si="2"/>
        <v>0</v>
      </c>
      <c r="H19" s="636">
        <f t="shared" si="3"/>
        <v>382.79999999999995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222.02399999999997</v>
      </c>
      <c r="R19" s="109"/>
      <c r="S19" s="436">
        <f t="shared" si="6"/>
        <v>0</v>
      </c>
      <c r="T19" s="706">
        <f>Elect!BT18</f>
        <v>207</v>
      </c>
      <c r="U19" s="604">
        <f t="shared" si="7"/>
        <v>1.8492753623188403</v>
      </c>
      <c r="V19" s="706">
        <f>Elect!BV18</f>
        <v>0</v>
      </c>
      <c r="W19" s="604" t="e">
        <f t="shared" si="8"/>
        <v>#DIV/0!</v>
      </c>
      <c r="X19" s="429">
        <f>H19*V1</f>
        <v>1531.1999999999998</v>
      </c>
      <c r="Y19" s="604">
        <f t="shared" si="9"/>
        <v>7.3971014492753611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82776</v>
      </c>
      <c r="C20" s="636">
        <f t="shared" si="0"/>
        <v>121.8</v>
      </c>
      <c r="D20" s="771">
        <v>3765</v>
      </c>
      <c r="E20" s="636">
        <f t="shared" si="1"/>
        <v>150.79999999999998</v>
      </c>
      <c r="F20" s="767">
        <v>29124</v>
      </c>
      <c r="G20" s="636">
        <f t="shared" si="2"/>
        <v>6.9599999999999991</v>
      </c>
      <c r="H20" s="636">
        <f t="shared" si="3"/>
        <v>279.55999999999995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162.14479999999995</v>
      </c>
      <c r="R20" s="109"/>
      <c r="S20" s="436">
        <f t="shared" si="6"/>
        <v>0</v>
      </c>
      <c r="T20" s="706">
        <f>Elect!BT19</f>
        <v>215</v>
      </c>
      <c r="U20" s="604">
        <f t="shared" si="7"/>
        <v>1.3002790697674416</v>
      </c>
      <c r="V20" s="706">
        <f>Elect!BV19</f>
        <v>0</v>
      </c>
      <c r="W20" s="604" t="e">
        <f t="shared" si="8"/>
        <v>#DIV/0!</v>
      </c>
      <c r="X20" s="429">
        <f>H20*V1</f>
        <v>1118.2399999999998</v>
      </c>
      <c r="Y20" s="604">
        <f t="shared" si="9"/>
        <v>5.2011162790697663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82797</v>
      </c>
      <c r="C21" s="636">
        <f t="shared" si="0"/>
        <v>121.8</v>
      </c>
      <c r="D21" s="771">
        <v>3791</v>
      </c>
      <c r="E21" s="636">
        <f t="shared" si="1"/>
        <v>150.79999999999998</v>
      </c>
      <c r="F21" s="767">
        <v>29124</v>
      </c>
      <c r="G21" s="636">
        <f t="shared" si="2"/>
        <v>0</v>
      </c>
      <c r="H21" s="636">
        <f t="shared" si="3"/>
        <v>272.59999999999997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158.10799999999998</v>
      </c>
      <c r="R21" s="109"/>
      <c r="S21" s="436">
        <f t="shared" si="6"/>
        <v>0</v>
      </c>
      <c r="T21" s="706">
        <f>Elect!BT20</f>
        <v>197</v>
      </c>
      <c r="U21" s="604">
        <f t="shared" si="7"/>
        <v>1.3837563451776649</v>
      </c>
      <c r="V21" s="706">
        <f>Elect!BV20</f>
        <v>0</v>
      </c>
      <c r="W21" s="604" t="e">
        <f t="shared" si="8"/>
        <v>#DIV/0!</v>
      </c>
      <c r="X21" s="429">
        <f>H21*V1</f>
        <v>1090.3999999999999</v>
      </c>
      <c r="Y21" s="604">
        <f t="shared" si="9"/>
        <v>5.5350253807106595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82829</v>
      </c>
      <c r="C22" s="636">
        <f t="shared" si="0"/>
        <v>185.6</v>
      </c>
      <c r="D22" s="771">
        <v>3835</v>
      </c>
      <c r="E22" s="636">
        <f t="shared" si="1"/>
        <v>255.2</v>
      </c>
      <c r="F22" s="767">
        <v>29124</v>
      </c>
      <c r="G22" s="636">
        <f t="shared" si="2"/>
        <v>0</v>
      </c>
      <c r="H22" s="636">
        <f t="shared" si="3"/>
        <v>440.79999999999995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255.66399999999996</v>
      </c>
      <c r="R22" s="109"/>
      <c r="S22" s="436">
        <f t="shared" si="6"/>
        <v>0</v>
      </c>
      <c r="T22" s="706">
        <f>Elect!BT21</f>
        <v>176</v>
      </c>
      <c r="U22" s="604">
        <f t="shared" si="7"/>
        <v>2.5045454545454544</v>
      </c>
      <c r="V22" s="706">
        <f>Elect!BV21</f>
        <v>0</v>
      </c>
      <c r="W22" s="604" t="e">
        <f t="shared" si="8"/>
        <v>#DIV/0!</v>
      </c>
      <c r="X22" s="429">
        <f>H22*V1</f>
        <v>1763.1999999999998</v>
      </c>
      <c r="Y22" s="604">
        <f t="shared" si="9"/>
        <v>10.018181818181818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82857</v>
      </c>
      <c r="C23" s="636">
        <f t="shared" si="0"/>
        <v>162.39999999999998</v>
      </c>
      <c r="D23" s="771">
        <v>3872</v>
      </c>
      <c r="E23" s="636">
        <f t="shared" si="1"/>
        <v>214.6</v>
      </c>
      <c r="F23" s="767">
        <v>29124</v>
      </c>
      <c r="G23" s="636">
        <f t="shared" si="2"/>
        <v>0</v>
      </c>
      <c r="H23" s="636">
        <f t="shared" si="3"/>
        <v>377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218.66</v>
      </c>
      <c r="R23" s="109"/>
      <c r="S23" s="436">
        <f t="shared" si="6"/>
        <v>0</v>
      </c>
      <c r="T23" s="706">
        <f>Elect!BT22</f>
        <v>171</v>
      </c>
      <c r="U23" s="604">
        <f t="shared" si="7"/>
        <v>2.2046783625730995</v>
      </c>
      <c r="V23" s="706">
        <f>Elect!BV22</f>
        <v>0</v>
      </c>
      <c r="W23" s="604" t="e">
        <f t="shared" si="8"/>
        <v>#DIV/0!</v>
      </c>
      <c r="X23" s="429">
        <f>H23*V1</f>
        <v>1508</v>
      </c>
      <c r="Y23" s="604">
        <f t="shared" si="9"/>
        <v>8.8187134502923978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82885</v>
      </c>
      <c r="C24" s="636">
        <f t="shared" si="0"/>
        <v>162.39999999999998</v>
      </c>
      <c r="D24" s="771">
        <v>3908</v>
      </c>
      <c r="E24" s="636">
        <f t="shared" si="1"/>
        <v>208.79999999999998</v>
      </c>
      <c r="F24" s="767">
        <v>29124</v>
      </c>
      <c r="G24" s="636">
        <f t="shared" si="2"/>
        <v>0</v>
      </c>
      <c r="H24" s="636">
        <f t="shared" si="3"/>
        <v>371.19999999999993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215.29599999999994</v>
      </c>
      <c r="R24" s="109"/>
      <c r="S24" s="436">
        <f t="shared" si="6"/>
        <v>0</v>
      </c>
      <c r="T24" s="706">
        <f>Elect!BT23</f>
        <v>146</v>
      </c>
      <c r="U24" s="604">
        <f t="shared" si="7"/>
        <v>2.5424657534246569</v>
      </c>
      <c r="V24" s="706">
        <f>Elect!BV23</f>
        <v>0</v>
      </c>
      <c r="W24" s="604" t="e">
        <f t="shared" si="8"/>
        <v>#DIV/0!</v>
      </c>
      <c r="X24" s="429">
        <f>H24*V1</f>
        <v>1484.7999999999997</v>
      </c>
      <c r="Y24" s="604">
        <f t="shared" si="9"/>
        <v>10.169863013698627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8">
        <v>82911</v>
      </c>
      <c r="C25" s="636">
        <f t="shared" si="0"/>
        <v>150.79999999999998</v>
      </c>
      <c r="D25" s="771">
        <v>3943</v>
      </c>
      <c r="E25" s="636">
        <f t="shared" si="1"/>
        <v>203</v>
      </c>
      <c r="F25" s="767">
        <v>29124</v>
      </c>
      <c r="G25" s="636">
        <f t="shared" si="2"/>
        <v>0</v>
      </c>
      <c r="H25" s="636">
        <f t="shared" si="3"/>
        <v>353.79999999999995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205.20399999999995</v>
      </c>
      <c r="R25" s="109"/>
      <c r="S25" s="436">
        <f t="shared" si="6"/>
        <v>0</v>
      </c>
      <c r="T25" s="706">
        <f>Elect!BT24</f>
        <v>162</v>
      </c>
      <c r="U25" s="604">
        <f t="shared" si="7"/>
        <v>2.1839506172839505</v>
      </c>
      <c r="V25" s="706">
        <f>Elect!BV24</f>
        <v>0</v>
      </c>
      <c r="W25" s="604" t="e">
        <f t="shared" si="8"/>
        <v>#DIV/0!</v>
      </c>
      <c r="X25" s="429">
        <f>H25*V1</f>
        <v>1415.1999999999998</v>
      </c>
      <c r="Y25" s="604">
        <f t="shared" si="9"/>
        <v>8.7358024691358018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8">
        <v>82937</v>
      </c>
      <c r="C26" s="636">
        <f t="shared" si="0"/>
        <v>150.79999999999998</v>
      </c>
      <c r="D26" s="771">
        <v>3978</v>
      </c>
      <c r="E26" s="636">
        <f t="shared" si="1"/>
        <v>203</v>
      </c>
      <c r="F26" s="767">
        <v>29124</v>
      </c>
      <c r="G26" s="636">
        <f t="shared" si="2"/>
        <v>0</v>
      </c>
      <c r="H26" s="636">
        <f t="shared" si="3"/>
        <v>353.79999999999995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205.20399999999995</v>
      </c>
      <c r="R26" s="109"/>
      <c r="S26" s="436">
        <f t="shared" si="6"/>
        <v>0</v>
      </c>
      <c r="T26" s="706">
        <f>Elect!BT25</f>
        <v>195</v>
      </c>
      <c r="U26" s="604">
        <f t="shared" si="7"/>
        <v>1.8143589743589741</v>
      </c>
      <c r="V26" s="706">
        <f>Elect!BV25</f>
        <v>0</v>
      </c>
      <c r="W26" s="604" t="e">
        <f t="shared" si="8"/>
        <v>#DIV/0!</v>
      </c>
      <c r="X26" s="429">
        <f>H26*V1</f>
        <v>1415.1999999999998</v>
      </c>
      <c r="Y26" s="604">
        <f t="shared" si="9"/>
        <v>7.2574358974358963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8">
        <v>82963</v>
      </c>
      <c r="C27" s="636">
        <f t="shared" si="0"/>
        <v>150.79999999999998</v>
      </c>
      <c r="D27" s="771">
        <v>4013</v>
      </c>
      <c r="E27" s="636">
        <f t="shared" si="1"/>
        <v>203</v>
      </c>
      <c r="F27" s="767">
        <v>29124</v>
      </c>
      <c r="G27" s="636">
        <f t="shared" si="2"/>
        <v>0</v>
      </c>
      <c r="H27" s="636">
        <f t="shared" si="3"/>
        <v>353.79999999999995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205.20399999999995</v>
      </c>
      <c r="R27" s="109"/>
      <c r="S27" s="436">
        <f t="shared" si="6"/>
        <v>0</v>
      </c>
      <c r="T27" s="706">
        <f>Elect!BT26</f>
        <v>199</v>
      </c>
      <c r="U27" s="604">
        <f t="shared" si="7"/>
        <v>1.7778894472361806</v>
      </c>
      <c r="V27" s="706">
        <f>Elect!BV26</f>
        <v>0</v>
      </c>
      <c r="W27" s="604" t="e">
        <f t="shared" si="8"/>
        <v>#DIV/0!</v>
      </c>
      <c r="X27" s="429">
        <f>H27*V1</f>
        <v>1415.1999999999998</v>
      </c>
      <c r="Y27" s="604">
        <f t="shared" si="9"/>
        <v>7.1115577889447223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8">
        <v>82989</v>
      </c>
      <c r="C28" s="636">
        <f t="shared" si="0"/>
        <v>150.79999999999998</v>
      </c>
      <c r="D28" s="771">
        <v>4048</v>
      </c>
      <c r="E28" s="636">
        <f t="shared" si="1"/>
        <v>203</v>
      </c>
      <c r="F28" s="767">
        <v>29124</v>
      </c>
      <c r="G28" s="636">
        <f t="shared" si="2"/>
        <v>0</v>
      </c>
      <c r="H28" s="636">
        <f t="shared" si="3"/>
        <v>353.79999999999995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205.20399999999995</v>
      </c>
      <c r="R28" s="109"/>
      <c r="S28" s="436">
        <f t="shared" si="6"/>
        <v>0</v>
      </c>
      <c r="T28" s="706">
        <f>Elect!BT27</f>
        <v>201</v>
      </c>
      <c r="U28" s="604">
        <f t="shared" si="7"/>
        <v>1.7601990049751242</v>
      </c>
      <c r="V28" s="706">
        <f>Elect!BV27</f>
        <v>0</v>
      </c>
      <c r="W28" s="604" t="e">
        <f t="shared" si="8"/>
        <v>#DIV/0!</v>
      </c>
      <c r="X28" s="429">
        <f>H28*V1</f>
        <v>1415.1999999999998</v>
      </c>
      <c r="Y28" s="604">
        <f t="shared" si="9"/>
        <v>7.0407960199004966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8">
        <v>83010</v>
      </c>
      <c r="C29" s="636">
        <f t="shared" si="0"/>
        <v>121.8</v>
      </c>
      <c r="D29" s="771">
        <v>4073</v>
      </c>
      <c r="E29" s="636">
        <f t="shared" si="1"/>
        <v>145</v>
      </c>
      <c r="F29" s="767">
        <v>29124</v>
      </c>
      <c r="G29" s="636">
        <f t="shared" si="2"/>
        <v>0</v>
      </c>
      <c r="H29" s="636">
        <f t="shared" si="3"/>
        <v>266.8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154.744</v>
      </c>
      <c r="R29" s="458"/>
      <c r="S29" s="436">
        <f t="shared" si="6"/>
        <v>0</v>
      </c>
      <c r="T29" s="706">
        <f>Elect!BT28</f>
        <v>220</v>
      </c>
      <c r="U29" s="604">
        <f t="shared" si="7"/>
        <v>1.2127272727272729</v>
      </c>
      <c r="V29" s="706">
        <f>Elect!BV28</f>
        <v>0</v>
      </c>
      <c r="W29" s="604" t="e">
        <f t="shared" si="8"/>
        <v>#DIV/0!</v>
      </c>
      <c r="X29" s="429">
        <f>H29*V1</f>
        <v>1067.2</v>
      </c>
      <c r="Y29" s="604">
        <f t="shared" si="9"/>
        <v>4.8509090909090915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83020</v>
      </c>
      <c r="C30" s="636">
        <f t="shared" si="0"/>
        <v>57.999999999999993</v>
      </c>
      <c r="D30" s="771">
        <v>4090</v>
      </c>
      <c r="E30" s="636">
        <f t="shared" si="1"/>
        <v>98.6</v>
      </c>
      <c r="F30" s="767">
        <v>29124</v>
      </c>
      <c r="G30" s="636">
        <f t="shared" si="2"/>
        <v>0</v>
      </c>
      <c r="H30" s="636">
        <f t="shared" si="3"/>
        <v>156.6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90.827999999999989</v>
      </c>
      <c r="R30" s="458"/>
      <c r="S30" s="436">
        <f t="shared" si="6"/>
        <v>0</v>
      </c>
      <c r="T30" s="706">
        <f>Elect!BT29</f>
        <v>202</v>
      </c>
      <c r="U30" s="604">
        <f t="shared" si="7"/>
        <v>0.77524752475247527</v>
      </c>
      <c r="V30" s="706">
        <f>Elect!BV29</f>
        <v>0</v>
      </c>
      <c r="W30" s="604" t="e">
        <f t="shared" si="8"/>
        <v>#DIV/0!</v>
      </c>
      <c r="X30" s="429">
        <f>H30*V1</f>
        <v>626.4</v>
      </c>
      <c r="Y30" s="604">
        <f t="shared" si="9"/>
        <v>3.1009900990099011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83039</v>
      </c>
      <c r="C31" s="636">
        <f t="shared" si="0"/>
        <v>110.19999999999999</v>
      </c>
      <c r="D31" s="771">
        <v>4110</v>
      </c>
      <c r="E31" s="636">
        <f>IF(D31&gt;=D30,D31-D30,0)*10*0.58</f>
        <v>115.99999999999999</v>
      </c>
      <c r="F31" s="767">
        <v>29136</v>
      </c>
      <c r="G31" s="636">
        <f t="shared" si="2"/>
        <v>6.9599999999999991</v>
      </c>
      <c r="H31" s="636">
        <f t="shared" si="3"/>
        <v>233.16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135.2328</v>
      </c>
      <c r="R31" s="458"/>
      <c r="S31" s="436">
        <f t="shared" si="6"/>
        <v>0</v>
      </c>
      <c r="T31" s="706">
        <f>Elect!BT30</f>
        <v>201</v>
      </c>
      <c r="U31" s="604">
        <f t="shared" si="7"/>
        <v>1.1599999999999999</v>
      </c>
      <c r="V31" s="706">
        <f>Elect!BV30</f>
        <v>0</v>
      </c>
      <c r="W31" s="604" t="e">
        <f t="shared" si="8"/>
        <v>#DIV/0!</v>
      </c>
      <c r="X31" s="429">
        <f>H31*V1</f>
        <v>932.64</v>
      </c>
      <c r="Y31" s="604">
        <f t="shared" si="9"/>
        <v>4.6399999999999997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8">
        <v>83060</v>
      </c>
      <c r="C32" s="636">
        <f t="shared" si="0"/>
        <v>121.8</v>
      </c>
      <c r="D32" s="771">
        <v>4139</v>
      </c>
      <c r="E32" s="636">
        <f>IF(D32&gt;=D31,D32-D31,0)*10*0.58</f>
        <v>168.2</v>
      </c>
      <c r="F32" s="767">
        <v>29137</v>
      </c>
      <c r="G32" s="636">
        <f t="shared" si="2"/>
        <v>0.57999999999999996</v>
      </c>
      <c r="H32" s="636">
        <f t="shared" si="3"/>
        <v>290.58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168.53639999999999</v>
      </c>
      <c r="R32" s="458"/>
      <c r="S32" s="436">
        <f t="shared" si="6"/>
        <v>0</v>
      </c>
      <c r="T32" s="706">
        <f>Elect!BT31</f>
        <v>209</v>
      </c>
      <c r="U32" s="604">
        <f t="shared" si="7"/>
        <v>1.3903349282296651</v>
      </c>
      <c r="V32" s="706">
        <f>Elect!BV31</f>
        <v>0</v>
      </c>
      <c r="W32" s="604" t="e">
        <f t="shared" si="8"/>
        <v>#DIV/0!</v>
      </c>
      <c r="X32" s="429">
        <f>H32*V1</f>
        <v>1162.32</v>
      </c>
      <c r="Y32" s="604">
        <f t="shared" si="9"/>
        <v>5.5613397129186604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8">
        <v>83078</v>
      </c>
      <c r="C33" s="636">
        <f t="shared" si="0"/>
        <v>104.39999999999999</v>
      </c>
      <c r="D33" s="771">
        <v>4163</v>
      </c>
      <c r="E33" s="636">
        <f>IF(D33&gt;=D32,D33-D32,0)*10*0.58</f>
        <v>139.19999999999999</v>
      </c>
      <c r="F33" s="767">
        <v>29138</v>
      </c>
      <c r="G33" s="636">
        <f t="shared" si="2"/>
        <v>0.57999999999999996</v>
      </c>
      <c r="H33" s="636">
        <f t="shared" si="3"/>
        <v>244.17999999999998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141.62439999999998</v>
      </c>
      <c r="R33" s="458"/>
      <c r="S33" s="436">
        <f t="shared" si="6"/>
        <v>0</v>
      </c>
      <c r="T33" s="706">
        <f>Elect!BT32</f>
        <v>222</v>
      </c>
      <c r="U33" s="604">
        <f t="shared" si="7"/>
        <v>1.0999099099099099</v>
      </c>
      <c r="V33" s="706">
        <f>Elect!BV32</f>
        <v>0</v>
      </c>
      <c r="W33" s="604" t="e">
        <f t="shared" si="8"/>
        <v>#DIV/0!</v>
      </c>
      <c r="X33" s="429">
        <f>H33*V1</f>
        <v>976.71999999999991</v>
      </c>
      <c r="Y33" s="604">
        <f t="shared" si="9"/>
        <v>4.3996396396396396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8">
        <v>83108</v>
      </c>
      <c r="C34" s="636">
        <f t="shared" si="0"/>
        <v>174</v>
      </c>
      <c r="D34" s="771">
        <v>4199</v>
      </c>
      <c r="E34" s="636">
        <f t="shared" si="1"/>
        <v>208.79999999999998</v>
      </c>
      <c r="F34" s="767">
        <v>29139</v>
      </c>
      <c r="G34" s="636">
        <f t="shared" si="2"/>
        <v>0.57999999999999996</v>
      </c>
      <c r="H34" s="636">
        <f t="shared" si="3"/>
        <v>383.37999999999994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222.36039999999994</v>
      </c>
      <c r="R34" s="458"/>
      <c r="S34" s="436">
        <f t="shared" si="6"/>
        <v>0</v>
      </c>
      <c r="T34" s="706">
        <f>Elect!BT33</f>
        <v>229</v>
      </c>
      <c r="U34" s="604">
        <f t="shared" si="7"/>
        <v>1.6741484716157202</v>
      </c>
      <c r="V34" s="706">
        <f>Elect!BV33</f>
        <v>0</v>
      </c>
      <c r="W34" s="604" t="e">
        <f t="shared" si="8"/>
        <v>#DIV/0!</v>
      </c>
      <c r="X34" s="429">
        <f>H34*V1</f>
        <v>1533.5199999999998</v>
      </c>
      <c r="Y34" s="604">
        <f t="shared" si="9"/>
        <v>6.6965938864628809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8">
        <v>83133</v>
      </c>
      <c r="C35" s="636">
        <f t="shared" si="0"/>
        <v>145</v>
      </c>
      <c r="D35" s="771">
        <v>4232</v>
      </c>
      <c r="E35" s="636">
        <f t="shared" si="1"/>
        <v>191.39999999999998</v>
      </c>
      <c r="F35" s="767">
        <v>29139</v>
      </c>
      <c r="G35" s="636">
        <f t="shared" si="2"/>
        <v>0</v>
      </c>
      <c r="H35" s="636">
        <f t="shared" si="3"/>
        <v>336.4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195.11199999999997</v>
      </c>
      <c r="R35" s="458"/>
      <c r="S35" s="436">
        <f t="shared" si="6"/>
        <v>0</v>
      </c>
      <c r="T35" s="706">
        <f>Elect!BT34</f>
        <v>203</v>
      </c>
      <c r="U35" s="604">
        <f t="shared" si="7"/>
        <v>1.657142857142857</v>
      </c>
      <c r="V35" s="706">
        <f>Elect!BV34</f>
        <v>0</v>
      </c>
      <c r="W35" s="604" t="e">
        <f t="shared" si="8"/>
        <v>#DIV/0!</v>
      </c>
      <c r="X35" s="429">
        <f>H35*V1</f>
        <v>1345.6</v>
      </c>
      <c r="Y35" s="604">
        <f t="shared" si="9"/>
        <v>6.6285714285714281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8">
        <v>83153</v>
      </c>
      <c r="C36" s="636">
        <f t="shared" si="0"/>
        <v>115.99999999999999</v>
      </c>
      <c r="D36" s="771">
        <v>4257</v>
      </c>
      <c r="E36" s="636">
        <f t="shared" si="1"/>
        <v>145</v>
      </c>
      <c r="F36" s="767">
        <v>29139</v>
      </c>
      <c r="G36" s="636">
        <f t="shared" si="2"/>
        <v>0</v>
      </c>
      <c r="H36" s="636">
        <f t="shared" si="3"/>
        <v>261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151.38</v>
      </c>
      <c r="R36" s="458"/>
      <c r="S36" s="436">
        <f t="shared" si="6"/>
        <v>0</v>
      </c>
      <c r="T36" s="706">
        <f>Elect!BT35</f>
        <v>187</v>
      </c>
      <c r="U36" s="604">
        <f t="shared" si="7"/>
        <v>1.3957219251336899</v>
      </c>
      <c r="V36" s="706">
        <f>Elect!BV35</f>
        <v>0</v>
      </c>
      <c r="W36" s="604" t="e">
        <f t="shared" si="8"/>
        <v>#DIV/0!</v>
      </c>
      <c r="X36" s="429">
        <f>H36*V1</f>
        <v>1044</v>
      </c>
      <c r="Y36" s="604">
        <f t="shared" si="9"/>
        <v>5.5828877005347595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8">
        <v>83174</v>
      </c>
      <c r="C37" s="636">
        <f t="shared" si="0"/>
        <v>121.8</v>
      </c>
      <c r="D37" s="771">
        <v>4285</v>
      </c>
      <c r="E37" s="636">
        <f t="shared" si="1"/>
        <v>162.39999999999998</v>
      </c>
      <c r="F37" s="767">
        <v>29139</v>
      </c>
      <c r="G37" s="636">
        <f t="shared" si="2"/>
        <v>0</v>
      </c>
      <c r="H37" s="636">
        <f t="shared" si="3"/>
        <v>284.2</v>
      </c>
      <c r="I37" s="767">
        <v>247</v>
      </c>
      <c r="J37" s="723"/>
      <c r="K37" s="767">
        <v>4080</v>
      </c>
      <c r="L37" s="723"/>
      <c r="M37" s="723"/>
      <c r="N37" s="526"/>
      <c r="O37" s="535">
        <f t="shared" si="4"/>
        <v>0</v>
      </c>
      <c r="P37" s="526"/>
      <c r="Q37" s="436">
        <f t="shared" si="5"/>
        <v>164.83599999999998</v>
      </c>
      <c r="R37" s="722"/>
      <c r="S37" s="436">
        <f t="shared" si="6"/>
        <v>0</v>
      </c>
      <c r="T37" s="706">
        <f>Elect!BT36</f>
        <v>190</v>
      </c>
      <c r="U37" s="604">
        <f t="shared" si="7"/>
        <v>1.4957894736842106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1"/>
      <c r="C38" s="728">
        <f>SUM(C7:C37)</f>
        <v>4495.0000000000018</v>
      </c>
      <c r="D38" s="538"/>
      <c r="E38" s="728">
        <f>SUM(E7:E37)</f>
        <v>5800</v>
      </c>
      <c r="F38" s="538"/>
      <c r="G38" s="728">
        <f>SUM(G7:G37)</f>
        <v>21.459999999999994</v>
      </c>
      <c r="H38" s="728">
        <f>SUM(H7:H37)</f>
        <v>10316.460000000001</v>
      </c>
      <c r="I38" s="728">
        <f>I37-I6</f>
        <v>2</v>
      </c>
      <c r="J38" s="542"/>
      <c r="K38" s="728">
        <f>K37-K6</f>
        <v>94</v>
      </c>
      <c r="L38" s="542"/>
      <c r="M38" s="542"/>
      <c r="N38" s="538"/>
      <c r="O38" s="542">
        <f>SUM(O7:O36)</f>
        <v>0</v>
      </c>
      <c r="P38" s="538"/>
      <c r="Q38" s="542">
        <f>SUM(Q7:Q34)</f>
        <v>5472.2187999999969</v>
      </c>
      <c r="R38" s="538"/>
      <c r="S38" s="542">
        <f>SUM(S7:S34)</f>
        <v>0</v>
      </c>
      <c r="T38" s="543">
        <f>SUM(T7:T36)</f>
        <v>6073</v>
      </c>
      <c r="U38" s="605">
        <f>IF(H38&gt;0,H38/T38,0)</f>
        <v>1.6987419726658983</v>
      </c>
      <c r="V38" s="659">
        <f>SUM(V7:V36)</f>
        <v>0</v>
      </c>
      <c r="W38" s="605" t="e">
        <f>IF(H38&gt;0,H38/V38,0)</f>
        <v>#DIV/0!</v>
      </c>
      <c r="X38" s="608">
        <f>SUM(X7:X36)</f>
        <v>40129.040000000001</v>
      </c>
      <c r="Y38" s="605">
        <f t="shared" ref="Y38:Y44" si="12">IF(X38&gt;0,X38/T38,0)</f>
        <v>6.607778692573687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1"/>
      <c r="C39" s="547">
        <f>C38/B48</f>
        <v>149.8333333333334</v>
      </c>
      <c r="D39" s="539"/>
      <c r="E39" s="547">
        <f>E38/B48</f>
        <v>193.33333333333334</v>
      </c>
      <c r="F39" s="539"/>
      <c r="G39" s="547">
        <f>G38/B48</f>
        <v>0.71533333333333315</v>
      </c>
      <c r="H39" s="547">
        <f>H38/B48</f>
        <v>343.88200000000001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182.40729333333323</v>
      </c>
      <c r="R39" s="539"/>
      <c r="S39" s="547" t="e">
        <f>S38/C48</f>
        <v>#DIV/0!</v>
      </c>
      <c r="T39" s="548">
        <f>T38/B48</f>
        <v>202.43333333333334</v>
      </c>
      <c r="U39" s="606">
        <f>IF(H39&gt;0,H39/T39,0)</f>
        <v>1.6987419726658983</v>
      </c>
      <c r="V39" s="619">
        <f>V38/B48</f>
        <v>0</v>
      </c>
      <c r="W39" s="605" t="e">
        <f>IF(H39&gt;0,H39/V39,0)</f>
        <v>#DIV/0!</v>
      </c>
      <c r="X39" s="610">
        <f>X38/B48</f>
        <v>1337.6346666666666</v>
      </c>
      <c r="Y39" s="606">
        <f t="shared" si="12"/>
        <v>6.6077786925736861</v>
      </c>
      <c r="Z39" s="611" t="e">
        <f t="shared" si="13"/>
        <v>#DIV/0!</v>
      </c>
    </row>
    <row r="40" spans="1:26" s="3" customFormat="1" ht="36.75" customHeight="1">
      <c r="A40" s="597" t="s">
        <v>149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150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151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152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153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154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155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156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61" t="s">
        <v>127</v>
      </c>
      <c r="B136" s="861"/>
      <c r="C136" s="861"/>
      <c r="D136" s="861"/>
      <c r="E136" s="861"/>
      <c r="F136" s="861"/>
      <c r="G136" s="861"/>
      <c r="H136" s="861"/>
      <c r="I136" s="861"/>
      <c r="J136" s="861"/>
      <c r="K136" s="861"/>
      <c r="L136" s="861"/>
      <c r="M136" s="861"/>
      <c r="N136" s="861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00" t="str">
        <f>Elect!A1</f>
        <v>January</v>
      </c>
      <c r="B1" s="168"/>
      <c r="C1" s="168"/>
      <c r="H1" s="139"/>
      <c r="I1" s="140"/>
      <c r="J1" s="141"/>
      <c r="K1" s="141"/>
      <c r="L1" s="902" t="s">
        <v>157</v>
      </c>
      <c r="M1" s="902"/>
      <c r="N1" s="902"/>
      <c r="P1" s="903" t="str">
        <f>Elect!A1</f>
        <v>January</v>
      </c>
      <c r="Q1" s="903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01"/>
      <c r="B2" s="887" t="s">
        <v>158</v>
      </c>
      <c r="C2" s="888"/>
      <c r="D2" s="888"/>
      <c r="E2" s="888"/>
      <c r="F2" s="888"/>
      <c r="G2" s="904"/>
      <c r="H2" s="887" t="s">
        <v>127</v>
      </c>
      <c r="I2" s="888"/>
      <c r="J2" s="888"/>
      <c r="K2" s="888"/>
      <c r="L2" s="888"/>
      <c r="M2" s="888"/>
      <c r="N2" s="888"/>
      <c r="O2" s="888"/>
      <c r="P2" s="904"/>
      <c r="Q2" s="147"/>
      <c r="R2" s="794"/>
      <c r="S2" s="148"/>
      <c r="T2" s="149"/>
      <c r="U2" s="150" t="s">
        <v>159</v>
      </c>
      <c r="V2" s="149"/>
      <c r="W2" s="149"/>
      <c r="X2" s="149"/>
      <c r="Y2" s="149"/>
      <c r="Z2" s="797"/>
      <c r="AA2" s="796"/>
      <c r="AB2" s="151"/>
      <c r="AC2" s="169" t="s">
        <v>160</v>
      </c>
      <c r="AD2" s="795"/>
      <c r="AE2" s="798"/>
      <c r="AF2" s="152"/>
      <c r="AG2" s="875" t="s">
        <v>47</v>
      </c>
      <c r="AH2" s="876"/>
      <c r="AI2" s="876"/>
      <c r="AJ2" s="354" t="s">
        <v>161</v>
      </c>
      <c r="AK2" s="881" t="s">
        <v>162</v>
      </c>
      <c r="AL2" s="883" t="s">
        <v>163</v>
      </c>
      <c r="AM2" s="883" t="s">
        <v>164</v>
      </c>
      <c r="AN2" s="873" t="s">
        <v>165</v>
      </c>
      <c r="AO2" s="891" t="s">
        <v>166</v>
      </c>
      <c r="AP2" s="892" t="s">
        <v>167</v>
      </c>
      <c r="AQ2" s="894" t="s">
        <v>168</v>
      </c>
      <c r="AR2" s="896" t="s">
        <v>169</v>
      </c>
      <c r="AS2" s="898" t="s">
        <v>167</v>
      </c>
      <c r="AT2" s="889" t="s">
        <v>170</v>
      </c>
      <c r="AU2" s="890"/>
      <c r="AV2" s="887" t="s">
        <v>171</v>
      </c>
      <c r="AW2" s="888"/>
      <c r="AX2" s="172"/>
      <c r="AY2" s="173"/>
      <c r="AZ2" s="174" t="s">
        <v>172</v>
      </c>
      <c r="BA2" s="174"/>
      <c r="BB2" s="175"/>
      <c r="BC2" s="155"/>
      <c r="BD2" s="153"/>
      <c r="BE2" s="794" t="s">
        <v>173</v>
      </c>
      <c r="BF2" s="794"/>
      <c r="BG2" s="154"/>
      <c r="BH2" s="174"/>
      <c r="BI2" s="174"/>
      <c r="BJ2" s="174" t="s">
        <v>174</v>
      </c>
      <c r="BK2" s="174"/>
      <c r="BL2" s="175"/>
      <c r="BM2" s="794"/>
      <c r="BN2" s="794"/>
      <c r="BO2" s="794" t="s">
        <v>175</v>
      </c>
      <c r="BP2" s="794"/>
      <c r="BQ2" s="154"/>
    </row>
    <row r="3" spans="1:69" ht="174.75" customHeight="1" thickBot="1">
      <c r="A3" s="156" t="s">
        <v>59</v>
      </c>
      <c r="B3" s="905" t="s">
        <v>176</v>
      </c>
      <c r="C3" s="906"/>
      <c r="D3" s="907" t="s">
        <v>61</v>
      </c>
      <c r="E3" s="908"/>
      <c r="F3" s="909" t="s">
        <v>62</v>
      </c>
      <c r="G3" s="910"/>
      <c r="H3" s="909" t="s">
        <v>177</v>
      </c>
      <c r="I3" s="910"/>
      <c r="J3" s="911" t="s">
        <v>178</v>
      </c>
      <c r="K3" s="912"/>
      <c r="L3" s="913" t="s">
        <v>179</v>
      </c>
      <c r="M3" s="914"/>
      <c r="N3" s="152" t="s">
        <v>180</v>
      </c>
      <c r="O3" s="877" t="s">
        <v>140</v>
      </c>
      <c r="P3" s="878"/>
      <c r="Q3" s="877" t="s">
        <v>181</v>
      </c>
      <c r="R3" s="878"/>
      <c r="S3" s="879" t="s">
        <v>182</v>
      </c>
      <c r="T3" s="880"/>
      <c r="U3" s="879" t="s">
        <v>183</v>
      </c>
      <c r="V3" s="880"/>
      <c r="W3" s="885" t="s">
        <v>184</v>
      </c>
      <c r="X3" s="886"/>
      <c r="Y3" s="879" t="s">
        <v>185</v>
      </c>
      <c r="Z3" s="880"/>
      <c r="AA3" s="885" t="s">
        <v>186</v>
      </c>
      <c r="AB3" s="886"/>
      <c r="AC3" s="879" t="s">
        <v>187</v>
      </c>
      <c r="AD3" s="880"/>
      <c r="AE3" s="157" t="s">
        <v>188</v>
      </c>
      <c r="AF3" s="386" t="s">
        <v>189</v>
      </c>
      <c r="AG3" s="181" t="s">
        <v>190</v>
      </c>
      <c r="AH3" s="158" t="s">
        <v>191</v>
      </c>
      <c r="AI3" s="159" t="s">
        <v>146</v>
      </c>
      <c r="AJ3" s="355">
        <v>0</v>
      </c>
      <c r="AK3" s="882"/>
      <c r="AL3" s="884"/>
      <c r="AM3" s="884"/>
      <c r="AN3" s="874"/>
      <c r="AO3" s="952"/>
      <c r="AP3" s="893"/>
      <c r="AQ3" s="895"/>
      <c r="AR3" s="897"/>
      <c r="AS3" s="899"/>
      <c r="AT3" s="161" t="s">
        <v>192</v>
      </c>
      <c r="AU3" s="161" t="s">
        <v>193</v>
      </c>
      <c r="AV3" s="160" t="s">
        <v>132</v>
      </c>
      <c r="AW3" s="162" t="s">
        <v>134</v>
      </c>
      <c r="AX3" s="176" t="s">
        <v>133</v>
      </c>
      <c r="AY3" s="177" t="s">
        <v>135</v>
      </c>
      <c r="AZ3" s="356" t="s">
        <v>136</v>
      </c>
      <c r="BA3" s="178" t="s">
        <v>194</v>
      </c>
      <c r="BB3" s="179" t="s">
        <v>195</v>
      </c>
      <c r="BC3" s="387" t="s">
        <v>133</v>
      </c>
      <c r="BD3" s="388" t="s">
        <v>135</v>
      </c>
      <c r="BE3" s="357" t="s">
        <v>136</v>
      </c>
      <c r="BF3" s="164" t="s">
        <v>194</v>
      </c>
      <c r="BG3" s="165" t="s">
        <v>195</v>
      </c>
      <c r="BH3" s="177" t="s">
        <v>133</v>
      </c>
      <c r="BI3" s="177" t="s">
        <v>135</v>
      </c>
      <c r="BJ3" s="356" t="s">
        <v>136</v>
      </c>
      <c r="BK3" s="178" t="s">
        <v>194</v>
      </c>
      <c r="BL3" s="179" t="s">
        <v>195</v>
      </c>
      <c r="BM3" s="163" t="s">
        <v>133</v>
      </c>
      <c r="BN3" s="163" t="s">
        <v>135</v>
      </c>
      <c r="BO3" s="357" t="s">
        <v>136</v>
      </c>
      <c r="BP3" s="164" t="s">
        <v>194</v>
      </c>
      <c r="BQ3" s="165" t="s">
        <v>195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5837</v>
      </c>
      <c r="D5" s="461">
        <v>0</v>
      </c>
      <c r="E5" s="460">
        <f>Elect!M6</f>
        <v>2017</v>
      </c>
      <c r="F5" s="461">
        <v>20</v>
      </c>
      <c r="G5" s="460">
        <f>Elect!O6</f>
        <v>1600</v>
      </c>
      <c r="H5" s="461">
        <v>800</v>
      </c>
      <c r="I5" s="460">
        <f>Water!C7</f>
        <v>284.2</v>
      </c>
      <c r="J5" s="461">
        <v>0</v>
      </c>
      <c r="K5" s="460">
        <f>Water!E7</f>
        <v>249.39999999999998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539.39999999999986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312.85199999999992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1473.4</v>
      </c>
      <c r="AI5" s="465" t="e">
        <f>Gas!#REF!</f>
        <v>#REF!</v>
      </c>
      <c r="AJ5" s="466">
        <f>Gas!J7</f>
        <v>725.4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141</v>
      </c>
      <c r="AU5" s="460">
        <f>Elect!BP6</f>
        <v>125</v>
      </c>
      <c r="AV5" s="460" t="e">
        <f>Elect!#REF!</f>
        <v>#REF!</v>
      </c>
      <c r="AW5" s="460">
        <f>Elect!BR6</f>
        <v>141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2.3249999999999993</v>
      </c>
      <c r="BN5" s="477" t="e">
        <f>Water!W7</f>
        <v>#DIV/0!</v>
      </c>
      <c r="BO5" s="472">
        <f>Water!X7</f>
        <v>2157.5999999999995</v>
      </c>
      <c r="BP5" s="477">
        <f>Water!Y7</f>
        <v>9.2999999999999972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6605</v>
      </c>
      <c r="D6" s="461">
        <v>0</v>
      </c>
      <c r="E6" s="460">
        <f>Elect!M7</f>
        <v>2411</v>
      </c>
      <c r="F6" s="461">
        <v>20</v>
      </c>
      <c r="G6" s="460">
        <f>Elect!O7</f>
        <v>1471</v>
      </c>
      <c r="H6" s="461">
        <v>936</v>
      </c>
      <c r="I6" s="460">
        <f>Water!C8</f>
        <v>98.6</v>
      </c>
      <c r="J6" s="461">
        <v>0</v>
      </c>
      <c r="K6" s="460">
        <f>Water!E8</f>
        <v>139.19999999999999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237.79999999999998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137.92399999999998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8276184</v>
      </c>
      <c r="AH6" s="464">
        <f>Gas!C8</f>
        <v>1473.4</v>
      </c>
      <c r="AI6" s="465" t="e">
        <f>Gas!#REF!</f>
        <v>#REF!</v>
      </c>
      <c r="AJ6" s="466">
        <f>Gas!J8</f>
        <v>319.8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164</v>
      </c>
      <c r="AU6" s="460">
        <f>Elect!BP7</f>
        <v>157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513915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1.2450261780104712</v>
      </c>
      <c r="BN6" s="477" t="e">
        <f>Water!W8</f>
        <v>#DIV/0!</v>
      </c>
      <c r="BO6" s="472">
        <f>Water!X8</f>
        <v>951.19999999999993</v>
      </c>
      <c r="BP6" s="477">
        <f>Water!Y8</f>
        <v>4.9801047120418849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6146</v>
      </c>
      <c r="D7" s="461">
        <v>0</v>
      </c>
      <c r="E7" s="460">
        <f>Elect!M8</f>
        <v>2301</v>
      </c>
      <c r="F7" s="461">
        <v>20</v>
      </c>
      <c r="G7" s="460">
        <f>Elect!O8</f>
        <v>1408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197.2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201.83999999999997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8278964</v>
      </c>
      <c r="AH7" s="464">
        <f>Gas!C9</f>
        <v>1473.4</v>
      </c>
      <c r="AI7" s="465" t="e">
        <f>Gas!#REF!</f>
        <v>#REF!</v>
      </c>
      <c r="AJ7" s="466">
        <f>Gas!J9</f>
        <v>397.8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149</v>
      </c>
      <c r="AU7" s="460">
        <f>Elect!BP8</f>
        <v>137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514064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1.5890410958904109</v>
      </c>
      <c r="BN7" s="477" t="e">
        <f>Water!W9</f>
        <v>#DIV/0!</v>
      </c>
      <c r="BO7" s="472">
        <f>Water!X9</f>
        <v>1392</v>
      </c>
      <c r="BP7" s="477">
        <f>Water!Y9</f>
        <v>6.3561643835616435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6575</v>
      </c>
      <c r="D8" s="461">
        <v>0</v>
      </c>
      <c r="E8" s="460">
        <f>Elect!M9</f>
        <v>2460</v>
      </c>
      <c r="F8" s="461">
        <v>20</v>
      </c>
      <c r="G8" s="460">
        <f>Elect!O9</f>
        <v>1534</v>
      </c>
      <c r="H8" s="461">
        <v>786</v>
      </c>
      <c r="I8" s="460">
        <f>Water!C10</f>
        <v>145</v>
      </c>
      <c r="J8" s="461">
        <v>0</v>
      </c>
      <c r="K8" s="460">
        <f>Water!E10</f>
        <v>191.39999999999998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336.4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195.11199999999997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8280354</v>
      </c>
      <c r="AH8" s="464">
        <f>Gas!C10</f>
        <v>1473.4</v>
      </c>
      <c r="AI8" s="465" t="e">
        <f>Gas!#REF!</f>
        <v>#REF!</v>
      </c>
      <c r="AJ8" s="466">
        <f>Gas!J10</f>
        <v>666.9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151</v>
      </c>
      <c r="AU8" s="460">
        <f>Elect!BP9</f>
        <v>146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514215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1.6409756097560975</v>
      </c>
      <c r="BN8" s="477" t="e">
        <f>Water!W10</f>
        <v>#DIV/0!</v>
      </c>
      <c r="BO8" s="472">
        <f>Water!X10</f>
        <v>1345.6</v>
      </c>
      <c r="BP8" s="477">
        <f>Water!Y10</f>
        <v>6.5639024390243899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6573</v>
      </c>
      <c r="D9" s="461">
        <v>0</v>
      </c>
      <c r="E9" s="460">
        <f>Elect!M10</f>
        <v>2539</v>
      </c>
      <c r="F9" s="461">
        <v>20</v>
      </c>
      <c r="G9" s="460">
        <f>Elect!O10</f>
        <v>1580</v>
      </c>
      <c r="H9" s="461">
        <v>789</v>
      </c>
      <c r="I9" s="460">
        <f>Water!C11</f>
        <v>145</v>
      </c>
      <c r="J9" s="461">
        <v>0</v>
      </c>
      <c r="K9" s="460">
        <f>Water!E11</f>
        <v>191.39999999999998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336.4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195.11199999999997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8281744</v>
      </c>
      <c r="AH9" s="464">
        <f>Gas!C11</f>
        <v>1473.4</v>
      </c>
      <c r="AI9" s="465" t="e">
        <f>Gas!#REF!</f>
        <v>#REF!</v>
      </c>
      <c r="AJ9" s="466">
        <f>Gas!J11</f>
        <v>542.1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161</v>
      </c>
      <c r="AU9" s="460">
        <f>Elect!BP10</f>
        <v>127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514376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1.6904522613065325</v>
      </c>
      <c r="BN9" s="477" t="e">
        <f>Water!W11</f>
        <v>#DIV/0!</v>
      </c>
      <c r="BO9" s="472">
        <f>Water!X11</f>
        <v>1345.6</v>
      </c>
      <c r="BP9" s="477">
        <f>Water!Y11</f>
        <v>6.7618090452261299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5578</v>
      </c>
      <c r="D10" s="461">
        <v>0</v>
      </c>
      <c r="E10" s="460">
        <f>Elect!M11</f>
        <v>2165</v>
      </c>
      <c r="F10" s="461">
        <v>20</v>
      </c>
      <c r="G10" s="460">
        <f>Elect!O11</f>
        <v>1333</v>
      </c>
      <c r="H10" s="461">
        <v>805</v>
      </c>
      <c r="I10" s="460">
        <f>Water!C12</f>
        <v>145</v>
      </c>
      <c r="J10" s="461">
        <v>0</v>
      </c>
      <c r="K10" s="460">
        <f>Water!E12</f>
        <v>191.39999999999998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336.4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195.11199999999997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8283134</v>
      </c>
      <c r="AH10" s="464">
        <f>Gas!C12</f>
        <v>1473.4</v>
      </c>
      <c r="AI10" s="465" t="e">
        <f>Gas!#REF!</f>
        <v>#REF!</v>
      </c>
      <c r="AJ10" s="466">
        <f>Gas!J12</f>
        <v>401.7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147</v>
      </c>
      <c r="AU10" s="460">
        <f>Elect!BP11</f>
        <v>137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514523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1.657142857142857</v>
      </c>
      <c r="BN10" s="477" t="e">
        <f>Water!W12</f>
        <v>#DIV/0!</v>
      </c>
      <c r="BO10" s="472">
        <f>Water!X12</f>
        <v>1345.6</v>
      </c>
      <c r="BP10" s="477">
        <f>Water!Y12</f>
        <v>6.6285714285714281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5618</v>
      </c>
      <c r="D11" s="461">
        <v>0</v>
      </c>
      <c r="E11" s="460">
        <f>Elect!M12</f>
        <v>2159</v>
      </c>
      <c r="F11" s="461">
        <v>20</v>
      </c>
      <c r="G11" s="460">
        <f>Elect!O12</f>
        <v>1357</v>
      </c>
      <c r="H11" s="461">
        <v>871</v>
      </c>
      <c r="I11" s="460">
        <f>Water!C13</f>
        <v>150.79999999999998</v>
      </c>
      <c r="J11" s="461">
        <v>0</v>
      </c>
      <c r="K11" s="460">
        <f>Water!E13</f>
        <v>203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353.79999999999995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205.20399999999995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8284524</v>
      </c>
      <c r="AH11" s="464">
        <f>Gas!C13</f>
        <v>1473.4</v>
      </c>
      <c r="AI11" s="465" t="e">
        <f>Gas!#REF!</f>
        <v>#REF!</v>
      </c>
      <c r="AJ11" s="466">
        <f>Gas!J13</f>
        <v>401.7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154</v>
      </c>
      <c r="AU11" s="460">
        <f>Elect!BP12</f>
        <v>139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514677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1.5184549356223174</v>
      </c>
      <c r="BN11" s="477" t="e">
        <f>Water!W13</f>
        <v>#DIV/0!</v>
      </c>
      <c r="BO11" s="472">
        <f>Water!X13</f>
        <v>1415.1999999999998</v>
      </c>
      <c r="BP11" s="477">
        <f>Water!Y13</f>
        <v>6.0738197424892695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5864</v>
      </c>
      <c r="D12" s="461">
        <v>0</v>
      </c>
      <c r="E12" s="460">
        <f>Elect!M13</f>
        <v>2216</v>
      </c>
      <c r="F12" s="461">
        <v>20</v>
      </c>
      <c r="G12" s="460">
        <f>Elect!O13</f>
        <v>1374</v>
      </c>
      <c r="H12" s="461">
        <v>963</v>
      </c>
      <c r="I12" s="460">
        <f>Water!C14</f>
        <v>150.79999999999998</v>
      </c>
      <c r="J12" s="461">
        <v>0</v>
      </c>
      <c r="K12" s="460">
        <f>Water!E14</f>
        <v>203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353.79999999999995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205.20399999999995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8285914</v>
      </c>
      <c r="AH12" s="464">
        <f>Gas!C14</f>
        <v>1473.4</v>
      </c>
      <c r="AI12" s="465" t="e">
        <f>Gas!#REF!</f>
        <v>#REF!</v>
      </c>
      <c r="AJ12" s="466">
        <f>Gas!J14</f>
        <v>401.7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157</v>
      </c>
      <c r="AU12" s="460">
        <f>Elect!BP13</f>
        <v>130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514834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1.4865546218487393</v>
      </c>
      <c r="BN12" s="477" t="e">
        <f>Water!W14</f>
        <v>#DIV/0!</v>
      </c>
      <c r="BO12" s="472">
        <f>Water!X14</f>
        <v>1415.1999999999998</v>
      </c>
      <c r="BP12" s="477">
        <f>Water!Y14</f>
        <v>5.9462184873949573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5583</v>
      </c>
      <c r="D13" s="461">
        <v>0</v>
      </c>
      <c r="E13" s="460">
        <f>Elect!M14</f>
        <v>2336</v>
      </c>
      <c r="F13" s="461">
        <v>20</v>
      </c>
      <c r="G13" s="460">
        <f>Elect!O14</f>
        <v>1442</v>
      </c>
      <c r="H13" s="461">
        <v>790</v>
      </c>
      <c r="I13" s="460">
        <f>Water!C15</f>
        <v>145</v>
      </c>
      <c r="J13" s="461">
        <v>0</v>
      </c>
      <c r="K13" s="460">
        <f>Water!E15</f>
        <v>191.39999999999998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336.4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195.11199999999997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8287304</v>
      </c>
      <c r="AH13" s="464">
        <f>Gas!C15</f>
        <v>1473.4</v>
      </c>
      <c r="AI13" s="465" t="e">
        <f>Gas!#REF!</f>
        <v>#REF!</v>
      </c>
      <c r="AJ13" s="466">
        <f>Gas!J15</f>
        <v>401.7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152</v>
      </c>
      <c r="AU13" s="460">
        <f>Elect!BP14</f>
        <v>132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514986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1.5290909090909091</v>
      </c>
      <c r="BN13" s="477" t="e">
        <f>Water!W15</f>
        <v>#DIV/0!</v>
      </c>
      <c r="BO13" s="472">
        <f>Water!X15</f>
        <v>1345.6</v>
      </c>
      <c r="BP13" s="477">
        <f>Water!Y15</f>
        <v>6.1163636363636362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7367</v>
      </c>
      <c r="D14" s="461">
        <v>0</v>
      </c>
      <c r="E14" s="460">
        <f>Elect!M15</f>
        <v>2891</v>
      </c>
      <c r="F14" s="461">
        <v>20</v>
      </c>
      <c r="G14" s="460">
        <f>Elect!O15</f>
        <v>1593</v>
      </c>
      <c r="H14" s="461">
        <v>792</v>
      </c>
      <c r="I14" s="460">
        <f>Water!C16</f>
        <v>162.39999999999998</v>
      </c>
      <c r="J14" s="461">
        <v>0</v>
      </c>
      <c r="K14" s="460">
        <f>Water!E16</f>
        <v>214.6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377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218.66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8288694</v>
      </c>
      <c r="AH14" s="464">
        <f>Gas!C16</f>
        <v>1473.4</v>
      </c>
      <c r="AI14" s="465" t="e">
        <f>Gas!#REF!</f>
        <v>#REF!</v>
      </c>
      <c r="AJ14" s="466">
        <f>Gas!J16</f>
        <v>401.7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151</v>
      </c>
      <c r="AU14" s="460">
        <f>Elect!BP15</f>
        <v>140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515137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1.7867298578199051</v>
      </c>
      <c r="BN14" s="477" t="e">
        <f>Water!W16</f>
        <v>#DIV/0!</v>
      </c>
      <c r="BO14" s="472">
        <f>Water!X16</f>
        <v>1508</v>
      </c>
      <c r="BP14" s="477">
        <f>Water!Y16</f>
        <v>7.1469194312796205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6246</v>
      </c>
      <c r="D15" s="461">
        <v>0</v>
      </c>
      <c r="E15" s="460">
        <f>Elect!M16</f>
        <v>2525</v>
      </c>
      <c r="F15" s="461">
        <v>20</v>
      </c>
      <c r="G15" s="460">
        <f>Elect!O16</f>
        <v>1353</v>
      </c>
      <c r="H15" s="461">
        <v>817</v>
      </c>
      <c r="I15" s="460">
        <f>Water!C17</f>
        <v>162.39999999999998</v>
      </c>
      <c r="J15" s="461">
        <v>0</v>
      </c>
      <c r="K15" s="460">
        <f>Water!E17</f>
        <v>220.39999999999998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382.79999999999995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222.02399999999997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1473.4</v>
      </c>
      <c r="AI15" s="465" t="e">
        <f>Gas!#REF!</f>
        <v>#REF!</v>
      </c>
      <c r="AJ15" s="466">
        <f>Gas!J17</f>
        <v>401.7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138</v>
      </c>
      <c r="AU15" s="460">
        <f>Elect!BP16</f>
        <v>127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515275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1.9044776119402982</v>
      </c>
      <c r="BN15" s="477" t="e">
        <f>Water!W17</f>
        <v>#DIV/0!</v>
      </c>
      <c r="BO15" s="472">
        <f>Water!X17</f>
        <v>1531.1999999999998</v>
      </c>
      <c r="BP15" s="477">
        <f>Water!Y17</f>
        <v>7.6179104477611927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6655</v>
      </c>
      <c r="D16" s="461">
        <v>0</v>
      </c>
      <c r="E16" s="460">
        <f>Elect!M17</f>
        <v>2688</v>
      </c>
      <c r="F16" s="461">
        <v>20</v>
      </c>
      <c r="G16" s="460">
        <f>Elect!O17</f>
        <v>1486</v>
      </c>
      <c r="H16" s="461">
        <v>907</v>
      </c>
      <c r="I16" s="460">
        <f>Water!C18</f>
        <v>162.39999999999998</v>
      </c>
      <c r="J16" s="461">
        <v>0</v>
      </c>
      <c r="K16" s="460">
        <f>Water!E18</f>
        <v>220.39999999999998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382.79999999999995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222.02399999999997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8291474</v>
      </c>
      <c r="AH16" s="464">
        <f>Gas!C18</f>
        <v>1473.4</v>
      </c>
      <c r="AI16" s="465" t="e">
        <f>Gas!#REF!</f>
        <v>#REF!</v>
      </c>
      <c r="AJ16" s="466">
        <f>Gas!J18</f>
        <v>401.7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139</v>
      </c>
      <c r="AU16" s="460">
        <f>Elect!BP17</f>
        <v>136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515414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2.1385474860335192</v>
      </c>
      <c r="BN16" s="477" t="e">
        <f>Water!W18</f>
        <v>#DIV/0!</v>
      </c>
      <c r="BO16" s="472">
        <f>Water!X18</f>
        <v>1531.1999999999998</v>
      </c>
      <c r="BP16" s="477">
        <f>Water!Y18</f>
        <v>8.5541899441340767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6659</v>
      </c>
      <c r="D17" s="461">
        <v>0</v>
      </c>
      <c r="E17" s="460">
        <f>Elect!M18</f>
        <v>2694</v>
      </c>
      <c r="F17" s="461">
        <v>20</v>
      </c>
      <c r="G17" s="460">
        <f>Elect!O18</f>
        <v>1490</v>
      </c>
      <c r="H17" s="461">
        <v>812</v>
      </c>
      <c r="I17" s="460">
        <f>Water!C19</f>
        <v>162.39999999999998</v>
      </c>
      <c r="J17" s="461">
        <v>0</v>
      </c>
      <c r="K17" s="460">
        <f>Water!E19</f>
        <v>220.39999999999998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382.79999999999995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222.02399999999997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8292864</v>
      </c>
      <c r="AH17" s="464">
        <f>Gas!C19</f>
        <v>1473.4</v>
      </c>
      <c r="AI17" s="465" t="e">
        <f>Gas!#REF!</f>
        <v>#REF!</v>
      </c>
      <c r="AJ17" s="466">
        <f>Gas!J19</f>
        <v>401.7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145</v>
      </c>
      <c r="AU17" s="460">
        <f>Elect!BP18</f>
        <v>141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515559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1.8492753623188403</v>
      </c>
      <c r="BN17" s="477" t="e">
        <f>Water!W19</f>
        <v>#DIV/0!</v>
      </c>
      <c r="BO17" s="472">
        <f>Water!X19</f>
        <v>1531.1999999999998</v>
      </c>
      <c r="BP17" s="477">
        <f>Water!Y19</f>
        <v>7.3971014492753611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7066</v>
      </c>
      <c r="D18" s="461">
        <v>0</v>
      </c>
      <c r="E18" s="460">
        <f>Elect!M19</f>
        <v>2500</v>
      </c>
      <c r="F18" s="461">
        <v>30</v>
      </c>
      <c r="G18" s="460">
        <f>Elect!O19</f>
        <v>1500</v>
      </c>
      <c r="H18" s="461">
        <v>810</v>
      </c>
      <c r="I18" s="460">
        <f>Water!C20</f>
        <v>121.8</v>
      </c>
      <c r="J18" s="461">
        <v>0</v>
      </c>
      <c r="K18" s="460">
        <f>Water!E20</f>
        <v>150.79999999999998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279.55999999999995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162.14479999999995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8294254</v>
      </c>
      <c r="AH18" s="464">
        <f>Gas!C20</f>
        <v>1473.4</v>
      </c>
      <c r="AI18" s="465" t="e">
        <f>Gas!#REF!</f>
        <v>#REF!</v>
      </c>
      <c r="AJ18" s="466">
        <f>Gas!J20</f>
        <v>401.7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129</v>
      </c>
      <c r="AU18" s="460">
        <f>Elect!BP19</f>
        <v>128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513751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1.3002790697674416</v>
      </c>
      <c r="BN18" s="477" t="e">
        <f>Water!W20</f>
        <v>#DIV/0!</v>
      </c>
      <c r="BO18" s="472">
        <f>Water!X20</f>
        <v>1118.2399999999998</v>
      </c>
      <c r="BP18" s="477">
        <f>Water!Y20</f>
        <v>5.2011162790697663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6511</v>
      </c>
      <c r="D19" s="461">
        <v>0</v>
      </c>
      <c r="E19" s="460">
        <f>Elect!M20</f>
        <v>2501</v>
      </c>
      <c r="F19" s="461">
        <v>20</v>
      </c>
      <c r="G19" s="460">
        <f>Elect!O20</f>
        <v>1503</v>
      </c>
      <c r="H19" s="461">
        <v>841</v>
      </c>
      <c r="I19" s="460">
        <f>Water!C21</f>
        <v>121.8</v>
      </c>
      <c r="J19" s="461">
        <v>0</v>
      </c>
      <c r="K19" s="460">
        <f>Water!E21</f>
        <v>150.79999999999998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272.59999999999997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158.10799999999998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8295644</v>
      </c>
      <c r="AH19" s="464">
        <f>Gas!C21</f>
        <v>1473.4</v>
      </c>
      <c r="AI19" s="465" t="e">
        <f>Gas!#REF!</f>
        <v>#REF!</v>
      </c>
      <c r="AJ19" s="466">
        <f>Gas!J21</f>
        <v>401.7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138</v>
      </c>
      <c r="AU19" s="460">
        <f>Elect!BP20</f>
        <v>139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515826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1.3837563451776649</v>
      </c>
      <c r="BN19" s="477" t="e">
        <f>Water!W21</f>
        <v>#DIV/0!</v>
      </c>
      <c r="BO19" s="472">
        <f>Water!X21</f>
        <v>1090.3999999999999</v>
      </c>
      <c r="BP19" s="477">
        <f>Water!Y21</f>
        <v>5.5350253807106595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8017</v>
      </c>
      <c r="D20" s="461">
        <v>0</v>
      </c>
      <c r="E20" s="460">
        <f>Elect!M21</f>
        <v>3533</v>
      </c>
      <c r="F20" s="461">
        <v>20</v>
      </c>
      <c r="G20" s="460">
        <f>Elect!O21</f>
        <v>1542</v>
      </c>
      <c r="H20" s="461">
        <v>932</v>
      </c>
      <c r="I20" s="460">
        <f>Water!C22</f>
        <v>185.6</v>
      </c>
      <c r="J20" s="461">
        <v>0</v>
      </c>
      <c r="K20" s="460">
        <f>Water!E22</f>
        <v>255.2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440.79999999999995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255.66399999999996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8297034</v>
      </c>
      <c r="AH20" s="464">
        <f>Gas!C22</f>
        <v>1473.4</v>
      </c>
      <c r="AI20" s="465" t="e">
        <f>Gas!#REF!</f>
        <v>#REF!</v>
      </c>
      <c r="AJ20" s="466">
        <f>Gas!J22</f>
        <v>401.7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137</v>
      </c>
      <c r="AU20" s="460">
        <f>Elect!BP21</f>
        <v>137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515963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2.5045454545454544</v>
      </c>
      <c r="BN20" s="477" t="e">
        <f>Water!W22</f>
        <v>#DIV/0!</v>
      </c>
      <c r="BO20" s="472">
        <f>Water!X22</f>
        <v>1763.1999999999998</v>
      </c>
      <c r="BP20" s="477">
        <f>Water!Y22</f>
        <v>10.018181818181818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7722</v>
      </c>
      <c r="D21" s="461">
        <v>0</v>
      </c>
      <c r="E21" s="460">
        <f>Elect!M22</f>
        <v>3100</v>
      </c>
      <c r="F21" s="461">
        <v>20</v>
      </c>
      <c r="G21" s="460">
        <f>Elect!O22</f>
        <v>1512</v>
      </c>
      <c r="H21" s="461">
        <v>972</v>
      </c>
      <c r="I21" s="460">
        <f>Water!C23</f>
        <v>162.39999999999998</v>
      </c>
      <c r="J21" s="461">
        <v>0</v>
      </c>
      <c r="K21" s="460">
        <f>Water!E23</f>
        <v>214.6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377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218.66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8298424</v>
      </c>
      <c r="AH21" s="464">
        <f>Gas!C23</f>
        <v>1473.4</v>
      </c>
      <c r="AI21" s="465" t="e">
        <f>Gas!#REF!</f>
        <v>#REF!</v>
      </c>
      <c r="AJ21" s="466">
        <f>Gas!J23</f>
        <v>401.7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141</v>
      </c>
      <c r="AU21" s="460">
        <f>Elect!BP22</f>
        <v>136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2.2046783625730995</v>
      </c>
      <c r="BN21" s="477" t="e">
        <f>Water!W23</f>
        <v>#DIV/0!</v>
      </c>
      <c r="BO21" s="472">
        <f>Water!X23</f>
        <v>1508</v>
      </c>
      <c r="BP21" s="477">
        <f>Water!Y23</f>
        <v>8.8187134502923978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7812</v>
      </c>
      <c r="D22" s="461">
        <v>0</v>
      </c>
      <c r="E22" s="460">
        <f>Elect!M23</f>
        <v>3217</v>
      </c>
      <c r="F22" s="461">
        <v>20</v>
      </c>
      <c r="G22" s="460">
        <f>Elect!O23</f>
        <v>1417</v>
      </c>
      <c r="H22" s="461">
        <v>864</v>
      </c>
      <c r="I22" s="460">
        <f>Water!C24</f>
        <v>162.39999999999998</v>
      </c>
      <c r="J22" s="461">
        <v>0</v>
      </c>
      <c r="K22" s="460">
        <f>Water!E24</f>
        <v>208.79999999999998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371.19999999999993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215.29599999999994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8299814</v>
      </c>
      <c r="AH22" s="464">
        <f>Gas!C24</f>
        <v>1473.4</v>
      </c>
      <c r="AI22" s="465" t="e">
        <f>Gas!#REF!</f>
        <v>#REF!</v>
      </c>
      <c r="AJ22" s="466">
        <f>Gas!J24</f>
        <v>401.7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148</v>
      </c>
      <c r="AU22" s="460">
        <f>Elect!BP23</f>
        <v>143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516252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2.5424657534246569</v>
      </c>
      <c r="BN22" s="477" t="e">
        <f>Water!W24</f>
        <v>#DIV/0!</v>
      </c>
      <c r="BO22" s="472">
        <f>Water!X24</f>
        <v>1484.7999999999997</v>
      </c>
      <c r="BP22" s="477">
        <f>Water!Y24</f>
        <v>10.169863013698627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8105</v>
      </c>
      <c r="D23" s="461">
        <v>0</v>
      </c>
      <c r="E23" s="460">
        <f>Elect!M24</f>
        <v>3365</v>
      </c>
      <c r="F23" s="461">
        <v>30</v>
      </c>
      <c r="G23" s="460">
        <f>Elect!O24</f>
        <v>1371</v>
      </c>
      <c r="H23" s="461">
        <v>894</v>
      </c>
      <c r="I23" s="460">
        <f>Water!C25</f>
        <v>150.79999999999998</v>
      </c>
      <c r="J23" s="461">
        <v>0</v>
      </c>
      <c r="K23" s="460">
        <f>Water!E25</f>
        <v>203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353.79999999999995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205.20399999999995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8301204</v>
      </c>
      <c r="AH23" s="464">
        <f>Gas!C25</f>
        <v>1473.4</v>
      </c>
      <c r="AI23" s="465" t="e">
        <f>Gas!#REF!</f>
        <v>#REF!</v>
      </c>
      <c r="AJ23" s="466">
        <f>Gas!J25</f>
        <v>191.1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128</v>
      </c>
      <c r="AU23" s="460">
        <f>Elect!BP24</f>
        <v>127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516380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2.1839506172839505</v>
      </c>
      <c r="BN23" s="477" t="e">
        <f>Water!W25</f>
        <v>#DIV/0!</v>
      </c>
      <c r="BO23" s="472">
        <f>Water!X25</f>
        <v>1415.1999999999998</v>
      </c>
      <c r="BP23" s="477">
        <f>Water!Y25</f>
        <v>8.7358024691358018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7921</v>
      </c>
      <c r="D24" s="461">
        <v>0</v>
      </c>
      <c r="E24" s="460">
        <f>Elect!M25</f>
        <v>3313</v>
      </c>
      <c r="F24" s="461">
        <v>20</v>
      </c>
      <c r="G24" s="460">
        <f>Elect!O25</f>
        <v>1452</v>
      </c>
      <c r="H24" s="461">
        <v>944</v>
      </c>
      <c r="I24" s="460">
        <f>Water!C26</f>
        <v>150.79999999999998</v>
      </c>
      <c r="J24" s="461">
        <v>0</v>
      </c>
      <c r="K24" s="460">
        <f>Water!E26</f>
        <v>203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353.79999999999995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205.20399999999995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8302594</v>
      </c>
      <c r="AH24" s="464">
        <f>Gas!C26</f>
        <v>1473.4</v>
      </c>
      <c r="AI24" s="465" t="e">
        <f>Gas!#REF!</f>
        <v>#REF!</v>
      </c>
      <c r="AJ24" s="466">
        <f>Gas!J26</f>
        <v>261.3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139</v>
      </c>
      <c r="AU24" s="460">
        <f>Elect!BP25</f>
        <v>140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516519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1.8143589743589741</v>
      </c>
      <c r="BN24" s="477" t="e">
        <f>Water!W26</f>
        <v>#DIV/0!</v>
      </c>
      <c r="BO24" s="472">
        <f>Water!X26</f>
        <v>1415.1999999999998</v>
      </c>
      <c r="BP24" s="477">
        <f>Water!Y26</f>
        <v>7.2574358974358963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7603</v>
      </c>
      <c r="D25" s="461">
        <v>0</v>
      </c>
      <c r="E25" s="460">
        <f>Elect!M26</f>
        <v>3087</v>
      </c>
      <c r="F25" s="461">
        <v>20</v>
      </c>
      <c r="G25" s="460">
        <f>Elect!O26</f>
        <v>1335</v>
      </c>
      <c r="H25" s="461">
        <v>916</v>
      </c>
      <c r="I25" s="460">
        <f>Water!C27</f>
        <v>150.79999999999998</v>
      </c>
      <c r="J25" s="461">
        <v>0</v>
      </c>
      <c r="K25" s="460">
        <f>Water!E27</f>
        <v>203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353.79999999999995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205.20399999999995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8303984</v>
      </c>
      <c r="AH25" s="464">
        <f>Gas!C27</f>
        <v>1473.4</v>
      </c>
      <c r="AI25" s="465" t="e">
        <f>Gas!#REF!</f>
        <v>#REF!</v>
      </c>
      <c r="AJ25" s="466">
        <f>Gas!J27</f>
        <v>261.3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151</v>
      </c>
      <c r="AU25" s="460">
        <f>Elect!BP26</f>
        <v>132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516670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1.7778894472361806</v>
      </c>
      <c r="BN25" s="477" t="e">
        <f>Water!W27</f>
        <v>#DIV/0!</v>
      </c>
      <c r="BO25" s="472">
        <f>Water!X27</f>
        <v>1415.1999999999998</v>
      </c>
      <c r="BP25" s="477">
        <f>Water!Y27</f>
        <v>7.1115577889447223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7748</v>
      </c>
      <c r="D26" s="461">
        <v>0</v>
      </c>
      <c r="E26" s="460">
        <f>Elect!M27</f>
        <v>2989</v>
      </c>
      <c r="F26" s="461">
        <v>20</v>
      </c>
      <c r="G26" s="460">
        <f>Elect!O27</f>
        <v>1418</v>
      </c>
      <c r="H26" s="461">
        <v>931</v>
      </c>
      <c r="I26" s="460">
        <f>Water!C28</f>
        <v>150.79999999999998</v>
      </c>
      <c r="J26" s="461">
        <v>0</v>
      </c>
      <c r="K26" s="460">
        <f>Water!E28</f>
        <v>203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353.79999999999995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205.20399999999995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8305374</v>
      </c>
      <c r="AH26" s="464">
        <f>Gas!C28</f>
        <v>1473.4</v>
      </c>
      <c r="AI26" s="465" t="e">
        <f>Gas!#REF!</f>
        <v>#REF!</v>
      </c>
      <c r="AJ26" s="466">
        <f>Gas!J28</f>
        <v>261.3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0</v>
      </c>
      <c r="AU26" s="460">
        <f>Elect!BP27</f>
        <v>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516670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1.7601990049751242</v>
      </c>
      <c r="BN26" s="477" t="e">
        <f>Water!W28</f>
        <v>#DIV/0!</v>
      </c>
      <c r="BO26" s="472">
        <f>Water!X28</f>
        <v>1415.1999999999998</v>
      </c>
      <c r="BP26" s="477">
        <f>Water!Y28</f>
        <v>7.0407960199004966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7641</v>
      </c>
      <c r="D27" s="461">
        <v>0</v>
      </c>
      <c r="E27" s="460">
        <f>Elect!M28</f>
        <v>3212</v>
      </c>
      <c r="F27" s="461">
        <v>30</v>
      </c>
      <c r="G27" s="460">
        <f>Elect!O28</f>
        <v>1451</v>
      </c>
      <c r="H27" s="461">
        <v>1009</v>
      </c>
      <c r="I27" s="460">
        <f>Water!C29</f>
        <v>121.8</v>
      </c>
      <c r="J27" s="461">
        <v>0</v>
      </c>
      <c r="K27" s="460">
        <f>Water!E29</f>
        <v>145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266.8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154.744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8306764</v>
      </c>
      <c r="AH27" s="464">
        <f>Gas!C29</f>
        <v>1473.4</v>
      </c>
      <c r="AI27" s="465" t="e">
        <f>Gas!#REF!</f>
        <v>#REF!</v>
      </c>
      <c r="AJ27" s="466">
        <f>Gas!J29</f>
        <v>261.3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152</v>
      </c>
      <c r="AU27" s="460">
        <f>Elect!BP28</f>
        <v>145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516822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1.2127272727272729</v>
      </c>
      <c r="BN27" s="477" t="e">
        <f>Water!W29</f>
        <v>#DIV/0!</v>
      </c>
      <c r="BO27" s="472">
        <f>Water!X29</f>
        <v>1067.2</v>
      </c>
      <c r="BP27" s="477">
        <f>Water!Y29</f>
        <v>4.8509090909090915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7140</v>
      </c>
      <c r="D28" s="461">
        <v>0</v>
      </c>
      <c r="E28" s="460">
        <f>Elect!M29</f>
        <v>2916</v>
      </c>
      <c r="F28" s="461">
        <v>20</v>
      </c>
      <c r="G28" s="460">
        <f>Elect!O29</f>
        <v>1484</v>
      </c>
      <c r="H28" s="461">
        <v>891</v>
      </c>
      <c r="I28" s="460">
        <f>Water!C30</f>
        <v>57.999999999999993</v>
      </c>
      <c r="J28" s="461">
        <v>0</v>
      </c>
      <c r="K28" s="460">
        <f>Water!E30</f>
        <v>98.6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156.6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90.827999999999989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8308154</v>
      </c>
      <c r="AH28" s="464">
        <f>Gas!C30</f>
        <v>1473.4</v>
      </c>
      <c r="AI28" s="465" t="e">
        <f>Gas!#REF!</f>
        <v>#REF!</v>
      </c>
      <c r="AJ28" s="466">
        <f>Gas!J30</f>
        <v>261.3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156</v>
      </c>
      <c r="AU28" s="460">
        <f>Elect!BP29</f>
        <v>146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516978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0.77524752475247527</v>
      </c>
      <c r="BN28" s="477" t="e">
        <f>Water!W30</f>
        <v>#DIV/0!</v>
      </c>
      <c r="BO28" s="472">
        <f>Water!X30</f>
        <v>626.4</v>
      </c>
      <c r="BP28" s="477">
        <f>Water!Y30</f>
        <v>3.1009900990099011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7420</v>
      </c>
      <c r="D29" s="461">
        <v>0</v>
      </c>
      <c r="E29" s="460">
        <f>Elect!M30</f>
        <v>2844</v>
      </c>
      <c r="F29" s="461">
        <v>20</v>
      </c>
      <c r="G29" s="460">
        <f>Elect!O30</f>
        <v>1518</v>
      </c>
      <c r="H29" s="461">
        <v>1008</v>
      </c>
      <c r="I29" s="460">
        <f>Water!C31</f>
        <v>110.19999999999999</v>
      </c>
      <c r="J29" s="461">
        <v>0</v>
      </c>
      <c r="K29" s="460">
        <f>Water!E31</f>
        <v>115.99999999999999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233.16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135.2328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8309544</v>
      </c>
      <c r="AH29" s="464">
        <f>Gas!C31</f>
        <v>1473.4</v>
      </c>
      <c r="AI29" s="465" t="e">
        <f>Gas!#REF!</f>
        <v>#REF!</v>
      </c>
      <c r="AJ29" s="466">
        <f>Gas!J31</f>
        <v>772.19999999999993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157</v>
      </c>
      <c r="AU29" s="460">
        <f>Elect!BP30</f>
        <v>149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517135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1.1599999999999999</v>
      </c>
      <c r="BN29" s="477" t="e">
        <f>Water!W31</f>
        <v>#DIV/0!</v>
      </c>
      <c r="BO29" s="472">
        <f>Water!X31</f>
        <v>932.64</v>
      </c>
      <c r="BP29" s="477">
        <f>Water!Y31</f>
        <v>4.6399999999999997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8640</v>
      </c>
      <c r="D30" s="461">
        <v>0</v>
      </c>
      <c r="E30" s="460">
        <f>Elect!M31</f>
        <v>3689</v>
      </c>
      <c r="F30" s="461">
        <v>20</v>
      </c>
      <c r="G30" s="460">
        <f>Elect!O31</f>
        <v>1637</v>
      </c>
      <c r="H30" s="461">
        <v>760</v>
      </c>
      <c r="I30" s="460">
        <f>Water!C32</f>
        <v>121.8</v>
      </c>
      <c r="J30" s="461">
        <v>0</v>
      </c>
      <c r="K30" s="460">
        <f>Water!E32</f>
        <v>168.2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290.58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168.53639999999999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8310934</v>
      </c>
      <c r="AH30" s="464">
        <f>Gas!C32</f>
        <v>1473.4</v>
      </c>
      <c r="AI30" s="465" t="e">
        <f>Gas!#REF!</f>
        <v>#REF!</v>
      </c>
      <c r="AJ30" s="466">
        <f>Gas!J32</f>
        <v>163.79999999999998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155</v>
      </c>
      <c r="AU30" s="460">
        <f>Elect!BP31</f>
        <v>147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517290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1.3903349282296651</v>
      </c>
      <c r="BN30" s="477" t="e">
        <f>Water!W32</f>
        <v>#DIV/0!</v>
      </c>
      <c r="BO30" s="472">
        <f>Water!X32</f>
        <v>1162.32</v>
      </c>
      <c r="BP30" s="477">
        <f>Water!Y32</f>
        <v>5.5613397129186604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7676</v>
      </c>
      <c r="D31" s="461">
        <v>0</v>
      </c>
      <c r="E31" s="460">
        <f>Elect!M32</f>
        <v>3077</v>
      </c>
      <c r="F31" s="461">
        <v>30</v>
      </c>
      <c r="G31" s="460">
        <f>Elect!O32</f>
        <v>1395</v>
      </c>
      <c r="H31" s="461">
        <v>1010</v>
      </c>
      <c r="I31" s="460">
        <f>Water!C33</f>
        <v>104.39999999999999</v>
      </c>
      <c r="J31" s="461">
        <v>0</v>
      </c>
      <c r="K31" s="460">
        <f>Water!E33</f>
        <v>139.19999999999999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244.17999999999998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141.62439999999998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8312324</v>
      </c>
      <c r="AH31" s="464">
        <f>Gas!C33</f>
        <v>1473.4</v>
      </c>
      <c r="AI31" s="465" t="e">
        <f>Gas!#REF!</f>
        <v>#REF!</v>
      </c>
      <c r="AJ31" s="466">
        <f>Gas!J33</f>
        <v>339.3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137</v>
      </c>
      <c r="AU31" s="460">
        <f>Elect!BP32</f>
        <v>132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517427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1.0999099099099099</v>
      </c>
      <c r="BN31" s="477" t="e">
        <f>Water!W33</f>
        <v>#DIV/0!</v>
      </c>
      <c r="BO31" s="472">
        <f>Water!X33</f>
        <v>976.71999999999991</v>
      </c>
      <c r="BP31" s="477">
        <f>Water!Y33</f>
        <v>4.3996396396396396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8058</v>
      </c>
      <c r="D32" s="482">
        <v>0</v>
      </c>
      <c r="E32" s="481">
        <f>Elect!M33</f>
        <v>3276</v>
      </c>
      <c r="F32" s="482">
        <v>20</v>
      </c>
      <c r="G32" s="481">
        <f>Elect!O33</f>
        <v>1534</v>
      </c>
      <c r="H32" s="482">
        <v>1008</v>
      </c>
      <c r="I32" s="481">
        <f>Water!C34</f>
        <v>174</v>
      </c>
      <c r="J32" s="482">
        <v>0</v>
      </c>
      <c r="K32" s="481">
        <f>Water!E34</f>
        <v>208.79999999999998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383.37999999999994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222.36039999999994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8313714</v>
      </c>
      <c r="AH32" s="485">
        <f>Gas!C34</f>
        <v>1473.4</v>
      </c>
      <c r="AI32" s="486" t="e">
        <f>Gas!#REF!</f>
        <v>#REF!</v>
      </c>
      <c r="AJ32" s="487">
        <f>Gas!J34</f>
        <v>624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138</v>
      </c>
      <c r="AU32" s="481">
        <f>Elect!BP33</f>
        <v>161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517565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1.6741484716157202</v>
      </c>
      <c r="BN32" s="498" t="e">
        <f>Water!W34</f>
        <v>#DIV/0!</v>
      </c>
      <c r="BO32" s="493">
        <f>Water!X34</f>
        <v>1533.5199999999998</v>
      </c>
      <c r="BP32" s="498">
        <f>Water!Y34</f>
        <v>6.6965938864628809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7572</v>
      </c>
      <c r="D33" s="502">
        <v>0</v>
      </c>
      <c r="E33" s="501">
        <f>Elect!M34</f>
        <v>3001</v>
      </c>
      <c r="F33" s="502">
        <v>600</v>
      </c>
      <c r="G33" s="501">
        <f>Elect!O34</f>
        <v>1536</v>
      </c>
      <c r="H33" s="502">
        <v>24543</v>
      </c>
      <c r="I33" s="501">
        <f>Water!C38</f>
        <v>4495.0000000000018</v>
      </c>
      <c r="J33" s="502">
        <v>0</v>
      </c>
      <c r="K33" s="501">
        <f>Water!E39</f>
        <v>193.33333333333334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10316.460000000001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5472.2187999999969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45675.400000000023</v>
      </c>
      <c r="AI33" s="506" t="e">
        <f>Gas!#REF!</f>
        <v>#REF!</v>
      </c>
      <c r="AJ33" s="507">
        <f>Gas!J38</f>
        <v>12335.699999999993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133</v>
      </c>
      <c r="AU33" s="506">
        <f>Elect!BP34</f>
        <v>144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517698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1.6987419726658983</v>
      </c>
      <c r="BN33" s="518" t="e">
        <f>Water!W38</f>
        <v>#DIV/0!</v>
      </c>
      <c r="BO33" s="513">
        <f>Water!X38</f>
        <v>40129.040000000001</v>
      </c>
      <c r="BP33" s="518">
        <f>Water!Y38</f>
        <v>6.607778692573687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7537</v>
      </c>
      <c r="D34" s="502">
        <v>0</v>
      </c>
      <c r="E34" s="501">
        <f>Elect!M35</f>
        <v>3041</v>
      </c>
      <c r="F34" s="502">
        <v>21.428571428571427</v>
      </c>
      <c r="G34" s="501">
        <f>Elect!O35</f>
        <v>1485</v>
      </c>
      <c r="H34" s="502">
        <v>876.53571428571433</v>
      </c>
      <c r="I34" s="501">
        <f>Water!C39</f>
        <v>149.8333333333334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343.88200000000001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182.40729333333323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1522.513333333334</v>
      </c>
      <c r="AI34" s="506" t="e">
        <f>Gas!#REF!</f>
        <v>#REF!</v>
      </c>
      <c r="AJ34" s="507">
        <f>Gas!J39</f>
        <v>411.18999999999977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120</v>
      </c>
      <c r="AU34" s="506">
        <f>Elect!BP35</f>
        <v>142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517818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1.6987419726658983</v>
      </c>
      <c r="BN34" s="518" t="e">
        <f>Water!W39</f>
        <v>#DIV/0!</v>
      </c>
      <c r="BO34" s="513">
        <f>Water!X39</f>
        <v>1337.6346666666666</v>
      </c>
      <c r="BP34" s="518">
        <f>Water!Y39</f>
        <v>6.6077786925736861</v>
      </c>
      <c r="BQ34" s="519" t="e">
        <f>Water!Z39</f>
        <v>#DIV/0!</v>
      </c>
    </row>
    <row r="35" spans="1:98" s="523" customFormat="1" ht="72" customHeight="1">
      <c r="A35" s="445" t="s">
        <v>149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513610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150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151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152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153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154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196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197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5" t="s">
        <v>198</v>
      </c>
      <c r="B4" s="915"/>
      <c r="C4" s="915"/>
      <c r="D4" s="915"/>
      <c r="E4" s="915"/>
      <c r="F4" s="915"/>
      <c r="G4" s="108" t="str">
        <f>Elect!A1</f>
        <v>January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199</v>
      </c>
      <c r="B7" s="99" t="s">
        <v>200</v>
      </c>
      <c r="C7" s="99" t="s">
        <v>201</v>
      </c>
      <c r="D7" s="99" t="s">
        <v>200</v>
      </c>
      <c r="E7" s="99" t="s">
        <v>201</v>
      </c>
      <c r="F7" s="99" t="s">
        <v>202</v>
      </c>
      <c r="G7" s="100" t="s">
        <v>203</v>
      </c>
      <c r="H7" s="100" t="s">
        <v>204</v>
      </c>
      <c r="I7" s="99" t="s">
        <v>121</v>
      </c>
      <c r="J7" s="101" t="s">
        <v>121</v>
      </c>
    </row>
    <row r="8" spans="1:10" ht="13.5" thickBot="1">
      <c r="A8" s="102"/>
      <c r="B8" s="103" t="s">
        <v>205</v>
      </c>
      <c r="C8" s="103" t="s">
        <v>205</v>
      </c>
      <c r="D8" s="103" t="s">
        <v>206</v>
      </c>
      <c r="E8" s="103" t="s">
        <v>206</v>
      </c>
      <c r="F8" s="104" t="s">
        <v>207</v>
      </c>
      <c r="G8" s="103" t="s">
        <v>12</v>
      </c>
      <c r="H8" s="103"/>
      <c r="I8" s="104" t="s">
        <v>208</v>
      </c>
      <c r="J8" s="105" t="s">
        <v>209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210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210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16"/>
      <c r="B3" s="918" t="str">
        <f>Elect!A1</f>
        <v>January</v>
      </c>
      <c r="C3" s="919"/>
      <c r="D3" s="919"/>
      <c r="E3" s="920"/>
    </row>
    <row r="4" spans="1:5" ht="14.25" customHeight="1" thickBot="1">
      <c r="A4" s="917"/>
      <c r="B4" s="921" t="s">
        <v>12</v>
      </c>
      <c r="C4" s="922"/>
      <c r="D4" s="923" t="s">
        <v>211</v>
      </c>
      <c r="E4" s="924"/>
    </row>
    <row r="5" spans="1:5" ht="13.5" thickBot="1">
      <c r="A5" s="34" t="s">
        <v>212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213</v>
      </c>
      <c r="B6" s="38"/>
      <c r="C6" s="39"/>
      <c r="D6" s="40"/>
      <c r="E6" s="41"/>
    </row>
    <row r="7" spans="1:5" ht="13.5" thickBot="1">
      <c r="A7" s="117" t="s">
        <v>214</v>
      </c>
      <c r="B7" s="42"/>
      <c r="C7" s="43" t="s">
        <v>215</v>
      </c>
      <c r="D7" s="42" t="s">
        <v>215</v>
      </c>
      <c r="E7" s="43" t="s">
        <v>215</v>
      </c>
    </row>
    <row r="8" spans="1:5">
      <c r="A8" s="118" t="s">
        <v>216</v>
      </c>
      <c r="B8" s="42"/>
      <c r="C8" s="43" t="s">
        <v>215</v>
      </c>
      <c r="D8" s="44" t="s">
        <v>215</v>
      </c>
      <c r="E8" s="45" t="s">
        <v>215</v>
      </c>
    </row>
    <row r="9" spans="1:5" ht="13.5" thickBot="1">
      <c r="A9" s="118" t="s">
        <v>217</v>
      </c>
      <c r="B9" s="359"/>
      <c r="C9" s="360" t="s">
        <v>215</v>
      </c>
      <c r="D9" s="44" t="s">
        <v>215</v>
      </c>
      <c r="E9" s="45" t="s">
        <v>215</v>
      </c>
    </row>
    <row r="10" spans="1:5" ht="13.5" thickBot="1">
      <c r="A10" s="119" t="s">
        <v>218</v>
      </c>
      <c r="B10" s="76"/>
      <c r="C10" s="361"/>
      <c r="D10" s="48"/>
      <c r="E10" s="47"/>
    </row>
    <row r="11" spans="1:5" ht="13.5" thickBot="1">
      <c r="A11" s="362" t="s">
        <v>219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220</v>
      </c>
      <c r="B12" s="366"/>
      <c r="C12" s="366" t="s">
        <v>215</v>
      </c>
      <c r="D12" s="52">
        <v>0</v>
      </c>
      <c r="E12" s="53" t="e">
        <v>#REF!</v>
      </c>
    </row>
    <row r="13" spans="1:5" ht="13.5" thickBot="1">
      <c r="A13" s="120" t="s">
        <v>221</v>
      </c>
      <c r="B13" s="76"/>
      <c r="C13" s="77"/>
      <c r="D13" s="42" t="s">
        <v>215</v>
      </c>
      <c r="E13" s="43" t="s">
        <v>215</v>
      </c>
    </row>
    <row r="14" spans="1:5">
      <c r="A14" s="117" t="s">
        <v>222</v>
      </c>
      <c r="B14" s="42"/>
      <c r="C14" s="63" t="s">
        <v>215</v>
      </c>
      <c r="D14" s="55"/>
      <c r="E14" s="56"/>
    </row>
    <row r="15" spans="1:5" ht="13.5" thickBot="1">
      <c r="A15" s="118" t="s">
        <v>223</v>
      </c>
      <c r="B15" s="44"/>
      <c r="C15" s="54" t="s">
        <v>215</v>
      </c>
      <c r="D15" s="58"/>
      <c r="E15" s="59"/>
    </row>
    <row r="16" spans="1:5" ht="13.5" thickBot="1">
      <c r="A16" s="118" t="s">
        <v>224</v>
      </c>
      <c r="B16" s="44"/>
      <c r="C16" s="54" t="s">
        <v>215</v>
      </c>
      <c r="D16" s="61"/>
      <c r="E16" s="62"/>
    </row>
    <row r="17" spans="1:5">
      <c r="A17" s="118" t="s">
        <v>225</v>
      </c>
      <c r="B17" s="44"/>
      <c r="C17" s="54" t="s">
        <v>215</v>
      </c>
      <c r="D17" s="44" t="s">
        <v>215</v>
      </c>
      <c r="E17" s="54" t="s">
        <v>215</v>
      </c>
    </row>
    <row r="18" spans="1:5">
      <c r="A18" s="118" t="s">
        <v>226</v>
      </c>
      <c r="B18" s="44"/>
      <c r="C18" s="54" t="s">
        <v>215</v>
      </c>
      <c r="D18" s="44" t="s">
        <v>215</v>
      </c>
      <c r="E18" s="54" t="s">
        <v>215</v>
      </c>
    </row>
    <row r="19" spans="1:5">
      <c r="A19" s="118" t="s">
        <v>227</v>
      </c>
      <c r="B19" s="44"/>
      <c r="C19" s="54" t="s">
        <v>215</v>
      </c>
      <c r="D19" s="44" t="s">
        <v>215</v>
      </c>
      <c r="E19" s="54" t="s">
        <v>215</v>
      </c>
    </row>
    <row r="20" spans="1:5">
      <c r="A20" s="118" t="s">
        <v>228</v>
      </c>
      <c r="B20" s="44"/>
      <c r="C20" s="64" t="e">
        <f>#REF!</f>
        <v>#REF!</v>
      </c>
      <c r="D20" s="44" t="s">
        <v>215</v>
      </c>
      <c r="E20" s="54" t="s">
        <v>215</v>
      </c>
    </row>
    <row r="21" spans="1:5">
      <c r="A21" s="118" t="s">
        <v>229</v>
      </c>
      <c r="B21" s="44"/>
      <c r="C21" s="54" t="s">
        <v>215</v>
      </c>
      <c r="D21" s="44" t="s">
        <v>215</v>
      </c>
      <c r="E21" s="54" t="s">
        <v>215</v>
      </c>
    </row>
    <row r="22" spans="1:5">
      <c r="A22" s="118" t="s">
        <v>230</v>
      </c>
      <c r="B22" s="44"/>
      <c r="C22" s="54">
        <f>Water!S38</f>
        <v>0</v>
      </c>
      <c r="D22" s="44" t="s">
        <v>215</v>
      </c>
      <c r="E22" s="54" t="s">
        <v>215</v>
      </c>
    </row>
    <row r="23" spans="1:5" ht="13.5" thickBot="1">
      <c r="A23" s="121" t="s">
        <v>231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232</v>
      </c>
      <c r="B24" s="49"/>
      <c r="C24" s="60"/>
      <c r="D24" s="55" t="s">
        <v>215</v>
      </c>
      <c r="E24" s="56" t="s">
        <v>215</v>
      </c>
    </row>
    <row r="25" spans="1:5">
      <c r="A25" s="123" t="s">
        <v>233</v>
      </c>
      <c r="B25" s="42"/>
      <c r="C25" s="67">
        <f>Elect!J34</f>
        <v>7572</v>
      </c>
      <c r="D25" s="55">
        <v>12266</v>
      </c>
      <c r="E25" s="66">
        <v>814</v>
      </c>
    </row>
    <row r="26" spans="1:5" ht="13.5" thickBot="1">
      <c r="A26" s="128" t="s">
        <v>234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235</v>
      </c>
      <c r="B27" s="44"/>
      <c r="C27" s="69">
        <f>Water!H38</f>
        <v>10316.460000000001</v>
      </c>
      <c r="D27" s="61"/>
      <c r="E27" s="62"/>
    </row>
    <row r="28" spans="1:5">
      <c r="A28" s="124" t="s">
        <v>236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237</v>
      </c>
      <c r="B29" s="44"/>
      <c r="C29" s="45" t="s">
        <v>215</v>
      </c>
      <c r="D29" s="70">
        <v>28880</v>
      </c>
      <c r="E29" s="66">
        <v>32980</v>
      </c>
    </row>
    <row r="30" spans="1:5" ht="13.5" thickBot="1">
      <c r="A30" s="125" t="s">
        <v>238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239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240</v>
      </c>
      <c r="B32" s="76"/>
      <c r="C32" s="77"/>
      <c r="D32" s="71" t="e">
        <v>#REF!</v>
      </c>
      <c r="E32" s="56" t="s">
        <v>215</v>
      </c>
    </row>
    <row r="33" spans="1:6" ht="13.5" thickBot="1">
      <c r="A33" s="123" t="s">
        <v>241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242</v>
      </c>
      <c r="B34" s="44"/>
      <c r="C34" s="69">
        <f>YTD!Q5</f>
        <v>0</v>
      </c>
      <c r="D34" s="74"/>
      <c r="E34" s="75"/>
    </row>
    <row r="35" spans="1:6" ht="13.5" thickBot="1">
      <c r="A35" s="124" t="s">
        <v>243</v>
      </c>
      <c r="B35" s="44"/>
      <c r="C35" s="69">
        <f>YTD!Q6</f>
        <v>0</v>
      </c>
      <c r="D35" s="61"/>
      <c r="E35" s="62"/>
    </row>
    <row r="36" spans="1:6">
      <c r="A36" s="128" t="s">
        <v>244</v>
      </c>
      <c r="B36" s="44"/>
      <c r="C36" s="82"/>
      <c r="D36" s="78" t="e">
        <v>#REF!</v>
      </c>
      <c r="E36" s="66" t="e">
        <v>#REF!</v>
      </c>
    </row>
    <row r="37" spans="1:6">
      <c r="A37" s="128" t="s">
        <v>245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246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247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248</v>
      </c>
      <c r="B40" s="76"/>
      <c r="C40" s="77"/>
      <c r="D40" s="55">
        <v>1583714</v>
      </c>
      <c r="E40" s="66">
        <v>1940567</v>
      </c>
    </row>
    <row r="41" spans="1:6">
      <c r="A41" s="367" t="s">
        <v>249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250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251</v>
      </c>
      <c r="B43" s="130"/>
      <c r="C43" s="64">
        <f>Water!X38</f>
        <v>40129.040000000001</v>
      </c>
      <c r="D43" s="58">
        <v>112</v>
      </c>
      <c r="E43" s="66">
        <v>97.529999999999944</v>
      </c>
    </row>
    <row r="44" spans="1:6" ht="13.5" thickBot="1">
      <c r="A44" s="129" t="s">
        <v>252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253</v>
      </c>
      <c r="B45" s="131"/>
      <c r="C45" s="54" t="s">
        <v>215</v>
      </c>
      <c r="D45" s="78">
        <v>2138156.84</v>
      </c>
      <c r="E45" s="66" t="e">
        <v>#REF!</v>
      </c>
    </row>
    <row r="46" spans="1:6" ht="13.5" thickBot="1">
      <c r="A46" s="132" t="s">
        <v>254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255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256</v>
      </c>
      <c r="B48" s="197"/>
      <c r="C48" s="89"/>
      <c r="D48" s="65">
        <v>330278</v>
      </c>
      <c r="E48" s="66" t="e">
        <v>#REF!</v>
      </c>
    </row>
    <row r="49" spans="1:6">
      <c r="A49" s="202" t="s">
        <v>257</v>
      </c>
      <c r="B49" s="195"/>
      <c r="C49" s="203">
        <v>6</v>
      </c>
      <c r="D49" s="44" t="s">
        <v>215</v>
      </c>
      <c r="E49" s="54" t="s">
        <v>215</v>
      </c>
    </row>
    <row r="50" spans="1:6" ht="13.5" thickBot="1">
      <c r="A50" s="222" t="s">
        <v>132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258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259</v>
      </c>
      <c r="B52" s="131"/>
      <c r="C52" s="54">
        <v>75064</v>
      </c>
      <c r="D52" s="61"/>
      <c r="E52" s="62"/>
    </row>
    <row r="53" spans="1:6" ht="13.5" thickBot="1">
      <c r="A53" s="204" t="s">
        <v>260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261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262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263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264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January</v>
      </c>
      <c r="C1" s="775"/>
      <c r="D1" s="775"/>
      <c r="E1" s="775"/>
      <c r="F1" s="775"/>
      <c r="G1" s="775"/>
      <c r="H1" s="211" t="s">
        <v>265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266</v>
      </c>
      <c r="D3" s="227" t="s">
        <v>267</v>
      </c>
      <c r="E3" s="227" t="s">
        <v>268</v>
      </c>
      <c r="F3" s="227" t="s">
        <v>269</v>
      </c>
      <c r="G3" s="227" t="s">
        <v>270</v>
      </c>
      <c r="H3" s="227" t="s">
        <v>271</v>
      </c>
      <c r="I3" s="227" t="s">
        <v>272</v>
      </c>
      <c r="J3" s="227" t="s">
        <v>273</v>
      </c>
      <c r="K3" s="227" t="s">
        <v>274</v>
      </c>
      <c r="L3" s="227" t="s">
        <v>275</v>
      </c>
      <c r="M3" s="227" t="s">
        <v>276</v>
      </c>
      <c r="N3" s="227" t="s">
        <v>277</v>
      </c>
      <c r="O3" s="228" t="s">
        <v>278</v>
      </c>
      <c r="P3" s="229" t="s">
        <v>279</v>
      </c>
      <c r="Q3" s="230" t="s">
        <v>280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281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282</v>
      </c>
      <c r="B5" s="296"/>
      <c r="C5" s="234">
        <v>25072</v>
      </c>
      <c r="D5" s="380">
        <f>Elect!BP34</f>
        <v>144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25216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283</v>
      </c>
      <c r="B6" s="298"/>
      <c r="C6" s="235">
        <v>50662</v>
      </c>
      <c r="D6" s="235">
        <f>Elect!BR34</f>
        <v>133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50795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284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285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286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287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288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289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290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291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292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293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294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295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296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297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298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299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300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301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302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303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304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305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306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307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308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309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310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311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312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313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314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315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316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317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318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319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320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321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322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323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324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325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326</v>
      </c>
      <c r="B51" s="312" t="s">
        <v>327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328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329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330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331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332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333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334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335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336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337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338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339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340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341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342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343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344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345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346</v>
      </c>
      <c r="B77" s="320" t="s">
        <v>347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348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346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348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346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348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349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350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351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291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292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293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294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295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296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297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298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299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300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301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302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303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304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305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306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352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308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309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310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311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312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313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314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315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316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317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318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319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320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321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322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323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324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325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326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328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329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330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331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332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353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334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335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336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340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341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354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351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291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292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293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294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295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296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297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298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299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300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301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302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303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304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305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306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352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308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309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310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311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312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313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314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315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316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317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318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319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320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321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322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323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324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325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326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328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329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330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331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332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353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334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335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336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340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341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355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356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357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358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359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360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361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362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363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364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365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366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367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334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368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297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298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299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300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301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302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303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304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305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306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352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308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309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310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311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312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313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314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315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316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317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318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319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320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321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322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323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324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325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326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328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329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330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331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332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353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334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335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336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337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338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340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369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297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298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299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300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301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302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303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304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305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306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352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308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309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310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311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312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313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314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315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316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317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318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319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320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321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322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323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324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325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326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328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329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330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331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332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353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334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335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336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337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338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340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370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266</v>
      </c>
      <c r="D2340" s="268" t="s">
        <v>267</v>
      </c>
      <c r="E2340" s="268" t="s">
        <v>268</v>
      </c>
      <c r="F2340" s="268" t="s">
        <v>269</v>
      </c>
      <c r="G2340" s="268" t="s">
        <v>270</v>
      </c>
      <c r="H2340" s="268" t="s">
        <v>271</v>
      </c>
      <c r="I2340" s="268" t="s">
        <v>272</v>
      </c>
      <c r="J2340" s="268" t="s">
        <v>273</v>
      </c>
      <c r="K2340" s="268" t="s">
        <v>274</v>
      </c>
      <c r="L2340" s="268" t="s">
        <v>275</v>
      </c>
      <c r="M2340" s="268" t="s">
        <v>276</v>
      </c>
      <c r="N2340" s="269" t="s">
        <v>277</v>
      </c>
      <c r="O2340" s="226" t="s">
        <v>371</v>
      </c>
      <c r="P2340" s="270" t="s">
        <v>279</v>
      </c>
      <c r="Q2340" s="230" t="s">
        <v>372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5" thickTop="1">
      <c r="A2341" s="326" t="s">
        <v>282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283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290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351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373</v>
      </c>
      <c r="B2345" s="783" t="s">
        <v>374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375</v>
      </c>
      <c r="B2346" s="783" t="s">
        <v>374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376</v>
      </c>
      <c r="B2347" s="783" t="s">
        <v>374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377</v>
      </c>
      <c r="B2348" s="783" t="s">
        <v>374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295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340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341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342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378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266</v>
      </c>
      <c r="D2357" s="268" t="s">
        <v>267</v>
      </c>
      <c r="E2357" s="268" t="s">
        <v>268</v>
      </c>
      <c r="F2357" s="268" t="s">
        <v>269</v>
      </c>
      <c r="G2357" s="268" t="s">
        <v>270</v>
      </c>
      <c r="H2357" s="268" t="s">
        <v>271</v>
      </c>
      <c r="I2357" s="268" t="s">
        <v>272</v>
      </c>
      <c r="J2357" s="268" t="s">
        <v>273</v>
      </c>
      <c r="K2357" s="268" t="s">
        <v>274</v>
      </c>
      <c r="L2357" s="268" t="s">
        <v>275</v>
      </c>
      <c r="M2357" s="268" t="s">
        <v>276</v>
      </c>
      <c r="N2357" s="269" t="s">
        <v>277</v>
      </c>
      <c r="O2357" s="226" t="s">
        <v>371</v>
      </c>
      <c r="P2357" s="270" t="s">
        <v>279</v>
      </c>
      <c r="Q2357" s="230" t="s">
        <v>372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5" thickTop="1">
      <c r="A2358" s="326" t="s">
        <v>282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283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290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351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373</v>
      </c>
      <c r="B2362" s="783" t="s">
        <v>374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375</v>
      </c>
      <c r="B2363" s="783" t="s">
        <v>374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376</v>
      </c>
      <c r="B2364" s="783" t="s">
        <v>374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377</v>
      </c>
      <c r="B2365" s="783" t="s">
        <v>374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295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340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341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342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6" activePane="bottomRight" state="frozen"/>
      <selection pane="bottomRight" activeCell="D7" sqref="D7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925" t="s">
        <v>51</v>
      </c>
      <c r="E1" s="833" t="s">
        <v>47</v>
      </c>
      <c r="H1" s="564" t="s">
        <v>379</v>
      </c>
      <c r="I1" s="667"/>
      <c r="J1" s="565">
        <v>3.9</v>
      </c>
    </row>
    <row r="2" spans="1:13" ht="23.25" customHeight="1">
      <c r="A2" s="925"/>
      <c r="C2" s="27"/>
      <c r="E2" s="833"/>
      <c r="G2" s="27"/>
      <c r="H2" s="27"/>
      <c r="I2" s="27"/>
      <c r="K2" s="529"/>
      <c r="L2" s="528"/>
      <c r="M2" s="385"/>
    </row>
    <row r="3" spans="1:13" ht="21" customHeight="1" thickBot="1">
      <c r="A3" s="926"/>
      <c r="B3" s="27"/>
      <c r="C3" s="27"/>
      <c r="D3" s="27"/>
      <c r="E3" s="834"/>
      <c r="F3" s="27"/>
      <c r="G3" s="27"/>
      <c r="H3" s="27"/>
      <c r="I3" s="27"/>
    </row>
    <row r="4" spans="1:13" ht="53.25" customHeight="1">
      <c r="A4" s="660" t="s">
        <v>380</v>
      </c>
      <c r="B4" s="927" t="s">
        <v>381</v>
      </c>
      <c r="C4" s="928"/>
      <c r="D4" s="927" t="s">
        <v>382</v>
      </c>
      <c r="E4" s="928"/>
      <c r="F4" s="927" t="s">
        <v>383</v>
      </c>
      <c r="G4" s="928"/>
      <c r="H4" s="534" t="s">
        <v>384</v>
      </c>
      <c r="I4" s="534" t="s">
        <v>385</v>
      </c>
      <c r="J4" s="533" t="s">
        <v>386</v>
      </c>
      <c r="K4" s="734" t="s">
        <v>387</v>
      </c>
      <c r="L4" s="23"/>
      <c r="M4" s="23"/>
    </row>
    <row r="5" spans="1:13" ht="26.25" customHeight="1" thickBot="1">
      <c r="A5" s="661"/>
      <c r="B5" s="137" t="s">
        <v>388</v>
      </c>
      <c r="C5" s="138" t="s">
        <v>389</v>
      </c>
      <c r="D5" s="137" t="s">
        <v>388</v>
      </c>
      <c r="E5" s="138" t="s">
        <v>389</v>
      </c>
      <c r="F5" s="137" t="s">
        <v>388</v>
      </c>
      <c r="G5" s="138" t="s">
        <v>389</v>
      </c>
      <c r="H5" s="25" t="s">
        <v>390</v>
      </c>
      <c r="I5" s="25" t="s">
        <v>390</v>
      </c>
      <c r="J5" s="25" t="s">
        <v>390</v>
      </c>
      <c r="K5" s="138" t="s">
        <v>389</v>
      </c>
      <c r="L5" s="23"/>
      <c r="M5" s="23"/>
    </row>
    <row r="6" spans="1:13" s="3" customFormat="1" ht="41.25" customHeight="1">
      <c r="A6" s="662"/>
      <c r="B6" s="764">
        <v>8274794</v>
      </c>
      <c r="C6" s="636">
        <f t="shared" ref="C6:C14" si="0">IF(B6&gt;=B5,B6-B5,0)*1.06</f>
        <v>0</v>
      </c>
      <c r="D6" s="771">
        <v>446296</v>
      </c>
      <c r="E6" s="636">
        <f>IF(D6&gt;=D5,D6-D5,0)*0.7</f>
        <v>0</v>
      </c>
      <c r="F6" s="771">
        <v>598621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>
        <v>8276184</v>
      </c>
      <c r="C7" s="636">
        <f t="shared" si="0"/>
        <v>1473.4</v>
      </c>
      <c r="D7" s="771">
        <v>448283</v>
      </c>
      <c r="E7" s="636">
        <f t="shared" ref="E7:E37" si="2">IF(D7&gt;=D6,D7-D6,0)*0.7</f>
        <v>1390.8999999999999</v>
      </c>
      <c r="F7" s="771">
        <v>598807</v>
      </c>
      <c r="G7" s="636">
        <f t="shared" si="1"/>
        <v>186</v>
      </c>
      <c r="H7" s="636">
        <f>(E7*0.55)*1.61</f>
        <v>1231.6419500000002</v>
      </c>
      <c r="I7" s="636">
        <f>C7*J1</f>
        <v>5746.26</v>
      </c>
      <c r="J7" s="636">
        <f>G7*J1</f>
        <v>725.4</v>
      </c>
      <c r="K7" s="692">
        <f t="shared" ref="K7:K37" si="3">C7+E7</f>
        <v>2864.3</v>
      </c>
    </row>
    <row r="8" spans="1:13" s="3" customFormat="1" ht="41.25" customHeight="1">
      <c r="A8" s="662">
        <v>2</v>
      </c>
      <c r="B8" s="764">
        <v>8277574</v>
      </c>
      <c r="C8" s="636">
        <f t="shared" si="0"/>
        <v>1473.4</v>
      </c>
      <c r="D8" s="771">
        <v>448780</v>
      </c>
      <c r="E8" s="636">
        <f t="shared" si="2"/>
        <v>347.9</v>
      </c>
      <c r="F8" s="771">
        <v>598889</v>
      </c>
      <c r="G8" s="636">
        <f t="shared" si="1"/>
        <v>82</v>
      </c>
      <c r="H8" s="636">
        <f t="shared" ref="H8:H37" si="4">(E8*0.55)*1.61</f>
        <v>308.06545</v>
      </c>
      <c r="I8" s="636">
        <f>C8*J1</f>
        <v>5746.26</v>
      </c>
      <c r="J8" s="636">
        <f>G8*J1</f>
        <v>319.8</v>
      </c>
      <c r="K8" s="692">
        <f t="shared" si="3"/>
        <v>1821.3000000000002</v>
      </c>
    </row>
    <row r="9" spans="1:13" s="3" customFormat="1" ht="41.25" customHeight="1">
      <c r="A9" s="662">
        <v>3</v>
      </c>
      <c r="B9" s="764">
        <v>8278964</v>
      </c>
      <c r="C9" s="636">
        <f t="shared" si="0"/>
        <v>1473.4</v>
      </c>
      <c r="D9" s="771">
        <v>449288</v>
      </c>
      <c r="E9" s="636">
        <f t="shared" si="2"/>
        <v>355.59999999999997</v>
      </c>
      <c r="F9" s="771">
        <v>598991</v>
      </c>
      <c r="G9" s="636">
        <f t="shared" si="1"/>
        <v>102</v>
      </c>
      <c r="H9" s="636">
        <f>(E9*0.55)*1.61</f>
        <v>314.88380000000001</v>
      </c>
      <c r="I9" s="636">
        <f>C9*J1</f>
        <v>5746.26</v>
      </c>
      <c r="J9" s="636">
        <f>G9*J1</f>
        <v>397.8</v>
      </c>
      <c r="K9" s="692">
        <f>C9+E9</f>
        <v>1829</v>
      </c>
    </row>
    <row r="10" spans="1:13" s="3" customFormat="1" ht="41.25" customHeight="1">
      <c r="A10" s="662">
        <v>4</v>
      </c>
      <c r="B10" s="764">
        <v>8280354</v>
      </c>
      <c r="C10" s="636">
        <f>IF(B10&gt;=B9,B10-B9,0)*1.06</f>
        <v>1473.4</v>
      </c>
      <c r="D10" s="771">
        <v>449767</v>
      </c>
      <c r="E10" s="636">
        <f t="shared" si="2"/>
        <v>335.29999999999995</v>
      </c>
      <c r="F10" s="771">
        <v>599162</v>
      </c>
      <c r="G10" s="636">
        <f t="shared" si="1"/>
        <v>171</v>
      </c>
      <c r="H10" s="636">
        <f>(E10*0.55)*1.61</f>
        <v>296.90814999999998</v>
      </c>
      <c r="I10" s="636">
        <f>C10*J1</f>
        <v>5746.26</v>
      </c>
      <c r="J10" s="636">
        <f>G10*J1</f>
        <v>666.9</v>
      </c>
      <c r="K10" s="692">
        <f t="shared" si="3"/>
        <v>1808.7</v>
      </c>
    </row>
    <row r="11" spans="1:13" s="3" customFormat="1" ht="41.25" customHeight="1">
      <c r="A11" s="662">
        <v>5</v>
      </c>
      <c r="B11" s="764">
        <v>8281744</v>
      </c>
      <c r="C11" s="636">
        <f>IF(B11&gt;=B10,B11-B10,0)*1.06</f>
        <v>1473.4</v>
      </c>
      <c r="D11" s="771">
        <v>450246</v>
      </c>
      <c r="E11" s="636">
        <f t="shared" si="2"/>
        <v>335.29999999999995</v>
      </c>
      <c r="F11" s="771">
        <v>599301</v>
      </c>
      <c r="G11" s="636">
        <f t="shared" si="1"/>
        <v>139</v>
      </c>
      <c r="H11" s="636">
        <f t="shared" si="4"/>
        <v>296.90814999999998</v>
      </c>
      <c r="I11" s="636">
        <f>C11*J1</f>
        <v>5746.26</v>
      </c>
      <c r="J11" s="636">
        <f>G11*J1</f>
        <v>542.1</v>
      </c>
      <c r="K11" s="692">
        <f t="shared" si="3"/>
        <v>1808.7</v>
      </c>
    </row>
    <row r="12" spans="1:13" s="3" customFormat="1" ht="41.25" customHeight="1">
      <c r="A12" s="662">
        <v>6</v>
      </c>
      <c r="B12" s="764">
        <v>8283134</v>
      </c>
      <c r="C12" s="636">
        <f>IF(B12&gt;=B11,B12-B11,0)*1.06</f>
        <v>1473.4</v>
      </c>
      <c r="D12" s="771">
        <v>450725</v>
      </c>
      <c r="E12" s="636">
        <f t="shared" si="2"/>
        <v>335.29999999999995</v>
      </c>
      <c r="F12" s="771">
        <v>599404</v>
      </c>
      <c r="G12" s="636">
        <f t="shared" si="1"/>
        <v>103</v>
      </c>
      <c r="H12" s="636">
        <f t="shared" si="4"/>
        <v>296.90814999999998</v>
      </c>
      <c r="I12" s="636">
        <f>C12*J1</f>
        <v>5746.26</v>
      </c>
      <c r="J12" s="636">
        <f>G12*J1</f>
        <v>401.7</v>
      </c>
      <c r="K12" s="692">
        <f t="shared" si="3"/>
        <v>1808.7</v>
      </c>
    </row>
    <row r="13" spans="1:13" s="3" customFormat="1" ht="41.25" customHeight="1">
      <c r="A13" s="662">
        <v>7</v>
      </c>
      <c r="B13" s="764">
        <v>8284524</v>
      </c>
      <c r="C13" s="636">
        <f>IF(B13&gt;=B12,B13-B12,0)*1.06</f>
        <v>1473.4</v>
      </c>
      <c r="D13" s="771">
        <v>451139</v>
      </c>
      <c r="E13" s="636">
        <f t="shared" si="2"/>
        <v>289.79999999999995</v>
      </c>
      <c r="F13" s="771">
        <v>599507</v>
      </c>
      <c r="G13" s="636">
        <f t="shared" si="1"/>
        <v>103</v>
      </c>
      <c r="H13" s="636">
        <f t="shared" si="4"/>
        <v>256.61790000000002</v>
      </c>
      <c r="I13" s="636">
        <f>C13*J1</f>
        <v>5746.26</v>
      </c>
      <c r="J13" s="636">
        <f>G13*J1</f>
        <v>401.7</v>
      </c>
      <c r="K13" s="692">
        <f t="shared" si="3"/>
        <v>1763.2</v>
      </c>
    </row>
    <row r="14" spans="1:13" s="3" customFormat="1" ht="41.25" customHeight="1">
      <c r="A14" s="662">
        <v>8</v>
      </c>
      <c r="B14" s="764">
        <v>8285914</v>
      </c>
      <c r="C14" s="636">
        <f t="shared" si="0"/>
        <v>1473.4</v>
      </c>
      <c r="D14" s="771">
        <v>451553</v>
      </c>
      <c r="E14" s="636">
        <f t="shared" si="2"/>
        <v>289.79999999999995</v>
      </c>
      <c r="F14" s="771">
        <v>599610</v>
      </c>
      <c r="G14" s="636">
        <f t="shared" si="1"/>
        <v>103</v>
      </c>
      <c r="H14" s="636">
        <f t="shared" si="4"/>
        <v>256.61790000000002</v>
      </c>
      <c r="I14" s="636">
        <f>C14*J1</f>
        <v>5746.26</v>
      </c>
      <c r="J14" s="636">
        <f>G14*J1</f>
        <v>401.7</v>
      </c>
      <c r="K14" s="692">
        <f t="shared" si="3"/>
        <v>1763.2</v>
      </c>
    </row>
    <row r="15" spans="1:13" s="3" customFormat="1" ht="41.25" customHeight="1">
      <c r="A15" s="662">
        <v>9</v>
      </c>
      <c r="B15" s="764">
        <v>8287304</v>
      </c>
      <c r="C15" s="636">
        <f t="shared" ref="C15:C27" si="5">IF(B15&gt;=B14,B15-B14,0)*1.06</f>
        <v>1473.4</v>
      </c>
      <c r="D15" s="771">
        <v>452036</v>
      </c>
      <c r="E15" s="636">
        <f t="shared" si="2"/>
        <v>338.09999999999997</v>
      </c>
      <c r="F15" s="771">
        <v>599713</v>
      </c>
      <c r="G15" s="636">
        <f t="shared" si="1"/>
        <v>103</v>
      </c>
      <c r="H15" s="636">
        <f t="shared" si="4"/>
        <v>299.38754999999998</v>
      </c>
      <c r="I15" s="636">
        <f>C15*J1</f>
        <v>5746.26</v>
      </c>
      <c r="J15" s="636">
        <f>G15*J1</f>
        <v>401.7</v>
      </c>
      <c r="K15" s="692">
        <f t="shared" si="3"/>
        <v>1811.5</v>
      </c>
    </row>
    <row r="16" spans="1:13" s="3" customFormat="1" ht="41.25" customHeight="1">
      <c r="A16" s="662">
        <v>10</v>
      </c>
      <c r="B16" s="764">
        <v>8288694</v>
      </c>
      <c r="C16" s="636">
        <f t="shared" si="5"/>
        <v>1473.4</v>
      </c>
      <c r="D16" s="771">
        <v>452519</v>
      </c>
      <c r="E16" s="636">
        <f t="shared" si="2"/>
        <v>338.09999999999997</v>
      </c>
      <c r="F16" s="771">
        <v>599816</v>
      </c>
      <c r="G16" s="636">
        <f t="shared" si="1"/>
        <v>103</v>
      </c>
      <c r="H16" s="636">
        <f t="shared" si="4"/>
        <v>299.38754999999998</v>
      </c>
      <c r="I16" s="636">
        <f>C16*J1</f>
        <v>5746.26</v>
      </c>
      <c r="J16" s="636">
        <f>G16*J1</f>
        <v>401.7</v>
      </c>
      <c r="K16" s="692">
        <f t="shared" si="3"/>
        <v>1811.5</v>
      </c>
    </row>
    <row r="17" spans="1:11" s="3" customFormat="1" ht="41.25" customHeight="1">
      <c r="A17" s="662">
        <v>11</v>
      </c>
      <c r="B17" s="764">
        <v>8290084</v>
      </c>
      <c r="C17" s="636">
        <f t="shared" si="5"/>
        <v>1473.4</v>
      </c>
      <c r="D17" s="771">
        <v>453002</v>
      </c>
      <c r="E17" s="636">
        <f t="shared" si="2"/>
        <v>338.09999999999997</v>
      </c>
      <c r="F17" s="771">
        <v>599919</v>
      </c>
      <c r="G17" s="636">
        <f t="shared" si="1"/>
        <v>103</v>
      </c>
      <c r="H17" s="636">
        <f t="shared" si="4"/>
        <v>299.38754999999998</v>
      </c>
      <c r="I17" s="636">
        <f>C17*J1</f>
        <v>5746.26</v>
      </c>
      <c r="J17" s="636">
        <f>G17*J1</f>
        <v>401.7</v>
      </c>
      <c r="K17" s="692">
        <f t="shared" si="3"/>
        <v>1811.5</v>
      </c>
    </row>
    <row r="18" spans="1:11" s="3" customFormat="1" ht="41.25" customHeight="1">
      <c r="A18" s="662">
        <v>12</v>
      </c>
      <c r="B18" s="764">
        <v>8291474</v>
      </c>
      <c r="C18" s="636">
        <f t="shared" si="5"/>
        <v>1473.4</v>
      </c>
      <c r="D18" s="771">
        <v>453485</v>
      </c>
      <c r="E18" s="636">
        <f t="shared" si="2"/>
        <v>338.09999999999997</v>
      </c>
      <c r="F18" s="771">
        <v>600022</v>
      </c>
      <c r="G18" s="636">
        <f t="shared" ref="G18:G20" si="6">IF(F18&gt;=F17,F18-F17,0)</f>
        <v>103</v>
      </c>
      <c r="H18" s="636">
        <f t="shared" si="4"/>
        <v>299.38754999999998</v>
      </c>
      <c r="I18" s="636">
        <f>C18*J1</f>
        <v>5746.26</v>
      </c>
      <c r="J18" s="636">
        <f>G18*J1</f>
        <v>401.7</v>
      </c>
      <c r="K18" s="692">
        <f t="shared" si="3"/>
        <v>1811.5</v>
      </c>
    </row>
    <row r="19" spans="1:11" s="3" customFormat="1" ht="41.25" customHeight="1">
      <c r="A19" s="662">
        <v>13</v>
      </c>
      <c r="B19" s="764">
        <v>8292864</v>
      </c>
      <c r="C19" s="636">
        <f>IF(B19&gt;=B18,B19-B18,0)*1.06</f>
        <v>1473.4</v>
      </c>
      <c r="D19" s="771">
        <v>453968</v>
      </c>
      <c r="E19" s="636">
        <f>IF(D19&gt;=D18,D19-D18,0)*0.7</f>
        <v>338.09999999999997</v>
      </c>
      <c r="F19" s="771">
        <v>600125</v>
      </c>
      <c r="G19" s="636">
        <f t="shared" si="6"/>
        <v>103</v>
      </c>
      <c r="H19" s="636">
        <f t="shared" si="4"/>
        <v>299.38754999999998</v>
      </c>
      <c r="I19" s="636">
        <f>C19*J1</f>
        <v>5746.26</v>
      </c>
      <c r="J19" s="636">
        <f>G19*J1</f>
        <v>401.7</v>
      </c>
      <c r="K19" s="692">
        <f t="shared" si="3"/>
        <v>1811.5</v>
      </c>
    </row>
    <row r="20" spans="1:11" s="3" customFormat="1" ht="41.25" customHeight="1">
      <c r="A20" s="662">
        <v>14</v>
      </c>
      <c r="B20" s="764">
        <v>8294254</v>
      </c>
      <c r="C20" s="636">
        <f>IF(B20&gt;=B19,B20-B19,0)*1.06</f>
        <v>1473.4</v>
      </c>
      <c r="D20" s="771">
        <v>454581</v>
      </c>
      <c r="E20" s="636">
        <f>IF(D20&gt;=D19,D20-D19,0)*0.7</f>
        <v>429.09999999999997</v>
      </c>
      <c r="F20" s="771">
        <v>600228</v>
      </c>
      <c r="G20" s="636">
        <f t="shared" si="6"/>
        <v>103</v>
      </c>
      <c r="H20" s="636">
        <f t="shared" si="4"/>
        <v>379.96805000000001</v>
      </c>
      <c r="I20" s="636">
        <f>C20*J1</f>
        <v>5746.26</v>
      </c>
      <c r="J20" s="636">
        <f>G20*J1</f>
        <v>401.7</v>
      </c>
      <c r="K20" s="692">
        <f t="shared" si="3"/>
        <v>1902.5</v>
      </c>
    </row>
    <row r="21" spans="1:11" s="3" customFormat="1" ht="41.25" customHeight="1">
      <c r="A21" s="662">
        <v>15</v>
      </c>
      <c r="B21" s="764">
        <v>8295644</v>
      </c>
      <c r="C21" s="636">
        <f>IF(B21&gt;=B20,B21-B20,0)*1.06</f>
        <v>1473.4</v>
      </c>
      <c r="D21" s="771">
        <v>455194</v>
      </c>
      <c r="E21" s="636">
        <f>IF(D21&gt;=D20,D21-D20,0)*0.7</f>
        <v>429.09999999999997</v>
      </c>
      <c r="F21" s="771">
        <v>600331</v>
      </c>
      <c r="G21" s="636">
        <f t="shared" ref="G21:G37" si="7">IF(F21&gt;=F20,F21-F20,0)</f>
        <v>103</v>
      </c>
      <c r="H21" s="636">
        <f t="shared" si="4"/>
        <v>379.96805000000001</v>
      </c>
      <c r="I21" s="636">
        <f>C21*J1</f>
        <v>5746.26</v>
      </c>
      <c r="J21" s="636">
        <f>G21*J1</f>
        <v>401.7</v>
      </c>
      <c r="K21" s="692">
        <f t="shared" si="3"/>
        <v>1902.5</v>
      </c>
    </row>
    <row r="22" spans="1:11" s="3" customFormat="1" ht="41.25" customHeight="1">
      <c r="A22" s="662">
        <v>16</v>
      </c>
      <c r="B22" s="764">
        <v>8297034</v>
      </c>
      <c r="C22" s="636">
        <f t="shared" si="5"/>
        <v>1473.4</v>
      </c>
      <c r="D22" s="771">
        <v>455541</v>
      </c>
      <c r="E22" s="636">
        <f t="shared" si="2"/>
        <v>242.89999999999998</v>
      </c>
      <c r="F22" s="771">
        <v>600434</v>
      </c>
      <c r="G22" s="636">
        <f t="shared" si="7"/>
        <v>103</v>
      </c>
      <c r="H22" s="636">
        <f t="shared" si="4"/>
        <v>215.08795000000001</v>
      </c>
      <c r="I22" s="636">
        <f>C22*J1</f>
        <v>5746.26</v>
      </c>
      <c r="J22" s="636">
        <f>G22*J1</f>
        <v>401.7</v>
      </c>
      <c r="K22" s="692">
        <f t="shared" si="3"/>
        <v>1716.3000000000002</v>
      </c>
    </row>
    <row r="23" spans="1:11" s="3" customFormat="1" ht="41.25" customHeight="1">
      <c r="A23" s="662">
        <v>17</v>
      </c>
      <c r="B23" s="764">
        <v>8298424</v>
      </c>
      <c r="C23" s="636">
        <f t="shared" si="5"/>
        <v>1473.4</v>
      </c>
      <c r="D23" s="771">
        <v>456058</v>
      </c>
      <c r="E23" s="636">
        <f t="shared" si="2"/>
        <v>361.9</v>
      </c>
      <c r="F23" s="771">
        <v>600537</v>
      </c>
      <c r="G23" s="636">
        <f t="shared" si="7"/>
        <v>103</v>
      </c>
      <c r="H23" s="636">
        <f t="shared" si="4"/>
        <v>320.46245000000005</v>
      </c>
      <c r="I23" s="636">
        <f>C23*J1</f>
        <v>5746.26</v>
      </c>
      <c r="J23" s="636">
        <f>G23*J1</f>
        <v>401.7</v>
      </c>
      <c r="K23" s="692">
        <f t="shared" si="3"/>
        <v>1835.3000000000002</v>
      </c>
    </row>
    <row r="24" spans="1:11" s="3" customFormat="1" ht="41.25" customHeight="1">
      <c r="A24" s="662">
        <v>18</v>
      </c>
      <c r="B24" s="764">
        <v>8299814</v>
      </c>
      <c r="C24" s="636">
        <f t="shared" si="5"/>
        <v>1473.4</v>
      </c>
      <c r="D24" s="771">
        <v>456607</v>
      </c>
      <c r="E24" s="636">
        <f t="shared" si="2"/>
        <v>384.29999999999995</v>
      </c>
      <c r="F24" s="771">
        <v>600640</v>
      </c>
      <c r="G24" s="636">
        <f t="shared" si="7"/>
        <v>103</v>
      </c>
      <c r="H24" s="636">
        <f t="shared" si="4"/>
        <v>340.29764999999998</v>
      </c>
      <c r="I24" s="636">
        <f>C24*J1</f>
        <v>5746.26</v>
      </c>
      <c r="J24" s="636">
        <f>G24*J1</f>
        <v>401.7</v>
      </c>
      <c r="K24" s="692">
        <f t="shared" si="3"/>
        <v>1857.7</v>
      </c>
    </row>
    <row r="25" spans="1:11" s="3" customFormat="1" ht="41.25" customHeight="1">
      <c r="A25" s="662">
        <v>19</v>
      </c>
      <c r="B25" s="764">
        <v>8301204</v>
      </c>
      <c r="C25" s="636">
        <f t="shared" si="5"/>
        <v>1473.4</v>
      </c>
      <c r="D25" s="771">
        <v>457196</v>
      </c>
      <c r="E25" s="636">
        <f t="shared" si="2"/>
        <v>412.29999999999995</v>
      </c>
      <c r="F25" s="771">
        <v>600689</v>
      </c>
      <c r="G25" s="636">
        <f t="shared" si="7"/>
        <v>49</v>
      </c>
      <c r="H25" s="636">
        <f t="shared" si="4"/>
        <v>365.09165000000002</v>
      </c>
      <c r="I25" s="636">
        <f>C25*J1</f>
        <v>5746.26</v>
      </c>
      <c r="J25" s="636">
        <f>G25*J1</f>
        <v>191.1</v>
      </c>
      <c r="K25" s="692">
        <f t="shared" si="3"/>
        <v>1885.7</v>
      </c>
    </row>
    <row r="26" spans="1:11" s="3" customFormat="1" ht="41.25" customHeight="1">
      <c r="A26" s="662">
        <v>20</v>
      </c>
      <c r="B26" s="764">
        <v>8302594</v>
      </c>
      <c r="C26" s="636">
        <f t="shared" si="5"/>
        <v>1473.4</v>
      </c>
      <c r="D26" s="771">
        <v>457582</v>
      </c>
      <c r="E26" s="636">
        <f t="shared" si="2"/>
        <v>270.2</v>
      </c>
      <c r="F26" s="771">
        <v>600756</v>
      </c>
      <c r="G26" s="636">
        <f t="shared" si="7"/>
        <v>67</v>
      </c>
      <c r="H26" s="636">
        <f t="shared" si="4"/>
        <v>239.26210000000003</v>
      </c>
      <c r="I26" s="636">
        <f>C26*J1</f>
        <v>5746.26</v>
      </c>
      <c r="J26" s="636">
        <f>G26*J1</f>
        <v>261.3</v>
      </c>
      <c r="K26" s="692">
        <f t="shared" si="3"/>
        <v>1743.6000000000001</v>
      </c>
    </row>
    <row r="27" spans="1:11" s="3" customFormat="1" ht="41.25" customHeight="1">
      <c r="A27" s="662">
        <v>21</v>
      </c>
      <c r="B27" s="764">
        <v>8303984</v>
      </c>
      <c r="C27" s="636">
        <f t="shared" si="5"/>
        <v>1473.4</v>
      </c>
      <c r="D27" s="771">
        <v>457968</v>
      </c>
      <c r="E27" s="636">
        <f t="shared" si="2"/>
        <v>270.2</v>
      </c>
      <c r="F27" s="771">
        <v>600823</v>
      </c>
      <c r="G27" s="636">
        <f t="shared" si="7"/>
        <v>67</v>
      </c>
      <c r="H27" s="636">
        <f t="shared" si="4"/>
        <v>239.26210000000003</v>
      </c>
      <c r="I27" s="636">
        <f>C27*J1</f>
        <v>5746.26</v>
      </c>
      <c r="J27" s="636">
        <f>G27*J1</f>
        <v>261.3</v>
      </c>
      <c r="K27" s="692">
        <f t="shared" si="3"/>
        <v>1743.6000000000001</v>
      </c>
    </row>
    <row r="28" spans="1:11" s="3" customFormat="1" ht="41.25" customHeight="1">
      <c r="A28" s="662">
        <v>22</v>
      </c>
      <c r="B28" s="764">
        <v>8305374</v>
      </c>
      <c r="C28" s="636">
        <f t="shared" ref="C28:C37" si="8">IF(B28&gt;=B27,B28-B27,0)*1.06</f>
        <v>1473.4</v>
      </c>
      <c r="D28" s="771">
        <v>458354</v>
      </c>
      <c r="E28" s="636">
        <f t="shared" si="2"/>
        <v>270.2</v>
      </c>
      <c r="F28" s="771">
        <v>600890</v>
      </c>
      <c r="G28" s="636">
        <f t="shared" si="7"/>
        <v>67</v>
      </c>
      <c r="H28" s="636">
        <f>(E28*0.55)*1.61</f>
        <v>239.26210000000003</v>
      </c>
      <c r="I28" s="636">
        <f>C28*J1</f>
        <v>5746.26</v>
      </c>
      <c r="J28" s="636">
        <f>G28*J1</f>
        <v>261.3</v>
      </c>
      <c r="K28" s="692">
        <f t="shared" si="3"/>
        <v>1743.6000000000001</v>
      </c>
    </row>
    <row r="29" spans="1:11" s="3" customFormat="1" ht="41.25" customHeight="1">
      <c r="A29" s="662">
        <v>23</v>
      </c>
      <c r="B29" s="764">
        <v>8306764</v>
      </c>
      <c r="C29" s="636">
        <f t="shared" si="8"/>
        <v>1473.4</v>
      </c>
      <c r="D29" s="771">
        <v>458740</v>
      </c>
      <c r="E29" s="636">
        <f t="shared" si="2"/>
        <v>270.2</v>
      </c>
      <c r="F29" s="771">
        <v>600957</v>
      </c>
      <c r="G29" s="636">
        <f t="shared" si="7"/>
        <v>67</v>
      </c>
      <c r="H29" s="636">
        <f>(E29*0.55)*1.61</f>
        <v>239.26210000000003</v>
      </c>
      <c r="I29" s="636">
        <f>C29*J1</f>
        <v>5746.26</v>
      </c>
      <c r="J29" s="636">
        <f>G29*J1</f>
        <v>261.3</v>
      </c>
      <c r="K29" s="692">
        <f t="shared" si="3"/>
        <v>1743.6000000000001</v>
      </c>
    </row>
    <row r="30" spans="1:11" s="3" customFormat="1" ht="41.25" customHeight="1">
      <c r="A30" s="662">
        <v>24</v>
      </c>
      <c r="B30" s="764">
        <v>8308154</v>
      </c>
      <c r="C30" s="636">
        <f t="shared" si="8"/>
        <v>1473.4</v>
      </c>
      <c r="D30" s="771">
        <v>459126</v>
      </c>
      <c r="E30" s="636">
        <f t="shared" si="2"/>
        <v>270.2</v>
      </c>
      <c r="F30" s="771">
        <v>601024</v>
      </c>
      <c r="G30" s="636">
        <f t="shared" si="7"/>
        <v>67</v>
      </c>
      <c r="H30" s="636">
        <f>(E30*0.55)*1.61</f>
        <v>239.26210000000003</v>
      </c>
      <c r="I30" s="636">
        <f>C30*J1</f>
        <v>5746.26</v>
      </c>
      <c r="J30" s="636">
        <f>G30*J1</f>
        <v>261.3</v>
      </c>
      <c r="K30" s="692">
        <f t="shared" si="3"/>
        <v>1743.6000000000001</v>
      </c>
    </row>
    <row r="31" spans="1:11" s="3" customFormat="1" ht="41.25" customHeight="1">
      <c r="A31" s="662">
        <v>25</v>
      </c>
      <c r="B31" s="764">
        <v>8309544</v>
      </c>
      <c r="C31" s="636">
        <f t="shared" si="8"/>
        <v>1473.4</v>
      </c>
      <c r="D31" s="771">
        <v>460005</v>
      </c>
      <c r="E31" s="636">
        <f t="shared" si="2"/>
        <v>615.29999999999995</v>
      </c>
      <c r="F31" s="771">
        <v>601222</v>
      </c>
      <c r="G31" s="636">
        <f t="shared" si="7"/>
        <v>198</v>
      </c>
      <c r="H31" s="636">
        <f t="shared" si="4"/>
        <v>544.84815000000003</v>
      </c>
      <c r="I31" s="636">
        <f>C31*J3</f>
        <v>0</v>
      </c>
      <c r="J31" s="636">
        <f>G31*J1</f>
        <v>772.19999999999993</v>
      </c>
      <c r="K31" s="692">
        <f t="shared" si="3"/>
        <v>2088.6999999999998</v>
      </c>
    </row>
    <row r="32" spans="1:11" s="3" customFormat="1" ht="41.25" customHeight="1">
      <c r="A32" s="662">
        <v>26</v>
      </c>
      <c r="B32" s="764">
        <v>8310934</v>
      </c>
      <c r="C32" s="636">
        <f t="shared" si="8"/>
        <v>1473.4</v>
      </c>
      <c r="D32" s="771">
        <v>460386</v>
      </c>
      <c r="E32" s="636">
        <f t="shared" si="2"/>
        <v>266.7</v>
      </c>
      <c r="F32" s="771">
        <v>601264</v>
      </c>
      <c r="G32" s="636">
        <f t="shared" si="7"/>
        <v>42</v>
      </c>
      <c r="H32" s="636">
        <f t="shared" si="4"/>
        <v>236.16285000000002</v>
      </c>
      <c r="I32" s="636">
        <f>C32*J1</f>
        <v>5746.26</v>
      </c>
      <c r="J32" s="636">
        <f>G32*J1</f>
        <v>163.79999999999998</v>
      </c>
      <c r="K32" s="692">
        <f t="shared" si="3"/>
        <v>1740.1000000000001</v>
      </c>
    </row>
    <row r="33" spans="1:13" s="205" customFormat="1" ht="41.25" customHeight="1">
      <c r="A33" s="663">
        <v>27</v>
      </c>
      <c r="B33" s="764">
        <v>8312324</v>
      </c>
      <c r="C33" s="636">
        <f t="shared" si="8"/>
        <v>1473.4</v>
      </c>
      <c r="D33" s="771">
        <v>460877</v>
      </c>
      <c r="E33" s="636">
        <f t="shared" si="2"/>
        <v>343.7</v>
      </c>
      <c r="F33" s="771">
        <v>601351</v>
      </c>
      <c r="G33" s="636">
        <f t="shared" si="7"/>
        <v>87</v>
      </c>
      <c r="H33" s="636">
        <f t="shared" si="4"/>
        <v>304.34635000000003</v>
      </c>
      <c r="I33" s="636">
        <f>C33*J1</f>
        <v>5746.26</v>
      </c>
      <c r="J33" s="636">
        <f>G33*J1</f>
        <v>339.3</v>
      </c>
      <c r="K33" s="692">
        <f t="shared" si="3"/>
        <v>1817.1000000000001</v>
      </c>
    </row>
    <row r="34" spans="1:13" s="205" customFormat="1" ht="41.25" customHeight="1">
      <c r="A34" s="663">
        <v>28</v>
      </c>
      <c r="B34" s="764">
        <v>8313714</v>
      </c>
      <c r="C34" s="636">
        <f t="shared" si="8"/>
        <v>1473.4</v>
      </c>
      <c r="D34" s="771">
        <v>461707</v>
      </c>
      <c r="E34" s="636">
        <f t="shared" si="2"/>
        <v>581</v>
      </c>
      <c r="F34" s="771">
        <v>601511</v>
      </c>
      <c r="G34" s="636">
        <f t="shared" si="7"/>
        <v>160</v>
      </c>
      <c r="H34" s="636">
        <f t="shared" si="4"/>
        <v>514.47550000000001</v>
      </c>
      <c r="I34" s="636">
        <f>C34*J1</f>
        <v>5746.26</v>
      </c>
      <c r="J34" s="636">
        <f>G34*J1</f>
        <v>624</v>
      </c>
      <c r="K34" s="692">
        <f t="shared" si="3"/>
        <v>2054.4</v>
      </c>
    </row>
    <row r="35" spans="1:13" s="205" customFormat="1" ht="41.25" customHeight="1">
      <c r="A35" s="662">
        <v>29</v>
      </c>
      <c r="B35" s="764">
        <v>8315104</v>
      </c>
      <c r="C35" s="636">
        <f t="shared" si="8"/>
        <v>1473.4</v>
      </c>
      <c r="D35" s="771">
        <v>462034</v>
      </c>
      <c r="E35" s="636">
        <f t="shared" si="2"/>
        <v>228.89999999999998</v>
      </c>
      <c r="F35" s="771">
        <v>601612</v>
      </c>
      <c r="G35" s="636">
        <f t="shared" si="7"/>
        <v>101</v>
      </c>
      <c r="H35" s="636">
        <f t="shared" si="4"/>
        <v>202.69095000000002</v>
      </c>
      <c r="I35" s="636">
        <f>C35*J1</f>
        <v>5746.26</v>
      </c>
      <c r="J35" s="636">
        <f>G35*J1</f>
        <v>393.9</v>
      </c>
      <c r="K35" s="692">
        <f t="shared" si="3"/>
        <v>1702.3000000000002</v>
      </c>
    </row>
    <row r="36" spans="1:13" s="205" customFormat="1" ht="41.25" customHeight="1">
      <c r="A36" s="663">
        <v>30</v>
      </c>
      <c r="B36" s="764">
        <v>8316494</v>
      </c>
      <c r="C36" s="636">
        <f t="shared" si="8"/>
        <v>1473.4</v>
      </c>
      <c r="D36" s="771">
        <v>462865</v>
      </c>
      <c r="E36" s="636">
        <f t="shared" si="2"/>
        <v>581.69999999999993</v>
      </c>
      <c r="F36" s="771">
        <v>601703</v>
      </c>
      <c r="G36" s="636">
        <f t="shared" si="7"/>
        <v>91</v>
      </c>
      <c r="H36" s="636">
        <f t="shared" si="4"/>
        <v>515.09535000000005</v>
      </c>
      <c r="I36" s="636">
        <f>C36*J1</f>
        <v>5746.26</v>
      </c>
      <c r="J36" s="636">
        <f>G36*J1</f>
        <v>354.9</v>
      </c>
      <c r="K36" s="692">
        <f t="shared" si="3"/>
        <v>2055.1</v>
      </c>
    </row>
    <row r="37" spans="1:13" s="205" customFormat="1" ht="41.25" customHeight="1" thickBot="1">
      <c r="A37" s="663">
        <v>31</v>
      </c>
      <c r="B37" s="764">
        <v>8317884</v>
      </c>
      <c r="C37" s="636">
        <f t="shared" si="8"/>
        <v>1473.4</v>
      </c>
      <c r="D37" s="771">
        <v>463432</v>
      </c>
      <c r="E37" s="636">
        <f t="shared" si="2"/>
        <v>396.9</v>
      </c>
      <c r="F37" s="771">
        <v>601784</v>
      </c>
      <c r="G37" s="636">
        <f t="shared" si="7"/>
        <v>81</v>
      </c>
      <c r="H37" s="636">
        <f t="shared" si="4"/>
        <v>351.45495000000005</v>
      </c>
      <c r="I37" s="636">
        <f>C37*J1</f>
        <v>5746.26</v>
      </c>
      <c r="J37" s="636">
        <f>G37*J1</f>
        <v>315.89999999999998</v>
      </c>
      <c r="K37" s="692">
        <f t="shared" si="3"/>
        <v>1870.3000000000002</v>
      </c>
    </row>
    <row r="38" spans="1:13" s="205" customFormat="1" ht="41.25" customHeight="1">
      <c r="A38" s="664" t="s">
        <v>121</v>
      </c>
      <c r="B38" s="687"/>
      <c r="C38" s="688">
        <f>SUM(C7:C37)</f>
        <v>45675.400000000023</v>
      </c>
      <c r="D38" s="687"/>
      <c r="E38" s="688">
        <f>SUM(E7:E37)</f>
        <v>11995.200000000004</v>
      </c>
      <c r="F38" s="687"/>
      <c r="G38" s="688">
        <f>SUM(G7:G37)</f>
        <v>3163</v>
      </c>
      <c r="H38" s="689">
        <f>SUM(H6:H37)</f>
        <v>10621.749600000003</v>
      </c>
      <c r="I38" s="689">
        <f>SUM(I6:I37)</f>
        <v>172387.80000000002</v>
      </c>
      <c r="J38" s="689">
        <f>SUM(J6:J37)</f>
        <v>12335.699999999993</v>
      </c>
      <c r="K38" s="735">
        <f>SUM(K6:K37)</f>
        <v>57670.599999999991</v>
      </c>
    </row>
    <row r="39" spans="1:13" s="205" customFormat="1" ht="41.25" customHeight="1" thickBot="1">
      <c r="A39" s="665" t="s">
        <v>391</v>
      </c>
      <c r="B39" s="690"/>
      <c r="C39" s="691">
        <f>C38/A42</f>
        <v>1522.513333333334</v>
      </c>
      <c r="D39" s="690"/>
      <c r="E39" s="691">
        <f>E38/A42</f>
        <v>399.84000000000015</v>
      </c>
      <c r="F39" s="690"/>
      <c r="G39" s="691">
        <f>G38/A42</f>
        <v>105.43333333333334</v>
      </c>
      <c r="H39" s="691">
        <f>H38/A42</f>
        <v>354.05832000000009</v>
      </c>
      <c r="I39" s="691">
        <f>I38/A42</f>
        <v>5746.26</v>
      </c>
      <c r="J39" s="691">
        <f>J38/A42</f>
        <v>411.18999999999977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D52" sqref="D52:F5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392</v>
      </c>
      <c r="F6" s="669"/>
      <c r="G6" s="668"/>
      <c r="H6" s="670" t="str">
        <f>Elect!A1</f>
        <v>January</v>
      </c>
      <c r="I6" s="668"/>
      <c r="J6" s="668"/>
      <c r="K6" s="668"/>
    </row>
    <row r="9" spans="2:13" ht="13.5" customHeight="1">
      <c r="B9" s="929" t="s">
        <v>393</v>
      </c>
      <c r="C9" s="930"/>
      <c r="D9" s="930"/>
      <c r="E9" s="930"/>
      <c r="F9" s="930"/>
      <c r="G9" s="930"/>
      <c r="H9" s="930"/>
      <c r="I9" s="930"/>
      <c r="J9" s="930"/>
      <c r="K9" s="930"/>
      <c r="L9" s="930"/>
      <c r="M9" s="930"/>
    </row>
    <row r="10" spans="2:13" ht="13.5" customHeight="1" thickBot="1">
      <c r="B10" s="931"/>
      <c r="C10" s="932"/>
      <c r="D10" s="932"/>
      <c r="E10" s="932"/>
      <c r="F10" s="932"/>
      <c r="G10" s="932"/>
      <c r="H10" s="932"/>
      <c r="I10" s="932"/>
      <c r="J10" s="932"/>
      <c r="K10" s="932"/>
      <c r="L10" s="932"/>
      <c r="M10" s="932"/>
    </row>
    <row r="11" spans="2:13" ht="16.5" thickBot="1">
      <c r="B11" s="942" t="s">
        <v>394</v>
      </c>
      <c r="C11" s="942"/>
      <c r="D11" s="942" t="s">
        <v>395</v>
      </c>
      <c r="E11" s="942"/>
      <c r="F11" s="942" t="s">
        <v>396</v>
      </c>
      <c r="G11" s="942"/>
      <c r="H11" s="940" t="s">
        <v>397</v>
      </c>
      <c r="I11" s="941"/>
      <c r="J11" s="940" t="s">
        <v>398</v>
      </c>
      <c r="K11" s="941"/>
      <c r="L11" s="940" t="s">
        <v>399</v>
      </c>
      <c r="M11" s="941"/>
    </row>
    <row r="12" spans="2:13" ht="16.5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5" thickBot="1">
      <c r="B13" s="672">
        <f>Elect!AN37</f>
        <v>119676.65000000001</v>
      </c>
      <c r="C13" s="759">
        <f>(B13*1.15)+(2879*60*0.72)</f>
        <v>262000.94749999998</v>
      </c>
      <c r="D13" s="672">
        <f>Elect!J37</f>
        <v>219498</v>
      </c>
      <c r="E13" s="759">
        <f>(D13*1.15)+(573*60)+10000</f>
        <v>296802.69999999995</v>
      </c>
      <c r="F13" s="672">
        <f>Elect!BI37</f>
        <v>324422.21250000002</v>
      </c>
      <c r="G13" s="759">
        <f>(F13*1.15)</f>
        <v>373085.544375</v>
      </c>
      <c r="H13" s="672">
        <f>Elect!Q37</f>
        <v>16290</v>
      </c>
      <c r="I13" s="759">
        <f>H13*1.6+1500</f>
        <v>27564</v>
      </c>
      <c r="J13" s="800">
        <f>B13+D13+F13+H13</f>
        <v>679886.86250000005</v>
      </c>
      <c r="K13" s="760">
        <f>G13+E13+C13+I13</f>
        <v>959453.19187500002</v>
      </c>
      <c r="L13" s="800">
        <f>B13+F13</f>
        <v>444098.86250000005</v>
      </c>
      <c r="M13" s="761">
        <f>C13+G13</f>
        <v>635086.49187499995</v>
      </c>
    </row>
    <row r="16" spans="2:13" ht="0.75" customHeight="1" thickBot="1">
      <c r="K16">
        <f>K18</f>
        <v>1287533.1318750002</v>
      </c>
    </row>
    <row r="17" spans="4:11" ht="13.5" customHeight="1">
      <c r="E17" s="933" t="s">
        <v>402</v>
      </c>
      <c r="F17" s="934"/>
      <c r="J17" s="757" t="s">
        <v>403</v>
      </c>
      <c r="K17" s="758">
        <f>K13/J13</f>
        <v>1.4111953691045176</v>
      </c>
    </row>
    <row r="18" spans="4:11" ht="34.5" customHeight="1" thickBot="1">
      <c r="E18" s="935"/>
      <c r="F18" s="936"/>
      <c r="J18" s="757" t="s">
        <v>404</v>
      </c>
      <c r="K18" s="762">
        <f>K13+F20+F27+G35</f>
        <v>1287533.1318750002</v>
      </c>
    </row>
    <row r="19" spans="4:11" ht="13.5" thickBot="1">
      <c r="E19" s="674" t="s">
        <v>405</v>
      </c>
      <c r="F19" s="674" t="s">
        <v>401</v>
      </c>
    </row>
    <row r="20" spans="4:11" ht="13.5" thickBot="1">
      <c r="E20" s="937">
        <f>Water!H38</f>
        <v>10316.460000000001</v>
      </c>
      <c r="F20" s="939">
        <f>E20*10</f>
        <v>103164.6</v>
      </c>
    </row>
    <row r="21" spans="4:11" ht="13.5" thickBot="1">
      <c r="E21" s="938"/>
      <c r="F21" s="939"/>
    </row>
    <row r="23" spans="4:11" ht="13.5" thickBot="1"/>
    <row r="24" spans="4:11" ht="13.5" thickBot="1">
      <c r="E24" s="943" t="s">
        <v>406</v>
      </c>
      <c r="F24" s="943"/>
    </row>
    <row r="25" spans="4:11" ht="11.25" customHeight="1" thickBot="1">
      <c r="E25" s="943"/>
      <c r="F25" s="943"/>
      <c r="H25" s="83"/>
    </row>
    <row r="26" spans="4:11" ht="13.5" thickBot="1">
      <c r="E26" s="674" t="s">
        <v>405</v>
      </c>
      <c r="F26" s="674" t="s">
        <v>401</v>
      </c>
    </row>
    <row r="27" spans="4:11" ht="13.5" thickBot="1">
      <c r="E27" s="938">
        <f>Gas!C38</f>
        <v>45675.400000000023</v>
      </c>
      <c r="F27" s="939">
        <f>E27*3.9</f>
        <v>178134.06000000008</v>
      </c>
    </row>
    <row r="28" spans="4:11" ht="13.5" thickBot="1">
      <c r="E28" s="938"/>
      <c r="F28" s="939"/>
    </row>
    <row r="30" spans="4:11" ht="13.5" thickBot="1"/>
    <row r="31" spans="4:11" ht="20.25">
      <c r="D31" s="944" t="s">
        <v>407</v>
      </c>
      <c r="E31" s="945"/>
      <c r="F31" s="945"/>
      <c r="G31" s="946"/>
      <c r="H31" s="676"/>
      <c r="I31" s="676"/>
    </row>
    <row r="32" spans="4:11" ht="21" thickBot="1">
      <c r="D32" s="929"/>
      <c r="E32" s="930"/>
      <c r="F32" s="930"/>
      <c r="G32" s="947"/>
      <c r="H32" s="676"/>
      <c r="I32" s="676"/>
    </row>
    <row r="33" spans="3:9" ht="13.5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5" thickBot="1">
      <c r="C34" s="740"/>
      <c r="D34" s="682">
        <f>Gas!D6</f>
        <v>446296</v>
      </c>
      <c r="E34" s="682">
        <f>Gas!D36</f>
        <v>462865</v>
      </c>
      <c r="F34" s="715">
        <f>Gas!E38</f>
        <v>11995.200000000004</v>
      </c>
      <c r="G34" s="799">
        <f>F34*3.9</f>
        <v>46781.280000000013</v>
      </c>
      <c r="H34" s="680"/>
      <c r="I34" s="680"/>
    </row>
    <row r="35" spans="3:9" ht="18.75" thickBot="1">
      <c r="D35" s="951" t="s">
        <v>411</v>
      </c>
      <c r="E35" s="951"/>
      <c r="F35" s="951"/>
      <c r="G35" s="799">
        <f>G34</f>
        <v>46781.280000000013</v>
      </c>
      <c r="H35" s="33"/>
      <c r="I35" s="33"/>
    </row>
    <row r="37" spans="3:9" ht="13.5" thickBot="1"/>
    <row r="38" spans="3:9" ht="20.25">
      <c r="D38" s="944" t="s">
        <v>412</v>
      </c>
      <c r="E38" s="945"/>
      <c r="F38" s="945"/>
      <c r="G38" s="946"/>
      <c r="H38" s="676"/>
      <c r="I38" s="676"/>
    </row>
    <row r="39" spans="3:9" ht="21" thickBot="1">
      <c r="D39" s="929"/>
      <c r="E39" s="930"/>
      <c r="F39" s="930"/>
      <c r="G39" s="947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5" thickBot="1">
      <c r="C41" s="679" t="s">
        <v>86</v>
      </c>
      <c r="D41" s="683">
        <f>Elect!R5</f>
        <v>177935</v>
      </c>
      <c r="E41" s="763">
        <f>Elect!R36</f>
        <v>182286</v>
      </c>
      <c r="F41" s="684">
        <f>E41-D41</f>
        <v>4351</v>
      </c>
      <c r="G41" s="765">
        <f>F41*1.15</f>
        <v>5003.6499999999996</v>
      </c>
      <c r="H41" s="685"/>
      <c r="I41" s="685"/>
    </row>
    <row r="42" spans="3:9" ht="13.5" thickBot="1">
      <c r="C42" s="679" t="s">
        <v>87</v>
      </c>
      <c r="D42" s="683">
        <f>Elect!T5</f>
        <v>325086</v>
      </c>
      <c r="E42" s="683">
        <f>Elect!T36</f>
        <v>333231.5</v>
      </c>
      <c r="F42" s="684">
        <f>E42-D42</f>
        <v>8145.5</v>
      </c>
      <c r="G42" s="765">
        <f>F42*1.15</f>
        <v>9367.3249999999989</v>
      </c>
      <c r="H42" s="685"/>
      <c r="I42" s="685"/>
    </row>
    <row r="43" spans="3:9" ht="18.75" thickBot="1">
      <c r="D43" s="948" t="s">
        <v>411</v>
      </c>
      <c r="E43" s="949"/>
      <c r="F43" s="950"/>
      <c r="G43" s="766">
        <f>G42+G41</f>
        <v>14370.974999999999</v>
      </c>
      <c r="H43" s="33"/>
      <c r="I43" s="33"/>
    </row>
    <row r="44" spans="3:9">
      <c r="F44" s="225"/>
    </row>
    <row r="48" spans="3:9" ht="13.5" thickBot="1"/>
    <row r="49" spans="3:7">
      <c r="D49" s="944" t="s">
        <v>413</v>
      </c>
      <c r="E49" s="945"/>
      <c r="F49" s="945"/>
      <c r="G49" s="946"/>
    </row>
    <row r="50" spans="3:7" ht="13.5" thickBot="1">
      <c r="D50" s="929"/>
      <c r="E50" s="930"/>
      <c r="F50" s="930"/>
      <c r="G50" s="947"/>
    </row>
    <row r="51" spans="3:7" ht="13.5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5" thickBot="1">
      <c r="C52" s="679" t="s">
        <v>414</v>
      </c>
      <c r="D52" s="682">
        <f>Water!I6</f>
        <v>245</v>
      </c>
      <c r="E52" s="683">
        <f>Water!I37</f>
        <v>247</v>
      </c>
      <c r="F52" s="800">
        <f>E52-D52</f>
        <v>2</v>
      </c>
      <c r="G52" s="675">
        <f>F52*10</f>
        <v>20</v>
      </c>
    </row>
    <row r="53" spans="3:7" ht="13.5" thickBot="1">
      <c r="C53" s="679" t="s">
        <v>415</v>
      </c>
      <c r="D53" s="683">
        <f>Water!K6</f>
        <v>3986</v>
      </c>
      <c r="E53" s="683">
        <f>Water!K37</f>
        <v>4080</v>
      </c>
      <c r="F53" s="684">
        <f>E53-D53</f>
        <v>94</v>
      </c>
      <c r="G53" s="673">
        <f>F53*10</f>
        <v>940</v>
      </c>
    </row>
    <row r="54" spans="3:7" ht="18.75" thickBot="1">
      <c r="D54" s="948" t="s">
        <v>411</v>
      </c>
      <c r="E54" s="949"/>
      <c r="F54" s="950"/>
      <c r="G54" s="681">
        <f>G52+G53</f>
        <v>960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1CA2B4C8-B5AC-4840-B5D8-A7F0B7590B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2023-03-09T21:21:24Z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