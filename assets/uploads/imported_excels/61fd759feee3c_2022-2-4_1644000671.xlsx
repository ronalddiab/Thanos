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724" documentId="8_{A61DAC58-60B6-4A85-A856-410E2D059BAD}" xr6:coauthVersionLast="47" xr6:coauthVersionMax="47" xr10:uidLastSave="{CB426C3A-CE29-4136-8D1C-2A3AE0235338}"/>
  <bookViews>
    <workbookView xWindow="44880" yWindow="-120" windowWidth="24240" windowHeight="13140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  <c r="J2" i="1"/>
  <c r="BB62" i="5"/>
  <c r="AZ62" i="5"/>
  <c r="AX62" i="5"/>
  <c r="AV62" i="5"/>
  <c r="BB61" i="5"/>
  <c r="AZ61" i="5"/>
  <c r="AX61" i="5"/>
  <c r="AV61" i="5"/>
  <c r="AL62" i="5"/>
  <c r="AJ62" i="5"/>
  <c r="AG62" i="5"/>
  <c r="AD62" i="5"/>
  <c r="AA62" i="5"/>
  <c r="X62" i="5"/>
  <c r="U62" i="5"/>
  <c r="R62" i="5"/>
  <c r="O62" i="5"/>
  <c r="L62" i="5"/>
  <c r="I62" i="5"/>
  <c r="F62" i="5"/>
  <c r="AL61" i="5"/>
  <c r="AJ61" i="5"/>
  <c r="AG61" i="5"/>
  <c r="AD61" i="5"/>
  <c r="AA61" i="5"/>
  <c r="X61" i="5"/>
  <c r="U61" i="5"/>
  <c r="R61" i="5"/>
  <c r="O61" i="5"/>
  <c r="L61" i="5"/>
  <c r="I61" i="5"/>
  <c r="F61" i="5"/>
  <c r="BF62" i="6"/>
  <c r="BD62" i="6"/>
  <c r="BB62" i="6"/>
  <c r="AY62" i="6"/>
  <c r="AW62" i="6"/>
  <c r="AZ62" i="6" s="1"/>
  <c r="AX60" i="3" s="1"/>
  <c r="AT62" i="6"/>
  <c r="BF61" i="6"/>
  <c r="BD61" i="6"/>
  <c r="BB61" i="6"/>
  <c r="AZ61" i="6"/>
  <c r="AX59" i="3" s="1"/>
  <c r="AY61" i="6"/>
  <c r="AW61" i="6"/>
  <c r="AT61" i="6"/>
  <c r="AP62" i="6"/>
  <c r="AN62" i="6"/>
  <c r="AL62" i="6"/>
  <c r="AJ62" i="6"/>
  <c r="AH62" i="6"/>
  <c r="AF62" i="6"/>
  <c r="AD62" i="6"/>
  <c r="AB62" i="6"/>
  <c r="AP61" i="6"/>
  <c r="AN61" i="6"/>
  <c r="AL61" i="6"/>
  <c r="AJ61" i="6"/>
  <c r="AQ59" i="3" s="1"/>
  <c r="AH61" i="6"/>
  <c r="AF61" i="6"/>
  <c r="AD61" i="6"/>
  <c r="AB61" i="6"/>
  <c r="BF60" i="6"/>
  <c r="BD60" i="6"/>
  <c r="BB60" i="6"/>
  <c r="AY60" i="6"/>
  <c r="AW60" i="6"/>
  <c r="AZ60" i="6" s="1"/>
  <c r="AX58" i="3" s="1"/>
  <c r="AT60" i="6"/>
  <c r="AP60" i="6"/>
  <c r="AN60" i="6"/>
  <c r="AL60" i="6"/>
  <c r="AJ60" i="6"/>
  <c r="AH60" i="6"/>
  <c r="AF60" i="6"/>
  <c r="AD60" i="6"/>
  <c r="AB60" i="6"/>
  <c r="BB60" i="5"/>
  <c r="AZ60" i="5"/>
  <c r="AX60" i="5"/>
  <c r="AV60" i="5"/>
  <c r="AL60" i="5"/>
  <c r="AJ60" i="5"/>
  <c r="AG60" i="5"/>
  <c r="AD60" i="5"/>
  <c r="AA60" i="5"/>
  <c r="X60" i="5"/>
  <c r="U60" i="5"/>
  <c r="R60" i="5"/>
  <c r="O60" i="5"/>
  <c r="L60" i="5"/>
  <c r="I60" i="5"/>
  <c r="F60" i="5"/>
  <c r="BB59" i="5"/>
  <c r="AZ59" i="5"/>
  <c r="AX59" i="5"/>
  <c r="AV59" i="5"/>
  <c r="AL59" i="5"/>
  <c r="AJ59" i="5"/>
  <c r="AG59" i="5"/>
  <c r="AD59" i="5"/>
  <c r="AA59" i="5"/>
  <c r="X59" i="5"/>
  <c r="U59" i="5"/>
  <c r="R59" i="5"/>
  <c r="O59" i="5"/>
  <c r="L59" i="5"/>
  <c r="I59" i="5"/>
  <c r="F59" i="5"/>
  <c r="BF59" i="6"/>
  <c r="BD59" i="6"/>
  <c r="BB59" i="6"/>
  <c r="AY59" i="6"/>
  <c r="AW57" i="3" s="1"/>
  <c r="AW59" i="6"/>
  <c r="AZ59" i="6" s="1"/>
  <c r="AX57" i="3" s="1"/>
  <c r="AT59" i="6"/>
  <c r="AP59" i="6"/>
  <c r="AN59" i="6"/>
  <c r="AL59" i="6"/>
  <c r="AJ59" i="6"/>
  <c r="AH59" i="6"/>
  <c r="AF59" i="6"/>
  <c r="AD59" i="6"/>
  <c r="AB59" i="6"/>
  <c r="BF58" i="6"/>
  <c r="BD58" i="6"/>
  <c r="BB58" i="6"/>
  <c r="AY58" i="6"/>
  <c r="AW58" i="6"/>
  <c r="AZ58" i="6" s="1"/>
  <c r="AX56" i="3" s="1"/>
  <c r="AT58" i="6"/>
  <c r="BB58" i="5"/>
  <c r="AZ58" i="5"/>
  <c r="AX58" i="5"/>
  <c r="AV58" i="5"/>
  <c r="C63" i="5"/>
  <c r="C62" i="5"/>
  <c r="C61" i="5"/>
  <c r="C60" i="5"/>
  <c r="C59" i="5"/>
  <c r="C58" i="5"/>
  <c r="AL58" i="5"/>
  <c r="AJ58" i="5"/>
  <c r="AG58" i="5"/>
  <c r="AD58" i="5"/>
  <c r="AA58" i="5"/>
  <c r="X58" i="5"/>
  <c r="U58" i="5"/>
  <c r="R58" i="5"/>
  <c r="O58" i="5"/>
  <c r="L58" i="5"/>
  <c r="I58" i="5"/>
  <c r="F58" i="5"/>
  <c r="AP58" i="6"/>
  <c r="AN58" i="6"/>
  <c r="AL58" i="6"/>
  <c r="AJ58" i="6"/>
  <c r="AQ56" i="3" s="1"/>
  <c r="AH58" i="6"/>
  <c r="AF58" i="6"/>
  <c r="AD58" i="6"/>
  <c r="AB58" i="6"/>
  <c r="BF57" i="6"/>
  <c r="BD57" i="6"/>
  <c r="BB57" i="6"/>
  <c r="AY57" i="6"/>
  <c r="AW57" i="6"/>
  <c r="AZ57" i="6" s="1"/>
  <c r="AX55" i="3" s="1"/>
  <c r="AT57" i="6"/>
  <c r="AP57" i="6"/>
  <c r="AN57" i="6"/>
  <c r="AL57" i="6"/>
  <c r="AJ57" i="6"/>
  <c r="AH57" i="6"/>
  <c r="AF57" i="6"/>
  <c r="AD57" i="6"/>
  <c r="AB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BB56" i="5"/>
  <c r="AZ56" i="5"/>
  <c r="AX56" i="5"/>
  <c r="AV56" i="5"/>
  <c r="AM58" i="5"/>
  <c r="AP58" i="5"/>
  <c r="BD58" i="5"/>
  <c r="AB54" i="3"/>
  <c r="AC54" i="3"/>
  <c r="AL56" i="5"/>
  <c r="AJ56" i="5"/>
  <c r="AG56" i="5"/>
  <c r="AD56" i="5"/>
  <c r="AA56" i="5"/>
  <c r="X56" i="5"/>
  <c r="U56" i="5"/>
  <c r="R56" i="5"/>
  <c r="O56" i="5"/>
  <c r="L56" i="5"/>
  <c r="I56" i="5"/>
  <c r="F56" i="5"/>
  <c r="BF56" i="6"/>
  <c r="BD56" i="6"/>
  <c r="BB56" i="6"/>
  <c r="AY56" i="6"/>
  <c r="AW56" i="6"/>
  <c r="AZ56" i="6" s="1"/>
  <c r="AX54" i="3" s="1"/>
  <c r="AT56" i="6"/>
  <c r="AP56" i="6"/>
  <c r="AN56" i="6"/>
  <c r="AL56" i="6"/>
  <c r="AJ56" i="6"/>
  <c r="AH56" i="6"/>
  <c r="AF56" i="6"/>
  <c r="AD56" i="6"/>
  <c r="AB56" i="6"/>
  <c r="BF55" i="6"/>
  <c r="BD55" i="6"/>
  <c r="BB55" i="6"/>
  <c r="AY55" i="6"/>
  <c r="AW55" i="6"/>
  <c r="AZ55" i="6" s="1"/>
  <c r="AX53" i="3" s="1"/>
  <c r="AT55" i="6"/>
  <c r="AP55" i="6"/>
  <c r="AN55" i="6"/>
  <c r="AL55" i="6"/>
  <c r="AJ55" i="6"/>
  <c r="AH55" i="6"/>
  <c r="AF55" i="6"/>
  <c r="AD55" i="6"/>
  <c r="AB55" i="6"/>
  <c r="BB55" i="5"/>
  <c r="AZ55" i="5"/>
  <c r="AX55" i="5"/>
  <c r="AV55" i="5"/>
  <c r="AL55" i="5"/>
  <c r="AJ55" i="5"/>
  <c r="AG55" i="5"/>
  <c r="AP55" i="5" s="1"/>
  <c r="AD55" i="5"/>
  <c r="X53" i="3" s="1"/>
  <c r="AA55" i="5"/>
  <c r="X55" i="5"/>
  <c r="U55" i="5"/>
  <c r="R55" i="5"/>
  <c r="O55" i="5"/>
  <c r="L55" i="5"/>
  <c r="I55" i="5"/>
  <c r="F55" i="5"/>
  <c r="BB54" i="5"/>
  <c r="AZ54" i="5"/>
  <c r="AX54" i="5"/>
  <c r="AB52" i="3" s="1"/>
  <c r="AV54" i="5"/>
  <c r="BD54" i="5" s="1"/>
  <c r="AL54" i="5"/>
  <c r="AJ54" i="5"/>
  <c r="AG54" i="5"/>
  <c r="AD54" i="5"/>
  <c r="AA54" i="5"/>
  <c r="X54" i="5"/>
  <c r="U54" i="5"/>
  <c r="R54" i="5"/>
  <c r="O54" i="5"/>
  <c r="L54" i="5"/>
  <c r="I54" i="5"/>
  <c r="F54" i="5"/>
  <c r="BF54" i="6"/>
  <c r="BD54" i="6"/>
  <c r="BB54" i="6"/>
  <c r="AY54" i="6"/>
  <c r="AW54" i="6"/>
  <c r="AZ54" i="6" s="1"/>
  <c r="AX52" i="3" s="1"/>
  <c r="AT54" i="6"/>
  <c r="AP54" i="6"/>
  <c r="AT52" i="3" s="1"/>
  <c r="AN54" i="6"/>
  <c r="AL54" i="6"/>
  <c r="AJ54" i="6"/>
  <c r="AH54" i="6"/>
  <c r="AF54" i="6"/>
  <c r="AD54" i="6"/>
  <c r="AB54" i="6"/>
  <c r="BB53" i="5"/>
  <c r="AZ53" i="5"/>
  <c r="AX53" i="5"/>
  <c r="AV53" i="5"/>
  <c r="BD53" i="5" s="1"/>
  <c r="AL53" i="5"/>
  <c r="AJ53" i="5"/>
  <c r="AP53" i="5" s="1"/>
  <c r="AG53" i="5"/>
  <c r="AD53" i="5"/>
  <c r="AA53" i="5"/>
  <c r="V51" i="3" s="1"/>
  <c r="X53" i="5"/>
  <c r="N51" i="3" s="1"/>
  <c r="U53" i="5"/>
  <c r="R53" i="5"/>
  <c r="O53" i="5"/>
  <c r="L53" i="5"/>
  <c r="I53" i="5"/>
  <c r="F53" i="5"/>
  <c r="BF53" i="6"/>
  <c r="BD53" i="6"/>
  <c r="BB53" i="6"/>
  <c r="AY53" i="6"/>
  <c r="AW53" i="6"/>
  <c r="AZ53" i="6" s="1"/>
  <c r="AX51" i="3" s="1"/>
  <c r="AT53" i="6"/>
  <c r="AP53" i="6"/>
  <c r="AN53" i="6"/>
  <c r="AL53" i="6"/>
  <c r="AJ53" i="6"/>
  <c r="AH53" i="6"/>
  <c r="AF53" i="6"/>
  <c r="AD53" i="6"/>
  <c r="AB53" i="6"/>
  <c r="C57" i="5"/>
  <c r="K54" i="1" s="1"/>
  <c r="C56" i="5"/>
  <c r="K53" i="1" s="1"/>
  <c r="C55" i="5"/>
  <c r="K52" i="1" s="1"/>
  <c r="C53" i="5"/>
  <c r="K50" i="1" s="1"/>
  <c r="C54" i="5"/>
  <c r="BD57" i="5"/>
  <c r="BD59" i="5"/>
  <c r="BD60" i="5"/>
  <c r="BD61" i="5"/>
  <c r="BD62" i="5"/>
  <c r="BD63" i="5"/>
  <c r="BD64" i="5"/>
  <c r="BB52" i="5"/>
  <c r="AE50" i="3" s="1"/>
  <c r="AZ52" i="5"/>
  <c r="AD50" i="3" s="1"/>
  <c r="AX52" i="5"/>
  <c r="AV52" i="5"/>
  <c r="AP54" i="5"/>
  <c r="AP56" i="5"/>
  <c r="AP57" i="5"/>
  <c r="AP59" i="5"/>
  <c r="AP60" i="5"/>
  <c r="AP61" i="5"/>
  <c r="AP62" i="5"/>
  <c r="AP63" i="5"/>
  <c r="AP64" i="5"/>
  <c r="AM52" i="5"/>
  <c r="AM53" i="5"/>
  <c r="AM54" i="5"/>
  <c r="AM55" i="5"/>
  <c r="AM56" i="5"/>
  <c r="AM57" i="5"/>
  <c r="AM59" i="5"/>
  <c r="AM60" i="5"/>
  <c r="AM61" i="5"/>
  <c r="AM62" i="5"/>
  <c r="AM63" i="5"/>
  <c r="AO63" i="5" s="1"/>
  <c r="AM64" i="5"/>
  <c r="AO64" i="5" s="1"/>
  <c r="AL52" i="5"/>
  <c r="AJ52" i="5"/>
  <c r="AG52" i="5"/>
  <c r="AD52" i="5"/>
  <c r="AA52" i="5"/>
  <c r="X52" i="5"/>
  <c r="U52" i="5"/>
  <c r="R52" i="5"/>
  <c r="O52" i="5"/>
  <c r="L52" i="5"/>
  <c r="R50" i="3" s="1"/>
  <c r="I52" i="5"/>
  <c r="F52" i="5"/>
  <c r="BF52" i="6"/>
  <c r="BD52" i="6"/>
  <c r="BB52" i="6"/>
  <c r="AY52" i="6"/>
  <c r="AW52" i="6"/>
  <c r="AZ52" i="6" s="1"/>
  <c r="AX50" i="3" s="1"/>
  <c r="AT52" i="6"/>
  <c r="AP63" i="6"/>
  <c r="AP64" i="6"/>
  <c r="AT62" i="3" s="1"/>
  <c r="AN63" i="6"/>
  <c r="AN64" i="6"/>
  <c r="AS62" i="3" s="1"/>
  <c r="AR52" i="3"/>
  <c r="AR57" i="3"/>
  <c r="AR59" i="3"/>
  <c r="AL63" i="6"/>
  <c r="AL64" i="6"/>
  <c r="AR62" i="3" s="1"/>
  <c r="AQ52" i="3"/>
  <c r="AQ57" i="3"/>
  <c r="AQ58" i="3"/>
  <c r="AJ63" i="6"/>
  <c r="AQ61" i="3" s="1"/>
  <c r="AJ64" i="6"/>
  <c r="AQ62" i="3" s="1"/>
  <c r="AP53" i="3"/>
  <c r="AP55" i="3"/>
  <c r="AP57" i="3"/>
  <c r="AH63" i="6"/>
  <c r="AH64" i="6"/>
  <c r="AP62" i="3" s="1"/>
  <c r="AO53" i="3"/>
  <c r="AO54" i="3"/>
  <c r="AF63" i="6"/>
  <c r="AF64" i="6"/>
  <c r="AO62" i="3" s="1"/>
  <c r="AN53" i="3"/>
  <c r="AN55" i="3"/>
  <c r="AN57" i="3"/>
  <c r="AN60" i="3"/>
  <c r="AD63" i="6"/>
  <c r="AD64" i="6"/>
  <c r="AN62" i="3" s="1"/>
  <c r="AM56" i="3"/>
  <c r="AB63" i="6"/>
  <c r="AM61" i="3" s="1"/>
  <c r="AB64" i="6"/>
  <c r="AM62" i="3" s="1"/>
  <c r="AP52" i="6"/>
  <c r="AN52" i="6"/>
  <c r="AL52" i="6"/>
  <c r="AJ52" i="6"/>
  <c r="AH52" i="6"/>
  <c r="AF52" i="6"/>
  <c r="AD52" i="6"/>
  <c r="AB52" i="6"/>
  <c r="X52" i="6"/>
  <c r="Y52" i="6" s="1"/>
  <c r="X53" i="6"/>
  <c r="X54" i="6"/>
  <c r="X55" i="6"/>
  <c r="AL53" i="3" s="1"/>
  <c r="X56" i="6"/>
  <c r="X57" i="6"/>
  <c r="AL55" i="3" s="1"/>
  <c r="X58" i="6"/>
  <c r="X59" i="6"/>
  <c r="AL57" i="3" s="1"/>
  <c r="X60" i="6"/>
  <c r="X61" i="6"/>
  <c r="X62" i="6"/>
  <c r="Y62" i="6"/>
  <c r="X63" i="6"/>
  <c r="AL61" i="3" s="1"/>
  <c r="X64" i="6"/>
  <c r="Y64" i="6" s="1"/>
  <c r="U52" i="6"/>
  <c r="U53" i="6"/>
  <c r="U54" i="6"/>
  <c r="U55" i="6"/>
  <c r="U56" i="6"/>
  <c r="U57" i="6"/>
  <c r="U58" i="6"/>
  <c r="U59" i="6"/>
  <c r="AK57" i="3" s="1"/>
  <c r="U60" i="6"/>
  <c r="AK58" i="3" s="1"/>
  <c r="U61" i="6"/>
  <c r="AK59" i="3" s="1"/>
  <c r="U62" i="6"/>
  <c r="U63" i="6"/>
  <c r="AK61" i="3" s="1"/>
  <c r="U64" i="6"/>
  <c r="Q52" i="6"/>
  <c r="Q53" i="6"/>
  <c r="Q54" i="6"/>
  <c r="AJ52" i="3" s="1"/>
  <c r="Q55" i="6"/>
  <c r="Q56" i="6"/>
  <c r="Q57" i="6"/>
  <c r="Q58" i="6"/>
  <c r="Q59" i="6"/>
  <c r="Q60" i="6"/>
  <c r="Q61" i="6"/>
  <c r="Q62" i="6"/>
  <c r="AJ60" i="3" s="1"/>
  <c r="Q63" i="6"/>
  <c r="AJ61" i="3" s="1"/>
  <c r="Q64" i="6"/>
  <c r="N52" i="6"/>
  <c r="N53" i="6"/>
  <c r="AI51" i="3" s="1"/>
  <c r="N54" i="6"/>
  <c r="AI52" i="3" s="1"/>
  <c r="N55" i="6"/>
  <c r="N56" i="6"/>
  <c r="N57" i="6"/>
  <c r="N58" i="6"/>
  <c r="AI56" i="3" s="1"/>
  <c r="N59" i="6"/>
  <c r="N60" i="6"/>
  <c r="N61" i="6"/>
  <c r="N62" i="6"/>
  <c r="AI60" i="3" s="1"/>
  <c r="N63" i="6"/>
  <c r="AI61" i="3" s="1"/>
  <c r="N64" i="6"/>
  <c r="K52" i="6"/>
  <c r="K53" i="6"/>
  <c r="K54" i="6"/>
  <c r="AH52" i="3" s="1"/>
  <c r="K55" i="6"/>
  <c r="K56" i="6"/>
  <c r="K57" i="6"/>
  <c r="AH55" i="3" s="1"/>
  <c r="K58" i="6"/>
  <c r="AH56" i="3" s="1"/>
  <c r="K59" i="6"/>
  <c r="K60" i="6"/>
  <c r="K61" i="6"/>
  <c r="K62" i="6"/>
  <c r="K63" i="6"/>
  <c r="K64" i="6"/>
  <c r="H52" i="6"/>
  <c r="H53" i="6"/>
  <c r="AG51" i="3" s="1"/>
  <c r="H54" i="6"/>
  <c r="H55" i="6"/>
  <c r="H56" i="6"/>
  <c r="AG54" i="3" s="1"/>
  <c r="H57" i="6"/>
  <c r="AG55" i="3" s="1"/>
  <c r="H58" i="6"/>
  <c r="H59" i="6"/>
  <c r="AG57" i="3" s="1"/>
  <c r="H60" i="6"/>
  <c r="H61" i="6"/>
  <c r="H62" i="6"/>
  <c r="H63" i="6"/>
  <c r="AG61" i="3" s="1"/>
  <c r="H64" i="6"/>
  <c r="E52" i="6"/>
  <c r="E53" i="6"/>
  <c r="E54" i="6"/>
  <c r="E55" i="6"/>
  <c r="AF53" i="3" s="1"/>
  <c r="E56" i="6"/>
  <c r="AF54" i="3" s="1"/>
  <c r="E57" i="6"/>
  <c r="E58" i="6"/>
  <c r="AF56" i="3" s="1"/>
  <c r="E59" i="6"/>
  <c r="AF57" i="3" s="1"/>
  <c r="E60" i="6"/>
  <c r="AF58" i="3" s="1"/>
  <c r="E61" i="6"/>
  <c r="AF59" i="3" s="1"/>
  <c r="E62" i="6"/>
  <c r="E63" i="6"/>
  <c r="AF61" i="3" s="1"/>
  <c r="E64" i="6"/>
  <c r="BF51" i="6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1" i="5"/>
  <c r="K48" i="1" s="1"/>
  <c r="C50" i="5"/>
  <c r="C49" i="5"/>
  <c r="K46" i="1" s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K51" i="1"/>
  <c r="K55" i="1"/>
  <c r="K56" i="1"/>
  <c r="K57" i="1"/>
  <c r="K58" i="1"/>
  <c r="K59" i="1"/>
  <c r="K60" i="1"/>
  <c r="J42" i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1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L62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J62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H61" i="3"/>
  <c r="AH62" i="3"/>
  <c r="AG45" i="3"/>
  <c r="AG50" i="3"/>
  <c r="AG52" i="3"/>
  <c r="AG53" i="3"/>
  <c r="AG56" i="3"/>
  <c r="AG58" i="3"/>
  <c r="AG59" i="3"/>
  <c r="AG60" i="3"/>
  <c r="AG62" i="3"/>
  <c r="AF45" i="3"/>
  <c r="AF50" i="3"/>
  <c r="AF51" i="3"/>
  <c r="AF52" i="3"/>
  <c r="AF55" i="3"/>
  <c r="AF60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K43" i="1" s="1"/>
  <c r="C47" i="5"/>
  <c r="K44" i="1" s="1"/>
  <c r="C48" i="5"/>
  <c r="K45" i="1" s="1"/>
  <c r="C45" i="5"/>
  <c r="K42" i="1" s="1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AO62" i="5" l="1"/>
  <c r="AO61" i="5"/>
  <c r="AQ61" i="5" s="1"/>
  <c r="G59" i="1"/>
  <c r="Y63" i="6"/>
  <c r="G58" i="1"/>
  <c r="Y61" i="6"/>
  <c r="AO60" i="5"/>
  <c r="AQ60" i="5" s="1"/>
  <c r="AO59" i="5"/>
  <c r="AQ59" i="5" s="1"/>
  <c r="G56" i="1"/>
  <c r="Y60" i="6"/>
  <c r="AO58" i="5"/>
  <c r="G55" i="1"/>
  <c r="Y59" i="6"/>
  <c r="Y58" i="6"/>
  <c r="AO57" i="5"/>
  <c r="AQ57" i="5" s="1"/>
  <c r="AQ58" i="5"/>
  <c r="AQ62" i="5"/>
  <c r="AO54" i="5"/>
  <c r="BD55" i="5"/>
  <c r="Z53" i="3"/>
  <c r="AO52" i="5"/>
  <c r="AC52" i="3"/>
  <c r="AP52" i="5"/>
  <c r="AQ52" i="5" s="1"/>
  <c r="BD56" i="5"/>
  <c r="BD52" i="5"/>
  <c r="AQ64" i="5"/>
  <c r="AQ63" i="5"/>
  <c r="AO53" i="5"/>
  <c r="AQ53" i="5" s="1"/>
  <c r="AO56" i="5"/>
  <c r="AQ56" i="5" s="1"/>
  <c r="Y57" i="6"/>
  <c r="Y56" i="6"/>
  <c r="AK54" i="3"/>
  <c r="G53" i="1" s="1"/>
  <c r="AO55" i="5"/>
  <c r="AQ55" i="5" s="1"/>
  <c r="AQ54" i="5"/>
  <c r="Y54" i="6"/>
  <c r="G52" i="1"/>
  <c r="Y55" i="6"/>
  <c r="AK52" i="3"/>
  <c r="G51" i="1" s="1"/>
  <c r="Y53" i="6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Y47" i="6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E55" i="1" l="1"/>
  <c r="C8" i="5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AT45" i="5" l="1"/>
  <c r="AT46" i="5" s="1"/>
  <c r="AT47" i="5" s="1"/>
  <c r="AV44" i="5"/>
  <c r="AC42" i="3" s="1"/>
  <c r="G48" i="1"/>
  <c r="J48" i="1"/>
  <c r="G47" i="1"/>
  <c r="G46" i="1"/>
  <c r="J47" i="1"/>
  <c r="J46" i="1"/>
  <c r="G45" i="1"/>
  <c r="G43" i="1"/>
  <c r="J45" i="1"/>
  <c r="J43" i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J3" i="1"/>
  <c r="Y14" i="6"/>
  <c r="J8" i="1"/>
  <c r="G3" i="1"/>
  <c r="G37" i="1"/>
  <c r="G9" i="1"/>
  <c r="DC28" i="6"/>
  <c r="Y41" i="6"/>
  <c r="Y8" i="6"/>
  <c r="DC13" i="6"/>
  <c r="J24" i="1"/>
  <c r="J28" i="1"/>
  <c r="J12" i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J26" i="1"/>
  <c r="J18" i="1"/>
  <c r="J10" i="1"/>
  <c r="J23" i="1"/>
  <c r="J15" i="1"/>
  <c r="J7" i="1"/>
  <c r="J20" i="1"/>
  <c r="J4" i="1"/>
  <c r="J30" i="1"/>
  <c r="J22" i="1"/>
  <c r="J14" i="1"/>
  <c r="J6" i="1"/>
  <c r="J27" i="1"/>
  <c r="J11" i="1"/>
  <c r="G22" i="1"/>
  <c r="E35" i="1"/>
  <c r="F35" i="1" s="1"/>
  <c r="DD28" i="6"/>
  <c r="DG28" i="6" s="1"/>
  <c r="DD33" i="6"/>
  <c r="DG33" i="6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Y50" i="6"/>
  <c r="G39" i="1"/>
  <c r="AX32" i="3"/>
  <c r="BD48" i="5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J38" i="1"/>
  <c r="AX39" i="3"/>
  <c r="J36" i="1"/>
  <c r="J34" i="1"/>
  <c r="AX35" i="3"/>
  <c r="G34" i="1"/>
  <c r="J29" i="1"/>
  <c r="J25" i="1"/>
  <c r="J21" i="1"/>
  <c r="J17" i="1"/>
  <c r="J13" i="1"/>
  <c r="J9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<sst xmlns="http://schemas.openxmlformats.org/spreadsheetml/2006/main" count="2628" uniqueCount="469">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</sst>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6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tabSelected="1" workbookViewId="0">
      <selection activeCell="I2" sqref="I2:I60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Submetering!AF3+Submetering!AG3+Submetering!AV3+Submetering!AY3+Submetering!AZ3</f>
        <v>3611.4706000000001</v>
      </c>
      <c r="J2" s="11">
        <f>((Submetering!AG3+Submetering!BA3)*0.8868+(1712.96+1070.52)/30+(Submetering!AF3+Submetering!AY3+Submetering!AV3+Submetering!AZ3)*1.1251+(2076.11+129.67+207.57+207.57)/30+(11680.53+56.61)/30)/I2</f>
        <v>1.1862449251356679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Submetering!AF4+Submetering!AG4+Submetering!AV4+Submetering!AY4+Submetering!AZ4</f>
        <v>4458.3347999999996</v>
      </c>
      <c r="J3" s="11">
        <f>((Submetering!AG4+Submetering!BA4)*0.8868+(1712.96+1070.52)/30+(Submetering!AF4+Submetering!AY4+Submetering!AV4+Submetering!AZ4)*1.1251+(2076.11+129.67+207.57+207.57)/30+(11680.53+56.61)/30)/I3</f>
        <v>1.1954940034442159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Submetering!AF5+Submetering!AG5+Submetering!AV5+Submetering!AY5+Submetering!AZ5</f>
        <v>4406.3735999999999</v>
      </c>
      <c r="J4" s="11">
        <f>((Submetering!AG5+Submetering!BA5)*0.8868+(1712.96+1070.52)/30+(Submetering!AF5+Submetering!AY5+Submetering!AV5+Submetering!AZ5)*1.1251+(2076.11+129.67+207.57+207.57)/30+(11680.53+56.61)/30)/I4</f>
        <v>1.2112627938281644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Submetering!AF6+Submetering!AG6+Submetering!AV6+Submetering!AY6+Submetering!AZ6</f>
        <v>5141.9852000000001</v>
      </c>
      <c r="J5" s="11">
        <f>((Submetering!AG6+Submetering!BA6)*0.8868+(1712.96+1070.52)/30+(Submetering!AF6+Submetering!AY6+Submetering!AV6+Submetering!AZ6)*1.1251+(2076.11+129.67+207.57+207.57)/30+(11680.53+56.61)/30)/I5</f>
        <v>1.1897872602563437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Submetering!AF7+Submetering!AG7+Submetering!AV7+Submetering!AY7+Submetering!AZ7</f>
        <v>4916.3944000000001</v>
      </c>
      <c r="J6" s="11">
        <f>((Submetering!AG7+Submetering!BA7)*0.8868+(1712.96+1070.52)/30+(Submetering!AF7+Submetering!AY7+Submetering!AV7+Submetering!AZ7)*1.1251+(2076.11+129.67+207.57+207.57)/30+(11680.53+56.61)/30)/I6</f>
        <v>1.2039798682356864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Submetering!AF8+Submetering!AG8+Submetering!AV8+Submetering!AY8+Submetering!AZ8</f>
        <v>4292.3355999999994</v>
      </c>
      <c r="J7" s="11">
        <f>((Submetering!AG8+Submetering!BA8)*0.8868+(1712.96+1070.52)/30+(Submetering!AF8+Submetering!AY8+Submetering!AV8+Submetering!AZ8)*1.1251+(2076.11+129.67+207.57+207.57)/30+(11680.53+56.61)/30)/I7</f>
        <v>1.2192792968999597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Submetering!AF9+Submetering!AG9+Submetering!AV9+Submetering!AY9+Submetering!AZ9</f>
        <v>4845.1368000000002</v>
      </c>
      <c r="J8" s="11">
        <f>((Submetering!AG9+Submetering!BA9)*0.8868+(1712.96+1070.52)/30+(Submetering!AF9+Submetering!AY9+Submetering!AV9+Submetering!AZ9)*1.1251+(2076.11+129.67+207.57+207.57)/30+(11680.53+56.61)/30)/I8</f>
        <v>1.1968249238177686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Submetering!AF10+Submetering!AG10+Submetering!AV10+Submetering!AY10+Submetering!AZ10</f>
        <v>4707.82</v>
      </c>
      <c r="J9" s="11">
        <f>((Submetering!AG10+Submetering!BA10)*0.8868+(1712.96+1070.52)/30+(Submetering!AF10+Submetering!AY10+Submetering!AV10+Submetering!AZ10)*1.1251+(2076.11+129.67+207.57+207.57)/30+(11680.53+56.61)/30)/I9</f>
        <v>1.1971608450762066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Submetering!AF11+Submetering!AG11+Submetering!AV11+Submetering!AY11+Submetering!AZ11</f>
        <v>4680.5245999999997</v>
      </c>
      <c r="J10" s="11">
        <f>((Submetering!AG11+Submetering!BA11)*0.8868+(1712.96+1070.52)/30+(Submetering!AF11+Submetering!AY11+Submetering!AV11+Submetering!AZ11)*1.1251+(2076.11+129.67+207.57+207.57)/30+(11680.53+56.61)/30)/I10</f>
        <v>1.2106390765613466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Submetering!AF12+Submetering!AG12+Submetering!AV12+Submetering!AY12+Submetering!AZ12</f>
        <v>4693.630799999999</v>
      </c>
      <c r="J11" s="11">
        <f>((Submetering!AG12+Submetering!BA12)*0.8868+(1712.96+1070.52)/30+(Submetering!AF12+Submetering!AY12+Submetering!AV12+Submetering!AZ12)*1.1251+(2076.11+129.67+207.57+207.57)/30+(11680.53+56.61)/30)/I11</f>
        <v>1.255994685382299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Submetering!AF13+Submetering!AG13+Submetering!AV13+Submetering!AY13+Submetering!AZ13</f>
        <v>5043.3789999999999</v>
      </c>
      <c r="J12" s="11">
        <f>((Submetering!AG13+Submetering!BA13)*0.8868+(1712.96+1070.52)/30+(Submetering!AF13+Submetering!AY13+Submetering!AV13+Submetering!AZ13)*1.1251+(2076.11+129.67+207.57+207.57)/30+(11680.53+56.61)/30)/I12</f>
        <v>1.3764006282864458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Submetering!AF14+Submetering!AG14+Submetering!AV14+Submetering!AY14+Submetering!AZ14</f>
        <v>5470.1570000000002</v>
      </c>
      <c r="J13" s="11">
        <f>((Submetering!AG14+Submetering!BA14)*0.8868+(1712.96+1070.52)/30+(Submetering!AF14+Submetering!AY14+Submetering!AV14+Submetering!AZ14)*1.1251+(2076.11+129.67+207.57+207.57)/30+(11680.53+56.61)/30)/I13</f>
        <v>1.3528039913894001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Submetering!AF15+Submetering!AG15+Submetering!AV15+Submetering!AY15+Submetering!AZ15</f>
        <v>5384.3795999999993</v>
      </c>
      <c r="J14" s="11">
        <f>((Submetering!AG15+Submetering!BA15)*0.8868+(1712.96+1070.52)/30+(Submetering!AF15+Submetering!AY15+Submetering!AV15+Submetering!AZ15)*1.1251+(2076.11+129.67+207.57+207.57)/30+(11680.53+56.61)/30)/I14</f>
        <v>1.3136588228487209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Submetering!AF16+Submetering!AG16+Submetering!AV16+Submetering!AY16+Submetering!AZ16</f>
        <v>2006.1606000000002</v>
      </c>
      <c r="J15" s="11">
        <f>((Submetering!AG16+Submetering!BA16)*0.8868+(1712.96+1070.52)/30+(Submetering!AF16+Submetering!AY16+Submetering!AV16+Submetering!AZ16)*1.1251+(2076.11+129.67+207.57+207.57)/30+(11680.53+56.61)/30)/I15</f>
        <v>1.4576179140028305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Submetering!AF17+Submetering!AG17+Submetering!AV17+Submetering!AY17+Submetering!AZ17</f>
        <v>2596.73</v>
      </c>
      <c r="J16" s="11">
        <f>((Submetering!AG17+Submetering!BA17)*0.8868+(1712.96+1070.52)/30+(Submetering!AF17+Submetering!AY17+Submetering!AV17+Submetering!AZ17)*1.1251+(2076.11+129.67+207.57+207.57)/30+(11680.53+56.61)/30)/I16</f>
        <v>1.4646043807198541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Submetering!AF18+Submetering!AG18+Submetering!AV18+Submetering!AY18+Submetering!AZ18</f>
        <v>5589.1844000000001</v>
      </c>
      <c r="J17" s="11">
        <f>((Submetering!AG18+Submetering!BA18)*0.8868+(1712.96+1070.52)/30+(Submetering!AF18+Submetering!AY18+Submetering!AV18+Submetering!AZ18)*1.1251+(2076.11+129.67+207.57+207.57)/30+(11680.53+56.61)/30)/I17</f>
        <v>1.230126981873539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Submetering!AF19+Submetering!AG19+Submetering!AV19+Submetering!AY19+Submetering!AZ19</f>
        <v>5330.0623999999998</v>
      </c>
      <c r="J18" s="11">
        <f>((Submetering!AG19+Submetering!BA19)*0.8868+(1712.96+1070.52)/30+(Submetering!AF19+Submetering!AY19+Submetering!AV19+Submetering!AZ19)*1.1251+(2076.11+129.67+207.57+207.57)/30+(11680.53+56.61)/30)/I18</f>
        <v>1.2212154737075247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Submetering!AF20+Submetering!AG20+Submetering!AV20+Submetering!AY20+Submetering!AZ20</f>
        <v>5558.2979999999998</v>
      </c>
      <c r="J19" s="11">
        <f>((Submetering!AG20+Submetering!BA20)*0.8868+(1712.96+1070.52)/30+(Submetering!AF20+Submetering!AY20+Submetering!AV20+Submetering!AZ20)*1.1251+(2076.11+129.67+207.57+207.57)/30+(11680.53+56.61)/30)/I19</f>
        <v>1.1952684801258706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Submetering!AF21+Submetering!AG21+Submetering!AV21+Submetering!AY21+Submetering!AZ21</f>
        <v>4354.8684000000003</v>
      </c>
      <c r="J20" s="11">
        <f>((Submetering!AG21+Submetering!BA21)*0.8868+(1712.96+1070.52)/30+(Submetering!AF21+Submetering!AY21+Submetering!AV21+Submetering!AZ21)*1.1251+(2076.11+129.67+207.57+207.57)/30+(11680.53+56.61)/30)/I20</f>
        <v>1.2278874860298112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Submetering!AF22+Submetering!AG22+Submetering!AV22+Submetering!AY22+Submetering!AZ22</f>
        <v>1632.7346000000002</v>
      </c>
      <c r="J21" s="11">
        <f>((Submetering!AG22+Submetering!BA22)*0.8868+(1712.96+1070.52)/30+(Submetering!AF22+Submetering!AY22+Submetering!AV22+Submetering!AZ22)*1.1251+(2076.11+129.67+207.57+207.57)/30+(11680.53+56.61)/30)/I21</f>
        <v>1.4382906298713012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Submetering!AF23+Submetering!AG23+Submetering!AV23+Submetering!AY23+Submetering!AZ23</f>
        <v>6243.8142000000007</v>
      </c>
      <c r="J22" s="11">
        <f>((Submetering!AG23+Submetering!BA23)*0.8868+(1712.96+1070.52)/30+(Submetering!AF23+Submetering!AY23+Submetering!AV23+Submetering!AZ23)*1.1251+(2076.11+129.67+207.57+207.57)/30+(11680.53+56.61)/30)/I22</f>
        <v>1.2250511957909744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Submetering!AF24+Submetering!AG24+Submetering!AV24+Submetering!AY24+Submetering!AZ24</f>
        <v>5527.3090000000002</v>
      </c>
      <c r="J23" s="11">
        <f>((Submetering!AG24+Submetering!BA24)*0.8868+(1712.96+1070.52)/30+(Submetering!AF24+Submetering!AY24+Submetering!AV24+Submetering!AZ24)*1.1251+(2076.11+129.67+207.57+207.57)/30+(11680.53+56.61)/30)/I23</f>
        <v>1.2246225827589279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Submetering!AF25+Submetering!AG25+Submetering!AV25+Submetering!AY25+Submetering!AZ25</f>
        <v>6347.2274000000007</v>
      </c>
      <c r="J24" s="11">
        <f>((Submetering!AG25+Submetering!BA25)*0.8868+(1712.96+1070.52)/30+(Submetering!AF25+Submetering!AY25+Submetering!AV25+Submetering!AZ25)*1.1251+(2076.11+129.67+207.57+207.57)/30+(11680.53+56.61)/30)/I24</f>
        <v>1.2044814508720243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Submetering!AF26+Submetering!AG26+Submetering!AV26+Submetering!AY26+Submetering!AZ26</f>
        <v>6061.4445999999998</v>
      </c>
      <c r="J25" s="11">
        <f>((Submetering!AG26+Submetering!BA26)*0.8868+(1712.96+1070.52)/30+(Submetering!AF26+Submetering!AY26+Submetering!AV26+Submetering!AZ26)*1.1251+(2076.11+129.67+207.57+207.57)/30+(11680.53+56.61)/30)/I25</f>
        <v>1.18370345376854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Submetering!AF27+Submetering!AG27+Submetering!AV27+Submetering!AY27+Submetering!AZ27</f>
        <v>6293.5258000000003</v>
      </c>
      <c r="J26" s="11">
        <f>((Submetering!AG27+Submetering!BA27)*0.8868+(1712.96+1070.52)/30+(Submetering!AF27+Submetering!AY27+Submetering!AV27+Submetering!AZ27)*1.1251+(2076.11+129.67+207.57+207.57)/30+(11680.53+56.61)/30)/I26</f>
        <v>1.1817064733867726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Submetering!AF28+Submetering!AG28+Submetering!AV28+Submetering!AY28+Submetering!AZ28</f>
        <v>6956.1127999999999</v>
      </c>
      <c r="J27" s="11">
        <f>((Submetering!AG28+Submetering!BA28)*0.8868+(1712.96+1070.52)/30+(Submetering!AF28+Submetering!AY28+Submetering!AV28+Submetering!AZ28)*1.1251+(2076.11+129.67+207.57+207.57)/30+(11680.53+56.61)/30)/I27</f>
        <v>1.1517297427475108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Submetering!AF29+Submetering!AG29+Submetering!AV29+Submetering!AY29+Submetering!AZ29</f>
        <v>5565.8524000000007</v>
      </c>
      <c r="J28" s="11">
        <f>((Submetering!AG29+Submetering!BA29)*0.8868+(1712.96+1070.52)/30+(Submetering!AF29+Submetering!AY29+Submetering!AV29+Submetering!AZ29)*1.1251+(2076.11+129.67+207.57+207.57)/30+(11680.53+56.61)/30)/I28</f>
        <v>1.2016967516613748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Submetering!AF30+Submetering!AG30+Submetering!AV30+Submetering!AY30+Submetering!AZ30</f>
        <v>5235.1764000000003</v>
      </c>
      <c r="J29" s="11">
        <f>((Submetering!AG30+Submetering!BA30)*0.8868+(1712.96+1070.52)/30+(Submetering!AF30+Submetering!AY30+Submetering!AV30+Submetering!AZ30)*1.1251+(2076.11+129.67+207.57+207.57)/30+(11680.53+56.61)/30)/I29</f>
        <v>1.2282152642089896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Submetering!AF31+Submetering!AG31+Submetering!AV31+Submetering!AY31+Submetering!AZ31</f>
        <v>1673.0640000000001</v>
      </c>
      <c r="J30" s="11">
        <f>((Submetering!AG31+Submetering!BA31)*0.8868+(1712.96+1070.52)/30+(Submetering!AF31+Submetering!AY31+Submetering!AV31+Submetering!AZ31)*1.1251+(2076.11+129.67+207.57+207.57)/30+(11680.53+56.61)/30)/I30</f>
        <v>1.4381036471447992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Submetering!AF32+Submetering!AG32+Submetering!AV32+Submetering!AY32+Submetering!AZ32</f>
        <v>3473.9144000000001</v>
      </c>
      <c r="J31" s="11">
        <f>((Submetering!AG32+Submetering!BA32)*0.8868+(1712.96+1070.52)/30+(Submetering!AF32+Submetering!AY32+Submetering!AV32+Submetering!AZ32)*1.1251+(2076.11+129.67+207.57+207.57)/30+(11680.53+56.61)/30)/I31</f>
        <v>1.2895708057477369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Submetering!AF33+Submetering!AG33+Submetering!AV33+Submetering!AY33+Submetering!AZ33</f>
        <v>4860.6674000000012</v>
      </c>
      <c r="J32" s="11">
        <f>((Submetering!AG33+Submetering!BA33)*0.8868+(1712.96+1070.52)/30+(Submetering!AF33+Submetering!AY33+Submetering!AV33+Submetering!AZ33)*1.1251+(2076.11+129.67+207.57+207.57)/30+(11680.53+56.61)/30)/I32</f>
        <v>1.2413660821241681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Submetering!AF34+Submetering!AG34+Submetering!AV34+Submetering!AY34+Submetering!AZ34</f>
        <v>5822.9641999999994</v>
      </c>
      <c r="J33" s="11">
        <f>((Submetering!AG34+Submetering!BA34)*0.8868+(1712.96+1070.52)/30+(Submetering!AF34+Submetering!AY34+Submetering!AV34+Submetering!AZ34)*1.1251+(2076.11+129.67+207.57+207.57)/30+(11680.53+56.61)/30)/I33</f>
        <v>1.1969570191220937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Submetering!AF35+Submetering!AG35+Submetering!AV35+Submetering!AY35+Submetering!AZ35</f>
        <v>6103.8905999999997</v>
      </c>
      <c r="J34" s="11">
        <f>((Submetering!AG35+Submetering!BA35)*0.8868+(1712.96+1070.52)/30+(Submetering!AF35+Submetering!AY35+Submetering!AV35+Submetering!AZ35)*1.1251+(2076.11+129.67+207.57+207.57)/30+(11680.53+56.61)/30)/I34</f>
        <v>1.1887723135808932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Submetering!AF36+Submetering!AG36+Submetering!AV36+Submetering!AY36+Submetering!AZ36</f>
        <v>5745.3377999999993</v>
      </c>
      <c r="J35" s="11">
        <f>((Submetering!AG36+Submetering!BA36)*0.8868+(1712.96+1070.52)/30+(Submetering!AF36+Submetering!AY36+Submetering!AV36+Submetering!AZ36)*1.1251+(2076.11+129.67+207.57+207.57)/30+(11680.53+56.61)/30)/I35</f>
        <v>1.1850792807773056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Submetering!AF38+Submetering!AG38+Submetering!AV38+Submetering!AY38+Submetering!AZ38</f>
        <v>6230.2558000000008</v>
      </c>
      <c r="J37" s="11">
        <f>((Submetering!AG38+Submetering!BA38)*0.8868+(1712.96+1070.52)/30+(Submetering!AF38+Submetering!AY38+Submetering!AV38+Submetering!AZ38)*1.1251+(2076.11+129.67+207.57+207.57)/30+(11680.53+56.61)/30)/I37</f>
        <v>1.1795592028896575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Submetering!AF39+Submetering!AG39+Submetering!AV39+Submetering!AY39+Submetering!AZ39</f>
        <v>6189.1018000000004</v>
      </c>
      <c r="J38" s="11">
        <f>((Submetering!AG39+Submetering!BA39)*0.8868+(1712.96+1070.52)/30+(Submetering!AF39+Submetering!AY39+Submetering!AV39+Submetering!AZ39)*1.1251+(2076.11+129.67+207.57+207.57)/30+(11680.53+56.61)/30)/I38</f>
        <v>1.181767171748034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Submetering!AF40+Submetering!AG40+Submetering!AV40+Submetering!AY40+Submetering!AZ40</f>
        <v>5410.7705999999989</v>
      </c>
      <c r="J39" s="11">
        <f>((Submetering!AG40+Submetering!BA40)*0.8868+(1712.96+1070.52)/30+(Submetering!AF40+Submetering!AY40+Submetering!AV40+Submetering!AZ40)*1.1251+(2076.11+129.67+207.57+207.57)/30+(11680.53+56.61)/30)/I39</f>
        <v>1.2073448413145933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Submetering!AF41+Submetering!AG41+Submetering!AV41+Submetering!AY41+Submetering!AZ41</f>
        <v>4048.1248000000001</v>
      </c>
      <c r="J40" s="11">
        <f>((Submetering!AG41+Submetering!BA41)*0.8868+(1712.96+1070.52)/30+(Submetering!AF41+Submetering!AY41+Submetering!AV41+Submetering!AZ41)*1.1251+(2076.11+129.67+207.57+207.57)/30+(11680.53+56.61)/30)/I40</f>
        <v>1.2661853527704152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Submetering!AF42+Submetering!AG42+Submetering!AV42+Submetering!AY42+Submetering!AZ42</f>
        <v>5335.5001999999995</v>
      </c>
      <c r="J41" s="11">
        <f>((Submetering!AG42+Submetering!BA42)*0.8868+(1712.96+1070.52)/30+(Submetering!AF42+Submetering!AY42+Submetering!AV42+Submetering!AZ42)*1.1251+(2076.11+129.67+207.57+207.57)/30+(11680.53+56.61)/30)/I41</f>
        <v>1.2118962617238151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Submetering!AF43+Submetering!AG43+Submetering!AV43+Submetering!AY43+Submetering!AZ43</f>
        <v>5277.7515999999996</v>
      </c>
      <c r="J42" s="11">
        <f>((Submetering!AG43+Submetering!BA43)*0.8868+(1712.96+1070.52)/30+(Submetering!AF43+Submetering!AY43+Submetering!AV43+Submetering!AZ43)*1.1251+(2076.11+129.67+207.57+207.57)/30+(11680.53+56.61)/30)/I42</f>
        <v>1.1922256290778572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Submetering!AF44+Submetering!AG44+Submetering!AV44+Submetering!AY44+Submetering!AZ44</f>
        <v>5325.6050000000005</v>
      </c>
      <c r="J43" s="11">
        <f>((Submetering!AG44+Submetering!BA44)*0.8868+(1712.96+1070.52)/30+(Submetering!AF44+Submetering!AY44+Submetering!AV44+Submetering!AZ44)*1.1251+(2076.11+129.67+207.57+207.57)/30+(11680.53+56.61)/30)/I43</f>
        <v>1.2090017613335324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Submetering!AF45+Submetering!AG45+Submetering!AV45+Submetering!AY45+Submetering!AZ45</f>
        <v>5958.0010000000002</v>
      </c>
      <c r="J44" s="11">
        <f>((Submetering!AG45+Submetering!BA45)*0.8868+(1712.96+1070.52)/30+(Submetering!AF45+Submetering!AY45+Submetering!AV45+Submetering!AZ45)*1.1251+(2076.11+129.67+207.57+207.57)/30+(11680.53+56.61)/30)/I44</f>
        <v>1.1927438032935318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Submetering!AF46+Submetering!AG46+Submetering!AV46+Submetering!AY46+Submetering!AZ46</f>
        <v>3022.2121999999999</v>
      </c>
      <c r="J45" s="11">
        <f>((Submetering!AG46+Submetering!BA46)*0.8868+(1712.96+1070.52)/30+(Submetering!AF46+Submetering!AY46+Submetering!AV46+Submetering!AZ46)*1.1251+(2076.11+129.67+207.57+207.57)/30+(11680.53+56.61)/30)/I45</f>
        <v>1.2814273546399775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Submetering!AF47+Submetering!AG47+Submetering!AV47+Submetering!AY47+Submetering!AZ47</f>
        <v>2604.9076</v>
      </c>
      <c r="J46" s="11">
        <f>((Submetering!AG47+Submetering!BA47)*0.8868+(1712.96+1070.52)/30+(Submetering!AF47+Submetering!AY47+Submetering!AV47+Submetering!AZ47)*1.1251+(2076.11+129.67+207.57+207.57)/30+(11680.53+56.61)/30)/I46</f>
        <v>1.3138873484904672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Submetering!AF48+Submetering!AG48+Submetering!AV48+Submetering!AY48+Submetering!AZ48</f>
        <v>6155.5477999999994</v>
      </c>
      <c r="J47" s="11">
        <f>((Submetering!AG48+Submetering!BA48)*0.8868+(1712.96+1070.52)/30+(Submetering!AF48+Submetering!AY48+Submetering!AV48+Submetering!AZ48)*1.1251+(2076.11+129.67+207.57+207.57)/30+(11680.53+56.61)/30)/I47</f>
        <v>1.1832425432886196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Submetering!AF49+Submetering!AG49+Submetering!AV49+Submetering!AY49+Submetering!AZ49</f>
        <v>6605.0459999999994</v>
      </c>
      <c r="J48" s="11">
        <f>((Submetering!AG49+Submetering!BA49)*0.8868+(1712.96+1070.52)/30+(Submetering!AF49+Submetering!AY49+Submetering!AV49+Submetering!AZ49)*1.1251+(2076.11+129.67+207.57+207.57)/30+(11680.53+56.61)/30)/I48</f>
        <v>1.1770127331417022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332947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8.0632051980645561E-2</v>
      </c>
      <c r="G49" s="4">
        <f>Submetering!AK50+Submetering!AL50+Submetering!AU50</f>
        <v>3544.5678000000003</v>
      </c>
      <c r="H49" s="11">
        <v>0.81659999999999999</v>
      </c>
      <c r="I49" s="4">
        <f>Submetering!AF50+Submetering!AG50+Submetering!AV50+Submetering!AY50+Submetering!AZ50</f>
        <v>6250.3919999999998</v>
      </c>
      <c r="J49" s="11">
        <f>((Submetering!AG50+Submetering!BA50)*0.8868+(1712.96+1070.52)/30+(Submetering!AF50+Submetering!AY50+Submetering!AV50+Submetering!AZ50)*1.1251+(2076.11+129.67+207.57+207.57)/30+(11680.53+56.61)/30)/I49</f>
        <v>1.185798629024654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325743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8.0582014880442573E-2</v>
      </c>
      <c r="G50" s="4">
        <f>Submetering!AK51+Submetering!AL51+Submetering!AU51</f>
        <v>4156.2689999999993</v>
      </c>
      <c r="H50" s="11">
        <v>0.81659999999999999</v>
      </c>
      <c r="I50" s="4">
        <f>Submetering!AF51+Submetering!AG51+Submetering!AV51+Submetering!AY51+Submetering!AZ51</f>
        <v>4910.7361999999994</v>
      </c>
      <c r="J50" s="11">
        <f>((Submetering!AG51+Submetering!BA51)*0.8868+(1712.96+1070.52)/30+(Submetering!AF51+Submetering!AY51+Submetering!AV51+Submetering!AZ51)*1.1251+(2076.11+129.67+207.57+207.57)/30+(11680.53+56.61)/30)/I50</f>
        <v>1.2097970199349473</v>
      </c>
      <c r="K50" s="4">
        <f>Elect!C53</f>
        <v>1755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311443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8.0750547185841376E-2</v>
      </c>
      <c r="G51" s="4">
        <f>Submetering!AK52+Submetering!AL52+Submetering!AU52</f>
        <v>10516.2682</v>
      </c>
      <c r="H51" s="11">
        <v>0.81659999999999999</v>
      </c>
      <c r="I51" s="4">
        <f>Submetering!AF52+Submetering!AG52+Submetering!AV52+Submetering!AY52+Submetering!AZ52</f>
        <v>6307.8860000000004</v>
      </c>
      <c r="J51" s="11">
        <f>((Submetering!AG52+Submetering!BA52)*0.8868+(1712.96+1070.52)/30+(Submetering!AF52+Submetering!AY52+Submetering!AV52+Submetering!AZ52)*1.1251+(2076.11+129.67+207.57+207.57)/30+(11680.53+56.61)/30)/I51</f>
        <v>1.1923066697379543</v>
      </c>
      <c r="K51" s="4">
        <f>Elect!C54</f>
        <v>1548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295100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8.074609611114876E-2</v>
      </c>
      <c r="G52" s="4">
        <f>Submetering!AK53+Submetering!AL53+Submetering!AU53</f>
        <v>5407.0883999999996</v>
      </c>
      <c r="H52" s="11">
        <v>0.81659999999999999</v>
      </c>
      <c r="I52" s="4">
        <f>Submetering!AF53+Submetering!AG53+Submetering!AV53+Submetering!AY53+Submetering!AZ53</f>
        <v>5115.1419999999998</v>
      </c>
      <c r="J52" s="11">
        <f>((Submetering!AG53+Submetering!BA53)*0.8868+(1712.96+1070.52)/30+(Submetering!AF53+Submetering!AY53+Submetering!AV53+Submetering!AZ53)*1.1251+(2076.11+129.67+207.57+207.57)/30+(11680.53+56.61)/30)/I52</f>
        <v>1.2054458175641394</v>
      </c>
      <c r="K52" s="4">
        <f>Elect!C55</f>
        <v>1935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311657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8.0694413220944824E-2</v>
      </c>
      <c r="G53" s="4">
        <f>Submetering!AK54+Submetering!AL54+Submetering!AU54</f>
        <v>4959.4636</v>
      </c>
      <c r="H53" s="11">
        <v>0.81659999999999999</v>
      </c>
      <c r="I53" s="4">
        <f>Submetering!AF54+Submetering!AG54+Submetering!AV54+Submetering!AY54+Submetering!AZ54</f>
        <v>4740.1617999999999</v>
      </c>
      <c r="J53" s="11">
        <f>((Submetering!AG54+Submetering!BA54)*0.8868+(1712.96+1070.52)/30+(Submetering!AF54+Submetering!AY54+Submetering!AV54+Submetering!AZ54)*1.1251+(2076.11+129.67+207.57+207.57)/30+(11680.53+56.61)/30)/I53</f>
        <v>1.2300681679614116</v>
      </c>
      <c r="K53" s="4">
        <f>Elect!C56</f>
        <v>1831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269170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8.0791111019801617E-2</v>
      </c>
      <c r="G54" s="4">
        <f>Submetering!AK55+Submetering!AL55+Submetering!AU55</f>
        <v>7397.5360000000001</v>
      </c>
      <c r="H54" s="11">
        <v>0.81659999999999999</v>
      </c>
      <c r="I54" s="4">
        <f>Submetering!AF55+Submetering!AG55+Submetering!AV55+Submetering!AY55+Submetering!AZ55</f>
        <v>4786.3090000000002</v>
      </c>
      <c r="J54" s="11">
        <f>((Submetering!AG55+Submetering!BA55)*0.8868+(1712.96+1070.52)/30+(Submetering!AF55+Submetering!AY55+Submetering!AV55+Submetering!AZ55)*1.1251+(2076.11+129.67+207.57+207.57)/30+(11680.53+56.61)/30)/I54</f>
        <v>1.2195422650578276</v>
      </c>
      <c r="K54" s="4">
        <f>Elect!C57</f>
        <v>1952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77248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8.0774363955053857E-2</v>
      </c>
      <c r="G55" s="4">
        <f>Submetering!AK56+Submetering!AL56+Submetering!AU56</f>
        <v>5927.8137999999999</v>
      </c>
      <c r="H55" s="11">
        <v>0.81659999999999999</v>
      </c>
      <c r="I55" s="4">
        <f>Submetering!AF56+Submetering!AG56+Submetering!AV56+Submetering!AY56+Submetering!AZ56</f>
        <v>1314.5188000000001</v>
      </c>
      <c r="J55" s="11">
        <f>((Submetering!AG56+Submetering!BA56)*0.8868+(1712.96+1070.52)/30+(Submetering!AF56+Submetering!AY56+Submetering!AV56+Submetering!AZ56)*1.1251+(2076.11+129.67+207.57+207.57)/30+(11680.53+56.61)/30)/I55</f>
        <v>1.5329938326836152</v>
      </c>
      <c r="K55" s="4">
        <f>Elect!C58</f>
        <v>371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202052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8.0809914928830204E-2</v>
      </c>
      <c r="G56" s="4">
        <f>Submetering!AK57+Submetering!AL57+Submetering!AU57</f>
        <v>1145.9698000000001</v>
      </c>
      <c r="H56" s="11">
        <v>0.81659999999999999</v>
      </c>
      <c r="I56" s="4">
        <f>Submetering!AF57+Submetering!AG57+Submetering!AV57+Submetering!AY57+Submetering!AZ57</f>
        <v>3611.7366000000006</v>
      </c>
      <c r="J56" s="11">
        <f>((Submetering!AG57+Submetering!BA57)*0.8868+(1712.96+1070.52)/30+(Submetering!AF57+Submetering!AY57+Submetering!AV57+Submetering!AZ57)*1.1251+(2076.11+129.67+207.57+207.57)/30+(11680.53+56.61)/30)/I56</f>
        <v>1.2629943400542185</v>
      </c>
      <c r="K56" s="4">
        <f>Elect!C59</f>
        <v>1157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323239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8.0676152940703322E-2</v>
      </c>
      <c r="G57" s="4">
        <f>Submetering!AK58+Submetering!AL58+Submetering!AU58</f>
        <v>4469.2939999999999</v>
      </c>
      <c r="H57" s="11">
        <v>0.81659999999999999</v>
      </c>
      <c r="I57" s="4">
        <f>Submetering!AF58+Submetering!AG58+Submetering!AV58+Submetering!AY58+Submetering!AZ58</f>
        <v>5259.5382</v>
      </c>
      <c r="J57" s="11">
        <f>((Submetering!AG58+Submetering!BA58)*0.8868+(1712.96+1070.52)/30+(Submetering!AF58+Submetering!AY58+Submetering!AV58+Submetering!AZ58)*1.1251+(2076.11+129.67+207.57+207.57)/30+(11680.53+56.61)/30)/I57</f>
        <v>1.21834440188811</v>
      </c>
      <c r="K57" s="4">
        <f>Elect!C60</f>
        <v>1689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331138</v>
      </c>
      <c r="F58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8.0662989002772259E-2</v>
      </c>
      <c r="G58" s="4">
        <f>Submetering!AK59+Submetering!AL59+Submetering!AU59</f>
        <v>4678.18</v>
      </c>
      <c r="H58" s="11">
        <v>0.81659999999999999</v>
      </c>
      <c r="I58" s="4">
        <f>Submetering!AF59+Submetering!AG59+Submetering!AV59+Submetering!AY59+Submetering!AZ59</f>
        <v>5849.9707999999991</v>
      </c>
      <c r="J58" s="11">
        <f>((Submetering!AG59+Submetering!BA59)*0.8868+(1712.96+1070.52)/30+(Submetering!AF59+Submetering!AY59+Submetering!AV59+Submetering!AZ59)*1.1251+(2076.11+129.67+207.57+207.57)/30+(11680.53+56.61)/30)/I58</f>
        <v>1.2003341512998094</v>
      </c>
      <c r="K58" s="4">
        <f>Elect!C61</f>
        <v>1425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290795</v>
      </c>
      <c r="F59" s="10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8.0763171593734431E-2</v>
      </c>
      <c r="G59" s="4">
        <f>Submetering!AK60+Submetering!AL60+Submetering!AU60</f>
        <v>7193.2936</v>
      </c>
      <c r="H59" s="11">
        <v>0.81659999999999999</v>
      </c>
      <c r="I59" s="4">
        <f>Submetering!AF60+Submetering!AG60+Submetering!AV60+Submetering!AY60+Submetering!AZ60</f>
        <v>4970.1985999999997</v>
      </c>
      <c r="J59" s="11">
        <f>((Submetering!AG60+Submetering!BA60)*0.8868+(1712.96+1070.52)/30+(Submetering!AF60+Submetering!AY60+Submetering!AV60+Submetering!AZ60)*1.1251+(2076.11+129.67+207.57+207.57)/30+(11680.53+56.61)/30)/I59</f>
        <v>1.2259096563277505</v>
      </c>
      <c r="K59" s="4">
        <f>Elect!C62</f>
        <v>1755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1430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AK35" activePane="bottomRight" state="frozen"/>
      <selection pane="topRight" activeCell="C1" sqref="C1"/>
      <selection pane="bottomLeft" activeCell="A2" sqref="A2"/>
      <selection pane="bottomRight" activeCell="AW42" sqref="AW4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562</v>
      </c>
      <c r="F50" s="47">
        <f>IF(Elect!I52&lt;0,"0",Elect!I52)</f>
        <v>46560</v>
      </c>
      <c r="G50" s="47">
        <f>Elect!H52</f>
        <v>2.08</v>
      </c>
      <c r="H50" s="47">
        <f>IF(Elect!F52&lt;0,"0",Elect!F52)</f>
        <v>40320</v>
      </c>
      <c r="I50" s="47">
        <f>Elect!E52</f>
        <v>1.88</v>
      </c>
      <c r="J50" s="47">
        <f>IF(Elect!U52&lt;0,"0",Elect!U52)</f>
        <v>78600</v>
      </c>
      <c r="K50" s="47">
        <f>Elect!T52</f>
        <v>2.8170000000000002</v>
      </c>
      <c r="L50" s="47">
        <f>IF(Elect!AJ52&lt;0,"0",Elect!AJ52)</f>
        <v>1600</v>
      </c>
      <c r="M50" s="47">
        <f>Elect!AI52</f>
        <v>0.30399999999999999</v>
      </c>
      <c r="N50" s="47">
        <f>IF(Elect!X52&lt;0,"0",Elect!X52)</f>
        <v>48900</v>
      </c>
      <c r="O50" s="47">
        <f>Elect!W52</f>
        <v>1.151</v>
      </c>
      <c r="P50" s="47">
        <f>IF(Elect!O52&lt;0,"0",Elect!O52)</f>
        <v>9600</v>
      </c>
      <c r="Q50" s="47">
        <f>Elect!N52</f>
        <v>1.88</v>
      </c>
      <c r="R50" s="47">
        <f>IF(Elect!L52&lt;0,"0",Elect!L52)</f>
        <v>10000</v>
      </c>
      <c r="S50" s="47">
        <f>Elect!K52</f>
        <v>2</v>
      </c>
      <c r="T50" s="47">
        <f>IF(Elect!R52&lt;0,"0",Elect!R52)</f>
        <v>10400</v>
      </c>
      <c r="U50" s="47">
        <f>Elect!Q52</f>
        <v>1.93</v>
      </c>
      <c r="V50" s="47">
        <f>IF(Elect!AA52&lt;0,"0",Elect!AA52)</f>
        <v>5920</v>
      </c>
      <c r="W50" s="47">
        <f>Elect!Z52</f>
        <v>2.85</v>
      </c>
      <c r="X50" s="47">
        <f>IF(Elect!AD52&lt;0,"0",Elect!AD52)</f>
        <v>4160</v>
      </c>
      <c r="Y50" s="47">
        <f>Elect!AC52</f>
        <v>2.82</v>
      </c>
      <c r="Z50" s="47">
        <f>IF(Elect!AG52&lt;0,"0",Elect!AG52)</f>
        <v>55400</v>
      </c>
      <c r="AA50" s="47">
        <f>Elect!AF52</f>
        <v>2.0179999999999998</v>
      </c>
      <c r="AB50" s="47">
        <f>IF(Elect!AX52&lt;0,"0",Elect!AX52)</f>
        <v>2000</v>
      </c>
      <c r="AC50" s="47">
        <f>IF(Elect!AV52&lt;0,"0",Elect!AV52)</f>
        <v>16300</v>
      </c>
      <c r="AD50" s="47">
        <f>IF(Elect!AZ52&lt;0,"0",Elect!AZ52)</f>
        <v>747</v>
      </c>
      <c r="AE50" s="47">
        <f>IF(Elect!BB52&lt;0,"0",Elect!BB52)</f>
        <v>2440</v>
      </c>
      <c r="AF50" s="228">
        <f>IF('Wtr-Gas'!E52&lt;0,"0",('Wtr-Gas'!E52)*0.0038)</f>
        <v>5206.95</v>
      </c>
      <c r="AG50" s="228">
        <f>IF('Wtr-Gas'!H52&lt;0,"0",('Wtr-Gas'!H52)*0.0038)</f>
        <v>807.31</v>
      </c>
      <c r="AH50" s="228">
        <f>IF('Wtr-Gas'!K52&lt;0,"0",('Wtr-Gas'!K52)*0.0038)</f>
        <v>0.60799999999999998</v>
      </c>
      <c r="AI50" s="228">
        <f>IF('Wtr-Gas'!N52&lt;0,"0",('Wtr-Gas'!N52)*0.0038)</f>
        <v>3750.6</v>
      </c>
      <c r="AJ50" s="228">
        <f>IF('Wtr-Gas'!Q52&lt;0,"0",('Wtr-Gas'!Q52)*0.0038)</f>
        <v>133.76</v>
      </c>
      <c r="AK50" s="229">
        <f>IF('Wtr-Gas'!U52&lt;0,"0",('Wtr-Gas'!U52)*0.0038)</f>
        <v>853.48</v>
      </c>
      <c r="AL50" s="229">
        <f>IF('Wtr-Gas'!X52&lt;0,"0",('Wtr-Gas'!X52)*0.0038)</f>
        <v>2690.4</v>
      </c>
      <c r="AM50" s="228">
        <f>IF('Wtr-Gas'!AB52&lt;0,"0",('Wtr-Gas'!AB52)*0.0038)</f>
        <v>10222</v>
      </c>
      <c r="AN50" s="228">
        <f>IF('Wtr-Gas'!AD52&lt;0,"0",('Wtr-Gas'!AD52)*0.0038)</f>
        <v>2940.326</v>
      </c>
      <c r="AO50" s="228">
        <f>IF('Wtr-Gas'!AF52&lt;0,"0",('Wtr-Gas'!AF52)*0.0038)</f>
        <v>12.084</v>
      </c>
      <c r="AP50" s="228">
        <f>IF('Wtr-Gas'!AH52&lt;0,"0",('Wtr-Gas'!AH52)*0.0038)</f>
        <v>526.41399999999999</v>
      </c>
      <c r="AQ50" s="228">
        <f>IF('Wtr-Gas'!AJ52&lt;0,"0",('Wtr-Gas'!AJ52)*0.0038)</f>
        <v>36.065800000000003</v>
      </c>
      <c r="AR50" s="228">
        <f>IF('Wtr-Gas'!AL52&lt;0,"0",('Wtr-Gas'!AL52)*0.0038)</f>
        <v>691.6</v>
      </c>
      <c r="AS50" s="228">
        <f>IF('Wtr-Gas'!AN52&lt;0,"0",('Wtr-Gas'!AN52)*0.0038)</f>
        <v>2.2800000000000001E-2</v>
      </c>
      <c r="AT50" s="228">
        <f>IF('Wtr-Gas'!AP52&lt;0,"0",('Wtr-Gas'!AP52)*0.0038)</f>
        <v>6.84</v>
      </c>
      <c r="AU50" s="249">
        <f>IF('Wtr-Gas'!AT52&lt;0,"0",('Wtr-Gas'!AT52)*0.0038)</f>
        <v>0.68779999999999997</v>
      </c>
      <c r="AV50" s="228">
        <f>IF('Wtr-Gas'!AW52&lt;0,"0",('Wtr-Gas'!AW52)*0.0038)</f>
        <v>214.852</v>
      </c>
      <c r="AW50" s="228">
        <f>IF('Wtr-Gas'!AY52&lt;0,"0",('Wtr-Gas'!AY52)*0.0038)</f>
        <v>172.26239799999999</v>
      </c>
      <c r="AX50" s="228">
        <f>IF('Wtr-Gas'!AZ52&lt;0,"0",('Wtr-Gas'!AZ52)*0.0038)</f>
        <v>42.589602000000006</v>
      </c>
      <c r="AY50" s="228">
        <f>IF('Wtr-Gas'!BB52&lt;0,"0",('Wtr-Gas'!BB52)*0.0038)</f>
        <v>9.5</v>
      </c>
      <c r="AZ50" s="228">
        <f>IF('Wtr-Gas'!BD52&lt;0,"0",('Wtr-Gas'!BD52)*0.0038)</f>
        <v>11.78</v>
      </c>
      <c r="BA50" s="228">
        <f>IF('Wtr-Gas'!BF52&lt;0,"0",('Wtr-Gas'!BF52)*0.0038)</f>
        <v>0.437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598</v>
      </c>
      <c r="F51" s="47">
        <f>IF(Elect!I53&lt;0,"0",Elect!I53)</f>
        <v>47680</v>
      </c>
      <c r="G51" s="47">
        <f>Elect!H53</f>
        <v>2.3849999999999998</v>
      </c>
      <c r="H51" s="47">
        <f>IF(Elect!F53&lt;0,"0",Elect!F53)</f>
        <v>40480</v>
      </c>
      <c r="I51" s="47">
        <f>Elect!E53</f>
        <v>1.9419999999999999</v>
      </c>
      <c r="J51" s="47">
        <f>IF(Elect!U53&lt;0,"0",Elect!U53)</f>
        <v>49500</v>
      </c>
      <c r="K51" s="47">
        <f>Elect!T53</f>
        <v>2.8769999999999998</v>
      </c>
      <c r="L51" s="47">
        <f>IF(Elect!AJ53&lt;0,"0",Elect!AJ53)</f>
        <v>1520</v>
      </c>
      <c r="M51" s="47">
        <f>Elect!AI53</f>
        <v>0.314</v>
      </c>
      <c r="N51" s="47">
        <f>IF(Elect!X53&lt;0,"0",Elect!X53)</f>
        <v>83400</v>
      </c>
      <c r="O51" s="47">
        <f>Elect!W53</f>
        <v>2.1819999999999999</v>
      </c>
      <c r="P51" s="47">
        <f>IF(Elect!O53&lt;0,"0",Elect!O53)</f>
        <v>10000</v>
      </c>
      <c r="Q51" s="47">
        <f>Elect!N53</f>
        <v>2.12</v>
      </c>
      <c r="R51" s="47">
        <f>IF(Elect!L53&lt;0,"0",Elect!L53)</f>
        <v>11200</v>
      </c>
      <c r="S51" s="47">
        <f>Elect!K53</f>
        <v>2.35</v>
      </c>
      <c r="T51" s="47">
        <f>IF(Elect!R53&lt;0,"0",Elect!R53)</f>
        <v>10400</v>
      </c>
      <c r="U51" s="47">
        <f>Elect!Q53</f>
        <v>2.38</v>
      </c>
      <c r="V51" s="47">
        <f>IF(Elect!AA53&lt;0,"0",Elect!AA53)</f>
        <v>6880</v>
      </c>
      <c r="W51" s="47">
        <f>Elect!Z53</f>
        <v>3.65</v>
      </c>
      <c r="X51" s="47">
        <f>IF(Elect!AD53&lt;0,"0",Elect!AD53)</f>
        <v>320</v>
      </c>
      <c r="Y51" s="47">
        <f>Elect!AC53</f>
        <v>3.04</v>
      </c>
      <c r="Z51" s="47">
        <f>IF(Elect!AG53&lt;0,"0",Elect!AG53)</f>
        <v>52400</v>
      </c>
      <c r="AA51" s="47">
        <f>Elect!AF53</f>
        <v>2.9180000000000001</v>
      </c>
      <c r="AB51" s="47">
        <f>IF(Elect!AX53&lt;0,"0",Elect!AX53)</f>
        <v>1300</v>
      </c>
      <c r="AC51" s="47">
        <f>IF(Elect!AV53&lt;0,"0",Elect!AV53)</f>
        <v>9600</v>
      </c>
      <c r="AD51" s="47">
        <f>IF(Elect!AZ53&lt;0,"0",Elect!AZ53)</f>
        <v>463</v>
      </c>
      <c r="AE51" s="47">
        <f>IF(Elect!BB53&lt;0,"0",Elect!BB53)</f>
        <v>600</v>
      </c>
      <c r="AF51" s="228">
        <f>IF('Wtr-Gas'!E53&lt;0,"0",('Wtr-Gas'!E53)*0.0038)</f>
        <v>4110.5360000000001</v>
      </c>
      <c r="AG51" s="228">
        <f>IF('Wtr-Gas'!H53&lt;0,"0",('Wtr-Gas'!H53)*0.0038)</f>
        <v>652.49800000000005</v>
      </c>
      <c r="AH51" s="228">
        <f>IF('Wtr-Gas'!K53&lt;0,"0",('Wtr-Gas'!K53)*0.0038)</f>
        <v>0.60799999999999998</v>
      </c>
      <c r="AI51" s="228">
        <f>IF('Wtr-Gas'!N53&lt;0,"0",('Wtr-Gas'!N53)*0.0038)</f>
        <v>3758.2</v>
      </c>
      <c r="AJ51" s="228">
        <f>IF('Wtr-Gas'!Q53&lt;0,"0",('Wtr-Gas'!Q53)*0.0038)</f>
        <v>144.02000000000001</v>
      </c>
      <c r="AK51" s="229">
        <f>IF('Wtr-Gas'!U53&lt;0,"0",('Wtr-Gas'!U53)*0.0038)</f>
        <v>929.86</v>
      </c>
      <c r="AL51" s="229">
        <f>IF('Wtr-Gas'!X53&lt;0,"0",('Wtr-Gas'!X53)*0.0038)</f>
        <v>3226.2</v>
      </c>
      <c r="AM51" s="228">
        <f>IF('Wtr-Gas'!AB53&lt;0,"0",('Wtr-Gas'!AB53)*0.0038)</f>
        <v>8436</v>
      </c>
      <c r="AN51" s="228">
        <f>IF('Wtr-Gas'!AD53&lt;0,"0",('Wtr-Gas'!AD53)*0.0038)</f>
        <v>2496.3339999999998</v>
      </c>
      <c r="AO51" s="228">
        <f>IF('Wtr-Gas'!AF53&lt;0,"0",('Wtr-Gas'!AF53)*0.0038)</f>
        <v>1.3680000000000001</v>
      </c>
      <c r="AP51" s="228">
        <f>IF('Wtr-Gas'!AH53&lt;0,"0",('Wtr-Gas'!AH53)*0.0038)</f>
        <v>347.928</v>
      </c>
      <c r="AQ51" s="228">
        <f>IF('Wtr-Gas'!AJ53&lt;0,"0",('Wtr-Gas'!AJ53)*0.0038)</f>
        <v>23.252199999999998</v>
      </c>
      <c r="AR51" s="228">
        <f>IF('Wtr-Gas'!AL53&lt;0,"0",('Wtr-Gas'!AL53)*0.0038)</f>
        <v>535.79999999999995</v>
      </c>
      <c r="AS51" s="228">
        <f>IF('Wtr-Gas'!AN53&lt;0,"0",('Wtr-Gas'!AN53)*0.0038)</f>
        <v>1.9E-2</v>
      </c>
      <c r="AT51" s="228">
        <f>IF('Wtr-Gas'!AP53&lt;0,"0",('Wtr-Gas'!AP53)*0.0038)</f>
        <v>6.84</v>
      </c>
      <c r="AU51" s="249">
        <f>IF('Wtr-Gas'!AT53&lt;0,"0",('Wtr-Gas'!AT53)*0.0038)</f>
        <v>0.20899999999999999</v>
      </c>
      <c r="AV51" s="228">
        <f>IF('Wtr-Gas'!AW53&lt;0,"0",('Wtr-Gas'!AW53)*0.0038)</f>
        <v>137.06219999999999</v>
      </c>
      <c r="AW51" s="228">
        <f>IF('Wtr-Gas'!AY53&lt;0,"0",('Wtr-Gas'!AY53)*0.0038)</f>
        <v>108.99893400000001</v>
      </c>
      <c r="AX51" s="228">
        <f>IF('Wtr-Gas'!AZ53&lt;0,"0",('Wtr-Gas'!AZ53)*0.0038)</f>
        <v>28.063265999999999</v>
      </c>
      <c r="AY51" s="228">
        <f>IF('Wtr-Gas'!BB53&lt;0,"0",('Wtr-Gas'!BB53)*0.0038)</f>
        <v>8.74</v>
      </c>
      <c r="AZ51" s="228">
        <f>IF('Wtr-Gas'!BD53&lt;0,"0",('Wtr-Gas'!BD53)*0.0038)</f>
        <v>1.9</v>
      </c>
      <c r="BA51" s="228">
        <f>IF('Wtr-Gas'!BF53&lt;0,"0",('Wtr-Gas'!BF53)*0.0038)</f>
        <v>3.4200000000000001E-2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593</v>
      </c>
      <c r="F52" s="47">
        <f>IF(Elect!I54&lt;0,"0",Elect!I54)</f>
        <v>48800</v>
      </c>
      <c r="G52" s="47">
        <f>Elect!H54</f>
        <v>2.3849999999999998</v>
      </c>
      <c r="H52" s="47">
        <f>IF(Elect!F54&lt;0,"0",Elect!F54)</f>
        <v>41600</v>
      </c>
      <c r="I52" s="47">
        <f>Elect!E54</f>
        <v>1.9419999999999999</v>
      </c>
      <c r="J52" s="47">
        <f>IF(Elect!U54&lt;0,"0",Elect!U54)</f>
        <v>45600</v>
      </c>
      <c r="K52" s="47">
        <f>Elect!T54</f>
        <v>2.8769999999999998</v>
      </c>
      <c r="L52" s="47">
        <f>IF(Elect!AJ54&lt;0,"0",Elect!AJ54)</f>
        <v>1600</v>
      </c>
      <c r="M52" s="47">
        <f>Elect!AI54</f>
        <v>0.32400000000000001</v>
      </c>
      <c r="N52" s="47">
        <f>IF(Elect!X54&lt;0,"0",Elect!X54)</f>
        <v>45300</v>
      </c>
      <c r="O52" s="47">
        <f>Elect!W54</f>
        <v>2.1819999999999999</v>
      </c>
      <c r="P52" s="47">
        <f>IF(Elect!O54&lt;0,"0",Elect!O54)</f>
        <v>11600</v>
      </c>
      <c r="Q52" s="47">
        <f>Elect!N54</f>
        <v>2.2400000000000002</v>
      </c>
      <c r="R52" s="47">
        <f>IF(Elect!L54&lt;0,"0",Elect!L54)</f>
        <v>13200</v>
      </c>
      <c r="S52" s="47">
        <f>Elect!K54</f>
        <v>3.06</v>
      </c>
      <c r="T52" s="47">
        <f>IF(Elect!R54&lt;0,"0",Elect!R54)</f>
        <v>11600</v>
      </c>
      <c r="U52" s="47">
        <f>Elect!Q54</f>
        <v>2.74</v>
      </c>
      <c r="V52" s="47">
        <f>IF(Elect!AA54&lt;0,"0",Elect!AA54)</f>
        <v>7040</v>
      </c>
      <c r="W52" s="47">
        <f>Elect!Z54</f>
        <v>3.86</v>
      </c>
      <c r="X52" s="47">
        <f>IF(Elect!AD54&lt;0,"0",Elect!AD54)</f>
        <v>8960</v>
      </c>
      <c r="Y52" s="47">
        <f>Elect!AC54</f>
        <v>3.2</v>
      </c>
      <c r="Z52" s="47">
        <f>IF(Elect!AG54&lt;0,"0",Elect!AG54)</f>
        <v>55200</v>
      </c>
      <c r="AA52" s="47">
        <f>Elect!AF54</f>
        <v>2.1579999999999999</v>
      </c>
      <c r="AB52" s="47">
        <f>IF(Elect!AX54&lt;0,"0",Elect!AX54)</f>
        <v>1800</v>
      </c>
      <c r="AC52" s="47">
        <f>IF(Elect!AV54&lt;0,"0",Elect!AV54)</f>
        <v>15100</v>
      </c>
      <c r="AD52" s="47">
        <f>IF(Elect!AZ54&lt;0,"0",Elect!AZ54)</f>
        <v>963</v>
      </c>
      <c r="AE52" s="47">
        <f>IF(Elect!BB54&lt;0,"0",Elect!BB54)</f>
        <v>3080</v>
      </c>
      <c r="AF52" s="228">
        <f>IF('Wtr-Gas'!E54&lt;0,"0",('Wtr-Gas'!E54)*0.0038)</f>
        <v>5434.9880000000003</v>
      </c>
      <c r="AG52" s="228">
        <f>IF('Wtr-Gas'!H54&lt;0,"0",('Wtr-Gas'!H54)*0.0038)</f>
        <v>618.86800000000005</v>
      </c>
      <c r="AH52" s="228">
        <f>IF('Wtr-Gas'!K54&lt;0,"0",('Wtr-Gas'!K54)*0.0038)</f>
        <v>0.60799999999999998</v>
      </c>
      <c r="AI52" s="228">
        <f>IF('Wtr-Gas'!N54&lt;0,"0",('Wtr-Gas'!N54)*0.0038)</f>
        <v>3667</v>
      </c>
      <c r="AJ52" s="228">
        <f>IF('Wtr-Gas'!Q54&lt;0,"0",('Wtr-Gas'!Q54)*0.0038)</f>
        <v>138.69999999999999</v>
      </c>
      <c r="AK52" s="229">
        <f>IF('Wtr-Gas'!U54&lt;0,"0",('Wtr-Gas'!U54)*0.0038)</f>
        <v>4762.54</v>
      </c>
      <c r="AL52" s="229">
        <f>IF('Wtr-Gas'!X54&lt;0,"0",('Wtr-Gas'!X54)*0.0038)</f>
        <v>5753.2</v>
      </c>
      <c r="AM52" s="228">
        <f>IF('Wtr-Gas'!AB54&lt;0,"0",('Wtr-Gas'!AB54)*0.0038)</f>
        <v>6840</v>
      </c>
      <c r="AN52" s="228">
        <f>IF('Wtr-Gas'!AD54&lt;0,"0",('Wtr-Gas'!AD54)*0.0038)</f>
        <v>2267.5740000000001</v>
      </c>
      <c r="AO52" s="228">
        <f>IF('Wtr-Gas'!AF54&lt;0,"0",('Wtr-Gas'!AF54)*0.0038)</f>
        <v>6.65</v>
      </c>
      <c r="AP52" s="228">
        <f>IF('Wtr-Gas'!AH54&lt;0,"0",('Wtr-Gas'!AH54)*0.0038)</f>
        <v>316.04599999999999</v>
      </c>
      <c r="AQ52" s="228">
        <f>IF('Wtr-Gas'!AJ54&lt;0,"0",('Wtr-Gas'!AJ54)*0.0038)</f>
        <v>38.091200000000001</v>
      </c>
      <c r="AR52" s="228">
        <f>IF('Wtr-Gas'!AL54&lt;0,"0",('Wtr-Gas'!AL54)*0.0038)</f>
        <v>456</v>
      </c>
      <c r="AS52" s="228">
        <f>IF('Wtr-Gas'!AN54&lt;0,"0",('Wtr-Gas'!AN54)*0.0038)</f>
        <v>4.1799999999999997E-2</v>
      </c>
      <c r="AT52" s="228">
        <f>IF('Wtr-Gas'!AP54&lt;0,"0",('Wtr-Gas'!AP54)*0.0038)</f>
        <v>18.62</v>
      </c>
      <c r="AU52" s="249">
        <f>IF('Wtr-Gas'!AT54&lt;0,"0",('Wtr-Gas'!AT54)*0.0038)</f>
        <v>0.5282</v>
      </c>
      <c r="AV52" s="228">
        <f>IF('Wtr-Gas'!AW54&lt;0,"0",('Wtr-Gas'!AW54)*0.0038)</f>
        <v>228.57</v>
      </c>
      <c r="AW52" s="228">
        <f>IF('Wtr-Gas'!AY54&lt;0,"0",('Wtr-Gas'!AY54)*0.0038)</f>
        <v>181.79131599999999</v>
      </c>
      <c r="AX52" s="228">
        <f>IF('Wtr-Gas'!AZ54&lt;0,"0",('Wtr-Gas'!AZ54)*0.0038)</f>
        <v>46.778683999999998</v>
      </c>
      <c r="AY52" s="228">
        <f>IF('Wtr-Gas'!BB54&lt;0,"0",('Wtr-Gas'!BB54)*0.0038)</f>
        <v>22.8</v>
      </c>
      <c r="AZ52" s="228">
        <f>IF('Wtr-Gas'!BD54&lt;0,"0",('Wtr-Gas'!BD54)*0.0038)</f>
        <v>2.66</v>
      </c>
      <c r="BA52" s="228">
        <f>IF('Wtr-Gas'!BF54&lt;0,"0",('Wtr-Gas'!BF54)*0.0038)</f>
        <v>2.6599999999999999E-2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622</v>
      </c>
      <c r="F53" s="47">
        <f>IF(Elect!I55&lt;0,"0",Elect!I55)</f>
        <v>48640</v>
      </c>
      <c r="G53" s="47">
        <f>Elect!H55</f>
        <v>2.3849999999999998</v>
      </c>
      <c r="H53" s="47">
        <f>IF(Elect!F55&lt;0,"0",Elect!F55)</f>
        <v>40800</v>
      </c>
      <c r="I53" s="47">
        <f>Elect!E55</f>
        <v>1.9419999999999999</v>
      </c>
      <c r="J53" s="47">
        <f>IF(Elect!U55&lt;0,"0",Elect!U55)</f>
        <v>46200</v>
      </c>
      <c r="K53" s="47">
        <f>Elect!T55</f>
        <v>2.8769999999999998</v>
      </c>
      <c r="L53" s="47">
        <f>IF(Elect!AJ55&lt;0,"0",Elect!AJ55)</f>
        <v>1560</v>
      </c>
      <c r="M53" s="47">
        <f>Elect!AI55</f>
        <v>0.32400000000000001</v>
      </c>
      <c r="N53" s="47">
        <f>IF(Elect!X55&lt;0,"0",Elect!X55)</f>
        <v>48600</v>
      </c>
      <c r="O53" s="47">
        <f>Elect!W55</f>
        <v>2.1819999999999999</v>
      </c>
      <c r="P53" s="47">
        <f>IF(Elect!O55&lt;0,"0",Elect!O55)</f>
        <v>10400</v>
      </c>
      <c r="Q53" s="47">
        <f>Elect!N55</f>
        <v>2.2400000000000002</v>
      </c>
      <c r="R53" s="47">
        <f>IF(Elect!L55&lt;0,"0",Elect!L55)</f>
        <v>12000</v>
      </c>
      <c r="S53" s="47">
        <f>Elect!K55</f>
        <v>3.06</v>
      </c>
      <c r="T53" s="47">
        <f>IF(Elect!R55&lt;0,"0",Elect!R55)</f>
        <v>11200</v>
      </c>
      <c r="U53" s="47">
        <f>Elect!Q55</f>
        <v>2.9</v>
      </c>
      <c r="V53" s="47">
        <f>IF(Elect!AA55&lt;0,"0",Elect!AA55)</f>
        <v>5600</v>
      </c>
      <c r="W53" s="47">
        <f>Elect!Z55</f>
        <v>3.86</v>
      </c>
      <c r="X53" s="47">
        <f>IF(Elect!AD55&lt;0,"0",Elect!AD55)</f>
        <v>4000</v>
      </c>
      <c r="Y53" s="47">
        <f>Elect!AC55</f>
        <v>3.2</v>
      </c>
      <c r="Z53" s="47">
        <f>IF(Elect!AG55&lt;0,"0",Elect!AG55)</f>
        <v>48600</v>
      </c>
      <c r="AA53" s="47">
        <f>Elect!AF55</f>
        <v>2.1579999999999999</v>
      </c>
      <c r="AB53" s="47">
        <f>IF(Elect!AX55&lt;0,"0",Elect!AX55)</f>
        <v>1700</v>
      </c>
      <c r="AC53" s="47">
        <f>IF(Elect!AV55&lt;0,"0",Elect!AV55)</f>
        <v>12500</v>
      </c>
      <c r="AD53" s="47">
        <f>IF(Elect!AZ55&lt;0,"0",Elect!AZ55)</f>
        <v>780</v>
      </c>
      <c r="AE53" s="47">
        <f>IF(Elect!BB55&lt;0,"0",Elect!BB55)</f>
        <v>2520</v>
      </c>
      <c r="AF53" s="228">
        <f>IF('Wtr-Gas'!E55&lt;0,"0",('Wtr-Gas'!E55)*0.0038)</f>
        <v>4231.7179999999998</v>
      </c>
      <c r="AG53" s="228">
        <f>IF('Wtr-Gas'!H55&lt;0,"0",('Wtr-Gas'!H55)*0.0038)</f>
        <v>673.36</v>
      </c>
      <c r="AH53" s="228">
        <f>IF('Wtr-Gas'!K55&lt;0,"0",('Wtr-Gas'!K55)*0.0038)</f>
        <v>0.68400000000000005</v>
      </c>
      <c r="AI53" s="228">
        <f>IF('Wtr-Gas'!N55&lt;0,"0",('Wtr-Gas'!N55)*0.0038)</f>
        <v>3214.8</v>
      </c>
      <c r="AJ53" s="228">
        <f>IF('Wtr-Gas'!Q55&lt;0,"0",('Wtr-Gas'!Q55)*0.0038)</f>
        <v>127.3</v>
      </c>
      <c r="AK53" s="229">
        <f>IF('Wtr-Gas'!U55&lt;0,"0",('Wtr-Gas'!U55)*0.0038)</f>
        <v>873.24</v>
      </c>
      <c r="AL53" s="229">
        <f>IF('Wtr-Gas'!X55&lt;0,"0",('Wtr-Gas'!X55)*0.0038)</f>
        <v>4533.3999999999996</v>
      </c>
      <c r="AM53" s="228">
        <f>IF('Wtr-Gas'!AB55&lt;0,"0",('Wtr-Gas'!AB55)*0.0038)</f>
        <v>6232</v>
      </c>
      <c r="AN53" s="228">
        <f>IF('Wtr-Gas'!AD55&lt;0,"0",('Wtr-Gas'!AD55)*0.0038)</f>
        <v>1886.13</v>
      </c>
      <c r="AO53" s="228">
        <f>IF('Wtr-Gas'!AF55&lt;0,"0",('Wtr-Gas'!AF55)*0.0038)</f>
        <v>4.7880000000000003</v>
      </c>
      <c r="AP53" s="228">
        <f>IF('Wtr-Gas'!AH55&lt;0,"0",('Wtr-Gas'!AH55)*0.0038)</f>
        <v>266.41800000000001</v>
      </c>
      <c r="AQ53" s="228">
        <f>IF('Wtr-Gas'!AJ55&lt;0,"0",('Wtr-Gas'!AJ55)*0.0038)</f>
        <v>455.9468</v>
      </c>
      <c r="AR53" s="228">
        <f>IF('Wtr-Gas'!AL55&lt;0,"0",('Wtr-Gas'!AL55)*0.0038)</f>
        <v>509.2</v>
      </c>
      <c r="AS53" s="228">
        <f>IF('Wtr-Gas'!AN55&lt;0,"0",('Wtr-Gas'!AN55)*0.0038)</f>
        <v>3.04E-2</v>
      </c>
      <c r="AT53" s="228">
        <f>IF('Wtr-Gas'!AP55&lt;0,"0",('Wtr-Gas'!AP55)*0.0038)</f>
        <v>11.02</v>
      </c>
      <c r="AU53" s="249">
        <f>IF('Wtr-Gas'!AT55&lt;0,"0",('Wtr-Gas'!AT55)*0.0038)</f>
        <v>0.44840000000000002</v>
      </c>
      <c r="AV53" s="228">
        <f>IF('Wtr-Gas'!AW55&lt;0,"0",('Wtr-Gas'!AW55)*0.0038)</f>
        <v>191.06399999999999</v>
      </c>
      <c r="AW53" s="228">
        <f>IF('Wtr-Gas'!AY55&lt;0,"0",('Wtr-Gas'!AY55)*0.0038)</f>
        <v>152.85731799999999</v>
      </c>
      <c r="AX53" s="228">
        <f>IF('Wtr-Gas'!AZ55&lt;0,"0",('Wtr-Gas'!AZ55)*0.0038)</f>
        <v>38.206682000000001</v>
      </c>
      <c r="AY53" s="228">
        <f>IF('Wtr-Gas'!BB55&lt;0,"0",('Wtr-Gas'!BB55)*0.0038)</f>
        <v>18.239999999999998</v>
      </c>
      <c r="AZ53" s="228">
        <f>IF('Wtr-Gas'!BD55&lt;0,"0",('Wtr-Gas'!BD55)*0.0038)</f>
        <v>0.76</v>
      </c>
      <c r="BA53" s="228">
        <f>IF('Wtr-Gas'!BF55&lt;0,"0",('Wtr-Gas'!BF55)*0.0038)</f>
        <v>6.4600000000000005E-2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614</v>
      </c>
      <c r="F54" s="47">
        <f>IF(Elect!I56&lt;0,"0",Elect!I56)</f>
        <v>50080</v>
      </c>
      <c r="G54" s="47">
        <f>Elect!H56</f>
        <v>1.827</v>
      </c>
      <c r="H54" s="47">
        <f>IF(Elect!F56&lt;0,"0",Elect!F56)</f>
        <v>42240</v>
      </c>
      <c r="I54" s="47">
        <f>Elect!E56</f>
        <v>1.5529999999999999</v>
      </c>
      <c r="J54" s="47">
        <f>IF(Elect!U56&lt;0,"0",Elect!U56)</f>
        <v>48300</v>
      </c>
      <c r="K54" s="47">
        <f>Elect!T56</f>
        <v>1.1040000000000001</v>
      </c>
      <c r="L54" s="47">
        <f>IF(Elect!AJ56&lt;0,"0",Elect!AJ56)</f>
        <v>1640</v>
      </c>
      <c r="M54" s="47">
        <f>Elect!AI56</f>
        <v>0.28100000000000003</v>
      </c>
      <c r="N54" s="47">
        <f>IF(Elect!X56&lt;0,"0",Elect!X56)</f>
        <v>56100</v>
      </c>
      <c r="O54" s="47">
        <f>Elect!W56</f>
        <v>1.2030000000000001</v>
      </c>
      <c r="P54" s="47">
        <f>IF(Elect!O56&lt;0,"0",Elect!O56)</f>
        <v>11600</v>
      </c>
      <c r="Q54" s="47">
        <f>Elect!N56</f>
        <v>1.65</v>
      </c>
      <c r="R54" s="47">
        <f>IF(Elect!L56&lt;0,"0",Elect!L56)</f>
        <v>12800</v>
      </c>
      <c r="S54" s="47">
        <f>Elect!K56</f>
        <v>1.74</v>
      </c>
      <c r="T54" s="47">
        <f>IF(Elect!R56&lt;0,"0",Elect!R56)</f>
        <v>12000</v>
      </c>
      <c r="U54" s="47">
        <f>Elect!Q56</f>
        <v>1.56</v>
      </c>
      <c r="V54" s="47">
        <f>IF(Elect!AA56&lt;0,"0",Elect!AA56)</f>
        <v>5920</v>
      </c>
      <c r="W54" s="47">
        <f>Elect!Z56</f>
        <v>1.85</v>
      </c>
      <c r="X54" s="47">
        <f>IF(Elect!AD56&lt;0,"0",Elect!AD56)</f>
        <v>3840</v>
      </c>
      <c r="Y54" s="47">
        <f>Elect!AC56</f>
        <v>1.01</v>
      </c>
      <c r="Z54" s="47">
        <f>IF(Elect!AG56&lt;0,"0",Elect!AG56)</f>
        <v>50800</v>
      </c>
      <c r="AA54" s="47">
        <f>Elect!AF56</f>
        <v>1.1850000000000001</v>
      </c>
      <c r="AB54" s="47">
        <f>IF(Elect!AX56&lt;0,"0",Elect!AX56)</f>
        <v>1500</v>
      </c>
      <c r="AC54" s="47">
        <f>IF(Elect!AV56&lt;0,"0",Elect!AV56)</f>
        <v>13100</v>
      </c>
      <c r="AD54" s="47">
        <f>IF(Elect!AZ56&lt;0,"0",Elect!AZ56)</f>
        <v>737</v>
      </c>
      <c r="AE54" s="47">
        <f>IF(Elect!BB56&lt;0,"0",Elect!BB56)</f>
        <v>1000</v>
      </c>
      <c r="AF54" s="228">
        <f>IF('Wtr-Gas'!E56&lt;0,"0",('Wtr-Gas'!E56)*0.0038)</f>
        <v>4227.5</v>
      </c>
      <c r="AG54" s="228">
        <f>IF('Wtr-Gas'!H56&lt;0,"0",('Wtr-Gas'!H56)*0.0038)</f>
        <v>309.81400000000002</v>
      </c>
      <c r="AH54" s="228">
        <f>IF('Wtr-Gas'!K56&lt;0,"0",('Wtr-Gas'!K56)*0.0038)</f>
        <v>1.1399999999999999</v>
      </c>
      <c r="AI54" s="228">
        <f>IF('Wtr-Gas'!N56&lt;0,"0",('Wtr-Gas'!N56)*0.0038)</f>
        <v>3176.8</v>
      </c>
      <c r="AJ54" s="228">
        <f>IF('Wtr-Gas'!Q56&lt;0,"0",('Wtr-Gas'!Q56)*0.0038)</f>
        <v>140.97999999999999</v>
      </c>
      <c r="AK54" s="229" t="str">
        <f>IF('Wtr-Gas'!U56&lt;0,"0",('Wtr-Gas'!U56)*0.0038)</f>
        <v>0</v>
      </c>
      <c r="AL54" s="229">
        <f>IF('Wtr-Gas'!X56&lt;0,"0",('Wtr-Gas'!X56)*0.0038)</f>
        <v>4959</v>
      </c>
      <c r="AM54" s="228">
        <f>IF('Wtr-Gas'!AB56&lt;0,"0",('Wtr-Gas'!AB56)*0.0038)</f>
        <v>7106</v>
      </c>
      <c r="AN54" s="228">
        <f>IF('Wtr-Gas'!AD56&lt;0,"0",('Wtr-Gas'!AD56)*0.0038)</f>
        <v>2114.6239999999998</v>
      </c>
      <c r="AO54" s="228">
        <f>IF('Wtr-Gas'!AF56&lt;0,"0",('Wtr-Gas'!AF56)*0.0038)</f>
        <v>13.756</v>
      </c>
      <c r="AP54" s="228">
        <f>IF('Wtr-Gas'!AH56&lt;0,"0",('Wtr-Gas'!AH56)*0.0038)</f>
        <v>150.822</v>
      </c>
      <c r="AQ54" s="228">
        <f>IF('Wtr-Gas'!AJ56&lt;0,"0",('Wtr-Gas'!AJ56)*0.0038)</f>
        <v>40.679000000000002</v>
      </c>
      <c r="AR54" s="228">
        <f>IF('Wtr-Gas'!AL56&lt;0,"0",('Wtr-Gas'!AL56)*0.0038)</f>
        <v>623.20000000000005</v>
      </c>
      <c r="AS54" s="228">
        <f>IF('Wtr-Gas'!AN56&lt;0,"0",('Wtr-Gas'!AN56)*0.0038)</f>
        <v>2.6599999999999999E-2</v>
      </c>
      <c r="AT54" s="228">
        <f>IF('Wtr-Gas'!AP56&lt;0,"0",('Wtr-Gas'!AP56)*0.0038)</f>
        <v>23.56</v>
      </c>
      <c r="AU54" s="249">
        <f>IF('Wtr-Gas'!AT56&lt;0,"0",('Wtr-Gas'!AT56)*0.0038)</f>
        <v>0.46360000000000001</v>
      </c>
      <c r="AV54" s="228">
        <f>IF('Wtr-Gas'!AW56&lt;0,"0",('Wtr-Gas'!AW56)*0.0038)</f>
        <v>193.34780000000001</v>
      </c>
      <c r="AW54" s="228">
        <f>IF('Wtr-Gas'!AY56&lt;0,"0",('Wtr-Gas'!AY56)*0.0038)</f>
        <v>151.71283399999999</v>
      </c>
      <c r="AX54" s="228">
        <f>IF('Wtr-Gas'!AZ56&lt;0,"0",('Wtr-Gas'!AZ56)*0.0038)</f>
        <v>41.634965999999999</v>
      </c>
      <c r="AY54" s="228">
        <f>IF('Wtr-Gas'!BB56&lt;0,"0",('Wtr-Gas'!BB56)*0.0038)</f>
        <v>8.36</v>
      </c>
      <c r="AZ54" s="228">
        <f>IF('Wtr-Gas'!BD56&lt;0,"0",('Wtr-Gas'!BD56)*0.0038)</f>
        <v>1.1399999999999999</v>
      </c>
      <c r="BA54" s="228">
        <f>IF('Wtr-Gas'!BF56&lt;0,"0",('Wtr-Gas'!BF56)*0.0038)</f>
        <v>1.14E-2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>
        <f>IF(Elect!AM57&lt;0,"0",Elect!AM57)</f>
        <v>611</v>
      </c>
      <c r="F55" s="47">
        <f>IF(Elect!I57&lt;0,"0",Elect!I57)</f>
        <v>50560</v>
      </c>
      <c r="G55" s="47">
        <f>Elect!H57</f>
        <v>2.39</v>
      </c>
      <c r="H55" s="47">
        <f>IF(Elect!F57&lt;0,"0",Elect!F57)</f>
        <v>41280</v>
      </c>
      <c r="I55" s="47">
        <f>Elect!E57</f>
        <v>1.978</v>
      </c>
      <c r="J55" s="47">
        <f>IF(Elect!U57&lt;0,"0",Elect!U57)</f>
        <v>33900</v>
      </c>
      <c r="K55" s="47">
        <f>Elect!T57</f>
        <v>1.377</v>
      </c>
      <c r="L55" s="47">
        <f>IF(Elect!AJ57&lt;0,"0",Elect!AJ57)</f>
        <v>1520</v>
      </c>
      <c r="M55" s="47">
        <f>Elect!AI57</f>
        <v>0.315</v>
      </c>
      <c r="N55" s="47">
        <f>IF(Elect!X57&lt;0,"0",Elect!X57)</f>
        <v>28800</v>
      </c>
      <c r="O55" s="47">
        <f>Elect!W57</f>
        <v>1.4330000000000001</v>
      </c>
      <c r="P55" s="47">
        <f>IF(Elect!O57&lt;0,"0",Elect!O57)</f>
        <v>12400</v>
      </c>
      <c r="Q55" s="47">
        <f>Elect!N57</f>
        <v>2.78</v>
      </c>
      <c r="R55" s="47">
        <f>IF(Elect!L57&lt;0,"0",Elect!L57)</f>
        <v>13200</v>
      </c>
      <c r="S55" s="47">
        <f>Elect!K57</f>
        <v>3.07</v>
      </c>
      <c r="T55" s="47">
        <f>IF(Elect!R57&lt;0,"0",Elect!R57)</f>
        <v>12400</v>
      </c>
      <c r="U55" s="47">
        <f>Elect!Q57</f>
        <v>2.96</v>
      </c>
      <c r="V55" s="47">
        <f>IF(Elect!AA57&lt;0,"0",Elect!AA57)</f>
        <v>4960</v>
      </c>
      <c r="W55" s="47">
        <f>Elect!Z57</f>
        <v>2.59</v>
      </c>
      <c r="X55" s="47">
        <f>IF(Elect!AD57&lt;0,"0",Elect!AD57)</f>
        <v>3040</v>
      </c>
      <c r="Y55" s="47">
        <f>Elect!AC57</f>
        <v>1.89</v>
      </c>
      <c r="Z55" s="47">
        <f>IF(Elect!AG57&lt;0,"0",Elect!AG57)</f>
        <v>51200</v>
      </c>
      <c r="AA55" s="47">
        <f>Elect!AF57</f>
        <v>2.2519999999999998</v>
      </c>
      <c r="AB55" s="47">
        <f>IF(Elect!AX57&lt;0,"0",Elect!AX57)</f>
        <v>1500</v>
      </c>
      <c r="AC55" s="47">
        <f>IF(Elect!AV57&lt;0,"0",Elect!AV57)</f>
        <v>11900</v>
      </c>
      <c r="AD55" s="47">
        <f>IF(Elect!AZ57&lt;0,"0",Elect!AZ57)</f>
        <v>750</v>
      </c>
      <c r="AE55" s="47">
        <f>IF(Elect!BB57&lt;0,"0",Elect!BB57)</f>
        <v>1760</v>
      </c>
      <c r="AF55" s="228">
        <f>IF('Wtr-Gas'!E57&lt;0,"0",('Wtr-Gas'!E57)*0.0038)</f>
        <v>4080.364</v>
      </c>
      <c r="AG55" s="228">
        <f>IF('Wtr-Gas'!H57&lt;0,"0",('Wtr-Gas'!H57)*0.0038)</f>
        <v>500.916</v>
      </c>
      <c r="AH55" s="228">
        <f>IF('Wtr-Gas'!K57&lt;0,"0",('Wtr-Gas'!K57)*0.0038)</f>
        <v>0.22800000000000001</v>
      </c>
      <c r="AI55" s="228">
        <f>IF('Wtr-Gas'!N57&lt;0,"0",('Wtr-Gas'!N57)*0.0038)</f>
        <v>2929.8</v>
      </c>
      <c r="AJ55" s="228">
        <f>IF('Wtr-Gas'!Q57&lt;0,"0",('Wtr-Gas'!Q57)*0.0038)</f>
        <v>134.52000000000001</v>
      </c>
      <c r="AK55" s="229">
        <f>IF('Wtr-Gas'!U57&lt;0,"0",('Wtr-Gas'!U57)*0.0038)</f>
        <v>918.08</v>
      </c>
      <c r="AL55" s="229">
        <f>IF('Wtr-Gas'!X57&lt;0,"0",('Wtr-Gas'!X57)*0.0038)</f>
        <v>6479</v>
      </c>
      <c r="AM55" s="228">
        <f>IF('Wtr-Gas'!AB57&lt;0,"0",('Wtr-Gas'!AB57)*0.0038)</f>
        <v>4256</v>
      </c>
      <c r="AN55" s="228">
        <f>IF('Wtr-Gas'!AD57&lt;0,"0",('Wtr-Gas'!AD57)*0.0038)</f>
        <v>1610.06</v>
      </c>
      <c r="AO55" s="228">
        <f>IF('Wtr-Gas'!AF57&lt;0,"0",('Wtr-Gas'!AF57)*0.0038)</f>
        <v>7.4480000000000004</v>
      </c>
      <c r="AP55" s="228">
        <f>IF('Wtr-Gas'!AH57&lt;0,"0",('Wtr-Gas'!AH57)*0.0038)</f>
        <v>153.44399999999999</v>
      </c>
      <c r="AQ55" s="228">
        <f>IF('Wtr-Gas'!AJ57&lt;0,"0",('Wtr-Gas'!AJ57)*0.0038)</f>
        <v>40.409199999999998</v>
      </c>
      <c r="AR55" s="228">
        <f>IF('Wtr-Gas'!AL57&lt;0,"0",('Wtr-Gas'!AL57)*0.0038)</f>
        <v>661.2</v>
      </c>
      <c r="AS55" s="228">
        <f>IF('Wtr-Gas'!AN57&lt;0,"0",('Wtr-Gas'!AN57)*0.0038)</f>
        <v>3.04E-2</v>
      </c>
      <c r="AT55" s="228">
        <f>IF('Wtr-Gas'!AP57&lt;0,"0",('Wtr-Gas'!AP57)*0.0038)</f>
        <v>13.3</v>
      </c>
      <c r="AU55" s="249">
        <f>IF('Wtr-Gas'!AT57&lt;0,"0",('Wtr-Gas'!AT57)*0.0038)</f>
        <v>0.45600000000000002</v>
      </c>
      <c r="AV55" s="228">
        <f>IF('Wtr-Gas'!AW57&lt;0,"0",('Wtr-Gas'!AW57)*0.0038)</f>
        <v>192.489</v>
      </c>
      <c r="AW55" s="228">
        <f>IF('Wtr-Gas'!AY57&lt;0,"0",('Wtr-Gas'!AY57)*0.0038)</f>
        <v>151.36676800000001</v>
      </c>
      <c r="AX55" s="228">
        <f>IF('Wtr-Gas'!AZ57&lt;0,"0",('Wtr-Gas'!AZ57)*0.0038)</f>
        <v>41.122231999999997</v>
      </c>
      <c r="AY55" s="228">
        <f>IF('Wtr-Gas'!BB57&lt;0,"0",('Wtr-Gas'!BB57)*0.0038)</f>
        <v>11.02</v>
      </c>
      <c r="AZ55" s="228">
        <f>IF('Wtr-Gas'!BD57&lt;0,"0",('Wtr-Gas'!BD57)*0.0038)</f>
        <v>1.52</v>
      </c>
      <c r="BA55" s="228">
        <f>IF('Wtr-Gas'!BF57&lt;0,"0",('Wtr-Gas'!BF57)*0.0038)</f>
        <v>1.52E-2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>
        <f>IF(Elect!AM58&lt;0,"0",Elect!AM58)</f>
        <v>61</v>
      </c>
      <c r="F56" s="47">
        <f>IF(Elect!I58&lt;0,"0",Elect!I58)</f>
        <v>14240</v>
      </c>
      <c r="G56" s="47">
        <f>Elect!H58</f>
        <v>2.39</v>
      </c>
      <c r="H56" s="47">
        <f>IF(Elect!F58&lt;0,"0",Elect!F58)</f>
        <v>11840</v>
      </c>
      <c r="I56" s="47">
        <f>Elect!E58</f>
        <v>1.978</v>
      </c>
      <c r="J56" s="47">
        <f>IF(Elect!U58&lt;0,"0",Elect!U58)</f>
        <v>9000</v>
      </c>
      <c r="K56" s="47">
        <f>Elect!T58</f>
        <v>1.377</v>
      </c>
      <c r="L56" s="47">
        <f>IF(Elect!AJ58&lt;0,"0",Elect!AJ58)</f>
        <v>480</v>
      </c>
      <c r="M56" s="47">
        <f>Elect!AI58</f>
        <v>0.315</v>
      </c>
      <c r="N56" s="47">
        <f>IF(Elect!X58&lt;0,"0",Elect!X58)</f>
        <v>7200</v>
      </c>
      <c r="O56" s="47">
        <f>Elect!W58</f>
        <v>1.4330000000000001</v>
      </c>
      <c r="P56" s="47">
        <f>IF(Elect!O58&lt;0,"0",Elect!O58)</f>
        <v>3200</v>
      </c>
      <c r="Q56" s="47">
        <f>Elect!N58</f>
        <v>2.78</v>
      </c>
      <c r="R56" s="47">
        <f>IF(Elect!L58&lt;0,"0",Elect!L58)</f>
        <v>3600</v>
      </c>
      <c r="S56" s="47">
        <f>Elect!K58</f>
        <v>3.07</v>
      </c>
      <c r="T56" s="47">
        <f>IF(Elect!R58&lt;0,"0",Elect!R58)</f>
        <v>3600</v>
      </c>
      <c r="U56" s="47">
        <f>Elect!Q58</f>
        <v>2.96</v>
      </c>
      <c r="V56" s="47">
        <f>IF(Elect!AA58&lt;0,"0",Elect!AA58)</f>
        <v>1600</v>
      </c>
      <c r="W56" s="47">
        <f>Elect!Z58</f>
        <v>2.65</v>
      </c>
      <c r="X56" s="47">
        <f>IF(Elect!AD58&lt;0,"0",Elect!AD58)</f>
        <v>800</v>
      </c>
      <c r="Y56" s="47">
        <f>Elect!AC58</f>
        <v>1.89</v>
      </c>
      <c r="Z56" s="47">
        <f>IF(Elect!AG58&lt;0,"0",Elect!AG58)</f>
        <v>15000</v>
      </c>
      <c r="AA56" s="47">
        <f>Elect!AF58</f>
        <v>2.2519999999999998</v>
      </c>
      <c r="AB56" s="47">
        <f>IF(Elect!AX58&lt;0,"0",Elect!AX58)</f>
        <v>700</v>
      </c>
      <c r="AC56" s="47">
        <f>IF(Elect!AV58&lt;0,"0",Elect!AV58)</f>
        <v>4700</v>
      </c>
      <c r="AD56" s="47">
        <f>IF(Elect!AZ58&lt;0,"0",Elect!AZ58)</f>
        <v>328</v>
      </c>
      <c r="AE56" s="47">
        <f>IF(Elect!BB58&lt;0,"0",Elect!BB58)</f>
        <v>960</v>
      </c>
      <c r="AF56" s="228">
        <f>IF('Wtr-Gas'!E58&lt;0,"0",('Wtr-Gas'!E58)*0.0038)</f>
        <v>1079.4659999999999</v>
      </c>
      <c r="AG56" s="228">
        <f>IF('Wtr-Gas'!H58&lt;0,"0",('Wtr-Gas'!H58)*0.0038)</f>
        <v>151.392</v>
      </c>
      <c r="AH56" s="228">
        <f>IF('Wtr-Gas'!K58&lt;0,"0",('Wtr-Gas'!K58)*0.0038)</f>
        <v>0.56999999999999995</v>
      </c>
      <c r="AI56" s="228">
        <f>IF('Wtr-Gas'!N58&lt;0,"0",('Wtr-Gas'!N58)*0.0038)</f>
        <v>699.2</v>
      </c>
      <c r="AJ56" s="228">
        <f>IF('Wtr-Gas'!Q58&lt;0,"0",('Wtr-Gas'!Q58)*0.0038)</f>
        <v>41.04</v>
      </c>
      <c r="AK56" s="229">
        <f>IF('Wtr-Gas'!U58&lt;0,"0",('Wtr-Gas'!U58)*0.0038)</f>
        <v>270.18</v>
      </c>
      <c r="AL56" s="229">
        <f>IF('Wtr-Gas'!X58&lt;0,"0",('Wtr-Gas'!X58)*0.0038)</f>
        <v>5657.44</v>
      </c>
      <c r="AM56" s="228">
        <f>IF('Wtr-Gas'!AB58&lt;0,"0",('Wtr-Gas'!AB58)*0.0038)</f>
        <v>1026</v>
      </c>
      <c r="AN56" s="228">
        <f>IF('Wtr-Gas'!AD58&lt;0,"0",('Wtr-Gas'!AD58)*0.0038)</f>
        <v>478.952</v>
      </c>
      <c r="AO56" s="228">
        <f>IF('Wtr-Gas'!AF58&lt;0,"0",('Wtr-Gas'!AF58)*0.0038)</f>
        <v>1.3680000000000001</v>
      </c>
      <c r="AP56" s="228">
        <f>IF('Wtr-Gas'!AH58&lt;0,"0",('Wtr-Gas'!AH58)*0.0038)</f>
        <v>59.887999999999998</v>
      </c>
      <c r="AQ56" s="228">
        <f>IF('Wtr-Gas'!AJ58&lt;0,"0",('Wtr-Gas'!AJ58)*0.0038)</f>
        <v>10.0852</v>
      </c>
      <c r="AR56" s="228">
        <f>IF('Wtr-Gas'!AL58&lt;0,"0",('Wtr-Gas'!AL58)*0.0038)</f>
        <v>224.2</v>
      </c>
      <c r="AS56" s="228">
        <f>IF('Wtr-Gas'!AN58&lt;0,"0",('Wtr-Gas'!AN58)*0.0038)</f>
        <v>1.14E-2</v>
      </c>
      <c r="AT56" s="228">
        <f>IF('Wtr-Gas'!AP58&lt;0,"0",('Wtr-Gas'!AP58)*0.0038)</f>
        <v>14.06</v>
      </c>
      <c r="AU56" s="249">
        <f>IF('Wtr-Gas'!AT58&lt;0,"0",('Wtr-Gas'!AT58)*0.0038)</f>
        <v>0.1938</v>
      </c>
      <c r="AV56" s="228">
        <f>IF('Wtr-Gas'!AW58&lt;0,"0",('Wtr-Gas'!AW58)*0.0038)</f>
        <v>78.340800000000002</v>
      </c>
      <c r="AW56" s="228">
        <f>IF('Wtr-Gas'!AY58&lt;0,"0",('Wtr-Gas'!AY58)*0.0038)</f>
        <v>64.864062000000004</v>
      </c>
      <c r="AX56" s="228">
        <f>IF('Wtr-Gas'!AZ58&lt;0,"0",('Wtr-Gas'!AZ58)*0.0038)</f>
        <v>13.476737999999994</v>
      </c>
      <c r="AY56" s="228">
        <f>IF('Wtr-Gas'!BB58&lt;0,"0",('Wtr-Gas'!BB58)*0.0038)</f>
        <v>4.9400000000000004</v>
      </c>
      <c r="AZ56" s="228">
        <f>IF('Wtr-Gas'!BD58&lt;0,"0",('Wtr-Gas'!BD58)*0.0038)</f>
        <v>0.38</v>
      </c>
      <c r="BA56" s="228">
        <f>IF('Wtr-Gas'!BF58&lt;0,"0",('Wtr-Gas'!BF58)*0.0038)</f>
        <v>0.98799999999999999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>
        <f>IF(Elect!AM59&lt;0,"0",Elect!AM59)</f>
        <v>524</v>
      </c>
      <c r="F57" s="47">
        <f>IF(Elect!I59&lt;0,"0",Elect!I59)</f>
        <v>35520</v>
      </c>
      <c r="G57" s="47">
        <f>Elect!H59</f>
        <v>2.39</v>
      </c>
      <c r="H57" s="47">
        <f>IF(Elect!F59&lt;0,"0",Elect!F59)</f>
        <v>29440</v>
      </c>
      <c r="I57" s="47">
        <f>Elect!E59</f>
        <v>1.978</v>
      </c>
      <c r="J57" s="47">
        <f>IF(Elect!U59&lt;0,"0",Elect!U59)</f>
        <v>31200</v>
      </c>
      <c r="K57" s="47">
        <f>Elect!T59</f>
        <v>1.7849999999999999</v>
      </c>
      <c r="L57" s="47">
        <f>IF(Elect!AJ59&lt;0,"0",Elect!AJ59)</f>
        <v>1080</v>
      </c>
      <c r="M57" s="47">
        <f>Elect!AI59</f>
        <v>0.315</v>
      </c>
      <c r="N57" s="47">
        <f>IF(Elect!X59&lt;0,"0",Elect!X59)</f>
        <v>25800</v>
      </c>
      <c r="O57" s="47">
        <f>Elect!W59</f>
        <v>1.641</v>
      </c>
      <c r="P57" s="47">
        <f>IF(Elect!O59&lt;0,"0",Elect!O59)</f>
        <v>8800</v>
      </c>
      <c r="Q57" s="47">
        <f>Elect!N59</f>
        <v>2.78</v>
      </c>
      <c r="R57" s="47">
        <f>IF(Elect!L59&lt;0,"0",Elect!L59)</f>
        <v>8800</v>
      </c>
      <c r="S57" s="47">
        <f>Elect!K59</f>
        <v>3.07</v>
      </c>
      <c r="T57" s="47">
        <f>IF(Elect!R59&lt;0,"0",Elect!R59)</f>
        <v>8000</v>
      </c>
      <c r="U57" s="47">
        <f>Elect!Q59</f>
        <v>2.96</v>
      </c>
      <c r="V57" s="47">
        <f>IF(Elect!AA59&lt;0,"0",Elect!AA59)</f>
        <v>4480</v>
      </c>
      <c r="W57" s="47">
        <f>Elect!Z59</f>
        <v>3.24</v>
      </c>
      <c r="X57" s="47">
        <f>IF(Elect!AD59&lt;0,"0",Elect!AD59)</f>
        <v>3040</v>
      </c>
      <c r="Y57" s="47">
        <f>Elect!AC59</f>
        <v>2.74</v>
      </c>
      <c r="Z57" s="47">
        <f>IF(Elect!AG59&lt;0,"0",Elect!AG59)</f>
        <v>36200</v>
      </c>
      <c r="AA57" s="47">
        <f>Elect!AF59</f>
        <v>2.2519999999999998</v>
      </c>
      <c r="AB57" s="47">
        <f>IF(Elect!AX59&lt;0,"0",Elect!AX59)</f>
        <v>900</v>
      </c>
      <c r="AC57" s="47">
        <f>IF(Elect!AV59&lt;0,"0",Elect!AV59)</f>
        <v>7100</v>
      </c>
      <c r="AD57" s="47">
        <f>IF(Elect!AZ59&lt;0,"0",Elect!AZ59)</f>
        <v>452</v>
      </c>
      <c r="AE57" s="47">
        <f>IF(Elect!BB59&lt;0,"0",Elect!BB59)</f>
        <v>1240</v>
      </c>
      <c r="AF57" s="228">
        <f>IF('Wtr-Gas'!E59&lt;0,"0",('Wtr-Gas'!E59)*0.0038)</f>
        <v>3186.87</v>
      </c>
      <c r="AG57" s="228">
        <f>IF('Wtr-Gas'!H59&lt;0,"0",('Wtr-Gas'!H59)*0.0038)</f>
        <v>307.87599999999998</v>
      </c>
      <c r="AH57" s="228">
        <f>IF('Wtr-Gas'!K59&lt;0,"0",('Wtr-Gas'!K59)*0.0038)</f>
        <v>0.26600000000000001</v>
      </c>
      <c r="AI57" s="228">
        <f>IF('Wtr-Gas'!N59&lt;0,"0",('Wtr-Gas'!N59)*0.0038)</f>
        <v>2238.1999999999998</v>
      </c>
      <c r="AJ57" s="228">
        <f>IF('Wtr-Gas'!Q59&lt;0,"0",('Wtr-Gas'!Q59)*0.0038)</f>
        <v>100.7</v>
      </c>
      <c r="AK57" s="229">
        <f>IF('Wtr-Gas'!U59&lt;0,"0",('Wtr-Gas'!U59)*0.0038)</f>
        <v>704.14</v>
      </c>
      <c r="AL57" s="229">
        <f>IF('Wtr-Gas'!X59&lt;0,"0",('Wtr-Gas'!X59)*0.0038)</f>
        <v>441.56</v>
      </c>
      <c r="AM57" s="228">
        <f>IF('Wtr-Gas'!AB59&lt;0,"0",('Wtr-Gas'!AB59)*0.0038)</f>
        <v>3572</v>
      </c>
      <c r="AN57" s="228">
        <f>IF('Wtr-Gas'!AD59&lt;0,"0",('Wtr-Gas'!AD59)*0.0038)</f>
        <v>1121.3420000000001</v>
      </c>
      <c r="AO57" s="228">
        <f>IF('Wtr-Gas'!AF59&lt;0,"0",('Wtr-Gas'!AF59)*0.0038)</f>
        <v>6.0039999999999996</v>
      </c>
      <c r="AP57" s="228">
        <f>IF('Wtr-Gas'!AH59&lt;0,"0",('Wtr-Gas'!AH59)*0.0038)</f>
        <v>212.154</v>
      </c>
      <c r="AQ57" s="228">
        <f>IF('Wtr-Gas'!AJ59&lt;0,"0",('Wtr-Gas'!AJ59)*0.0038)</f>
        <v>25.8704</v>
      </c>
      <c r="AR57" s="228">
        <f>IF('Wtr-Gas'!AL59&lt;0,"0",('Wtr-Gas'!AL59)*0.0038)</f>
        <v>490.2</v>
      </c>
      <c r="AS57" s="228">
        <f>IF('Wtr-Gas'!AN59&lt;0,"0",('Wtr-Gas'!AN59)*0.0038)</f>
        <v>1.9E-2</v>
      </c>
      <c r="AT57" s="228">
        <f>IF('Wtr-Gas'!AP59&lt;0,"0",('Wtr-Gas'!AP59)*0.0038)</f>
        <v>12.54</v>
      </c>
      <c r="AU57" s="249">
        <f>IF('Wtr-Gas'!AT59&lt;0,"0",('Wtr-Gas'!AT59)*0.0038)</f>
        <v>0.26979999999999998</v>
      </c>
      <c r="AV57" s="228">
        <f>IF('Wtr-Gas'!AW59&lt;0,"0",('Wtr-Gas'!AW59)*0.0038)</f>
        <v>109.39060000000001</v>
      </c>
      <c r="AW57" s="228">
        <f>IF('Wtr-Gas'!AY59&lt;0,"0",('Wtr-Gas'!AY59)*0.0038)</f>
        <v>84.772186000000005</v>
      </c>
      <c r="AX57" s="228">
        <f>IF('Wtr-Gas'!AZ59&lt;0,"0",('Wtr-Gas'!AZ59)*0.0038)</f>
        <v>24.618413999999994</v>
      </c>
      <c r="AY57" s="228">
        <f>IF('Wtr-Gas'!BB59&lt;0,"0",('Wtr-Gas'!BB59)*0.0038)</f>
        <v>6.84</v>
      </c>
      <c r="AZ57" s="228">
        <f>IF('Wtr-Gas'!BD59&lt;0,"0",('Wtr-Gas'!BD59)*0.0038)</f>
        <v>0.76</v>
      </c>
      <c r="BA57" s="228">
        <f>IF('Wtr-Gas'!BF59&lt;0,"0",('Wtr-Gas'!BF59)*0.0038)</f>
        <v>2.2800000000000001E-2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608</v>
      </c>
      <c r="F58" s="47">
        <f>IF(Elect!I60&lt;0,"0",Elect!I60)</f>
        <v>48480</v>
      </c>
      <c r="G58" s="47">
        <f>Elect!H60</f>
        <v>2.39</v>
      </c>
      <c r="H58" s="47">
        <f>IF(Elect!F60&lt;0,"0",Elect!F60)</f>
        <v>41120</v>
      </c>
      <c r="I58" s="47">
        <f>Elect!E60</f>
        <v>1.978</v>
      </c>
      <c r="J58" s="47">
        <f>IF(Elect!U60&lt;0,"0",Elect!U60)</f>
        <v>48600</v>
      </c>
      <c r="K58" s="47">
        <f>Elect!T60</f>
        <v>1.7849999999999999</v>
      </c>
      <c r="L58" s="47">
        <f>IF(Elect!AJ60&lt;0,"0",Elect!AJ60)</f>
        <v>1560</v>
      </c>
      <c r="M58" s="47">
        <f>Elect!AI60</f>
        <v>0.315</v>
      </c>
      <c r="N58" s="47">
        <f>IF(Elect!X60&lt;0,"0",Elect!X60)</f>
        <v>69900</v>
      </c>
      <c r="O58" s="47">
        <f>Elect!W60</f>
        <v>1.9379999999999999</v>
      </c>
      <c r="P58" s="47">
        <f>IF(Elect!O60&lt;0,"0",Elect!O60)</f>
        <v>12400</v>
      </c>
      <c r="Q58" s="47">
        <f>Elect!N60</f>
        <v>2.78</v>
      </c>
      <c r="R58" s="47">
        <f>IF(Elect!L60&lt;0,"0",Elect!L60)</f>
        <v>12000</v>
      </c>
      <c r="S58" s="47">
        <f>Elect!K60</f>
        <v>3.07</v>
      </c>
      <c r="T58" s="47">
        <f>IF(Elect!R60&lt;0,"0",Elect!R60)</f>
        <v>10800</v>
      </c>
      <c r="U58" s="47">
        <f>Elect!Q60</f>
        <v>2.96</v>
      </c>
      <c r="V58" s="47">
        <f>IF(Elect!AA60&lt;0,"0",Elect!AA60)</f>
        <v>6400</v>
      </c>
      <c r="W58" s="47">
        <f>Elect!Z60</f>
        <v>3.31</v>
      </c>
      <c r="X58" s="47">
        <f>IF(Elect!AD60&lt;0,"0",Elect!AD60)</f>
        <v>4480</v>
      </c>
      <c r="Y58" s="47">
        <f>Elect!AC60</f>
        <v>2.83</v>
      </c>
      <c r="Z58" s="47">
        <f>IF(Elect!AG60&lt;0,"0",Elect!AG60)</f>
        <v>48400</v>
      </c>
      <c r="AA58" s="47">
        <f>Elect!AF60</f>
        <v>2.2519999999999998</v>
      </c>
      <c r="AB58" s="47">
        <f>IF(Elect!AX60&lt;0,"0",Elect!AX60)</f>
        <v>1600</v>
      </c>
      <c r="AC58" s="47">
        <f>IF(Elect!AV60&lt;0,"0",Elect!AV60)</f>
        <v>14300</v>
      </c>
      <c r="AD58" s="47">
        <f>IF(Elect!AZ60&lt;0,"0",Elect!AZ60)</f>
        <v>759</v>
      </c>
      <c r="AE58" s="47">
        <f>IF(Elect!BB60&lt;0,"0",Elect!BB60)</f>
        <v>2440</v>
      </c>
      <c r="AF58" s="228">
        <f>IF('Wtr-Gas'!E60&lt;0,"0",('Wtr-Gas'!E60)*0.0038)</f>
        <v>4709.4539999999997</v>
      </c>
      <c r="AG58" s="228">
        <f>IF('Wtr-Gas'!H60&lt;0,"0",('Wtr-Gas'!H60)*0.0038)</f>
        <v>341.65800000000002</v>
      </c>
      <c r="AH58" s="228">
        <f>IF('Wtr-Gas'!K60&lt;0,"0",('Wtr-Gas'!K60)*0.0038)</f>
        <v>0.83599999999999997</v>
      </c>
      <c r="AI58" s="228">
        <f>IF('Wtr-Gas'!N60&lt;0,"0",('Wtr-Gas'!N60)*0.0038)</f>
        <v>3332.6</v>
      </c>
      <c r="AJ58" s="228">
        <f>IF('Wtr-Gas'!Q60&lt;0,"0",('Wtr-Gas'!Q60)*0.0038)</f>
        <v>143.26</v>
      </c>
      <c r="AK58" s="229">
        <f>IF('Wtr-Gas'!U60&lt;0,"0",('Wtr-Gas'!U60)*0.0038)</f>
        <v>927.2</v>
      </c>
      <c r="AL58" s="229">
        <f>IF('Wtr-Gas'!X60&lt;0,"0",('Wtr-Gas'!X60)*0.0038)</f>
        <v>3541.6</v>
      </c>
      <c r="AM58" s="228">
        <f>IF('Wtr-Gas'!AB60&lt;0,"0",('Wtr-Gas'!AB60)*0.0038)</f>
        <v>7904</v>
      </c>
      <c r="AN58" s="228">
        <f>IF('Wtr-Gas'!AD60&lt;0,"0",('Wtr-Gas'!AD60)*0.0038)</f>
        <v>2261.3420000000001</v>
      </c>
      <c r="AO58" s="228">
        <f>IF('Wtr-Gas'!AF60&lt;0,"0",('Wtr-Gas'!AF60)*0.0038)</f>
        <v>9.5</v>
      </c>
      <c r="AP58" s="228">
        <f>IF('Wtr-Gas'!AH60&lt;0,"0",('Wtr-Gas'!AH60)*0.0038)</f>
        <v>278.464</v>
      </c>
      <c r="AQ58" s="228">
        <f>IF('Wtr-Gas'!AJ60&lt;0,"0",('Wtr-Gas'!AJ60)*0.0038)</f>
        <v>48.883200000000002</v>
      </c>
      <c r="AR58" s="228">
        <f>IF('Wtr-Gas'!AL60&lt;0,"0",('Wtr-Gas'!AL60)*0.0038)</f>
        <v>691.6</v>
      </c>
      <c r="AS58" s="228">
        <f>IF('Wtr-Gas'!AN60&lt;0,"0",('Wtr-Gas'!AN60)*0.0038)</f>
        <v>1.9E-2</v>
      </c>
      <c r="AT58" s="228">
        <f>IF('Wtr-Gas'!AP60&lt;0,"0",('Wtr-Gas'!AP60)*0.0038)</f>
        <v>16.34</v>
      </c>
      <c r="AU58" s="249">
        <f>IF('Wtr-Gas'!AT60&lt;0,"0",('Wtr-Gas'!AT60)*0.0038)</f>
        <v>0.49399999999999999</v>
      </c>
      <c r="AV58" s="228">
        <f>IF('Wtr-Gas'!AW60&lt;0,"0",('Wtr-Gas'!AW60)*0.0038)</f>
        <v>192.84620000000001</v>
      </c>
      <c r="AW58" s="228">
        <f>IF('Wtr-Gas'!AY60&lt;0,"0",('Wtr-Gas'!AY60)*0.0038)</f>
        <v>147.91575999999998</v>
      </c>
      <c r="AX58" s="228">
        <f>IF('Wtr-Gas'!AZ60&lt;0,"0",('Wtr-Gas'!AZ60)*0.0038)</f>
        <v>44.930440000000011</v>
      </c>
      <c r="AY58" s="228">
        <f>IF('Wtr-Gas'!BB60&lt;0,"0",('Wtr-Gas'!BB60)*0.0038)</f>
        <v>14.82</v>
      </c>
      <c r="AZ58" s="228">
        <f>IF('Wtr-Gas'!BD60&lt;0,"0",('Wtr-Gas'!BD60)*0.0038)</f>
        <v>0.76</v>
      </c>
      <c r="BA58" s="228">
        <f>IF('Wtr-Gas'!BF60&lt;0,"0",('Wtr-Gas'!BF60)*0.0038)</f>
        <v>0.51300000000000001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>
        <f>IF(Elect!AM61&lt;0,"0",Elect!AM61)</f>
        <v>599</v>
      </c>
      <c r="F59" s="47">
        <f>IF(Elect!I61&lt;0,"0",Elect!I61)</f>
        <v>47520</v>
      </c>
      <c r="G59" s="47">
        <f>Elect!H61</f>
        <v>2.39</v>
      </c>
      <c r="H59" s="47">
        <f>IF(Elect!F61&lt;0,"0",Elect!F61)</f>
        <v>41120</v>
      </c>
      <c r="I59" s="47">
        <f>Elect!E61</f>
        <v>1.978</v>
      </c>
      <c r="J59" s="47">
        <f>IF(Elect!U61&lt;0,"0",Elect!U61)</f>
        <v>51300</v>
      </c>
      <c r="K59" s="47">
        <f>Elect!T61</f>
        <v>1.8340000000000001</v>
      </c>
      <c r="L59" s="47">
        <f>IF(Elect!AJ61&lt;0,"0",Elect!AJ61)</f>
        <v>1560</v>
      </c>
      <c r="M59" s="47">
        <f>Elect!AI61</f>
        <v>0.315</v>
      </c>
      <c r="N59" s="47">
        <f>IF(Elect!X61&lt;0,"0",Elect!X61)</f>
        <v>76500</v>
      </c>
      <c r="O59" s="47">
        <f>Elect!W61</f>
        <v>2.1680000000000001</v>
      </c>
      <c r="P59" s="47">
        <f>IF(Elect!O61&lt;0,"0",Elect!O61)</f>
        <v>11600</v>
      </c>
      <c r="Q59" s="47">
        <f>Elect!N61</f>
        <v>2.78</v>
      </c>
      <c r="R59" s="47">
        <f>IF(Elect!L61&lt;0,"0",Elect!L61)</f>
        <v>12800</v>
      </c>
      <c r="S59" s="47">
        <f>Elect!K61</f>
        <v>3.07</v>
      </c>
      <c r="T59" s="47">
        <f>IF(Elect!R61&lt;0,"0",Elect!R61)</f>
        <v>11600</v>
      </c>
      <c r="U59" s="47">
        <f>Elect!Q61</f>
        <v>2.96</v>
      </c>
      <c r="V59" s="47">
        <f>IF(Elect!AA61&lt;0,"0",Elect!AA61)</f>
        <v>6400</v>
      </c>
      <c r="W59" s="47">
        <f>Elect!Z61</f>
        <v>3.76</v>
      </c>
      <c r="X59" s="47">
        <f>IF(Elect!AD61&lt;0,"0",Elect!AD61)</f>
        <v>4160</v>
      </c>
      <c r="Y59" s="47">
        <f>Elect!AC61</f>
        <v>3.07</v>
      </c>
      <c r="Z59" s="47">
        <f>IF(Elect!AG61&lt;0,"0",Elect!AG61)</f>
        <v>50600</v>
      </c>
      <c r="AA59" s="47">
        <f>Elect!AF61</f>
        <v>2.2519999999999998</v>
      </c>
      <c r="AB59" s="47">
        <f>IF(Elect!AX61&lt;0,"0",Elect!AX61)</f>
        <v>1500</v>
      </c>
      <c r="AC59" s="47">
        <f>IF(Elect!AV61&lt;0,"0",Elect!AV61)</f>
        <v>12500</v>
      </c>
      <c r="AD59" s="47">
        <f>IF(Elect!AZ61&lt;0,"0",Elect!AZ61)</f>
        <v>778</v>
      </c>
      <c r="AE59" s="47">
        <f>IF(Elect!BB61&lt;0,"0",Elect!BB61)</f>
        <v>1200</v>
      </c>
      <c r="AF59" s="228">
        <f>IF('Wtr-Gas'!E61&lt;0,"0",('Wtr-Gas'!E61)*0.0038)</f>
        <v>5086.49</v>
      </c>
      <c r="AG59" s="228">
        <f>IF('Wtr-Gas'!H61&lt;0,"0",('Wtr-Gas'!H61)*0.0038)</f>
        <v>550.84799999999996</v>
      </c>
      <c r="AH59" s="228">
        <f>IF('Wtr-Gas'!K61&lt;0,"0",('Wtr-Gas'!K61)*0.0038)</f>
        <v>0.874</v>
      </c>
      <c r="AI59" s="228">
        <f>IF('Wtr-Gas'!N61&lt;0,"0",('Wtr-Gas'!N61)*0.0038)</f>
        <v>3689.8</v>
      </c>
      <c r="AJ59" s="228">
        <f>IF('Wtr-Gas'!Q61&lt;0,"0",('Wtr-Gas'!Q61)*0.0038)</f>
        <v>145.16</v>
      </c>
      <c r="AK59" s="229">
        <f>IF('Wtr-Gas'!U61&lt;0,"0",('Wtr-Gas'!U61)*0.0038)</f>
        <v>961.78</v>
      </c>
      <c r="AL59" s="229">
        <f>IF('Wtr-Gas'!X61&lt;0,"0",('Wtr-Gas'!X61)*0.0038)</f>
        <v>3716.4</v>
      </c>
      <c r="AM59" s="228">
        <f>IF('Wtr-Gas'!AB61&lt;0,"0",('Wtr-Gas'!AB61)*0.0038)</f>
        <v>9044</v>
      </c>
      <c r="AN59" s="228">
        <f>IF('Wtr-Gas'!AD61&lt;0,"0",('Wtr-Gas'!AD61)*0.0038)</f>
        <v>2614.9699999999998</v>
      </c>
      <c r="AO59" s="228">
        <f>IF('Wtr-Gas'!AF61&lt;0,"0",('Wtr-Gas'!AF61)*0.0038)</f>
        <v>8.702</v>
      </c>
      <c r="AP59" s="228">
        <f>IF('Wtr-Gas'!AH61&lt;0,"0",('Wtr-Gas'!AH61)*0.0038)</f>
        <v>308.06599999999997</v>
      </c>
      <c r="AQ59" s="228">
        <f>IF('Wtr-Gas'!AJ61&lt;0,"0",('Wtr-Gas'!AJ61)*0.0038)</f>
        <v>42.499200000000002</v>
      </c>
      <c r="AR59" s="228">
        <f>IF('Wtr-Gas'!AL61&lt;0,"0",('Wtr-Gas'!AL61)*0.0038)</f>
        <v>714.4</v>
      </c>
      <c r="AS59" s="228">
        <f>IF('Wtr-Gas'!AN61&lt;0,"0",('Wtr-Gas'!AN61)*0.0038)</f>
        <v>2.2800000000000001E-2</v>
      </c>
      <c r="AT59" s="228">
        <f>IF('Wtr-Gas'!AP61&lt;0,"0",('Wtr-Gas'!AP61)*0.0038)</f>
        <v>25.08</v>
      </c>
      <c r="AU59" s="249">
        <f>IF('Wtr-Gas'!AT61&lt;0,"0",('Wtr-Gas'!AT61)*0.0038)</f>
        <v>0</v>
      </c>
      <c r="AV59" s="228">
        <f>IF('Wtr-Gas'!AW61&lt;0,"0",('Wtr-Gas'!AW61)*0.0038)</f>
        <v>202.18279999999999</v>
      </c>
      <c r="AW59" s="228">
        <f>IF('Wtr-Gas'!AY61&lt;0,"0",('Wtr-Gas'!AY61)*0.0038)</f>
        <v>221.62785600000001</v>
      </c>
      <c r="AX59" s="228" t="str">
        <f>IF('Wtr-Gas'!AZ61&lt;0,"0",('Wtr-Gas'!AZ61)*0.0038)</f>
        <v>0</v>
      </c>
      <c r="AY59" s="228">
        <f>IF('Wtr-Gas'!BB61&lt;0,"0",('Wtr-Gas'!BB61)*0.0038)</f>
        <v>9.5</v>
      </c>
      <c r="AZ59" s="228">
        <f>IF('Wtr-Gas'!BD61&lt;0,"0",('Wtr-Gas'!BD61)*0.0038)</f>
        <v>0.95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648</v>
      </c>
      <c r="F60" s="47">
        <f>IF(Elect!I62&lt;0,"0",Elect!I62)</f>
        <v>52000</v>
      </c>
      <c r="G60" s="47">
        <f>Elect!H62</f>
        <v>2.5649999999999999</v>
      </c>
      <c r="H60" s="47">
        <f>IF(Elect!F62&lt;0,"0",Elect!F62)</f>
        <v>42400</v>
      </c>
      <c r="I60" s="47">
        <f>Elect!E62</f>
        <v>1.8779999999999999</v>
      </c>
      <c r="J60" s="47">
        <f>IF(Elect!U62&lt;0,"0",Elect!U62)</f>
        <v>23700</v>
      </c>
      <c r="K60" s="47">
        <f>Elect!T62</f>
        <v>1.3640000000000001</v>
      </c>
      <c r="L60" s="47">
        <f>IF(Elect!AJ62&lt;0,"0",Elect!AJ62)</f>
        <v>1520</v>
      </c>
      <c r="M60" s="47">
        <f>Elect!AI62</f>
        <v>0.29399999999999998</v>
      </c>
      <c r="N60" s="47">
        <f>IF(Elect!X62&lt;0,"0",Elect!X62)</f>
        <v>50100</v>
      </c>
      <c r="O60" s="47">
        <f>Elect!W62</f>
        <v>1.671</v>
      </c>
      <c r="P60" s="47">
        <f>IF(Elect!O62&lt;0,"0",Elect!O62)</f>
        <v>13200</v>
      </c>
      <c r="Q60" s="47">
        <f>Elect!N62</f>
        <v>2.73</v>
      </c>
      <c r="R60" s="47">
        <f>IF(Elect!L62&lt;0,"0",Elect!L62)</f>
        <v>13600</v>
      </c>
      <c r="S60" s="47">
        <f>Elect!K62</f>
        <v>3.65</v>
      </c>
      <c r="T60" s="47">
        <f>IF(Elect!R62&lt;0,"0",Elect!R62)</f>
        <v>12800</v>
      </c>
      <c r="U60" s="47">
        <f>Elect!Q62</f>
        <v>3.73</v>
      </c>
      <c r="V60" s="47">
        <f>IF(Elect!AA62&lt;0,"0",Elect!AA62)</f>
        <v>5280</v>
      </c>
      <c r="W60" s="47">
        <f>Elect!Z62</f>
        <v>2.71</v>
      </c>
      <c r="X60" s="47">
        <f>IF(Elect!AD62&lt;0,"0",Elect!AD62)</f>
        <v>3360</v>
      </c>
      <c r="Y60" s="47">
        <f>Elect!AC62</f>
        <v>1.87</v>
      </c>
      <c r="Z60" s="47">
        <f>IF(Elect!AG62&lt;0,"0",Elect!AG62)</f>
        <v>55200</v>
      </c>
      <c r="AA60" s="47">
        <f>Elect!AF62</f>
        <v>2.1659999999999999</v>
      </c>
      <c r="AB60" s="47">
        <f>IF(Elect!AX62&lt;0,"0",Elect!AX62)</f>
        <v>1600</v>
      </c>
      <c r="AC60" s="47">
        <f>IF(Elect!AV62&lt;0,"0",Elect!AV62)</f>
        <v>14000</v>
      </c>
      <c r="AD60" s="47">
        <f>IF(Elect!AZ62&lt;0,"0",Elect!AZ62)</f>
        <v>755</v>
      </c>
      <c r="AE60" s="47">
        <f>IF(Elect!BB62&lt;0,"0",Elect!BB62)</f>
        <v>1280</v>
      </c>
      <c r="AF60" s="228">
        <f>IF('Wtr-Gas'!E62&lt;0,"0",('Wtr-Gas'!E62)*0.0038)</f>
        <v>4480.2</v>
      </c>
      <c r="AG60" s="228">
        <f>IF('Wtr-Gas'!H62&lt;0,"0",('Wtr-Gas'!H62)*0.0038)</f>
        <v>295.488</v>
      </c>
      <c r="AH60" s="228">
        <f>IF('Wtr-Gas'!K62&lt;0,"0",('Wtr-Gas'!K62)*0.0038)</f>
        <v>0.79800000000000004</v>
      </c>
      <c r="AI60" s="228">
        <f>IF('Wtr-Gas'!N62&lt;0,"0",('Wtr-Gas'!N62)*0.0038)</f>
        <v>3173</v>
      </c>
      <c r="AJ60" s="228">
        <f>IF('Wtr-Gas'!Q62&lt;0,"0",('Wtr-Gas'!Q62)*0.0038)</f>
        <v>145.91999999999999</v>
      </c>
      <c r="AK60" s="229">
        <f>IF('Wtr-Gas'!U62&lt;0,"0",('Wtr-Gas'!U62)*0.0038)</f>
        <v>975.46</v>
      </c>
      <c r="AL60" s="229">
        <f>IF('Wtr-Gas'!X62&lt;0,"0",('Wtr-Gas'!X62)*0.0038)</f>
        <v>6216.8</v>
      </c>
      <c r="AM60" s="228">
        <f>IF('Wtr-Gas'!AB62&lt;0,"0",('Wtr-Gas'!AB62)*0.0038)</f>
        <v>4788</v>
      </c>
      <c r="AN60" s="228">
        <f>IF('Wtr-Gas'!AD62&lt;0,"0",('Wtr-Gas'!AD62)*0.0038)</f>
        <v>1678.498</v>
      </c>
      <c r="AO60" s="228">
        <f>IF('Wtr-Gas'!AF62&lt;0,"0",('Wtr-Gas'!AF62)*0.0038)</f>
        <v>4.4080000000000004</v>
      </c>
      <c r="AP60" s="228">
        <f>IF('Wtr-Gas'!AH62&lt;0,"0",('Wtr-Gas'!AH62)*0.0038)</f>
        <v>297.04599999999999</v>
      </c>
      <c r="AQ60" s="228">
        <f>IF('Wtr-Gas'!AJ62&lt;0,"0",('Wtr-Gas'!AJ62)*0.0038)</f>
        <v>36.324199999999998</v>
      </c>
      <c r="AR60" s="228">
        <f>IF('Wtr-Gas'!AL62&lt;0,"0",('Wtr-Gas'!AL62)*0.0038)</f>
        <v>600.4</v>
      </c>
      <c r="AS60" s="228">
        <f>IF('Wtr-Gas'!AN62&lt;0,"0",('Wtr-Gas'!AN62)*0.0038)</f>
        <v>4.1799999999999997E-2</v>
      </c>
      <c r="AT60" s="228">
        <f>IF('Wtr-Gas'!AP62&lt;0,"0",('Wtr-Gas'!AP62)*0.0038)</f>
        <v>6.08</v>
      </c>
      <c r="AU60" s="249">
        <f>IF('Wtr-Gas'!AT62&lt;0,"0",('Wtr-Gas'!AT62)*0.0038)</f>
        <v>1.0336000000000001</v>
      </c>
      <c r="AV60" s="228">
        <f>IF('Wtr-Gas'!AW62&lt;0,"0",('Wtr-Gas'!AW62)*0.0038)</f>
        <v>184.06059999999999</v>
      </c>
      <c r="AW60" s="228">
        <f>IF('Wtr-Gas'!AY62&lt;0,"0",('Wtr-Gas'!AY62)*0.0038)</f>
        <v>78.91273799999999</v>
      </c>
      <c r="AX60" s="228">
        <f>IF('Wtr-Gas'!AZ62&lt;0,"0",('Wtr-Gas'!AZ62)*0.0038)</f>
        <v>105.147862</v>
      </c>
      <c r="AY60" s="228">
        <f>IF('Wtr-Gas'!BB62&lt;0,"0",('Wtr-Gas'!BB62)*0.0038)</f>
        <v>9.5</v>
      </c>
      <c r="AZ60" s="228">
        <f>IF('Wtr-Gas'!BD62&lt;0,"0",('Wtr-Gas'!BD62)*0.0038)</f>
        <v>0.95</v>
      </c>
      <c r="BA60" s="228">
        <f>IF('Wtr-Gas'!BF62&lt;0,"0",('Wtr-Gas'!BF62)*0.0038)</f>
        <v>8.3599999999999994E-2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 t="str">
        <f>IF(Elect!AM63&lt;0,"0",Elect!AM63)</f>
        <v>0</v>
      </c>
      <c r="F61" s="47">
        <f>IF(Elect!I63&lt;0,"0",Elect!I63)</f>
        <v>0</v>
      </c>
      <c r="G61" s="47">
        <f>Elect!H63</f>
        <v>0</v>
      </c>
      <c r="H61" s="47">
        <f>IF(Elect!F63&lt;0,"0",Elect!F63)</f>
        <v>0</v>
      </c>
      <c r="I61" s="47">
        <f>Elect!E63</f>
        <v>0</v>
      </c>
      <c r="J61" s="47">
        <f>IF(Elect!U63&lt;0,"0",Elect!U63)</f>
        <v>0</v>
      </c>
      <c r="K61" s="47">
        <f>Elect!T63</f>
        <v>0</v>
      </c>
      <c r="L61" s="47">
        <f>IF(Elect!AJ63&lt;0,"0",Elect!AJ63)</f>
        <v>0</v>
      </c>
      <c r="M61" s="47">
        <f>Elect!AI63</f>
        <v>0</v>
      </c>
      <c r="N61" s="47">
        <f>IF(Elect!X63&lt;0,"0",Elect!X63)</f>
        <v>0</v>
      </c>
      <c r="O61" s="47">
        <f>Elect!W63</f>
        <v>0</v>
      </c>
      <c r="P61" s="47">
        <f>IF(Elect!O63&lt;0,"0",Elect!O63)</f>
        <v>0</v>
      </c>
      <c r="Q61" s="47">
        <f>Elect!N63</f>
        <v>0</v>
      </c>
      <c r="R61" s="47">
        <f>IF(Elect!L63&lt;0,"0",Elect!L63)</f>
        <v>0</v>
      </c>
      <c r="S61" s="47">
        <f>Elect!K63</f>
        <v>0</v>
      </c>
      <c r="T61" s="47">
        <f>IF(Elect!R63&lt;0,"0",Elect!R63)</f>
        <v>0</v>
      </c>
      <c r="U61" s="47">
        <f>Elect!Q63</f>
        <v>0</v>
      </c>
      <c r="V61" s="47">
        <f>IF(Elect!AA63&lt;0,"0",Elect!AA63)</f>
        <v>0</v>
      </c>
      <c r="W61" s="47">
        <f>Elect!Z63</f>
        <v>0</v>
      </c>
      <c r="X61" s="47">
        <f>IF(Elect!AD63&lt;0,"0",Elect!AD63)</f>
        <v>0</v>
      </c>
      <c r="Y61" s="47">
        <f>Elect!AC63</f>
        <v>0</v>
      </c>
      <c r="Z61" s="47">
        <f>IF(Elect!AG63&lt;0,"0",Elect!AG63)</f>
        <v>0</v>
      </c>
      <c r="AA61" s="47">
        <f>Elect!AF63</f>
        <v>0</v>
      </c>
      <c r="AB61" s="47">
        <f>IF(Elect!AX63&lt;0,"0",Elect!AX63)</f>
        <v>0</v>
      </c>
      <c r="AC61" s="47">
        <f>IF(Elect!AV63&lt;0,"0",Elect!AV63)</f>
        <v>0</v>
      </c>
      <c r="AD61" s="47">
        <f>IF(Elect!AZ63&lt;0,"0",Elect!AZ63)</f>
        <v>0</v>
      </c>
      <c r="AE61" s="47">
        <f>IF(Elect!BB63&lt;0,"0",Elect!BB63)</f>
        <v>0</v>
      </c>
      <c r="AF61" s="228" t="str">
        <f>IF('Wtr-Gas'!E63&lt;0,"0",('Wtr-Gas'!E63)*0.0038)</f>
        <v>0</v>
      </c>
      <c r="AG61" s="228" t="str">
        <f>IF('Wtr-Gas'!H63&lt;0,"0",('Wtr-Gas'!H63)*0.0038)</f>
        <v>0</v>
      </c>
      <c r="AH61" s="228" t="str">
        <f>IF('Wtr-Gas'!K63&lt;0,"0",('Wtr-Gas'!K63)*0.0038)</f>
        <v>0</v>
      </c>
      <c r="AI61" s="228" t="str">
        <f>IF('Wtr-Gas'!N63&lt;0,"0",('Wtr-Gas'!N63)*0.0038)</f>
        <v>0</v>
      </c>
      <c r="AJ61" s="228" t="str">
        <f>IF('Wtr-Gas'!Q63&lt;0,"0",('Wtr-Gas'!Q63)*0.0038)</f>
        <v>0</v>
      </c>
      <c r="AK61" s="229" t="str">
        <f>IF('Wtr-Gas'!U63&lt;0,"0",('Wtr-Gas'!U63)*0.0038)</f>
        <v>0</v>
      </c>
      <c r="AL61" s="229" t="str">
        <f>IF('Wtr-Gas'!X63&lt;0,"0",('Wtr-Gas'!X63)*0.0038)</f>
        <v>0</v>
      </c>
      <c r="AM61" s="228" t="str">
        <f>IF('Wtr-Gas'!AB63&lt;0,"0",('Wtr-Gas'!AB63)*0.0038)</f>
        <v>0</v>
      </c>
      <c r="AN61" s="228" t="str">
        <f>IF('Wtr-Gas'!AD63&lt;0,"0",('Wtr-Gas'!AD63)*0.0038)</f>
        <v>0</v>
      </c>
      <c r="AO61" s="228" t="str">
        <f>IF('Wtr-Gas'!AF63&lt;0,"0",('Wtr-Gas'!AF63)*0.0038)</f>
        <v>0</v>
      </c>
      <c r="AP61" s="228" t="str">
        <f>IF('Wtr-Gas'!AH63&lt;0,"0",('Wtr-Gas'!AH63)*0.0038)</f>
        <v>0</v>
      </c>
      <c r="AQ61" s="228" t="str">
        <f>IF('Wtr-Gas'!AJ63&lt;0,"0",('Wtr-Gas'!AJ63)*0.0038)</f>
        <v>0</v>
      </c>
      <c r="AR61" s="228" t="str">
        <f>IF('Wtr-Gas'!AL63&lt;0,"0",('Wtr-Gas'!AL63)*0.0038)</f>
        <v>0</v>
      </c>
      <c r="AS61" s="228" t="str">
        <f>IF('Wtr-Gas'!AN63&lt;0,"0",('Wtr-Gas'!AN63)*0.0038)</f>
        <v>0</v>
      </c>
      <c r="AT61" s="228" t="str">
        <f>IF('Wtr-Gas'!AP63&lt;0,"0",('Wtr-Gas'!AP63)*0.0038)</f>
        <v>0</v>
      </c>
      <c r="AU61" s="249">
        <f>IF('Wtr-Gas'!AT63&lt;0,"0",('Wtr-Gas'!AT63)*0.0038)</f>
        <v>0</v>
      </c>
      <c r="AV61" s="228">
        <f>IF('Wtr-Gas'!AW63&lt;0,"0",('Wtr-Gas'!AW63)*0.0038)</f>
        <v>0</v>
      </c>
      <c r="AW61" s="228">
        <f>IF('Wtr-Gas'!AY63&lt;0,"0",('Wtr-Gas'!AY63)*0.0038)</f>
        <v>0</v>
      </c>
      <c r="AX61" s="228">
        <f>IF('Wtr-Gas'!AZ63&lt;0,"0",('Wtr-Gas'!AZ63)*0.0038)</f>
        <v>0</v>
      </c>
      <c r="AY61" s="228">
        <f>IF('Wtr-Gas'!BB63&lt;0,"0",('Wtr-Gas'!BB63)*0.0038)</f>
        <v>0</v>
      </c>
      <c r="AZ61" s="228">
        <f>IF('Wtr-Gas'!BD63&lt;0,"0",('Wtr-Gas'!BD63)*0.0038)</f>
        <v>0</v>
      </c>
      <c r="BA61" s="228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>
        <f>IF('Wtr-Gas'!E64&lt;0,"0",('Wtr-Gas'!E64)*0.0038)</f>
        <v>0</v>
      </c>
      <c r="AG62" s="228">
        <f>IF('Wtr-Gas'!H64&lt;0,"0",('Wtr-Gas'!H64)*0.0038)</f>
        <v>0</v>
      </c>
      <c r="AH62" s="228">
        <f>IF('Wtr-Gas'!K64&lt;0,"0",('Wtr-Gas'!K64)*0.0038)</f>
        <v>0</v>
      </c>
      <c r="AI62" s="228">
        <f>IF('Wtr-Gas'!N64&lt;0,"0",('Wtr-Gas'!N64)*0.0038)</f>
        <v>0</v>
      </c>
      <c r="AJ62" s="228">
        <f>IF('Wtr-Gas'!Q64&lt;0,"0",('Wtr-Gas'!Q64)*0.0038)</f>
        <v>0</v>
      </c>
      <c r="AK62" s="229">
        <f>IF('Wtr-Gas'!U64&lt;0,"0",('Wtr-Gas'!U64)*0.0038)</f>
        <v>0</v>
      </c>
      <c r="AL62" s="229">
        <f>IF('Wtr-Gas'!X64&lt;0,"0",('Wtr-Gas'!X64)*0.0038)</f>
        <v>0</v>
      </c>
      <c r="AM62" s="228">
        <f>IF('Wtr-Gas'!AB64&lt;0,"0",('Wtr-Gas'!AB64)*0.0038)</f>
        <v>0</v>
      </c>
      <c r="AN62" s="228">
        <f>IF('Wtr-Gas'!AD64&lt;0,"0",('Wtr-Gas'!AD64)*0.0038)</f>
        <v>0</v>
      </c>
      <c r="AO62" s="228">
        <f>IF('Wtr-Gas'!AF64&lt;0,"0",('Wtr-Gas'!AF64)*0.0038)</f>
        <v>0</v>
      </c>
      <c r="AP62" s="228">
        <f>IF('Wtr-Gas'!AH64&lt;0,"0",('Wtr-Gas'!AH64)*0.0038)</f>
        <v>0</v>
      </c>
      <c r="AQ62" s="228">
        <f>IF('Wtr-Gas'!AJ64&lt;0,"0",('Wtr-Gas'!AJ64)*0.0038)</f>
        <v>0</v>
      </c>
      <c r="AR62" s="228">
        <f>IF('Wtr-Gas'!AL64&lt;0,"0",('Wtr-Gas'!AL64)*0.0038)</f>
        <v>0</v>
      </c>
      <c r="AS62" s="228">
        <f>IF('Wtr-Gas'!AN64&lt;0,"0",('Wtr-Gas'!AN64)*0.0038)</f>
        <v>0</v>
      </c>
      <c r="AT62" s="228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289">
        <v>74860172</v>
      </c>
      <c r="C4" s="290"/>
      <c r="D4" s="289">
        <v>74860173</v>
      </c>
      <c r="E4" s="290"/>
      <c r="F4" s="289">
        <v>44553004</v>
      </c>
      <c r="G4" s="290"/>
      <c r="H4" s="289">
        <v>70275191</v>
      </c>
      <c r="I4" s="290"/>
      <c r="J4" s="289">
        <v>2130521</v>
      </c>
      <c r="K4" s="290"/>
      <c r="L4" s="289" t="s">
        <v>169</v>
      </c>
      <c r="M4" s="290"/>
      <c r="N4" s="285">
        <v>93477704</v>
      </c>
      <c r="O4" s="286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87" t="s">
        <v>183</v>
      </c>
      <c r="C6" s="288"/>
      <c r="D6" s="287" t="s">
        <v>184</v>
      </c>
      <c r="E6" s="288"/>
      <c r="F6" s="287" t="s">
        <v>185</v>
      </c>
      <c r="G6" s="288"/>
      <c r="H6" s="287" t="s">
        <v>186</v>
      </c>
      <c r="I6" s="288"/>
      <c r="J6" s="287" t="s">
        <v>187</v>
      </c>
      <c r="K6" s="288"/>
      <c r="L6" s="287" t="s">
        <v>188</v>
      </c>
      <c r="M6" s="288"/>
      <c r="N6" s="139" t="s">
        <v>189</v>
      </c>
      <c r="O6" s="140"/>
      <c r="S6" s="141"/>
    </row>
    <row r="7" spans="1:19" ht="26.25" customHeight="1" x14ac:dyDescent="0.5">
      <c r="A7" s="142"/>
      <c r="B7" s="293"/>
      <c r="C7" s="293"/>
      <c r="D7" s="293"/>
      <c r="E7" s="293"/>
      <c r="F7" s="293"/>
      <c r="G7" s="293"/>
      <c r="H7" s="293"/>
      <c r="I7" s="293"/>
      <c r="J7" s="294"/>
      <c r="K7" s="295"/>
      <c r="L7" s="294"/>
      <c r="M7" s="295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91">
        <v>85492530</v>
      </c>
      <c r="C9" s="292"/>
      <c r="D9" s="291">
        <v>79305675</v>
      </c>
      <c r="E9" s="292"/>
      <c r="F9" s="291">
        <v>79190041</v>
      </c>
      <c r="G9" s="292"/>
      <c r="H9" s="291" t="s">
        <v>49</v>
      </c>
      <c r="I9" s="292"/>
      <c r="J9" s="291">
        <v>79190039</v>
      </c>
      <c r="K9" s="292"/>
      <c r="L9" s="291">
        <v>79324776</v>
      </c>
      <c r="M9" s="292"/>
      <c r="N9" s="148"/>
      <c r="O9" s="149"/>
    </row>
    <row r="10" spans="1:19" x14ac:dyDescent="0.25">
      <c r="B10" s="289" t="s">
        <v>146</v>
      </c>
      <c r="C10" s="290"/>
      <c r="D10" s="289" t="s">
        <v>146</v>
      </c>
      <c r="E10" s="290"/>
      <c r="F10" s="289" t="s">
        <v>150</v>
      </c>
      <c r="G10" s="290"/>
      <c r="H10" s="289" t="s">
        <v>150</v>
      </c>
      <c r="I10" s="290"/>
      <c r="J10" s="289" t="s">
        <v>154</v>
      </c>
      <c r="K10" s="290"/>
      <c r="L10" s="289" t="s">
        <v>155</v>
      </c>
      <c r="M10" s="290"/>
      <c r="N10" s="296" t="s">
        <v>190</v>
      </c>
      <c r="O10" s="297"/>
    </row>
    <row r="11" spans="1:19" x14ac:dyDescent="0.25">
      <c r="B11" s="287" t="s">
        <v>191</v>
      </c>
      <c r="C11" s="288"/>
      <c r="D11" s="287" t="s">
        <v>192</v>
      </c>
      <c r="E11" s="288"/>
      <c r="F11" s="287" t="s">
        <v>153</v>
      </c>
      <c r="G11" s="288"/>
      <c r="H11" s="287" t="s">
        <v>193</v>
      </c>
      <c r="I11" s="288"/>
      <c r="J11" s="287" t="s">
        <v>193</v>
      </c>
      <c r="K11" s="288"/>
      <c r="L11" s="287" t="s">
        <v>153</v>
      </c>
      <c r="M11" s="288"/>
      <c r="N11" s="298" t="s">
        <v>194</v>
      </c>
      <c r="O11" s="299"/>
    </row>
    <row r="12" spans="1:19" ht="29.25" customHeight="1" x14ac:dyDescent="0.5">
      <c r="A12" s="142"/>
      <c r="B12" s="293"/>
      <c r="C12" s="293"/>
      <c r="D12" s="293"/>
      <c r="E12" s="293"/>
      <c r="F12" s="293"/>
      <c r="G12" s="293"/>
      <c r="H12" s="293"/>
      <c r="I12" s="293"/>
      <c r="J12" s="294"/>
      <c r="K12" s="295"/>
      <c r="L12" s="294"/>
      <c r="M12" s="295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300" t="s">
        <v>195</v>
      </c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135"/>
      <c r="O14" s="136"/>
    </row>
    <row r="15" spans="1:19" x14ac:dyDescent="0.25">
      <c r="B15" s="289" t="s">
        <v>72</v>
      </c>
      <c r="C15" s="290"/>
      <c r="D15" s="289" t="s">
        <v>76</v>
      </c>
      <c r="E15" s="290"/>
      <c r="F15" s="289" t="s">
        <v>80</v>
      </c>
      <c r="G15" s="290"/>
      <c r="H15" s="289" t="s">
        <v>84</v>
      </c>
      <c r="I15" s="290"/>
      <c r="J15" s="289" t="s">
        <v>88</v>
      </c>
      <c r="K15" s="290"/>
      <c r="L15" s="302"/>
      <c r="M15" s="303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304" t="s">
        <v>198</v>
      </c>
      <c r="C20" s="305"/>
      <c r="D20" s="305"/>
      <c r="E20" s="305"/>
      <c r="F20" s="305"/>
      <c r="G20" s="305"/>
      <c r="H20" s="305"/>
      <c r="I20" s="306"/>
      <c r="J20" s="307" t="s">
        <v>150</v>
      </c>
      <c r="K20" s="305"/>
      <c r="L20" s="305"/>
      <c r="M20" s="305"/>
      <c r="N20" s="305"/>
      <c r="O20" s="161"/>
    </row>
    <row r="21" spans="1:15" x14ac:dyDescent="0.25">
      <c r="B21" s="291" t="s">
        <v>93</v>
      </c>
      <c r="C21" s="292"/>
      <c r="D21" s="291" t="s">
        <v>97</v>
      </c>
      <c r="E21" s="292"/>
      <c r="F21" s="291" t="s">
        <v>100</v>
      </c>
      <c r="G21" s="292"/>
      <c r="H21" s="291" t="s">
        <v>104</v>
      </c>
      <c r="I21" s="292"/>
      <c r="J21" s="308" t="s">
        <v>108</v>
      </c>
      <c r="K21" s="308"/>
      <c r="L21" s="291" t="s">
        <v>112</v>
      </c>
      <c r="M21" s="292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309" t="s">
        <v>199</v>
      </c>
      <c r="C26" s="310"/>
      <c r="D26" s="309" t="s">
        <v>200</v>
      </c>
      <c r="E26" s="310"/>
      <c r="F26" s="164"/>
      <c r="G26" s="164"/>
      <c r="H26" s="164"/>
      <c r="I26" s="164"/>
      <c r="J26" s="311">
        <v>112014001775</v>
      </c>
      <c r="K26" s="312"/>
      <c r="L26" s="311">
        <v>112014001771</v>
      </c>
      <c r="M26" s="312"/>
      <c r="N26" s="162"/>
      <c r="O26" s="163"/>
    </row>
    <row r="27" spans="1:15" x14ac:dyDescent="0.25">
      <c r="B27" s="291" t="s">
        <v>117</v>
      </c>
      <c r="C27" s="292"/>
      <c r="D27" s="291" t="s">
        <v>201</v>
      </c>
      <c r="E27" s="292"/>
      <c r="F27" s="147"/>
      <c r="G27" s="147"/>
      <c r="H27" s="147"/>
      <c r="I27" s="147"/>
      <c r="J27" s="291" t="s">
        <v>158</v>
      </c>
      <c r="K27" s="292"/>
      <c r="L27" s="291" t="s">
        <v>69</v>
      </c>
      <c r="M27" s="292"/>
      <c r="N27" s="165"/>
      <c r="O27" s="166"/>
    </row>
    <row r="28" spans="1:15" x14ac:dyDescent="0.25">
      <c r="B28" s="261" t="s">
        <v>116</v>
      </c>
      <c r="C28" s="261" t="s">
        <v>115</v>
      </c>
      <c r="D28" s="313" t="s">
        <v>202</v>
      </c>
      <c r="E28" s="314"/>
      <c r="F28" s="147"/>
      <c r="G28" s="147"/>
      <c r="H28" s="147"/>
      <c r="I28" s="147"/>
      <c r="J28" s="315" t="s">
        <v>203</v>
      </c>
      <c r="K28" s="316"/>
      <c r="L28" s="287" t="s">
        <v>204</v>
      </c>
      <c r="M28" s="288"/>
      <c r="N28" s="154"/>
      <c r="O28" s="155"/>
    </row>
    <row r="29" spans="1:15" x14ac:dyDescent="0.25">
      <c r="B29" s="313" t="s">
        <v>196</v>
      </c>
      <c r="C29" s="314"/>
      <c r="D29" s="313" t="s">
        <v>205</v>
      </c>
      <c r="E29" s="314"/>
      <c r="F29" s="147"/>
      <c r="G29" s="147"/>
      <c r="H29" s="147"/>
      <c r="I29" s="147"/>
      <c r="J29" s="293" t="s">
        <v>206</v>
      </c>
      <c r="K29" s="293"/>
      <c r="L29" s="293" t="s">
        <v>206</v>
      </c>
      <c r="M29" s="293"/>
      <c r="N29" s="162"/>
      <c r="O29" s="163"/>
    </row>
    <row r="30" spans="1:15" ht="33.75" x14ac:dyDescent="0.5">
      <c r="A30" s="142"/>
      <c r="B30" s="294"/>
      <c r="C30" s="295"/>
      <c r="D30" s="294"/>
      <c r="E30" s="295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7" t="s">
        <v>207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</row>
    <row r="3" spans="1:13" x14ac:dyDescent="0.25">
      <c r="B3" s="318">
        <v>73337589</v>
      </c>
      <c r="C3" s="319"/>
      <c r="D3" s="318">
        <v>65956268</v>
      </c>
      <c r="E3" s="319"/>
      <c r="F3" s="318">
        <v>1334021</v>
      </c>
      <c r="G3" s="319"/>
      <c r="H3" s="318">
        <v>63265094</v>
      </c>
      <c r="I3" s="319"/>
      <c r="J3" s="318">
        <v>80606729</v>
      </c>
      <c r="K3" s="319"/>
      <c r="L3" s="318" t="s">
        <v>113</v>
      </c>
      <c r="M3" s="319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22" t="s">
        <v>208</v>
      </c>
      <c r="C5" s="323"/>
      <c r="D5" s="322" t="s">
        <v>209</v>
      </c>
      <c r="E5" s="323"/>
      <c r="F5" s="322" t="s">
        <v>119</v>
      </c>
      <c r="G5" s="323"/>
      <c r="H5" s="322" t="s">
        <v>126</v>
      </c>
      <c r="I5" s="323"/>
      <c r="J5" s="322" t="s">
        <v>210</v>
      </c>
      <c r="K5" s="323"/>
      <c r="L5" s="322" t="s">
        <v>113</v>
      </c>
      <c r="M5" s="323"/>
    </row>
    <row r="6" spans="1:13" ht="33.75" x14ac:dyDescent="0.5">
      <c r="A6" s="142"/>
      <c r="B6" s="324"/>
      <c r="C6" s="324"/>
      <c r="D6" s="324"/>
      <c r="E6" s="324"/>
      <c r="F6" s="324"/>
      <c r="G6" s="324"/>
      <c r="H6" s="324"/>
      <c r="I6" s="324"/>
      <c r="J6" s="320"/>
      <c r="K6" s="321"/>
      <c r="L6" s="320"/>
      <c r="M6" s="321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7" t="s">
        <v>211</v>
      </c>
      <c r="C8" s="317"/>
      <c r="D8" s="317"/>
      <c r="E8" s="317"/>
      <c r="F8" s="317"/>
      <c r="G8" s="317"/>
      <c r="H8" s="317"/>
      <c r="I8" s="317"/>
      <c r="J8" s="317"/>
      <c r="K8" s="317"/>
      <c r="L8" s="317"/>
      <c r="M8" s="317"/>
    </row>
    <row r="9" spans="1:13" x14ac:dyDescent="0.25">
      <c r="B9" s="318" t="s">
        <v>123</v>
      </c>
      <c r="C9" s="319"/>
      <c r="D9" s="318" t="s">
        <v>120</v>
      </c>
      <c r="E9" s="319"/>
      <c r="F9" s="318"/>
      <c r="G9" s="319"/>
      <c r="H9" s="318" t="s">
        <v>212</v>
      </c>
      <c r="I9" s="319"/>
      <c r="J9" s="318" t="s">
        <v>128</v>
      </c>
      <c r="K9" s="319"/>
      <c r="L9" s="318" t="s">
        <v>113</v>
      </c>
      <c r="M9" s="319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25" t="s">
        <v>216</v>
      </c>
      <c r="K10" s="326"/>
      <c r="L10" s="30" t="s">
        <v>113</v>
      </c>
      <c r="M10" s="31" t="s">
        <v>113</v>
      </c>
    </row>
    <row r="11" spans="1:13" x14ac:dyDescent="0.25">
      <c r="B11" s="322" t="s">
        <v>208</v>
      </c>
      <c r="C11" s="323"/>
      <c r="D11" s="322" t="s">
        <v>119</v>
      </c>
      <c r="E11" s="323"/>
      <c r="F11" s="322"/>
      <c r="G11" s="323"/>
      <c r="H11" s="322" t="s">
        <v>126</v>
      </c>
      <c r="I11" s="323"/>
      <c r="J11" s="322" t="s">
        <v>129</v>
      </c>
      <c r="K11" s="323"/>
      <c r="L11" s="322" t="s">
        <v>113</v>
      </c>
      <c r="M11" s="323"/>
    </row>
    <row r="12" spans="1:13" ht="33.75" x14ac:dyDescent="0.5">
      <c r="A12" s="142"/>
      <c r="B12" s="324"/>
      <c r="C12" s="324"/>
      <c r="D12" s="324"/>
      <c r="E12" s="324"/>
      <c r="F12" s="324"/>
      <c r="G12" s="324"/>
      <c r="H12" s="327"/>
      <c r="I12" s="327"/>
      <c r="J12" s="320"/>
      <c r="K12" s="321"/>
      <c r="L12" s="320"/>
      <c r="M12" s="321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7" t="s">
        <v>217</v>
      </c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</row>
    <row r="15" spans="1:13" x14ac:dyDescent="0.25">
      <c r="B15" s="318" t="s">
        <v>218</v>
      </c>
      <c r="C15" s="319"/>
      <c r="D15" s="318" t="s">
        <v>219</v>
      </c>
      <c r="E15" s="319"/>
      <c r="F15" s="318" t="s">
        <v>220</v>
      </c>
      <c r="G15" s="319"/>
      <c r="H15" s="318" t="s">
        <v>221</v>
      </c>
      <c r="I15" s="319"/>
      <c r="J15" s="318" t="s">
        <v>222</v>
      </c>
      <c r="K15" s="319"/>
      <c r="L15" s="318" t="s">
        <v>223</v>
      </c>
      <c r="M15" s="319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25" t="s">
        <v>113</v>
      </c>
      <c r="K16" s="326"/>
      <c r="L16" s="30" t="s">
        <v>113</v>
      </c>
      <c r="M16" s="31" t="s">
        <v>113</v>
      </c>
    </row>
    <row r="17" spans="1:13" x14ac:dyDescent="0.25">
      <c r="B17" s="322" t="s">
        <v>224</v>
      </c>
      <c r="C17" s="323"/>
      <c r="D17" s="322" t="s">
        <v>119</v>
      </c>
      <c r="E17" s="323"/>
      <c r="F17" s="322" t="s">
        <v>119</v>
      </c>
      <c r="G17" s="323"/>
      <c r="H17" s="322" t="s">
        <v>225</v>
      </c>
      <c r="I17" s="323"/>
      <c r="J17" s="322" t="s">
        <v>119</v>
      </c>
      <c r="K17" s="323"/>
      <c r="L17" s="322" t="s">
        <v>119</v>
      </c>
      <c r="M17" s="323"/>
    </row>
    <row r="18" spans="1:13" ht="33.75" x14ac:dyDescent="0.5">
      <c r="A18" s="142"/>
      <c r="B18" s="324"/>
      <c r="C18" s="324"/>
      <c r="D18" s="324"/>
      <c r="E18" s="324"/>
      <c r="F18" s="324"/>
      <c r="G18" s="324"/>
      <c r="H18" s="327"/>
      <c r="I18" s="327"/>
      <c r="J18" s="320"/>
      <c r="K18" s="321"/>
      <c r="L18" s="320"/>
      <c r="M18" s="321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28">
        <v>73337589</v>
      </c>
      <c r="BZ20" s="328"/>
      <c r="CA20" s="328"/>
      <c r="CB20" s="328"/>
      <c r="CC20" s="328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30">
        <v>44553004</v>
      </c>
      <c r="AZ21" s="330"/>
      <c r="BA21" s="330"/>
      <c r="BB21" s="330"/>
      <c r="BC21" s="330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30">
        <v>65956268</v>
      </c>
      <c r="CM21" s="330"/>
      <c r="CN21" s="330"/>
      <c r="CO21" s="330"/>
      <c r="CP21" s="330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29">
        <v>74860172</v>
      </c>
      <c r="AB24" s="329"/>
      <c r="AC24" s="329"/>
      <c r="AD24" s="329"/>
      <c r="AE24" s="329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29">
        <v>70275191</v>
      </c>
      <c r="AZ27" s="329"/>
      <c r="BA27" s="329"/>
      <c r="BB27" s="329"/>
      <c r="BC27" s="329"/>
      <c r="BD27" s="31"/>
      <c r="BS27" s="31"/>
      <c r="BX27" s="30"/>
      <c r="BY27" s="328">
        <v>1334021</v>
      </c>
      <c r="BZ27" s="328"/>
      <c r="CA27" s="328"/>
      <c r="CB27" s="328"/>
      <c r="CC27" s="328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28">
        <v>67327447</v>
      </c>
      <c r="CL30" s="328"/>
      <c r="CM30" s="328"/>
      <c r="CN30" s="328"/>
      <c r="CO30" s="328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29">
        <v>74860173</v>
      </c>
      <c r="AB31" s="329"/>
      <c r="AC31" s="329"/>
      <c r="AD31" s="329"/>
      <c r="AE31" s="329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28">
        <v>63265094</v>
      </c>
      <c r="BZ34" s="328"/>
      <c r="CA34" s="328"/>
      <c r="CB34" s="328"/>
      <c r="CC34" s="328"/>
      <c r="CD34" s="31"/>
    </row>
    <row r="35" spans="3:82" x14ac:dyDescent="0.25">
      <c r="AL35" s="31"/>
      <c r="AS35" s="31"/>
      <c r="AW35" s="31"/>
      <c r="AY35" s="329">
        <v>2130521</v>
      </c>
      <c r="AZ35" s="329"/>
      <c r="BA35" s="329"/>
      <c r="BB35" s="329"/>
      <c r="BC35" s="329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31"/>
      <c r="E36" s="331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29">
        <v>79177804</v>
      </c>
      <c r="AZ42" s="329"/>
      <c r="BA42" s="329"/>
      <c r="BB42" s="329"/>
      <c r="BC42" s="329"/>
      <c r="BD42" s="31"/>
      <c r="BJ42" s="31"/>
      <c r="BL42" t="s">
        <v>277</v>
      </c>
      <c r="BP42" s="31"/>
    </row>
    <row r="43" spans="3:82" x14ac:dyDescent="0.25">
      <c r="V43" s="31"/>
      <c r="Z43" s="30"/>
      <c r="AA43" s="333">
        <v>93477704</v>
      </c>
      <c r="AB43" s="334"/>
      <c r="AC43" s="334"/>
      <c r="AD43" s="334"/>
      <c r="AE43" s="334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30">
        <v>79305675</v>
      </c>
      <c r="BM43" s="330"/>
      <c r="BN43" s="330"/>
      <c r="BO43" s="330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29">
        <v>79190041</v>
      </c>
      <c r="AZ49" s="329"/>
      <c r="BA49" s="329"/>
      <c r="BB49" s="329"/>
      <c r="BC49" s="329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29">
        <v>79190039</v>
      </c>
      <c r="AZ56" s="329"/>
      <c r="BA56" s="329"/>
      <c r="BB56" s="329"/>
      <c r="BC56" s="329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29">
        <v>79324776</v>
      </c>
      <c r="AZ63" s="329"/>
      <c r="BA63" s="329"/>
      <c r="BB63" s="329"/>
      <c r="BC63" s="329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32" t="s">
        <v>160</v>
      </c>
      <c r="AZ71" s="332"/>
      <c r="BA71" s="332"/>
      <c r="BB71" s="332"/>
      <c r="BC71" s="332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32" t="s">
        <v>162</v>
      </c>
      <c r="AZ78" s="332"/>
      <c r="BA78" s="332"/>
      <c r="BB78" s="332"/>
      <c r="BC78" s="332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B37" zoomScale="115" zoomScaleNormal="115" workbookViewId="0">
      <selection activeCell="AU61" sqref="AU61:BB62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38" t="s">
        <v>72</v>
      </c>
      <c r="E1" s="339"/>
      <c r="F1" s="339"/>
      <c r="G1" s="338" t="s">
        <v>76</v>
      </c>
      <c r="H1" s="339"/>
      <c r="I1" s="339"/>
      <c r="J1" s="338" t="s">
        <v>80</v>
      </c>
      <c r="K1" s="339"/>
      <c r="L1" s="339"/>
      <c r="M1" s="338" t="s">
        <v>84</v>
      </c>
      <c r="N1" s="339"/>
      <c r="O1" s="339"/>
      <c r="P1" s="338" t="s">
        <v>88</v>
      </c>
      <c r="Q1" s="339"/>
      <c r="R1" s="339"/>
      <c r="S1" s="338" t="s">
        <v>93</v>
      </c>
      <c r="T1" s="339"/>
      <c r="U1" s="339"/>
      <c r="V1" s="338" t="s">
        <v>97</v>
      </c>
      <c r="W1" s="339"/>
      <c r="X1" s="339"/>
      <c r="Y1" s="338" t="s">
        <v>100</v>
      </c>
      <c r="Z1" s="339"/>
      <c r="AA1" s="339"/>
      <c r="AB1" s="338" t="s">
        <v>104</v>
      </c>
      <c r="AC1" s="339"/>
      <c r="AD1" s="339"/>
      <c r="AE1" s="338" t="s">
        <v>108</v>
      </c>
      <c r="AF1" s="339"/>
      <c r="AG1" s="339"/>
      <c r="AH1" s="338" t="s">
        <v>112</v>
      </c>
      <c r="AI1" s="339"/>
      <c r="AJ1" s="339"/>
      <c r="AK1" s="338" t="s">
        <v>117</v>
      </c>
      <c r="AL1" s="339"/>
      <c r="AM1" s="339"/>
      <c r="AN1" s="81"/>
      <c r="AO1" s="81"/>
      <c r="AP1" s="82" t="s">
        <v>359</v>
      </c>
      <c r="AQ1" s="82" t="s">
        <v>360</v>
      </c>
      <c r="AR1" s="82"/>
      <c r="AS1" s="81"/>
      <c r="AT1" s="81"/>
      <c r="AU1" s="338" t="s">
        <v>123</v>
      </c>
      <c r="AV1" s="339"/>
      <c r="AW1" s="338" t="s">
        <v>120</v>
      </c>
      <c r="AX1" s="339"/>
      <c r="AY1" s="338" t="s">
        <v>125</v>
      </c>
      <c r="AZ1" s="339"/>
      <c r="BA1" s="338" t="s">
        <v>361</v>
      </c>
      <c r="BB1" s="339"/>
      <c r="BC1" s="77"/>
      <c r="BD1" s="77"/>
      <c r="BE1" s="77"/>
      <c r="BF1" s="15" t="s">
        <v>196</v>
      </c>
      <c r="BG1" s="77"/>
      <c r="BJ1" s="335" t="s">
        <v>362</v>
      </c>
      <c r="BK1" s="336"/>
      <c r="BL1" s="336"/>
      <c r="BM1" s="337"/>
      <c r="BN1" s="335" t="s">
        <v>363</v>
      </c>
      <c r="BO1" s="336"/>
      <c r="BP1" s="336"/>
      <c r="BQ1" s="336"/>
      <c r="BR1" s="336"/>
      <c r="BS1" s="336"/>
      <c r="BT1" s="336"/>
      <c r="BU1" s="336"/>
      <c r="BV1" s="337"/>
      <c r="BW1" s="335" t="s">
        <v>364</v>
      </c>
      <c r="BX1" s="336"/>
      <c r="BY1" s="336"/>
      <c r="BZ1" s="336"/>
      <c r="CA1" s="336"/>
      <c r="CB1" s="336"/>
      <c r="CC1" s="336"/>
      <c r="CD1" s="336"/>
      <c r="CE1" s="337"/>
      <c r="CF1" s="335" t="s">
        <v>365</v>
      </c>
      <c r="CG1" s="336"/>
      <c r="CH1" s="336"/>
      <c r="CI1" s="336"/>
      <c r="CJ1" s="336"/>
      <c r="CK1" s="336"/>
      <c r="CL1" s="336"/>
      <c r="CM1" s="336"/>
      <c r="CN1" s="337"/>
      <c r="CO1" s="335" t="s">
        <v>366</v>
      </c>
      <c r="CP1" s="336"/>
      <c r="CQ1" s="336"/>
      <c r="CR1" s="336"/>
      <c r="CS1" s="336"/>
      <c r="CT1" s="336"/>
      <c r="CU1" s="336"/>
      <c r="CV1" s="336"/>
      <c r="CW1" s="337"/>
      <c r="CX1" s="335" t="s">
        <v>367</v>
      </c>
      <c r="CY1" s="336"/>
      <c r="CZ1" s="336"/>
      <c r="DA1" s="336"/>
      <c r="DB1" s="336"/>
      <c r="DC1" s="336"/>
      <c r="DD1" s="336"/>
      <c r="DE1" s="336"/>
      <c r="DF1" s="337"/>
      <c r="DG1" s="335" t="s">
        <v>368</v>
      </c>
      <c r="DH1" s="336"/>
      <c r="DI1" s="336"/>
      <c r="DJ1" s="336"/>
      <c r="DK1" s="336"/>
      <c r="DL1" s="336"/>
      <c r="DM1" s="336"/>
      <c r="DN1" s="336"/>
      <c r="DO1" s="337"/>
      <c r="DP1" s="335" t="s">
        <v>369</v>
      </c>
      <c r="DQ1" s="336"/>
      <c r="DR1" s="336"/>
      <c r="DS1" s="336"/>
      <c r="DT1" s="336"/>
      <c r="DU1" s="336"/>
      <c r="DV1" s="336"/>
      <c r="DW1" s="336"/>
      <c r="DX1" s="337"/>
      <c r="DY1" s="335" t="s">
        <v>370</v>
      </c>
      <c r="DZ1" s="336"/>
      <c r="EA1" s="336"/>
      <c r="EB1" s="336"/>
      <c r="EC1" s="336"/>
      <c r="ED1" s="336"/>
      <c r="EE1" s="336"/>
      <c r="EF1" s="336"/>
      <c r="EG1" s="337"/>
      <c r="EH1" s="335" t="s">
        <v>371</v>
      </c>
      <c r="EI1" s="336"/>
      <c r="EJ1" s="336"/>
      <c r="EK1" s="336"/>
      <c r="EL1" s="336"/>
      <c r="EM1" s="336"/>
      <c r="EN1" s="336"/>
      <c r="EO1" s="336"/>
      <c r="EP1" s="337"/>
      <c r="EQ1" s="335" t="s">
        <v>372</v>
      </c>
      <c r="ER1" s="336"/>
      <c r="ES1" s="336"/>
      <c r="ET1" s="336"/>
      <c r="EU1" s="336"/>
      <c r="EV1" s="336"/>
      <c r="EW1" s="336"/>
      <c r="EX1" s="336"/>
      <c r="EY1" s="337"/>
      <c r="EZ1" s="335" t="s">
        <v>373</v>
      </c>
      <c r="FA1" s="336"/>
      <c r="FB1" s="336"/>
      <c r="FC1" s="336"/>
      <c r="FD1" s="336"/>
      <c r="FE1" s="336"/>
      <c r="FF1" s="336"/>
      <c r="FG1" s="336"/>
      <c r="FH1" s="337"/>
      <c r="FI1" s="57"/>
      <c r="FJ1" s="83"/>
      <c r="FK1" s="84" t="s">
        <v>374</v>
      </c>
      <c r="FL1" s="84" t="s">
        <v>113</v>
      </c>
      <c r="FM1" s="84"/>
      <c r="FN1" s="14"/>
      <c r="FO1" s="84"/>
      <c r="FP1" s="335" t="s">
        <v>375</v>
      </c>
      <c r="FQ1" s="336"/>
      <c r="FR1" s="336"/>
      <c r="FS1" s="336"/>
      <c r="FT1" s="336"/>
      <c r="FU1" s="336"/>
      <c r="FV1" s="336"/>
      <c r="FW1" s="336"/>
      <c r="FX1" s="337"/>
      <c r="FY1" s="335" t="s">
        <v>376</v>
      </c>
      <c r="FZ1" s="336"/>
      <c r="GA1" s="336"/>
      <c r="GB1" s="336"/>
      <c r="GC1" s="336"/>
      <c r="GD1" s="336"/>
      <c r="GE1" s="336"/>
      <c r="GF1" s="336"/>
      <c r="GG1" s="337"/>
      <c r="GH1" s="335" t="s">
        <v>377</v>
      </c>
      <c r="GI1" s="336"/>
      <c r="GJ1" s="336"/>
      <c r="GK1" s="336"/>
      <c r="GL1" s="336"/>
      <c r="GM1" s="337"/>
      <c r="GN1" s="335" t="s">
        <v>378</v>
      </c>
      <c r="GO1" s="336"/>
      <c r="GP1" s="336"/>
      <c r="GQ1" s="336"/>
      <c r="GR1" s="336"/>
      <c r="GS1" s="336"/>
      <c r="GT1" s="336"/>
      <c r="GU1" s="336"/>
      <c r="GV1" s="337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20" t="s">
        <v>116</v>
      </c>
      <c r="AL2" s="321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40" t="s">
        <v>385</v>
      </c>
      <c r="BK2" s="341"/>
      <c r="BL2" s="341"/>
      <c r="BM2" s="341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20" t="s">
        <v>196</v>
      </c>
      <c r="AL3" s="321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64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64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62" si="75">SUM(J50-J49)*400</f>
        <v>10400</v>
      </c>
      <c r="M50" s="20">
        <v>11762</v>
      </c>
      <c r="N50" s="20">
        <v>2.1</v>
      </c>
      <c r="O50" s="41">
        <f t="shared" ref="O50:O62" si="76">SUM(M50-M49)*400</f>
        <v>9600</v>
      </c>
      <c r="P50" s="20">
        <v>12389</v>
      </c>
      <c r="Q50" s="20">
        <v>1.99</v>
      </c>
      <c r="R50" s="41">
        <f t="shared" ref="R50:R62" si="77">SUM(P50-P49)*400</f>
        <v>9200</v>
      </c>
      <c r="S50" s="20">
        <v>85194</v>
      </c>
      <c r="T50" s="20">
        <v>2.33</v>
      </c>
      <c r="U50" s="41">
        <f t="shared" ref="U50:U62" si="78">SUM(S50-S49)*300</f>
        <v>72300</v>
      </c>
      <c r="V50" s="20">
        <v>81676</v>
      </c>
      <c r="W50" s="20">
        <v>2.0859999999999999</v>
      </c>
      <c r="X50" s="41">
        <f t="shared" ref="X50:X62" si="79">SUM(V50-V49)*300</f>
        <v>76800</v>
      </c>
      <c r="Y50" s="20">
        <v>19308</v>
      </c>
      <c r="Z50" s="20">
        <v>3.71</v>
      </c>
      <c r="AA50" s="41">
        <f t="shared" ref="AA50:AA62" si="80">SUM(Y50-Y49)*160</f>
        <v>5760</v>
      </c>
      <c r="AB50" s="20">
        <v>12591</v>
      </c>
      <c r="AC50" s="20">
        <v>2.86</v>
      </c>
      <c r="AD50" s="41">
        <f t="shared" ref="AD50:AD62" si="81">SUM(AB50-AB49)*160</f>
        <v>3520</v>
      </c>
      <c r="AE50" s="20">
        <v>3532</v>
      </c>
      <c r="AF50" s="20">
        <v>2.1549999999999998</v>
      </c>
      <c r="AG50" s="41">
        <f t="shared" ref="AG50:AG62" si="82">SUM(AE50-AE49)*200</f>
        <v>55400</v>
      </c>
      <c r="AH50" s="20">
        <v>18967</v>
      </c>
      <c r="AI50" s="20">
        <v>0.33300000000000002</v>
      </c>
      <c r="AJ50" s="41">
        <f t="shared" ref="AJ50:AJ62" si="83">SUM(AH50-AH49)*40</f>
        <v>1640</v>
      </c>
      <c r="AK50" s="273">
        <v>89894</v>
      </c>
      <c r="AL50" s="41">
        <f t="shared" ref="AL50:AL62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62" si="87">SUM(AY50-AY49)</f>
        <v>671</v>
      </c>
      <c r="BA50" s="20">
        <v>2948</v>
      </c>
      <c r="BB50" s="41">
        <f t="shared" ref="BB50:BB62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>
        <v>8851</v>
      </c>
      <c r="E52" s="20">
        <v>1.88</v>
      </c>
      <c r="F52" s="41">
        <f t="shared" ref="F52" si="95">SUM(D52-D51)*160</f>
        <v>40320</v>
      </c>
      <c r="G52" s="20">
        <v>7091</v>
      </c>
      <c r="H52" s="20">
        <v>2.08</v>
      </c>
      <c r="I52" s="41">
        <f t="shared" ref="I52" si="96">SUM(G52-G51)*160</f>
        <v>46560</v>
      </c>
      <c r="J52" s="20">
        <v>11979</v>
      </c>
      <c r="K52" s="20">
        <v>2</v>
      </c>
      <c r="L52" s="41">
        <f t="shared" si="75"/>
        <v>10000</v>
      </c>
      <c r="M52" s="20">
        <v>11813</v>
      </c>
      <c r="N52" s="20">
        <v>1.88</v>
      </c>
      <c r="O52" s="41">
        <f t="shared" si="76"/>
        <v>9600</v>
      </c>
      <c r="P52" s="20">
        <v>12441</v>
      </c>
      <c r="Q52" s="20">
        <v>1.93</v>
      </c>
      <c r="R52" s="41">
        <f t="shared" si="77"/>
        <v>10400</v>
      </c>
      <c r="S52" s="20">
        <v>85728</v>
      </c>
      <c r="T52" s="20">
        <v>2.8170000000000002</v>
      </c>
      <c r="U52" s="41">
        <f t="shared" si="78"/>
        <v>78600</v>
      </c>
      <c r="V52" s="20">
        <v>82094</v>
      </c>
      <c r="W52" s="20">
        <v>1.151</v>
      </c>
      <c r="X52" s="41">
        <f t="shared" si="79"/>
        <v>48900</v>
      </c>
      <c r="Y52" s="20">
        <v>19394</v>
      </c>
      <c r="Z52" s="20">
        <v>2.85</v>
      </c>
      <c r="AA52" s="41">
        <f t="shared" si="80"/>
        <v>5920</v>
      </c>
      <c r="AB52" s="20">
        <v>12645</v>
      </c>
      <c r="AC52" s="20">
        <v>2.82</v>
      </c>
      <c r="AD52" s="41">
        <f t="shared" si="81"/>
        <v>4160</v>
      </c>
      <c r="AE52" s="20">
        <v>4086</v>
      </c>
      <c r="AF52" s="20">
        <v>2.0179999999999998</v>
      </c>
      <c r="AG52" s="41">
        <f t="shared" si="82"/>
        <v>55400</v>
      </c>
      <c r="AH52" s="20">
        <v>19046</v>
      </c>
      <c r="AI52" s="20">
        <v>0.30399999999999999</v>
      </c>
      <c r="AJ52" s="41">
        <f t="shared" si="83"/>
        <v>1600</v>
      </c>
      <c r="AK52" s="275">
        <v>91001</v>
      </c>
      <c r="AL52" s="41">
        <f t="shared" si="84"/>
        <v>562</v>
      </c>
      <c r="AM52" s="41">
        <f t="shared" si="53"/>
        <v>562</v>
      </c>
      <c r="AO52" s="41">
        <f t="shared" ref="AO52:AO64" si="97">SUM(AG52+AD52+AA52+X52+U52+R52+O52+L52+I52+F52+AJ52+AM52)</f>
        <v>312022</v>
      </c>
      <c r="AP52" s="20">
        <f t="shared" ref="AP52:AP64" si="98">SUM(AG52+AJ52)</f>
        <v>57000</v>
      </c>
      <c r="AQ52" s="20">
        <f t="shared" ref="AQ52:AQ64" si="99">SUM(AP52/AO52)</f>
        <v>0.18267942645069898</v>
      </c>
      <c r="AR52" s="20"/>
      <c r="AS52" s="14"/>
      <c r="AT52" s="71">
        <f t="shared" si="92"/>
        <v>44494</v>
      </c>
      <c r="AU52" s="20">
        <v>69302</v>
      </c>
      <c r="AV52" s="41">
        <f t="shared" ref="AV52:AV62" si="100">SUM(AU52-AU51)*100</f>
        <v>16300</v>
      </c>
      <c r="AW52" s="20">
        <v>8853</v>
      </c>
      <c r="AX52" s="41">
        <f t="shared" ref="AX52:AX62" si="101">SUM(AW52-AW51)*100</f>
        <v>2000</v>
      </c>
      <c r="AY52" s="92">
        <v>65290</v>
      </c>
      <c r="AZ52" s="93">
        <f t="shared" si="87"/>
        <v>747</v>
      </c>
      <c r="BA52" s="20">
        <v>3101</v>
      </c>
      <c r="BB52" s="41">
        <f t="shared" si="88"/>
        <v>2440</v>
      </c>
      <c r="BC52" s="72"/>
      <c r="BD52" s="25">
        <f t="shared" si="21"/>
        <v>21487</v>
      </c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SUM(Essbase!J307:J313)</f>
        <v>1755</v>
      </c>
      <c r="D53" s="20">
        <v>9104</v>
      </c>
      <c r="E53" s="20">
        <v>1.9419999999999999</v>
      </c>
      <c r="F53" s="41">
        <f t="shared" ref="F53" si="102">SUM(D53-D52)*160</f>
        <v>40480</v>
      </c>
      <c r="G53" s="20">
        <v>7389</v>
      </c>
      <c r="H53" s="20">
        <v>2.3849999999999998</v>
      </c>
      <c r="I53" s="41">
        <f t="shared" ref="I53" si="103">SUM(G53-G52)*160</f>
        <v>47680</v>
      </c>
      <c r="J53" s="20">
        <v>12007</v>
      </c>
      <c r="K53" s="20">
        <v>2.35</v>
      </c>
      <c r="L53" s="41">
        <f t="shared" si="75"/>
        <v>11200</v>
      </c>
      <c r="M53" s="20">
        <v>11838</v>
      </c>
      <c r="N53" s="20">
        <v>2.12</v>
      </c>
      <c r="O53" s="41">
        <f t="shared" si="76"/>
        <v>10000</v>
      </c>
      <c r="P53" s="20">
        <v>12467</v>
      </c>
      <c r="Q53" s="20">
        <v>2.38</v>
      </c>
      <c r="R53" s="41">
        <f t="shared" si="77"/>
        <v>10400</v>
      </c>
      <c r="S53" s="20">
        <v>85893</v>
      </c>
      <c r="T53" s="20">
        <v>2.8769999999999998</v>
      </c>
      <c r="U53" s="41">
        <f t="shared" si="78"/>
        <v>49500</v>
      </c>
      <c r="V53" s="20">
        <v>82372</v>
      </c>
      <c r="W53" s="20">
        <v>2.1819999999999999</v>
      </c>
      <c r="X53" s="41">
        <f t="shared" si="79"/>
        <v>83400</v>
      </c>
      <c r="Y53" s="20">
        <v>19437</v>
      </c>
      <c r="Z53" s="20">
        <v>3.65</v>
      </c>
      <c r="AA53" s="41">
        <f t="shared" si="80"/>
        <v>6880</v>
      </c>
      <c r="AB53" s="20">
        <v>12647</v>
      </c>
      <c r="AC53" s="20">
        <v>3.04</v>
      </c>
      <c r="AD53" s="41">
        <f t="shared" si="81"/>
        <v>320</v>
      </c>
      <c r="AE53" s="20">
        <v>4348</v>
      </c>
      <c r="AF53" s="20">
        <v>2.9180000000000001</v>
      </c>
      <c r="AG53" s="41">
        <f t="shared" si="82"/>
        <v>52400</v>
      </c>
      <c r="AH53" s="20">
        <v>19084</v>
      </c>
      <c r="AI53" s="20">
        <v>0.314</v>
      </c>
      <c r="AJ53" s="41">
        <f t="shared" si="83"/>
        <v>1520</v>
      </c>
      <c r="AK53" s="276">
        <v>91599</v>
      </c>
      <c r="AL53" s="41">
        <f t="shared" si="84"/>
        <v>598</v>
      </c>
      <c r="AM53" s="41">
        <f t="shared" si="53"/>
        <v>598</v>
      </c>
      <c r="AO53" s="41">
        <f t="shared" si="97"/>
        <v>314378</v>
      </c>
      <c r="AP53" s="20">
        <f t="shared" si="98"/>
        <v>53920</v>
      </c>
      <c r="AQ53" s="20">
        <f t="shared" si="99"/>
        <v>0.17151327382959367</v>
      </c>
      <c r="AR53" s="20"/>
      <c r="AS53" s="14"/>
      <c r="AT53" s="71">
        <v>44501</v>
      </c>
      <c r="AU53" s="20">
        <v>69398</v>
      </c>
      <c r="AV53" s="41">
        <f t="shared" si="100"/>
        <v>9600</v>
      </c>
      <c r="AW53" s="20">
        <v>8866</v>
      </c>
      <c r="AX53" s="41">
        <f t="shared" si="101"/>
        <v>1300</v>
      </c>
      <c r="AY53" s="92">
        <v>65753</v>
      </c>
      <c r="AZ53" s="93">
        <f t="shared" si="87"/>
        <v>463</v>
      </c>
      <c r="BA53" s="20">
        <v>3116</v>
      </c>
      <c r="BB53" s="41">
        <f t="shared" si="88"/>
        <v>600</v>
      </c>
      <c r="BC53" s="72"/>
      <c r="BD53" s="25">
        <f t="shared" si="21"/>
        <v>11963</v>
      </c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>
        <f>SUM(Essbase!J314:J320)</f>
        <v>1548</v>
      </c>
      <c r="D54" s="20">
        <v>9364</v>
      </c>
      <c r="E54" s="20">
        <v>1.9419999999999999</v>
      </c>
      <c r="F54" s="41">
        <f t="shared" ref="F54" si="104">SUM(D54-D53)*160</f>
        <v>41600</v>
      </c>
      <c r="G54" s="20">
        <v>7694</v>
      </c>
      <c r="H54" s="20">
        <v>2.3849999999999998</v>
      </c>
      <c r="I54" s="41">
        <f t="shared" ref="I54" si="105">SUM(G54-G53)*160</f>
        <v>48800</v>
      </c>
      <c r="J54" s="20">
        <v>12040</v>
      </c>
      <c r="K54" s="20">
        <v>3.06</v>
      </c>
      <c r="L54" s="41">
        <f t="shared" si="75"/>
        <v>13200</v>
      </c>
      <c r="M54" s="20">
        <v>11867</v>
      </c>
      <c r="N54" s="20">
        <v>2.2400000000000002</v>
      </c>
      <c r="O54" s="41">
        <f t="shared" si="76"/>
        <v>11600</v>
      </c>
      <c r="P54" s="20">
        <v>12496</v>
      </c>
      <c r="Q54" s="20">
        <v>2.74</v>
      </c>
      <c r="R54" s="41">
        <f t="shared" si="77"/>
        <v>11600</v>
      </c>
      <c r="S54" s="20">
        <v>86045</v>
      </c>
      <c r="T54" s="20">
        <v>2.8769999999999998</v>
      </c>
      <c r="U54" s="41">
        <f t="shared" si="78"/>
        <v>45600</v>
      </c>
      <c r="V54" s="20">
        <v>82523</v>
      </c>
      <c r="W54" s="20">
        <v>2.1819999999999999</v>
      </c>
      <c r="X54" s="41">
        <f t="shared" si="79"/>
        <v>45300</v>
      </c>
      <c r="Y54" s="20">
        <v>19481</v>
      </c>
      <c r="Z54" s="20">
        <v>3.86</v>
      </c>
      <c r="AA54" s="41">
        <f t="shared" si="80"/>
        <v>7040</v>
      </c>
      <c r="AB54" s="20">
        <v>12703</v>
      </c>
      <c r="AC54" s="20">
        <v>3.2</v>
      </c>
      <c r="AD54" s="41">
        <f t="shared" si="81"/>
        <v>8960</v>
      </c>
      <c r="AE54" s="20">
        <v>4624</v>
      </c>
      <c r="AF54" s="20">
        <v>2.1579999999999999</v>
      </c>
      <c r="AG54" s="41">
        <f t="shared" si="82"/>
        <v>55200</v>
      </c>
      <c r="AH54" s="20">
        <v>19124</v>
      </c>
      <c r="AI54" s="20">
        <v>0.32400000000000001</v>
      </c>
      <c r="AJ54" s="41">
        <f t="shared" si="83"/>
        <v>1600</v>
      </c>
      <c r="AK54" s="277">
        <v>92192</v>
      </c>
      <c r="AL54" s="41">
        <f t="shared" si="84"/>
        <v>593</v>
      </c>
      <c r="AM54" s="41">
        <f t="shared" si="53"/>
        <v>593</v>
      </c>
      <c r="AO54" s="41">
        <f t="shared" si="97"/>
        <v>291093</v>
      </c>
      <c r="AP54" s="20">
        <f t="shared" si="98"/>
        <v>56800</v>
      </c>
      <c r="AQ54" s="20">
        <f t="shared" si="99"/>
        <v>0.19512664337514127</v>
      </c>
      <c r="AR54" s="20"/>
      <c r="AS54" s="14"/>
      <c r="AT54" s="71">
        <v>44508</v>
      </c>
      <c r="AU54" s="20">
        <v>69549</v>
      </c>
      <c r="AV54" s="41">
        <f t="shared" si="100"/>
        <v>15100</v>
      </c>
      <c r="AW54" s="20">
        <v>8884</v>
      </c>
      <c r="AX54" s="41">
        <f t="shared" si="101"/>
        <v>1800</v>
      </c>
      <c r="AY54" s="92">
        <v>66716</v>
      </c>
      <c r="AZ54" s="93">
        <f t="shared" si="87"/>
        <v>963</v>
      </c>
      <c r="BA54" s="20">
        <v>3193</v>
      </c>
      <c r="BB54" s="41">
        <f t="shared" si="88"/>
        <v>3080</v>
      </c>
      <c r="BC54" s="72"/>
      <c r="BD54" s="25">
        <f t="shared" si="21"/>
        <v>20943</v>
      </c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>
        <f>SUM(Essbase!J321:J327)</f>
        <v>1935</v>
      </c>
      <c r="D55" s="20">
        <v>9619</v>
      </c>
      <c r="E55" s="20">
        <v>1.9419999999999999</v>
      </c>
      <c r="F55" s="41">
        <f t="shared" ref="F55" si="106">SUM(D55-D54)*160</f>
        <v>40800</v>
      </c>
      <c r="G55" s="20">
        <v>7998</v>
      </c>
      <c r="H55" s="20">
        <v>2.3849999999999998</v>
      </c>
      <c r="I55" s="41">
        <f t="shared" ref="I55" si="107">SUM(G55-G54)*160</f>
        <v>48640</v>
      </c>
      <c r="J55" s="20">
        <v>12070</v>
      </c>
      <c r="K55" s="20">
        <v>3.06</v>
      </c>
      <c r="L55" s="41">
        <f t="shared" si="75"/>
        <v>12000</v>
      </c>
      <c r="M55" s="20">
        <v>11893</v>
      </c>
      <c r="N55" s="20">
        <v>2.2400000000000002</v>
      </c>
      <c r="O55" s="41">
        <f t="shared" si="76"/>
        <v>10400</v>
      </c>
      <c r="P55" s="20">
        <v>12524</v>
      </c>
      <c r="Q55" s="20">
        <v>2.9</v>
      </c>
      <c r="R55" s="41">
        <f t="shared" si="77"/>
        <v>11200</v>
      </c>
      <c r="S55" s="20">
        <v>86199</v>
      </c>
      <c r="T55" s="20">
        <v>2.8769999999999998</v>
      </c>
      <c r="U55" s="41">
        <f t="shared" si="78"/>
        <v>46200</v>
      </c>
      <c r="V55" s="20">
        <v>82685</v>
      </c>
      <c r="W55" s="20">
        <v>2.1819999999999999</v>
      </c>
      <c r="X55" s="41">
        <f t="shared" si="79"/>
        <v>48600</v>
      </c>
      <c r="Y55" s="20">
        <v>19516</v>
      </c>
      <c r="Z55" s="20">
        <v>3.86</v>
      </c>
      <c r="AA55" s="41">
        <f t="shared" si="80"/>
        <v>5600</v>
      </c>
      <c r="AB55" s="20">
        <v>12728</v>
      </c>
      <c r="AC55" s="20">
        <v>3.2</v>
      </c>
      <c r="AD55" s="41">
        <f t="shared" si="81"/>
        <v>4000</v>
      </c>
      <c r="AE55" s="20">
        <v>4867</v>
      </c>
      <c r="AF55" s="20">
        <v>2.1579999999999999</v>
      </c>
      <c r="AG55" s="41">
        <f t="shared" si="82"/>
        <v>48600</v>
      </c>
      <c r="AH55" s="20">
        <v>19163</v>
      </c>
      <c r="AI55" s="20">
        <v>0.32400000000000001</v>
      </c>
      <c r="AJ55" s="41">
        <f t="shared" si="83"/>
        <v>1560</v>
      </c>
      <c r="AK55" s="278">
        <v>92814</v>
      </c>
      <c r="AL55" s="41">
        <f t="shared" si="84"/>
        <v>622</v>
      </c>
      <c r="AM55" s="41">
        <f t="shared" si="53"/>
        <v>622</v>
      </c>
      <c r="AO55" s="41">
        <f t="shared" si="97"/>
        <v>278222</v>
      </c>
      <c r="AP55" s="20">
        <f t="shared" si="98"/>
        <v>50160</v>
      </c>
      <c r="AQ55" s="20">
        <f t="shared" si="99"/>
        <v>0.18028768393584979</v>
      </c>
      <c r="AR55" s="20"/>
      <c r="AS55" s="14"/>
      <c r="AT55" s="71">
        <f>AT54+7</f>
        <v>44515</v>
      </c>
      <c r="AU55" s="20">
        <v>69674</v>
      </c>
      <c r="AV55" s="41">
        <f t="shared" si="100"/>
        <v>12500</v>
      </c>
      <c r="AW55" s="20">
        <v>8901</v>
      </c>
      <c r="AX55" s="41">
        <f t="shared" si="101"/>
        <v>1700</v>
      </c>
      <c r="AY55" s="92">
        <v>67496</v>
      </c>
      <c r="AZ55" s="93">
        <f t="shared" si="87"/>
        <v>780</v>
      </c>
      <c r="BA55" s="20">
        <v>3256</v>
      </c>
      <c r="BB55" s="41">
        <f t="shared" si="88"/>
        <v>2520</v>
      </c>
      <c r="BC55" s="72"/>
      <c r="BD55" s="25">
        <f t="shared" si="21"/>
        <v>17500</v>
      </c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108">B55+7</f>
        <v>44522</v>
      </c>
      <c r="C56" s="204">
        <f>SUM(Essbase!J328:J334)</f>
        <v>1831</v>
      </c>
      <c r="D56" s="20">
        <v>9883</v>
      </c>
      <c r="E56" s="20">
        <v>1.5529999999999999</v>
      </c>
      <c r="F56" s="41">
        <f t="shared" ref="F56" si="109">SUM(D56-D55)*160</f>
        <v>42240</v>
      </c>
      <c r="G56" s="20">
        <v>8311</v>
      </c>
      <c r="H56" s="20">
        <v>1.827</v>
      </c>
      <c r="I56" s="41">
        <f t="shared" ref="I56" si="110">SUM(G56-G55)*160</f>
        <v>50080</v>
      </c>
      <c r="J56" s="20">
        <v>12102</v>
      </c>
      <c r="K56" s="20">
        <v>1.74</v>
      </c>
      <c r="L56" s="41">
        <f t="shared" si="75"/>
        <v>12800</v>
      </c>
      <c r="M56" s="20">
        <v>11922</v>
      </c>
      <c r="N56" s="20">
        <v>1.65</v>
      </c>
      <c r="O56" s="41">
        <f t="shared" si="76"/>
        <v>11600</v>
      </c>
      <c r="P56" s="20">
        <v>12554</v>
      </c>
      <c r="Q56" s="20">
        <v>1.56</v>
      </c>
      <c r="R56" s="41">
        <f t="shared" si="77"/>
        <v>12000</v>
      </c>
      <c r="S56" s="20">
        <v>86360</v>
      </c>
      <c r="T56" s="20">
        <v>1.1040000000000001</v>
      </c>
      <c r="U56" s="41">
        <f t="shared" si="78"/>
        <v>48300</v>
      </c>
      <c r="V56" s="20">
        <v>82872</v>
      </c>
      <c r="W56" s="20">
        <v>1.2030000000000001</v>
      </c>
      <c r="X56" s="41">
        <f t="shared" si="79"/>
        <v>56100</v>
      </c>
      <c r="Y56" s="20">
        <v>19553</v>
      </c>
      <c r="Z56" s="20">
        <v>1.85</v>
      </c>
      <c r="AA56" s="41">
        <f t="shared" si="80"/>
        <v>5920</v>
      </c>
      <c r="AB56" s="20">
        <v>12752</v>
      </c>
      <c r="AC56" s="20">
        <v>1.01</v>
      </c>
      <c r="AD56" s="41">
        <f t="shared" si="81"/>
        <v>3840</v>
      </c>
      <c r="AE56" s="20">
        <v>5121</v>
      </c>
      <c r="AF56" s="20">
        <v>1.1850000000000001</v>
      </c>
      <c r="AG56" s="41">
        <f t="shared" si="82"/>
        <v>50800</v>
      </c>
      <c r="AH56" s="20">
        <v>19204</v>
      </c>
      <c r="AI56" s="20">
        <v>0.28100000000000003</v>
      </c>
      <c r="AJ56" s="41">
        <f t="shared" si="83"/>
        <v>1640</v>
      </c>
      <c r="AK56" s="279">
        <v>93428</v>
      </c>
      <c r="AL56" s="41">
        <f t="shared" si="84"/>
        <v>614</v>
      </c>
      <c r="AM56" s="41">
        <f t="shared" si="53"/>
        <v>614</v>
      </c>
      <c r="AO56" s="41">
        <f t="shared" si="97"/>
        <v>295934</v>
      </c>
      <c r="AP56" s="20">
        <f t="shared" si="98"/>
        <v>52440</v>
      </c>
      <c r="AQ56" s="20">
        <f t="shared" si="99"/>
        <v>0.17720167334608392</v>
      </c>
      <c r="AR56" s="20"/>
      <c r="AS56" s="14"/>
      <c r="AT56" s="71">
        <f t="shared" ref="AT56:AT58" si="111">AT55+7</f>
        <v>44522</v>
      </c>
      <c r="AU56" s="20">
        <v>69805</v>
      </c>
      <c r="AV56" s="41">
        <f t="shared" si="100"/>
        <v>13100</v>
      </c>
      <c r="AW56" s="20">
        <v>8916</v>
      </c>
      <c r="AX56" s="41">
        <f t="shared" si="101"/>
        <v>1500</v>
      </c>
      <c r="AY56" s="92">
        <v>68233</v>
      </c>
      <c r="AZ56" s="93">
        <f t="shared" si="87"/>
        <v>737</v>
      </c>
      <c r="BA56" s="20">
        <v>3281</v>
      </c>
      <c r="BB56" s="41">
        <f t="shared" si="88"/>
        <v>1000</v>
      </c>
      <c r="BC56" s="72"/>
      <c r="BD56" s="25">
        <f t="shared" si="21"/>
        <v>16337</v>
      </c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108"/>
        <v>44529</v>
      </c>
      <c r="C57" s="204">
        <f>SUM(Essbase!J335:J341)</f>
        <v>1952</v>
      </c>
      <c r="D57" s="20">
        <v>10141</v>
      </c>
      <c r="E57" s="20">
        <v>1.978</v>
      </c>
      <c r="F57" s="41">
        <f t="shared" ref="F57" si="112">SUM(D57-D56)*160</f>
        <v>41280</v>
      </c>
      <c r="G57" s="20">
        <v>8627</v>
      </c>
      <c r="H57" s="20">
        <v>2.39</v>
      </c>
      <c r="I57" s="41">
        <f t="shared" ref="I57" si="113">SUM(G57-G56)*160</f>
        <v>50560</v>
      </c>
      <c r="J57" s="20">
        <v>12135</v>
      </c>
      <c r="K57" s="20">
        <v>3.07</v>
      </c>
      <c r="L57" s="41">
        <f t="shared" si="75"/>
        <v>13200</v>
      </c>
      <c r="M57" s="20">
        <v>11953</v>
      </c>
      <c r="N57" s="20">
        <v>2.78</v>
      </c>
      <c r="O57" s="41">
        <f t="shared" si="76"/>
        <v>12400</v>
      </c>
      <c r="P57" s="20">
        <v>12585</v>
      </c>
      <c r="Q57" s="20">
        <v>2.96</v>
      </c>
      <c r="R57" s="41">
        <f t="shared" si="77"/>
        <v>12400</v>
      </c>
      <c r="S57" s="20">
        <v>86473</v>
      </c>
      <c r="T57" s="20">
        <v>1.377</v>
      </c>
      <c r="U57" s="41">
        <f t="shared" si="78"/>
        <v>33900</v>
      </c>
      <c r="V57" s="20">
        <v>82968</v>
      </c>
      <c r="W57" s="20">
        <v>1.4330000000000001</v>
      </c>
      <c r="X57" s="41">
        <f t="shared" si="79"/>
        <v>28800</v>
      </c>
      <c r="Y57" s="20">
        <v>19584</v>
      </c>
      <c r="Z57" s="20">
        <v>2.59</v>
      </c>
      <c r="AA57" s="41">
        <f t="shared" si="80"/>
        <v>4960</v>
      </c>
      <c r="AB57" s="20">
        <v>12771</v>
      </c>
      <c r="AC57" s="20">
        <v>1.89</v>
      </c>
      <c r="AD57" s="41">
        <f t="shared" si="81"/>
        <v>3040</v>
      </c>
      <c r="AE57" s="20">
        <v>5377</v>
      </c>
      <c r="AF57" s="20">
        <v>2.2519999999999998</v>
      </c>
      <c r="AG57" s="41">
        <f t="shared" si="82"/>
        <v>51200</v>
      </c>
      <c r="AH57" s="20">
        <v>19242</v>
      </c>
      <c r="AI57" s="20">
        <v>0.315</v>
      </c>
      <c r="AJ57" s="41">
        <f t="shared" si="83"/>
        <v>1520</v>
      </c>
      <c r="AK57" s="280">
        <v>94039</v>
      </c>
      <c r="AL57" s="41">
        <f t="shared" si="84"/>
        <v>611</v>
      </c>
      <c r="AM57" s="41">
        <f t="shared" si="53"/>
        <v>611</v>
      </c>
      <c r="AO57" s="41">
        <f t="shared" si="97"/>
        <v>253871</v>
      </c>
      <c r="AP57" s="20">
        <f t="shared" si="98"/>
        <v>52720</v>
      </c>
      <c r="AQ57" s="20">
        <f t="shared" si="99"/>
        <v>0.20766452253309753</v>
      </c>
      <c r="AR57" s="20"/>
      <c r="AS57" s="14"/>
      <c r="AT57" s="71">
        <f t="shared" si="111"/>
        <v>44529</v>
      </c>
      <c r="AU57" s="20">
        <v>69924</v>
      </c>
      <c r="AV57" s="41">
        <f t="shared" si="100"/>
        <v>11900</v>
      </c>
      <c r="AW57" s="20">
        <v>8931</v>
      </c>
      <c r="AX57" s="41">
        <f t="shared" si="101"/>
        <v>1500</v>
      </c>
      <c r="AY57" s="92">
        <v>68983</v>
      </c>
      <c r="AZ57" s="93">
        <f t="shared" si="87"/>
        <v>750</v>
      </c>
      <c r="BA57" s="20">
        <v>3325</v>
      </c>
      <c r="BB57" s="41">
        <f t="shared" si="88"/>
        <v>1760</v>
      </c>
      <c r="BC57" s="72"/>
      <c r="BD57" s="25">
        <f t="shared" si="21"/>
        <v>15910</v>
      </c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108"/>
        <v>44536</v>
      </c>
      <c r="C58" s="204">
        <f>SUM(Essbase!J341:J342)</f>
        <v>371</v>
      </c>
      <c r="D58" s="20">
        <v>10215</v>
      </c>
      <c r="E58" s="20">
        <v>1.978</v>
      </c>
      <c r="F58" s="41">
        <f t="shared" ref="F58" si="114">SUM(D58-D57)*160</f>
        <v>11840</v>
      </c>
      <c r="G58" s="20">
        <v>8716</v>
      </c>
      <c r="H58" s="20">
        <v>2.39</v>
      </c>
      <c r="I58" s="41">
        <f t="shared" ref="I58" si="115">SUM(G58-G57)*160</f>
        <v>14240</v>
      </c>
      <c r="J58" s="20">
        <v>12144</v>
      </c>
      <c r="K58" s="20">
        <v>3.07</v>
      </c>
      <c r="L58" s="41">
        <f t="shared" si="75"/>
        <v>3600</v>
      </c>
      <c r="M58" s="20">
        <v>11961</v>
      </c>
      <c r="N58" s="20">
        <v>2.78</v>
      </c>
      <c r="O58" s="41">
        <f t="shared" si="76"/>
        <v>3200</v>
      </c>
      <c r="P58" s="20">
        <v>12594</v>
      </c>
      <c r="Q58" s="20">
        <v>2.96</v>
      </c>
      <c r="R58" s="41">
        <f t="shared" si="77"/>
        <v>3600</v>
      </c>
      <c r="S58" s="20">
        <v>86503</v>
      </c>
      <c r="T58" s="20">
        <v>1.377</v>
      </c>
      <c r="U58" s="41">
        <f t="shared" si="78"/>
        <v>9000</v>
      </c>
      <c r="V58" s="20">
        <v>82992</v>
      </c>
      <c r="W58" s="20">
        <v>1.4330000000000001</v>
      </c>
      <c r="X58" s="41">
        <f t="shared" si="79"/>
        <v>7200</v>
      </c>
      <c r="Y58" s="20">
        <v>19594</v>
      </c>
      <c r="Z58" s="20">
        <v>2.65</v>
      </c>
      <c r="AA58" s="41">
        <f t="shared" si="80"/>
        <v>1600</v>
      </c>
      <c r="AB58" s="20">
        <v>12776</v>
      </c>
      <c r="AC58" s="20">
        <v>1.89</v>
      </c>
      <c r="AD58" s="41">
        <f t="shared" si="81"/>
        <v>800</v>
      </c>
      <c r="AE58" s="20">
        <v>5452</v>
      </c>
      <c r="AF58" s="20">
        <v>2.2519999999999998</v>
      </c>
      <c r="AG58" s="41">
        <f t="shared" si="82"/>
        <v>15000</v>
      </c>
      <c r="AH58" s="20">
        <v>19254</v>
      </c>
      <c r="AI58" s="20">
        <v>0.315</v>
      </c>
      <c r="AJ58" s="41">
        <f t="shared" si="83"/>
        <v>480</v>
      </c>
      <c r="AK58" s="281">
        <v>94100</v>
      </c>
      <c r="AL58" s="41">
        <f t="shared" si="84"/>
        <v>61</v>
      </c>
      <c r="AM58" s="41">
        <f t="shared" si="53"/>
        <v>61</v>
      </c>
      <c r="AO58" s="41">
        <f t="shared" si="97"/>
        <v>70621</v>
      </c>
      <c r="AP58" s="20">
        <f t="shared" si="98"/>
        <v>15480</v>
      </c>
      <c r="AQ58" s="20">
        <f t="shared" si="99"/>
        <v>0.21919825547641636</v>
      </c>
      <c r="AR58" s="20"/>
      <c r="AS58" s="14"/>
      <c r="AT58" s="71">
        <f t="shared" si="111"/>
        <v>44536</v>
      </c>
      <c r="AU58" s="20">
        <v>69971</v>
      </c>
      <c r="AV58" s="41">
        <f t="shared" si="100"/>
        <v>4700</v>
      </c>
      <c r="AW58" s="20">
        <v>8938</v>
      </c>
      <c r="AX58" s="41">
        <f t="shared" si="101"/>
        <v>700</v>
      </c>
      <c r="AY58" s="92">
        <v>69311</v>
      </c>
      <c r="AZ58" s="93">
        <f t="shared" si="87"/>
        <v>328</v>
      </c>
      <c r="BA58" s="20">
        <v>3349</v>
      </c>
      <c r="BB58" s="41">
        <f t="shared" si="88"/>
        <v>960</v>
      </c>
      <c r="BC58" s="72"/>
      <c r="BD58" s="25">
        <f t="shared" si="21"/>
        <v>6688</v>
      </c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>
        <f>SUM(Essbase!J343:J348)</f>
        <v>1157</v>
      </c>
      <c r="D59" s="20">
        <v>10399</v>
      </c>
      <c r="E59" s="20">
        <v>1.978</v>
      </c>
      <c r="F59" s="41">
        <f t="shared" ref="F59" si="116">SUM(D59-D58)*160</f>
        <v>29440</v>
      </c>
      <c r="G59" s="20">
        <v>8938</v>
      </c>
      <c r="H59" s="20">
        <v>2.39</v>
      </c>
      <c r="I59" s="41">
        <f t="shared" ref="I59" si="117">SUM(G59-G58)*160</f>
        <v>35520</v>
      </c>
      <c r="J59" s="20">
        <v>12166</v>
      </c>
      <c r="K59" s="20">
        <v>3.07</v>
      </c>
      <c r="L59" s="41">
        <f t="shared" si="75"/>
        <v>8800</v>
      </c>
      <c r="M59" s="20">
        <v>11983</v>
      </c>
      <c r="N59" s="20">
        <v>2.78</v>
      </c>
      <c r="O59" s="41">
        <f t="shared" si="76"/>
        <v>8800</v>
      </c>
      <c r="P59" s="20">
        <v>12614</v>
      </c>
      <c r="Q59" s="20">
        <v>2.96</v>
      </c>
      <c r="R59" s="41">
        <f t="shared" si="77"/>
        <v>8000</v>
      </c>
      <c r="S59" s="20">
        <v>86607</v>
      </c>
      <c r="T59" s="20">
        <v>1.7849999999999999</v>
      </c>
      <c r="U59" s="41">
        <f t="shared" si="78"/>
        <v>31200</v>
      </c>
      <c r="V59" s="20">
        <v>83078</v>
      </c>
      <c r="W59" s="20">
        <v>1.641</v>
      </c>
      <c r="X59" s="41">
        <f t="shared" si="79"/>
        <v>25800</v>
      </c>
      <c r="Y59" s="20">
        <v>19622</v>
      </c>
      <c r="Z59" s="20">
        <v>3.24</v>
      </c>
      <c r="AA59" s="41">
        <f t="shared" si="80"/>
        <v>4480</v>
      </c>
      <c r="AB59" s="20">
        <v>12795</v>
      </c>
      <c r="AC59" s="20">
        <v>2.74</v>
      </c>
      <c r="AD59" s="41">
        <f t="shared" si="81"/>
        <v>3040</v>
      </c>
      <c r="AE59" s="20">
        <v>5633</v>
      </c>
      <c r="AF59" s="20">
        <v>2.2519999999999998</v>
      </c>
      <c r="AG59" s="41">
        <f t="shared" si="82"/>
        <v>36200</v>
      </c>
      <c r="AH59" s="20">
        <v>19281</v>
      </c>
      <c r="AI59" s="20">
        <v>0.315</v>
      </c>
      <c r="AJ59" s="41">
        <f t="shared" si="83"/>
        <v>1080</v>
      </c>
      <c r="AK59" s="282">
        <v>94624</v>
      </c>
      <c r="AL59" s="41">
        <f t="shared" si="84"/>
        <v>524</v>
      </c>
      <c r="AM59" s="41">
        <f>SUM(AK59-AK58)</f>
        <v>524</v>
      </c>
      <c r="AO59" s="41">
        <f t="shared" si="97"/>
        <v>192884</v>
      </c>
      <c r="AP59" s="20">
        <f t="shared" si="98"/>
        <v>37280</v>
      </c>
      <c r="AQ59" s="20">
        <f t="shared" si="99"/>
        <v>0.1932767881213579</v>
      </c>
      <c r="AR59" s="20"/>
      <c r="AS59" s="14"/>
      <c r="AT59" s="71">
        <v>44531</v>
      </c>
      <c r="AU59" s="20">
        <v>70042</v>
      </c>
      <c r="AV59" s="41">
        <f t="shared" si="100"/>
        <v>7100</v>
      </c>
      <c r="AW59" s="20">
        <v>8947</v>
      </c>
      <c r="AX59" s="41">
        <f t="shared" si="101"/>
        <v>900</v>
      </c>
      <c r="AY59" s="92">
        <v>69763</v>
      </c>
      <c r="AZ59" s="93">
        <f t="shared" si="87"/>
        <v>452</v>
      </c>
      <c r="BA59" s="20">
        <v>3380</v>
      </c>
      <c r="BB59" s="41">
        <f t="shared" si="88"/>
        <v>1240</v>
      </c>
      <c r="BC59" s="72"/>
      <c r="BD59" s="25">
        <f t="shared" si="21"/>
        <v>9692</v>
      </c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>
        <f>SUM(Essbase!J349:J355)</f>
        <v>1689</v>
      </c>
      <c r="D60" s="20">
        <v>10656</v>
      </c>
      <c r="E60" s="20">
        <v>1.978</v>
      </c>
      <c r="F60" s="41">
        <f t="shared" ref="F60" si="118">SUM(D60-D59)*160</f>
        <v>41120</v>
      </c>
      <c r="G60" s="20">
        <v>9241</v>
      </c>
      <c r="H60" s="20">
        <v>2.39</v>
      </c>
      <c r="I60" s="41">
        <f t="shared" ref="I60" si="119">SUM(G60-G59)*160</f>
        <v>48480</v>
      </c>
      <c r="J60" s="20">
        <v>12196</v>
      </c>
      <c r="K60" s="20">
        <v>3.07</v>
      </c>
      <c r="L60" s="41">
        <f t="shared" si="75"/>
        <v>12000</v>
      </c>
      <c r="M60" s="20">
        <v>12014</v>
      </c>
      <c r="N60" s="20">
        <v>2.78</v>
      </c>
      <c r="O60" s="41">
        <f t="shared" si="76"/>
        <v>12400</v>
      </c>
      <c r="P60" s="20">
        <v>12641</v>
      </c>
      <c r="Q60" s="20">
        <v>2.96</v>
      </c>
      <c r="R60" s="41">
        <f t="shared" si="77"/>
        <v>10800</v>
      </c>
      <c r="S60" s="20">
        <v>86769</v>
      </c>
      <c r="T60" s="20">
        <v>1.7849999999999999</v>
      </c>
      <c r="U60" s="41">
        <f t="shared" si="78"/>
        <v>48600</v>
      </c>
      <c r="V60" s="20">
        <v>83311</v>
      </c>
      <c r="W60" s="20">
        <v>1.9379999999999999</v>
      </c>
      <c r="X60" s="41">
        <f t="shared" si="79"/>
        <v>69900</v>
      </c>
      <c r="Y60" s="20">
        <v>19662</v>
      </c>
      <c r="Z60" s="20">
        <v>3.31</v>
      </c>
      <c r="AA60" s="41">
        <f t="shared" si="80"/>
        <v>6400</v>
      </c>
      <c r="AB60" s="20">
        <v>12823</v>
      </c>
      <c r="AC60" s="20">
        <v>2.83</v>
      </c>
      <c r="AD60" s="41">
        <f t="shared" si="81"/>
        <v>4480</v>
      </c>
      <c r="AE60" s="20">
        <v>5875</v>
      </c>
      <c r="AF60" s="20">
        <v>2.2519999999999998</v>
      </c>
      <c r="AG60" s="41">
        <f t="shared" si="82"/>
        <v>48400</v>
      </c>
      <c r="AH60" s="20">
        <v>19320</v>
      </c>
      <c r="AI60" s="20">
        <v>0.315</v>
      </c>
      <c r="AJ60" s="41">
        <f t="shared" si="83"/>
        <v>1560</v>
      </c>
      <c r="AK60" s="283">
        <v>95232</v>
      </c>
      <c r="AL60" s="41">
        <f t="shared" si="84"/>
        <v>608</v>
      </c>
      <c r="AM60" s="41">
        <f t="shared" si="53"/>
        <v>608</v>
      </c>
      <c r="AO60" s="41">
        <f t="shared" si="97"/>
        <v>304748</v>
      </c>
      <c r="AP60" s="20">
        <f t="shared" si="98"/>
        <v>49960</v>
      </c>
      <c r="AQ60" s="20">
        <f t="shared" si="99"/>
        <v>0.16393872970454276</v>
      </c>
      <c r="AR60" s="20"/>
      <c r="AS60" s="14"/>
      <c r="AT60" s="71">
        <v>44537</v>
      </c>
      <c r="AU60" s="20">
        <v>70185</v>
      </c>
      <c r="AV60" s="41">
        <f t="shared" si="100"/>
        <v>14300</v>
      </c>
      <c r="AW60" s="20">
        <v>8963</v>
      </c>
      <c r="AX60" s="41">
        <f t="shared" si="101"/>
        <v>1600</v>
      </c>
      <c r="AY60" s="92">
        <v>70522</v>
      </c>
      <c r="AZ60" s="93">
        <f t="shared" si="87"/>
        <v>759</v>
      </c>
      <c r="BA60" s="20">
        <v>3441</v>
      </c>
      <c r="BB60" s="41">
        <f t="shared" si="88"/>
        <v>2440</v>
      </c>
      <c r="BC60" s="72"/>
      <c r="BD60" s="25">
        <f t="shared" si="21"/>
        <v>19099</v>
      </c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>
        <f>SUM(Essbase!J356:J362)</f>
        <v>1425</v>
      </c>
      <c r="D61" s="20">
        <v>10913</v>
      </c>
      <c r="E61" s="20">
        <v>1.978</v>
      </c>
      <c r="F61" s="41">
        <f t="shared" ref="F61:F62" si="120">SUM(D61-D60)*160</f>
        <v>41120</v>
      </c>
      <c r="G61" s="20">
        <v>9538</v>
      </c>
      <c r="H61" s="20">
        <v>2.39</v>
      </c>
      <c r="I61" s="41">
        <f t="shared" ref="I61:I62" si="121">SUM(G61-G60)*160</f>
        <v>47520</v>
      </c>
      <c r="J61" s="20">
        <v>12228</v>
      </c>
      <c r="K61" s="20">
        <v>3.07</v>
      </c>
      <c r="L61" s="41">
        <f t="shared" si="75"/>
        <v>12800</v>
      </c>
      <c r="M61" s="20">
        <v>12043</v>
      </c>
      <c r="N61" s="20">
        <v>2.78</v>
      </c>
      <c r="O61" s="41">
        <f t="shared" si="76"/>
        <v>11600</v>
      </c>
      <c r="P61" s="20">
        <v>12670</v>
      </c>
      <c r="Q61" s="20">
        <v>2.96</v>
      </c>
      <c r="R61" s="41">
        <f t="shared" si="77"/>
        <v>11600</v>
      </c>
      <c r="S61" s="20">
        <v>86940</v>
      </c>
      <c r="T61" s="20">
        <v>1.8340000000000001</v>
      </c>
      <c r="U61" s="41">
        <f t="shared" si="78"/>
        <v>51300</v>
      </c>
      <c r="V61" s="20">
        <v>83566</v>
      </c>
      <c r="W61" s="20">
        <v>2.1680000000000001</v>
      </c>
      <c r="X61" s="41">
        <f t="shared" si="79"/>
        <v>76500</v>
      </c>
      <c r="Y61" s="20">
        <v>19702</v>
      </c>
      <c r="Z61" s="20">
        <v>3.76</v>
      </c>
      <c r="AA61" s="41">
        <f t="shared" si="80"/>
        <v>6400</v>
      </c>
      <c r="AB61" s="20">
        <v>12849</v>
      </c>
      <c r="AC61" s="20">
        <v>3.07</v>
      </c>
      <c r="AD61" s="41">
        <f t="shared" si="81"/>
        <v>4160</v>
      </c>
      <c r="AE61" s="20">
        <v>6128</v>
      </c>
      <c r="AF61" s="20">
        <v>2.2519999999999998</v>
      </c>
      <c r="AG61" s="41">
        <f t="shared" si="82"/>
        <v>50600</v>
      </c>
      <c r="AH61" s="20">
        <v>19359</v>
      </c>
      <c r="AI61" s="20">
        <v>0.315</v>
      </c>
      <c r="AJ61" s="41">
        <f t="shared" si="83"/>
        <v>1560</v>
      </c>
      <c r="AK61" s="284">
        <v>95831</v>
      </c>
      <c r="AL61" s="41">
        <f t="shared" si="84"/>
        <v>599</v>
      </c>
      <c r="AM61" s="41">
        <f t="shared" si="53"/>
        <v>599</v>
      </c>
      <c r="AO61" s="41">
        <f t="shared" si="97"/>
        <v>315759</v>
      </c>
      <c r="AP61" s="20">
        <f t="shared" si="98"/>
        <v>52160</v>
      </c>
      <c r="AQ61" s="20">
        <f t="shared" si="99"/>
        <v>0.16518927409828382</v>
      </c>
      <c r="AR61" s="20"/>
      <c r="AS61" s="14"/>
      <c r="AT61" s="71">
        <f>AT60+7</f>
        <v>44544</v>
      </c>
      <c r="AU61" s="20">
        <v>70310</v>
      </c>
      <c r="AV61" s="41">
        <f t="shared" si="100"/>
        <v>12500</v>
      </c>
      <c r="AW61" s="20">
        <v>8978</v>
      </c>
      <c r="AX61" s="41">
        <f t="shared" si="101"/>
        <v>1500</v>
      </c>
      <c r="AY61" s="92">
        <v>71300</v>
      </c>
      <c r="AZ61" s="93">
        <f t="shared" si="87"/>
        <v>778</v>
      </c>
      <c r="BA61" s="20">
        <v>3471</v>
      </c>
      <c r="BB61" s="41">
        <f t="shared" si="88"/>
        <v>1200</v>
      </c>
      <c r="BC61" s="72"/>
      <c r="BD61" s="25">
        <f t="shared" si="21"/>
        <v>15978</v>
      </c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122">B61+7</f>
        <v>44551</v>
      </c>
      <c r="C62" s="204">
        <f>SUM(Essbase!J363:J369)</f>
        <v>1755</v>
      </c>
      <c r="D62" s="20">
        <v>11178</v>
      </c>
      <c r="E62" s="20">
        <v>1.8779999999999999</v>
      </c>
      <c r="F62" s="41">
        <f t="shared" si="120"/>
        <v>42400</v>
      </c>
      <c r="G62" s="20">
        <v>9863</v>
      </c>
      <c r="H62" s="20">
        <v>2.5649999999999999</v>
      </c>
      <c r="I62" s="41">
        <f t="shared" si="121"/>
        <v>52000</v>
      </c>
      <c r="J62" s="20">
        <v>12262</v>
      </c>
      <c r="K62" s="20">
        <v>3.65</v>
      </c>
      <c r="L62" s="41">
        <f t="shared" si="75"/>
        <v>13600</v>
      </c>
      <c r="M62" s="20">
        <v>12076</v>
      </c>
      <c r="N62" s="20">
        <v>2.73</v>
      </c>
      <c r="O62" s="41">
        <f t="shared" si="76"/>
        <v>13200</v>
      </c>
      <c r="P62" s="20">
        <v>12702</v>
      </c>
      <c r="Q62" s="20">
        <v>3.73</v>
      </c>
      <c r="R62" s="41">
        <f t="shared" si="77"/>
        <v>12800</v>
      </c>
      <c r="S62" s="20">
        <v>87019</v>
      </c>
      <c r="T62" s="20">
        <v>1.3640000000000001</v>
      </c>
      <c r="U62" s="41">
        <f t="shared" si="78"/>
        <v>23700</v>
      </c>
      <c r="V62" s="20">
        <v>83733</v>
      </c>
      <c r="W62" s="20">
        <v>1.671</v>
      </c>
      <c r="X62" s="41">
        <f t="shared" si="79"/>
        <v>50100</v>
      </c>
      <c r="Y62" s="20">
        <v>19735</v>
      </c>
      <c r="Z62" s="20">
        <v>2.71</v>
      </c>
      <c r="AA62" s="41">
        <f t="shared" si="80"/>
        <v>5280</v>
      </c>
      <c r="AB62" s="20">
        <v>12870</v>
      </c>
      <c r="AC62" s="20">
        <v>1.87</v>
      </c>
      <c r="AD62" s="41">
        <f t="shared" si="81"/>
        <v>3360</v>
      </c>
      <c r="AE62" s="20">
        <v>6404</v>
      </c>
      <c r="AF62" s="20">
        <v>2.1659999999999999</v>
      </c>
      <c r="AG62" s="41">
        <f t="shared" si="82"/>
        <v>55200</v>
      </c>
      <c r="AH62" s="20">
        <v>19397</v>
      </c>
      <c r="AI62" s="20">
        <v>0.29399999999999998</v>
      </c>
      <c r="AJ62" s="41">
        <f t="shared" si="83"/>
        <v>1520</v>
      </c>
      <c r="AK62" s="284">
        <v>96479</v>
      </c>
      <c r="AL62" s="41">
        <f t="shared" si="84"/>
        <v>648</v>
      </c>
      <c r="AM62" s="41">
        <f t="shared" si="53"/>
        <v>648</v>
      </c>
      <c r="AO62" s="41">
        <f t="shared" si="97"/>
        <v>273808</v>
      </c>
      <c r="AP62" s="20">
        <f t="shared" si="98"/>
        <v>56720</v>
      </c>
      <c r="AQ62" s="20">
        <f t="shared" si="99"/>
        <v>0.20715245719628353</v>
      </c>
      <c r="AR62" s="20"/>
      <c r="AS62" s="14"/>
      <c r="AT62" s="71">
        <f t="shared" ref="AT62:AT63" si="123">AT61+7</f>
        <v>44551</v>
      </c>
      <c r="AU62" s="20">
        <v>70450</v>
      </c>
      <c r="AV62" s="41">
        <f t="shared" si="100"/>
        <v>14000</v>
      </c>
      <c r="AW62" s="20">
        <v>8994</v>
      </c>
      <c r="AX62" s="41">
        <f t="shared" si="101"/>
        <v>1600</v>
      </c>
      <c r="AY62" s="92">
        <v>72055</v>
      </c>
      <c r="AZ62" s="93">
        <f t="shared" si="87"/>
        <v>755</v>
      </c>
      <c r="BA62" s="20">
        <v>3503</v>
      </c>
      <c r="BB62" s="41">
        <f t="shared" si="88"/>
        <v>1280</v>
      </c>
      <c r="BC62" s="72"/>
      <c r="BD62" s="25">
        <f t="shared" si="21"/>
        <v>17635</v>
      </c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122"/>
        <v>44558</v>
      </c>
      <c r="C63" s="204">
        <f>SUM(Essbase!J370:J373)</f>
        <v>1430</v>
      </c>
      <c r="D63" s="20"/>
      <c r="E63" s="20"/>
      <c r="F63" s="41"/>
      <c r="G63" s="20"/>
      <c r="H63" s="20"/>
      <c r="I63" s="41"/>
      <c r="J63" s="20"/>
      <c r="K63" s="20"/>
      <c r="L63" s="41"/>
      <c r="M63" s="20"/>
      <c r="N63" s="20"/>
      <c r="O63" s="41"/>
      <c r="P63" s="20"/>
      <c r="Q63" s="20"/>
      <c r="R63" s="41"/>
      <c r="S63" s="20"/>
      <c r="T63" s="20"/>
      <c r="U63" s="41"/>
      <c r="V63" s="20"/>
      <c r="W63" s="20"/>
      <c r="X63" s="41"/>
      <c r="Y63" s="20"/>
      <c r="Z63" s="20"/>
      <c r="AA63" s="41"/>
      <c r="AB63" s="20"/>
      <c r="AC63" s="20"/>
      <c r="AD63" s="41"/>
      <c r="AE63" s="20"/>
      <c r="AF63" s="20"/>
      <c r="AG63" s="41"/>
      <c r="AH63" s="20"/>
      <c r="AI63" s="20"/>
      <c r="AJ63" s="41"/>
      <c r="AK63" s="324"/>
      <c r="AL63" s="324"/>
      <c r="AM63" s="41">
        <f t="shared" si="53"/>
        <v>-96479</v>
      </c>
      <c r="AO63" s="41">
        <f t="shared" si="97"/>
        <v>-96479</v>
      </c>
      <c r="AP63" s="20">
        <f t="shared" si="98"/>
        <v>0</v>
      </c>
      <c r="AQ63" s="20">
        <f t="shared" si="99"/>
        <v>0</v>
      </c>
      <c r="AR63" s="20"/>
      <c r="AS63" s="14"/>
      <c r="AT63" s="71">
        <f t="shared" si="123"/>
        <v>44558</v>
      </c>
      <c r="AU63" s="20"/>
      <c r="AV63" s="41"/>
      <c r="AW63" s="20"/>
      <c r="AX63" s="41"/>
      <c r="AY63" s="92"/>
      <c r="AZ63" s="93"/>
      <c r="BA63" s="20"/>
      <c r="BB63" s="41"/>
      <c r="BC63" s="72"/>
      <c r="BD63" s="25">
        <f t="shared" si="21"/>
        <v>0</v>
      </c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/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24"/>
      <c r="AL64" s="324"/>
      <c r="AM64" s="41">
        <f t="shared" si="53"/>
        <v>0</v>
      </c>
      <c r="AO64" s="41">
        <f t="shared" si="97"/>
        <v>0</v>
      </c>
      <c r="AP64" s="20">
        <f t="shared" si="98"/>
        <v>0</v>
      </c>
      <c r="AQ64" s="20" t="e">
        <f t="shared" si="99"/>
        <v>#DIV/0!</v>
      </c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>
        <f t="shared" si="21"/>
        <v>0</v>
      </c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37">
    <mergeCell ref="AK63:AL63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FY1:GG1"/>
    <mergeCell ref="GH1:GM1"/>
    <mergeCell ref="AK3:AL3"/>
    <mergeCell ref="AK1:AM1"/>
    <mergeCell ref="AU1:AV1"/>
    <mergeCell ref="AW1:AX1"/>
    <mergeCell ref="AY1:AZ1"/>
    <mergeCell ref="BA1:BB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O13" zoomScale="85" zoomScaleNormal="85" workbookViewId="0">
      <selection activeCell="AV65" sqref="AV6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60">
        <v>74860172</v>
      </c>
      <c r="D1" s="362"/>
      <c r="E1" s="361"/>
      <c r="F1" s="360">
        <v>74860173</v>
      </c>
      <c r="G1" s="362"/>
      <c r="H1" s="361"/>
      <c r="I1" s="360">
        <v>44553004</v>
      </c>
      <c r="J1" s="362"/>
      <c r="K1" s="361"/>
      <c r="L1" s="360">
        <v>70275191</v>
      </c>
      <c r="M1" s="362"/>
      <c r="N1" s="361"/>
      <c r="O1" s="360">
        <v>2130521</v>
      </c>
      <c r="P1" s="362"/>
      <c r="Q1" s="361"/>
      <c r="R1" s="17"/>
      <c r="S1" s="363" t="s">
        <v>166</v>
      </c>
      <c r="T1" s="362"/>
      <c r="U1" s="361"/>
      <c r="V1" s="364">
        <v>93477704</v>
      </c>
      <c r="W1" s="365"/>
      <c r="X1" s="366"/>
      <c r="Y1" s="28" t="s">
        <v>405</v>
      </c>
      <c r="Z1" s="17"/>
      <c r="AA1" s="353">
        <v>79177804</v>
      </c>
      <c r="AB1" s="355"/>
      <c r="AC1" s="353">
        <v>79305675</v>
      </c>
      <c r="AD1" s="355"/>
      <c r="AE1" s="353">
        <v>79190041</v>
      </c>
      <c r="AF1" s="355"/>
      <c r="AG1" s="353" t="s">
        <v>49</v>
      </c>
      <c r="AH1" s="355"/>
      <c r="AI1" s="353">
        <v>79190039</v>
      </c>
      <c r="AJ1" s="355"/>
      <c r="AK1" s="353">
        <v>79324776</v>
      </c>
      <c r="AL1" s="355"/>
      <c r="AM1" s="353" t="s">
        <v>160</v>
      </c>
      <c r="AN1" s="355"/>
      <c r="AO1" s="353" t="s">
        <v>162</v>
      </c>
      <c r="AP1" s="355"/>
      <c r="AQ1" s="14"/>
      <c r="AS1" s="360" t="s">
        <v>218</v>
      </c>
      <c r="AT1" s="361"/>
      <c r="AU1" s="14"/>
      <c r="AV1" s="360" t="s">
        <v>55</v>
      </c>
      <c r="AW1" s="361"/>
      <c r="AX1" s="360">
        <v>65956268</v>
      </c>
      <c r="AY1" s="361"/>
      <c r="AZ1" s="29" t="s">
        <v>57</v>
      </c>
      <c r="BA1" s="360">
        <v>1334021</v>
      </c>
      <c r="BB1" s="361"/>
      <c r="BC1" s="360">
        <v>63265094</v>
      </c>
      <c r="BD1" s="361"/>
      <c r="BE1" s="360" t="s">
        <v>406</v>
      </c>
      <c r="BF1" s="361"/>
      <c r="BI1" s="353" t="s">
        <v>407</v>
      </c>
      <c r="BJ1" s="354"/>
      <c r="BK1" s="354"/>
      <c r="BL1" s="354"/>
      <c r="BM1" s="355"/>
      <c r="BN1" s="353" t="s">
        <v>408</v>
      </c>
      <c r="BO1" s="354"/>
      <c r="BP1" s="354"/>
      <c r="BQ1" s="355"/>
      <c r="BR1" s="353" t="s">
        <v>276</v>
      </c>
      <c r="BS1" s="354"/>
      <c r="BT1" s="354"/>
      <c r="BU1" s="355"/>
      <c r="BV1" s="356" t="s">
        <v>276</v>
      </c>
      <c r="BW1" s="357"/>
      <c r="BX1" s="357"/>
      <c r="BY1" s="358"/>
      <c r="BZ1" s="16" t="s">
        <v>409</v>
      </c>
      <c r="CA1" s="112" t="s">
        <v>410</v>
      </c>
      <c r="CB1" s="51"/>
      <c r="CC1" s="353" t="s">
        <v>411</v>
      </c>
      <c r="CD1" s="354"/>
      <c r="CE1" s="354"/>
      <c r="CF1" s="354"/>
      <c r="CG1" s="359" t="s">
        <v>119</v>
      </c>
      <c r="CH1" s="359"/>
      <c r="CI1" s="353" t="s">
        <v>412</v>
      </c>
      <c r="CJ1" s="354"/>
      <c r="CK1" s="354"/>
      <c r="CL1" s="355"/>
      <c r="CM1" s="113"/>
      <c r="CN1" s="353" t="s">
        <v>413</v>
      </c>
      <c r="CO1" s="354"/>
      <c r="CP1" s="354"/>
      <c r="CQ1" s="355"/>
      <c r="CR1" s="353" t="s">
        <v>414</v>
      </c>
      <c r="CS1" s="354"/>
      <c r="CT1" s="354"/>
      <c r="CU1" s="355"/>
      <c r="CV1" s="350" t="s">
        <v>415</v>
      </c>
      <c r="CW1" s="353" t="s">
        <v>416</v>
      </c>
      <c r="CX1" s="354"/>
      <c r="CY1" s="354"/>
      <c r="CZ1" s="355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8" t="s">
        <v>138</v>
      </c>
      <c r="P2" s="319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22" t="s">
        <v>424</v>
      </c>
      <c r="AB2" s="323"/>
      <c r="AC2" s="322" t="s">
        <v>425</v>
      </c>
      <c r="AD2" s="323"/>
      <c r="AE2" s="322" t="s">
        <v>426</v>
      </c>
      <c r="AF2" s="323"/>
      <c r="AG2" s="322" t="s">
        <v>427</v>
      </c>
      <c r="AH2" s="323"/>
      <c r="AI2" s="322" t="s">
        <v>286</v>
      </c>
      <c r="AJ2" s="323"/>
      <c r="AK2" s="322" t="s">
        <v>428</v>
      </c>
      <c r="AL2" s="323"/>
      <c r="AM2" s="322" t="s">
        <v>429</v>
      </c>
      <c r="AN2" s="323"/>
      <c r="AO2" s="322" t="s">
        <v>430</v>
      </c>
      <c r="AP2" s="323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22" t="s">
        <v>432</v>
      </c>
      <c r="BJ2" s="330"/>
      <c r="BK2" s="330"/>
      <c r="BL2" s="330"/>
      <c r="BM2" s="323"/>
      <c r="BN2" s="322" t="s">
        <v>433</v>
      </c>
      <c r="BO2" s="330"/>
      <c r="BP2" s="330"/>
      <c r="BQ2" s="323"/>
      <c r="BR2" s="322" t="s">
        <v>434</v>
      </c>
      <c r="BS2" s="330"/>
      <c r="BT2" s="330"/>
      <c r="BU2" s="323"/>
      <c r="BV2" s="322" t="s">
        <v>434</v>
      </c>
      <c r="BW2" s="330"/>
      <c r="BX2" s="330"/>
      <c r="BY2" s="323"/>
      <c r="BZ2" s="100" t="s">
        <v>435</v>
      </c>
      <c r="CA2" s="101" t="s">
        <v>436</v>
      </c>
      <c r="CB2" s="14"/>
      <c r="CC2" s="322" t="s">
        <v>437</v>
      </c>
      <c r="CD2" s="330"/>
      <c r="CE2" s="330"/>
      <c r="CF2" s="330"/>
      <c r="CG2" s="348" t="s">
        <v>438</v>
      </c>
      <c r="CH2" s="348" t="s">
        <v>439</v>
      </c>
      <c r="CI2" s="322" t="s">
        <v>440</v>
      </c>
      <c r="CJ2" s="330"/>
      <c r="CK2" s="330"/>
      <c r="CL2" s="323"/>
      <c r="CM2" s="350" t="s">
        <v>438</v>
      </c>
      <c r="CN2" s="322" t="s">
        <v>441</v>
      </c>
      <c r="CO2" s="330"/>
      <c r="CP2" s="330"/>
      <c r="CQ2" s="323"/>
      <c r="CR2" s="322" t="s">
        <v>442</v>
      </c>
      <c r="CS2" s="330"/>
      <c r="CT2" s="330"/>
      <c r="CU2" s="323"/>
      <c r="CV2" s="352"/>
      <c r="CW2" s="322" t="s">
        <v>443</v>
      </c>
      <c r="CX2" s="330"/>
      <c r="CY2" s="330"/>
      <c r="CZ2" s="323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22" t="s">
        <v>183</v>
      </c>
      <c r="D3" s="323"/>
      <c r="E3" s="22" t="s">
        <v>444</v>
      </c>
      <c r="F3" s="322" t="s">
        <v>184</v>
      </c>
      <c r="G3" s="323"/>
      <c r="H3" s="22" t="s">
        <v>444</v>
      </c>
      <c r="I3" s="322" t="s">
        <v>185</v>
      </c>
      <c r="J3" s="323"/>
      <c r="K3" s="22"/>
      <c r="L3" s="322" t="s">
        <v>445</v>
      </c>
      <c r="M3" s="323"/>
      <c r="N3" s="22"/>
      <c r="O3" s="322" t="s">
        <v>187</v>
      </c>
      <c r="P3" s="323"/>
      <c r="Q3" s="22" t="s">
        <v>444</v>
      </c>
      <c r="R3" s="35"/>
      <c r="S3" s="322" t="s">
        <v>446</v>
      </c>
      <c r="T3" s="323"/>
      <c r="U3" s="23"/>
      <c r="V3" s="322" t="s">
        <v>446</v>
      </c>
      <c r="W3" s="323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49"/>
      <c r="CH3" s="349"/>
      <c r="CI3" s="27" t="s">
        <v>398</v>
      </c>
      <c r="CJ3" s="263" t="s">
        <v>399</v>
      </c>
      <c r="CK3" s="27" t="s">
        <v>374</v>
      </c>
      <c r="CL3" s="102" t="s">
        <v>384</v>
      </c>
      <c r="CM3" s="351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51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46">
        <v>41067492</v>
      </c>
      <c r="D4" s="347"/>
      <c r="E4" s="232">
        <v>0</v>
      </c>
      <c r="F4" s="346">
        <v>4762937</v>
      </c>
      <c r="G4" s="347"/>
      <c r="H4" s="232">
        <v>0</v>
      </c>
      <c r="I4" s="346">
        <v>16838</v>
      </c>
      <c r="J4" s="347"/>
      <c r="K4" s="232">
        <v>0</v>
      </c>
      <c r="L4" s="346">
        <v>298034</v>
      </c>
      <c r="M4" s="347"/>
      <c r="N4" s="232">
        <v>0</v>
      </c>
      <c r="O4" s="346">
        <v>5674</v>
      </c>
      <c r="P4" s="347"/>
      <c r="Q4" s="232">
        <v>0</v>
      </c>
      <c r="R4" s="233"/>
      <c r="S4" s="346">
        <v>692861</v>
      </c>
      <c r="T4" s="347"/>
      <c r="U4" s="232">
        <v>0</v>
      </c>
      <c r="V4" s="346">
        <v>409965</v>
      </c>
      <c r="W4" s="347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42">
        <v>41120218</v>
      </c>
      <c r="D5" s="343"/>
      <c r="E5" s="36">
        <f t="shared" ref="E5:E11" si="10">SUM(C5-C4)*10</f>
        <v>527260</v>
      </c>
      <c r="F5" s="342">
        <v>4802785</v>
      </c>
      <c r="G5" s="343"/>
      <c r="H5" s="36">
        <f t="shared" ref="H5" si="11">SUM(F5-F4)*10</f>
        <v>398480</v>
      </c>
      <c r="I5" s="342">
        <v>16844</v>
      </c>
      <c r="J5" s="343"/>
      <c r="K5" s="36">
        <f t="shared" ref="K5:K6" si="12">SUM(I5-I4)*10</f>
        <v>60</v>
      </c>
      <c r="L5" s="342">
        <v>298406</v>
      </c>
      <c r="M5" s="343"/>
      <c r="N5" s="36">
        <f t="shared" ref="N5:N64" si="13">SUM(L5-L4)*1000</f>
        <v>372000</v>
      </c>
      <c r="O5" s="342">
        <v>5752</v>
      </c>
      <c r="P5" s="343"/>
      <c r="Q5" s="36">
        <f t="shared" ref="Q5:Q27" si="14">SUM(O5-O4)*100</f>
        <v>7800</v>
      </c>
      <c r="R5" s="37"/>
      <c r="S5" s="342">
        <v>693978</v>
      </c>
      <c r="T5" s="343"/>
      <c r="U5" s="36">
        <f t="shared" ref="U5:U27" si="15">SUM(S5-S4)*100</f>
        <v>111700</v>
      </c>
      <c r="V5" s="342">
        <v>415680</v>
      </c>
      <c r="W5" s="343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42">
        <v>41203342</v>
      </c>
      <c r="D6" s="343"/>
      <c r="E6" s="36">
        <f t="shared" si="10"/>
        <v>831240</v>
      </c>
      <c r="F6" s="342">
        <v>4831226</v>
      </c>
      <c r="G6" s="343"/>
      <c r="H6" s="36">
        <f t="shared" ref="H6" si="18">SUM(F6-F5)*10</f>
        <v>284410</v>
      </c>
      <c r="I6" s="342">
        <v>16872</v>
      </c>
      <c r="J6" s="343"/>
      <c r="K6" s="36">
        <f t="shared" si="12"/>
        <v>280</v>
      </c>
      <c r="L6" s="342">
        <v>298860</v>
      </c>
      <c r="M6" s="343"/>
      <c r="N6" s="36">
        <f t="shared" si="13"/>
        <v>454000</v>
      </c>
      <c r="O6" s="342">
        <v>5962</v>
      </c>
      <c r="P6" s="343"/>
      <c r="Q6" s="36">
        <f t="shared" si="14"/>
        <v>21000</v>
      </c>
      <c r="R6" s="37"/>
      <c r="S6" s="342">
        <v>695965</v>
      </c>
      <c r="T6" s="343"/>
      <c r="U6" s="36">
        <f t="shared" si="15"/>
        <v>198700</v>
      </c>
      <c r="V6" s="342">
        <v>436482</v>
      </c>
      <c r="W6" s="343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42">
        <v>41286715</v>
      </c>
      <c r="D7" s="343"/>
      <c r="E7" s="36">
        <f t="shared" si="10"/>
        <v>833730</v>
      </c>
      <c r="F7" s="342">
        <v>4858480</v>
      </c>
      <c r="G7" s="343"/>
      <c r="H7" s="36">
        <f t="shared" ref="H7" si="20">SUM(F7-F6)*10</f>
        <v>272540</v>
      </c>
      <c r="I7" s="342">
        <v>16902</v>
      </c>
      <c r="J7" s="343"/>
      <c r="K7" s="36">
        <f t="shared" ref="K7" si="21">SUM(I7-I6)*10</f>
        <v>300</v>
      </c>
      <c r="L7" s="342">
        <v>299340</v>
      </c>
      <c r="M7" s="343"/>
      <c r="N7" s="36">
        <f t="shared" si="13"/>
        <v>480000</v>
      </c>
      <c r="O7" s="342">
        <v>6179</v>
      </c>
      <c r="P7" s="343"/>
      <c r="Q7" s="36">
        <f t="shared" si="14"/>
        <v>21700</v>
      </c>
      <c r="R7" s="37"/>
      <c r="S7" s="342">
        <v>697993</v>
      </c>
      <c r="T7" s="343"/>
      <c r="U7" s="36">
        <f t="shared" si="15"/>
        <v>202800</v>
      </c>
      <c r="V7" s="342">
        <v>455710</v>
      </c>
      <c r="W7" s="343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42">
        <v>41389319</v>
      </c>
      <c r="D8" s="343"/>
      <c r="E8" s="36">
        <f t="shared" si="10"/>
        <v>1026040</v>
      </c>
      <c r="F8" s="342">
        <v>4884847</v>
      </c>
      <c r="G8" s="343"/>
      <c r="H8" s="36">
        <f t="shared" ref="H8:H9" si="22">SUM(F8-F7)*10</f>
        <v>263670</v>
      </c>
      <c r="I8" s="342">
        <v>16956</v>
      </c>
      <c r="J8" s="343"/>
      <c r="K8" s="36">
        <f t="shared" ref="K8:K9" si="23">SUM(I8-I7)*10</f>
        <v>540</v>
      </c>
      <c r="L8" s="342">
        <v>299990</v>
      </c>
      <c r="M8" s="343"/>
      <c r="N8" s="36">
        <f t="shared" si="13"/>
        <v>650000</v>
      </c>
      <c r="O8" s="342">
        <v>6441</v>
      </c>
      <c r="P8" s="343"/>
      <c r="Q8" s="36">
        <f t="shared" si="14"/>
        <v>26200</v>
      </c>
      <c r="R8" s="37"/>
      <c r="S8" s="342">
        <v>700375</v>
      </c>
      <c r="T8" s="343"/>
      <c r="U8" s="36">
        <f t="shared" si="15"/>
        <v>238200</v>
      </c>
      <c r="V8" s="342">
        <v>473300</v>
      </c>
      <c r="W8" s="343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42">
        <v>41493266</v>
      </c>
      <c r="D9" s="343"/>
      <c r="E9" s="36">
        <f t="shared" si="10"/>
        <v>1039470</v>
      </c>
      <c r="F9" s="342">
        <v>4905120</v>
      </c>
      <c r="G9" s="343"/>
      <c r="H9" s="36">
        <f t="shared" si="22"/>
        <v>202730</v>
      </c>
      <c r="I9" s="342">
        <v>16988</v>
      </c>
      <c r="J9" s="343"/>
      <c r="K9" s="36">
        <f t="shared" si="23"/>
        <v>320</v>
      </c>
      <c r="L9" s="342">
        <v>300667</v>
      </c>
      <c r="M9" s="343"/>
      <c r="N9" s="36">
        <f t="shared" si="13"/>
        <v>677000</v>
      </c>
      <c r="O9" s="342">
        <v>6680</v>
      </c>
      <c r="P9" s="343"/>
      <c r="Q9" s="36">
        <f t="shared" si="14"/>
        <v>23900</v>
      </c>
      <c r="R9" s="37"/>
      <c r="S9" s="342">
        <v>702411</v>
      </c>
      <c r="T9" s="343"/>
      <c r="U9" s="36">
        <f t="shared" si="15"/>
        <v>203600</v>
      </c>
      <c r="V9" s="342">
        <v>488510</v>
      </c>
      <c r="W9" s="343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42">
        <v>41582675</v>
      </c>
      <c r="D10" s="343"/>
      <c r="E10" s="36">
        <f t="shared" si="10"/>
        <v>894090</v>
      </c>
      <c r="F10" s="342">
        <v>4923577</v>
      </c>
      <c r="G10" s="343"/>
      <c r="H10" s="36">
        <f t="shared" ref="H10" si="25">SUM(F10-F9)*10</f>
        <v>184570</v>
      </c>
      <c r="I10" s="342">
        <v>17009</v>
      </c>
      <c r="J10" s="343"/>
      <c r="K10" s="36">
        <f>SUM(I10-I9)*10</f>
        <v>210</v>
      </c>
      <c r="L10" s="342">
        <v>301233</v>
      </c>
      <c r="M10" s="343"/>
      <c r="N10" s="36">
        <f t="shared" si="13"/>
        <v>566000</v>
      </c>
      <c r="O10" s="342">
        <v>6901</v>
      </c>
      <c r="P10" s="343"/>
      <c r="Q10" s="36">
        <f t="shared" si="14"/>
        <v>22100</v>
      </c>
      <c r="R10" s="37"/>
      <c r="S10" s="342">
        <v>704509</v>
      </c>
      <c r="T10" s="343"/>
      <c r="U10" s="36">
        <f t="shared" si="15"/>
        <v>209800</v>
      </c>
      <c r="V10" s="342">
        <v>506180</v>
      </c>
      <c r="W10" s="343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42">
        <v>41680144</v>
      </c>
      <c r="D11" s="343"/>
      <c r="E11" s="36">
        <f t="shared" si="10"/>
        <v>974690</v>
      </c>
      <c r="F11" s="342">
        <v>4948299</v>
      </c>
      <c r="G11" s="343"/>
      <c r="H11" s="36">
        <f t="shared" ref="H11:H13" si="26">SUM(F11-F10)*10</f>
        <v>247220</v>
      </c>
      <c r="I11" s="342">
        <v>17080</v>
      </c>
      <c r="J11" s="343"/>
      <c r="K11" s="36">
        <f t="shared" ref="K11:K64" si="27">SUM(I11-I10)*10</f>
        <v>710</v>
      </c>
      <c r="L11" s="342">
        <v>302004</v>
      </c>
      <c r="M11" s="343"/>
      <c r="N11" s="36">
        <f t="shared" si="13"/>
        <v>771000</v>
      </c>
      <c r="O11" s="342">
        <v>7135</v>
      </c>
      <c r="P11" s="343"/>
      <c r="Q11" s="36">
        <f t="shared" si="14"/>
        <v>23400</v>
      </c>
      <c r="R11" s="37"/>
      <c r="S11" s="342">
        <v>706679</v>
      </c>
      <c r="T11" s="343"/>
      <c r="U11" s="36">
        <f t="shared" si="15"/>
        <v>217000</v>
      </c>
      <c r="V11" s="342">
        <v>515250</v>
      </c>
      <c r="W11" s="343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42">
        <v>41772388</v>
      </c>
      <c r="D12" s="343"/>
      <c r="E12" s="36">
        <f t="shared" ref="E12:E13" si="28">SUM(C12-C11)*10</f>
        <v>922440</v>
      </c>
      <c r="F12" s="342">
        <v>4973934</v>
      </c>
      <c r="G12" s="343"/>
      <c r="H12" s="36">
        <f t="shared" si="26"/>
        <v>256350</v>
      </c>
      <c r="I12" s="342">
        <v>17096</v>
      </c>
      <c r="J12" s="343"/>
      <c r="K12" s="36">
        <f t="shared" si="27"/>
        <v>160</v>
      </c>
      <c r="L12" s="342">
        <v>302639</v>
      </c>
      <c r="M12" s="343"/>
      <c r="N12" s="36">
        <f t="shared" si="13"/>
        <v>635000</v>
      </c>
      <c r="O12" s="342">
        <v>7397</v>
      </c>
      <c r="P12" s="343"/>
      <c r="Q12" s="36">
        <f t="shared" si="14"/>
        <v>26200</v>
      </c>
      <c r="R12" s="37"/>
      <c r="S12" s="342">
        <v>708899</v>
      </c>
      <c r="T12" s="343"/>
      <c r="U12" s="36">
        <f t="shared" si="15"/>
        <v>222000</v>
      </c>
      <c r="V12" s="342">
        <v>527880</v>
      </c>
      <c r="W12" s="343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42">
        <v>41871884</v>
      </c>
      <c r="D13" s="343"/>
      <c r="E13" s="36">
        <f t="shared" si="28"/>
        <v>994960</v>
      </c>
      <c r="F13" s="342">
        <v>4992820</v>
      </c>
      <c r="G13" s="343"/>
      <c r="H13" s="36">
        <f t="shared" si="26"/>
        <v>188860</v>
      </c>
      <c r="I13" s="342">
        <v>17123</v>
      </c>
      <c r="J13" s="343"/>
      <c r="K13" s="36">
        <f t="shared" si="27"/>
        <v>270</v>
      </c>
      <c r="L13" s="342">
        <v>303354</v>
      </c>
      <c r="M13" s="343"/>
      <c r="N13" s="36">
        <f t="shared" si="13"/>
        <v>715000</v>
      </c>
      <c r="O13" s="342">
        <v>7665</v>
      </c>
      <c r="P13" s="343"/>
      <c r="Q13" s="36">
        <f t="shared" si="14"/>
        <v>26800</v>
      </c>
      <c r="R13" s="37"/>
      <c r="S13" s="342">
        <v>711151</v>
      </c>
      <c r="T13" s="343"/>
      <c r="U13" s="36">
        <f t="shared" si="15"/>
        <v>225200</v>
      </c>
      <c r="V13" s="342">
        <v>539040</v>
      </c>
      <c r="W13" s="343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44">
        <v>41968713</v>
      </c>
      <c r="D14" s="345"/>
      <c r="E14" s="226">
        <f t="shared" ref="E14" si="30">SUM(C14-C13)*10</f>
        <v>968290</v>
      </c>
      <c r="F14" s="344">
        <v>5014115</v>
      </c>
      <c r="G14" s="345"/>
      <c r="H14" s="226">
        <f t="shared" ref="H14" si="31">SUM(F14-F13)*10</f>
        <v>212950</v>
      </c>
      <c r="I14" s="344">
        <v>17207</v>
      </c>
      <c r="J14" s="345"/>
      <c r="K14" s="226">
        <f t="shared" si="27"/>
        <v>840</v>
      </c>
      <c r="L14" s="344">
        <v>304019</v>
      </c>
      <c r="M14" s="345"/>
      <c r="N14" s="226">
        <f t="shared" si="13"/>
        <v>665000</v>
      </c>
      <c r="O14" s="344">
        <v>7941</v>
      </c>
      <c r="P14" s="345"/>
      <c r="Q14" s="226">
        <f t="shared" si="14"/>
        <v>27600</v>
      </c>
      <c r="R14" s="37"/>
      <c r="S14" s="344">
        <v>713466</v>
      </c>
      <c r="T14" s="345"/>
      <c r="U14" s="210">
        <f t="shared" si="15"/>
        <v>231500</v>
      </c>
      <c r="V14" s="344">
        <v>552590</v>
      </c>
      <c r="W14" s="345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42">
        <v>42078527</v>
      </c>
      <c r="D15" s="343"/>
      <c r="E15" s="36">
        <f t="shared" ref="E15:E17" si="32">SUM(C15-C14)*10</f>
        <v>1098140</v>
      </c>
      <c r="F15" s="342">
        <v>5035319</v>
      </c>
      <c r="G15" s="343"/>
      <c r="H15" s="36">
        <f t="shared" ref="H15:H17" si="33">SUM(F15-F14)*10</f>
        <v>212040</v>
      </c>
      <c r="I15" s="342">
        <v>17282</v>
      </c>
      <c r="J15" s="343"/>
      <c r="K15" s="36">
        <f t="shared" si="27"/>
        <v>750</v>
      </c>
      <c r="L15" s="342">
        <v>304702</v>
      </c>
      <c r="M15" s="343"/>
      <c r="N15" s="36">
        <f t="shared" si="13"/>
        <v>683000</v>
      </c>
      <c r="O15" s="342">
        <v>8184</v>
      </c>
      <c r="P15" s="343"/>
      <c r="Q15" s="36">
        <f t="shared" si="14"/>
        <v>24300</v>
      </c>
      <c r="R15" s="37"/>
      <c r="S15" s="342">
        <v>715638</v>
      </c>
      <c r="T15" s="343"/>
      <c r="U15" s="36">
        <f t="shared" si="15"/>
        <v>217200</v>
      </c>
      <c r="V15" s="342">
        <v>567070</v>
      </c>
      <c r="W15" s="343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42">
        <v>42199864</v>
      </c>
      <c r="D16" s="343"/>
      <c r="E16" s="36">
        <f t="shared" si="32"/>
        <v>1213370</v>
      </c>
      <c r="F16" s="342">
        <v>5052481</v>
      </c>
      <c r="G16" s="343"/>
      <c r="H16" s="36">
        <f t="shared" si="33"/>
        <v>171620</v>
      </c>
      <c r="I16" s="342">
        <v>17332</v>
      </c>
      <c r="J16" s="343"/>
      <c r="K16" s="36">
        <f t="shared" si="27"/>
        <v>500</v>
      </c>
      <c r="L16" s="342">
        <v>305512</v>
      </c>
      <c r="M16" s="343"/>
      <c r="N16" s="36">
        <f t="shared" si="13"/>
        <v>810000</v>
      </c>
      <c r="O16" s="342">
        <v>8440</v>
      </c>
      <c r="P16" s="343"/>
      <c r="Q16" s="36">
        <f t="shared" si="14"/>
        <v>25600</v>
      </c>
      <c r="R16" s="37"/>
      <c r="S16" s="342">
        <v>718028</v>
      </c>
      <c r="T16" s="343"/>
      <c r="U16" s="36">
        <f t="shared" si="15"/>
        <v>239000</v>
      </c>
      <c r="V16" s="342">
        <v>578990</v>
      </c>
      <c r="W16" s="343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42">
        <v>42322643</v>
      </c>
      <c r="D17" s="343"/>
      <c r="E17" s="36">
        <f t="shared" si="32"/>
        <v>1227790</v>
      </c>
      <c r="F17" s="342">
        <v>5066255</v>
      </c>
      <c r="G17" s="343"/>
      <c r="H17" s="36">
        <f t="shared" si="33"/>
        <v>137740</v>
      </c>
      <c r="I17" s="342">
        <v>17357</v>
      </c>
      <c r="J17" s="343"/>
      <c r="K17" s="36">
        <f t="shared" si="27"/>
        <v>250</v>
      </c>
      <c r="L17" s="342">
        <v>306355</v>
      </c>
      <c r="M17" s="343"/>
      <c r="N17" s="36">
        <f t="shared" si="13"/>
        <v>843000</v>
      </c>
      <c r="O17" s="342">
        <v>8691</v>
      </c>
      <c r="P17" s="343"/>
      <c r="Q17" s="36">
        <f t="shared" si="14"/>
        <v>25100</v>
      </c>
      <c r="R17" s="37"/>
      <c r="S17" s="342">
        <v>720009</v>
      </c>
      <c r="T17" s="343"/>
      <c r="U17" s="36">
        <f t="shared" si="15"/>
        <v>198100</v>
      </c>
      <c r="V17" s="342">
        <v>588000</v>
      </c>
      <c r="W17" s="343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42">
        <v>42373834</v>
      </c>
      <c r="D18" s="343"/>
      <c r="E18" s="36">
        <f t="shared" ref="E18" si="35">SUM(C18-C17)*10</f>
        <v>511910</v>
      </c>
      <c r="F18" s="342">
        <v>5066261</v>
      </c>
      <c r="G18" s="343"/>
      <c r="H18" s="36">
        <f t="shared" ref="H18" si="36">SUM(F18-F17)*10</f>
        <v>60</v>
      </c>
      <c r="I18" s="342">
        <v>17361</v>
      </c>
      <c r="J18" s="343"/>
      <c r="K18" s="36">
        <f t="shared" si="27"/>
        <v>40</v>
      </c>
      <c r="L18" s="342">
        <v>306733</v>
      </c>
      <c r="M18" s="343"/>
      <c r="N18" s="36">
        <f t="shared" si="13"/>
        <v>378000</v>
      </c>
      <c r="O18" s="342">
        <v>8805</v>
      </c>
      <c r="P18" s="343"/>
      <c r="Q18" s="36">
        <f t="shared" si="14"/>
        <v>11400</v>
      </c>
      <c r="R18" s="37"/>
      <c r="S18" s="342">
        <v>720863</v>
      </c>
      <c r="T18" s="343"/>
      <c r="U18" s="36">
        <f t="shared" si="15"/>
        <v>85400</v>
      </c>
      <c r="V18" s="342">
        <v>590883</v>
      </c>
      <c r="W18" s="343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42">
        <v>42437140</v>
      </c>
      <c r="D19" s="343"/>
      <c r="E19" s="36">
        <f t="shared" ref="E19:E22" si="37">SUM(C19-C18)*10</f>
        <v>633060</v>
      </c>
      <c r="F19" s="342">
        <v>5066890</v>
      </c>
      <c r="G19" s="343"/>
      <c r="H19" s="36">
        <f t="shared" ref="H19:H22" si="38">SUM(F19-F18)*10</f>
        <v>6290</v>
      </c>
      <c r="I19" s="342">
        <v>17378</v>
      </c>
      <c r="J19" s="343"/>
      <c r="K19" s="36">
        <f t="shared" si="27"/>
        <v>170</v>
      </c>
      <c r="L19" s="342">
        <v>307188</v>
      </c>
      <c r="M19" s="343"/>
      <c r="N19" s="36">
        <f t="shared" si="13"/>
        <v>455000</v>
      </c>
      <c r="O19" s="342">
        <v>8957</v>
      </c>
      <c r="P19" s="343"/>
      <c r="Q19" s="36">
        <f t="shared" si="14"/>
        <v>15200</v>
      </c>
      <c r="R19" s="37"/>
      <c r="S19" s="342">
        <v>722010</v>
      </c>
      <c r="T19" s="343"/>
      <c r="U19" s="36">
        <f t="shared" si="15"/>
        <v>114700</v>
      </c>
      <c r="V19" s="342">
        <v>600120</v>
      </c>
      <c r="W19" s="343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42">
        <v>42556871</v>
      </c>
      <c r="D20" s="343"/>
      <c r="E20" s="36">
        <f t="shared" si="37"/>
        <v>1197310</v>
      </c>
      <c r="F20" s="342">
        <v>5089790</v>
      </c>
      <c r="G20" s="343"/>
      <c r="H20" s="36">
        <f t="shared" si="38"/>
        <v>229000</v>
      </c>
      <c r="I20" s="342">
        <v>17388</v>
      </c>
      <c r="J20" s="343"/>
      <c r="K20" s="36">
        <f t="shared" si="27"/>
        <v>100</v>
      </c>
      <c r="L20" s="342">
        <v>307992</v>
      </c>
      <c r="M20" s="343"/>
      <c r="N20" s="36">
        <f t="shared" si="13"/>
        <v>804000</v>
      </c>
      <c r="O20" s="342">
        <v>9227</v>
      </c>
      <c r="P20" s="343"/>
      <c r="Q20" s="36">
        <f t="shared" si="14"/>
        <v>27000</v>
      </c>
      <c r="R20" s="37"/>
      <c r="S20" s="342">
        <v>723886</v>
      </c>
      <c r="T20" s="343"/>
      <c r="U20" s="36">
        <f t="shared" si="15"/>
        <v>187600</v>
      </c>
      <c r="V20" s="342">
        <v>610730</v>
      </c>
      <c r="W20" s="343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42">
        <v>42673826</v>
      </c>
      <c r="D21" s="343"/>
      <c r="E21" s="36">
        <f t="shared" si="37"/>
        <v>1169550</v>
      </c>
      <c r="F21" s="342">
        <v>5107929</v>
      </c>
      <c r="G21" s="343"/>
      <c r="H21" s="36">
        <f t="shared" si="38"/>
        <v>181390</v>
      </c>
      <c r="I21" s="342">
        <v>17462</v>
      </c>
      <c r="J21" s="343"/>
      <c r="K21" s="36">
        <f t="shared" si="27"/>
        <v>740</v>
      </c>
      <c r="L21" s="342">
        <v>308814</v>
      </c>
      <c r="M21" s="343"/>
      <c r="N21" s="36">
        <f t="shared" si="13"/>
        <v>822000</v>
      </c>
      <c r="O21" s="342">
        <v>9501</v>
      </c>
      <c r="P21" s="343"/>
      <c r="Q21" s="36">
        <f t="shared" si="14"/>
        <v>27400</v>
      </c>
      <c r="R21" s="37"/>
      <c r="S21" s="342">
        <v>726083</v>
      </c>
      <c r="T21" s="343"/>
      <c r="U21" s="36">
        <f t="shared" si="15"/>
        <v>219700</v>
      </c>
      <c r="V21" s="342">
        <v>647380</v>
      </c>
      <c r="W21" s="343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42">
        <v>42785897</v>
      </c>
      <c r="D22" s="343"/>
      <c r="E22" s="36">
        <f t="shared" si="37"/>
        <v>1120710</v>
      </c>
      <c r="F22" s="342">
        <v>5136925</v>
      </c>
      <c r="G22" s="343"/>
      <c r="H22" s="36">
        <f t="shared" si="38"/>
        <v>289960</v>
      </c>
      <c r="I22" s="342">
        <v>17483</v>
      </c>
      <c r="J22" s="343"/>
      <c r="K22" s="36">
        <f t="shared" si="27"/>
        <v>210</v>
      </c>
      <c r="L22" s="342">
        <v>309598</v>
      </c>
      <c r="M22" s="343"/>
      <c r="N22" s="36">
        <f t="shared" si="13"/>
        <v>784000</v>
      </c>
      <c r="O22" s="342">
        <v>9774</v>
      </c>
      <c r="P22" s="343"/>
      <c r="Q22" s="36">
        <f t="shared" si="14"/>
        <v>27300</v>
      </c>
      <c r="R22" s="37"/>
      <c r="S22" s="342">
        <v>728215</v>
      </c>
      <c r="T22" s="343"/>
      <c r="U22" s="36">
        <f t="shared" si="15"/>
        <v>213200</v>
      </c>
      <c r="V22" s="342">
        <v>625370</v>
      </c>
      <c r="W22" s="343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42">
        <v>42875405</v>
      </c>
      <c r="D23" s="343"/>
      <c r="E23" s="36">
        <f t="shared" ref="E23:E24" si="39">SUM(C23-C22)*10</f>
        <v>895080</v>
      </c>
      <c r="F23" s="342">
        <v>5158237</v>
      </c>
      <c r="G23" s="343"/>
      <c r="H23" s="36">
        <f t="shared" ref="H23:H24" si="40">SUM(F23-F22)*10</f>
        <v>213120</v>
      </c>
      <c r="I23" s="342">
        <v>17501</v>
      </c>
      <c r="J23" s="343"/>
      <c r="K23" s="36">
        <f t="shared" si="27"/>
        <v>180</v>
      </c>
      <c r="L23" s="342">
        <v>310198</v>
      </c>
      <c r="M23" s="343"/>
      <c r="N23" s="36">
        <f t="shared" si="13"/>
        <v>600000</v>
      </c>
      <c r="O23" s="342">
        <v>9996</v>
      </c>
      <c r="P23" s="343"/>
      <c r="Q23" s="36">
        <f t="shared" si="14"/>
        <v>22200</v>
      </c>
      <c r="R23" s="37"/>
      <c r="S23" s="342">
        <v>729750</v>
      </c>
      <c r="T23" s="343"/>
      <c r="U23" s="36">
        <f t="shared" si="15"/>
        <v>153500</v>
      </c>
      <c r="V23" s="342">
        <v>630250</v>
      </c>
      <c r="W23" s="343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42">
        <v>42907750</v>
      </c>
      <c r="D24" s="343"/>
      <c r="E24" s="36">
        <f t="shared" si="39"/>
        <v>323450</v>
      </c>
      <c r="F24" s="342">
        <v>5167405</v>
      </c>
      <c r="G24" s="343"/>
      <c r="H24" s="36">
        <f t="shared" si="40"/>
        <v>91680</v>
      </c>
      <c r="I24" s="342">
        <v>17504</v>
      </c>
      <c r="J24" s="343"/>
      <c r="K24" s="36">
        <f t="shared" si="27"/>
        <v>30</v>
      </c>
      <c r="L24" s="342">
        <v>310436</v>
      </c>
      <c r="M24" s="343"/>
      <c r="N24" s="36">
        <f t="shared" si="13"/>
        <v>238000</v>
      </c>
      <c r="O24" s="342">
        <v>10072</v>
      </c>
      <c r="P24" s="343"/>
      <c r="Q24" s="36">
        <f t="shared" si="14"/>
        <v>7600</v>
      </c>
      <c r="R24" s="37"/>
      <c r="S24" s="342">
        <v>730348</v>
      </c>
      <c r="T24" s="343"/>
      <c r="U24" s="36">
        <f t="shared" si="15"/>
        <v>59800</v>
      </c>
      <c r="V24" s="342">
        <v>631010</v>
      </c>
      <c r="W24" s="343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42">
        <v>43056254</v>
      </c>
      <c r="D25" s="343"/>
      <c r="E25" s="36">
        <f t="shared" ref="E25:E28" si="42">SUM(C25-C24)*10</f>
        <v>1485040</v>
      </c>
      <c r="F25" s="342">
        <v>5177230</v>
      </c>
      <c r="G25" s="343"/>
      <c r="H25" s="36">
        <f t="shared" ref="H25:H28" si="43">SUM(F25-F24)*10</f>
        <v>98250</v>
      </c>
      <c r="I25" s="342">
        <v>17522</v>
      </c>
      <c r="J25" s="343"/>
      <c r="K25" s="36">
        <f t="shared" si="27"/>
        <v>180</v>
      </c>
      <c r="L25" s="342">
        <v>311482</v>
      </c>
      <c r="M25" s="343"/>
      <c r="N25" s="36">
        <f t="shared" si="13"/>
        <v>1046000</v>
      </c>
      <c r="O25" s="342">
        <v>10357</v>
      </c>
      <c r="P25" s="343"/>
      <c r="Q25" s="36">
        <f t="shared" si="14"/>
        <v>28500</v>
      </c>
      <c r="R25" s="37"/>
      <c r="S25" s="342">
        <v>732562</v>
      </c>
      <c r="T25" s="343"/>
      <c r="U25" s="36">
        <f t="shared" si="15"/>
        <v>221400</v>
      </c>
      <c r="V25" s="342">
        <v>635165</v>
      </c>
      <c r="W25" s="343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42">
        <v>43185205</v>
      </c>
      <c r="D26" s="343"/>
      <c r="E26" s="36">
        <f t="shared" si="42"/>
        <v>1289510</v>
      </c>
      <c r="F26" s="342">
        <v>5189472</v>
      </c>
      <c r="G26" s="343"/>
      <c r="H26" s="36">
        <f t="shared" si="43"/>
        <v>122420</v>
      </c>
      <c r="I26" s="342">
        <v>17540</v>
      </c>
      <c r="J26" s="343"/>
      <c r="K26" s="36">
        <f t="shared" si="27"/>
        <v>180</v>
      </c>
      <c r="L26" s="342">
        <v>312388</v>
      </c>
      <c r="M26" s="343"/>
      <c r="N26" s="36">
        <f t="shared" si="13"/>
        <v>906000</v>
      </c>
      <c r="O26" s="342">
        <v>10631</v>
      </c>
      <c r="P26" s="343"/>
      <c r="Q26" s="36">
        <f t="shared" si="14"/>
        <v>27400</v>
      </c>
      <c r="R26" s="37"/>
      <c r="S26" s="342">
        <v>734602</v>
      </c>
      <c r="T26" s="343"/>
      <c r="U26" s="36">
        <f t="shared" si="15"/>
        <v>204000</v>
      </c>
      <c r="V26" s="342">
        <v>641340</v>
      </c>
      <c r="W26" s="343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42">
        <v>43325547</v>
      </c>
      <c r="D27" s="343"/>
      <c r="E27" s="36">
        <f t="shared" si="42"/>
        <v>1403420</v>
      </c>
      <c r="F27" s="342">
        <v>5210730</v>
      </c>
      <c r="G27" s="343"/>
      <c r="H27" s="36">
        <f t="shared" si="43"/>
        <v>212580</v>
      </c>
      <c r="I27" s="342">
        <v>17558</v>
      </c>
      <c r="J27" s="343"/>
      <c r="K27" s="36">
        <f t="shared" si="27"/>
        <v>180</v>
      </c>
      <c r="L27" s="342">
        <v>313370</v>
      </c>
      <c r="M27" s="343"/>
      <c r="N27" s="36">
        <f t="shared" si="13"/>
        <v>982000</v>
      </c>
      <c r="O27" s="342">
        <v>10932</v>
      </c>
      <c r="P27" s="343"/>
      <c r="Q27" s="36">
        <f t="shared" si="14"/>
        <v>30100</v>
      </c>
      <c r="R27" s="37"/>
      <c r="S27" s="342">
        <v>736863</v>
      </c>
      <c r="T27" s="343"/>
      <c r="U27" s="36">
        <f t="shared" si="15"/>
        <v>226100</v>
      </c>
      <c r="V27" s="342">
        <v>649510</v>
      </c>
      <c r="W27" s="343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42">
        <v>43453174</v>
      </c>
      <c r="D28" s="343"/>
      <c r="E28" s="36">
        <f t="shared" si="42"/>
        <v>1276270</v>
      </c>
      <c r="F28" s="342">
        <v>5237077</v>
      </c>
      <c r="G28" s="343"/>
      <c r="H28" s="36">
        <f t="shared" si="43"/>
        <v>263470</v>
      </c>
      <c r="I28" s="342">
        <v>17576</v>
      </c>
      <c r="J28" s="343"/>
      <c r="K28" s="36">
        <f t="shared" si="27"/>
        <v>180</v>
      </c>
      <c r="L28" s="342">
        <v>314282</v>
      </c>
      <c r="M28" s="343"/>
      <c r="N28" s="36">
        <f t="shared" si="13"/>
        <v>912000</v>
      </c>
      <c r="O28" s="342">
        <v>11219</v>
      </c>
      <c r="P28" s="343"/>
      <c r="Q28" s="36">
        <f t="shared" ref="Q28" si="48">SUM(O28-O27)*100</f>
        <v>28700</v>
      </c>
      <c r="R28" s="37"/>
      <c r="S28" s="342">
        <v>738933</v>
      </c>
      <c r="T28" s="343"/>
      <c r="U28" s="36">
        <f t="shared" ref="U28" si="49">SUM(S28-S27)*100</f>
        <v>207000</v>
      </c>
      <c r="V28" s="342">
        <v>653320</v>
      </c>
      <c r="W28" s="343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42">
        <v>43589715</v>
      </c>
      <c r="D29" s="343"/>
      <c r="E29" s="36">
        <f t="shared" ref="E29" si="51">SUM(C29-C28)*10</f>
        <v>1365410</v>
      </c>
      <c r="F29" s="342">
        <v>5260868</v>
      </c>
      <c r="G29" s="343"/>
      <c r="H29" s="36">
        <f t="shared" ref="H29" si="52">SUM(F29-F28)*10</f>
        <v>237910</v>
      </c>
      <c r="I29" s="342">
        <v>17598</v>
      </c>
      <c r="J29" s="343"/>
      <c r="K29" s="36">
        <f t="shared" si="27"/>
        <v>220</v>
      </c>
      <c r="L29" s="342">
        <v>315320</v>
      </c>
      <c r="M29" s="343"/>
      <c r="N29" s="36">
        <f t="shared" si="13"/>
        <v>1038000</v>
      </c>
      <c r="O29" s="342">
        <v>11509</v>
      </c>
      <c r="P29" s="343"/>
      <c r="Q29" s="36">
        <f t="shared" ref="Q29:Q64" si="53">SUM(O29-O28)*100</f>
        <v>29000</v>
      </c>
      <c r="R29" s="37"/>
      <c r="S29" s="342">
        <v>740950</v>
      </c>
      <c r="T29" s="343"/>
      <c r="U29" s="36">
        <f t="shared" ref="U29:U64" si="54">SUM(S29-S28)*100</f>
        <v>201700</v>
      </c>
      <c r="V29" s="342">
        <v>656020</v>
      </c>
      <c r="W29" s="343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42">
        <v>43724992</v>
      </c>
      <c r="D30" s="343"/>
      <c r="E30" s="36">
        <f t="shared" ref="E30:E33" si="55">SUM(C30-C29)*10</f>
        <v>1352770</v>
      </c>
      <c r="F30" s="342">
        <v>5303547</v>
      </c>
      <c r="G30" s="343"/>
      <c r="H30" s="36">
        <f t="shared" ref="H30:H33" si="56">SUM(F30-F29)*10</f>
        <v>426790</v>
      </c>
      <c r="I30" s="342">
        <v>17653</v>
      </c>
      <c r="J30" s="343"/>
      <c r="K30" s="36">
        <f t="shared" si="27"/>
        <v>550</v>
      </c>
      <c r="L30" s="342">
        <v>316377</v>
      </c>
      <c r="M30" s="343"/>
      <c r="N30" s="36">
        <f t="shared" si="13"/>
        <v>1057000</v>
      </c>
      <c r="O30" s="342">
        <v>11784</v>
      </c>
      <c r="P30" s="343"/>
      <c r="Q30" s="36">
        <f t="shared" si="53"/>
        <v>27500</v>
      </c>
      <c r="R30" s="37"/>
      <c r="S30" s="342">
        <v>742948</v>
      </c>
      <c r="T30" s="343"/>
      <c r="U30" s="36">
        <f t="shared" si="54"/>
        <v>199800</v>
      </c>
      <c r="V30" s="342">
        <v>658610</v>
      </c>
      <c r="W30" s="343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42">
        <v>43849679</v>
      </c>
      <c r="D31" s="343"/>
      <c r="E31" s="36">
        <f t="shared" si="55"/>
        <v>1246870</v>
      </c>
      <c r="F31" s="342">
        <v>5319566</v>
      </c>
      <c r="G31" s="343"/>
      <c r="H31" s="36">
        <f t="shared" si="56"/>
        <v>160190</v>
      </c>
      <c r="I31" s="342">
        <v>17669</v>
      </c>
      <c r="J31" s="343"/>
      <c r="K31" s="36">
        <f t="shared" si="27"/>
        <v>160</v>
      </c>
      <c r="L31" s="342">
        <v>317399</v>
      </c>
      <c r="M31" s="343"/>
      <c r="N31" s="36">
        <f t="shared" si="13"/>
        <v>1022000</v>
      </c>
      <c r="O31" s="342">
        <v>12052</v>
      </c>
      <c r="P31" s="343"/>
      <c r="Q31" s="36">
        <f t="shared" si="53"/>
        <v>26800</v>
      </c>
      <c r="R31" s="37"/>
      <c r="S31" s="342">
        <v>744841</v>
      </c>
      <c r="T31" s="343"/>
      <c r="U31" s="36">
        <f t="shared" si="54"/>
        <v>189300</v>
      </c>
      <c r="V31" s="342">
        <v>661220</v>
      </c>
      <c r="W31" s="343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42">
        <v>43977794</v>
      </c>
      <c r="D32" s="343"/>
      <c r="E32" s="36">
        <f t="shared" si="55"/>
        <v>1281150</v>
      </c>
      <c r="F32" s="342">
        <v>5323051</v>
      </c>
      <c r="G32" s="343"/>
      <c r="H32" s="36">
        <f t="shared" si="56"/>
        <v>34850</v>
      </c>
      <c r="I32" s="342">
        <v>17685</v>
      </c>
      <c r="J32" s="343"/>
      <c r="K32" s="36">
        <f t="shared" si="27"/>
        <v>160</v>
      </c>
      <c r="L32" s="342">
        <v>318480</v>
      </c>
      <c r="M32" s="343"/>
      <c r="N32" s="36">
        <f t="shared" si="13"/>
        <v>1081000</v>
      </c>
      <c r="O32" s="342">
        <v>12345</v>
      </c>
      <c r="P32" s="343"/>
      <c r="Q32" s="36">
        <v>129</v>
      </c>
      <c r="R32" s="37"/>
      <c r="S32" s="342">
        <v>746881</v>
      </c>
      <c r="T32" s="343"/>
      <c r="U32" s="36">
        <f t="shared" si="54"/>
        <v>204000</v>
      </c>
      <c r="V32" s="342">
        <v>664240</v>
      </c>
      <c r="W32" s="343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24">
        <v>44014765</v>
      </c>
      <c r="D33" s="324"/>
      <c r="E33" s="36">
        <f t="shared" si="55"/>
        <v>369710</v>
      </c>
      <c r="F33" s="324">
        <v>5328320</v>
      </c>
      <c r="G33" s="324"/>
      <c r="H33" s="36">
        <f t="shared" si="56"/>
        <v>52690</v>
      </c>
      <c r="I33" s="324">
        <v>17698</v>
      </c>
      <c r="J33" s="324"/>
      <c r="K33" s="36">
        <f t="shared" si="27"/>
        <v>130</v>
      </c>
      <c r="L33" s="324">
        <v>318771</v>
      </c>
      <c r="M33" s="324"/>
      <c r="N33" s="36">
        <f t="shared" si="13"/>
        <v>291000</v>
      </c>
      <c r="O33" s="324">
        <v>12431</v>
      </c>
      <c r="P33" s="324"/>
      <c r="Q33" s="36">
        <f t="shared" si="53"/>
        <v>8600</v>
      </c>
      <c r="R33" s="37"/>
      <c r="S33" s="324">
        <v>747434</v>
      </c>
      <c r="T33" s="324"/>
      <c r="U33" s="36">
        <f t="shared" si="54"/>
        <v>55300</v>
      </c>
      <c r="V33" s="324">
        <v>665790</v>
      </c>
      <c r="W33" s="324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42">
        <v>44103262</v>
      </c>
      <c r="D34" s="343"/>
      <c r="E34" s="36">
        <f t="shared" ref="E34" si="73">SUM(C34-C33)*10</f>
        <v>884970</v>
      </c>
      <c r="F34" s="342">
        <v>5328323</v>
      </c>
      <c r="G34" s="343"/>
      <c r="H34" s="36">
        <f t="shared" ref="H34" si="74">SUM(F34-F33)*10</f>
        <v>30</v>
      </c>
      <c r="I34" s="342">
        <v>17702</v>
      </c>
      <c r="J34" s="343"/>
      <c r="K34" s="36">
        <f t="shared" si="27"/>
        <v>40</v>
      </c>
      <c r="L34" s="342">
        <v>319511</v>
      </c>
      <c r="M34" s="343"/>
      <c r="N34" s="36">
        <f t="shared" si="13"/>
        <v>740000</v>
      </c>
      <c r="O34" s="342">
        <v>12642</v>
      </c>
      <c r="P34" s="343"/>
      <c r="Q34" s="36">
        <f t="shared" si="53"/>
        <v>21100</v>
      </c>
      <c r="R34" s="37"/>
      <c r="S34" s="342">
        <v>748840</v>
      </c>
      <c r="T34" s="343"/>
      <c r="U34" s="36">
        <f t="shared" si="54"/>
        <v>140600</v>
      </c>
      <c r="V34" s="342">
        <v>669050</v>
      </c>
      <c r="W34" s="343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42">
        <v>44225593</v>
      </c>
      <c r="D35" s="343"/>
      <c r="E35" s="36">
        <f t="shared" ref="E35:E38" si="75">SUM(C35-C34)*10</f>
        <v>1223310</v>
      </c>
      <c r="F35" s="342">
        <v>5329014</v>
      </c>
      <c r="G35" s="343"/>
      <c r="H35" s="36">
        <f t="shared" ref="H35:H38" si="76">SUM(F35-F34)*10</f>
        <v>6910</v>
      </c>
      <c r="I35" s="342">
        <v>17718</v>
      </c>
      <c r="J35" s="343"/>
      <c r="K35" s="36">
        <f t="shared" si="27"/>
        <v>160</v>
      </c>
      <c r="L35" s="342">
        <v>320471</v>
      </c>
      <c r="M35" s="343"/>
      <c r="N35" s="36">
        <f t="shared" si="13"/>
        <v>960000</v>
      </c>
      <c r="O35" s="342">
        <v>12946</v>
      </c>
      <c r="P35" s="343"/>
      <c r="Q35" s="36">
        <f t="shared" si="53"/>
        <v>30400</v>
      </c>
      <c r="R35" s="37"/>
      <c r="S35" s="342">
        <v>750876</v>
      </c>
      <c r="T35" s="343"/>
      <c r="U35" s="36">
        <f t="shared" si="54"/>
        <v>203600</v>
      </c>
      <c r="V35" s="342">
        <v>671370</v>
      </c>
      <c r="W35" s="343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42">
        <v>44356049</v>
      </c>
      <c r="D36" s="343"/>
      <c r="E36" s="36">
        <f t="shared" si="75"/>
        <v>1304560</v>
      </c>
      <c r="F36" s="342">
        <v>5345906</v>
      </c>
      <c r="G36" s="343"/>
      <c r="H36" s="36">
        <f t="shared" si="76"/>
        <v>168920</v>
      </c>
      <c r="I36" s="342">
        <v>17734</v>
      </c>
      <c r="J36" s="343"/>
      <c r="K36" s="36">
        <f t="shared" si="27"/>
        <v>160</v>
      </c>
      <c r="L36" s="342">
        <v>321473</v>
      </c>
      <c r="M36" s="343"/>
      <c r="N36" s="36">
        <f t="shared" si="13"/>
        <v>1002000</v>
      </c>
      <c r="O36" s="342">
        <v>13244</v>
      </c>
      <c r="P36" s="343"/>
      <c r="Q36" s="36">
        <f t="shared" si="53"/>
        <v>29800</v>
      </c>
      <c r="R36" s="37"/>
      <c r="S36" s="342">
        <v>752775</v>
      </c>
      <c r="T36" s="343"/>
      <c r="U36" s="36">
        <f t="shared" si="54"/>
        <v>189900</v>
      </c>
      <c r="V36" s="342">
        <v>673770</v>
      </c>
      <c r="W36" s="343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42">
        <v>44490935</v>
      </c>
      <c r="D37" s="343"/>
      <c r="E37" s="36">
        <f t="shared" si="75"/>
        <v>1348860</v>
      </c>
      <c r="F37" s="342">
        <v>5366120</v>
      </c>
      <c r="G37" s="343"/>
      <c r="H37" s="36">
        <f t="shared" si="76"/>
        <v>202140</v>
      </c>
      <c r="I37" s="342">
        <v>17750</v>
      </c>
      <c r="J37" s="343"/>
      <c r="K37" s="36">
        <f t="shared" si="27"/>
        <v>160</v>
      </c>
      <c r="L37" s="342">
        <v>322540</v>
      </c>
      <c r="M37" s="343"/>
      <c r="N37" s="36">
        <f t="shared" si="13"/>
        <v>1067000</v>
      </c>
      <c r="O37" s="342">
        <v>13526</v>
      </c>
      <c r="P37" s="343"/>
      <c r="Q37" s="36">
        <f t="shared" si="53"/>
        <v>28200</v>
      </c>
      <c r="R37" s="37"/>
      <c r="S37" s="342">
        <v>754649</v>
      </c>
      <c r="T37" s="343"/>
      <c r="U37" s="36">
        <f t="shared" si="54"/>
        <v>187400</v>
      </c>
      <c r="V37" s="342">
        <v>675310</v>
      </c>
      <c r="W37" s="343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42">
        <v>44612370</v>
      </c>
      <c r="D38" s="343"/>
      <c r="E38" s="36">
        <f t="shared" si="75"/>
        <v>1214350</v>
      </c>
      <c r="F38" s="342">
        <v>5391164</v>
      </c>
      <c r="G38" s="343"/>
      <c r="H38" s="36">
        <f t="shared" si="76"/>
        <v>250440</v>
      </c>
      <c r="I38" s="342">
        <v>17768</v>
      </c>
      <c r="J38" s="343"/>
      <c r="K38" s="36">
        <f t="shared" si="27"/>
        <v>180</v>
      </c>
      <c r="L38" s="342">
        <v>323597</v>
      </c>
      <c r="M38" s="343"/>
      <c r="N38" s="36">
        <f t="shared" si="13"/>
        <v>1057000</v>
      </c>
      <c r="O38" s="342">
        <v>13803</v>
      </c>
      <c r="P38" s="343"/>
      <c r="Q38" s="36">
        <f t="shared" si="53"/>
        <v>27700</v>
      </c>
      <c r="R38" s="37"/>
      <c r="S38" s="342">
        <v>756555</v>
      </c>
      <c r="T38" s="343"/>
      <c r="U38" s="36">
        <f t="shared" si="54"/>
        <v>190600</v>
      </c>
      <c r="V38" s="342">
        <v>676900</v>
      </c>
      <c r="W38" s="343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42">
        <v>44612370</v>
      </c>
      <c r="D39" s="343"/>
      <c r="E39" s="36">
        <f t="shared" ref="E39:E40" si="78">SUM(C39-C38)*10</f>
        <v>0</v>
      </c>
      <c r="F39" s="342">
        <v>5391164</v>
      </c>
      <c r="G39" s="343"/>
      <c r="H39" s="36">
        <f t="shared" ref="H39:H40" si="79">SUM(F39-F38)*10</f>
        <v>0</v>
      </c>
      <c r="I39" s="342">
        <v>17768</v>
      </c>
      <c r="J39" s="343"/>
      <c r="K39" s="36">
        <f t="shared" si="27"/>
        <v>0</v>
      </c>
      <c r="L39" s="342">
        <v>323597</v>
      </c>
      <c r="M39" s="343"/>
      <c r="N39" s="36">
        <f t="shared" si="13"/>
        <v>0</v>
      </c>
      <c r="O39" s="342">
        <v>13803</v>
      </c>
      <c r="P39" s="343"/>
      <c r="Q39" s="36">
        <f t="shared" si="53"/>
        <v>0</v>
      </c>
      <c r="R39" s="37"/>
      <c r="S39" s="342">
        <v>756555</v>
      </c>
      <c r="T39" s="343"/>
      <c r="U39" s="36">
        <f t="shared" si="54"/>
        <v>0</v>
      </c>
      <c r="V39" s="342">
        <v>676900</v>
      </c>
      <c r="W39" s="343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42">
        <v>44745503</v>
      </c>
      <c r="D40" s="343"/>
      <c r="E40" s="36">
        <f t="shared" si="78"/>
        <v>1331330</v>
      </c>
      <c r="F40" s="342">
        <v>5416794</v>
      </c>
      <c r="G40" s="343"/>
      <c r="H40" s="36">
        <f t="shared" si="79"/>
        <v>256300</v>
      </c>
      <c r="I40" s="342">
        <v>17808</v>
      </c>
      <c r="J40" s="343"/>
      <c r="K40" s="36">
        <f t="shared" si="27"/>
        <v>400</v>
      </c>
      <c r="L40" s="342">
        <v>324659</v>
      </c>
      <c r="M40" s="343"/>
      <c r="N40" s="36">
        <f t="shared" si="13"/>
        <v>1062000</v>
      </c>
      <c r="O40" s="342">
        <v>14107</v>
      </c>
      <c r="P40" s="343"/>
      <c r="Q40" s="36">
        <f t="shared" si="53"/>
        <v>30400</v>
      </c>
      <c r="R40" s="37"/>
      <c r="S40" s="342">
        <v>758560</v>
      </c>
      <c r="T40" s="343"/>
      <c r="U40" s="36">
        <f t="shared" si="54"/>
        <v>200500</v>
      </c>
      <c r="V40" s="342">
        <v>678300</v>
      </c>
      <c r="W40" s="343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42">
        <v>44878224</v>
      </c>
      <c r="D41" s="343"/>
      <c r="E41" s="36">
        <f t="shared" ref="E41" si="80">SUM(C41-C40)*10</f>
        <v>1327210</v>
      </c>
      <c r="F41" s="342">
        <v>5441168</v>
      </c>
      <c r="G41" s="343"/>
      <c r="H41" s="36">
        <f t="shared" ref="H41" si="81">SUM(F41-F40)*10</f>
        <v>243740</v>
      </c>
      <c r="I41" s="342">
        <v>17825</v>
      </c>
      <c r="J41" s="343"/>
      <c r="K41" s="36">
        <f t="shared" si="27"/>
        <v>170</v>
      </c>
      <c r="L41" s="342">
        <v>325682</v>
      </c>
      <c r="M41" s="343"/>
      <c r="N41" s="36">
        <f t="shared" si="13"/>
        <v>1023000</v>
      </c>
      <c r="O41" s="342">
        <v>14425</v>
      </c>
      <c r="P41" s="343"/>
      <c r="Q41" s="36">
        <f t="shared" si="53"/>
        <v>31800</v>
      </c>
      <c r="R41" s="37"/>
      <c r="S41" s="342">
        <v>760590</v>
      </c>
      <c r="T41" s="343"/>
      <c r="U41" s="36">
        <f t="shared" si="54"/>
        <v>203000</v>
      </c>
      <c r="V41" s="342">
        <v>680690</v>
      </c>
      <c r="W41" s="343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42">
        <v>45000415</v>
      </c>
      <c r="D42" s="343"/>
      <c r="E42" s="36">
        <f t="shared" ref="E42" si="82">SUM(C42-C41)*10</f>
        <v>1221910</v>
      </c>
      <c r="F42" s="342">
        <v>5455166</v>
      </c>
      <c r="G42" s="343"/>
      <c r="H42" s="36">
        <f t="shared" ref="H42" si="83">SUM(F42-F41)*10</f>
        <v>139980</v>
      </c>
      <c r="I42" s="342">
        <v>17845</v>
      </c>
      <c r="J42" s="343"/>
      <c r="K42" s="36">
        <f t="shared" si="27"/>
        <v>200</v>
      </c>
      <c r="L42" s="342">
        <v>326620</v>
      </c>
      <c r="M42" s="343"/>
      <c r="N42" s="36">
        <f t="shared" si="13"/>
        <v>938000</v>
      </c>
      <c r="O42" s="342">
        <v>14714</v>
      </c>
      <c r="P42" s="343"/>
      <c r="Q42" s="36">
        <f t="shared" si="53"/>
        <v>28900</v>
      </c>
      <c r="R42" s="37"/>
      <c r="S42" s="342">
        <v>762356</v>
      </c>
      <c r="T42" s="343"/>
      <c r="U42" s="36">
        <f t="shared" si="54"/>
        <v>176600</v>
      </c>
      <c r="V42" s="342">
        <v>681810</v>
      </c>
      <c r="W42" s="343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24">
        <v>45102317</v>
      </c>
      <c r="D43" s="324"/>
      <c r="E43" s="36">
        <f t="shared" ref="E43" si="84">SUM(C43-C42)*10</f>
        <v>1019020</v>
      </c>
      <c r="F43" s="324">
        <v>5455194</v>
      </c>
      <c r="G43" s="324"/>
      <c r="H43" s="36">
        <f t="shared" ref="H43" si="85">SUM(F43-F42)*10</f>
        <v>280</v>
      </c>
      <c r="I43" s="324">
        <v>17869</v>
      </c>
      <c r="J43" s="324"/>
      <c r="K43" s="36">
        <f t="shared" si="27"/>
        <v>240</v>
      </c>
      <c r="L43" s="324">
        <v>327393</v>
      </c>
      <c r="M43" s="324"/>
      <c r="N43" s="36">
        <f t="shared" si="13"/>
        <v>773000</v>
      </c>
      <c r="O43" s="324">
        <v>15029</v>
      </c>
      <c r="P43" s="324"/>
      <c r="Q43" s="36">
        <f t="shared" si="53"/>
        <v>31500</v>
      </c>
      <c r="R43" s="37"/>
      <c r="S43" s="324">
        <v>764038</v>
      </c>
      <c r="T43" s="324"/>
      <c r="U43" s="36">
        <f t="shared" si="54"/>
        <v>168200</v>
      </c>
      <c r="V43" s="324">
        <v>683590</v>
      </c>
      <c r="W43" s="324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24">
        <v>45220825</v>
      </c>
      <c r="D44" s="324"/>
      <c r="E44" s="36">
        <f t="shared" ref="E44:E64" si="101">SUM(C44-C43)*10</f>
        <v>1185080</v>
      </c>
      <c r="F44" s="324">
        <v>5467166</v>
      </c>
      <c r="G44" s="324"/>
      <c r="H44" s="36">
        <f t="shared" ref="H44:H64" si="102">SUM(F44-F43)*10</f>
        <v>119720</v>
      </c>
      <c r="I44" s="324">
        <v>17888</v>
      </c>
      <c r="J44" s="324"/>
      <c r="K44" s="36">
        <f t="shared" si="27"/>
        <v>190</v>
      </c>
      <c r="L44" s="324">
        <v>328296</v>
      </c>
      <c r="M44" s="324"/>
      <c r="N44" s="36">
        <f t="shared" si="13"/>
        <v>903000</v>
      </c>
      <c r="O44" s="324">
        <v>15358</v>
      </c>
      <c r="P44" s="324"/>
      <c r="Q44" s="36">
        <f>SUM(O44-O43)*100</f>
        <v>32900</v>
      </c>
      <c r="R44" s="37"/>
      <c r="S44" s="324">
        <v>765892</v>
      </c>
      <c r="T44" s="324"/>
      <c r="U44" s="36">
        <f t="shared" si="54"/>
        <v>185400</v>
      </c>
      <c r="V44" s="324">
        <v>685410</v>
      </c>
      <c r="W44" s="324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42">
        <v>45330216</v>
      </c>
      <c r="D45" s="343"/>
      <c r="E45" s="36">
        <f t="shared" si="101"/>
        <v>1093910</v>
      </c>
      <c r="F45" s="342">
        <v>5491142</v>
      </c>
      <c r="G45" s="343"/>
      <c r="H45" s="36">
        <f t="shared" si="102"/>
        <v>239760</v>
      </c>
      <c r="I45" s="342">
        <v>17903</v>
      </c>
      <c r="J45" s="343"/>
      <c r="K45" s="36">
        <f t="shared" si="27"/>
        <v>150</v>
      </c>
      <c r="L45" s="342">
        <v>329137</v>
      </c>
      <c r="M45" s="343"/>
      <c r="N45" s="36">
        <f t="shared" si="13"/>
        <v>841000</v>
      </c>
      <c r="O45" s="342">
        <v>15687</v>
      </c>
      <c r="P45" s="343"/>
      <c r="Q45" s="36">
        <f t="shared" si="53"/>
        <v>32900</v>
      </c>
      <c r="R45" s="37"/>
      <c r="S45" s="342">
        <v>767753</v>
      </c>
      <c r="T45" s="343"/>
      <c r="U45" s="36">
        <f t="shared" si="54"/>
        <v>186100</v>
      </c>
      <c r="V45" s="342">
        <v>687260</v>
      </c>
      <c r="W45" s="343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24">
        <v>45450054</v>
      </c>
      <c r="D46" s="324"/>
      <c r="E46" s="36">
        <f>SUM(C46-C45)*10</f>
        <v>1198380</v>
      </c>
      <c r="F46" s="324">
        <v>5504897</v>
      </c>
      <c r="G46" s="324"/>
      <c r="H46" s="36">
        <f t="shared" si="102"/>
        <v>137550</v>
      </c>
      <c r="I46" s="324">
        <v>17916</v>
      </c>
      <c r="J46" s="324"/>
      <c r="K46" s="36">
        <f t="shared" si="27"/>
        <v>130</v>
      </c>
      <c r="L46" s="324">
        <v>330018</v>
      </c>
      <c r="M46" s="324"/>
      <c r="N46" s="36">
        <f>SUM(L46-L45)*1000</f>
        <v>881000</v>
      </c>
      <c r="O46" s="324">
        <v>15994</v>
      </c>
      <c r="P46" s="324"/>
      <c r="Q46" s="36">
        <f t="shared" si="53"/>
        <v>30700</v>
      </c>
      <c r="R46" s="37"/>
      <c r="S46" s="324">
        <v>769692</v>
      </c>
      <c r="T46" s="324"/>
      <c r="U46" s="36">
        <f t="shared" si="54"/>
        <v>193900</v>
      </c>
      <c r="V46" s="324">
        <v>689310</v>
      </c>
      <c r="W46" s="324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42">
        <v>45582999</v>
      </c>
      <c r="D47" s="343"/>
      <c r="E47" s="36">
        <f t="shared" si="101"/>
        <v>1329450</v>
      </c>
      <c r="F47" s="342">
        <v>5523510</v>
      </c>
      <c r="G47" s="343"/>
      <c r="H47" s="36">
        <f t="shared" si="102"/>
        <v>186130</v>
      </c>
      <c r="I47" s="342">
        <v>17930</v>
      </c>
      <c r="J47" s="343"/>
      <c r="K47" s="36">
        <f t="shared" si="27"/>
        <v>140</v>
      </c>
      <c r="L47" s="342">
        <v>330935</v>
      </c>
      <c r="M47" s="343"/>
      <c r="N47" s="36">
        <f t="shared" si="13"/>
        <v>917000</v>
      </c>
      <c r="O47" s="342">
        <v>16302</v>
      </c>
      <c r="P47" s="343"/>
      <c r="Q47" s="36">
        <f t="shared" si="53"/>
        <v>30800</v>
      </c>
      <c r="R47" s="37"/>
      <c r="S47" s="342">
        <v>771724</v>
      </c>
      <c r="T47" s="343"/>
      <c r="U47" s="36">
        <f t="shared" si="54"/>
        <v>203200</v>
      </c>
      <c r="V47" s="342">
        <v>691940</v>
      </c>
      <c r="W47" s="343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42">
        <v>45649242</v>
      </c>
      <c r="D48" s="343"/>
      <c r="E48" s="36">
        <f t="shared" si="101"/>
        <v>662430</v>
      </c>
      <c r="F48" s="342">
        <v>5534451</v>
      </c>
      <c r="G48" s="343"/>
      <c r="H48" s="36">
        <f t="shared" si="102"/>
        <v>109410</v>
      </c>
      <c r="I48" s="342">
        <v>17943</v>
      </c>
      <c r="J48" s="343"/>
      <c r="K48" s="36">
        <f t="shared" si="27"/>
        <v>130</v>
      </c>
      <c r="L48" s="342">
        <v>331383</v>
      </c>
      <c r="M48" s="343"/>
      <c r="N48" s="36">
        <f t="shared" si="13"/>
        <v>448000</v>
      </c>
      <c r="O48" s="342">
        <v>16482</v>
      </c>
      <c r="P48" s="343"/>
      <c r="Q48" s="36">
        <f t="shared" si="53"/>
        <v>18000</v>
      </c>
      <c r="R48" s="37"/>
      <c r="S48" s="342">
        <v>772800</v>
      </c>
      <c r="T48" s="343"/>
      <c r="U48" s="36">
        <f t="shared" si="54"/>
        <v>107600</v>
      </c>
      <c r="V48" s="342">
        <v>694740</v>
      </c>
      <c r="W48" s="343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42">
        <v>45706737</v>
      </c>
      <c r="D49" s="343"/>
      <c r="E49" s="36">
        <f t="shared" si="101"/>
        <v>574950</v>
      </c>
      <c r="F49" s="342">
        <v>5543250</v>
      </c>
      <c r="G49" s="343"/>
      <c r="H49" s="36">
        <f t="shared" si="102"/>
        <v>87990</v>
      </c>
      <c r="I49" s="342">
        <v>17945</v>
      </c>
      <c r="J49" s="343"/>
      <c r="K49" s="36">
        <f t="shared" si="27"/>
        <v>20</v>
      </c>
      <c r="L49" s="342">
        <v>331804</v>
      </c>
      <c r="M49" s="343"/>
      <c r="N49" s="36">
        <f t="shared" si="13"/>
        <v>421000</v>
      </c>
      <c r="O49" s="342">
        <v>16630</v>
      </c>
      <c r="P49" s="343"/>
      <c r="Q49" s="36">
        <f t="shared" si="53"/>
        <v>14800</v>
      </c>
      <c r="R49" s="37"/>
      <c r="S49" s="342">
        <v>773698</v>
      </c>
      <c r="T49" s="343"/>
      <c r="U49" s="36">
        <f t="shared" si="54"/>
        <v>89800</v>
      </c>
      <c r="V49" s="342">
        <v>696900</v>
      </c>
      <c r="W49" s="343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24">
        <v>45839266</v>
      </c>
      <c r="D50" s="324"/>
      <c r="E50" s="36">
        <f t="shared" si="101"/>
        <v>1325290</v>
      </c>
      <c r="F50" s="324">
        <v>5566840</v>
      </c>
      <c r="G50" s="324"/>
      <c r="H50" s="36">
        <f t="shared" si="102"/>
        <v>235900</v>
      </c>
      <c r="I50" s="324">
        <v>17960</v>
      </c>
      <c r="J50" s="324"/>
      <c r="K50" s="36">
        <f t="shared" si="27"/>
        <v>150</v>
      </c>
      <c r="L50" s="324">
        <v>332755</v>
      </c>
      <c r="M50" s="324"/>
      <c r="N50" s="36">
        <f t="shared" si="13"/>
        <v>951000</v>
      </c>
      <c r="O50" s="324">
        <v>17014</v>
      </c>
      <c r="P50" s="324"/>
      <c r="Q50" s="36">
        <f t="shared" si="53"/>
        <v>38400</v>
      </c>
      <c r="R50" s="37"/>
      <c r="S50" s="324">
        <v>775701</v>
      </c>
      <c r="T50" s="324"/>
      <c r="U50" s="36">
        <f t="shared" si="54"/>
        <v>200300</v>
      </c>
      <c r="V50" s="324">
        <v>700690</v>
      </c>
      <c r="W50" s="324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64" si="123">SUM(AA50-AA49)*10000</f>
        <v>3030000</v>
      </c>
      <c r="AC50" s="20">
        <v>630709900</v>
      </c>
      <c r="AD50" s="41">
        <f t="shared" ref="AD50:AD64" si="124">SUM(AC50-AC49)*0.1</f>
        <v>840360</v>
      </c>
      <c r="AE50" s="20">
        <v>118061</v>
      </c>
      <c r="AF50" s="41">
        <f t="shared" ref="AF50:AF64" si="125">SUM(AE50-AE49)*10</f>
        <v>2270</v>
      </c>
      <c r="AG50" s="20">
        <v>3629711</v>
      </c>
      <c r="AH50" s="41">
        <f t="shared" ref="AH50:AH64" si="126">SUM(AG50-AG49)*10</f>
        <v>123730</v>
      </c>
      <c r="AI50" s="20">
        <v>4373916</v>
      </c>
      <c r="AJ50" s="41">
        <f t="shared" ref="AJ50:AJ64" si="127">SUM(AI50-AI49)</f>
        <v>13091</v>
      </c>
      <c r="AK50" s="20">
        <v>23516</v>
      </c>
      <c r="AL50" s="41">
        <f t="shared" ref="AL50:AL64" si="128">SUM(AK50-AK49)*1000</f>
        <v>173000</v>
      </c>
      <c r="AM50" s="20">
        <v>1206</v>
      </c>
      <c r="AN50" s="41">
        <f t="shared" ref="AN50:AN64" si="129">SUM(AM50-AM49)</f>
        <v>5</v>
      </c>
      <c r="AO50" s="20">
        <v>12929</v>
      </c>
      <c r="AP50" s="41">
        <f t="shared" ref="AP50:AP64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62" si="131">SUM(AS50-AS49)</f>
        <v>71</v>
      </c>
      <c r="AU50" s="14"/>
      <c r="AV50" s="20">
        <v>1500017</v>
      </c>
      <c r="AW50" s="41">
        <f t="shared" ref="AW50:AW62" si="132">SUM(AV50-AV49)</f>
        <v>53091</v>
      </c>
      <c r="AX50" s="20">
        <v>604212152</v>
      </c>
      <c r="AY50" s="42">
        <f t="shared" ref="AY50:AY62" si="133">SUM(AX50-AX49)/100</f>
        <v>43513.19</v>
      </c>
      <c r="AZ50" s="41">
        <f t="shared" ref="AZ50:AZ62" si="134">SUM(AW50-AY50)</f>
        <v>9577.8099999999977</v>
      </c>
      <c r="BA50" s="20">
        <v>7093800</v>
      </c>
      <c r="BB50" s="258">
        <f t="shared" ref="BB50:BB62" si="135">SUM(BA50-BA49)</f>
        <v>3800</v>
      </c>
      <c r="BC50" s="92">
        <v>3783100</v>
      </c>
      <c r="BD50" s="93">
        <f t="shared" ref="BD50:BD62" si="136">SUM(BC50-BC49)</f>
        <v>1800</v>
      </c>
      <c r="BE50" s="20">
        <v>1132394</v>
      </c>
      <c r="BF50" s="41">
        <f t="shared" ref="BF50:BF62" si="137">SUM(BE50-BE49)</f>
        <v>39</v>
      </c>
    </row>
    <row r="51" spans="2:58" x14ac:dyDescent="0.25">
      <c r="B51" s="71">
        <f t="shared" ref="B51:B52" si="138">B50+7</f>
        <v>44487</v>
      </c>
      <c r="C51" s="324">
        <v>45980053</v>
      </c>
      <c r="D51" s="324"/>
      <c r="E51" s="36">
        <f t="shared" si="101"/>
        <v>1407870</v>
      </c>
      <c r="F51" s="324">
        <v>5592095</v>
      </c>
      <c r="G51" s="324"/>
      <c r="H51" s="36">
        <f t="shared" si="102"/>
        <v>252550</v>
      </c>
      <c r="I51" s="324">
        <v>17975</v>
      </c>
      <c r="J51" s="324"/>
      <c r="K51" s="36">
        <f t="shared" si="27"/>
        <v>150</v>
      </c>
      <c r="L51" s="324">
        <v>333795</v>
      </c>
      <c r="M51" s="324"/>
      <c r="N51" s="36">
        <f t="shared" si="13"/>
        <v>1040000</v>
      </c>
      <c r="O51" s="324">
        <v>17393</v>
      </c>
      <c r="P51" s="324"/>
      <c r="Q51" s="36">
        <f t="shared" si="53"/>
        <v>37900</v>
      </c>
      <c r="R51" s="37"/>
      <c r="S51" s="324">
        <v>778031</v>
      </c>
      <c r="T51" s="324"/>
      <c r="U51" s="36">
        <f t="shared" si="54"/>
        <v>233000</v>
      </c>
      <c r="V51" s="324">
        <v>705540</v>
      </c>
      <c r="W51" s="324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C52" s="324">
        <v>46117078</v>
      </c>
      <c r="D52" s="324"/>
      <c r="E52" s="36">
        <f t="shared" si="101"/>
        <v>1370250</v>
      </c>
      <c r="F52" s="324">
        <v>5613340</v>
      </c>
      <c r="G52" s="324"/>
      <c r="H52" s="36">
        <f t="shared" si="102"/>
        <v>212450</v>
      </c>
      <c r="I52" s="324">
        <v>17991</v>
      </c>
      <c r="J52" s="324"/>
      <c r="K52" s="36">
        <f t="shared" si="27"/>
        <v>160</v>
      </c>
      <c r="L52" s="324">
        <v>334782</v>
      </c>
      <c r="M52" s="324"/>
      <c r="N52" s="36">
        <f t="shared" si="13"/>
        <v>987000</v>
      </c>
      <c r="O52" s="324">
        <v>17745</v>
      </c>
      <c r="P52" s="324"/>
      <c r="Q52" s="36">
        <f t="shared" si="53"/>
        <v>35200</v>
      </c>
      <c r="R52" s="37"/>
      <c r="S52" s="324">
        <v>780277</v>
      </c>
      <c r="T52" s="324"/>
      <c r="U52" s="36">
        <f t="shared" si="54"/>
        <v>224600</v>
      </c>
      <c r="V52" s="324">
        <v>712620</v>
      </c>
      <c r="W52" s="324"/>
      <c r="X52" s="36">
        <f t="shared" ref="X52:X64" si="139">SUM(V52-V51)*100</f>
        <v>708000</v>
      </c>
      <c r="Y52" s="40">
        <f t="shared" ref="Y52:Y64" si="140">SUM(U52+X52)</f>
        <v>932600</v>
      </c>
      <c r="Z52" s="38"/>
      <c r="AA52" s="20">
        <v>24128</v>
      </c>
      <c r="AB52" s="41">
        <f t="shared" si="123"/>
        <v>2690000</v>
      </c>
      <c r="AC52" s="20">
        <v>646894300</v>
      </c>
      <c r="AD52" s="41">
        <f t="shared" si="124"/>
        <v>773770</v>
      </c>
      <c r="AE52" s="20">
        <v>118659</v>
      </c>
      <c r="AF52" s="41">
        <f t="shared" si="125"/>
        <v>3180</v>
      </c>
      <c r="AG52" s="20">
        <v>3655349</v>
      </c>
      <c r="AH52" s="41">
        <f t="shared" si="126"/>
        <v>138530</v>
      </c>
      <c r="AI52" s="20">
        <v>4391084</v>
      </c>
      <c r="AJ52" s="41">
        <f t="shared" si="127"/>
        <v>9491</v>
      </c>
      <c r="AK52" s="20">
        <v>23872</v>
      </c>
      <c r="AL52" s="41">
        <f t="shared" si="128"/>
        <v>182000</v>
      </c>
      <c r="AM52" s="20">
        <v>1216</v>
      </c>
      <c r="AN52" s="41">
        <f t="shared" si="129"/>
        <v>6</v>
      </c>
      <c r="AO52" s="20">
        <v>12962</v>
      </c>
      <c r="AP52" s="41">
        <f t="shared" si="130"/>
        <v>1800</v>
      </c>
      <c r="AQ52" s="39"/>
      <c r="AR52" s="118">
        <f t="shared" si="0"/>
        <v>44494</v>
      </c>
      <c r="AS52" s="20">
        <v>2893</v>
      </c>
      <c r="AT52" s="41">
        <f t="shared" si="131"/>
        <v>181</v>
      </c>
      <c r="AU52" s="14"/>
      <c r="AV52" s="20">
        <v>1629607</v>
      </c>
      <c r="AW52" s="41">
        <f t="shared" si="132"/>
        <v>56540</v>
      </c>
      <c r="AX52" s="20">
        <v>614986657</v>
      </c>
      <c r="AY52" s="42">
        <f t="shared" si="133"/>
        <v>45332.21</v>
      </c>
      <c r="AZ52" s="41">
        <f t="shared" si="134"/>
        <v>11207.79</v>
      </c>
      <c r="BA52" s="20">
        <v>7099300</v>
      </c>
      <c r="BB52" s="258">
        <f t="shared" si="135"/>
        <v>2500</v>
      </c>
      <c r="BC52" s="92">
        <v>3787900</v>
      </c>
      <c r="BD52" s="93">
        <f t="shared" si="136"/>
        <v>3100</v>
      </c>
      <c r="BE52" s="20">
        <v>1132567</v>
      </c>
      <c r="BF52" s="41">
        <f t="shared" si="137"/>
        <v>115</v>
      </c>
    </row>
    <row r="53" spans="2:58" x14ac:dyDescent="0.25">
      <c r="B53" s="71">
        <v>44501</v>
      </c>
      <c r="C53" s="324">
        <v>46225250</v>
      </c>
      <c r="D53" s="324"/>
      <c r="E53" s="36">
        <f t="shared" si="101"/>
        <v>1081720</v>
      </c>
      <c r="F53" s="324">
        <v>5630511</v>
      </c>
      <c r="G53" s="324"/>
      <c r="H53" s="36">
        <f t="shared" si="102"/>
        <v>171710</v>
      </c>
      <c r="I53" s="324">
        <v>18007</v>
      </c>
      <c r="J53" s="324"/>
      <c r="K53" s="36">
        <f t="shared" si="27"/>
        <v>160</v>
      </c>
      <c r="L53" s="324">
        <v>335771</v>
      </c>
      <c r="M53" s="324"/>
      <c r="N53" s="36">
        <f t="shared" si="13"/>
        <v>989000</v>
      </c>
      <c r="O53" s="324">
        <v>18124</v>
      </c>
      <c r="P53" s="324"/>
      <c r="Q53" s="36">
        <f t="shared" si="53"/>
        <v>37900</v>
      </c>
      <c r="R53" s="37"/>
      <c r="S53" s="324">
        <v>782724</v>
      </c>
      <c r="T53" s="324"/>
      <c r="U53" s="36">
        <f t="shared" si="54"/>
        <v>244700</v>
      </c>
      <c r="V53" s="324">
        <v>721110</v>
      </c>
      <c r="W53" s="324"/>
      <c r="X53" s="36">
        <f t="shared" si="139"/>
        <v>849000</v>
      </c>
      <c r="Y53" s="40">
        <f t="shared" si="140"/>
        <v>1093700</v>
      </c>
      <c r="Z53" s="38"/>
      <c r="AA53" s="20">
        <v>24350</v>
      </c>
      <c r="AB53" s="41">
        <f t="shared" si="123"/>
        <v>2220000</v>
      </c>
      <c r="AC53" s="20">
        <v>653463600</v>
      </c>
      <c r="AD53" s="41">
        <f t="shared" si="124"/>
        <v>656930</v>
      </c>
      <c r="AE53" s="20">
        <v>118695</v>
      </c>
      <c r="AF53" s="41">
        <f t="shared" si="125"/>
        <v>360</v>
      </c>
      <c r="AG53" s="20">
        <v>3664505</v>
      </c>
      <c r="AH53" s="41">
        <f t="shared" si="126"/>
        <v>91560</v>
      </c>
      <c r="AI53" s="20">
        <v>4397203</v>
      </c>
      <c r="AJ53" s="41">
        <f t="shared" si="127"/>
        <v>6119</v>
      </c>
      <c r="AK53" s="20">
        <v>24013</v>
      </c>
      <c r="AL53" s="41">
        <f t="shared" si="128"/>
        <v>141000</v>
      </c>
      <c r="AM53" s="20">
        <v>1221</v>
      </c>
      <c r="AN53" s="41">
        <f t="shared" si="129"/>
        <v>5</v>
      </c>
      <c r="AO53" s="20">
        <v>12980</v>
      </c>
      <c r="AP53" s="41">
        <f t="shared" si="130"/>
        <v>1800</v>
      </c>
      <c r="AQ53" s="39"/>
      <c r="AR53" s="118">
        <f t="shared" si="0"/>
        <v>44501</v>
      </c>
      <c r="AS53" s="20">
        <v>2948</v>
      </c>
      <c r="AT53" s="41">
        <f t="shared" si="131"/>
        <v>55</v>
      </c>
      <c r="AU53" s="14"/>
      <c r="AV53" s="20">
        <v>1665676</v>
      </c>
      <c r="AW53" s="41">
        <f t="shared" si="132"/>
        <v>36069</v>
      </c>
      <c r="AX53" s="20">
        <v>617855050</v>
      </c>
      <c r="AY53" s="42">
        <f t="shared" si="133"/>
        <v>28683.93</v>
      </c>
      <c r="AZ53" s="41">
        <f t="shared" si="134"/>
        <v>7385.07</v>
      </c>
      <c r="BA53" s="20">
        <v>7101600</v>
      </c>
      <c r="BB53" s="258">
        <f t="shared" si="135"/>
        <v>2300</v>
      </c>
      <c r="BC53" s="92">
        <v>3788400</v>
      </c>
      <c r="BD53" s="93">
        <f t="shared" si="136"/>
        <v>500</v>
      </c>
      <c r="BE53" s="20">
        <v>1132576</v>
      </c>
      <c r="BF53" s="41">
        <f t="shared" si="137"/>
        <v>9</v>
      </c>
    </row>
    <row r="54" spans="2:58" x14ac:dyDescent="0.25">
      <c r="B54" s="71">
        <v>44508</v>
      </c>
      <c r="C54" s="324">
        <v>46368276</v>
      </c>
      <c r="D54" s="324"/>
      <c r="E54" s="36">
        <f t="shared" si="101"/>
        <v>1430260</v>
      </c>
      <c r="F54" s="324">
        <v>5646797</v>
      </c>
      <c r="G54" s="324"/>
      <c r="H54" s="36">
        <f t="shared" si="102"/>
        <v>162860</v>
      </c>
      <c r="I54" s="324">
        <v>18023</v>
      </c>
      <c r="J54" s="324"/>
      <c r="K54" s="36">
        <f t="shared" si="27"/>
        <v>160</v>
      </c>
      <c r="L54" s="324">
        <v>336736</v>
      </c>
      <c r="M54" s="324"/>
      <c r="N54" s="36">
        <f t="shared" si="13"/>
        <v>965000</v>
      </c>
      <c r="O54" s="324">
        <v>18489</v>
      </c>
      <c r="P54" s="324"/>
      <c r="Q54" s="36">
        <f t="shared" si="53"/>
        <v>36500</v>
      </c>
      <c r="R54" s="37"/>
      <c r="S54" s="324">
        <v>795257</v>
      </c>
      <c r="T54" s="324"/>
      <c r="U54" s="36">
        <f t="shared" si="54"/>
        <v>1253300</v>
      </c>
      <c r="V54" s="324">
        <v>736250</v>
      </c>
      <c r="W54" s="324"/>
      <c r="X54" s="36">
        <f t="shared" si="139"/>
        <v>1514000</v>
      </c>
      <c r="Y54" s="40">
        <f t="shared" si="140"/>
        <v>2767300</v>
      </c>
      <c r="Z54" s="38"/>
      <c r="AA54" s="20">
        <v>24530</v>
      </c>
      <c r="AB54" s="41">
        <f t="shared" si="123"/>
        <v>1800000</v>
      </c>
      <c r="AC54" s="20">
        <v>659430900</v>
      </c>
      <c r="AD54" s="41">
        <f t="shared" si="124"/>
        <v>596730</v>
      </c>
      <c r="AE54" s="20">
        <v>118870</v>
      </c>
      <c r="AF54" s="41">
        <f t="shared" si="125"/>
        <v>1750</v>
      </c>
      <c r="AG54" s="20">
        <v>3672822</v>
      </c>
      <c r="AH54" s="41">
        <f t="shared" si="126"/>
        <v>83170</v>
      </c>
      <c r="AI54" s="20">
        <v>4407227</v>
      </c>
      <c r="AJ54" s="41">
        <f t="shared" si="127"/>
        <v>10024</v>
      </c>
      <c r="AK54" s="20">
        <v>24133</v>
      </c>
      <c r="AL54" s="41">
        <f t="shared" si="128"/>
        <v>120000</v>
      </c>
      <c r="AM54" s="20">
        <v>1232</v>
      </c>
      <c r="AN54" s="41">
        <f t="shared" si="129"/>
        <v>11</v>
      </c>
      <c r="AO54" s="20">
        <v>13029</v>
      </c>
      <c r="AP54" s="41">
        <f t="shared" si="130"/>
        <v>4900</v>
      </c>
      <c r="AQ54" s="39"/>
      <c r="AR54" s="118">
        <f t="shared" si="0"/>
        <v>44508</v>
      </c>
      <c r="AS54" s="20">
        <v>3087</v>
      </c>
      <c r="AT54" s="41">
        <f t="shared" si="131"/>
        <v>139</v>
      </c>
      <c r="AU54" s="14"/>
      <c r="AV54" s="20">
        <v>1725826</v>
      </c>
      <c r="AW54" s="41">
        <f t="shared" si="132"/>
        <v>60150</v>
      </c>
      <c r="AX54" s="20">
        <v>622639032</v>
      </c>
      <c r="AY54" s="42">
        <f t="shared" si="133"/>
        <v>47839.82</v>
      </c>
      <c r="AZ54" s="41">
        <f t="shared" si="134"/>
        <v>12310.18</v>
      </c>
      <c r="BA54" s="20">
        <v>7107600</v>
      </c>
      <c r="BB54" s="258">
        <f t="shared" si="135"/>
        <v>6000</v>
      </c>
      <c r="BC54" s="92">
        <v>3789100</v>
      </c>
      <c r="BD54" s="93">
        <f t="shared" si="136"/>
        <v>700</v>
      </c>
      <c r="BE54" s="20">
        <v>1132583</v>
      </c>
      <c r="BF54" s="41">
        <f t="shared" si="137"/>
        <v>7</v>
      </c>
    </row>
    <row r="55" spans="2:58" x14ac:dyDescent="0.25">
      <c r="B55" s="71">
        <f>B54+7</f>
        <v>44515</v>
      </c>
      <c r="C55" s="324">
        <v>46479637</v>
      </c>
      <c r="D55" s="324"/>
      <c r="E55" s="36">
        <f t="shared" si="101"/>
        <v>1113610</v>
      </c>
      <c r="F55" s="324">
        <v>5664517</v>
      </c>
      <c r="G55" s="324"/>
      <c r="H55" s="36">
        <f t="shared" si="102"/>
        <v>177200</v>
      </c>
      <c r="I55" s="324">
        <v>18041</v>
      </c>
      <c r="J55" s="324"/>
      <c r="K55" s="36">
        <f t="shared" si="27"/>
        <v>180</v>
      </c>
      <c r="L55" s="324">
        <v>337582</v>
      </c>
      <c r="M55" s="324"/>
      <c r="N55" s="36">
        <f t="shared" si="13"/>
        <v>846000</v>
      </c>
      <c r="O55" s="324">
        <v>18824</v>
      </c>
      <c r="P55" s="324"/>
      <c r="Q55" s="36">
        <f t="shared" si="53"/>
        <v>33500</v>
      </c>
      <c r="R55" s="37"/>
      <c r="S55" s="320">
        <v>797555</v>
      </c>
      <c r="T55" s="321"/>
      <c r="U55" s="36">
        <f t="shared" si="54"/>
        <v>229800</v>
      </c>
      <c r="V55" s="324">
        <v>748180</v>
      </c>
      <c r="W55" s="324"/>
      <c r="X55" s="36">
        <f t="shared" si="139"/>
        <v>1193000</v>
      </c>
      <c r="Y55" s="40">
        <f t="shared" si="140"/>
        <v>1422800</v>
      </c>
      <c r="Z55" s="38"/>
      <c r="AA55" s="20">
        <v>24694</v>
      </c>
      <c r="AB55" s="41">
        <f t="shared" si="123"/>
        <v>1640000</v>
      </c>
      <c r="AC55" s="20">
        <v>664394400</v>
      </c>
      <c r="AD55" s="41">
        <f t="shared" si="124"/>
        <v>496350</v>
      </c>
      <c r="AE55" s="20">
        <v>118996</v>
      </c>
      <c r="AF55" s="41">
        <f t="shared" si="125"/>
        <v>1260</v>
      </c>
      <c r="AG55" s="20">
        <v>3679833</v>
      </c>
      <c r="AH55" s="41">
        <f t="shared" si="126"/>
        <v>70110</v>
      </c>
      <c r="AI55" s="20">
        <v>4527213</v>
      </c>
      <c r="AJ55" s="41">
        <f t="shared" si="127"/>
        <v>119986</v>
      </c>
      <c r="AK55" s="20">
        <v>24267</v>
      </c>
      <c r="AL55" s="41">
        <f t="shared" si="128"/>
        <v>134000</v>
      </c>
      <c r="AM55" s="20">
        <v>1240</v>
      </c>
      <c r="AN55" s="41">
        <f t="shared" si="129"/>
        <v>8</v>
      </c>
      <c r="AO55" s="20">
        <v>13058</v>
      </c>
      <c r="AP55" s="41">
        <f t="shared" si="130"/>
        <v>2900</v>
      </c>
      <c r="AQ55" s="39"/>
      <c r="AR55" s="118">
        <f t="shared" si="0"/>
        <v>44515</v>
      </c>
      <c r="AS55" s="20">
        <v>3205</v>
      </c>
      <c r="AT55" s="41">
        <f t="shared" si="131"/>
        <v>118</v>
      </c>
      <c r="AU55" s="14"/>
      <c r="AV55" s="20">
        <v>1776106</v>
      </c>
      <c r="AW55" s="41">
        <f t="shared" si="132"/>
        <v>50280</v>
      </c>
      <c r="AX55" s="20">
        <v>626661593</v>
      </c>
      <c r="AY55" s="42">
        <f t="shared" si="133"/>
        <v>40225.61</v>
      </c>
      <c r="AZ55" s="41">
        <f t="shared" si="134"/>
        <v>10054.39</v>
      </c>
      <c r="BA55" s="20">
        <v>7112400</v>
      </c>
      <c r="BB55" s="258">
        <f t="shared" si="135"/>
        <v>4800</v>
      </c>
      <c r="BC55" s="92">
        <v>3789300</v>
      </c>
      <c r="BD55" s="93">
        <f t="shared" si="136"/>
        <v>200</v>
      </c>
      <c r="BE55" s="20">
        <v>1132600</v>
      </c>
      <c r="BF55" s="41">
        <f t="shared" si="137"/>
        <v>17</v>
      </c>
    </row>
    <row r="56" spans="2:58" x14ac:dyDescent="0.25">
      <c r="B56" s="71">
        <f t="shared" ref="B56:B58" si="141">B55+7</f>
        <v>44522</v>
      </c>
      <c r="C56" s="324">
        <v>46590887</v>
      </c>
      <c r="D56" s="324"/>
      <c r="E56" s="36">
        <f t="shared" si="101"/>
        <v>1112500</v>
      </c>
      <c r="F56" s="324">
        <v>5672670</v>
      </c>
      <c r="G56" s="324"/>
      <c r="H56" s="36">
        <f t="shared" si="102"/>
        <v>81530</v>
      </c>
      <c r="I56" s="324">
        <v>18071</v>
      </c>
      <c r="J56" s="324"/>
      <c r="K56" s="36">
        <f t="shared" si="27"/>
        <v>300</v>
      </c>
      <c r="L56" s="324">
        <v>338418</v>
      </c>
      <c r="M56" s="324"/>
      <c r="N56" s="36">
        <f t="shared" si="13"/>
        <v>836000</v>
      </c>
      <c r="O56" s="324">
        <v>19195</v>
      </c>
      <c r="P56" s="324"/>
      <c r="Q56" s="36">
        <f t="shared" si="53"/>
        <v>37100</v>
      </c>
      <c r="R56" s="37"/>
      <c r="S56" s="320">
        <v>790041</v>
      </c>
      <c r="T56" s="321"/>
      <c r="U56" s="36">
        <f t="shared" si="54"/>
        <v>-751400</v>
      </c>
      <c r="V56" s="324">
        <v>761230</v>
      </c>
      <c r="W56" s="324"/>
      <c r="X56" s="36">
        <f t="shared" si="139"/>
        <v>1305000</v>
      </c>
      <c r="Y56" s="40">
        <f t="shared" si="140"/>
        <v>553600</v>
      </c>
      <c r="Z56" s="38"/>
      <c r="AA56" s="20">
        <v>24881</v>
      </c>
      <c r="AB56" s="41">
        <f t="shared" si="123"/>
        <v>1870000</v>
      </c>
      <c r="AC56" s="20">
        <v>669959200</v>
      </c>
      <c r="AD56" s="41">
        <f t="shared" si="124"/>
        <v>556480</v>
      </c>
      <c r="AE56" s="20">
        <v>119358</v>
      </c>
      <c r="AF56" s="41">
        <f t="shared" si="125"/>
        <v>3620</v>
      </c>
      <c r="AG56" s="20">
        <v>3683802</v>
      </c>
      <c r="AH56" s="41">
        <f t="shared" si="126"/>
        <v>39690</v>
      </c>
      <c r="AI56" s="20">
        <v>4537918</v>
      </c>
      <c r="AJ56" s="41">
        <f t="shared" si="127"/>
        <v>10705</v>
      </c>
      <c r="AK56" s="20">
        <v>24431</v>
      </c>
      <c r="AL56" s="41">
        <f t="shared" si="128"/>
        <v>164000</v>
      </c>
      <c r="AM56" s="20">
        <v>1247</v>
      </c>
      <c r="AN56" s="41">
        <f t="shared" si="129"/>
        <v>7</v>
      </c>
      <c r="AO56" s="20">
        <v>13120</v>
      </c>
      <c r="AP56" s="41">
        <f t="shared" si="130"/>
        <v>6200</v>
      </c>
      <c r="AQ56" s="39"/>
      <c r="AR56" s="118">
        <f t="shared" si="0"/>
        <v>44522</v>
      </c>
      <c r="AS56" s="20">
        <v>3327</v>
      </c>
      <c r="AT56" s="41">
        <f t="shared" si="131"/>
        <v>122</v>
      </c>
      <c r="AU56" s="14"/>
      <c r="AV56" s="20">
        <v>1826987</v>
      </c>
      <c r="AW56" s="41">
        <f t="shared" si="132"/>
        <v>50881</v>
      </c>
      <c r="AX56" s="20">
        <v>630654036</v>
      </c>
      <c r="AY56" s="42">
        <f t="shared" si="133"/>
        <v>39924.43</v>
      </c>
      <c r="AZ56" s="41">
        <f t="shared" si="134"/>
        <v>10956.57</v>
      </c>
      <c r="BA56" s="20">
        <v>7114600</v>
      </c>
      <c r="BB56" s="258">
        <f t="shared" si="135"/>
        <v>2200</v>
      </c>
      <c r="BC56" s="92">
        <v>3789600</v>
      </c>
      <c r="BD56" s="93">
        <f t="shared" si="136"/>
        <v>300</v>
      </c>
      <c r="BE56" s="20">
        <v>1132603</v>
      </c>
      <c r="BF56" s="41">
        <f t="shared" si="137"/>
        <v>3</v>
      </c>
    </row>
    <row r="57" spans="2:58" x14ac:dyDescent="0.25">
      <c r="B57" s="71">
        <f t="shared" si="141"/>
        <v>44529</v>
      </c>
      <c r="C57" s="324">
        <v>46698265</v>
      </c>
      <c r="D57" s="324"/>
      <c r="E57" s="36">
        <f t="shared" si="101"/>
        <v>1073780</v>
      </c>
      <c r="F57" s="324">
        <v>5685852</v>
      </c>
      <c r="G57" s="324"/>
      <c r="H57" s="36">
        <f t="shared" si="102"/>
        <v>131820</v>
      </c>
      <c r="I57" s="324">
        <v>18077</v>
      </c>
      <c r="J57" s="324"/>
      <c r="K57" s="36">
        <f t="shared" si="27"/>
        <v>60</v>
      </c>
      <c r="L57" s="324">
        <v>339189</v>
      </c>
      <c r="M57" s="324"/>
      <c r="N57" s="36">
        <f t="shared" si="13"/>
        <v>771000</v>
      </c>
      <c r="O57" s="324">
        <v>19549</v>
      </c>
      <c r="P57" s="324"/>
      <c r="Q57" s="36">
        <f t="shared" si="53"/>
        <v>35400</v>
      </c>
      <c r="R57" s="37"/>
      <c r="S57" s="320">
        <v>792457</v>
      </c>
      <c r="T57" s="321"/>
      <c r="U57" s="36">
        <f t="shared" si="54"/>
        <v>241600</v>
      </c>
      <c r="V57" s="324">
        <v>778280</v>
      </c>
      <c r="W57" s="324"/>
      <c r="X57" s="36">
        <f t="shared" si="139"/>
        <v>1705000</v>
      </c>
      <c r="Y57" s="40">
        <f t="shared" si="140"/>
        <v>1946600</v>
      </c>
      <c r="Z57" s="38"/>
      <c r="AA57" s="20">
        <v>24993</v>
      </c>
      <c r="AB57" s="41">
        <f t="shared" si="123"/>
        <v>1120000</v>
      </c>
      <c r="AC57" s="20">
        <v>674196200</v>
      </c>
      <c r="AD57" s="41">
        <f t="shared" si="124"/>
        <v>423700</v>
      </c>
      <c r="AE57" s="20">
        <v>119554</v>
      </c>
      <c r="AF57" s="41">
        <f t="shared" si="125"/>
        <v>1960</v>
      </c>
      <c r="AG57" s="20">
        <v>3687840</v>
      </c>
      <c r="AH57" s="41">
        <f t="shared" si="126"/>
        <v>40380</v>
      </c>
      <c r="AI57" s="20">
        <v>4548552</v>
      </c>
      <c r="AJ57" s="41">
        <f t="shared" si="127"/>
        <v>10634</v>
      </c>
      <c r="AK57" s="20">
        <v>24605</v>
      </c>
      <c r="AL57" s="41">
        <f t="shared" si="128"/>
        <v>174000</v>
      </c>
      <c r="AM57" s="20">
        <v>1255</v>
      </c>
      <c r="AN57" s="41">
        <f t="shared" si="129"/>
        <v>8</v>
      </c>
      <c r="AO57" s="20">
        <v>13155</v>
      </c>
      <c r="AP57" s="41">
        <f t="shared" si="130"/>
        <v>3500</v>
      </c>
      <c r="AQ57" s="39"/>
      <c r="AR57" s="118">
        <f t="shared" si="0"/>
        <v>44529</v>
      </c>
      <c r="AS57" s="20">
        <v>3447</v>
      </c>
      <c r="AT57" s="41">
        <f t="shared" si="131"/>
        <v>120</v>
      </c>
      <c r="AU57" s="14"/>
      <c r="AV57" s="20">
        <v>1877642</v>
      </c>
      <c r="AW57" s="41">
        <f t="shared" si="132"/>
        <v>50655</v>
      </c>
      <c r="AX57" s="20">
        <v>634637372</v>
      </c>
      <c r="AY57" s="42">
        <f t="shared" si="133"/>
        <v>39833.360000000001</v>
      </c>
      <c r="AZ57" s="41">
        <f t="shared" si="134"/>
        <v>10821.64</v>
      </c>
      <c r="BA57" s="20">
        <v>7117500</v>
      </c>
      <c r="BB57" s="258">
        <f t="shared" si="135"/>
        <v>2900</v>
      </c>
      <c r="BC57" s="92">
        <v>3790000</v>
      </c>
      <c r="BD57" s="93">
        <f t="shared" si="136"/>
        <v>400</v>
      </c>
      <c r="BE57" s="20">
        <v>1132607</v>
      </c>
      <c r="BF57" s="41">
        <f t="shared" si="137"/>
        <v>4</v>
      </c>
    </row>
    <row r="58" spans="2:58" x14ac:dyDescent="0.25">
      <c r="B58" s="71">
        <f t="shared" si="141"/>
        <v>44536</v>
      </c>
      <c r="C58" s="324">
        <v>46726672</v>
      </c>
      <c r="D58" s="324"/>
      <c r="E58" s="36">
        <f t="shared" si="101"/>
        <v>284070</v>
      </c>
      <c r="F58" s="324">
        <v>5689836</v>
      </c>
      <c r="G58" s="324"/>
      <c r="H58" s="36">
        <f t="shared" si="102"/>
        <v>39840</v>
      </c>
      <c r="I58" s="324">
        <v>18092</v>
      </c>
      <c r="J58" s="324"/>
      <c r="K58" s="36">
        <f t="shared" si="27"/>
        <v>150</v>
      </c>
      <c r="L58" s="324">
        <v>339373</v>
      </c>
      <c r="M58" s="324"/>
      <c r="N58" s="36">
        <f t="shared" si="13"/>
        <v>184000</v>
      </c>
      <c r="O58" s="324">
        <v>19657</v>
      </c>
      <c r="P58" s="324"/>
      <c r="Q58" s="36">
        <f t="shared" si="53"/>
        <v>10800</v>
      </c>
      <c r="R58" s="37"/>
      <c r="S58" s="320">
        <v>793168</v>
      </c>
      <c r="T58" s="321"/>
      <c r="U58" s="36">
        <f t="shared" si="54"/>
        <v>71100</v>
      </c>
      <c r="V58" s="324">
        <v>793168</v>
      </c>
      <c r="W58" s="324"/>
      <c r="X58" s="36">
        <f t="shared" si="139"/>
        <v>1488800</v>
      </c>
      <c r="Y58" s="40">
        <f t="shared" si="140"/>
        <v>1559900</v>
      </c>
      <c r="Z58" s="38"/>
      <c r="AA58" s="20">
        <v>25020</v>
      </c>
      <c r="AB58" s="41">
        <f t="shared" si="123"/>
        <v>270000</v>
      </c>
      <c r="AC58" s="20">
        <v>675456600</v>
      </c>
      <c r="AD58" s="41">
        <f t="shared" si="124"/>
        <v>126040</v>
      </c>
      <c r="AE58" s="20">
        <v>119590</v>
      </c>
      <c r="AF58" s="41">
        <f t="shared" si="125"/>
        <v>360</v>
      </c>
      <c r="AG58" s="20">
        <v>3689416</v>
      </c>
      <c r="AH58" s="41">
        <f t="shared" si="126"/>
        <v>15760</v>
      </c>
      <c r="AI58" s="20">
        <v>4551206</v>
      </c>
      <c r="AJ58" s="41">
        <f t="shared" si="127"/>
        <v>2654</v>
      </c>
      <c r="AK58" s="20">
        <v>24664</v>
      </c>
      <c r="AL58" s="41">
        <f t="shared" si="128"/>
        <v>59000</v>
      </c>
      <c r="AM58" s="20">
        <v>1258</v>
      </c>
      <c r="AN58" s="41">
        <f t="shared" si="129"/>
        <v>3</v>
      </c>
      <c r="AO58" s="20">
        <v>13192</v>
      </c>
      <c r="AP58" s="41">
        <f t="shared" si="130"/>
        <v>3700</v>
      </c>
      <c r="AQ58" s="39"/>
      <c r="AR58" s="118">
        <f t="shared" si="0"/>
        <v>44536</v>
      </c>
      <c r="AS58" s="20">
        <v>3498</v>
      </c>
      <c r="AT58" s="41">
        <f t="shared" si="131"/>
        <v>51</v>
      </c>
      <c r="AU58" s="14"/>
      <c r="AV58" s="20">
        <v>1898258</v>
      </c>
      <c r="AW58" s="41">
        <f t="shared" si="132"/>
        <v>20616</v>
      </c>
      <c r="AX58" s="20">
        <v>636344321</v>
      </c>
      <c r="AY58" s="42">
        <f t="shared" si="133"/>
        <v>17069.490000000002</v>
      </c>
      <c r="AZ58" s="41">
        <f t="shared" si="134"/>
        <v>3546.5099999999984</v>
      </c>
      <c r="BA58" s="20">
        <v>7118800</v>
      </c>
      <c r="BB58" s="258">
        <f t="shared" si="135"/>
        <v>1300</v>
      </c>
      <c r="BC58" s="92">
        <v>3790100</v>
      </c>
      <c r="BD58" s="93">
        <f t="shared" si="136"/>
        <v>100</v>
      </c>
      <c r="BE58" s="20">
        <v>1132867</v>
      </c>
      <c r="BF58" s="41">
        <f t="shared" si="137"/>
        <v>260</v>
      </c>
    </row>
    <row r="59" spans="2:58" x14ac:dyDescent="0.25">
      <c r="B59" s="71">
        <v>44531</v>
      </c>
      <c r="C59" s="324">
        <v>46810537</v>
      </c>
      <c r="D59" s="324"/>
      <c r="E59" s="36">
        <f t="shared" si="101"/>
        <v>838650</v>
      </c>
      <c r="F59" s="324">
        <v>5697938</v>
      </c>
      <c r="G59" s="324"/>
      <c r="H59" s="36">
        <f t="shared" si="102"/>
        <v>81020</v>
      </c>
      <c r="I59" s="324">
        <v>18099</v>
      </c>
      <c r="J59" s="324"/>
      <c r="K59" s="36">
        <f t="shared" si="27"/>
        <v>70</v>
      </c>
      <c r="L59" s="324">
        <v>339962</v>
      </c>
      <c r="M59" s="324"/>
      <c r="N59" s="36">
        <f t="shared" si="13"/>
        <v>589000</v>
      </c>
      <c r="O59" s="324">
        <v>19922</v>
      </c>
      <c r="P59" s="324"/>
      <c r="Q59" s="36">
        <f t="shared" si="53"/>
        <v>26500</v>
      </c>
      <c r="R59" s="37"/>
      <c r="S59" s="320">
        <v>795021</v>
      </c>
      <c r="T59" s="321"/>
      <c r="U59" s="36">
        <f t="shared" si="54"/>
        <v>185300</v>
      </c>
      <c r="V59" s="324">
        <v>794330</v>
      </c>
      <c r="W59" s="324"/>
      <c r="X59" s="36">
        <f t="shared" si="139"/>
        <v>116200</v>
      </c>
      <c r="Y59" s="40">
        <f t="shared" si="140"/>
        <v>301500</v>
      </c>
      <c r="Z59" s="38"/>
      <c r="AA59" s="20">
        <v>25114</v>
      </c>
      <c r="AB59" s="41">
        <f t="shared" si="123"/>
        <v>940000</v>
      </c>
      <c r="AC59" s="20">
        <v>678407500</v>
      </c>
      <c r="AD59" s="41">
        <f t="shared" si="124"/>
        <v>295090</v>
      </c>
      <c r="AE59" s="20">
        <v>119748</v>
      </c>
      <c r="AF59" s="41">
        <f t="shared" si="125"/>
        <v>1580</v>
      </c>
      <c r="AG59" s="20">
        <v>3694999</v>
      </c>
      <c r="AH59" s="41">
        <f t="shared" si="126"/>
        <v>55830</v>
      </c>
      <c r="AI59" s="20">
        <v>4558014</v>
      </c>
      <c r="AJ59" s="41">
        <f t="shared" si="127"/>
        <v>6808</v>
      </c>
      <c r="AK59" s="20">
        <v>24793</v>
      </c>
      <c r="AL59" s="41">
        <f t="shared" si="128"/>
        <v>129000</v>
      </c>
      <c r="AM59" s="20">
        <v>1263</v>
      </c>
      <c r="AN59" s="41">
        <f t="shared" si="129"/>
        <v>5</v>
      </c>
      <c r="AO59" s="20">
        <v>13225</v>
      </c>
      <c r="AP59" s="41">
        <f t="shared" si="130"/>
        <v>3300</v>
      </c>
      <c r="AQ59" s="39"/>
      <c r="AR59" s="118">
        <f t="shared" si="0"/>
        <v>44531</v>
      </c>
      <c r="AS59" s="20">
        <v>3569</v>
      </c>
      <c r="AT59" s="41">
        <f t="shared" si="131"/>
        <v>71</v>
      </c>
      <c r="AU59" s="14"/>
      <c r="AV59" s="20">
        <v>1927045</v>
      </c>
      <c r="AW59" s="41">
        <f t="shared" si="132"/>
        <v>28787</v>
      </c>
      <c r="AX59" s="20">
        <v>638575168</v>
      </c>
      <c r="AY59" s="42">
        <f t="shared" si="133"/>
        <v>22308.47</v>
      </c>
      <c r="AZ59" s="41">
        <f t="shared" si="134"/>
        <v>6478.5299999999988</v>
      </c>
      <c r="BA59" s="20">
        <v>7120600</v>
      </c>
      <c r="BB59" s="258">
        <f t="shared" si="135"/>
        <v>1800</v>
      </c>
      <c r="BC59" s="92">
        <v>3790300</v>
      </c>
      <c r="BD59" s="93">
        <f t="shared" si="136"/>
        <v>200</v>
      </c>
      <c r="BE59" s="20">
        <v>1132873</v>
      </c>
      <c r="BF59" s="41">
        <f t="shared" si="137"/>
        <v>6</v>
      </c>
    </row>
    <row r="60" spans="2:58" x14ac:dyDescent="0.25">
      <c r="B60" s="71">
        <v>44537</v>
      </c>
      <c r="C60" s="324">
        <v>46934470</v>
      </c>
      <c r="D60" s="324"/>
      <c r="E60" s="36">
        <f t="shared" si="101"/>
        <v>1239330</v>
      </c>
      <c r="F60" s="324">
        <v>5706929</v>
      </c>
      <c r="G60" s="324"/>
      <c r="H60" s="36">
        <f t="shared" si="102"/>
        <v>89910</v>
      </c>
      <c r="I60" s="324">
        <v>18121</v>
      </c>
      <c r="J60" s="324"/>
      <c r="K60" s="36">
        <f t="shared" si="27"/>
        <v>220</v>
      </c>
      <c r="L60" s="324">
        <v>340839</v>
      </c>
      <c r="M60" s="324"/>
      <c r="N60" s="36">
        <f t="shared" si="13"/>
        <v>877000</v>
      </c>
      <c r="O60" s="324">
        <v>20299</v>
      </c>
      <c r="P60" s="324"/>
      <c r="Q60" s="36">
        <f t="shared" si="53"/>
        <v>37700</v>
      </c>
      <c r="R60" s="37"/>
      <c r="S60" s="320">
        <v>797461</v>
      </c>
      <c r="T60" s="321"/>
      <c r="U60" s="36">
        <f t="shared" si="54"/>
        <v>244000</v>
      </c>
      <c r="V60" s="324">
        <v>803650</v>
      </c>
      <c r="W60" s="324"/>
      <c r="X60" s="36">
        <f t="shared" si="139"/>
        <v>932000</v>
      </c>
      <c r="Y60" s="40">
        <f t="shared" si="140"/>
        <v>1176000</v>
      </c>
      <c r="Z60" s="38"/>
      <c r="AA60" s="20">
        <v>25322</v>
      </c>
      <c r="AB60" s="41">
        <f t="shared" si="123"/>
        <v>2080000</v>
      </c>
      <c r="AC60" s="20">
        <v>684358400</v>
      </c>
      <c r="AD60" s="41">
        <f t="shared" si="124"/>
        <v>595090</v>
      </c>
      <c r="AE60" s="20">
        <v>119998</v>
      </c>
      <c r="AF60" s="41">
        <f t="shared" si="125"/>
        <v>2500</v>
      </c>
      <c r="AG60" s="20">
        <v>3702327</v>
      </c>
      <c r="AH60" s="41">
        <f t="shared" si="126"/>
        <v>73280</v>
      </c>
      <c r="AI60" s="20">
        <v>4570878</v>
      </c>
      <c r="AJ60" s="41">
        <f t="shared" si="127"/>
        <v>12864</v>
      </c>
      <c r="AK60" s="20">
        <v>24975</v>
      </c>
      <c r="AL60" s="41">
        <f t="shared" si="128"/>
        <v>182000</v>
      </c>
      <c r="AM60" s="20">
        <v>1268</v>
      </c>
      <c r="AN60" s="41">
        <f t="shared" si="129"/>
        <v>5</v>
      </c>
      <c r="AO60" s="20">
        <v>13268</v>
      </c>
      <c r="AP60" s="41">
        <f t="shared" si="130"/>
        <v>4300</v>
      </c>
      <c r="AQ60" s="39"/>
      <c r="AR60" s="118">
        <f t="shared" si="0"/>
        <v>44537</v>
      </c>
      <c r="AS60" s="20">
        <v>3699</v>
      </c>
      <c r="AT60" s="41">
        <f t="shared" si="131"/>
        <v>130</v>
      </c>
      <c r="AU60" s="14"/>
      <c r="AV60" s="20">
        <v>1977794</v>
      </c>
      <c r="AW60" s="41">
        <f t="shared" si="132"/>
        <v>50749</v>
      </c>
      <c r="AX60" s="20">
        <v>642467688</v>
      </c>
      <c r="AY60" s="42">
        <f t="shared" si="133"/>
        <v>38925.199999999997</v>
      </c>
      <c r="AZ60" s="41">
        <f t="shared" si="134"/>
        <v>11823.800000000003</v>
      </c>
      <c r="BA60" s="20">
        <v>7124500</v>
      </c>
      <c r="BB60" s="258">
        <f t="shared" si="135"/>
        <v>3900</v>
      </c>
      <c r="BC60" s="92">
        <v>3790500</v>
      </c>
      <c r="BD60" s="93">
        <f t="shared" si="136"/>
        <v>200</v>
      </c>
      <c r="BE60" s="20">
        <v>1133008</v>
      </c>
      <c r="BF60" s="41">
        <f t="shared" si="137"/>
        <v>135</v>
      </c>
    </row>
    <row r="61" spans="2:58" x14ac:dyDescent="0.25">
      <c r="B61" s="71">
        <f>B60+7</f>
        <v>44544</v>
      </c>
      <c r="C61" s="324">
        <v>47068325</v>
      </c>
      <c r="D61" s="324"/>
      <c r="E61" s="36">
        <f t="shared" si="101"/>
        <v>1338550</v>
      </c>
      <c r="F61" s="324">
        <v>5721425</v>
      </c>
      <c r="G61" s="324"/>
      <c r="H61" s="36">
        <f t="shared" si="102"/>
        <v>144960</v>
      </c>
      <c r="I61" s="324">
        <v>18144</v>
      </c>
      <c r="J61" s="324"/>
      <c r="K61" s="36">
        <f t="shared" si="27"/>
        <v>230</v>
      </c>
      <c r="L61" s="324">
        <v>341810</v>
      </c>
      <c r="M61" s="324"/>
      <c r="N61" s="36">
        <f t="shared" si="13"/>
        <v>971000</v>
      </c>
      <c r="O61" s="324">
        <v>20681</v>
      </c>
      <c r="P61" s="324"/>
      <c r="Q61" s="36">
        <f t="shared" si="53"/>
        <v>38200</v>
      </c>
      <c r="R61" s="37"/>
      <c r="S61" s="320">
        <v>799992</v>
      </c>
      <c r="T61" s="321"/>
      <c r="U61" s="36">
        <f t="shared" si="54"/>
        <v>253100</v>
      </c>
      <c r="V61" s="324">
        <v>813430</v>
      </c>
      <c r="W61" s="324"/>
      <c r="X61" s="36">
        <f t="shared" si="139"/>
        <v>978000</v>
      </c>
      <c r="Y61" s="40">
        <f t="shared" si="140"/>
        <v>1231100</v>
      </c>
      <c r="Z61" s="38"/>
      <c r="AA61" s="20">
        <v>25560</v>
      </c>
      <c r="AB61" s="41">
        <f t="shared" si="123"/>
        <v>2380000</v>
      </c>
      <c r="AC61" s="20">
        <v>691239900</v>
      </c>
      <c r="AD61" s="41">
        <f t="shared" si="124"/>
        <v>688150</v>
      </c>
      <c r="AE61" s="20">
        <v>120227</v>
      </c>
      <c r="AF61" s="41">
        <f t="shared" si="125"/>
        <v>2290</v>
      </c>
      <c r="AG61" s="20">
        <v>3710434</v>
      </c>
      <c r="AH61" s="41">
        <f t="shared" si="126"/>
        <v>81070</v>
      </c>
      <c r="AI61" s="20">
        <v>4582062</v>
      </c>
      <c r="AJ61" s="41">
        <f t="shared" si="127"/>
        <v>11184</v>
      </c>
      <c r="AK61" s="20">
        <v>25163</v>
      </c>
      <c r="AL61" s="41">
        <f t="shared" si="128"/>
        <v>188000</v>
      </c>
      <c r="AM61" s="20">
        <v>1274</v>
      </c>
      <c r="AN61" s="41">
        <f t="shared" si="129"/>
        <v>6</v>
      </c>
      <c r="AO61" s="20">
        <v>13334</v>
      </c>
      <c r="AP61" s="41">
        <f t="shared" si="130"/>
        <v>6600</v>
      </c>
      <c r="AQ61" s="39"/>
      <c r="AR61" s="118">
        <f t="shared" si="0"/>
        <v>44544</v>
      </c>
      <c r="AS61" s="20">
        <v>3699</v>
      </c>
      <c r="AT61" s="41">
        <f t="shared" si="131"/>
        <v>0</v>
      </c>
      <c r="AU61" s="14"/>
      <c r="AV61" s="20">
        <v>2031000</v>
      </c>
      <c r="AW61" s="41">
        <f t="shared" si="132"/>
        <v>53206</v>
      </c>
      <c r="AX61" s="20">
        <v>648300000</v>
      </c>
      <c r="AY61" s="42">
        <f t="shared" si="133"/>
        <v>58323.12</v>
      </c>
      <c r="AZ61" s="41">
        <f t="shared" si="134"/>
        <v>-5117.1200000000026</v>
      </c>
      <c r="BA61" s="20">
        <v>7127000</v>
      </c>
      <c r="BB61" s="258">
        <f t="shared" si="135"/>
        <v>2500</v>
      </c>
      <c r="BC61" s="92">
        <v>3790750</v>
      </c>
      <c r="BD61" s="93">
        <f t="shared" si="136"/>
        <v>250</v>
      </c>
      <c r="BE61" s="20">
        <v>1133008</v>
      </c>
      <c r="BF61" s="41">
        <f t="shared" si="137"/>
        <v>0</v>
      </c>
    </row>
    <row r="62" spans="2:58" x14ac:dyDescent="0.25">
      <c r="B62" s="71">
        <f t="shared" ref="B62:B63" si="142">B61+7</f>
        <v>44551</v>
      </c>
      <c r="C62" s="324">
        <v>47186225</v>
      </c>
      <c r="D62" s="324"/>
      <c r="E62" s="36">
        <f t="shared" si="101"/>
        <v>1179000</v>
      </c>
      <c r="F62" s="324">
        <v>5729201</v>
      </c>
      <c r="G62" s="324"/>
      <c r="H62" s="36">
        <f t="shared" si="102"/>
        <v>77760</v>
      </c>
      <c r="I62" s="324">
        <v>18165</v>
      </c>
      <c r="J62" s="324"/>
      <c r="K62" s="36">
        <f t="shared" si="27"/>
        <v>210</v>
      </c>
      <c r="L62" s="324">
        <v>342645</v>
      </c>
      <c r="M62" s="324"/>
      <c r="N62" s="36">
        <f t="shared" si="13"/>
        <v>835000</v>
      </c>
      <c r="O62" s="324">
        <v>21065</v>
      </c>
      <c r="P62" s="324"/>
      <c r="Q62" s="36">
        <f t="shared" si="53"/>
        <v>38400</v>
      </c>
      <c r="R62" s="37"/>
      <c r="S62" s="320">
        <v>802559</v>
      </c>
      <c r="T62" s="321"/>
      <c r="U62" s="36">
        <f t="shared" si="54"/>
        <v>256700</v>
      </c>
      <c r="V62" s="324">
        <v>829790</v>
      </c>
      <c r="W62" s="324"/>
      <c r="X62" s="36">
        <f t="shared" si="139"/>
        <v>1636000</v>
      </c>
      <c r="Y62" s="40">
        <f t="shared" si="140"/>
        <v>1892700</v>
      </c>
      <c r="Z62" s="38"/>
      <c r="AA62" s="20">
        <v>25686</v>
      </c>
      <c r="AB62" s="41">
        <f t="shared" si="123"/>
        <v>1260000</v>
      </c>
      <c r="AC62" s="20">
        <v>695657000</v>
      </c>
      <c r="AD62" s="41">
        <f t="shared" si="124"/>
        <v>441710</v>
      </c>
      <c r="AE62" s="20">
        <v>120343</v>
      </c>
      <c r="AF62" s="41">
        <f t="shared" si="125"/>
        <v>1160</v>
      </c>
      <c r="AG62" s="20">
        <v>3718251</v>
      </c>
      <c r="AH62" s="41">
        <f t="shared" si="126"/>
        <v>78170</v>
      </c>
      <c r="AI62" s="20">
        <v>4591621</v>
      </c>
      <c r="AJ62" s="41">
        <f t="shared" si="127"/>
        <v>9559</v>
      </c>
      <c r="AK62" s="20">
        <v>25321</v>
      </c>
      <c r="AL62" s="41">
        <f t="shared" si="128"/>
        <v>158000</v>
      </c>
      <c r="AM62" s="20">
        <v>1285</v>
      </c>
      <c r="AN62" s="41">
        <f t="shared" si="129"/>
        <v>11</v>
      </c>
      <c r="AO62" s="20">
        <v>13350</v>
      </c>
      <c r="AP62" s="41">
        <f t="shared" si="130"/>
        <v>1600</v>
      </c>
      <c r="AQ62" s="39"/>
      <c r="AR62" s="118">
        <f t="shared" si="0"/>
        <v>44551</v>
      </c>
      <c r="AS62" s="20">
        <v>3971</v>
      </c>
      <c r="AT62" s="41">
        <f t="shared" si="131"/>
        <v>272</v>
      </c>
      <c r="AU62" s="14"/>
      <c r="AV62" s="20">
        <v>2079437</v>
      </c>
      <c r="AW62" s="41">
        <f t="shared" si="132"/>
        <v>48437</v>
      </c>
      <c r="AX62" s="20">
        <v>650376651</v>
      </c>
      <c r="AY62" s="42">
        <f t="shared" si="133"/>
        <v>20766.509999999998</v>
      </c>
      <c r="AZ62" s="41">
        <f t="shared" si="134"/>
        <v>27670.49</v>
      </c>
      <c r="BA62" s="20">
        <v>7129500</v>
      </c>
      <c r="BB62" s="258">
        <f t="shared" si="135"/>
        <v>2500</v>
      </c>
      <c r="BC62" s="92">
        <v>3791000</v>
      </c>
      <c r="BD62" s="93">
        <f t="shared" si="136"/>
        <v>250</v>
      </c>
      <c r="BE62" s="20">
        <v>1133030</v>
      </c>
      <c r="BF62" s="41">
        <f t="shared" si="137"/>
        <v>22</v>
      </c>
    </row>
    <row r="63" spans="2:58" x14ac:dyDescent="0.25">
      <c r="B63" s="71">
        <f t="shared" si="142"/>
        <v>44558</v>
      </c>
      <c r="E63" s="36">
        <f t="shared" si="101"/>
        <v>-471862250</v>
      </c>
      <c r="H63" s="36">
        <f t="shared" si="102"/>
        <v>-57292010</v>
      </c>
      <c r="K63" s="36">
        <f t="shared" si="27"/>
        <v>-181650</v>
      </c>
      <c r="N63" s="36">
        <f t="shared" si="13"/>
        <v>-342645000</v>
      </c>
      <c r="Q63" s="36">
        <f t="shared" si="53"/>
        <v>-2106500</v>
      </c>
      <c r="R63" s="37"/>
      <c r="U63" s="36">
        <f t="shared" si="54"/>
        <v>-80255900</v>
      </c>
      <c r="X63" s="36">
        <f t="shared" si="139"/>
        <v>-82979000</v>
      </c>
      <c r="Y63" s="40">
        <f t="shared" si="140"/>
        <v>-163234900</v>
      </c>
      <c r="Z63" s="38"/>
      <c r="AB63" s="41">
        <f t="shared" si="123"/>
        <v>-256860000</v>
      </c>
      <c r="AD63" s="41">
        <f t="shared" si="124"/>
        <v>-69565700</v>
      </c>
      <c r="AF63" s="41">
        <f t="shared" si="125"/>
        <v>-1203430</v>
      </c>
      <c r="AH63" s="41">
        <f t="shared" si="126"/>
        <v>-37182510</v>
      </c>
      <c r="AJ63" s="41">
        <f t="shared" si="127"/>
        <v>-4591621</v>
      </c>
      <c r="AL63" s="41">
        <f t="shared" si="128"/>
        <v>-25321000</v>
      </c>
      <c r="AN63" s="41">
        <f t="shared" si="129"/>
        <v>-1285</v>
      </c>
      <c r="AP63" s="41">
        <f t="shared" si="130"/>
        <v>-1335000</v>
      </c>
      <c r="AQ63" s="39"/>
      <c r="AR63" s="118">
        <f t="shared" si="0"/>
        <v>44558</v>
      </c>
      <c r="AU63" s="14"/>
    </row>
    <row r="64" spans="2:58" x14ac:dyDescent="0.25">
      <c r="B64" s="71">
        <v>44562</v>
      </c>
      <c r="E64" s="36">
        <f t="shared" si="101"/>
        <v>0</v>
      </c>
      <c r="H64" s="36">
        <f t="shared" si="102"/>
        <v>0</v>
      </c>
      <c r="K64" s="36">
        <f t="shared" si="27"/>
        <v>0</v>
      </c>
      <c r="N64" s="36">
        <f t="shared" si="13"/>
        <v>0</v>
      </c>
      <c r="Q64" s="36">
        <f t="shared" si="53"/>
        <v>0</v>
      </c>
      <c r="R64" s="37"/>
      <c r="U64" s="36">
        <f t="shared" si="54"/>
        <v>0</v>
      </c>
      <c r="X64" s="36">
        <f t="shared" si="139"/>
        <v>0</v>
      </c>
      <c r="Y64" s="40">
        <f t="shared" si="140"/>
        <v>0</v>
      </c>
      <c r="Z64" s="38"/>
      <c r="AB64" s="41">
        <f t="shared" si="123"/>
        <v>0</v>
      </c>
      <c r="AD64" s="41">
        <f t="shared" si="124"/>
        <v>0</v>
      </c>
      <c r="AF64" s="41">
        <f t="shared" si="125"/>
        <v>0</v>
      </c>
      <c r="AH64" s="41">
        <f t="shared" si="126"/>
        <v>0</v>
      </c>
      <c r="AJ64" s="41">
        <f t="shared" si="127"/>
        <v>0</v>
      </c>
      <c r="AL64" s="41">
        <f t="shared" si="128"/>
        <v>0</v>
      </c>
      <c r="AN64" s="41">
        <f t="shared" si="129"/>
        <v>0</v>
      </c>
      <c r="AP64" s="41">
        <f t="shared" si="130"/>
        <v>0</v>
      </c>
      <c r="AQ64" s="39"/>
      <c r="AR64" s="118">
        <f t="shared" si="0"/>
        <v>44562</v>
      </c>
      <c r="AU64" s="14"/>
    </row>
    <row r="65" spans="44:44" x14ac:dyDescent="0.25">
      <c r="AR65" s="118">
        <f t="shared" si="0"/>
        <v>0</v>
      </c>
    </row>
  </sheetData>
  <mergeCells count="473">
    <mergeCell ref="I55:J55"/>
    <mergeCell ref="L55:M55"/>
    <mergeCell ref="O55:P55"/>
    <mergeCell ref="S54:T54"/>
    <mergeCell ref="V54:W54"/>
    <mergeCell ref="C59:D59"/>
    <mergeCell ref="F59:G59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8:W48"/>
    <mergeCell ref="V49:W49"/>
    <mergeCell ref="V50:W50"/>
    <mergeCell ref="V51:W51"/>
    <mergeCell ref="V1:X1"/>
    <mergeCell ref="AA1:AB1"/>
    <mergeCell ref="AC1:AD1"/>
    <mergeCell ref="AC2:AD2"/>
    <mergeCell ref="V4:W4"/>
    <mergeCell ref="V6:W6"/>
    <mergeCell ref="V8:W8"/>
    <mergeCell ref="V10:W10"/>
    <mergeCell ref="V12:W12"/>
    <mergeCell ref="V5:W5"/>
    <mergeCell ref="V7:W7"/>
    <mergeCell ref="C1:E1"/>
    <mergeCell ref="F1:H1"/>
    <mergeCell ref="I1:K1"/>
    <mergeCell ref="L1:N1"/>
    <mergeCell ref="O1:Q1"/>
    <mergeCell ref="S1:U1"/>
    <mergeCell ref="I45:J45"/>
    <mergeCell ref="I46:J46"/>
    <mergeCell ref="I48:J48"/>
    <mergeCell ref="L45:M45"/>
    <mergeCell ref="L46:M46"/>
    <mergeCell ref="L48:M48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S5:T5"/>
    <mergeCell ref="C4:D4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308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2022-02-04T16:19:44Z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