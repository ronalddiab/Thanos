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w.Meacham\Documents\"/>
    </mc:Choice>
  </mc:AlternateContent>
  <xr:revisionPtr revIDLastSave="735" documentId="8_{1C3D4AEB-9711-4854-98E1-2F1C0D37F6AF}" xr6:coauthVersionLast="47" xr6:coauthVersionMax="47" xr10:uidLastSave="{37B93EF6-7D47-4B59-9772-6D9F2C21A0FD}"/>
  <bookViews>
    <workbookView xWindow="-120" yWindow="-120" windowWidth="29040" windowHeight="15840" firstSheet="2" activeTab="2" xr2:uid="{00000000-000D-0000-FFFF-FFFF00000000}"/>
  </bookViews>
  <sheets>
    <sheet name="TOTAL" sheetId="1" r:id="rId1"/>
    <sheet name="Submetering" sheetId="3" r:id="rId2"/>
    <sheet name="Hampshire Daily" sheetId="2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3" i="3" l="1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G20" i="2"/>
  <c r="J22" i="2"/>
  <c r="R5" i="3"/>
  <c r="S5" i="3"/>
  <c r="R6" i="3"/>
  <c r="S6" i="3"/>
  <c r="R7" i="3"/>
  <c r="S7" i="3"/>
  <c r="R8" i="3"/>
  <c r="S8" i="3"/>
  <c r="R9" i="3"/>
  <c r="S9" i="3"/>
  <c r="R10" i="3"/>
  <c r="S10" i="3"/>
  <c r="R11" i="3"/>
  <c r="S11" i="3"/>
  <c r="R12" i="3"/>
  <c r="S12" i="3"/>
  <c r="R13" i="3"/>
  <c r="S13" i="3"/>
  <c r="R14" i="3"/>
  <c r="S14" i="3"/>
  <c r="R15" i="3"/>
  <c r="S15" i="3"/>
  <c r="R16" i="3"/>
  <c r="S16" i="3"/>
  <c r="R17" i="3"/>
  <c r="S17" i="3"/>
  <c r="R18" i="3"/>
  <c r="S18" i="3"/>
  <c r="R19" i="3"/>
  <c r="S19" i="3"/>
  <c r="R20" i="3"/>
  <c r="S20" i="3"/>
  <c r="R21" i="3"/>
  <c r="S21" i="3"/>
  <c r="R22" i="3"/>
  <c r="S22" i="3"/>
  <c r="R23" i="3"/>
  <c r="S23" i="3"/>
  <c r="R24" i="3"/>
  <c r="S24" i="3"/>
  <c r="R25" i="3"/>
  <c r="S25" i="3"/>
  <c r="R26" i="3"/>
  <c r="S26" i="3"/>
  <c r="R27" i="3"/>
  <c r="S27" i="3"/>
  <c r="R28" i="3"/>
  <c r="S28" i="3"/>
  <c r="R29" i="3"/>
  <c r="S29" i="3"/>
  <c r="R30" i="3"/>
  <c r="S30" i="3"/>
  <c r="R31" i="3"/>
  <c r="S31" i="3"/>
  <c r="K7" i="1"/>
  <c r="L7" i="1"/>
  <c r="K8" i="1"/>
  <c r="L8" i="1"/>
  <c r="K9" i="1"/>
  <c r="L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K22" i="1"/>
  <c r="L22" i="1"/>
  <c r="K23" i="1"/>
  <c r="L23" i="1"/>
  <c r="K24" i="1"/>
  <c r="L24" i="1"/>
  <c r="K25" i="1"/>
  <c r="L25" i="1"/>
  <c r="K26" i="1"/>
  <c r="L26" i="1"/>
  <c r="K27" i="1"/>
  <c r="L27" i="1"/>
  <c r="K28" i="1"/>
  <c r="L28" i="1"/>
  <c r="K29" i="1"/>
  <c r="L29" i="1"/>
  <c r="K30" i="1"/>
  <c r="L30" i="1"/>
  <c r="K31" i="1"/>
  <c r="L31" i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2" i="3"/>
  <c r="P2" i="3"/>
  <c r="N2" i="3"/>
  <c r="E2" i="3"/>
  <c r="G2" i="3"/>
  <c r="G3" i="3"/>
  <c r="H2" i="3"/>
  <c r="I2" i="3"/>
  <c r="J2" i="3"/>
  <c r="K2" i="3"/>
  <c r="L2" i="3"/>
  <c r="M2" i="3"/>
  <c r="P29" i="3"/>
  <c r="P30" i="3"/>
  <c r="P31" i="3"/>
  <c r="N29" i="3"/>
  <c r="N30" i="3"/>
  <c r="I30" i="1" s="1"/>
  <c r="N31" i="3"/>
  <c r="I31" i="1" s="1"/>
  <c r="M29" i="3"/>
  <c r="M30" i="3"/>
  <c r="G30" i="1" s="1"/>
  <c r="M31" i="3"/>
  <c r="G31" i="1" s="1"/>
  <c r="L29" i="3"/>
  <c r="L30" i="3"/>
  <c r="L31" i="3"/>
  <c r="K29" i="3"/>
  <c r="K30" i="3"/>
  <c r="K31" i="3"/>
  <c r="J29" i="3"/>
  <c r="J30" i="3"/>
  <c r="J31" i="3"/>
  <c r="I29" i="3"/>
  <c r="I30" i="3"/>
  <c r="I31" i="3"/>
  <c r="H29" i="3"/>
  <c r="H30" i="3"/>
  <c r="H31" i="3"/>
  <c r="G30" i="3"/>
  <c r="G31" i="3"/>
  <c r="G29" i="3"/>
  <c r="E29" i="3"/>
  <c r="E30" i="3"/>
  <c r="E30" i="1" s="1"/>
  <c r="E31" i="3"/>
  <c r="E31" i="1" s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S2" i="3" l="1"/>
  <c r="S3" i="3"/>
  <c r="S4" i="3"/>
  <c r="L3" i="1"/>
  <c r="L4" i="1"/>
  <c r="L5" i="1"/>
  <c r="L6" i="1"/>
  <c r="L2" i="1"/>
  <c r="R2" i="3"/>
  <c r="R3" i="3"/>
  <c r="R4" i="3"/>
  <c r="K3" i="1" l="1"/>
  <c r="K4" i="1"/>
  <c r="K5" i="1"/>
  <c r="K6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I29" i="1"/>
  <c r="E29" i="1"/>
  <c r="K2" i="1" l="1"/>
  <c r="E28" i="1"/>
  <c r="I22" i="1"/>
  <c r="I23" i="1"/>
  <c r="E25" i="1"/>
  <c r="E26" i="1"/>
  <c r="I26" i="1"/>
  <c r="E27" i="1"/>
  <c r="I27" i="1"/>
  <c r="I28" i="1"/>
  <c r="E7" i="1"/>
  <c r="E8" i="1"/>
  <c r="E11" i="1"/>
  <c r="E12" i="1"/>
  <c r="E15" i="1"/>
  <c r="E16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I4" i="1"/>
  <c r="I7" i="1"/>
  <c r="I8" i="1"/>
  <c r="I9" i="1"/>
  <c r="I13" i="1"/>
  <c r="I16" i="1"/>
  <c r="I17" i="1"/>
  <c r="I18" i="1"/>
  <c r="I21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I3" i="1"/>
  <c r="I2" i="1"/>
  <c r="I20" i="1"/>
  <c r="I19" i="1"/>
  <c r="I6" i="1"/>
  <c r="I5" i="1"/>
  <c r="I25" i="1"/>
  <c r="I24" i="1"/>
  <c r="I15" i="1"/>
  <c r="I14" i="1"/>
  <c r="I10" i="1"/>
  <c r="I12" i="1"/>
  <c r="E4" i="1" l="1"/>
  <c r="E21" i="1"/>
  <c r="E14" i="1"/>
  <c r="E10" i="1"/>
  <c r="E2" i="1"/>
  <c r="E3" i="1"/>
  <c r="I11" i="1"/>
  <c r="E6" i="1"/>
  <c r="E5" i="1"/>
  <c r="E17" i="1"/>
  <c r="E13" i="1"/>
  <c r="E9" i="1"/>
  <c r="E22" i="1"/>
  <c r="E24" i="1"/>
  <c r="E20" i="1"/>
  <c r="E23" i="1"/>
  <c r="E19" i="1"/>
  <c r="E18" i="1"/>
</calcChain>
</file>

<file path=xl/sharedStrings.xml><?xml version="1.0" encoding="utf-8"?>
<sst xmlns="http://schemas.openxmlformats.org/spreadsheetml/2006/main" count="115" uniqueCount="46">
  <si>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</si>
  <si>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</si>
  <si>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</si>
  <si>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</si>
  <si>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</si>
  <si>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</si>
  <si>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</si>
  <si>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</si>
  <si>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</si>
  <si>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</si>
  <si>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</si>
  <si>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</si>
  <si>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Hampshire</t>
  </si>
  <si>
    <t>Meter 1- KWh</t>
  </si>
  <si>
    <t>Meter 2- KWh</t>
  </si>
  <si>
    <t>East   MCC- KWh</t>
  </si>
  <si>
    <t>South    MCC 1- KWh</t>
  </si>
  <si>
    <t>South       MCC 2- KWh</t>
  </si>
  <si>
    <t>West    MCC- KWh</t>
  </si>
  <si>
    <t>Kitchen - KWh</t>
  </si>
  <si>
    <t>SPA - KWh</t>
  </si>
  <si>
    <t>Gas- KWh</t>
  </si>
  <si>
    <t>Main Site Water Meter - m3</t>
  </si>
  <si>
    <t>Hard Water Supply- m3</t>
  </si>
  <si>
    <t>Pool Supply- m3</t>
  </si>
  <si>
    <t xml:space="preserve">Kids Pool </t>
  </si>
  <si>
    <t xml:space="preserve"> </t>
  </si>
  <si>
    <t>Electrical</t>
  </si>
  <si>
    <t xml:space="preserve">Main Site Gas Meter </t>
  </si>
  <si>
    <t>Main Site Water Meter</t>
  </si>
  <si>
    <t>Water Softener 
Sub Meter</t>
  </si>
  <si>
    <t>Hard Water Supply Sub Meter</t>
  </si>
  <si>
    <t>Pool Supply Sub Meter</t>
  </si>
  <si>
    <t xml:space="preserve">Kids pool Sub Meter </t>
  </si>
  <si>
    <t>Room Night</t>
  </si>
  <si>
    <t>Guest</t>
  </si>
  <si>
    <t>Main Site Electric Meter 1</t>
  </si>
  <si>
    <t>Main Site Electric Meter 2</t>
  </si>
  <si>
    <t>East   MCC Sub Meter</t>
  </si>
  <si>
    <t>South    MCC 1 Sub Meter</t>
  </si>
  <si>
    <t>South       MCC 2 Sub Meter</t>
  </si>
  <si>
    <t>West    MCC 
Sub Meter</t>
  </si>
  <si>
    <t>Kitchen sub meter</t>
  </si>
  <si>
    <t>Spa electric Sub Meter</t>
  </si>
  <si>
    <t>East CHP 41 Electric generated</t>
  </si>
  <si>
    <t>Spa CHP 42 Electric 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</si>
</sst>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\-mmm;@"/>
  </numFmts>
  <fonts count="1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65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1" fontId="0" fillId="0" borderId="0" xfId="0" applyNumberForma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wrapText="1"/>
    </xf>
    <xf numFmtId="164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165" fontId="0" fillId="0" borderId="0" xfId="0" applyNumberFormat="1"/>
    <xf numFmtId="0" fontId="4" fillId="0" borderId="0" xfId="0" applyFont="1"/>
    <xf numFmtId="165" fontId="2" fillId="0" borderId="3" xfId="1" applyNumberFormat="1" applyFont="1" applyBorder="1" applyAlignment="1">
      <alignment horizontal="center"/>
    </xf>
    <xf numFmtId="165" fontId="2" fillId="2" borderId="2" xfId="1" applyNumberFormat="1" applyFont="1" applyFill="1" applyBorder="1" applyAlignment="1">
      <alignment horizontal="center" wrapText="1"/>
    </xf>
    <xf numFmtId="165" fontId="0" fillId="2" borderId="2" xfId="0" applyNumberFormat="1" applyFill="1" applyBorder="1" applyAlignment="1">
      <alignment horizontal="center"/>
    </xf>
    <xf numFmtId="0" fontId="8" fillId="0" borderId="7" xfId="0" applyFont="1" applyBorder="1"/>
    <xf numFmtId="0" fontId="8" fillId="0" borderId="2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0" fillId="0" borderId="11" xfId="0" applyBorder="1"/>
    <xf numFmtId="0" fontId="0" fillId="0" borderId="7" xfId="0" applyBorder="1"/>
    <xf numFmtId="1" fontId="0" fillId="0" borderId="7" xfId="0" applyNumberFormat="1" applyBorder="1"/>
    <xf numFmtId="0" fontId="8" fillId="0" borderId="0" xfId="0" applyFont="1"/>
    <xf numFmtId="0" fontId="10" fillId="0" borderId="15" xfId="0" applyFont="1" applyBorder="1"/>
    <xf numFmtId="0" fontId="8" fillId="0" borderId="7" xfId="0" applyFont="1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0" xfId="0" applyAlignment="1">
      <alignment horizontal="right"/>
    </xf>
    <xf numFmtId="1" fontId="8" fillId="0" borderId="7" xfId="0" applyNumberFormat="1" applyFont="1" applyBorder="1"/>
    <xf numFmtId="1" fontId="0" fillId="0" borderId="0" xfId="0" applyNumberFormat="1"/>
    <xf numFmtId="0" fontId="10" fillId="0" borderId="11" xfId="0" applyFont="1" applyBorder="1"/>
    <xf numFmtId="0" fontId="10" fillId="0" borderId="2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0" fillId="0" borderId="2" xfId="0" applyBorder="1" applyAlignment="1">
      <alignment horizontal="center"/>
    </xf>
    <xf numFmtId="165" fontId="0" fillId="0" borderId="0" xfId="0" applyNumberFormat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10" fillId="0" borderId="7" xfId="0" applyFont="1" applyBorder="1"/>
    <xf numFmtId="0" fontId="3" fillId="3" borderId="9" xfId="0" applyFont="1" applyFill="1" applyBorder="1" applyAlignment="1">
      <alignment horizontal="center" wrapText="1"/>
    </xf>
    <xf numFmtId="0" fontId="3" fillId="3" borderId="10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0" fontId="3" fillId="6" borderId="2" xfId="0" applyFont="1" applyFill="1" applyBorder="1" applyAlignment="1">
      <alignment horizontal="center" wrapText="1"/>
    </xf>
    <xf numFmtId="0" fontId="2" fillId="4" borderId="2" xfId="1" applyFont="1" applyFill="1" applyBorder="1" applyAlignment="1">
      <alignment horizontal="center" wrapText="1"/>
    </xf>
    <xf numFmtId="0" fontId="1" fillId="4" borderId="2" xfId="1" applyFill="1" applyBorder="1" applyAlignment="1">
      <alignment horizontal="center"/>
    </xf>
    <xf numFmtId="0" fontId="2" fillId="3" borderId="2" xfId="1" applyFont="1" applyFill="1" applyBorder="1" applyAlignment="1">
      <alignment horizontal="center" wrapText="1"/>
    </xf>
    <xf numFmtId="0" fontId="1" fillId="3" borderId="2" xfId="1" applyFill="1" applyBorder="1" applyAlignment="1">
      <alignment horizontal="center"/>
    </xf>
    <xf numFmtId="0" fontId="1" fillId="3" borderId="2" xfId="1" applyFill="1" applyBorder="1" applyAlignment="1">
      <alignment horizontal="center" wrapText="1"/>
    </xf>
    <xf numFmtId="0" fontId="2" fillId="3" borderId="8" xfId="1" applyFont="1" applyFill="1" applyBorder="1" applyAlignment="1">
      <alignment horizontal="center" wrapText="1"/>
    </xf>
    <xf numFmtId="0" fontId="1" fillId="3" borderId="8" xfId="1" applyFill="1" applyBorder="1" applyAlignment="1">
      <alignment horizontal="center"/>
    </xf>
    <xf numFmtId="165" fontId="2" fillId="0" borderId="4" xfId="1" applyNumberFormat="1" applyFont="1" applyBorder="1" applyAlignment="1">
      <alignment horizontal="center" wrapText="1"/>
    </xf>
    <xf numFmtId="165" fontId="2" fillId="0" borderId="5" xfId="1" applyNumberFormat="1" applyFont="1" applyBorder="1" applyAlignment="1">
      <alignment horizontal="center" wrapText="1"/>
    </xf>
    <xf numFmtId="165" fontId="1" fillId="0" borderId="6" xfId="1" applyNumberFormat="1" applyBorder="1" applyAlignment="1">
      <alignment horizontal="center"/>
    </xf>
    <xf numFmtId="0" fontId="2" fillId="5" borderId="2" xfId="1" applyFont="1" applyFill="1" applyBorder="1" applyAlignment="1">
      <alignment horizontal="center" wrapText="1"/>
    </xf>
    <xf numFmtId="0" fontId="1" fillId="5" borderId="2" xfId="1" applyFill="1" applyBorder="1" applyAlignment="1">
      <alignment horizontal="center" wrapText="1"/>
    </xf>
    <xf numFmtId="0" fontId="6" fillId="2" borderId="2" xfId="1" applyFont="1" applyFill="1" applyBorder="1" applyAlignment="1">
      <alignment horizontal="center" wrapText="1"/>
    </xf>
    <xf numFmtId="0" fontId="7" fillId="2" borderId="2" xfId="1" applyFont="1" applyFill="1" applyBorder="1" applyAlignment="1">
      <alignment horizontal="center"/>
    </xf>
    <xf numFmtId="0" fontId="2" fillId="5" borderId="9" xfId="1" applyFont="1" applyFill="1" applyBorder="1" applyAlignment="1">
      <alignment horizontal="center" wrapText="1"/>
    </xf>
    <xf numFmtId="0" fontId="2" fillId="5" borderId="12" xfId="1" applyFont="1" applyFill="1" applyBorder="1" applyAlignment="1">
      <alignment horizontal="center" wrapText="1"/>
    </xf>
    <xf numFmtId="0" fontId="1" fillId="5" borderId="2" xfId="1" applyFill="1" applyBorder="1" applyAlignment="1">
      <alignment horizontal="center"/>
    </xf>
    <xf numFmtId="0" fontId="2" fillId="5" borderId="8" xfId="1" applyFont="1" applyFill="1" applyBorder="1" applyAlignment="1">
      <alignment horizontal="center"/>
    </xf>
    <xf numFmtId="0" fontId="2" fillId="5" borderId="13" xfId="1" applyFont="1" applyFill="1" applyBorder="1" applyAlignment="1">
      <alignment horizontal="center"/>
    </xf>
    <xf numFmtId="0" fontId="2" fillId="5" borderId="14" xfId="1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X31"/>
  <sheetViews>
    <sheetView workbookViewId="0">
      <selection activeCell="N31" sqref="N31"/>
    </sheetView>
  </sheetViews>
  <sheetFormatPr defaultColWidth="11.5703125" defaultRowHeight="15"/>
  <cols>
    <col min="1" max="1" width="18.28515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3" customWidth="1"/>
    <col min="7" max="7" width="11.5703125" style="1"/>
    <col min="8" max="8" width="11.5703125" style="13"/>
    <col min="9" max="9" width="11.5703125" style="1"/>
    <col min="10" max="10" width="11.5703125" style="15"/>
    <col min="11" max="24" width="11.5703125" style="1"/>
  </cols>
  <sheetData>
    <row r="1" spans="1:24" s="3" customFormat="1" ht="60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11" t="s">
        <v>5</v>
      </c>
      <c r="G1" s="7" t="s">
        <v>6</v>
      </c>
      <c r="H1" s="11" t="s">
        <v>7</v>
      </c>
      <c r="I1" s="7" t="s">
        <v>8</v>
      </c>
      <c r="J1" s="14" t="s">
        <v>9</v>
      </c>
      <c r="K1" s="7" t="s">
        <v>10</v>
      </c>
      <c r="L1" s="7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>
      <c r="A2" s="3" t="s">
        <v>12</v>
      </c>
      <c r="B2" s="2">
        <v>1</v>
      </c>
      <c r="C2" s="2">
        <v>4</v>
      </c>
      <c r="D2" s="2">
        <v>2022</v>
      </c>
      <c r="E2" s="4">
        <f>(Submetering!E2+Submetering!F2)</f>
        <v>3138</v>
      </c>
      <c r="F2" s="12">
        <v>0.46</v>
      </c>
      <c r="G2" s="4">
        <f>Submetering!M2</f>
        <v>3529</v>
      </c>
      <c r="H2" s="12">
        <v>0.68</v>
      </c>
      <c r="I2" s="4">
        <f>Submetering!N2</f>
        <v>68</v>
      </c>
      <c r="J2" s="13">
        <v>2.78</v>
      </c>
      <c r="K2" s="4">
        <f>'Hampshire Daily'!B5</f>
        <v>110</v>
      </c>
      <c r="L2" s="4">
        <f>'Hampshire Daily'!C5</f>
        <v>165</v>
      </c>
      <c r="M2" s="4"/>
    </row>
    <row r="3" spans="1:24">
      <c r="A3" s="3" t="s">
        <v>12</v>
      </c>
      <c r="B3" s="2">
        <f>B2+1</f>
        <v>2</v>
      </c>
      <c r="C3" s="2">
        <v>4</v>
      </c>
      <c r="D3" s="2">
        <v>2022</v>
      </c>
      <c r="E3" s="4">
        <f>Submetering!E3+Submetering!F3</f>
        <v>8751</v>
      </c>
      <c r="F3" s="12">
        <v>0.46</v>
      </c>
      <c r="G3" s="4">
        <f>Submetering!M3</f>
        <v>3291</v>
      </c>
      <c r="H3" s="12">
        <v>0.68</v>
      </c>
      <c r="I3" s="4">
        <f>Submetering!N3</f>
        <v>77</v>
      </c>
      <c r="J3" s="13">
        <v>2.78</v>
      </c>
      <c r="K3" s="4">
        <f>'Hampshire Daily'!B6</f>
        <v>96</v>
      </c>
      <c r="L3" s="4">
        <f>'Hampshire Daily'!C6</f>
        <v>178</v>
      </c>
    </row>
    <row r="4" spans="1:24">
      <c r="A4" s="3" t="s">
        <v>12</v>
      </c>
      <c r="B4" s="2">
        <f t="shared" ref="B4:B32" si="0">B3+1</f>
        <v>3</v>
      </c>
      <c r="C4" s="2">
        <v>4</v>
      </c>
      <c r="D4" s="2">
        <v>2022</v>
      </c>
      <c r="E4" s="4">
        <f>Submetering!E4+Submetering!F4</f>
        <v>5576</v>
      </c>
      <c r="F4" s="12">
        <v>0.46</v>
      </c>
      <c r="G4" s="4">
        <f>Submetering!M4</f>
        <v>3354</v>
      </c>
      <c r="H4" s="12">
        <v>0.68</v>
      </c>
      <c r="I4" s="4">
        <f>Submetering!N4</f>
        <v>94</v>
      </c>
      <c r="J4" s="13">
        <v>2.78</v>
      </c>
      <c r="K4" s="4">
        <f>'Hampshire Daily'!B7</f>
        <v>48</v>
      </c>
      <c r="L4" s="4">
        <f>'Hampshire Daily'!C7</f>
        <v>116</v>
      </c>
    </row>
    <row r="5" spans="1:24">
      <c r="A5" s="3" t="s">
        <v>12</v>
      </c>
      <c r="B5" s="2">
        <f t="shared" si="0"/>
        <v>4</v>
      </c>
      <c r="C5" s="2">
        <v>4</v>
      </c>
      <c r="D5" s="2">
        <v>2022</v>
      </c>
      <c r="E5" s="4">
        <f>Submetering!E5+Submetering!F5</f>
        <v>5149</v>
      </c>
      <c r="F5" s="12">
        <v>0.46</v>
      </c>
      <c r="G5" s="4">
        <f>Submetering!M5</f>
        <v>2957</v>
      </c>
      <c r="H5" s="12">
        <v>0.68</v>
      </c>
      <c r="I5" s="4">
        <f>Submetering!N5</f>
        <v>45</v>
      </c>
      <c r="J5" s="13">
        <v>2.78</v>
      </c>
      <c r="K5" s="4">
        <f>'Hampshire Daily'!B8</f>
        <v>38</v>
      </c>
      <c r="L5" s="4">
        <f>'Hampshire Daily'!C8</f>
        <v>86</v>
      </c>
    </row>
    <row r="6" spans="1:24">
      <c r="A6" s="3" t="s">
        <v>12</v>
      </c>
      <c r="B6" s="2">
        <f t="shared" si="0"/>
        <v>5</v>
      </c>
      <c r="C6" s="2">
        <v>4</v>
      </c>
      <c r="D6" s="2">
        <v>2022</v>
      </c>
      <c r="E6" s="4">
        <f>Submetering!E6+Submetering!F6</f>
        <v>5151</v>
      </c>
      <c r="F6" s="12">
        <v>0.46</v>
      </c>
      <c r="G6" s="4">
        <f>Submetering!M6</f>
        <v>2817</v>
      </c>
      <c r="H6" s="12">
        <v>0.68</v>
      </c>
      <c r="I6" s="4">
        <f>Submetering!N6</f>
        <v>116</v>
      </c>
      <c r="J6" s="13">
        <v>2.78</v>
      </c>
      <c r="K6" s="4">
        <f>'Hampshire Daily'!B9</f>
        <v>121</v>
      </c>
      <c r="L6" s="4">
        <f>'Hampshire Daily'!C9</f>
        <v>156</v>
      </c>
    </row>
    <row r="7" spans="1:24">
      <c r="A7" s="3" t="s">
        <v>12</v>
      </c>
      <c r="B7" s="2">
        <f t="shared" si="0"/>
        <v>6</v>
      </c>
      <c r="C7" s="2">
        <v>4</v>
      </c>
      <c r="D7" s="2">
        <v>2022</v>
      </c>
      <c r="E7" s="4">
        <f>Submetering!E7+Submetering!F7</f>
        <v>5467</v>
      </c>
      <c r="F7" s="12">
        <v>0.46</v>
      </c>
      <c r="G7" s="4">
        <f>Submetering!M7</f>
        <v>2607</v>
      </c>
      <c r="H7" s="12">
        <v>0.68</v>
      </c>
      <c r="I7" s="4">
        <f>Submetering!N7</f>
        <v>84</v>
      </c>
      <c r="J7" s="13">
        <v>2.78</v>
      </c>
      <c r="K7" s="4">
        <f>'Hampshire Daily'!B10</f>
        <v>28</v>
      </c>
      <c r="L7" s="4">
        <f>'Hampshire Daily'!C10</f>
        <v>66</v>
      </c>
    </row>
    <row r="8" spans="1:24">
      <c r="A8" s="3" t="s">
        <v>12</v>
      </c>
      <c r="B8" s="2">
        <f t="shared" si="0"/>
        <v>7</v>
      </c>
      <c r="C8" s="2">
        <v>4</v>
      </c>
      <c r="D8" s="2">
        <v>2022</v>
      </c>
      <c r="E8" s="4">
        <f>Submetering!E8+Submetering!F8</f>
        <v>5024</v>
      </c>
      <c r="F8" s="12">
        <v>0.46</v>
      </c>
      <c r="G8" s="4">
        <f>Submetering!M8</f>
        <v>2814</v>
      </c>
      <c r="H8" s="12">
        <v>0.68</v>
      </c>
      <c r="I8" s="4">
        <f>Submetering!N8</f>
        <v>72</v>
      </c>
      <c r="J8" s="13">
        <v>2.78</v>
      </c>
      <c r="K8" s="4">
        <f>'Hampshire Daily'!B11</f>
        <v>22</v>
      </c>
      <c r="L8" s="4">
        <f>'Hampshire Daily'!C11</f>
        <v>51</v>
      </c>
    </row>
    <row r="9" spans="1:24">
      <c r="A9" s="3" t="s">
        <v>12</v>
      </c>
      <c r="B9" s="2">
        <f t="shared" si="0"/>
        <v>8</v>
      </c>
      <c r="C9" s="2">
        <v>4</v>
      </c>
      <c r="D9" s="2">
        <v>2022</v>
      </c>
      <c r="E9" s="4">
        <f>Submetering!E9+Submetering!F9</f>
        <v>5099</v>
      </c>
      <c r="F9" s="12">
        <v>0.46</v>
      </c>
      <c r="G9" s="4">
        <f>Submetering!M9</f>
        <v>3071</v>
      </c>
      <c r="H9" s="12">
        <v>0.68</v>
      </c>
      <c r="I9" s="4">
        <f>Submetering!N9</f>
        <v>70</v>
      </c>
      <c r="J9" s="13">
        <v>2.78</v>
      </c>
      <c r="K9" s="4">
        <f>'Hampshire Daily'!B12</f>
        <v>50</v>
      </c>
      <c r="L9" s="4">
        <f>'Hampshire Daily'!C12</f>
        <v>128</v>
      </c>
    </row>
    <row r="10" spans="1:24">
      <c r="A10" s="3" t="s">
        <v>12</v>
      </c>
      <c r="B10" s="2">
        <f t="shared" si="0"/>
        <v>9</v>
      </c>
      <c r="C10" s="2">
        <v>4</v>
      </c>
      <c r="D10" s="2">
        <v>2022</v>
      </c>
      <c r="E10" s="4">
        <f>Submetering!E10+Submetering!F10</f>
        <v>5088</v>
      </c>
      <c r="F10" s="12">
        <v>0.46</v>
      </c>
      <c r="G10" s="4">
        <f>Submetering!M10</f>
        <v>2842</v>
      </c>
      <c r="H10" s="12">
        <v>0.68</v>
      </c>
      <c r="I10" s="4">
        <f>Submetering!N10</f>
        <v>84</v>
      </c>
      <c r="J10" s="13">
        <v>2.78</v>
      </c>
      <c r="K10" s="4">
        <f>'Hampshire Daily'!B13</f>
        <v>80</v>
      </c>
      <c r="L10" s="4">
        <f>'Hampshire Daily'!C13</f>
        <v>202</v>
      </c>
    </row>
    <row r="11" spans="1:24">
      <c r="A11" s="3" t="s">
        <v>12</v>
      </c>
      <c r="B11" s="2">
        <f t="shared" si="0"/>
        <v>10</v>
      </c>
      <c r="C11" s="2">
        <v>4</v>
      </c>
      <c r="D11" s="2">
        <v>2022</v>
      </c>
      <c r="E11" s="4">
        <f>Submetering!E11+Submetering!F11</f>
        <v>5770</v>
      </c>
      <c r="F11" s="12">
        <v>0.46</v>
      </c>
      <c r="G11" s="4">
        <f>Submetering!M11</f>
        <v>2963</v>
      </c>
      <c r="H11" s="12">
        <v>0.68</v>
      </c>
      <c r="I11" s="4">
        <f>Submetering!N11</f>
        <v>83</v>
      </c>
      <c r="J11" s="13">
        <v>2.78</v>
      </c>
      <c r="K11" s="4">
        <f>'Hampshire Daily'!B14</f>
        <v>62</v>
      </c>
      <c r="L11" s="4">
        <f>'Hampshire Daily'!C14</f>
        <v>148</v>
      </c>
    </row>
    <row r="12" spans="1:24">
      <c r="A12" s="3" t="s">
        <v>12</v>
      </c>
      <c r="B12" s="2">
        <f t="shared" si="0"/>
        <v>11</v>
      </c>
      <c r="C12" s="2">
        <v>4</v>
      </c>
      <c r="D12" s="2">
        <v>2022</v>
      </c>
      <c r="E12" s="4">
        <f>Submetering!E12+Submetering!F12</f>
        <v>4237</v>
      </c>
      <c r="F12" s="12">
        <v>0.46</v>
      </c>
      <c r="G12" s="4">
        <f>Submetering!M12</f>
        <v>2823</v>
      </c>
      <c r="H12" s="12">
        <v>0.68</v>
      </c>
      <c r="I12" s="4">
        <f>Submetering!N12</f>
        <v>101</v>
      </c>
      <c r="J12" s="13">
        <v>2.78</v>
      </c>
      <c r="K12" s="4">
        <f>'Hampshire Daily'!B15</f>
        <v>73</v>
      </c>
      <c r="L12" s="4">
        <f>'Hampshire Daily'!C15</f>
        <v>146</v>
      </c>
    </row>
    <row r="13" spans="1:24">
      <c r="A13" s="3" t="s">
        <v>12</v>
      </c>
      <c r="B13" s="2">
        <f t="shared" si="0"/>
        <v>12</v>
      </c>
      <c r="C13" s="2">
        <v>4</v>
      </c>
      <c r="D13" s="2">
        <v>2022</v>
      </c>
      <c r="E13" s="4">
        <f>Submetering!E13+Submetering!F13</f>
        <v>4878</v>
      </c>
      <c r="F13" s="12">
        <v>0.46</v>
      </c>
      <c r="G13" s="4">
        <f>Submetering!M13</f>
        <v>2482</v>
      </c>
      <c r="H13" s="12">
        <v>0.68</v>
      </c>
      <c r="I13" s="4">
        <f>Submetering!N13</f>
        <v>89</v>
      </c>
      <c r="J13" s="13">
        <v>2.78</v>
      </c>
      <c r="K13" s="4">
        <f>'Hampshire Daily'!B16</f>
        <v>78</v>
      </c>
      <c r="L13" s="4">
        <f>'Hampshire Daily'!C16</f>
        <v>163</v>
      </c>
    </row>
    <row r="14" spans="1:24">
      <c r="A14" s="3" t="s">
        <v>12</v>
      </c>
      <c r="B14" s="2">
        <f t="shared" si="0"/>
        <v>13</v>
      </c>
      <c r="C14" s="2">
        <v>4</v>
      </c>
      <c r="D14" s="2">
        <v>2022</v>
      </c>
      <c r="E14" s="4">
        <f>Submetering!E14+Submetering!F14</f>
        <v>5232</v>
      </c>
      <c r="F14" s="12">
        <v>0.46</v>
      </c>
      <c r="G14" s="4">
        <f>Submetering!M14</f>
        <v>2537</v>
      </c>
      <c r="H14" s="12">
        <v>0.68</v>
      </c>
      <c r="I14" s="4">
        <f>Submetering!N14</f>
        <v>78</v>
      </c>
      <c r="J14" s="13">
        <v>2.78</v>
      </c>
      <c r="K14" s="4">
        <f>'Hampshire Daily'!B17</f>
        <v>58</v>
      </c>
      <c r="L14" s="4">
        <f>'Hampshire Daily'!C17</f>
        <v>143</v>
      </c>
    </row>
    <row r="15" spans="1:24">
      <c r="A15" s="3" t="s">
        <v>12</v>
      </c>
      <c r="B15" s="2">
        <f t="shared" si="0"/>
        <v>14</v>
      </c>
      <c r="C15" s="2">
        <v>4</v>
      </c>
      <c r="D15" s="2">
        <v>2022</v>
      </c>
      <c r="E15" s="4">
        <f>Submetering!E15+Submetering!F15</f>
        <v>5193</v>
      </c>
      <c r="F15" s="12">
        <v>0.46</v>
      </c>
      <c r="G15" s="4">
        <f>Submetering!M15</f>
        <v>2576</v>
      </c>
      <c r="H15" s="12">
        <v>0.68</v>
      </c>
      <c r="I15" s="4">
        <f>Submetering!N15</f>
        <v>88</v>
      </c>
      <c r="J15" s="13">
        <v>2.78</v>
      </c>
      <c r="K15" s="4">
        <f>'Hampshire Daily'!B18</f>
        <v>59</v>
      </c>
      <c r="L15" s="4">
        <f>'Hampshire Daily'!C18</f>
        <v>161</v>
      </c>
    </row>
    <row r="16" spans="1:24">
      <c r="A16" s="3" t="s">
        <v>12</v>
      </c>
      <c r="B16" s="2">
        <f t="shared" si="0"/>
        <v>15</v>
      </c>
      <c r="C16" s="2">
        <v>4</v>
      </c>
      <c r="D16" s="2">
        <v>2022</v>
      </c>
      <c r="E16" s="4">
        <f>Submetering!E16+Submetering!F16</f>
        <v>5037</v>
      </c>
      <c r="F16" s="12">
        <v>0.46</v>
      </c>
      <c r="G16" s="4">
        <f>Submetering!M16</f>
        <v>2407</v>
      </c>
      <c r="H16" s="12">
        <v>0.68</v>
      </c>
      <c r="I16" s="4">
        <f>Submetering!N16</f>
        <v>77</v>
      </c>
      <c r="J16" s="13">
        <v>2.78</v>
      </c>
      <c r="K16" s="4">
        <f>'Hampshire Daily'!B19</f>
        <v>88</v>
      </c>
      <c r="L16" s="4">
        <f>'Hampshire Daily'!C19</f>
        <v>241</v>
      </c>
    </row>
    <row r="17" spans="1:12">
      <c r="A17" s="3" t="s">
        <v>12</v>
      </c>
      <c r="B17" s="2">
        <f t="shared" si="0"/>
        <v>16</v>
      </c>
      <c r="C17" s="2">
        <v>4</v>
      </c>
      <c r="D17" s="2">
        <v>2022</v>
      </c>
      <c r="E17" s="4">
        <f>Submetering!E17+Submetering!F17</f>
        <v>5535</v>
      </c>
      <c r="F17" s="12">
        <v>0.46</v>
      </c>
      <c r="G17" s="4">
        <f>Submetering!M17</f>
        <v>2425</v>
      </c>
      <c r="H17" s="12">
        <v>0.68</v>
      </c>
      <c r="I17" s="4">
        <f>Submetering!N17</f>
        <v>84</v>
      </c>
      <c r="J17" s="13">
        <v>2.78</v>
      </c>
      <c r="K17" s="4">
        <f>'Hampshire Daily'!B20</f>
        <v>96</v>
      </c>
      <c r="L17" s="4">
        <f>'Hampshire Daily'!C20</f>
        <v>252</v>
      </c>
    </row>
    <row r="18" spans="1:12">
      <c r="A18" s="3" t="s">
        <v>12</v>
      </c>
      <c r="B18" s="2">
        <f t="shared" si="0"/>
        <v>17</v>
      </c>
      <c r="C18" s="2">
        <v>4</v>
      </c>
      <c r="D18" s="2">
        <v>2022</v>
      </c>
      <c r="E18" s="4">
        <f>Submetering!E18+Submetering!F18</f>
        <v>5782</v>
      </c>
      <c r="F18" s="12">
        <v>0.46</v>
      </c>
      <c r="G18" s="4">
        <f>Submetering!M18</f>
        <v>2424</v>
      </c>
      <c r="H18" s="12">
        <v>0.68</v>
      </c>
      <c r="I18" s="4">
        <f>Submetering!N18</f>
        <v>98</v>
      </c>
      <c r="J18" s="13">
        <v>2.78</v>
      </c>
      <c r="K18" s="4">
        <f>'Hampshire Daily'!B21</f>
        <v>93</v>
      </c>
      <c r="L18" s="4">
        <f>'Hampshire Daily'!C21</f>
        <v>245</v>
      </c>
    </row>
    <row r="19" spans="1:12">
      <c r="A19" s="3" t="s">
        <v>12</v>
      </c>
      <c r="B19" s="2">
        <f t="shared" si="0"/>
        <v>18</v>
      </c>
      <c r="C19" s="2">
        <v>4</v>
      </c>
      <c r="D19" s="2">
        <v>2022</v>
      </c>
      <c r="E19" s="4">
        <f>Submetering!E19+Submetering!F19</f>
        <v>6815</v>
      </c>
      <c r="F19" s="12">
        <v>0.46</v>
      </c>
      <c r="G19" s="4">
        <f>Submetering!M19</f>
        <v>2547</v>
      </c>
      <c r="H19" s="12">
        <v>0.68</v>
      </c>
      <c r="I19" s="4">
        <f>Submetering!N19</f>
        <v>95</v>
      </c>
      <c r="J19" s="13">
        <v>2.78</v>
      </c>
      <c r="K19" s="4">
        <f>'Hampshire Daily'!B22</f>
        <v>55</v>
      </c>
      <c r="L19" s="4">
        <f>'Hampshire Daily'!C22</f>
        <v>142</v>
      </c>
    </row>
    <row r="20" spans="1:12">
      <c r="A20" s="3" t="s">
        <v>12</v>
      </c>
      <c r="B20" s="2">
        <f t="shared" si="0"/>
        <v>19</v>
      </c>
      <c r="C20" s="2">
        <v>4</v>
      </c>
      <c r="D20" s="2">
        <v>2022</v>
      </c>
      <c r="E20" s="4">
        <f>Submetering!E20+Submetering!F20</f>
        <v>5150</v>
      </c>
      <c r="F20" s="12">
        <v>0.46</v>
      </c>
      <c r="G20" s="4">
        <f>Submetering!M20</f>
        <v>2499</v>
      </c>
      <c r="H20" s="12">
        <v>0.68</v>
      </c>
      <c r="I20" s="4">
        <f>Submetering!N20</f>
        <v>88</v>
      </c>
      <c r="J20" s="13">
        <v>2.78</v>
      </c>
      <c r="K20" s="4">
        <f>'Hampshire Daily'!B23</f>
        <v>37</v>
      </c>
      <c r="L20" s="4">
        <f>'Hampshire Daily'!C23</f>
        <v>94</v>
      </c>
    </row>
    <row r="21" spans="1:12">
      <c r="A21" s="3" t="s">
        <v>12</v>
      </c>
      <c r="B21" s="2">
        <f t="shared" si="0"/>
        <v>20</v>
      </c>
      <c r="C21" s="2">
        <v>4</v>
      </c>
      <c r="D21" s="2">
        <v>2022</v>
      </c>
      <c r="E21" s="4">
        <f>Submetering!E21+Submetering!F21</f>
        <v>6464</v>
      </c>
      <c r="F21" s="12">
        <v>0.46</v>
      </c>
      <c r="G21" s="4">
        <f>Submetering!M21</f>
        <v>2515</v>
      </c>
      <c r="H21" s="12">
        <v>0.68</v>
      </c>
      <c r="I21" s="4">
        <f>Submetering!N21</f>
        <v>76</v>
      </c>
      <c r="J21" s="13">
        <v>2.78</v>
      </c>
      <c r="K21" s="4">
        <f>'Hampshire Daily'!B24</f>
        <v>31</v>
      </c>
      <c r="L21" s="4">
        <f>'Hampshire Daily'!C24</f>
        <v>85</v>
      </c>
    </row>
    <row r="22" spans="1:12">
      <c r="A22" s="3" t="s">
        <v>12</v>
      </c>
      <c r="B22" s="2">
        <f t="shared" si="0"/>
        <v>21</v>
      </c>
      <c r="C22" s="2">
        <v>4</v>
      </c>
      <c r="D22" s="2">
        <v>2022</v>
      </c>
      <c r="E22" s="4">
        <f>Submetering!E22+Submetering!F22</f>
        <v>4926</v>
      </c>
      <c r="F22" s="12">
        <v>0.46</v>
      </c>
      <c r="G22" s="4">
        <f>Submetering!M22</f>
        <v>2473</v>
      </c>
      <c r="H22" s="12">
        <v>0.68</v>
      </c>
      <c r="I22" s="4">
        <f>Submetering!N22</f>
        <v>72</v>
      </c>
      <c r="J22" s="13">
        <v>2.78</v>
      </c>
      <c r="K22" s="4">
        <f>'Hampshire Daily'!B25</f>
        <v>58</v>
      </c>
      <c r="L22" s="4">
        <f>'Hampshire Daily'!C25</f>
        <v>103</v>
      </c>
    </row>
    <row r="23" spans="1:12">
      <c r="A23" s="3" t="s">
        <v>12</v>
      </c>
      <c r="B23" s="2">
        <f t="shared" si="0"/>
        <v>22</v>
      </c>
      <c r="C23" s="2">
        <v>4</v>
      </c>
      <c r="D23" s="2">
        <v>2022</v>
      </c>
      <c r="E23" s="4">
        <f>Submetering!E23+Submetering!F23</f>
        <v>6802</v>
      </c>
      <c r="F23" s="12">
        <v>0.46</v>
      </c>
      <c r="G23" s="4">
        <f>Submetering!M23</f>
        <v>2381</v>
      </c>
      <c r="H23" s="12">
        <v>0.68</v>
      </c>
      <c r="I23" s="4">
        <f>Submetering!N23</f>
        <v>69</v>
      </c>
      <c r="J23" s="13">
        <v>2.78</v>
      </c>
      <c r="K23" s="4">
        <f>'Hampshire Daily'!B26</f>
        <v>26</v>
      </c>
      <c r="L23" s="4">
        <f>'Hampshire Daily'!C26</f>
        <v>60</v>
      </c>
    </row>
    <row r="24" spans="1:12">
      <c r="A24" s="3" t="s">
        <v>12</v>
      </c>
      <c r="B24" s="2">
        <f t="shared" si="0"/>
        <v>23</v>
      </c>
      <c r="C24" s="2">
        <v>4</v>
      </c>
      <c r="D24" s="2">
        <v>2022</v>
      </c>
      <c r="E24" s="4">
        <f>Submetering!E24+Submetering!F24</f>
        <v>5473</v>
      </c>
      <c r="F24" s="12">
        <v>0.46</v>
      </c>
      <c r="G24" s="4">
        <f>Submetering!M24</f>
        <v>2520</v>
      </c>
      <c r="H24" s="12">
        <v>0.68</v>
      </c>
      <c r="I24" s="4">
        <f>Submetering!N24</f>
        <v>71</v>
      </c>
      <c r="J24" s="13">
        <v>2.78</v>
      </c>
      <c r="K24" s="4">
        <f>'Hampshire Daily'!B27</f>
        <v>55</v>
      </c>
      <c r="L24" s="4">
        <f>'Hampshire Daily'!C27</f>
        <v>103</v>
      </c>
    </row>
    <row r="25" spans="1:12">
      <c r="A25" s="3" t="s">
        <v>12</v>
      </c>
      <c r="B25" s="2">
        <f t="shared" si="0"/>
        <v>24</v>
      </c>
      <c r="C25" s="2">
        <v>4</v>
      </c>
      <c r="D25" s="2">
        <v>2022</v>
      </c>
      <c r="E25" s="4">
        <f>Submetering!E25+Submetering!F25</f>
        <v>5480</v>
      </c>
      <c r="F25" s="12">
        <v>0.46</v>
      </c>
      <c r="G25" s="4">
        <f>Submetering!M25</f>
        <v>2612</v>
      </c>
      <c r="H25" s="12">
        <v>0.68</v>
      </c>
      <c r="I25" s="4">
        <f>Submetering!N25</f>
        <v>72</v>
      </c>
      <c r="J25" s="13">
        <v>2.78</v>
      </c>
      <c r="K25" s="4">
        <f>'Hampshire Daily'!B28</f>
        <v>61</v>
      </c>
      <c r="L25" s="4">
        <f>'Hampshire Daily'!C28</f>
        <v>96</v>
      </c>
    </row>
    <row r="26" spans="1:12">
      <c r="A26" s="3" t="s">
        <v>12</v>
      </c>
      <c r="B26" s="2">
        <f>B25+1</f>
        <v>25</v>
      </c>
      <c r="C26" s="2">
        <v>4</v>
      </c>
      <c r="D26" s="2">
        <v>2022</v>
      </c>
      <c r="E26" s="4">
        <f>Submetering!E26+Submetering!F26</f>
        <v>5496</v>
      </c>
      <c r="F26" s="12">
        <v>0.46</v>
      </c>
      <c r="G26" s="4">
        <f>Submetering!M26</f>
        <v>2528</v>
      </c>
      <c r="H26" s="12">
        <v>0.68</v>
      </c>
      <c r="I26" s="4">
        <f>Submetering!N26</f>
        <v>93</v>
      </c>
      <c r="J26" s="13">
        <v>2.78</v>
      </c>
      <c r="K26" s="4">
        <f>'Hampshire Daily'!B29</f>
        <v>75</v>
      </c>
      <c r="L26" s="4">
        <f>'Hampshire Daily'!C29</f>
        <v>84</v>
      </c>
    </row>
    <row r="27" spans="1:12">
      <c r="A27" s="3" t="s">
        <v>12</v>
      </c>
      <c r="B27" s="2">
        <f t="shared" si="0"/>
        <v>26</v>
      </c>
      <c r="C27" s="2">
        <v>4</v>
      </c>
      <c r="D27" s="2">
        <v>2022</v>
      </c>
      <c r="E27" s="4">
        <f>Submetering!E27+Submetering!F27</f>
        <v>6645</v>
      </c>
      <c r="F27" s="12">
        <v>0.46</v>
      </c>
      <c r="G27" s="4">
        <f>Submetering!M27</f>
        <v>2529</v>
      </c>
      <c r="H27" s="12">
        <v>0.68</v>
      </c>
      <c r="I27" s="4">
        <f>Submetering!N27</f>
        <v>94</v>
      </c>
      <c r="J27" s="13">
        <v>2.78</v>
      </c>
      <c r="K27" s="4">
        <f>'Hampshire Daily'!B30</f>
        <v>101</v>
      </c>
      <c r="L27" s="4">
        <f>'Hampshire Daily'!C30</f>
        <v>113</v>
      </c>
    </row>
    <row r="28" spans="1:12">
      <c r="A28" s="3" t="s">
        <v>12</v>
      </c>
      <c r="B28" s="2">
        <f t="shared" si="0"/>
        <v>27</v>
      </c>
      <c r="C28" s="2">
        <v>4</v>
      </c>
      <c r="D28" s="2">
        <v>2022</v>
      </c>
      <c r="E28" s="4">
        <f>Submetering!E28+Submetering!F28</f>
        <v>8408</v>
      </c>
      <c r="F28" s="12">
        <v>0.46</v>
      </c>
      <c r="G28" s="4">
        <f>Submetering!M28</f>
        <v>2136</v>
      </c>
      <c r="H28" s="12">
        <v>0.68</v>
      </c>
      <c r="I28" s="4">
        <f>Submetering!N28</f>
        <v>94</v>
      </c>
      <c r="J28" s="13">
        <v>2.78</v>
      </c>
      <c r="K28" s="4">
        <f>'Hampshire Daily'!B31</f>
        <v>38</v>
      </c>
      <c r="L28" s="4">
        <f>'Hampshire Daily'!C31</f>
        <v>63</v>
      </c>
    </row>
    <row r="29" spans="1:12">
      <c r="A29" s="3" t="s">
        <v>12</v>
      </c>
      <c r="B29" s="2">
        <f t="shared" si="0"/>
        <v>28</v>
      </c>
      <c r="C29" s="2">
        <v>4</v>
      </c>
      <c r="D29" s="2">
        <v>2022</v>
      </c>
      <c r="E29" s="4">
        <f>Submetering!E29+Submetering!F29</f>
        <v>8496</v>
      </c>
      <c r="F29" s="12">
        <v>0.46</v>
      </c>
      <c r="G29" s="4">
        <f>Submetering!M29</f>
        <v>2377</v>
      </c>
      <c r="H29" s="12">
        <v>0.68</v>
      </c>
      <c r="I29" s="4">
        <f>Submetering!N29</f>
        <v>92</v>
      </c>
      <c r="J29" s="13">
        <v>2.78</v>
      </c>
      <c r="K29" s="4">
        <f>'Hampshire Daily'!B32</f>
        <v>34</v>
      </c>
      <c r="L29" s="4">
        <f>'Hampshire Daily'!C32</f>
        <v>63</v>
      </c>
    </row>
    <row r="30" spans="1:12">
      <c r="A30" s="3" t="s">
        <v>12</v>
      </c>
      <c r="B30" s="2">
        <f t="shared" si="0"/>
        <v>29</v>
      </c>
      <c r="C30" s="2">
        <v>4</v>
      </c>
      <c r="D30" s="2">
        <v>2022</v>
      </c>
      <c r="E30" s="4">
        <f>Submetering!E30+Submetering!F30</f>
        <v>8386</v>
      </c>
      <c r="F30" s="12">
        <v>0.46</v>
      </c>
      <c r="G30" s="4">
        <f>Submetering!M30</f>
        <v>2257</v>
      </c>
      <c r="H30" s="12">
        <v>0.68</v>
      </c>
      <c r="I30" s="4">
        <f>Submetering!N30</f>
        <v>87</v>
      </c>
      <c r="J30" s="13">
        <v>2.78</v>
      </c>
      <c r="K30" s="4">
        <f>'Hampshire Daily'!B33</f>
        <v>62</v>
      </c>
      <c r="L30" s="4">
        <f>'Hampshire Daily'!C33</f>
        <v>150</v>
      </c>
    </row>
    <row r="31" spans="1:12">
      <c r="A31" s="3" t="s">
        <v>12</v>
      </c>
      <c r="B31" s="2">
        <f t="shared" si="0"/>
        <v>30</v>
      </c>
      <c r="C31" s="2">
        <v>4</v>
      </c>
      <c r="D31" s="2">
        <v>2022</v>
      </c>
      <c r="E31" s="4">
        <f>Submetering!E31+Submetering!F31</f>
        <v>8269</v>
      </c>
      <c r="F31" s="12">
        <v>0.46</v>
      </c>
      <c r="G31" s="4">
        <f>Submetering!M31</f>
        <v>2363</v>
      </c>
      <c r="H31" s="12">
        <v>0.68</v>
      </c>
      <c r="I31" s="4">
        <f>Submetering!N31</f>
        <v>86</v>
      </c>
      <c r="J31" s="13">
        <v>2.78</v>
      </c>
      <c r="K31" s="4">
        <f>'Hampshire Daily'!B34</f>
        <v>100</v>
      </c>
      <c r="L31" s="4">
        <f>'Hampshire Daily'!C34</f>
        <v>238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31"/>
  <sheetViews>
    <sheetView zoomScale="85" zoomScaleNormal="85" workbookViewId="0">
      <pane xSplit="2" ySplit="1" topLeftCell="C2" activePane="bottomRight" state="frozen"/>
      <selection pane="bottomRight" activeCell="T2" sqref="T2"/>
      <selection pane="bottomLeft" activeCell="A2" sqref="A2"/>
      <selection pane="topRight" activeCell="C1" sqref="C1"/>
    </sheetView>
  </sheetViews>
  <sheetFormatPr defaultColWidth="11.5703125" defaultRowHeight="15"/>
  <cols>
    <col min="1" max="1" width="13.7109375" style="3" customWidth="1"/>
    <col min="2" max="2" width="11.5703125" style="1" customWidth="1"/>
    <col min="3" max="3" width="11.5703125" style="1"/>
    <col min="4" max="4" width="13.42578125" style="1" customWidth="1"/>
    <col min="5" max="16" width="12.5703125" style="4" customWidth="1"/>
    <col min="17" max="17" width="11.5703125" style="4"/>
  </cols>
  <sheetData>
    <row r="1" spans="1:23" s="3" customFormat="1" ht="45">
      <c r="A1" s="8" t="s">
        <v>0</v>
      </c>
      <c r="B1" s="8" t="s">
        <v>1</v>
      </c>
      <c r="C1" s="6" t="s">
        <v>2</v>
      </c>
      <c r="D1" s="8" t="s">
        <v>3</v>
      </c>
      <c r="E1" s="9" t="s">
        <v>13</v>
      </c>
      <c r="F1" s="9" t="s">
        <v>14</v>
      </c>
      <c r="G1" s="9" t="s">
        <v>15</v>
      </c>
      <c r="H1" s="9" t="s">
        <v>16</v>
      </c>
      <c r="I1" s="9" t="s">
        <v>17</v>
      </c>
      <c r="J1" s="9" t="s">
        <v>18</v>
      </c>
      <c r="K1" s="9" t="s">
        <v>19</v>
      </c>
      <c r="L1" s="9" t="s">
        <v>20</v>
      </c>
      <c r="M1" s="9" t="s">
        <v>21</v>
      </c>
      <c r="N1" s="9" t="s">
        <v>22</v>
      </c>
      <c r="O1" s="9" t="s">
        <v>23</v>
      </c>
      <c r="P1" s="9" t="s">
        <v>24</v>
      </c>
      <c r="Q1" s="10" t="s">
        <v>25</v>
      </c>
      <c r="R1" s="10" t="s">
        <v>10</v>
      </c>
      <c r="S1" s="9" t="s">
        <v>11</v>
      </c>
    </row>
    <row r="2" spans="1:23" ht="15" customHeight="1">
      <c r="A2" s="3" t="s">
        <v>12</v>
      </c>
      <c r="B2" s="1">
        <v>1</v>
      </c>
      <c r="C2" s="1">
        <v>4</v>
      </c>
      <c r="D2" s="1">
        <v>2022</v>
      </c>
      <c r="E2" s="4">
        <f>'Hampshire Daily'!D5-'Hampshire Daily'!D4</f>
        <v>3055</v>
      </c>
      <c r="F2" s="4">
        <f>'Hampshire Daily'!E5-'Hampshire Daily'!E4</f>
        <v>83</v>
      </c>
      <c r="G2" s="4">
        <f>'Hampshire Daily'!F5-'Hampshire Daily'!F4</f>
        <v>0</v>
      </c>
      <c r="H2" s="4">
        <f>'Hampshire Daily'!G5-'Hampshire Daily'!G4</f>
        <v>2379</v>
      </c>
      <c r="I2" s="4">
        <f>'Hampshire Daily'!H5-'Hampshire Daily'!H4</f>
        <v>32</v>
      </c>
      <c r="J2" s="4">
        <f>'Hampshire Daily'!I5-'Hampshire Daily'!I4</f>
        <v>2515</v>
      </c>
      <c r="K2" s="4">
        <f>'Hampshire Daily'!J5-'Hampshire Daily'!J4</f>
        <v>1150</v>
      </c>
      <c r="L2" s="4">
        <f>'Hampshire Daily'!K5-'Hampshire Daily'!K4</f>
        <v>1</v>
      </c>
      <c r="M2" s="4">
        <f>'Hampshire Daily'!N5-'Hampshire Daily'!N4</f>
        <v>3529</v>
      </c>
      <c r="N2" s="4">
        <f>'Hampshire Daily'!O5-'Hampshire Daily'!O4</f>
        <v>68</v>
      </c>
      <c r="O2" s="4">
        <f>'Hampshire Daily'!R5-'Hampshire Daily'!R4</f>
        <v>13</v>
      </c>
      <c r="P2" s="4">
        <f>'Hampshire Daily'!Q5-'Hampshire Daily'!Q4</f>
        <v>44</v>
      </c>
      <c r="Q2" s="4">
        <f>'Hampshire Daily'!T5-'Hampshire Daily'!T4</f>
        <v>9</v>
      </c>
      <c r="R2" s="4">
        <f>'Hampshire Daily'!B5</f>
        <v>110</v>
      </c>
      <c r="S2" s="4">
        <f>'Hampshire Daily'!C5</f>
        <v>165</v>
      </c>
    </row>
    <row r="3" spans="1:23">
      <c r="A3" s="3" t="s">
        <v>12</v>
      </c>
      <c r="B3" s="1">
        <f>B2+1</f>
        <v>2</v>
      </c>
      <c r="C3" s="1">
        <v>4</v>
      </c>
      <c r="D3" s="1">
        <v>2022</v>
      </c>
      <c r="E3" s="4">
        <f>'Hampshire Daily'!D6-'Hampshire Daily'!D5</f>
        <v>3220</v>
      </c>
      <c r="F3" s="4">
        <f>'Hampshire Daily'!E6-'Hampshire Daily'!E5</f>
        <v>5531</v>
      </c>
      <c r="G3" s="4">
        <f>'Hampshire Daily'!F6-'Hampshire Daily'!F5</f>
        <v>0</v>
      </c>
      <c r="H3" s="4">
        <f>'Hampshire Daily'!G6-'Hampshire Daily'!G5</f>
        <v>2149</v>
      </c>
      <c r="I3" s="4">
        <f>'Hampshire Daily'!H6-'Hampshire Daily'!H5</f>
        <v>0</v>
      </c>
      <c r="J3" s="4">
        <f>'Hampshire Daily'!I6-'Hampshire Daily'!I5</f>
        <v>2594</v>
      </c>
      <c r="K3" s="4">
        <f>'Hampshire Daily'!J6-'Hampshire Daily'!J5</f>
        <v>1142</v>
      </c>
      <c r="L3" s="4">
        <f>'Hampshire Daily'!K6-'Hampshire Daily'!K5</f>
        <v>1</v>
      </c>
      <c r="M3" s="4">
        <f>'Hampshire Daily'!N6-'Hampshire Daily'!N5</f>
        <v>3291</v>
      </c>
      <c r="N3" s="4">
        <f>'Hampshire Daily'!O6-'Hampshire Daily'!O5</f>
        <v>77</v>
      </c>
      <c r="O3" s="4">
        <f>'Hampshire Daily'!R6-'Hampshire Daily'!R5</f>
        <v>10</v>
      </c>
      <c r="P3" s="4">
        <f>'Hampshire Daily'!Q6-'Hampshire Daily'!Q5</f>
        <v>50</v>
      </c>
      <c r="Q3" s="4">
        <f>'Hampshire Daily'!T6-'Hampshire Daily'!T5</f>
        <v>3</v>
      </c>
      <c r="R3" s="4">
        <f>'Hampshire Daily'!B6</f>
        <v>96</v>
      </c>
      <c r="S3" s="4">
        <f>'Hampshire Daily'!C6</f>
        <v>178</v>
      </c>
      <c r="T3" t="s">
        <v>26</v>
      </c>
      <c r="U3" t="s">
        <v>26</v>
      </c>
      <c r="V3" t="s">
        <v>26</v>
      </c>
      <c r="W3" t="s">
        <v>26</v>
      </c>
    </row>
    <row r="4" spans="1:23">
      <c r="A4" s="3" t="s">
        <v>12</v>
      </c>
      <c r="B4" s="1">
        <f t="shared" ref="B4:B32" si="0">B3+1</f>
        <v>3</v>
      </c>
      <c r="C4" s="1">
        <v>4</v>
      </c>
      <c r="D4" s="1">
        <v>2022</v>
      </c>
      <c r="E4" s="4">
        <f>'Hampshire Daily'!D7-'Hampshire Daily'!D6</f>
        <v>3250</v>
      </c>
      <c r="F4" s="4">
        <f>'Hampshire Daily'!E7-'Hampshire Daily'!E6</f>
        <v>2326</v>
      </c>
      <c r="G4" s="4">
        <f>'Hampshire Daily'!F7-'Hampshire Daily'!F6</f>
        <v>0</v>
      </c>
      <c r="H4" s="4">
        <f>'Hampshire Daily'!G7-'Hampshire Daily'!G6</f>
        <v>2005</v>
      </c>
      <c r="I4" s="4">
        <f>'Hampshire Daily'!H7-'Hampshire Daily'!H6</f>
        <v>0</v>
      </c>
      <c r="J4" s="4">
        <f>'Hampshire Daily'!I7-'Hampshire Daily'!I6</f>
        <v>2697</v>
      </c>
      <c r="K4" s="4">
        <f>'Hampshire Daily'!J7-'Hampshire Daily'!J6</f>
        <v>1156</v>
      </c>
      <c r="L4" s="4">
        <f>'Hampshire Daily'!K7-'Hampshire Daily'!K6</f>
        <v>1</v>
      </c>
      <c r="M4" s="4">
        <f>'Hampshire Daily'!N7-'Hampshire Daily'!N6</f>
        <v>3354</v>
      </c>
      <c r="N4" s="4">
        <f>'Hampshire Daily'!O7-'Hampshire Daily'!O6</f>
        <v>94</v>
      </c>
      <c r="O4" s="4">
        <f>'Hampshire Daily'!R7-'Hampshire Daily'!R6</f>
        <v>10</v>
      </c>
      <c r="P4" s="4">
        <f>'Hampshire Daily'!Q7-'Hampshire Daily'!Q6</f>
        <v>62</v>
      </c>
      <c r="Q4" s="4">
        <f>'Hampshire Daily'!T7-'Hampshire Daily'!T6</f>
        <v>9</v>
      </c>
      <c r="R4" s="4">
        <f>'Hampshire Daily'!B7</f>
        <v>48</v>
      </c>
      <c r="S4" s="4">
        <f>'Hampshire Daily'!C7</f>
        <v>116</v>
      </c>
      <c r="T4" t="s">
        <v>26</v>
      </c>
    </row>
    <row r="5" spans="1:23">
      <c r="A5" s="3" t="s">
        <v>12</v>
      </c>
      <c r="B5" s="1">
        <f t="shared" si="0"/>
        <v>4</v>
      </c>
      <c r="C5" s="1">
        <v>4</v>
      </c>
      <c r="D5" s="1">
        <v>2022</v>
      </c>
      <c r="E5" s="4">
        <f>'Hampshire Daily'!D8-'Hampshire Daily'!D7</f>
        <v>2950</v>
      </c>
      <c r="F5" s="4">
        <f>'Hampshire Daily'!E8-'Hampshire Daily'!E7</f>
        <v>2199</v>
      </c>
      <c r="G5" s="4">
        <f>'Hampshire Daily'!F8-'Hampshire Daily'!F7</f>
        <v>0</v>
      </c>
      <c r="H5" s="4">
        <f>'Hampshire Daily'!G8-'Hampshire Daily'!G7</f>
        <v>1755</v>
      </c>
      <c r="I5" s="4">
        <f>'Hampshire Daily'!H8-'Hampshire Daily'!H7</f>
        <v>0</v>
      </c>
      <c r="J5" s="4">
        <f>'Hampshire Daily'!I8-'Hampshire Daily'!I7</f>
        <v>2577</v>
      </c>
      <c r="K5" s="4">
        <f>'Hampshire Daily'!J8-'Hampshire Daily'!J7</f>
        <v>1150</v>
      </c>
      <c r="L5" s="4">
        <f>'Hampshire Daily'!K8-'Hampshire Daily'!K7</f>
        <v>1</v>
      </c>
      <c r="M5" s="4">
        <f>'Hampshire Daily'!N8-'Hampshire Daily'!N7</f>
        <v>2957</v>
      </c>
      <c r="N5" s="4">
        <f>'Hampshire Daily'!O8-'Hampshire Daily'!O7</f>
        <v>45</v>
      </c>
      <c r="O5" s="4">
        <f>'Hampshire Daily'!R8-'Hampshire Daily'!R7</f>
        <v>10</v>
      </c>
      <c r="P5" s="4">
        <f>'Hampshire Daily'!Q8-'Hampshire Daily'!Q7</f>
        <v>59</v>
      </c>
      <c r="Q5" s="4">
        <f>'Hampshire Daily'!T8-'Hampshire Daily'!T7</f>
        <v>3</v>
      </c>
      <c r="R5" s="4">
        <f>'Hampshire Daily'!B8</f>
        <v>38</v>
      </c>
      <c r="S5" s="4">
        <f>'Hampshire Daily'!C8</f>
        <v>86</v>
      </c>
    </row>
    <row r="6" spans="1:23">
      <c r="A6" s="3" t="s">
        <v>12</v>
      </c>
      <c r="B6" s="1">
        <f t="shared" si="0"/>
        <v>5</v>
      </c>
      <c r="C6" s="1">
        <v>4</v>
      </c>
      <c r="D6" s="1">
        <v>2022</v>
      </c>
      <c r="E6" s="4">
        <f>'Hampshire Daily'!D9-'Hampshire Daily'!D8</f>
        <v>3229</v>
      </c>
      <c r="F6" s="4">
        <f>'Hampshire Daily'!E9-'Hampshire Daily'!E8</f>
        <v>1922</v>
      </c>
      <c r="G6" s="4">
        <f>'Hampshire Daily'!F9-'Hampshire Daily'!F8</f>
        <v>0</v>
      </c>
      <c r="H6" s="4">
        <f>'Hampshire Daily'!G9-'Hampshire Daily'!G8</f>
        <v>1965</v>
      </c>
      <c r="I6" s="4">
        <f>'Hampshire Daily'!H9-'Hampshire Daily'!H8</f>
        <v>0</v>
      </c>
      <c r="J6" s="4">
        <f>'Hampshire Daily'!I9-'Hampshire Daily'!I8</f>
        <v>3568</v>
      </c>
      <c r="K6" s="4">
        <f>'Hampshire Daily'!J9-'Hampshire Daily'!J8</f>
        <v>1145</v>
      </c>
      <c r="L6" s="4">
        <f>'Hampshire Daily'!K9-'Hampshire Daily'!K8</f>
        <v>0</v>
      </c>
      <c r="M6" s="4">
        <f>'Hampshire Daily'!N9-'Hampshire Daily'!N8</f>
        <v>2817</v>
      </c>
      <c r="N6" s="4">
        <f>'Hampshire Daily'!O9-'Hampshire Daily'!O8</f>
        <v>116</v>
      </c>
      <c r="O6" s="4">
        <f>'Hampshire Daily'!R9-'Hampshire Daily'!R8</f>
        <v>11</v>
      </c>
      <c r="P6" s="4">
        <f>'Hampshire Daily'!Q9-'Hampshire Daily'!Q8</f>
        <v>45</v>
      </c>
      <c r="Q6" s="4">
        <f>'Hampshire Daily'!T9-'Hampshire Daily'!T8</f>
        <v>4</v>
      </c>
      <c r="R6" s="4">
        <f>'Hampshire Daily'!B9</f>
        <v>121</v>
      </c>
      <c r="S6" s="4">
        <f>'Hampshire Daily'!C9</f>
        <v>156</v>
      </c>
    </row>
    <row r="7" spans="1:23">
      <c r="A7" s="3" t="s">
        <v>12</v>
      </c>
      <c r="B7" s="1">
        <f t="shared" si="0"/>
        <v>6</v>
      </c>
      <c r="C7" s="1">
        <v>4</v>
      </c>
      <c r="D7" s="1">
        <v>2022</v>
      </c>
      <c r="E7" s="4">
        <f>'Hampshire Daily'!D10-'Hampshire Daily'!D9</f>
        <v>3594</v>
      </c>
      <c r="F7" s="4">
        <f>'Hampshire Daily'!E10-'Hampshire Daily'!E9</f>
        <v>1873</v>
      </c>
      <c r="G7" s="4">
        <f>'Hampshire Daily'!F10-'Hampshire Daily'!F9</f>
        <v>26</v>
      </c>
      <c r="H7" s="4">
        <f>'Hampshire Daily'!G10-'Hampshire Daily'!G9</f>
        <v>2146</v>
      </c>
      <c r="I7" s="4">
        <f>'Hampshire Daily'!H10-'Hampshire Daily'!H9</f>
        <v>0</v>
      </c>
      <c r="J7" s="4">
        <f>'Hampshire Daily'!I10-'Hampshire Daily'!I9</f>
        <v>1502</v>
      </c>
      <c r="K7" s="4">
        <f>'Hampshire Daily'!J10-'Hampshire Daily'!J9</f>
        <v>1154</v>
      </c>
      <c r="L7" s="4">
        <f>'Hampshire Daily'!K10-'Hampshire Daily'!K9</f>
        <v>16</v>
      </c>
      <c r="M7" s="4">
        <f>'Hampshire Daily'!N10-'Hampshire Daily'!N9</f>
        <v>2607</v>
      </c>
      <c r="N7" s="4">
        <f>'Hampshire Daily'!O10-'Hampshire Daily'!O9</f>
        <v>84</v>
      </c>
      <c r="O7" s="4">
        <f>'Hampshire Daily'!R10-'Hampshire Daily'!R9</f>
        <v>11</v>
      </c>
      <c r="P7" s="4">
        <f>'Hampshire Daily'!Q10-'Hampshire Daily'!Q9</f>
        <v>55</v>
      </c>
      <c r="Q7" s="4">
        <f>'Hampshire Daily'!T10-'Hampshire Daily'!T9</f>
        <v>4</v>
      </c>
      <c r="R7" s="4">
        <f>'Hampshire Daily'!B10</f>
        <v>28</v>
      </c>
      <c r="S7" s="4">
        <f>'Hampshire Daily'!C10</f>
        <v>66</v>
      </c>
    </row>
    <row r="8" spans="1:23">
      <c r="A8" s="3" t="s">
        <v>12</v>
      </c>
      <c r="B8" s="1">
        <f t="shared" si="0"/>
        <v>7</v>
      </c>
      <c r="C8" s="1">
        <v>4</v>
      </c>
      <c r="D8" s="1">
        <v>2022</v>
      </c>
      <c r="E8" s="4">
        <f>'Hampshire Daily'!D11-'Hampshire Daily'!D10</f>
        <v>3109</v>
      </c>
      <c r="F8" s="4">
        <f>'Hampshire Daily'!E11-'Hampshire Daily'!E10</f>
        <v>1915</v>
      </c>
      <c r="G8" s="4">
        <f>'Hampshire Daily'!F11-'Hampshire Daily'!F10</f>
        <v>0</v>
      </c>
      <c r="H8" s="4">
        <f>'Hampshire Daily'!G11-'Hampshire Daily'!G10</f>
        <v>2017</v>
      </c>
      <c r="I8" s="4">
        <f>'Hampshire Daily'!H11-'Hampshire Daily'!H10</f>
        <v>0</v>
      </c>
      <c r="J8" s="4">
        <f>'Hampshire Daily'!I11-'Hampshire Daily'!I10</f>
        <v>2491</v>
      </c>
      <c r="K8" s="4">
        <f>'Hampshire Daily'!J11-'Hampshire Daily'!J10</f>
        <v>1146</v>
      </c>
      <c r="L8" s="4">
        <f>'Hampshire Daily'!K11-'Hampshire Daily'!K10</f>
        <v>1</v>
      </c>
      <c r="M8" s="4">
        <f>'Hampshire Daily'!N11-'Hampshire Daily'!N10</f>
        <v>2814</v>
      </c>
      <c r="N8" s="4">
        <f>'Hampshire Daily'!O11-'Hampshire Daily'!O10</f>
        <v>72</v>
      </c>
      <c r="O8" s="4">
        <f>'Hampshire Daily'!R11-'Hampshire Daily'!R10</f>
        <v>9</v>
      </c>
      <c r="P8" s="4">
        <f>'Hampshire Daily'!Q11-'Hampshire Daily'!Q10</f>
        <v>49</v>
      </c>
      <c r="Q8" s="4">
        <f>'Hampshire Daily'!T11-'Hampshire Daily'!T10</f>
        <v>3</v>
      </c>
      <c r="R8" s="4">
        <f>'Hampshire Daily'!B11</f>
        <v>22</v>
      </c>
      <c r="S8" s="4">
        <f>'Hampshire Daily'!C11</f>
        <v>51</v>
      </c>
    </row>
    <row r="9" spans="1:23">
      <c r="A9" s="3" t="s">
        <v>12</v>
      </c>
      <c r="B9" s="1">
        <f t="shared" si="0"/>
        <v>8</v>
      </c>
      <c r="C9" s="1">
        <v>4</v>
      </c>
      <c r="D9" s="1">
        <v>2022</v>
      </c>
      <c r="E9" s="4">
        <f>'Hampshire Daily'!D12-'Hampshire Daily'!D11</f>
        <v>2524</v>
      </c>
      <c r="F9" s="4">
        <f>'Hampshire Daily'!E12-'Hampshire Daily'!E11</f>
        <v>2575</v>
      </c>
      <c r="G9" s="4">
        <f>'Hampshire Daily'!F12-'Hampshire Daily'!F11</f>
        <v>0</v>
      </c>
      <c r="H9" s="4">
        <f>'Hampshire Daily'!G12-'Hampshire Daily'!G11</f>
        <v>1891</v>
      </c>
      <c r="I9" s="4">
        <f>'Hampshire Daily'!H12-'Hampshire Daily'!H11</f>
        <v>0</v>
      </c>
      <c r="J9" s="4">
        <f>'Hampshire Daily'!I12-'Hampshire Daily'!I11</f>
        <v>2395</v>
      </c>
      <c r="K9" s="4">
        <f>'Hampshire Daily'!J12-'Hampshire Daily'!J11</f>
        <v>1144</v>
      </c>
      <c r="L9" s="4">
        <f>'Hampshire Daily'!K12-'Hampshire Daily'!K11</f>
        <v>0</v>
      </c>
      <c r="M9" s="4">
        <f>'Hampshire Daily'!N12-'Hampshire Daily'!N11</f>
        <v>3071</v>
      </c>
      <c r="N9" s="4">
        <f>'Hampshire Daily'!O12-'Hampshire Daily'!O11</f>
        <v>70</v>
      </c>
      <c r="O9" s="4">
        <f>'Hampshire Daily'!R12-'Hampshire Daily'!R11</f>
        <v>9</v>
      </c>
      <c r="P9" s="4">
        <f>'Hampshire Daily'!Q12-'Hampshire Daily'!Q11</f>
        <v>38</v>
      </c>
      <c r="Q9" s="4">
        <f>'Hampshire Daily'!T12-'Hampshire Daily'!T11</f>
        <v>4</v>
      </c>
      <c r="R9" s="4">
        <f>'Hampshire Daily'!B12</f>
        <v>50</v>
      </c>
      <c r="S9" s="4">
        <f>'Hampshire Daily'!C12</f>
        <v>128</v>
      </c>
    </row>
    <row r="10" spans="1:23">
      <c r="A10" s="3" t="s">
        <v>12</v>
      </c>
      <c r="B10" s="1">
        <f t="shared" si="0"/>
        <v>9</v>
      </c>
      <c r="C10" s="1">
        <v>4</v>
      </c>
      <c r="D10" s="1">
        <v>2022</v>
      </c>
      <c r="E10" s="4">
        <f>'Hampshire Daily'!D13-'Hampshire Daily'!D12</f>
        <v>2177</v>
      </c>
      <c r="F10" s="4">
        <f>'Hampshire Daily'!E13-'Hampshire Daily'!E12</f>
        <v>2911</v>
      </c>
      <c r="G10" s="4">
        <f>'Hampshire Daily'!F13-'Hampshire Daily'!F12</f>
        <v>0</v>
      </c>
      <c r="H10" s="4">
        <f>'Hampshire Daily'!G13-'Hampshire Daily'!G12</f>
        <v>2056</v>
      </c>
      <c r="I10" s="4">
        <f>'Hampshire Daily'!H13-'Hampshire Daily'!H12</f>
        <v>0</v>
      </c>
      <c r="J10" s="4">
        <f>'Hampshire Daily'!I13-'Hampshire Daily'!I12</f>
        <v>2606</v>
      </c>
      <c r="K10" s="4">
        <f>'Hampshire Daily'!J13-'Hampshire Daily'!J12</f>
        <v>1150</v>
      </c>
      <c r="L10" s="4">
        <f>'Hampshire Daily'!K13-'Hampshire Daily'!K12</f>
        <v>1</v>
      </c>
      <c r="M10" s="4">
        <f>'Hampshire Daily'!N13-'Hampshire Daily'!N12</f>
        <v>2842</v>
      </c>
      <c r="N10" s="4">
        <f>'Hampshire Daily'!O13-'Hampshire Daily'!O12</f>
        <v>84</v>
      </c>
      <c r="O10" s="4">
        <f>'Hampshire Daily'!R13-'Hampshire Daily'!R12</f>
        <v>11</v>
      </c>
      <c r="P10" s="4">
        <f>'Hampshire Daily'!Q13-'Hampshire Daily'!Q12</f>
        <v>50</v>
      </c>
      <c r="Q10" s="4">
        <f>'Hampshire Daily'!T13-'Hampshire Daily'!T12</f>
        <v>4</v>
      </c>
      <c r="R10" s="4">
        <f>'Hampshire Daily'!B13</f>
        <v>80</v>
      </c>
      <c r="S10" s="4">
        <f>'Hampshire Daily'!C13</f>
        <v>202</v>
      </c>
    </row>
    <row r="11" spans="1:23">
      <c r="A11" s="3" t="s">
        <v>12</v>
      </c>
      <c r="B11" s="1">
        <f t="shared" si="0"/>
        <v>10</v>
      </c>
      <c r="C11" s="1">
        <v>4</v>
      </c>
      <c r="D11" s="1">
        <v>2022</v>
      </c>
      <c r="E11" s="4">
        <f>'Hampshire Daily'!D14-'Hampshire Daily'!D13</f>
        <v>3184</v>
      </c>
      <c r="F11" s="4">
        <f>'Hampshire Daily'!E14-'Hampshire Daily'!E13</f>
        <v>2586</v>
      </c>
      <c r="G11" s="4">
        <f>'Hampshire Daily'!F14-'Hampshire Daily'!F13</f>
        <v>0</v>
      </c>
      <c r="H11" s="4">
        <f>'Hampshire Daily'!G14-'Hampshire Daily'!G13</f>
        <v>1949</v>
      </c>
      <c r="I11" s="4">
        <f>'Hampshire Daily'!H14-'Hampshire Daily'!H13</f>
        <v>0</v>
      </c>
      <c r="J11" s="4">
        <f>'Hampshire Daily'!I14-'Hampshire Daily'!I13</f>
        <v>2503</v>
      </c>
      <c r="K11" s="4">
        <f>'Hampshire Daily'!J14-'Hampshire Daily'!J13</f>
        <v>1145</v>
      </c>
      <c r="L11" s="4">
        <f>'Hampshire Daily'!K14-'Hampshire Daily'!K13</f>
        <v>0</v>
      </c>
      <c r="M11" s="4">
        <f>'Hampshire Daily'!N14-'Hampshire Daily'!N13</f>
        <v>2963</v>
      </c>
      <c r="N11" s="4">
        <f>'Hampshire Daily'!O14-'Hampshire Daily'!O13</f>
        <v>83</v>
      </c>
      <c r="O11" s="4">
        <f>'Hampshire Daily'!R14-'Hampshire Daily'!R13</f>
        <v>14</v>
      </c>
      <c r="P11" s="4">
        <f>'Hampshire Daily'!Q14-'Hampshire Daily'!Q13</f>
        <v>57</v>
      </c>
      <c r="Q11" s="4">
        <f>'Hampshire Daily'!T14-'Hampshire Daily'!T13</f>
        <v>8</v>
      </c>
      <c r="R11" s="4">
        <f>'Hampshire Daily'!B14</f>
        <v>62</v>
      </c>
      <c r="S11" s="4">
        <f>'Hampshire Daily'!C14</f>
        <v>148</v>
      </c>
    </row>
    <row r="12" spans="1:23">
      <c r="A12" s="3" t="s">
        <v>12</v>
      </c>
      <c r="B12" s="1">
        <f t="shared" si="0"/>
        <v>11</v>
      </c>
      <c r="C12" s="1">
        <v>4</v>
      </c>
      <c r="D12" s="1">
        <v>2022</v>
      </c>
      <c r="E12" s="4">
        <f>'Hampshire Daily'!D15-'Hampshire Daily'!D14</f>
        <v>2864</v>
      </c>
      <c r="F12" s="4">
        <f>'Hampshire Daily'!E15-'Hampshire Daily'!E14</f>
        <v>1373</v>
      </c>
      <c r="G12" s="4">
        <f>'Hampshire Daily'!F15-'Hampshire Daily'!F14</f>
        <v>0</v>
      </c>
      <c r="H12" s="4">
        <f>'Hampshire Daily'!G15-'Hampshire Daily'!G14</f>
        <v>1824</v>
      </c>
      <c r="I12" s="4">
        <f>'Hampshire Daily'!H15-'Hampshire Daily'!H14</f>
        <v>0</v>
      </c>
      <c r="J12" s="4">
        <f>'Hampshire Daily'!I15-'Hampshire Daily'!I14</f>
        <v>2618</v>
      </c>
      <c r="K12" s="4">
        <f>'Hampshire Daily'!J15-'Hampshire Daily'!J14</f>
        <v>1140</v>
      </c>
      <c r="L12" s="4">
        <f>'Hampshire Daily'!K15-'Hampshire Daily'!K14</f>
        <v>0</v>
      </c>
      <c r="M12" s="4">
        <f>'Hampshire Daily'!N15-'Hampshire Daily'!N14</f>
        <v>2823</v>
      </c>
      <c r="N12" s="4">
        <f>'Hampshire Daily'!O15-'Hampshire Daily'!O14</f>
        <v>101</v>
      </c>
      <c r="O12" s="4">
        <f>'Hampshire Daily'!R15-'Hampshire Daily'!R14</f>
        <v>11</v>
      </c>
      <c r="P12" s="4">
        <f>'Hampshire Daily'!Q15-'Hampshire Daily'!Q14</f>
        <v>57</v>
      </c>
      <c r="Q12" s="4">
        <f>'Hampshire Daily'!T15-'Hampshire Daily'!T14</f>
        <v>8</v>
      </c>
      <c r="R12" s="4">
        <f>'Hampshire Daily'!B15</f>
        <v>73</v>
      </c>
      <c r="S12" s="4">
        <f>'Hampshire Daily'!C15</f>
        <v>146</v>
      </c>
    </row>
    <row r="13" spans="1:23">
      <c r="A13" s="3" t="s">
        <v>12</v>
      </c>
      <c r="B13" s="1">
        <f t="shared" si="0"/>
        <v>12</v>
      </c>
      <c r="C13" s="1">
        <v>4</v>
      </c>
      <c r="D13" s="1">
        <v>2022</v>
      </c>
      <c r="E13" s="4">
        <f>'Hampshire Daily'!D16-'Hampshire Daily'!D15</f>
        <v>2943</v>
      </c>
      <c r="F13" s="4">
        <f>'Hampshire Daily'!E16-'Hampshire Daily'!E15</f>
        <v>1935</v>
      </c>
      <c r="G13" s="4">
        <f>'Hampshire Daily'!F16-'Hampshire Daily'!F15</f>
        <v>37</v>
      </c>
      <c r="H13" s="4">
        <f>'Hampshire Daily'!G16-'Hampshire Daily'!G15</f>
        <v>1766</v>
      </c>
      <c r="I13" s="4">
        <f>'Hampshire Daily'!H16-'Hampshire Daily'!H15</f>
        <v>0</v>
      </c>
      <c r="J13" s="4">
        <f>'Hampshire Daily'!I16-'Hampshire Daily'!I15</f>
        <v>2539</v>
      </c>
      <c r="K13" s="4">
        <f>'Hampshire Daily'!J16-'Hampshire Daily'!J15</f>
        <v>1166</v>
      </c>
      <c r="L13" s="4">
        <f>'Hampshire Daily'!K16-'Hampshire Daily'!K15</f>
        <v>1</v>
      </c>
      <c r="M13" s="4">
        <f>'Hampshire Daily'!N16-'Hampshire Daily'!N15</f>
        <v>2482</v>
      </c>
      <c r="N13" s="4">
        <f>'Hampshire Daily'!O16-'Hampshire Daily'!O15</f>
        <v>89</v>
      </c>
      <c r="O13" s="4">
        <f>'Hampshire Daily'!R16-'Hampshire Daily'!R15</f>
        <v>11</v>
      </c>
      <c r="P13" s="4">
        <f>'Hampshire Daily'!Q16-'Hampshire Daily'!Q15</f>
        <v>54</v>
      </c>
      <c r="Q13" s="4">
        <f>'Hampshire Daily'!T16-'Hampshire Daily'!T15</f>
        <v>7</v>
      </c>
      <c r="R13" s="4">
        <f>'Hampshire Daily'!B16</f>
        <v>78</v>
      </c>
      <c r="S13" s="4">
        <f>'Hampshire Daily'!C16</f>
        <v>163</v>
      </c>
    </row>
    <row r="14" spans="1:23">
      <c r="A14" s="3" t="s">
        <v>12</v>
      </c>
      <c r="B14" s="1">
        <f t="shared" si="0"/>
        <v>13</v>
      </c>
      <c r="C14" s="1">
        <v>4</v>
      </c>
      <c r="D14" s="1">
        <v>2022</v>
      </c>
      <c r="E14" s="4">
        <f>'Hampshire Daily'!D17-'Hampshire Daily'!D16</f>
        <v>3290</v>
      </c>
      <c r="F14" s="4">
        <f>'Hampshire Daily'!E17-'Hampshire Daily'!E16</f>
        <v>1942</v>
      </c>
      <c r="G14" s="4">
        <f>'Hampshire Daily'!F17-'Hampshire Daily'!F16</f>
        <v>9</v>
      </c>
      <c r="H14" s="4">
        <f>'Hampshire Daily'!G17-'Hampshire Daily'!G16</f>
        <v>1807</v>
      </c>
      <c r="I14" s="4">
        <f>'Hampshire Daily'!H17-'Hampshire Daily'!H16</f>
        <v>0</v>
      </c>
      <c r="J14" s="4">
        <f>'Hampshire Daily'!I17-'Hampshire Daily'!I16</f>
        <v>2612</v>
      </c>
      <c r="K14" s="4">
        <f>'Hampshire Daily'!J17-'Hampshire Daily'!J16</f>
        <v>1150</v>
      </c>
      <c r="L14" s="4">
        <f>'Hampshire Daily'!K17-'Hampshire Daily'!K16</f>
        <v>12</v>
      </c>
      <c r="M14" s="4">
        <f>'Hampshire Daily'!N17-'Hampshire Daily'!N16</f>
        <v>2537</v>
      </c>
      <c r="N14" s="4">
        <f>'Hampshire Daily'!O17-'Hampshire Daily'!O16</f>
        <v>78</v>
      </c>
      <c r="O14" s="4">
        <f>'Hampshire Daily'!R17-'Hampshire Daily'!R16</f>
        <v>12</v>
      </c>
      <c r="P14" s="4">
        <f>'Hampshire Daily'!Q17-'Hampshire Daily'!Q16</f>
        <v>55</v>
      </c>
      <c r="Q14" s="4">
        <f>'Hampshire Daily'!T17-'Hampshire Daily'!T16</f>
        <v>5</v>
      </c>
      <c r="R14" s="4">
        <f>'Hampshire Daily'!B17</f>
        <v>58</v>
      </c>
      <c r="S14" s="4">
        <f>'Hampshire Daily'!C17</f>
        <v>143</v>
      </c>
    </row>
    <row r="15" spans="1:23">
      <c r="A15" s="3" t="s">
        <v>12</v>
      </c>
      <c r="B15" s="1">
        <f t="shared" si="0"/>
        <v>14</v>
      </c>
      <c r="C15" s="1">
        <v>4</v>
      </c>
      <c r="D15" s="1">
        <v>2022</v>
      </c>
      <c r="E15" s="4">
        <f>'Hampshire Daily'!D18-'Hampshire Daily'!D17</f>
        <v>3297</v>
      </c>
      <c r="F15" s="4">
        <f>'Hampshire Daily'!E18-'Hampshire Daily'!E17</f>
        <v>1896</v>
      </c>
      <c r="G15" s="4">
        <f>'Hampshire Daily'!F18-'Hampshire Daily'!F17</f>
        <v>0</v>
      </c>
      <c r="H15" s="4">
        <f>'Hampshire Daily'!G18-'Hampshire Daily'!G17</f>
        <v>1978</v>
      </c>
      <c r="I15" s="4">
        <f>'Hampshire Daily'!H18-'Hampshire Daily'!H17</f>
        <v>0</v>
      </c>
      <c r="J15" s="4">
        <f>'Hampshire Daily'!I18-'Hampshire Daily'!I17</f>
        <v>2736</v>
      </c>
      <c r="K15" s="4">
        <f>'Hampshire Daily'!J18-'Hampshire Daily'!J17</f>
        <v>1150</v>
      </c>
      <c r="L15" s="4">
        <f>'Hampshire Daily'!K18-'Hampshire Daily'!K17</f>
        <v>0</v>
      </c>
      <c r="M15" s="4">
        <f>'Hampshire Daily'!N18-'Hampshire Daily'!N17</f>
        <v>2576</v>
      </c>
      <c r="N15" s="4">
        <f>'Hampshire Daily'!O18-'Hampshire Daily'!O17</f>
        <v>88</v>
      </c>
      <c r="O15" s="4">
        <f>'Hampshire Daily'!R18-'Hampshire Daily'!R17</f>
        <v>12</v>
      </c>
      <c r="P15" s="4">
        <f>'Hampshire Daily'!Q18-'Hampshire Daily'!Q17</f>
        <v>54</v>
      </c>
      <c r="Q15" s="4">
        <f>'Hampshire Daily'!T18-'Hampshire Daily'!T17</f>
        <v>1</v>
      </c>
      <c r="R15" s="4">
        <f>'Hampshire Daily'!B18</f>
        <v>59</v>
      </c>
      <c r="S15" s="4">
        <f>'Hampshire Daily'!C18</f>
        <v>161</v>
      </c>
    </row>
    <row r="16" spans="1:23">
      <c r="A16" s="3" t="s">
        <v>12</v>
      </c>
      <c r="B16" s="1">
        <f t="shared" si="0"/>
        <v>15</v>
      </c>
      <c r="C16" s="1">
        <v>4</v>
      </c>
      <c r="D16" s="1">
        <v>2022</v>
      </c>
      <c r="E16" s="4">
        <f>'Hampshire Daily'!D19-'Hampshire Daily'!D18</f>
        <v>1981</v>
      </c>
      <c r="F16" s="4">
        <f>'Hampshire Daily'!E19-'Hampshire Daily'!E18</f>
        <v>3056</v>
      </c>
      <c r="G16" s="4">
        <f>'Hampshire Daily'!F19-'Hampshire Daily'!F18</f>
        <v>0</v>
      </c>
      <c r="H16" s="4">
        <f>'Hampshire Daily'!G19-'Hampshire Daily'!G18</f>
        <v>1782</v>
      </c>
      <c r="I16" s="4">
        <f>'Hampshire Daily'!H19-'Hampshire Daily'!H18</f>
        <v>0</v>
      </c>
      <c r="J16" s="4">
        <f>'Hampshire Daily'!I19-'Hampshire Daily'!I18</f>
        <v>2450</v>
      </c>
      <c r="K16" s="4">
        <f>'Hampshire Daily'!J19-'Hampshire Daily'!J18</f>
        <v>1048</v>
      </c>
      <c r="L16" s="4">
        <f>'Hampshire Daily'!K19-'Hampshire Daily'!K18</f>
        <v>0</v>
      </c>
      <c r="M16" s="4">
        <f>'Hampshire Daily'!N19-'Hampshire Daily'!N18</f>
        <v>2407</v>
      </c>
      <c r="N16" s="4">
        <f>'Hampshire Daily'!O19-'Hampshire Daily'!O18</f>
        <v>77</v>
      </c>
      <c r="O16" s="4">
        <f>'Hampshire Daily'!R19-'Hampshire Daily'!R18</f>
        <v>10</v>
      </c>
      <c r="P16" s="4">
        <f>'Hampshire Daily'!Q19-'Hampshire Daily'!Q18</f>
        <v>49</v>
      </c>
      <c r="Q16" s="4">
        <f>'Hampshire Daily'!T19-'Hampshire Daily'!T18</f>
        <v>7</v>
      </c>
      <c r="R16" s="4">
        <f>'Hampshire Daily'!B19</f>
        <v>88</v>
      </c>
      <c r="S16" s="4">
        <f>'Hampshire Daily'!C19</f>
        <v>241</v>
      </c>
    </row>
    <row r="17" spans="1:19">
      <c r="A17" s="3" t="s">
        <v>12</v>
      </c>
      <c r="B17" s="1">
        <f t="shared" si="0"/>
        <v>16</v>
      </c>
      <c r="C17" s="1">
        <v>4</v>
      </c>
      <c r="D17" s="1">
        <v>2022</v>
      </c>
      <c r="E17" s="4">
        <f>'Hampshire Daily'!D20-'Hampshire Daily'!D19</f>
        <v>2493</v>
      </c>
      <c r="F17" s="4">
        <f>'Hampshire Daily'!E20-'Hampshire Daily'!E19</f>
        <v>3042</v>
      </c>
      <c r="G17" s="4">
        <f>'Hampshire Daily'!F20-'Hampshire Daily'!F19</f>
        <v>0</v>
      </c>
      <c r="H17" s="4">
        <f>'Hampshire Daily'!G20-'Hampshire Daily'!G19</f>
        <v>1782</v>
      </c>
      <c r="I17" s="4">
        <f>'Hampshire Daily'!H20-'Hampshire Daily'!H19</f>
        <v>0</v>
      </c>
      <c r="J17" s="4">
        <f>'Hampshire Daily'!I20-'Hampshire Daily'!I19</f>
        <v>2801</v>
      </c>
      <c r="K17" s="4">
        <f>'Hampshire Daily'!J20-'Hampshire Daily'!J19</f>
        <v>1325</v>
      </c>
      <c r="L17" s="4">
        <f>'Hampshire Daily'!K20-'Hampshire Daily'!K19</f>
        <v>0</v>
      </c>
      <c r="M17" s="4">
        <f>'Hampshire Daily'!N20-'Hampshire Daily'!N19</f>
        <v>2425</v>
      </c>
      <c r="N17" s="4">
        <f>'Hampshire Daily'!O20-'Hampshire Daily'!O19</f>
        <v>84</v>
      </c>
      <c r="O17" s="4">
        <f>'Hampshire Daily'!R20-'Hampshire Daily'!R19</f>
        <v>9</v>
      </c>
      <c r="P17" s="4">
        <f>'Hampshire Daily'!Q20-'Hampshire Daily'!Q19</f>
        <v>56</v>
      </c>
      <c r="Q17" s="4">
        <f>'Hampshire Daily'!T20-'Hampshire Daily'!T19</f>
        <v>7</v>
      </c>
      <c r="R17" s="4">
        <f>'Hampshire Daily'!B20</f>
        <v>96</v>
      </c>
      <c r="S17" s="4">
        <f>'Hampshire Daily'!C20</f>
        <v>252</v>
      </c>
    </row>
    <row r="18" spans="1:19">
      <c r="A18" s="3" t="s">
        <v>12</v>
      </c>
      <c r="B18" s="1">
        <f t="shared" si="0"/>
        <v>17</v>
      </c>
      <c r="C18" s="1">
        <v>4</v>
      </c>
      <c r="D18" s="1">
        <v>2022</v>
      </c>
      <c r="E18" s="4">
        <f>'Hampshire Daily'!D21-'Hampshire Daily'!D20</f>
        <v>2758</v>
      </c>
      <c r="F18" s="4">
        <f>'Hampshire Daily'!E21-'Hampshire Daily'!E20</f>
        <v>3024</v>
      </c>
      <c r="G18" s="4">
        <f>'Hampshire Daily'!F21-'Hampshire Daily'!F20</f>
        <v>0</v>
      </c>
      <c r="H18" s="4">
        <f>'Hampshire Daily'!G21-'Hampshire Daily'!G20</f>
        <v>1670</v>
      </c>
      <c r="I18" s="4">
        <f>'Hampshire Daily'!H21-'Hampshire Daily'!H20</f>
        <v>0</v>
      </c>
      <c r="J18" s="4">
        <f>'Hampshire Daily'!I21-'Hampshire Daily'!I20</f>
        <v>2877</v>
      </c>
      <c r="K18" s="4">
        <f>'Hampshire Daily'!J21-'Hampshire Daily'!J20</f>
        <v>1282</v>
      </c>
      <c r="L18" s="4">
        <f>'Hampshire Daily'!K21-'Hampshire Daily'!K20</f>
        <v>0</v>
      </c>
      <c r="M18" s="4">
        <f>'Hampshire Daily'!N21-'Hampshire Daily'!N20</f>
        <v>2424</v>
      </c>
      <c r="N18" s="4">
        <f>'Hampshire Daily'!O21-'Hampshire Daily'!O20</f>
        <v>98</v>
      </c>
      <c r="O18" s="4">
        <f>'Hampshire Daily'!R21-'Hampshire Daily'!R20</f>
        <v>9</v>
      </c>
      <c r="P18" s="4">
        <f>'Hampshire Daily'!Q21-'Hampshire Daily'!Q20</f>
        <v>65</v>
      </c>
      <c r="Q18" s="4">
        <f>'Hampshire Daily'!T21-'Hampshire Daily'!T20</f>
        <v>9</v>
      </c>
      <c r="R18" s="4">
        <f>'Hampshire Daily'!B21</f>
        <v>93</v>
      </c>
      <c r="S18" s="4">
        <f>'Hampshire Daily'!C21</f>
        <v>245</v>
      </c>
    </row>
    <row r="19" spans="1:19">
      <c r="A19" s="3" t="s">
        <v>12</v>
      </c>
      <c r="B19" s="1">
        <f t="shared" si="0"/>
        <v>18</v>
      </c>
      <c r="C19" s="1">
        <v>4</v>
      </c>
      <c r="D19" s="1">
        <v>2022</v>
      </c>
      <c r="E19" s="4">
        <f>'Hampshire Daily'!D22-'Hampshire Daily'!D21</f>
        <v>2435</v>
      </c>
      <c r="F19" s="4">
        <f>'Hampshire Daily'!E22-'Hampshire Daily'!E21</f>
        <v>4380</v>
      </c>
      <c r="G19" s="4">
        <f>'Hampshire Daily'!F22-'Hampshire Daily'!F21</f>
        <v>0</v>
      </c>
      <c r="H19" s="4">
        <f>'Hampshire Daily'!G22-'Hampshire Daily'!G21</f>
        <v>1821</v>
      </c>
      <c r="I19" s="4">
        <f>'Hampshire Daily'!H22-'Hampshire Daily'!H21</f>
        <v>0</v>
      </c>
      <c r="J19" s="4">
        <f>'Hampshire Daily'!I22-'Hampshire Daily'!I21</f>
        <v>2669</v>
      </c>
      <c r="K19" s="4">
        <f>'Hampshire Daily'!J22-'Hampshire Daily'!J21</f>
        <v>1282</v>
      </c>
      <c r="L19" s="4">
        <f>'Hampshire Daily'!K22-'Hampshire Daily'!K21</f>
        <v>0</v>
      </c>
      <c r="M19" s="4">
        <f>'Hampshire Daily'!N22-'Hampshire Daily'!N21</f>
        <v>2547</v>
      </c>
      <c r="N19" s="4">
        <f>'Hampshire Daily'!O22-'Hampshire Daily'!O21</f>
        <v>95</v>
      </c>
      <c r="O19" s="4">
        <f>'Hampshire Daily'!R22-'Hampshire Daily'!R21</f>
        <v>9</v>
      </c>
      <c r="P19" s="4">
        <f>'Hampshire Daily'!Q22-'Hampshire Daily'!Q21</f>
        <v>68</v>
      </c>
      <c r="Q19" s="4">
        <f>'Hampshire Daily'!T22-'Hampshire Daily'!T21</f>
        <v>6</v>
      </c>
      <c r="R19" s="4">
        <f>'Hampshire Daily'!B22</f>
        <v>55</v>
      </c>
      <c r="S19" s="4">
        <f>'Hampshire Daily'!C22</f>
        <v>142</v>
      </c>
    </row>
    <row r="20" spans="1:19">
      <c r="A20" s="3" t="s">
        <v>12</v>
      </c>
      <c r="B20" s="1">
        <f t="shared" si="0"/>
        <v>19</v>
      </c>
      <c r="C20" s="1">
        <v>4</v>
      </c>
      <c r="D20" s="1">
        <v>2022</v>
      </c>
      <c r="E20" s="4">
        <f>'Hampshire Daily'!D23-'Hampshire Daily'!D22</f>
        <v>1870</v>
      </c>
      <c r="F20" s="4">
        <f>'Hampshire Daily'!E23-'Hampshire Daily'!E22</f>
        <v>3280</v>
      </c>
      <c r="G20" s="4">
        <f>'Hampshire Daily'!F23-'Hampshire Daily'!F22</f>
        <v>0</v>
      </c>
      <c r="H20" s="4">
        <f>'Hampshire Daily'!G23-'Hampshire Daily'!G22</f>
        <v>1751</v>
      </c>
      <c r="I20" s="4">
        <f>'Hampshire Daily'!H23-'Hampshire Daily'!H22</f>
        <v>0</v>
      </c>
      <c r="J20" s="4">
        <f>'Hampshire Daily'!I23-'Hampshire Daily'!I22</f>
        <v>2621</v>
      </c>
      <c r="K20" s="4">
        <f>'Hampshire Daily'!J23-'Hampshire Daily'!J22</f>
        <v>1290</v>
      </c>
      <c r="L20" s="4">
        <f>'Hampshire Daily'!K23-'Hampshire Daily'!K22</f>
        <v>0</v>
      </c>
      <c r="M20" s="4">
        <f>'Hampshire Daily'!N23-'Hampshire Daily'!N22</f>
        <v>2499</v>
      </c>
      <c r="N20" s="4">
        <f>'Hampshire Daily'!O23-'Hampshire Daily'!O22</f>
        <v>88</v>
      </c>
      <c r="O20" s="4">
        <f>'Hampshire Daily'!R23-'Hampshire Daily'!R22</f>
        <v>10</v>
      </c>
      <c r="P20" s="4">
        <f>'Hampshire Daily'!Q23-'Hampshire Daily'!Q22</f>
        <v>60</v>
      </c>
      <c r="Q20" s="4">
        <f>'Hampshire Daily'!T23-'Hampshire Daily'!T22</f>
        <v>6</v>
      </c>
      <c r="R20" s="4">
        <f>'Hampshire Daily'!B23</f>
        <v>37</v>
      </c>
      <c r="S20" s="4">
        <f>'Hampshire Daily'!C23</f>
        <v>94</v>
      </c>
    </row>
    <row r="21" spans="1:19">
      <c r="A21" s="3" t="s">
        <v>12</v>
      </c>
      <c r="B21" s="1">
        <f t="shared" si="0"/>
        <v>20</v>
      </c>
      <c r="C21" s="1">
        <v>4</v>
      </c>
      <c r="D21" s="1">
        <v>2022</v>
      </c>
      <c r="E21" s="4">
        <f>'Hampshire Daily'!D24-'Hampshire Daily'!D23</f>
        <v>2178</v>
      </c>
      <c r="F21" s="4">
        <f>'Hampshire Daily'!E24-'Hampshire Daily'!E23</f>
        <v>4286</v>
      </c>
      <c r="G21" s="4">
        <f>'Hampshire Daily'!F24-'Hampshire Daily'!F23</f>
        <v>219</v>
      </c>
      <c r="H21" s="4">
        <f>'Hampshire Daily'!G24-'Hampshire Daily'!G23</f>
        <v>1932</v>
      </c>
      <c r="I21" s="4">
        <f>'Hampshire Daily'!H24-'Hampshire Daily'!H23</f>
        <v>0</v>
      </c>
      <c r="J21" s="4">
        <f>'Hampshire Daily'!I24-'Hampshire Daily'!I23</f>
        <v>2669</v>
      </c>
      <c r="K21" s="4">
        <f>'Hampshire Daily'!J24-'Hampshire Daily'!J23</f>
        <v>1140</v>
      </c>
      <c r="L21" s="4">
        <f>'Hampshire Daily'!K24-'Hampshire Daily'!K23</f>
        <v>112</v>
      </c>
      <c r="M21" s="4">
        <f>'Hampshire Daily'!N24-'Hampshire Daily'!N23</f>
        <v>2515</v>
      </c>
      <c r="N21" s="4">
        <f>'Hampshire Daily'!O24-'Hampshire Daily'!O23</f>
        <v>76</v>
      </c>
      <c r="O21" s="4">
        <f>'Hampshire Daily'!R24-'Hampshire Daily'!R23</f>
        <v>10</v>
      </c>
      <c r="P21" s="4">
        <f>'Hampshire Daily'!Q24-'Hampshire Daily'!Q23</f>
        <v>54</v>
      </c>
      <c r="Q21" s="4">
        <f>'Hampshire Daily'!T24-'Hampshire Daily'!T23</f>
        <v>5</v>
      </c>
      <c r="R21" s="4">
        <f>'Hampshire Daily'!B24</f>
        <v>31</v>
      </c>
      <c r="S21" s="4">
        <f>'Hampshire Daily'!C24</f>
        <v>85</v>
      </c>
    </row>
    <row r="22" spans="1:19">
      <c r="A22" s="3" t="s">
        <v>12</v>
      </c>
      <c r="B22" s="1">
        <f t="shared" si="0"/>
        <v>21</v>
      </c>
      <c r="C22" s="1">
        <v>4</v>
      </c>
      <c r="D22" s="1">
        <v>2022</v>
      </c>
      <c r="E22" s="4">
        <f>'Hampshire Daily'!D25-'Hampshire Daily'!D24</f>
        <v>1808</v>
      </c>
      <c r="F22" s="4">
        <f>'Hampshire Daily'!E25-'Hampshire Daily'!E24</f>
        <v>3118</v>
      </c>
      <c r="G22" s="4">
        <f>'Hampshire Daily'!F25-'Hampshire Daily'!F24</f>
        <v>0</v>
      </c>
      <c r="H22" s="4">
        <f>'Hampshire Daily'!G25-'Hampshire Daily'!G24</f>
        <v>1873</v>
      </c>
      <c r="I22" s="4">
        <f>'Hampshire Daily'!H25-'Hampshire Daily'!H24</f>
        <v>0</v>
      </c>
      <c r="J22" s="4">
        <f>'Hampshire Daily'!I25-'Hampshire Daily'!I24</f>
        <v>2399</v>
      </c>
      <c r="K22" s="4">
        <f>'Hampshire Daily'!J25-'Hampshire Daily'!J24</f>
        <v>1053</v>
      </c>
      <c r="L22" s="4">
        <f>'Hampshire Daily'!K25-'Hampshire Daily'!K24</f>
        <v>0</v>
      </c>
      <c r="M22" s="4">
        <f>'Hampshire Daily'!N25-'Hampshire Daily'!N24</f>
        <v>2473</v>
      </c>
      <c r="N22" s="4">
        <f>'Hampshire Daily'!O25-'Hampshire Daily'!O24</f>
        <v>72</v>
      </c>
      <c r="O22" s="4">
        <f>'Hampshire Daily'!R25-'Hampshire Daily'!R24</f>
        <v>8</v>
      </c>
      <c r="P22" s="4">
        <f>'Hampshire Daily'!Q25-'Hampshire Daily'!Q24</f>
        <v>44</v>
      </c>
      <c r="Q22" s="4">
        <f>'Hampshire Daily'!T25-'Hampshire Daily'!T24</f>
        <v>6</v>
      </c>
      <c r="R22" s="4">
        <f>'Hampshire Daily'!B25</f>
        <v>58</v>
      </c>
      <c r="S22" s="4">
        <f>'Hampshire Daily'!C25</f>
        <v>103</v>
      </c>
    </row>
    <row r="23" spans="1:19">
      <c r="A23" s="3" t="s">
        <v>12</v>
      </c>
      <c r="B23" s="1">
        <f t="shared" si="0"/>
        <v>22</v>
      </c>
      <c r="C23" s="1">
        <v>4</v>
      </c>
      <c r="D23" s="1">
        <v>2022</v>
      </c>
      <c r="E23" s="4">
        <f>'Hampshire Daily'!D26-'Hampshire Daily'!D25</f>
        <v>2233</v>
      </c>
      <c r="F23" s="4">
        <f>'Hampshire Daily'!E26-'Hampshire Daily'!E25</f>
        <v>4569</v>
      </c>
      <c r="G23" s="4">
        <f>'Hampshire Daily'!F26-'Hampshire Daily'!F25</f>
        <v>329</v>
      </c>
      <c r="H23" s="4">
        <f>'Hampshire Daily'!G26-'Hampshire Daily'!G25</f>
        <v>1936</v>
      </c>
      <c r="I23" s="4">
        <f>'Hampshire Daily'!H26-'Hampshire Daily'!H25</f>
        <v>0</v>
      </c>
      <c r="J23" s="4">
        <f>'Hampshire Daily'!I26-'Hampshire Daily'!I25</f>
        <v>2550</v>
      </c>
      <c r="K23" s="4">
        <f>'Hampshire Daily'!J26-'Hampshire Daily'!J25</f>
        <v>1132</v>
      </c>
      <c r="L23" s="4">
        <f>'Hampshire Daily'!K26-'Hampshire Daily'!K25</f>
        <v>0</v>
      </c>
      <c r="M23" s="4">
        <f>'Hampshire Daily'!N26-'Hampshire Daily'!N25</f>
        <v>2381</v>
      </c>
      <c r="N23" s="4">
        <f>'Hampshire Daily'!O26-'Hampshire Daily'!O25</f>
        <v>69</v>
      </c>
      <c r="O23" s="4">
        <f>'Hampshire Daily'!R26-'Hampshire Daily'!R25</f>
        <v>10</v>
      </c>
      <c r="P23" s="4">
        <f>'Hampshire Daily'!Q26-'Hampshire Daily'!Q25</f>
        <v>45</v>
      </c>
      <c r="Q23" s="4">
        <f>'Hampshire Daily'!T26-'Hampshire Daily'!T25</f>
        <v>5</v>
      </c>
      <c r="R23" s="4">
        <f>'Hampshire Daily'!B26</f>
        <v>26</v>
      </c>
      <c r="S23" s="4">
        <f>'Hampshire Daily'!C26</f>
        <v>60</v>
      </c>
    </row>
    <row r="24" spans="1:19">
      <c r="A24" s="3" t="s">
        <v>12</v>
      </c>
      <c r="B24" s="1">
        <f t="shared" si="0"/>
        <v>23</v>
      </c>
      <c r="C24" s="1">
        <v>4</v>
      </c>
      <c r="D24" s="1">
        <v>2022</v>
      </c>
      <c r="E24" s="4">
        <f>'Hampshire Daily'!D27-'Hampshire Daily'!D26</f>
        <v>2107</v>
      </c>
      <c r="F24" s="4">
        <f>'Hampshire Daily'!E27-'Hampshire Daily'!E26</f>
        <v>3366</v>
      </c>
      <c r="G24" s="4">
        <f>'Hampshire Daily'!F27-'Hampshire Daily'!F26</f>
        <v>39</v>
      </c>
      <c r="H24" s="4">
        <f>'Hampshire Daily'!G27-'Hampshire Daily'!G26</f>
        <v>1845</v>
      </c>
      <c r="I24" s="4">
        <f>'Hampshire Daily'!H27-'Hampshire Daily'!H26</f>
        <v>0</v>
      </c>
      <c r="J24" s="4">
        <f>'Hampshire Daily'!I27-'Hampshire Daily'!I26</f>
        <v>2402</v>
      </c>
      <c r="K24" s="4">
        <f>'Hampshire Daily'!J27-'Hampshire Daily'!J26</f>
        <v>1052</v>
      </c>
      <c r="L24" s="4">
        <f>'Hampshire Daily'!K27-'Hampshire Daily'!K26</f>
        <v>0</v>
      </c>
      <c r="M24" s="4">
        <f>'Hampshire Daily'!N27-'Hampshire Daily'!N26</f>
        <v>2520</v>
      </c>
      <c r="N24" s="4">
        <f>'Hampshire Daily'!O27-'Hampshire Daily'!O26</f>
        <v>71</v>
      </c>
      <c r="O24" s="4">
        <f>'Hampshire Daily'!R27-'Hampshire Daily'!R26</f>
        <v>8</v>
      </c>
      <c r="P24" s="4">
        <f>'Hampshire Daily'!Q27-'Hampshire Daily'!Q26</f>
        <v>41</v>
      </c>
      <c r="Q24" s="4">
        <f>'Hampshire Daily'!T27-'Hampshire Daily'!T26</f>
        <v>5</v>
      </c>
      <c r="R24" s="4">
        <f>'Hampshire Daily'!B27</f>
        <v>55</v>
      </c>
      <c r="S24" s="4">
        <f>'Hampshire Daily'!C27</f>
        <v>103</v>
      </c>
    </row>
    <row r="25" spans="1:19">
      <c r="A25" s="3" t="s">
        <v>12</v>
      </c>
      <c r="B25" s="1">
        <f t="shared" si="0"/>
        <v>24</v>
      </c>
      <c r="C25" s="1">
        <v>4</v>
      </c>
      <c r="D25" s="1">
        <v>2022</v>
      </c>
      <c r="E25" s="4">
        <f>'Hampshire Daily'!D28-'Hampshire Daily'!D27</f>
        <v>3123</v>
      </c>
      <c r="F25" s="4">
        <f>'Hampshire Daily'!E28-'Hampshire Daily'!E27</f>
        <v>2357</v>
      </c>
      <c r="G25" s="4">
        <f>'Hampshire Daily'!F28-'Hampshire Daily'!F27</f>
        <v>2</v>
      </c>
      <c r="H25" s="4">
        <f>'Hampshire Daily'!G28-'Hampshire Daily'!G27</f>
        <v>1788</v>
      </c>
      <c r="I25" s="4">
        <f>'Hampshire Daily'!H28-'Hampshire Daily'!H27</f>
        <v>0</v>
      </c>
      <c r="J25" s="4">
        <f>'Hampshire Daily'!I28-'Hampshire Daily'!I27</f>
        <v>2523</v>
      </c>
      <c r="K25" s="4">
        <f>'Hampshire Daily'!J28-'Hampshire Daily'!J27</f>
        <v>1127</v>
      </c>
      <c r="L25" s="4">
        <f>'Hampshire Daily'!K28-'Hampshire Daily'!K27</f>
        <v>0</v>
      </c>
      <c r="M25" s="4">
        <f>'Hampshire Daily'!N28-'Hampshire Daily'!N27</f>
        <v>2612</v>
      </c>
      <c r="N25" s="4">
        <f>'Hampshire Daily'!O28-'Hampshire Daily'!O27</f>
        <v>72</v>
      </c>
      <c r="O25" s="4">
        <f>'Hampshire Daily'!R28-'Hampshire Daily'!R27</f>
        <v>11</v>
      </c>
      <c r="P25" s="4">
        <f>'Hampshire Daily'!Q28-'Hampshire Daily'!Q27</f>
        <v>43</v>
      </c>
      <c r="Q25" s="4">
        <f>'Hampshire Daily'!T28-'Hampshire Daily'!T27</f>
        <v>10</v>
      </c>
      <c r="R25" s="4">
        <f>'Hampshire Daily'!B28</f>
        <v>61</v>
      </c>
      <c r="S25" s="4">
        <f>'Hampshire Daily'!C28</f>
        <v>96</v>
      </c>
    </row>
    <row r="26" spans="1:19">
      <c r="A26" s="3" t="s">
        <v>12</v>
      </c>
      <c r="B26" s="23">
        <f>B25+1</f>
        <v>25</v>
      </c>
      <c r="C26" s="1">
        <v>4</v>
      </c>
      <c r="D26" s="1">
        <v>2022</v>
      </c>
      <c r="E26" s="4">
        <f>'Hampshire Daily'!D29-'Hampshire Daily'!D28</f>
        <v>2216</v>
      </c>
      <c r="F26" s="4">
        <f>'Hampshire Daily'!E29-'Hampshire Daily'!E28</f>
        <v>3280</v>
      </c>
      <c r="G26" s="4">
        <f>'Hampshire Daily'!F29-'Hampshire Daily'!F28</f>
        <v>0</v>
      </c>
      <c r="H26" s="4">
        <f>'Hampshire Daily'!G29-'Hampshire Daily'!G28</f>
        <v>1815</v>
      </c>
      <c r="I26" s="4">
        <f>'Hampshire Daily'!H29-'Hampshire Daily'!H28</f>
        <v>0</v>
      </c>
      <c r="J26" s="4">
        <f>'Hampshire Daily'!I29-'Hampshire Daily'!I28</f>
        <v>2447</v>
      </c>
      <c r="K26" s="4">
        <f>'Hampshire Daily'!J29-'Hampshire Daily'!J28</f>
        <v>1102</v>
      </c>
      <c r="L26" s="4">
        <f>'Hampshire Daily'!K29-'Hampshire Daily'!K28</f>
        <v>0</v>
      </c>
      <c r="M26" s="4">
        <f>'Hampshire Daily'!N29-'Hampshire Daily'!N28</f>
        <v>2528</v>
      </c>
      <c r="N26" s="4">
        <f>'Hampshire Daily'!O29-'Hampshire Daily'!O28</f>
        <v>93</v>
      </c>
      <c r="O26" s="4">
        <f>'Hampshire Daily'!R29-'Hampshire Daily'!R28</f>
        <v>10</v>
      </c>
      <c r="P26" s="4">
        <f>'Hampshire Daily'!Q29-'Hampshire Daily'!Q28</f>
        <v>47</v>
      </c>
      <c r="Q26" s="4">
        <f>'Hampshire Daily'!T29-'Hampshire Daily'!T28</f>
        <v>6</v>
      </c>
      <c r="R26" s="4">
        <f>'Hampshire Daily'!B29</f>
        <v>75</v>
      </c>
      <c r="S26" s="4">
        <f>'Hampshire Daily'!C29</f>
        <v>84</v>
      </c>
    </row>
    <row r="27" spans="1:19">
      <c r="A27" s="3" t="s">
        <v>12</v>
      </c>
      <c r="B27" s="1">
        <f t="shared" si="0"/>
        <v>26</v>
      </c>
      <c r="C27" s="1">
        <v>4</v>
      </c>
      <c r="D27" s="1">
        <v>2022</v>
      </c>
      <c r="E27" s="4">
        <f>'Hampshire Daily'!D30-'Hampshire Daily'!D29</f>
        <v>2827</v>
      </c>
      <c r="F27" s="4">
        <f>'Hampshire Daily'!E30-'Hampshire Daily'!E29</f>
        <v>3818</v>
      </c>
      <c r="G27" s="4">
        <f>'Hampshire Daily'!F30-'Hampshire Daily'!F29</f>
        <v>0</v>
      </c>
      <c r="H27" s="4">
        <f>'Hampshire Daily'!G30-'Hampshire Daily'!G29</f>
        <v>1885</v>
      </c>
      <c r="I27" s="4">
        <f>'Hampshire Daily'!H30-'Hampshire Daily'!H29</f>
        <v>21</v>
      </c>
      <c r="J27" s="4">
        <f>'Hampshire Daily'!I30-'Hampshire Daily'!I29</f>
        <v>2352</v>
      </c>
      <c r="K27" s="4">
        <f>'Hampshire Daily'!J30-'Hampshire Daily'!J29</f>
        <v>1040</v>
      </c>
      <c r="L27" s="4">
        <f>'Hampshire Daily'!K30-'Hampshire Daily'!K29</f>
        <v>277</v>
      </c>
      <c r="M27" s="4">
        <f>'Hampshire Daily'!N30-'Hampshire Daily'!N29</f>
        <v>2529</v>
      </c>
      <c r="N27" s="4">
        <f>'Hampshire Daily'!O30-'Hampshire Daily'!O29</f>
        <v>94</v>
      </c>
      <c r="O27" s="4">
        <f>'Hampshire Daily'!R30-'Hampshire Daily'!R29</f>
        <v>12</v>
      </c>
      <c r="P27" s="4">
        <f>'Hampshire Daily'!Q30-'Hampshire Daily'!Q29</f>
        <v>49</v>
      </c>
      <c r="Q27" s="4">
        <f>'Hampshire Daily'!T30-'Hampshire Daily'!T29</f>
        <v>5</v>
      </c>
      <c r="R27" s="4">
        <f>'Hampshire Daily'!B30</f>
        <v>101</v>
      </c>
      <c r="S27" s="4">
        <f>'Hampshire Daily'!C30</f>
        <v>113</v>
      </c>
    </row>
    <row r="28" spans="1:19">
      <c r="A28" s="3" t="s">
        <v>12</v>
      </c>
      <c r="B28" s="1">
        <f t="shared" si="0"/>
        <v>27</v>
      </c>
      <c r="C28" s="1">
        <v>4</v>
      </c>
      <c r="D28" s="1">
        <v>2022</v>
      </c>
      <c r="E28" s="4">
        <f>'Hampshire Daily'!D31-'Hampshire Daily'!D30</f>
        <v>5034</v>
      </c>
      <c r="F28" s="4">
        <f>'Hampshire Daily'!E31-'Hampshire Daily'!E30</f>
        <v>3374</v>
      </c>
      <c r="G28" s="4">
        <f>'Hampshire Daily'!F31-'Hampshire Daily'!F30</f>
        <v>11</v>
      </c>
      <c r="H28" s="4">
        <f>'Hampshire Daily'!G31-'Hampshire Daily'!G30</f>
        <v>1873</v>
      </c>
      <c r="I28" s="4">
        <f>'Hampshire Daily'!H31-'Hampshire Daily'!H30</f>
        <v>37</v>
      </c>
      <c r="J28" s="4">
        <f>'Hampshire Daily'!I31-'Hampshire Daily'!I30</f>
        <v>2421</v>
      </c>
      <c r="K28" s="4">
        <f>'Hampshire Daily'!J31-'Hampshire Daily'!J30</f>
        <v>1030</v>
      </c>
      <c r="L28" s="4">
        <f>'Hampshire Daily'!K31-'Hampshire Daily'!K30</f>
        <v>686</v>
      </c>
      <c r="M28" s="4">
        <f>'Hampshire Daily'!N31-'Hampshire Daily'!N30</f>
        <v>2136</v>
      </c>
      <c r="N28" s="4">
        <f>'Hampshire Daily'!O31-'Hampshire Daily'!O30</f>
        <v>94</v>
      </c>
      <c r="O28" s="4">
        <f>'Hampshire Daily'!R31-'Hampshire Daily'!R30</f>
        <v>10</v>
      </c>
      <c r="P28" s="4">
        <f>'Hampshire Daily'!Q31-'Hampshire Daily'!Q30</f>
        <v>53</v>
      </c>
      <c r="Q28" s="4">
        <f>'Hampshire Daily'!T31-'Hampshire Daily'!T30</f>
        <v>5</v>
      </c>
      <c r="R28" s="4">
        <f>'Hampshire Daily'!B31</f>
        <v>38</v>
      </c>
      <c r="S28" s="4">
        <f>'Hampshire Daily'!C31</f>
        <v>63</v>
      </c>
    </row>
    <row r="29" spans="1:19">
      <c r="A29" s="3" t="s">
        <v>12</v>
      </c>
      <c r="B29" s="1">
        <f t="shared" si="0"/>
        <v>28</v>
      </c>
      <c r="C29" s="1">
        <v>4</v>
      </c>
      <c r="D29" s="1">
        <v>2022</v>
      </c>
      <c r="E29" s="4">
        <f>'Hampshire Daily'!D32-'Hampshire Daily'!D31</f>
        <v>5071</v>
      </c>
      <c r="F29" s="4">
        <f>'Hampshire Daily'!E32-'Hampshire Daily'!E31</f>
        <v>3425</v>
      </c>
      <c r="G29" s="4">
        <f>'Hampshire Daily'!F32-'Hampshire Daily'!F31</f>
        <v>0</v>
      </c>
      <c r="H29" s="4">
        <f>'Hampshire Daily'!G32-'Hampshire Daily'!G31</f>
        <v>1999</v>
      </c>
      <c r="I29" s="4">
        <f>'Hampshire Daily'!H32-'Hampshire Daily'!H31</f>
        <v>13</v>
      </c>
      <c r="J29" s="4">
        <f>'Hampshire Daily'!I32-'Hampshire Daily'!I31</f>
        <v>2327</v>
      </c>
      <c r="K29" s="4">
        <f>'Hampshire Daily'!J32-'Hampshire Daily'!J31</f>
        <v>935</v>
      </c>
      <c r="L29" s="4">
        <f>'Hampshire Daily'!K32-'Hampshire Daily'!K31</f>
        <v>715</v>
      </c>
      <c r="M29" s="4">
        <f>'Hampshire Daily'!N32-'Hampshire Daily'!N31</f>
        <v>2377</v>
      </c>
      <c r="N29" s="4">
        <f>'Hampshire Daily'!O32-'Hampshire Daily'!O31</f>
        <v>92</v>
      </c>
      <c r="O29" s="4">
        <f>'Hampshire Daily'!R32-'Hampshire Daily'!R31</f>
        <v>11</v>
      </c>
      <c r="P29" s="4">
        <f>'Hampshire Daily'!Q32-'Hampshire Daily'!Q31</f>
        <v>52</v>
      </c>
      <c r="Q29" s="4">
        <f>'Hampshire Daily'!T32-'Hampshire Daily'!T31</f>
        <v>7</v>
      </c>
      <c r="R29" s="4">
        <f>'Hampshire Daily'!B32</f>
        <v>34</v>
      </c>
      <c r="S29" s="4">
        <f>'Hampshire Daily'!C32</f>
        <v>63</v>
      </c>
    </row>
    <row r="30" spans="1:19">
      <c r="A30" s="3" t="s">
        <v>12</v>
      </c>
      <c r="B30" s="1">
        <f t="shared" si="0"/>
        <v>29</v>
      </c>
      <c r="C30" s="1">
        <v>4</v>
      </c>
      <c r="D30" s="1">
        <v>2022</v>
      </c>
      <c r="E30" s="4">
        <f>'Hampshire Daily'!D33-'Hampshire Daily'!D32</f>
        <v>5093</v>
      </c>
      <c r="F30" s="4">
        <f>'Hampshire Daily'!E33-'Hampshire Daily'!E32</f>
        <v>3293</v>
      </c>
      <c r="G30" s="4">
        <f>'Hampshire Daily'!F33-'Hampshire Daily'!F32</f>
        <v>0</v>
      </c>
      <c r="H30" s="4">
        <f>'Hampshire Daily'!G33-'Hampshire Daily'!G32</f>
        <v>2024</v>
      </c>
      <c r="I30" s="4">
        <f>'Hampshire Daily'!H33-'Hampshire Daily'!H32</f>
        <v>0</v>
      </c>
      <c r="J30" s="4">
        <f>'Hampshire Daily'!I33-'Hampshire Daily'!I32</f>
        <v>2378</v>
      </c>
      <c r="K30" s="4">
        <f>'Hampshire Daily'!J33-'Hampshire Daily'!J32</f>
        <v>943</v>
      </c>
      <c r="L30" s="4">
        <f>'Hampshire Daily'!K33-'Hampshire Daily'!K32</f>
        <v>718</v>
      </c>
      <c r="M30" s="4">
        <f>'Hampshire Daily'!N33-'Hampshire Daily'!N32</f>
        <v>2257</v>
      </c>
      <c r="N30" s="4">
        <f>'Hampshire Daily'!O33-'Hampshire Daily'!O32</f>
        <v>87</v>
      </c>
      <c r="O30" s="4">
        <f>'Hampshire Daily'!R33-'Hampshire Daily'!R32</f>
        <v>13</v>
      </c>
      <c r="P30" s="4">
        <f>'Hampshire Daily'!Q33-'Hampshire Daily'!Q32</f>
        <v>42</v>
      </c>
      <c r="Q30" s="4">
        <f>'Hampshire Daily'!T33-'Hampshire Daily'!T32</f>
        <v>6</v>
      </c>
      <c r="R30" s="4">
        <f>'Hampshire Daily'!B33</f>
        <v>62</v>
      </c>
      <c r="S30" s="4">
        <f>'Hampshire Daily'!C33</f>
        <v>150</v>
      </c>
    </row>
    <row r="31" spans="1:19">
      <c r="A31" s="3" t="s">
        <v>12</v>
      </c>
      <c r="B31" s="1">
        <f t="shared" si="0"/>
        <v>30</v>
      </c>
      <c r="C31" s="1">
        <v>4</v>
      </c>
      <c r="D31" s="1">
        <v>2022</v>
      </c>
      <c r="E31" s="4">
        <f>'Hampshire Daily'!D34-'Hampshire Daily'!D33</f>
        <v>5088</v>
      </c>
      <c r="F31" s="4">
        <f>'Hampshire Daily'!E34-'Hampshire Daily'!E33</f>
        <v>3181</v>
      </c>
      <c r="G31" s="4">
        <f>'Hampshire Daily'!F34-'Hampshire Daily'!F33</f>
        <v>0</v>
      </c>
      <c r="H31" s="4">
        <f>'Hampshire Daily'!G34-'Hampshire Daily'!G33</f>
        <v>1974</v>
      </c>
      <c r="I31" s="4">
        <f>'Hampshire Daily'!H34-'Hampshire Daily'!H33</f>
        <v>0</v>
      </c>
      <c r="J31" s="4">
        <f>'Hampshire Daily'!I34-'Hampshire Daily'!I33</f>
        <v>2406</v>
      </c>
      <c r="K31" s="4">
        <f>'Hampshire Daily'!J34-'Hampshire Daily'!J33</f>
        <v>1020</v>
      </c>
      <c r="L31" s="4">
        <f>'Hampshire Daily'!K34-'Hampshire Daily'!K33</f>
        <v>717</v>
      </c>
      <c r="M31" s="4">
        <f>'Hampshire Daily'!N34-'Hampshire Daily'!N33</f>
        <v>2363</v>
      </c>
      <c r="N31" s="4">
        <f>'Hampshire Daily'!O34-'Hampshire Daily'!O33</f>
        <v>86</v>
      </c>
      <c r="O31" s="4">
        <f>'Hampshire Daily'!R34-'Hampshire Daily'!R33</f>
        <v>12</v>
      </c>
      <c r="P31" s="4">
        <f>'Hampshire Daily'!Q34-'Hampshire Daily'!Q33</f>
        <v>46</v>
      </c>
      <c r="Q31" s="4">
        <f>'Hampshire Daily'!T34-'Hampshire Daily'!T33</f>
        <v>4</v>
      </c>
      <c r="R31" s="4">
        <f>'Hampshire Daily'!B34</f>
        <v>100</v>
      </c>
      <c r="S31" s="4">
        <f>'Hampshire Daily'!C34</f>
        <v>238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W237"/>
  <sheetViews>
    <sheetView tabSelected="1" zoomScaleNormal="100" workbookViewId="0">
      <pane xSplit="1" ySplit="3" topLeftCell="B4" activePane="bottomRight" state="frozen"/>
      <selection pane="bottomRight" activeCell="U3" sqref="U3:Y5"/>
      <selection pane="bottomLeft"/>
      <selection pane="topRight"/>
    </sheetView>
  </sheetViews>
  <sheetFormatPr defaultRowHeight="15"/>
  <cols>
    <col min="1" max="1" width="8.7109375" style="16" customWidth="1"/>
    <col min="2" max="3" width="8.7109375" style="20" customWidth="1"/>
    <col min="4" max="4" width="10" customWidth="1"/>
    <col min="5" max="5" width="9.7109375" customWidth="1"/>
    <col min="6" max="6" width="9.42578125" customWidth="1"/>
    <col min="7" max="7" width="10.28515625" customWidth="1"/>
    <col min="8" max="9" width="10.140625" customWidth="1"/>
    <col min="11" max="11" width="10.5703125" customWidth="1"/>
    <col min="12" max="12" width="11.42578125" style="1" customWidth="1"/>
    <col min="13" max="13" width="10.5703125" style="1" customWidth="1"/>
    <col min="18" max="18" width="10.42578125" customWidth="1"/>
  </cols>
  <sheetData>
    <row r="1" spans="1:23" ht="15" customHeight="1">
      <c r="A1" s="52"/>
      <c r="B1" s="19"/>
      <c r="C1" s="19"/>
      <c r="D1" s="62" t="s">
        <v>27</v>
      </c>
      <c r="E1" s="63"/>
      <c r="F1" s="63"/>
      <c r="G1" s="63"/>
      <c r="H1" s="63"/>
      <c r="I1" s="63"/>
      <c r="J1" s="63"/>
      <c r="K1" s="63"/>
      <c r="L1" s="63"/>
      <c r="M1" s="64"/>
      <c r="N1" s="45" t="s">
        <v>28</v>
      </c>
      <c r="O1" s="47" t="s">
        <v>29</v>
      </c>
      <c r="P1" s="47" t="s">
        <v>30</v>
      </c>
      <c r="Q1" s="49"/>
      <c r="R1" s="47" t="s">
        <v>31</v>
      </c>
      <c r="S1" s="50" t="s">
        <v>32</v>
      </c>
      <c r="T1" s="41" t="s">
        <v>33</v>
      </c>
    </row>
    <row r="2" spans="1:23" ht="15" customHeight="1">
      <c r="A2" s="53"/>
      <c r="B2" s="57" t="s">
        <v>34</v>
      </c>
      <c r="C2" s="57" t="s">
        <v>35</v>
      </c>
      <c r="D2" s="59" t="s">
        <v>36</v>
      </c>
      <c r="E2" s="55" t="s">
        <v>37</v>
      </c>
      <c r="F2" s="55" t="s">
        <v>38</v>
      </c>
      <c r="G2" s="55" t="s">
        <v>39</v>
      </c>
      <c r="H2" s="55" t="s">
        <v>40</v>
      </c>
      <c r="I2" s="55" t="s">
        <v>41</v>
      </c>
      <c r="J2" s="55" t="s">
        <v>42</v>
      </c>
      <c r="K2" s="55" t="s">
        <v>43</v>
      </c>
      <c r="L2" s="44" t="s">
        <v>44</v>
      </c>
      <c r="M2" s="44" t="s">
        <v>45</v>
      </c>
      <c r="N2" s="46"/>
      <c r="O2" s="47"/>
      <c r="P2" s="47"/>
      <c r="Q2" s="49"/>
      <c r="R2" s="47"/>
      <c r="S2" s="50"/>
      <c r="T2" s="42"/>
    </row>
    <row r="3" spans="1:23" ht="27" customHeight="1" thickBot="1">
      <c r="A3" s="54"/>
      <c r="B3" s="58"/>
      <c r="C3" s="58"/>
      <c r="D3" s="60"/>
      <c r="E3" s="61"/>
      <c r="F3" s="55"/>
      <c r="G3" s="55"/>
      <c r="H3" s="55"/>
      <c r="I3" s="55"/>
      <c r="J3" s="55"/>
      <c r="K3" s="56"/>
      <c r="L3" s="44"/>
      <c r="M3" s="44"/>
      <c r="N3" s="46"/>
      <c r="O3" s="48"/>
      <c r="P3" s="49"/>
      <c r="Q3" s="49"/>
      <c r="R3" s="48"/>
      <c r="S3" s="51"/>
      <c r="T3" s="43"/>
    </row>
    <row r="4" spans="1:23" s="17" customFormat="1" ht="19.899999999999999" customHeight="1">
      <c r="A4" s="18">
        <v>44651</v>
      </c>
      <c r="B4" s="35">
        <v>134</v>
      </c>
      <c r="C4" s="36">
        <v>135</v>
      </c>
      <c r="D4" s="34">
        <v>1354731</v>
      </c>
      <c r="E4" s="34">
        <v>1465832</v>
      </c>
      <c r="F4" s="34">
        <v>313215</v>
      </c>
      <c r="G4" s="34">
        <v>7679105</v>
      </c>
      <c r="H4" s="34">
        <v>33550</v>
      </c>
      <c r="I4" s="34">
        <v>5798854</v>
      </c>
      <c r="J4" s="34">
        <v>30158</v>
      </c>
      <c r="K4" s="34">
        <v>2651631</v>
      </c>
      <c r="L4" s="34">
        <v>3595</v>
      </c>
      <c r="M4" s="34">
        <v>2928</v>
      </c>
      <c r="N4" s="34">
        <v>1722870</v>
      </c>
      <c r="O4" s="34">
        <v>389028</v>
      </c>
      <c r="P4" s="34">
        <v>350536</v>
      </c>
      <c r="Q4" s="34">
        <v>54074</v>
      </c>
      <c r="R4" s="34">
        <v>53764</v>
      </c>
      <c r="S4" s="34">
        <v>31267</v>
      </c>
      <c r="T4" s="34">
        <v>3340</v>
      </c>
      <c r="U4"/>
      <c r="V4"/>
    </row>
    <row r="5" spans="1:23">
      <c r="A5" s="18">
        <f>A4+1</f>
        <v>44652</v>
      </c>
      <c r="B5" s="22">
        <v>110</v>
      </c>
      <c r="C5" s="22">
        <v>165</v>
      </c>
      <c r="D5" s="21">
        <v>1357786</v>
      </c>
      <c r="E5" s="21">
        <v>1465915</v>
      </c>
      <c r="F5" s="21">
        <v>313215</v>
      </c>
      <c r="G5" s="21">
        <v>7681484</v>
      </c>
      <c r="H5" s="32">
        <v>33582</v>
      </c>
      <c r="I5" s="32">
        <v>5801369</v>
      </c>
      <c r="J5" s="21">
        <v>31308</v>
      </c>
      <c r="K5" s="21">
        <v>2651632</v>
      </c>
      <c r="L5" s="28">
        <v>3600</v>
      </c>
      <c r="M5" s="28">
        <v>2928</v>
      </c>
      <c r="N5" s="21">
        <v>1726399</v>
      </c>
      <c r="O5" s="21">
        <v>389096</v>
      </c>
      <c r="P5" s="21">
        <v>350513</v>
      </c>
      <c r="Q5" s="21">
        <v>54118</v>
      </c>
      <c r="R5" s="21">
        <v>53777</v>
      </c>
      <c r="S5" s="21">
        <v>31269</v>
      </c>
      <c r="T5" s="21">
        <v>3349</v>
      </c>
    </row>
    <row r="6" spans="1:23">
      <c r="A6" s="18">
        <f t="shared" ref="A6:A33" si="0">A5+1</f>
        <v>44653</v>
      </c>
      <c r="B6" s="22">
        <v>96</v>
      </c>
      <c r="C6" s="22">
        <v>178</v>
      </c>
      <c r="D6" s="21">
        <v>1361006</v>
      </c>
      <c r="E6" s="21">
        <v>1471446</v>
      </c>
      <c r="F6" s="21">
        <v>313215</v>
      </c>
      <c r="G6" s="21">
        <v>7683633</v>
      </c>
      <c r="H6" s="32">
        <v>33582</v>
      </c>
      <c r="I6" s="32">
        <v>5803963</v>
      </c>
      <c r="J6" s="21">
        <v>32450</v>
      </c>
      <c r="K6" s="21">
        <v>2651633</v>
      </c>
      <c r="L6" s="28">
        <v>3600</v>
      </c>
      <c r="M6" s="28">
        <v>2928</v>
      </c>
      <c r="N6" s="21">
        <v>1729690</v>
      </c>
      <c r="O6" s="21">
        <v>389173</v>
      </c>
      <c r="P6" s="21">
        <v>350618</v>
      </c>
      <c r="Q6" s="21">
        <v>54168</v>
      </c>
      <c r="R6" s="21">
        <v>53787</v>
      </c>
      <c r="S6" s="21">
        <v>31271</v>
      </c>
      <c r="T6" s="21">
        <v>3352</v>
      </c>
      <c r="W6" s="27"/>
    </row>
    <row r="7" spans="1:23">
      <c r="A7" s="18">
        <f t="shared" si="0"/>
        <v>44654</v>
      </c>
      <c r="B7" s="22">
        <v>48</v>
      </c>
      <c r="C7" s="22">
        <v>116</v>
      </c>
      <c r="D7" s="21">
        <v>1364256</v>
      </c>
      <c r="E7" s="21">
        <v>1473772</v>
      </c>
      <c r="F7" s="21">
        <v>313215</v>
      </c>
      <c r="G7" s="21">
        <v>7685638</v>
      </c>
      <c r="H7" s="32">
        <v>33582</v>
      </c>
      <c r="I7" s="32">
        <v>5806660</v>
      </c>
      <c r="J7" s="21">
        <v>33606</v>
      </c>
      <c r="K7" s="21">
        <v>2651634</v>
      </c>
      <c r="L7" s="28">
        <v>3600</v>
      </c>
      <c r="M7" s="28">
        <v>2928</v>
      </c>
      <c r="N7" s="21">
        <v>1733044</v>
      </c>
      <c r="O7" s="21">
        <v>389267</v>
      </c>
      <c r="P7" s="21">
        <v>350678</v>
      </c>
      <c r="Q7" s="21">
        <v>54230</v>
      </c>
      <c r="R7" s="21">
        <v>53797</v>
      </c>
      <c r="S7" s="21">
        <v>31273</v>
      </c>
      <c r="T7" s="21">
        <v>3361</v>
      </c>
    </row>
    <row r="8" spans="1:23">
      <c r="A8" s="18">
        <f t="shared" si="0"/>
        <v>44655</v>
      </c>
      <c r="B8" s="22">
        <v>38</v>
      </c>
      <c r="C8" s="22">
        <v>86</v>
      </c>
      <c r="D8" s="21">
        <v>1367206</v>
      </c>
      <c r="E8" s="21">
        <v>1475971</v>
      </c>
      <c r="F8" s="21">
        <v>313215</v>
      </c>
      <c r="G8" s="21">
        <v>7687393</v>
      </c>
      <c r="H8" s="32">
        <v>33582</v>
      </c>
      <c r="I8" s="32">
        <v>5809237</v>
      </c>
      <c r="J8" s="21">
        <v>34756</v>
      </c>
      <c r="K8" s="21">
        <v>2651635</v>
      </c>
      <c r="L8" s="28">
        <v>3584</v>
      </c>
      <c r="M8" s="28">
        <v>2924</v>
      </c>
      <c r="N8" s="21">
        <v>1736001</v>
      </c>
      <c r="O8" s="21">
        <v>389312</v>
      </c>
      <c r="P8" s="21">
        <v>350232</v>
      </c>
      <c r="Q8" s="21">
        <v>54289</v>
      </c>
      <c r="R8" s="21">
        <v>53807</v>
      </c>
      <c r="S8" s="21">
        <v>31274</v>
      </c>
      <c r="T8" s="21">
        <v>3364</v>
      </c>
    </row>
    <row r="9" spans="1:23">
      <c r="A9" s="18">
        <f t="shared" si="0"/>
        <v>44656</v>
      </c>
      <c r="B9" s="22">
        <v>121</v>
      </c>
      <c r="C9" s="22">
        <v>156</v>
      </c>
      <c r="D9" s="21">
        <v>1370435</v>
      </c>
      <c r="E9" s="21">
        <v>1477893</v>
      </c>
      <c r="F9" s="21">
        <v>313215</v>
      </c>
      <c r="G9" s="21">
        <v>7689358</v>
      </c>
      <c r="H9" s="32">
        <v>33582</v>
      </c>
      <c r="I9" s="32">
        <v>5812805</v>
      </c>
      <c r="J9" s="21">
        <v>35901</v>
      </c>
      <c r="K9" s="21">
        <v>2651635</v>
      </c>
      <c r="L9" s="28">
        <v>3438</v>
      </c>
      <c r="M9" s="28">
        <v>2877</v>
      </c>
      <c r="N9" s="21">
        <v>1738818</v>
      </c>
      <c r="O9" s="21">
        <v>389428</v>
      </c>
      <c r="P9" s="21">
        <v>350773</v>
      </c>
      <c r="Q9" s="21">
        <v>54334</v>
      </c>
      <c r="R9" s="21">
        <v>53818</v>
      </c>
      <c r="S9" s="21">
        <v>31275</v>
      </c>
      <c r="T9" s="21">
        <v>3368</v>
      </c>
    </row>
    <row r="10" spans="1:23">
      <c r="A10" s="18">
        <f t="shared" si="0"/>
        <v>44657</v>
      </c>
      <c r="B10" s="22">
        <v>28</v>
      </c>
      <c r="C10" s="22">
        <v>66</v>
      </c>
      <c r="D10" s="21">
        <v>1374029</v>
      </c>
      <c r="E10" s="21">
        <v>1479766</v>
      </c>
      <c r="F10" s="21">
        <v>313241</v>
      </c>
      <c r="G10" s="21">
        <v>7691504</v>
      </c>
      <c r="H10" s="32">
        <v>33582</v>
      </c>
      <c r="I10" s="32">
        <v>5814307</v>
      </c>
      <c r="J10" s="21">
        <v>37055</v>
      </c>
      <c r="K10" s="21">
        <v>2651651</v>
      </c>
      <c r="L10" s="28">
        <v>3520</v>
      </c>
      <c r="M10" s="28">
        <v>2924</v>
      </c>
      <c r="N10" s="21">
        <v>1741425</v>
      </c>
      <c r="O10" s="21">
        <v>389512</v>
      </c>
      <c r="P10" s="21">
        <v>350821</v>
      </c>
      <c r="Q10" s="21">
        <v>54389</v>
      </c>
      <c r="R10" s="21">
        <v>53829</v>
      </c>
      <c r="S10" s="21">
        <v>31278</v>
      </c>
      <c r="T10" s="21">
        <v>3372</v>
      </c>
    </row>
    <row r="11" spans="1:23">
      <c r="A11" s="18">
        <f t="shared" si="0"/>
        <v>44658</v>
      </c>
      <c r="B11" s="22">
        <v>22</v>
      </c>
      <c r="C11" s="22">
        <v>51</v>
      </c>
      <c r="D11" s="21">
        <v>1377138</v>
      </c>
      <c r="E11" s="21">
        <v>1481681</v>
      </c>
      <c r="F11" s="21">
        <v>313241</v>
      </c>
      <c r="G11" s="21">
        <v>7693521</v>
      </c>
      <c r="H11" s="32">
        <v>33582</v>
      </c>
      <c r="I11" s="32">
        <v>5816798</v>
      </c>
      <c r="J11" s="21">
        <v>38201</v>
      </c>
      <c r="K11" s="21">
        <v>2651652</v>
      </c>
      <c r="L11" s="28">
        <v>3502</v>
      </c>
      <c r="M11" s="28">
        <v>2923</v>
      </c>
      <c r="N11" s="21">
        <v>1744239</v>
      </c>
      <c r="O11" s="21">
        <v>389584</v>
      </c>
      <c r="P11" s="21">
        <v>350865</v>
      </c>
      <c r="Q11" s="21">
        <v>54438</v>
      </c>
      <c r="R11" s="21">
        <v>53838</v>
      </c>
      <c r="S11" s="21">
        <v>31280</v>
      </c>
      <c r="T11" s="21">
        <v>3375</v>
      </c>
    </row>
    <row r="12" spans="1:23">
      <c r="A12" s="18">
        <f t="shared" si="0"/>
        <v>44659</v>
      </c>
      <c r="B12" s="22">
        <v>50</v>
      </c>
      <c r="C12" s="22">
        <v>128</v>
      </c>
      <c r="D12" s="21">
        <v>1379662</v>
      </c>
      <c r="E12" s="21">
        <v>1484256</v>
      </c>
      <c r="F12" s="21">
        <v>313241</v>
      </c>
      <c r="G12" s="21">
        <v>7695412</v>
      </c>
      <c r="H12" s="32">
        <v>33582</v>
      </c>
      <c r="I12" s="32">
        <v>5819193</v>
      </c>
      <c r="J12" s="21">
        <v>39345</v>
      </c>
      <c r="K12" s="21">
        <v>2651652</v>
      </c>
      <c r="L12" s="28">
        <v>3553</v>
      </c>
      <c r="M12" s="28">
        <v>2921</v>
      </c>
      <c r="N12" s="21">
        <v>1747310</v>
      </c>
      <c r="O12" s="21">
        <v>389654</v>
      </c>
      <c r="P12" s="21">
        <v>350898</v>
      </c>
      <c r="Q12" s="21">
        <v>54476</v>
      </c>
      <c r="R12" s="21">
        <v>53847</v>
      </c>
      <c r="S12" s="21">
        <v>31284</v>
      </c>
      <c r="T12" s="21">
        <v>3379</v>
      </c>
    </row>
    <row r="13" spans="1:23">
      <c r="A13" s="18">
        <f t="shared" si="0"/>
        <v>44660</v>
      </c>
      <c r="B13" s="39">
        <v>80</v>
      </c>
      <c r="C13" s="39">
        <v>202</v>
      </c>
      <c r="D13" s="21">
        <v>1381839</v>
      </c>
      <c r="E13" s="21">
        <v>1487167</v>
      </c>
      <c r="F13" s="21">
        <v>313241</v>
      </c>
      <c r="G13" s="21">
        <v>7697468</v>
      </c>
      <c r="H13" s="32">
        <v>33582</v>
      </c>
      <c r="I13" s="32">
        <v>5821799</v>
      </c>
      <c r="J13" s="21">
        <v>40495</v>
      </c>
      <c r="K13" s="21">
        <v>2651653</v>
      </c>
      <c r="L13" s="28">
        <v>3599</v>
      </c>
      <c r="M13" s="28">
        <v>2927</v>
      </c>
      <c r="N13" s="21">
        <v>1750152</v>
      </c>
      <c r="O13" s="21">
        <v>389738</v>
      </c>
      <c r="P13" s="21">
        <v>350942</v>
      </c>
      <c r="Q13" s="21">
        <v>54526</v>
      </c>
      <c r="R13" s="21">
        <v>53858</v>
      </c>
      <c r="S13" s="21">
        <v>31286</v>
      </c>
      <c r="T13" s="21">
        <v>3383</v>
      </c>
    </row>
    <row r="14" spans="1:23">
      <c r="A14" s="18">
        <f t="shared" si="0"/>
        <v>44661</v>
      </c>
      <c r="B14" s="22">
        <v>62</v>
      </c>
      <c r="C14" s="22">
        <v>148</v>
      </c>
      <c r="D14" s="21">
        <v>1385023</v>
      </c>
      <c r="E14" s="21">
        <v>1489753</v>
      </c>
      <c r="F14" s="21">
        <v>313241</v>
      </c>
      <c r="G14" s="21">
        <v>7699417</v>
      </c>
      <c r="H14" s="32">
        <v>33582</v>
      </c>
      <c r="I14" s="32">
        <v>5824302</v>
      </c>
      <c r="J14" s="21">
        <v>41640</v>
      </c>
      <c r="K14" s="21">
        <v>2651653</v>
      </c>
      <c r="L14" s="28">
        <v>3600</v>
      </c>
      <c r="M14" s="28">
        <v>2927</v>
      </c>
      <c r="N14" s="21">
        <v>1753115</v>
      </c>
      <c r="O14" s="21">
        <v>389821</v>
      </c>
      <c r="P14" s="21">
        <v>350996</v>
      </c>
      <c r="Q14" s="21">
        <v>54583</v>
      </c>
      <c r="R14" s="21">
        <v>53872</v>
      </c>
      <c r="S14" s="21">
        <v>31287</v>
      </c>
      <c r="T14" s="21">
        <v>3391</v>
      </c>
    </row>
    <row r="15" spans="1:23">
      <c r="A15" s="18">
        <f t="shared" si="0"/>
        <v>44662</v>
      </c>
      <c r="B15" s="22">
        <v>73</v>
      </c>
      <c r="C15" s="22">
        <v>146</v>
      </c>
      <c r="D15" s="21">
        <v>1387887</v>
      </c>
      <c r="E15" s="21">
        <v>1491126</v>
      </c>
      <c r="F15" s="21">
        <v>313241</v>
      </c>
      <c r="G15" s="21">
        <v>7701241</v>
      </c>
      <c r="H15" s="32">
        <v>33582</v>
      </c>
      <c r="I15" s="32">
        <v>5826920</v>
      </c>
      <c r="J15" s="21">
        <v>42780</v>
      </c>
      <c r="K15" s="21">
        <v>2651653</v>
      </c>
      <c r="L15" s="28">
        <v>3411</v>
      </c>
      <c r="M15" s="28">
        <v>2927</v>
      </c>
      <c r="N15" s="21">
        <v>1755938</v>
      </c>
      <c r="O15" s="21">
        <v>389922</v>
      </c>
      <c r="P15" s="21">
        <v>351048</v>
      </c>
      <c r="Q15" s="21">
        <v>54640</v>
      </c>
      <c r="R15" s="21">
        <v>53883</v>
      </c>
      <c r="S15" s="21">
        <v>31302</v>
      </c>
      <c r="T15" s="21">
        <v>3399</v>
      </c>
    </row>
    <row r="16" spans="1:23">
      <c r="A16" s="18">
        <f t="shared" si="0"/>
        <v>44663</v>
      </c>
      <c r="B16" s="22">
        <v>78</v>
      </c>
      <c r="C16" s="22">
        <v>163</v>
      </c>
      <c r="D16" s="21">
        <v>1390830</v>
      </c>
      <c r="E16" s="21">
        <v>1493061</v>
      </c>
      <c r="F16" s="21">
        <v>313278</v>
      </c>
      <c r="G16" s="21">
        <v>7703007</v>
      </c>
      <c r="H16" s="32">
        <v>33582</v>
      </c>
      <c r="I16" s="32">
        <v>5829459</v>
      </c>
      <c r="J16" s="21">
        <v>43946</v>
      </c>
      <c r="K16" s="21">
        <v>2651654</v>
      </c>
      <c r="L16" s="28">
        <v>3493</v>
      </c>
      <c r="M16" s="28">
        <v>2873</v>
      </c>
      <c r="N16" s="21">
        <v>1758420</v>
      </c>
      <c r="O16" s="21">
        <v>390011</v>
      </c>
      <c r="P16" s="21">
        <v>351098</v>
      </c>
      <c r="Q16" s="21">
        <v>54694</v>
      </c>
      <c r="R16" s="21">
        <v>53894</v>
      </c>
      <c r="S16" s="21">
        <v>31302</v>
      </c>
      <c r="T16" s="21">
        <v>3406</v>
      </c>
    </row>
    <row r="17" spans="1:22">
      <c r="A17" s="18">
        <f t="shared" si="0"/>
        <v>44664</v>
      </c>
      <c r="B17" s="22">
        <v>58</v>
      </c>
      <c r="C17" s="22">
        <v>143</v>
      </c>
      <c r="D17" s="21">
        <v>1394120</v>
      </c>
      <c r="E17" s="21">
        <v>1495003</v>
      </c>
      <c r="F17" s="21">
        <v>313287</v>
      </c>
      <c r="G17" s="21">
        <v>7704814</v>
      </c>
      <c r="H17" s="32">
        <v>33582</v>
      </c>
      <c r="I17" s="32">
        <v>5832071</v>
      </c>
      <c r="J17" s="21">
        <v>45096</v>
      </c>
      <c r="K17" s="21">
        <v>2651666</v>
      </c>
      <c r="L17" s="28">
        <v>3575</v>
      </c>
      <c r="M17" s="28">
        <v>2918</v>
      </c>
      <c r="N17" s="21">
        <v>1760957</v>
      </c>
      <c r="O17" s="21">
        <v>390089</v>
      </c>
      <c r="P17" s="21">
        <v>351151</v>
      </c>
      <c r="Q17" s="21">
        <v>54749</v>
      </c>
      <c r="R17" s="21">
        <v>53906</v>
      </c>
      <c r="S17" s="21">
        <v>31304</v>
      </c>
      <c r="T17" s="21">
        <v>3411</v>
      </c>
    </row>
    <row r="18" spans="1:22">
      <c r="A18" s="18">
        <f t="shared" si="0"/>
        <v>44665</v>
      </c>
      <c r="B18" s="22">
        <v>59</v>
      </c>
      <c r="C18" s="22">
        <v>161</v>
      </c>
      <c r="D18" s="21">
        <v>1397417</v>
      </c>
      <c r="E18" s="21">
        <v>1496899</v>
      </c>
      <c r="F18" s="21">
        <v>313287</v>
      </c>
      <c r="G18" s="21">
        <v>7706792</v>
      </c>
      <c r="H18" s="32">
        <v>33582</v>
      </c>
      <c r="I18" s="32">
        <v>5834807</v>
      </c>
      <c r="J18" s="21">
        <v>46246</v>
      </c>
      <c r="K18" s="21">
        <v>2651666</v>
      </c>
      <c r="L18" s="40">
        <v>3599</v>
      </c>
      <c r="M18" s="40">
        <v>2916</v>
      </c>
      <c r="N18" s="21">
        <v>1763533</v>
      </c>
      <c r="O18" s="21">
        <v>390177</v>
      </c>
      <c r="P18" s="21">
        <v>351201</v>
      </c>
      <c r="Q18" s="21">
        <v>54803</v>
      </c>
      <c r="R18" s="21">
        <v>53918</v>
      </c>
      <c r="S18" s="21">
        <v>31305</v>
      </c>
      <c r="T18" s="21">
        <v>3412</v>
      </c>
    </row>
    <row r="19" spans="1:22">
      <c r="A19" s="18">
        <f t="shared" si="0"/>
        <v>44666</v>
      </c>
      <c r="B19" s="22">
        <v>88</v>
      </c>
      <c r="C19" s="22">
        <v>241</v>
      </c>
      <c r="D19" s="21">
        <v>1399398</v>
      </c>
      <c r="E19" s="21">
        <v>1499955</v>
      </c>
      <c r="F19" s="21">
        <v>313287</v>
      </c>
      <c r="G19" s="21">
        <v>7708574</v>
      </c>
      <c r="H19" s="32">
        <v>33582</v>
      </c>
      <c r="I19" s="32">
        <v>5837257</v>
      </c>
      <c r="J19" s="21">
        <v>47294</v>
      </c>
      <c r="K19" s="21">
        <v>2651666</v>
      </c>
      <c r="L19" s="28">
        <v>3585</v>
      </c>
      <c r="M19" s="28">
        <v>2868</v>
      </c>
      <c r="N19" s="21">
        <v>1765940</v>
      </c>
      <c r="O19" s="21">
        <v>390254</v>
      </c>
      <c r="P19" s="21">
        <v>351245</v>
      </c>
      <c r="Q19" s="21">
        <v>54852</v>
      </c>
      <c r="R19" s="21">
        <v>53928</v>
      </c>
      <c r="S19" s="21">
        <v>31306</v>
      </c>
      <c r="T19" s="21">
        <v>3419</v>
      </c>
    </row>
    <row r="20" spans="1:22">
      <c r="A20" s="18">
        <f t="shared" si="0"/>
        <v>44667</v>
      </c>
      <c r="B20" s="22">
        <v>96</v>
      </c>
      <c r="C20" s="22">
        <v>252</v>
      </c>
      <c r="D20" s="21">
        <v>1401891</v>
      </c>
      <c r="E20" s="21">
        <v>1502997</v>
      </c>
      <c r="F20" s="21">
        <v>313287</v>
      </c>
      <c r="G20" s="21">
        <f>(G19-G18)+G19</f>
        <v>7710356</v>
      </c>
      <c r="H20" s="32">
        <v>33582</v>
      </c>
      <c r="I20" s="32">
        <v>5840058</v>
      </c>
      <c r="J20" s="21">
        <v>48619</v>
      </c>
      <c r="K20" s="21">
        <v>2651666</v>
      </c>
      <c r="L20" s="28">
        <v>3592</v>
      </c>
      <c r="M20" s="28">
        <v>2872</v>
      </c>
      <c r="N20" s="21">
        <v>1768365</v>
      </c>
      <c r="O20" s="21">
        <v>390338</v>
      </c>
      <c r="P20" s="21">
        <v>351297</v>
      </c>
      <c r="Q20" s="21">
        <v>54908</v>
      </c>
      <c r="R20" s="21">
        <v>53937</v>
      </c>
      <c r="S20" s="21">
        <v>31307</v>
      </c>
      <c r="T20" s="21">
        <v>3426</v>
      </c>
    </row>
    <row r="21" spans="1:22">
      <c r="A21" s="18">
        <f t="shared" si="0"/>
        <v>44668</v>
      </c>
      <c r="B21" s="22">
        <v>93</v>
      </c>
      <c r="C21" s="22">
        <v>245</v>
      </c>
      <c r="D21" s="21">
        <v>1404649</v>
      </c>
      <c r="E21" s="21">
        <v>1506021</v>
      </c>
      <c r="F21" s="21">
        <v>313287</v>
      </c>
      <c r="G21" s="21">
        <v>7712026</v>
      </c>
      <c r="H21" s="32">
        <v>33582</v>
      </c>
      <c r="I21" s="32">
        <v>5842935</v>
      </c>
      <c r="J21" s="21">
        <v>49901</v>
      </c>
      <c r="K21" s="21">
        <v>2651666</v>
      </c>
      <c r="L21" s="28">
        <v>3590</v>
      </c>
      <c r="M21" s="28">
        <v>2928</v>
      </c>
      <c r="N21" s="21">
        <v>1770789</v>
      </c>
      <c r="O21" s="21">
        <v>390436</v>
      </c>
      <c r="P21" s="21">
        <v>351358</v>
      </c>
      <c r="Q21" s="21">
        <v>54973</v>
      </c>
      <c r="R21" s="21">
        <v>53946</v>
      </c>
      <c r="S21" s="21">
        <v>31309</v>
      </c>
      <c r="T21" s="21">
        <v>3435</v>
      </c>
    </row>
    <row r="22" spans="1:22">
      <c r="A22" s="18">
        <f t="shared" si="0"/>
        <v>44669</v>
      </c>
      <c r="B22" s="22">
        <v>55</v>
      </c>
      <c r="C22" s="22">
        <v>142</v>
      </c>
      <c r="D22" s="21">
        <v>1407084</v>
      </c>
      <c r="E22" s="21">
        <v>1510401</v>
      </c>
      <c r="F22" s="21">
        <v>313287</v>
      </c>
      <c r="G22" s="21">
        <v>7713847</v>
      </c>
      <c r="H22" s="32">
        <v>33582</v>
      </c>
      <c r="I22" s="32">
        <v>5845604</v>
      </c>
      <c r="J22" s="21">
        <f>(J21-J20)+J21</f>
        <v>51183</v>
      </c>
      <c r="K22" s="21">
        <v>2651666</v>
      </c>
      <c r="L22" s="28">
        <v>3589</v>
      </c>
      <c r="M22" s="28">
        <v>2491</v>
      </c>
      <c r="N22" s="21">
        <v>1773336</v>
      </c>
      <c r="O22" s="21">
        <v>390531</v>
      </c>
      <c r="P22" s="21">
        <v>351422</v>
      </c>
      <c r="Q22" s="21">
        <v>55041</v>
      </c>
      <c r="R22" s="21">
        <v>53955</v>
      </c>
      <c r="S22" s="21">
        <v>31310</v>
      </c>
      <c r="T22" s="21">
        <v>3441</v>
      </c>
    </row>
    <row r="23" spans="1:22">
      <c r="A23" s="18">
        <f t="shared" si="0"/>
        <v>44670</v>
      </c>
      <c r="B23" s="22">
        <v>37</v>
      </c>
      <c r="C23" s="22">
        <v>94</v>
      </c>
      <c r="D23" s="21">
        <v>1408954</v>
      </c>
      <c r="E23" s="21">
        <v>1513681</v>
      </c>
      <c r="F23" s="21">
        <v>313287</v>
      </c>
      <c r="G23" s="21">
        <v>7715598</v>
      </c>
      <c r="H23" s="32">
        <v>33582</v>
      </c>
      <c r="I23" s="32">
        <v>5848225</v>
      </c>
      <c r="J23" s="21">
        <v>52473</v>
      </c>
      <c r="K23" s="21">
        <v>2651666</v>
      </c>
      <c r="L23" s="28">
        <v>2633</v>
      </c>
      <c r="M23" s="28">
        <v>2865</v>
      </c>
      <c r="N23" s="21">
        <v>1775835</v>
      </c>
      <c r="O23" s="21">
        <v>390619</v>
      </c>
      <c r="P23" s="21">
        <v>351475</v>
      </c>
      <c r="Q23" s="21">
        <v>55101</v>
      </c>
      <c r="R23" s="21">
        <v>53965</v>
      </c>
      <c r="S23" s="21">
        <v>31311</v>
      </c>
      <c r="T23" s="21">
        <v>3447</v>
      </c>
    </row>
    <row r="24" spans="1:22">
      <c r="A24" s="18">
        <f t="shared" si="0"/>
        <v>44671</v>
      </c>
      <c r="B24" s="22">
        <v>31</v>
      </c>
      <c r="C24" s="22">
        <v>85</v>
      </c>
      <c r="D24" s="21">
        <v>1411132</v>
      </c>
      <c r="E24" s="21">
        <v>1517967</v>
      </c>
      <c r="F24" s="21">
        <v>313506</v>
      </c>
      <c r="G24" s="21">
        <v>7717530</v>
      </c>
      <c r="H24" s="32">
        <v>33582</v>
      </c>
      <c r="I24" s="32">
        <v>5850894</v>
      </c>
      <c r="J24" s="21">
        <v>53613</v>
      </c>
      <c r="K24" s="21">
        <v>2651778</v>
      </c>
      <c r="L24" s="28">
        <v>3576</v>
      </c>
      <c r="M24" s="28">
        <v>2867</v>
      </c>
      <c r="N24" s="21">
        <v>1778350</v>
      </c>
      <c r="O24" s="21">
        <v>390695</v>
      </c>
      <c r="P24" s="21">
        <v>351522</v>
      </c>
      <c r="Q24" s="21">
        <v>55155</v>
      </c>
      <c r="R24" s="21">
        <v>53975</v>
      </c>
      <c r="S24" s="21">
        <v>31313</v>
      </c>
      <c r="T24" s="21">
        <v>3452</v>
      </c>
    </row>
    <row r="25" spans="1:22">
      <c r="A25" s="18">
        <f t="shared" si="0"/>
        <v>44672</v>
      </c>
      <c r="B25" s="22">
        <v>58</v>
      </c>
      <c r="C25" s="22">
        <v>103</v>
      </c>
      <c r="D25" s="21">
        <v>1412940</v>
      </c>
      <c r="E25" s="21">
        <v>1521085</v>
      </c>
      <c r="F25" s="21">
        <v>313506</v>
      </c>
      <c r="G25" s="21">
        <v>7719403</v>
      </c>
      <c r="H25" s="32">
        <v>33582</v>
      </c>
      <c r="I25" s="32">
        <v>5853293</v>
      </c>
      <c r="J25" s="21">
        <v>54666</v>
      </c>
      <c r="K25" s="21">
        <v>2651778</v>
      </c>
      <c r="L25" s="31">
        <v>3407</v>
      </c>
      <c r="M25" s="29">
        <v>2883</v>
      </c>
      <c r="N25" s="21">
        <v>1780823</v>
      </c>
      <c r="O25" s="21">
        <v>390767</v>
      </c>
      <c r="P25" s="21">
        <v>351562</v>
      </c>
      <c r="Q25" s="21">
        <v>55199</v>
      </c>
      <c r="R25" s="21">
        <v>53983</v>
      </c>
      <c r="S25" s="21">
        <v>31314</v>
      </c>
      <c r="T25" s="21">
        <v>3458</v>
      </c>
    </row>
    <row r="26" spans="1:22">
      <c r="A26" s="18">
        <f t="shared" si="0"/>
        <v>44673</v>
      </c>
      <c r="B26" s="22">
        <v>26</v>
      </c>
      <c r="C26" s="37">
        <v>60</v>
      </c>
      <c r="D26" s="25">
        <v>1415173</v>
      </c>
      <c r="E26" s="25">
        <v>1525654</v>
      </c>
      <c r="F26" s="25">
        <v>313835</v>
      </c>
      <c r="G26" s="25">
        <v>7721339</v>
      </c>
      <c r="H26" s="26">
        <v>33582</v>
      </c>
      <c r="I26" s="26">
        <v>5855843</v>
      </c>
      <c r="J26" s="26">
        <v>55798</v>
      </c>
      <c r="K26" s="25">
        <v>2651778</v>
      </c>
      <c r="L26" s="29">
        <v>3517</v>
      </c>
      <c r="M26" s="29">
        <v>2884</v>
      </c>
      <c r="N26" s="25">
        <v>1783204</v>
      </c>
      <c r="O26" s="25">
        <v>390836</v>
      </c>
      <c r="P26" s="25">
        <v>351604</v>
      </c>
      <c r="Q26" s="25">
        <v>55244</v>
      </c>
      <c r="R26" s="25">
        <v>53993</v>
      </c>
      <c r="S26" s="25">
        <v>31315</v>
      </c>
      <c r="T26" s="25">
        <v>3463</v>
      </c>
      <c r="V26" s="33"/>
    </row>
    <row r="27" spans="1:22">
      <c r="A27" s="18">
        <f t="shared" si="0"/>
        <v>44674</v>
      </c>
      <c r="B27" s="22">
        <v>55</v>
      </c>
      <c r="C27" s="37">
        <v>103</v>
      </c>
      <c r="D27" s="25">
        <v>1417280</v>
      </c>
      <c r="E27" s="25">
        <v>1529020</v>
      </c>
      <c r="F27" s="25">
        <v>313874</v>
      </c>
      <c r="G27" s="25">
        <v>7723184</v>
      </c>
      <c r="H27" s="26">
        <v>33582</v>
      </c>
      <c r="I27" s="26">
        <v>5858245</v>
      </c>
      <c r="J27" s="26">
        <v>56850</v>
      </c>
      <c r="K27" s="25">
        <v>2651778</v>
      </c>
      <c r="L27" s="29">
        <v>2116</v>
      </c>
      <c r="M27" s="29">
        <v>2927</v>
      </c>
      <c r="N27" s="25">
        <v>1785724</v>
      </c>
      <c r="O27" s="26">
        <v>390907</v>
      </c>
      <c r="P27" s="25">
        <v>351637</v>
      </c>
      <c r="Q27" s="25">
        <v>55285</v>
      </c>
      <c r="R27" s="25">
        <v>54001</v>
      </c>
      <c r="S27" s="25">
        <v>31316</v>
      </c>
      <c r="T27" s="25">
        <v>3468</v>
      </c>
      <c r="V27" s="33"/>
    </row>
    <row r="28" spans="1:22">
      <c r="A28" s="18">
        <f t="shared" si="0"/>
        <v>44675</v>
      </c>
      <c r="B28" s="22">
        <v>61</v>
      </c>
      <c r="C28" s="37">
        <v>96</v>
      </c>
      <c r="D28" s="25">
        <v>1420403</v>
      </c>
      <c r="E28" s="25">
        <v>1531377</v>
      </c>
      <c r="F28" s="25">
        <v>313876</v>
      </c>
      <c r="G28" s="25">
        <v>7724972</v>
      </c>
      <c r="H28" s="26">
        <v>33582</v>
      </c>
      <c r="I28" s="26">
        <v>5860768</v>
      </c>
      <c r="J28" s="26">
        <v>57977</v>
      </c>
      <c r="K28" s="25">
        <v>2651778</v>
      </c>
      <c r="L28" s="29">
        <v>3547</v>
      </c>
      <c r="M28" s="29">
        <v>2926</v>
      </c>
      <c r="N28" s="25">
        <v>1788336</v>
      </c>
      <c r="O28" s="25">
        <v>390979</v>
      </c>
      <c r="P28" s="25">
        <v>351676</v>
      </c>
      <c r="Q28" s="25">
        <v>55328</v>
      </c>
      <c r="R28" s="25">
        <v>54012</v>
      </c>
      <c r="S28" s="25">
        <v>31334</v>
      </c>
      <c r="T28" s="25">
        <v>3478</v>
      </c>
      <c r="V28" s="33"/>
    </row>
    <row r="29" spans="1:22">
      <c r="A29" s="18">
        <f t="shared" si="0"/>
        <v>44676</v>
      </c>
      <c r="B29" s="22">
        <v>75</v>
      </c>
      <c r="C29" s="37">
        <v>84</v>
      </c>
      <c r="D29" s="25">
        <v>1422619</v>
      </c>
      <c r="E29" s="25">
        <v>1534657</v>
      </c>
      <c r="F29" s="25">
        <v>313876</v>
      </c>
      <c r="G29" s="25">
        <v>7726787</v>
      </c>
      <c r="H29" s="26">
        <v>33582</v>
      </c>
      <c r="I29" s="26">
        <v>5863215</v>
      </c>
      <c r="J29" s="26">
        <v>59079</v>
      </c>
      <c r="K29" s="25">
        <v>2651778</v>
      </c>
      <c r="L29" s="29">
        <v>3595</v>
      </c>
      <c r="M29" s="29">
        <v>2039</v>
      </c>
      <c r="N29" s="25">
        <v>1790864</v>
      </c>
      <c r="O29" s="25">
        <v>391072</v>
      </c>
      <c r="P29" s="25">
        <v>351717</v>
      </c>
      <c r="Q29" s="25">
        <v>55375</v>
      </c>
      <c r="R29" s="25">
        <v>54022</v>
      </c>
      <c r="S29" s="25">
        <v>31334</v>
      </c>
      <c r="T29" s="25">
        <v>3484</v>
      </c>
      <c r="V29" s="33"/>
    </row>
    <row r="30" spans="1:22">
      <c r="A30" s="18">
        <f t="shared" si="0"/>
        <v>44677</v>
      </c>
      <c r="B30" s="22">
        <v>101</v>
      </c>
      <c r="C30" s="37">
        <v>113</v>
      </c>
      <c r="D30" s="25">
        <v>1425446</v>
      </c>
      <c r="E30" s="25">
        <v>1538475</v>
      </c>
      <c r="F30" s="25">
        <v>313876</v>
      </c>
      <c r="G30" s="25">
        <v>7728672</v>
      </c>
      <c r="H30" s="26">
        <v>33603</v>
      </c>
      <c r="I30" s="26">
        <v>5865567</v>
      </c>
      <c r="J30" s="25">
        <v>60119</v>
      </c>
      <c r="K30" s="25">
        <v>2652055</v>
      </c>
      <c r="L30" s="29">
        <v>3544</v>
      </c>
      <c r="M30" s="29">
        <v>616</v>
      </c>
      <c r="N30" s="25">
        <v>1793393</v>
      </c>
      <c r="O30" s="25">
        <v>391166</v>
      </c>
      <c r="P30" s="25">
        <v>351762</v>
      </c>
      <c r="Q30" s="25">
        <v>55424</v>
      </c>
      <c r="R30" s="25">
        <v>54034</v>
      </c>
      <c r="S30" s="25">
        <v>31335</v>
      </c>
      <c r="T30" s="25">
        <v>3489</v>
      </c>
      <c r="V30" s="33"/>
    </row>
    <row r="31" spans="1:22">
      <c r="A31" s="18">
        <f t="shared" si="0"/>
        <v>44678</v>
      </c>
      <c r="B31" s="22">
        <v>38</v>
      </c>
      <c r="C31" s="37">
        <v>63</v>
      </c>
      <c r="D31" s="25">
        <v>1430480</v>
      </c>
      <c r="E31" s="25">
        <v>1541849</v>
      </c>
      <c r="F31" s="25">
        <v>313887</v>
      </c>
      <c r="G31" s="25">
        <v>7730545</v>
      </c>
      <c r="H31" s="26">
        <v>33640</v>
      </c>
      <c r="I31" s="26">
        <v>5867988</v>
      </c>
      <c r="J31" s="25">
        <v>61149</v>
      </c>
      <c r="K31" s="25">
        <v>2652741</v>
      </c>
      <c r="L31" s="29">
        <v>3600</v>
      </c>
      <c r="M31" s="29">
        <v>0</v>
      </c>
      <c r="N31" s="25">
        <v>1795529</v>
      </c>
      <c r="O31" s="25">
        <v>391260</v>
      </c>
      <c r="P31" s="25">
        <v>351811</v>
      </c>
      <c r="Q31" s="25">
        <v>55477</v>
      </c>
      <c r="R31" s="25">
        <v>54044</v>
      </c>
      <c r="S31" s="25">
        <v>31337</v>
      </c>
      <c r="T31" s="25">
        <v>3494</v>
      </c>
      <c r="V31" s="33"/>
    </row>
    <row r="32" spans="1:22">
      <c r="A32" s="18">
        <f t="shared" si="0"/>
        <v>44679</v>
      </c>
      <c r="B32" s="22">
        <v>34</v>
      </c>
      <c r="C32" s="37">
        <v>63</v>
      </c>
      <c r="D32" s="25">
        <v>1435551</v>
      </c>
      <c r="E32" s="25">
        <v>1545274</v>
      </c>
      <c r="F32" s="25">
        <v>313887</v>
      </c>
      <c r="G32" s="25">
        <v>7732544</v>
      </c>
      <c r="H32" s="26">
        <v>33653</v>
      </c>
      <c r="I32" s="26">
        <v>5870315</v>
      </c>
      <c r="J32" s="25">
        <v>62084</v>
      </c>
      <c r="K32" s="25">
        <v>2653456</v>
      </c>
      <c r="L32" s="29">
        <v>3601</v>
      </c>
      <c r="M32" s="29">
        <v>0</v>
      </c>
      <c r="N32" s="25">
        <v>1797906</v>
      </c>
      <c r="O32" s="25">
        <v>391352</v>
      </c>
      <c r="P32" s="25">
        <v>351855</v>
      </c>
      <c r="Q32" s="25">
        <v>55529</v>
      </c>
      <c r="R32" s="25">
        <v>54055</v>
      </c>
      <c r="S32" s="25">
        <v>31338</v>
      </c>
      <c r="T32" s="25">
        <v>3501</v>
      </c>
    </row>
    <row r="33" spans="1:20">
      <c r="A33" s="18">
        <f t="shared" si="0"/>
        <v>44680</v>
      </c>
      <c r="B33" s="22">
        <v>62</v>
      </c>
      <c r="C33" s="37">
        <v>150</v>
      </c>
      <c r="D33" s="24">
        <v>1440644</v>
      </c>
      <c r="E33" s="25">
        <v>1548567</v>
      </c>
      <c r="F33" s="25">
        <v>313887</v>
      </c>
      <c r="G33" s="25">
        <v>7734568</v>
      </c>
      <c r="H33" s="25">
        <v>33653</v>
      </c>
      <c r="I33" s="25">
        <v>5872693</v>
      </c>
      <c r="J33" s="25">
        <v>63027</v>
      </c>
      <c r="K33" s="25">
        <v>2654174</v>
      </c>
      <c r="L33" s="30">
        <v>3600</v>
      </c>
      <c r="M33" s="30">
        <v>0</v>
      </c>
      <c r="N33" s="25">
        <v>1800163</v>
      </c>
      <c r="O33" s="25">
        <v>391439</v>
      </c>
      <c r="P33" s="25">
        <v>351893</v>
      </c>
      <c r="Q33" s="25">
        <v>55571</v>
      </c>
      <c r="R33" s="25">
        <v>54068</v>
      </c>
      <c r="S33" s="25">
        <v>31339</v>
      </c>
      <c r="T33" s="25">
        <v>3507</v>
      </c>
    </row>
    <row r="34" spans="1:20">
      <c r="A34" s="18">
        <f>A33+1</f>
        <v>44681</v>
      </c>
      <c r="B34" s="22">
        <v>100</v>
      </c>
      <c r="C34" s="37">
        <v>238</v>
      </c>
      <c r="D34" s="24">
        <v>1445732</v>
      </c>
      <c r="E34" s="25">
        <v>1551748</v>
      </c>
      <c r="F34" s="25">
        <v>313887</v>
      </c>
      <c r="G34" s="25">
        <v>7736542</v>
      </c>
      <c r="H34" s="25">
        <v>33653</v>
      </c>
      <c r="I34" s="25">
        <v>5875099</v>
      </c>
      <c r="J34" s="25">
        <v>64047</v>
      </c>
      <c r="K34" s="25">
        <v>2654891</v>
      </c>
      <c r="L34" s="30">
        <v>3600</v>
      </c>
      <c r="M34" s="30">
        <v>1297</v>
      </c>
      <c r="N34" s="25">
        <v>1802526</v>
      </c>
      <c r="O34" s="25">
        <v>391525</v>
      </c>
      <c r="P34" s="25">
        <v>351933</v>
      </c>
      <c r="Q34" s="25">
        <v>55617</v>
      </c>
      <c r="R34" s="25">
        <v>54080</v>
      </c>
      <c r="S34" s="25">
        <v>31340</v>
      </c>
      <c r="T34" s="25">
        <v>3511</v>
      </c>
    </row>
    <row r="35" spans="1:20">
      <c r="B35" s="38"/>
      <c r="C35" s="38"/>
    </row>
    <row r="36" spans="1:20">
      <c r="B36" s="1"/>
      <c r="C36"/>
    </row>
    <row r="37" spans="1:20">
      <c r="B37"/>
      <c r="C37"/>
      <c r="O37" s="33"/>
    </row>
    <row r="38" spans="1:20">
      <c r="B38"/>
      <c r="C38"/>
      <c r="O38" s="33"/>
    </row>
    <row r="39" spans="1:20">
      <c r="B39"/>
      <c r="C39"/>
      <c r="O39" s="33"/>
    </row>
    <row r="40" spans="1:20">
      <c r="B40"/>
      <c r="C40"/>
      <c r="O40" s="33"/>
    </row>
    <row r="41" spans="1:20">
      <c r="B41"/>
      <c r="C41"/>
      <c r="O41" s="33"/>
    </row>
    <row r="42" spans="1:20">
      <c r="B42"/>
      <c r="C42"/>
      <c r="O42" s="33"/>
    </row>
    <row r="43" spans="1:20">
      <c r="B43"/>
      <c r="C43"/>
      <c r="O43" s="33"/>
    </row>
    <row r="44" spans="1:20">
      <c r="B44"/>
      <c r="C44"/>
      <c r="O44" s="33"/>
    </row>
    <row r="45" spans="1:20">
      <c r="B45"/>
      <c r="C45"/>
    </row>
    <row r="46" spans="1:20">
      <c r="B46"/>
      <c r="C46"/>
    </row>
    <row r="47" spans="1:20">
      <c r="B47"/>
      <c r="C47"/>
    </row>
    <row r="48" spans="1:20">
      <c r="B48"/>
      <c r="C48"/>
    </row>
    <row r="49" spans="2:3">
      <c r="B49"/>
      <c r="C49"/>
    </row>
    <row r="50" spans="2:3">
      <c r="B50"/>
      <c r="C50"/>
    </row>
    <row r="51" spans="2:3">
      <c r="B51"/>
      <c r="C51"/>
    </row>
    <row r="52" spans="2:3">
      <c r="B52"/>
      <c r="C52"/>
    </row>
    <row r="53" spans="2:3">
      <c r="B53"/>
      <c r="C53"/>
    </row>
    <row r="54" spans="2:3">
      <c r="B54"/>
      <c r="C54"/>
    </row>
    <row r="55" spans="2:3">
      <c r="B55"/>
      <c r="C55"/>
    </row>
    <row r="56" spans="2:3">
      <c r="B56"/>
      <c r="C56"/>
    </row>
    <row r="57" spans="2:3">
      <c r="B57"/>
      <c r="C57"/>
    </row>
    <row r="58" spans="2:3">
      <c r="B58"/>
      <c r="C58"/>
    </row>
    <row r="59" spans="2:3">
      <c r="B59"/>
      <c r="C59"/>
    </row>
    <row r="60" spans="2:3">
      <c r="B60"/>
      <c r="C60"/>
    </row>
    <row r="61" spans="2:3">
      <c r="B61"/>
      <c r="C61"/>
    </row>
    <row r="62" spans="2:3">
      <c r="B62"/>
      <c r="C62"/>
    </row>
    <row r="63" spans="2:3">
      <c r="B63"/>
      <c r="C63"/>
    </row>
    <row r="64" spans="2:3">
      <c r="B64"/>
      <c r="C64"/>
    </row>
    <row r="65" spans="2:3">
      <c r="B65"/>
      <c r="C65"/>
    </row>
    <row r="66" spans="2:3">
      <c r="B66"/>
      <c r="C66"/>
    </row>
    <row r="67" spans="2:3">
      <c r="B67"/>
      <c r="C67"/>
    </row>
    <row r="68" spans="2:3">
      <c r="B68"/>
      <c r="C68"/>
    </row>
    <row r="69" spans="2:3">
      <c r="B69"/>
      <c r="C69"/>
    </row>
    <row r="70" spans="2:3">
      <c r="B70"/>
      <c r="C70"/>
    </row>
    <row r="71" spans="2:3">
      <c r="B71"/>
      <c r="C71"/>
    </row>
    <row r="72" spans="2:3">
      <c r="B72"/>
      <c r="C72"/>
    </row>
    <row r="73" spans="2:3">
      <c r="B73"/>
      <c r="C73"/>
    </row>
    <row r="74" spans="2:3">
      <c r="B74"/>
      <c r="C74"/>
    </row>
    <row r="75" spans="2:3">
      <c r="B75"/>
      <c r="C75"/>
    </row>
    <row r="76" spans="2:3">
      <c r="B76"/>
      <c r="C76"/>
    </row>
    <row r="77" spans="2:3">
      <c r="B77"/>
      <c r="C77"/>
    </row>
    <row r="78" spans="2:3">
      <c r="B78"/>
      <c r="C78"/>
    </row>
    <row r="79" spans="2:3">
      <c r="B79"/>
      <c r="C79"/>
    </row>
    <row r="80" spans="2:3">
      <c r="B80"/>
      <c r="C80"/>
    </row>
    <row r="81" spans="2:3">
      <c r="B81"/>
      <c r="C81"/>
    </row>
    <row r="82" spans="2:3">
      <c r="B82"/>
      <c r="C82"/>
    </row>
    <row r="83" spans="2:3">
      <c r="B83"/>
      <c r="C83"/>
    </row>
    <row r="84" spans="2:3">
      <c r="B84"/>
      <c r="C84"/>
    </row>
    <row r="85" spans="2:3">
      <c r="B85"/>
      <c r="C85"/>
    </row>
    <row r="86" spans="2:3">
      <c r="B86"/>
      <c r="C86"/>
    </row>
    <row r="87" spans="2:3">
      <c r="B87"/>
      <c r="C87"/>
    </row>
    <row r="88" spans="2:3">
      <c r="B88"/>
      <c r="C88"/>
    </row>
    <row r="89" spans="2:3">
      <c r="B89"/>
      <c r="C89"/>
    </row>
    <row r="90" spans="2:3">
      <c r="B90"/>
      <c r="C90"/>
    </row>
    <row r="91" spans="2:3">
      <c r="B91"/>
      <c r="C91"/>
    </row>
    <row r="92" spans="2:3">
      <c r="B92"/>
      <c r="C92"/>
    </row>
    <row r="93" spans="2:3">
      <c r="B93"/>
      <c r="C93"/>
    </row>
    <row r="94" spans="2:3">
      <c r="B94"/>
      <c r="C94"/>
    </row>
    <row r="95" spans="2:3">
      <c r="B95"/>
      <c r="C95"/>
    </row>
    <row r="96" spans="2:3">
      <c r="B96"/>
      <c r="C96"/>
    </row>
    <row r="97" spans="2:3">
      <c r="B97"/>
      <c r="C97"/>
    </row>
    <row r="98" spans="2:3">
      <c r="B98"/>
      <c r="C98"/>
    </row>
    <row r="99" spans="2:3">
      <c r="B99"/>
      <c r="C99"/>
    </row>
    <row r="100" spans="2:3">
      <c r="B100"/>
      <c r="C100"/>
    </row>
    <row r="101" spans="2:3">
      <c r="B101"/>
      <c r="C101"/>
    </row>
    <row r="102" spans="2:3">
      <c r="B102"/>
      <c r="C102"/>
    </row>
    <row r="103" spans="2:3">
      <c r="B103"/>
      <c r="C103"/>
    </row>
    <row r="104" spans="2:3">
      <c r="B104"/>
      <c r="C104"/>
    </row>
    <row r="105" spans="2:3">
      <c r="B105"/>
      <c r="C105"/>
    </row>
    <row r="106" spans="2:3">
      <c r="B106"/>
      <c r="C106"/>
    </row>
    <row r="107" spans="2:3">
      <c r="B107"/>
      <c r="C107"/>
    </row>
    <row r="108" spans="2:3">
      <c r="B108"/>
      <c r="C108"/>
    </row>
    <row r="109" spans="2:3">
      <c r="B109"/>
      <c r="C109"/>
    </row>
    <row r="110" spans="2:3">
      <c r="B110"/>
      <c r="C110"/>
    </row>
    <row r="111" spans="2:3">
      <c r="B111"/>
      <c r="C111"/>
    </row>
    <row r="112" spans="2:3">
      <c r="B112"/>
      <c r="C112"/>
    </row>
    <row r="113" spans="2:3">
      <c r="B113"/>
      <c r="C113"/>
    </row>
    <row r="114" spans="2:3">
      <c r="B114"/>
      <c r="C114"/>
    </row>
    <row r="115" spans="2:3">
      <c r="B115"/>
      <c r="C115"/>
    </row>
    <row r="116" spans="2:3">
      <c r="B116"/>
      <c r="C116"/>
    </row>
    <row r="117" spans="2:3">
      <c r="B117"/>
      <c r="C117"/>
    </row>
    <row r="118" spans="2:3">
      <c r="B118"/>
      <c r="C118"/>
    </row>
    <row r="119" spans="2:3">
      <c r="B119"/>
      <c r="C119"/>
    </row>
    <row r="120" spans="2:3">
      <c r="B120"/>
      <c r="C120"/>
    </row>
    <row r="121" spans="2:3">
      <c r="B121"/>
      <c r="C121"/>
    </row>
    <row r="122" spans="2:3">
      <c r="B122"/>
      <c r="C122"/>
    </row>
    <row r="123" spans="2:3">
      <c r="B123"/>
      <c r="C123"/>
    </row>
    <row r="124" spans="2:3">
      <c r="B124"/>
      <c r="C124"/>
    </row>
    <row r="125" spans="2:3">
      <c r="B125"/>
      <c r="C125"/>
    </row>
    <row r="126" spans="2:3">
      <c r="B126"/>
      <c r="C126"/>
    </row>
    <row r="127" spans="2:3">
      <c r="B127"/>
      <c r="C127"/>
    </row>
    <row r="128" spans="2:3">
      <c r="B128"/>
      <c r="C128"/>
    </row>
    <row r="129" spans="2:3">
      <c r="B129"/>
      <c r="C129"/>
    </row>
    <row r="130" spans="2:3">
      <c r="B130"/>
      <c r="C130"/>
    </row>
    <row r="131" spans="2:3">
      <c r="B131"/>
      <c r="C131"/>
    </row>
    <row r="132" spans="2:3">
      <c r="B132"/>
      <c r="C132"/>
    </row>
    <row r="133" spans="2:3">
      <c r="B133"/>
      <c r="C133"/>
    </row>
    <row r="134" spans="2:3">
      <c r="B134"/>
      <c r="C134"/>
    </row>
    <row r="135" spans="2:3">
      <c r="B135"/>
      <c r="C135"/>
    </row>
    <row r="136" spans="2:3">
      <c r="B136"/>
      <c r="C136"/>
    </row>
    <row r="137" spans="2:3">
      <c r="B137"/>
      <c r="C137"/>
    </row>
    <row r="138" spans="2:3">
      <c r="B138"/>
      <c r="C138"/>
    </row>
    <row r="139" spans="2:3">
      <c r="B139"/>
      <c r="C139"/>
    </row>
    <row r="140" spans="2:3">
      <c r="B140"/>
      <c r="C140"/>
    </row>
    <row r="141" spans="2:3">
      <c r="B141"/>
      <c r="C141"/>
    </row>
    <row r="142" spans="2:3">
      <c r="B142"/>
      <c r="C142"/>
    </row>
    <row r="143" spans="2:3">
      <c r="B143"/>
      <c r="C143"/>
    </row>
    <row r="144" spans="2:3">
      <c r="B144"/>
      <c r="C144"/>
    </row>
    <row r="145" spans="2:3">
      <c r="B145"/>
      <c r="C145"/>
    </row>
    <row r="146" spans="2:3">
      <c r="B146"/>
      <c r="C146"/>
    </row>
    <row r="147" spans="2:3">
      <c r="B147"/>
      <c r="C147"/>
    </row>
    <row r="148" spans="2:3">
      <c r="B148"/>
      <c r="C148"/>
    </row>
    <row r="149" spans="2:3">
      <c r="B149"/>
      <c r="C149"/>
    </row>
    <row r="150" spans="2:3">
      <c r="B150"/>
      <c r="C150"/>
    </row>
    <row r="151" spans="2:3">
      <c r="B151"/>
      <c r="C151"/>
    </row>
    <row r="152" spans="2:3">
      <c r="B152"/>
      <c r="C152"/>
    </row>
    <row r="153" spans="2:3">
      <c r="B153"/>
      <c r="C153"/>
    </row>
    <row r="154" spans="2:3">
      <c r="B154"/>
      <c r="C154"/>
    </row>
    <row r="155" spans="2:3">
      <c r="B155"/>
      <c r="C155"/>
    </row>
    <row r="156" spans="2:3">
      <c r="B156"/>
      <c r="C156"/>
    </row>
    <row r="157" spans="2:3">
      <c r="B157"/>
      <c r="C157"/>
    </row>
    <row r="158" spans="2:3">
      <c r="B158"/>
      <c r="C158"/>
    </row>
    <row r="159" spans="2:3">
      <c r="B159"/>
      <c r="C159"/>
    </row>
    <row r="160" spans="2:3">
      <c r="B160"/>
      <c r="C160"/>
    </row>
    <row r="161" spans="2:3">
      <c r="B161"/>
      <c r="C161"/>
    </row>
    <row r="162" spans="2:3">
      <c r="B162"/>
      <c r="C162"/>
    </row>
    <row r="163" spans="2:3">
      <c r="B163"/>
      <c r="C163"/>
    </row>
    <row r="164" spans="2:3">
      <c r="B164"/>
      <c r="C164"/>
    </row>
    <row r="165" spans="2:3">
      <c r="B165"/>
      <c r="C165"/>
    </row>
    <row r="166" spans="2:3">
      <c r="B166"/>
      <c r="C166"/>
    </row>
    <row r="167" spans="2:3">
      <c r="B167"/>
      <c r="C167"/>
    </row>
    <row r="168" spans="2:3">
      <c r="B168"/>
      <c r="C168"/>
    </row>
    <row r="169" spans="2:3">
      <c r="B169"/>
      <c r="C169"/>
    </row>
    <row r="170" spans="2:3">
      <c r="B170"/>
      <c r="C170"/>
    </row>
    <row r="171" spans="2:3">
      <c r="B171"/>
      <c r="C171"/>
    </row>
    <row r="172" spans="2:3">
      <c r="B172"/>
      <c r="C172"/>
    </row>
    <row r="173" spans="2:3">
      <c r="B173"/>
      <c r="C173"/>
    </row>
    <row r="174" spans="2:3">
      <c r="B174"/>
      <c r="C174"/>
    </row>
    <row r="175" spans="2:3">
      <c r="B175"/>
      <c r="C175"/>
    </row>
    <row r="176" spans="2:3">
      <c r="B176"/>
      <c r="C176"/>
    </row>
    <row r="177" spans="2:3">
      <c r="B177"/>
      <c r="C177"/>
    </row>
    <row r="178" spans="2:3">
      <c r="B178"/>
      <c r="C178"/>
    </row>
    <row r="179" spans="2:3">
      <c r="B179"/>
      <c r="C179"/>
    </row>
    <row r="180" spans="2:3">
      <c r="B180"/>
      <c r="C180"/>
    </row>
    <row r="181" spans="2:3">
      <c r="B181"/>
      <c r="C181"/>
    </row>
    <row r="182" spans="2:3">
      <c r="B182"/>
      <c r="C182"/>
    </row>
    <row r="183" spans="2:3">
      <c r="B183"/>
      <c r="C183"/>
    </row>
    <row r="184" spans="2:3">
      <c r="B184"/>
      <c r="C184"/>
    </row>
    <row r="185" spans="2:3">
      <c r="B185"/>
      <c r="C185"/>
    </row>
    <row r="186" spans="2:3">
      <c r="B186"/>
      <c r="C186"/>
    </row>
    <row r="187" spans="2:3">
      <c r="B187"/>
      <c r="C187"/>
    </row>
    <row r="188" spans="2:3">
      <c r="B188"/>
      <c r="C188"/>
    </row>
    <row r="189" spans="2:3">
      <c r="B189"/>
      <c r="C189"/>
    </row>
    <row r="190" spans="2:3">
      <c r="B190"/>
      <c r="C190"/>
    </row>
    <row r="191" spans="2:3">
      <c r="B191"/>
      <c r="C191"/>
    </row>
    <row r="192" spans="2:3">
      <c r="B192"/>
      <c r="C192"/>
    </row>
    <row r="193" spans="2:3">
      <c r="B193"/>
      <c r="C193"/>
    </row>
    <row r="194" spans="2:3">
      <c r="B194"/>
      <c r="C194"/>
    </row>
    <row r="195" spans="2:3">
      <c r="B195"/>
      <c r="C195"/>
    </row>
    <row r="196" spans="2:3">
      <c r="B196"/>
      <c r="C196"/>
    </row>
    <row r="197" spans="2:3">
      <c r="B197"/>
      <c r="C197"/>
    </row>
    <row r="198" spans="2:3">
      <c r="B198"/>
      <c r="C198"/>
    </row>
    <row r="199" spans="2:3">
      <c r="B199"/>
      <c r="C199"/>
    </row>
    <row r="200" spans="2:3">
      <c r="B200"/>
      <c r="C200"/>
    </row>
    <row r="201" spans="2:3">
      <c r="B201"/>
      <c r="C201"/>
    </row>
    <row r="202" spans="2:3">
      <c r="B202"/>
      <c r="C202"/>
    </row>
    <row r="203" spans="2:3">
      <c r="B203"/>
      <c r="C203"/>
    </row>
    <row r="204" spans="2:3">
      <c r="B204"/>
      <c r="C204"/>
    </row>
    <row r="205" spans="2:3">
      <c r="B205"/>
      <c r="C205"/>
    </row>
    <row r="206" spans="2:3">
      <c r="B206"/>
      <c r="C206"/>
    </row>
    <row r="207" spans="2:3">
      <c r="B207"/>
      <c r="C207"/>
    </row>
    <row r="208" spans="2:3">
      <c r="B208"/>
      <c r="C208"/>
    </row>
    <row r="209" spans="2:3">
      <c r="B209"/>
      <c r="C209"/>
    </row>
    <row r="210" spans="2:3">
      <c r="B210"/>
      <c r="C210"/>
    </row>
    <row r="211" spans="2:3">
      <c r="B211"/>
      <c r="C211"/>
    </row>
    <row r="212" spans="2:3">
      <c r="B212"/>
      <c r="C212"/>
    </row>
    <row r="213" spans="2:3">
      <c r="B213"/>
      <c r="C213"/>
    </row>
    <row r="214" spans="2:3">
      <c r="B214"/>
      <c r="C214"/>
    </row>
    <row r="215" spans="2:3">
      <c r="B215"/>
      <c r="C215"/>
    </row>
    <row r="216" spans="2:3">
      <c r="B216"/>
      <c r="C216"/>
    </row>
    <row r="217" spans="2:3">
      <c r="B217"/>
      <c r="C217"/>
    </row>
    <row r="218" spans="2:3">
      <c r="B218"/>
      <c r="C218"/>
    </row>
    <row r="219" spans="2:3">
      <c r="B219"/>
      <c r="C219"/>
    </row>
    <row r="220" spans="2:3">
      <c r="B220"/>
      <c r="C220"/>
    </row>
    <row r="221" spans="2:3">
      <c r="B221"/>
      <c r="C221"/>
    </row>
    <row r="222" spans="2:3">
      <c r="B222"/>
      <c r="C222"/>
    </row>
    <row r="223" spans="2:3">
      <c r="B223"/>
      <c r="C223"/>
    </row>
    <row r="224" spans="2:3">
      <c r="B224"/>
      <c r="C224"/>
    </row>
    <row r="225" spans="2:3">
      <c r="B225"/>
      <c r="C225"/>
    </row>
    <row r="226" spans="2:3">
      <c r="B226"/>
      <c r="C226"/>
    </row>
    <row r="227" spans="2:3">
      <c r="B227"/>
      <c r="C227"/>
    </row>
    <row r="228" spans="2:3">
      <c r="B228"/>
      <c r="C228"/>
    </row>
    <row r="229" spans="2:3">
      <c r="B229"/>
      <c r="C229"/>
    </row>
    <row r="230" spans="2:3">
      <c r="B230"/>
      <c r="C230"/>
    </row>
    <row r="231" spans="2:3">
      <c r="B231"/>
      <c r="C231"/>
    </row>
    <row r="232" spans="2:3">
      <c r="B232"/>
      <c r="C232"/>
    </row>
    <row r="233" spans="2:3">
      <c r="B233"/>
      <c r="C233"/>
    </row>
    <row r="234" spans="2:3">
      <c r="B234"/>
      <c r="C234"/>
    </row>
    <row r="235" spans="2:3">
      <c r="B235"/>
      <c r="C235"/>
    </row>
    <row r="236" spans="2:3">
      <c r="B236"/>
      <c r="C236"/>
    </row>
    <row r="237" spans="2:3">
      <c r="B237"/>
      <c r="C237"/>
    </row>
  </sheetData>
  <mergeCells count="20">
    <mergeCell ref="A1:A3"/>
    <mergeCell ref="I2:I3"/>
    <mergeCell ref="J2:J3"/>
    <mergeCell ref="K2:K3"/>
    <mergeCell ref="B2:B3"/>
    <mergeCell ref="C2:C3"/>
    <mergeCell ref="D2:D3"/>
    <mergeCell ref="E2:E3"/>
    <mergeCell ref="F2:F3"/>
    <mergeCell ref="G2:G3"/>
    <mergeCell ref="H2:H3"/>
    <mergeCell ref="D1:M1"/>
    <mergeCell ref="T1:T3"/>
    <mergeCell ref="M2:M3"/>
    <mergeCell ref="L2:L3"/>
    <mergeCell ref="N1:N3"/>
    <mergeCell ref="O1:O3"/>
    <mergeCell ref="P1:Q3"/>
    <mergeCell ref="R1:R3"/>
    <mergeCell ref="S1:S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2" ma:contentTypeDescription="Create a new document." ma:contentTypeScope="" ma:versionID="e4a94c238ea3a12de4237679ed4fd37e">
  <xsd:schema xmlns:xsd="http://www.w3.org/2001/XMLSchema" xmlns:xs="http://www.w3.org/2001/XMLSchema" xmlns:p="http://schemas.microsoft.com/office/2006/metadata/properties" xmlns:ns2="eff43ebd-2a19-4bb7-a86e-e6d7ee257b8d" xmlns:ns3="7baf53ce-c784-4a12-8ee0-51f8f1a018ac" targetNamespace="http://schemas.microsoft.com/office/2006/metadata/properties" ma:root="true" ma:fieldsID="6cace2e0a3489f6ce689e5b1c7cd138c" ns2:_="" ns3:_="">
    <xsd:import namespace="eff43ebd-2a19-4bb7-a86e-e6d7ee257b8d"/>
    <xsd:import namespace="7baf53ce-c784-4a12-8ee0-51f8f1a018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6CDD560-7822-4EA1-8593-5175C6066E7C}"/>
</file>

<file path=customXml/itemProps2.xml><?xml version="1.0" encoding="utf-8"?>
<ds:datastoreItem xmlns:ds="http://schemas.openxmlformats.org/officeDocument/2006/customXml" ds:itemID="{534B8BC1-168A-4D1E-A980-BA893BB9193E}"/>
</file>

<file path=customXml/itemProps3.xml><?xml version="1.0" encoding="utf-8"?>
<ds:datastoreItem xmlns:ds="http://schemas.openxmlformats.org/officeDocument/2006/customXml" ds:itemID="{A0BACACF-264B-4E80-A364-6E53198B6D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Andrew Meacham</cp:lastModifiedBy>
  <cp:revision/>
  <dcterms:created xsi:type="dcterms:W3CDTF">2017-05-03T09:23:30Z</dcterms:created>
  <dcterms:modified xsi:type="dcterms:W3CDTF">2022-05-03T09:54:14Z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</Properties>
</file>