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935" yWindow="615" windowWidth="10080" windowHeight="11070" tabRatio="579" firstSheet="6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28" i="76"/>
  <c r="AF30" i="1"/>
  <c r="AE30"/>
  <c r="AD30"/>
  <c r="AC30"/>
  <c r="Z30"/>
  <c r="AA30" s="1"/>
  <c r="X30"/>
  <c r="Y30" s="1"/>
  <c r="AB30" s="1"/>
  <c r="V30"/>
  <c r="S30"/>
  <c r="T30" s="1"/>
  <c r="R30"/>
  <c r="O30"/>
  <c r="N30"/>
  <c r="L30"/>
  <c r="U30" s="1"/>
  <c r="J30"/>
  <c r="I30"/>
  <c r="G30"/>
  <c r="F30"/>
  <c r="E30"/>
  <c r="D30"/>
  <c r="AM21" i="2"/>
  <c r="AM22"/>
  <c r="AM23"/>
  <c r="AM24"/>
  <c r="AM25"/>
  <c r="AM26"/>
  <c r="AM27"/>
  <c r="AM28"/>
  <c r="AM29"/>
  <c r="AM30"/>
  <c r="AM20"/>
  <c r="AK29"/>
  <c r="D30"/>
  <c r="AD29"/>
  <c r="AB29"/>
  <c r="Z29"/>
  <c r="X29"/>
  <c r="AE29" s="1"/>
  <c r="V29"/>
  <c r="AF29" s="1"/>
  <c r="U29"/>
  <c r="S29"/>
  <c r="T29" s="1"/>
  <c r="Q29"/>
  <c r="M29"/>
  <c r="K29"/>
  <c r="I29"/>
  <c r="G29"/>
  <c r="D29"/>
  <c r="D26" i="73"/>
  <c r="D27"/>
  <c r="D28"/>
  <c r="D29"/>
  <c r="D30"/>
  <c r="D31"/>
  <c r="F18" i="76" l="1"/>
  <c r="AM18" i="2"/>
  <c r="AK20"/>
  <c r="AK21" s="1"/>
  <c r="F20"/>
  <c r="F21" s="1"/>
  <c r="F27" s="1"/>
  <c r="F28" s="1"/>
  <c r="F31" s="1"/>
  <c r="F32" s="1"/>
  <c r="F33" s="1"/>
  <c r="F34" s="1"/>
  <c r="AK27" l="1"/>
  <c r="AK28" s="1"/>
  <c r="AK31" s="1"/>
  <c r="AK32" s="1"/>
  <c r="AK33" s="1"/>
  <c r="AK34" s="1"/>
  <c r="AN25"/>
  <c r="AT20" i="7"/>
  <c r="AM17" i="2"/>
  <c r="AK14"/>
  <c r="AK15" s="1"/>
  <c r="AM16" l="1"/>
  <c r="G14" i="79"/>
  <c r="F14"/>
  <c r="E14"/>
  <c r="D14"/>
  <c r="AM11" i="2"/>
  <c r="G13" i="79"/>
  <c r="F13"/>
  <c r="E13"/>
  <c r="D13"/>
  <c r="G12" l="1"/>
  <c r="F12"/>
  <c r="E12"/>
  <c r="D12"/>
  <c r="G11"/>
  <c r="F11"/>
  <c r="E11"/>
  <c r="D11"/>
  <c r="AM10" i="2"/>
  <c r="AN11" s="1"/>
  <c r="G10" i="79" l="1"/>
  <c r="F10"/>
  <c r="E10"/>
  <c r="D10"/>
  <c r="C3" i="76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3" s="1"/>
  <c r="F14" s="1"/>
  <c r="F15" s="1"/>
  <c r="F20" s="1"/>
  <c r="F21" s="1"/>
  <c r="F22" s="1"/>
  <c r="F23" s="1"/>
  <c r="F24" s="1"/>
  <c r="F25" s="1"/>
  <c r="F26" s="1"/>
  <c r="F27" s="1"/>
  <c r="F28" s="1"/>
  <c r="F29" s="1"/>
  <c r="F31" s="1"/>
  <c r="F32" s="1"/>
  <c r="F33" s="1"/>
  <c r="F34" s="1"/>
  <c r="G3"/>
  <c r="H3"/>
  <c r="H6" s="1"/>
  <c r="H7" s="1"/>
  <c r="H12" s="1"/>
  <c r="H13" s="1"/>
  <c r="H14" s="1"/>
  <c r="H15" s="1"/>
  <c r="H18" s="1"/>
  <c r="H20" s="1"/>
  <c r="H21" s="1"/>
  <c r="H22" s="1"/>
  <c r="H24" s="1"/>
  <c r="H26" s="1"/>
  <c r="H27" s="1"/>
  <c r="H28" s="1"/>
  <c r="H31" s="1"/>
  <c r="H32" s="1"/>
  <c r="H33" s="1"/>
  <c r="H34" s="1"/>
  <c r="I3"/>
  <c r="J3"/>
  <c r="J6" s="1"/>
  <c r="J7" s="1"/>
  <c r="J8" s="1"/>
  <c r="J9" s="1"/>
  <c r="J12" s="1"/>
  <c r="J13" s="1"/>
  <c r="J14" s="1"/>
  <c r="J15" s="1"/>
  <c r="J17" s="1"/>
  <c r="J18" s="1"/>
  <c r="J20" s="1"/>
  <c r="J21" s="1"/>
  <c r="J22" s="1"/>
  <c r="J23" s="1"/>
  <c r="J24" s="1"/>
  <c r="J26" s="1"/>
  <c r="J27" s="1"/>
  <c r="J28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3" s="1"/>
  <c r="B14" s="1"/>
  <c r="B15" s="1"/>
  <c r="B20" s="1"/>
  <c r="B21" s="1"/>
  <c r="B22" s="1"/>
  <c r="B24" s="1"/>
  <c r="B26" s="1"/>
  <c r="B27" s="1"/>
  <c r="B28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2" s="1"/>
  <c r="D13" s="1"/>
  <c r="D14" s="1"/>
  <c r="D19" s="1"/>
  <c r="D20" s="1"/>
  <c r="D26" s="1"/>
  <c r="D27" s="1"/>
  <c r="D29" s="1"/>
  <c r="D30" s="1"/>
  <c r="D31" s="1"/>
  <c r="D32" s="1"/>
  <c r="D33" s="1"/>
  <c r="E2"/>
  <c r="F2"/>
  <c r="G2"/>
  <c r="I2"/>
  <c r="J2"/>
  <c r="K2"/>
  <c r="L2"/>
  <c r="M2"/>
  <c r="N2"/>
  <c r="O2"/>
  <c r="P2"/>
  <c r="Q2"/>
  <c r="R2"/>
  <c r="R5" s="1"/>
  <c r="R6" s="1"/>
  <c r="R12" s="1"/>
  <c r="R13" s="1"/>
  <c r="R14" s="1"/>
  <c r="R19" s="1"/>
  <c r="R20" s="1"/>
  <c r="R26" s="1"/>
  <c r="R27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2" s="1"/>
  <c r="B13" s="1"/>
  <c r="B14" s="1"/>
  <c r="B19" s="1"/>
  <c r="B20" s="1"/>
  <c r="B26" s="1"/>
  <c r="B27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4" s="1"/>
  <c r="AT15" s="1"/>
  <c r="AT16" s="1"/>
  <c r="AT17" s="1"/>
  <c r="AT21" s="1"/>
  <c r="AT22" s="1"/>
  <c r="AT23" s="1"/>
  <c r="AT25" s="1"/>
  <c r="AT28" s="1"/>
  <c r="AT29" s="1"/>
  <c r="AT30" s="1"/>
  <c r="AT33" s="1"/>
  <c r="AT34" s="1"/>
  <c r="AT35" s="1"/>
  <c r="AT36" s="1"/>
  <c r="AU5"/>
  <c r="AV5"/>
  <c r="AV8" s="1"/>
  <c r="AV9" s="1"/>
  <c r="AV15" s="1"/>
  <c r="AV16" s="1"/>
  <c r="AV17" s="1"/>
  <c r="AV20" s="1"/>
  <c r="AV21" s="1"/>
  <c r="AV22" s="1"/>
  <c r="AV23" s="1"/>
  <c r="AV24" s="1"/>
  <c r="AV25" s="1"/>
  <c r="AV28" s="1"/>
  <c r="AV29" s="1"/>
  <c r="AV30" s="1"/>
  <c r="AV33" s="1"/>
  <c r="AV34" s="1"/>
  <c r="AV35" s="1"/>
  <c r="AV36" s="1"/>
  <c r="AW5"/>
  <c r="AX5"/>
  <c r="AX8" s="1"/>
  <c r="AX9" s="1"/>
  <c r="AX10" s="1"/>
  <c r="AX15" s="1"/>
  <c r="AX16" s="1"/>
  <c r="AX17" s="1"/>
  <c r="AX21" s="1"/>
  <c r="AX22" s="1"/>
  <c r="AX23" s="1"/>
  <c r="AX25" s="1"/>
  <c r="AX29" s="1"/>
  <c r="AX30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20" s="1"/>
  <c r="G21" s="1"/>
  <c r="G22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4" s="1"/>
  <c r="C15" s="1"/>
  <c r="C16" s="1"/>
  <c r="C21" s="1"/>
  <c r="C22" s="1"/>
  <c r="C28" s="1"/>
  <c r="C29" s="1"/>
  <c r="C32" s="1"/>
  <c r="C33" s="1"/>
  <c r="C34" s="1"/>
  <c r="C35" s="1"/>
  <c r="D4"/>
  <c r="E4"/>
  <c r="F4"/>
  <c r="F5" s="1"/>
  <c r="F7" s="1"/>
  <c r="F8" s="1"/>
  <c r="F10" s="1"/>
  <c r="F14" s="1"/>
  <c r="F15" s="1"/>
  <c r="F16" s="1"/>
  <c r="F19" s="1"/>
  <c r="F21" s="1"/>
  <c r="F22" s="1"/>
  <c r="F23" s="1"/>
  <c r="F25" s="1"/>
  <c r="F26" s="1"/>
  <c r="F28" s="1"/>
  <c r="F29" s="1"/>
  <c r="F31" s="1"/>
  <c r="F32" s="1"/>
  <c r="F33" s="1"/>
  <c r="F34" s="1"/>
  <c r="F35" s="1"/>
  <c r="G4"/>
  <c r="H4"/>
  <c r="H5" s="1"/>
  <c r="H7" s="1"/>
  <c r="H8" s="1"/>
  <c r="H10" s="1"/>
  <c r="H13" s="1"/>
  <c r="H14" s="1"/>
  <c r="H15" s="1"/>
  <c r="H16" s="1"/>
  <c r="H19" s="1"/>
  <c r="H21" s="1"/>
  <c r="H22" s="1"/>
  <c r="H23" s="1"/>
  <c r="H25" s="1"/>
  <c r="H26" s="1"/>
  <c r="H28" s="1"/>
  <c r="H29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7" s="1"/>
  <c r="K28" s="1"/>
  <c r="K29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4" s="1"/>
  <c r="P15" s="1"/>
  <c r="P16" s="1"/>
  <c r="P17" s="1"/>
  <c r="P18" s="1"/>
  <c r="P20" s="1"/>
  <c r="P21" s="1"/>
  <c r="P22" s="1"/>
  <c r="P23" s="1"/>
  <c r="P24" s="1"/>
  <c r="P25" s="1"/>
  <c r="P26" s="1"/>
  <c r="P27" s="1"/>
  <c r="P28" s="1"/>
  <c r="P29" s="1"/>
  <c r="P32" s="1"/>
  <c r="P33" s="1"/>
  <c r="P34" s="1"/>
  <c r="P35" s="1"/>
  <c r="Q4"/>
  <c r="Q7" s="1"/>
  <c r="Q8" s="1"/>
  <c r="Q9" s="1"/>
  <c r="Q10" s="1"/>
  <c r="Q11" s="1"/>
  <c r="Q12" s="1"/>
  <c r="Q14" s="1"/>
  <c r="Q15" s="1"/>
  <c r="Q16" s="1"/>
  <c r="Q17" s="1"/>
  <c r="Q18" s="1"/>
  <c r="Q20" s="1"/>
  <c r="Q21" s="1"/>
  <c r="Q22" s="1"/>
  <c r="Q23" s="1"/>
  <c r="Q24" s="1"/>
  <c r="Q25" s="1"/>
  <c r="Q26" s="1"/>
  <c r="Q27" s="1"/>
  <c r="Q28" s="1"/>
  <c r="Q29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4" s="1"/>
  <c r="B15" s="1"/>
  <c r="B16" s="1"/>
  <c r="B21" s="1"/>
  <c r="B22" s="1"/>
  <c r="B28" s="1"/>
  <c r="B29" s="1"/>
  <c r="B32" s="1"/>
  <c r="B33" s="1"/>
  <c r="B34" s="1"/>
  <c r="B35" s="1"/>
  <c r="AK6" i="2"/>
  <c r="AK7" s="1"/>
  <c r="AL6"/>
  <c r="AL7" s="1"/>
  <c r="AL3"/>
  <c r="AM3"/>
  <c r="AN3"/>
  <c r="AK3"/>
  <c r="AJ3"/>
  <c r="AC6"/>
  <c r="AC7" s="1"/>
  <c r="AC10" s="1"/>
  <c r="AC13" s="1"/>
  <c r="AC14" s="1"/>
  <c r="AC15" s="1"/>
  <c r="AC18" s="1"/>
  <c r="AC20" s="1"/>
  <c r="AC21" s="1"/>
  <c r="AA6"/>
  <c r="AA7" s="1"/>
  <c r="AA9" s="1"/>
  <c r="AA10" s="1"/>
  <c r="AA13" s="1"/>
  <c r="AA14" s="1"/>
  <c r="AA15" s="1"/>
  <c r="AA20" s="1"/>
  <c r="AA21" s="1"/>
  <c r="AA27" s="1"/>
  <c r="AA28" s="1"/>
  <c r="AA31" s="1"/>
  <c r="AA32" s="1"/>
  <c r="AA33" s="1"/>
  <c r="AA34" s="1"/>
  <c r="Y6"/>
  <c r="Y7" s="1"/>
  <c r="Y13" s="1"/>
  <c r="Y14" s="1"/>
  <c r="Y15" s="1"/>
  <c r="Y17" s="1"/>
  <c r="Y20" s="1"/>
  <c r="Y21" s="1"/>
  <c r="Y22" s="1"/>
  <c r="Y23" s="1"/>
  <c r="Y27" s="1"/>
  <c r="Y28" s="1"/>
  <c r="Y31" s="1"/>
  <c r="Y32" s="1"/>
  <c r="Y33" s="1"/>
  <c r="Y34" s="1"/>
  <c r="W6"/>
  <c r="W7" s="1"/>
  <c r="W13" s="1"/>
  <c r="W14" s="1"/>
  <c r="W15" s="1"/>
  <c r="W17" s="1"/>
  <c r="W20" s="1"/>
  <c r="W21" s="1"/>
  <c r="W22" s="1"/>
  <c r="W27" s="1"/>
  <c r="W28" s="1"/>
  <c r="W31" s="1"/>
  <c r="W32" s="1"/>
  <c r="W33" s="1"/>
  <c r="W34" s="1"/>
  <c r="P6"/>
  <c r="L6"/>
  <c r="L7" s="1"/>
  <c r="L13" s="1"/>
  <c r="L14" s="1"/>
  <c r="L15" s="1"/>
  <c r="L20" s="1"/>
  <c r="L21" s="1"/>
  <c r="L27" s="1"/>
  <c r="L28" s="1"/>
  <c r="L31" s="1"/>
  <c r="L32" s="1"/>
  <c r="L33" s="1"/>
  <c r="L34" s="1"/>
  <c r="J6"/>
  <c r="J7" s="1"/>
  <c r="J13" s="1"/>
  <c r="J14" s="1"/>
  <c r="J15" s="1"/>
  <c r="J20" s="1"/>
  <c r="J21" s="1"/>
  <c r="J27" s="1"/>
  <c r="J28" s="1"/>
  <c r="J31" s="1"/>
  <c r="J32" s="1"/>
  <c r="J33" s="1"/>
  <c r="J34" s="1"/>
  <c r="H6"/>
  <c r="H7" s="1"/>
  <c r="H13" s="1"/>
  <c r="H14" s="1"/>
  <c r="H15" s="1"/>
  <c r="H20" s="1"/>
  <c r="H21" s="1"/>
  <c r="H27" s="1"/>
  <c r="H28" s="1"/>
  <c r="H31" s="1"/>
  <c r="H32" s="1"/>
  <c r="H33" s="1"/>
  <c r="H34" s="1"/>
  <c r="F6"/>
  <c r="F7" s="1"/>
  <c r="F13" s="1"/>
  <c r="F14" s="1"/>
  <c r="F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C3"/>
  <c r="B3"/>
  <c r="A3"/>
  <c r="P7" l="1"/>
  <c r="Q6"/>
  <c r="AC25"/>
  <c r="AC27" s="1"/>
  <c r="AC28" s="1"/>
  <c r="AC31" s="1"/>
  <c r="AC32" s="1"/>
  <c r="AC33" s="1"/>
  <c r="AC34" s="1"/>
  <c r="AD22"/>
  <c r="D11"/>
  <c r="D12" s="1"/>
  <c r="D13" s="1"/>
  <c r="D14" s="1"/>
  <c r="D15" s="1"/>
  <c r="D16" s="1"/>
  <c r="D17" s="1"/>
  <c r="D18" s="1"/>
  <c r="D19" s="1"/>
  <c r="D20" s="1"/>
  <c r="D21" s="1"/>
  <c r="AL13"/>
  <c r="AL14" s="1"/>
  <c r="AL15" s="1"/>
  <c r="Q9"/>
  <c r="K6" i="5"/>
  <c r="H7" i="79"/>
  <c r="H8" s="1"/>
  <c r="H9" s="1"/>
  <c r="H11" s="1"/>
  <c r="H12" s="1"/>
  <c r="H13" s="1"/>
  <c r="H15" s="1"/>
  <c r="H16" s="1"/>
  <c r="H17" s="1"/>
  <c r="H18" s="1"/>
  <c r="H19" s="1"/>
  <c r="H22" s="1"/>
  <c r="H23" s="1"/>
  <c r="H25" s="1"/>
  <c r="H28" s="1"/>
  <c r="H29" s="1"/>
  <c r="H30" s="1"/>
  <c r="H31" s="1"/>
  <c r="H33" s="1"/>
  <c r="H34" s="1"/>
  <c r="H35" s="1"/>
  <c r="H36" s="1"/>
  <c r="I36" s="1"/>
  <c r="A32" i="2"/>
  <c r="E27" i="3"/>
  <c r="C27"/>
  <c r="C26"/>
  <c r="S26"/>
  <c r="D22" i="2" l="1"/>
  <c r="D23" s="1"/>
  <c r="D24" s="1"/>
  <c r="D25" s="1"/>
  <c r="D26" s="1"/>
  <c r="D27" s="1"/>
  <c r="D28" s="1"/>
  <c r="D31" s="1"/>
  <c r="D32" s="1"/>
  <c r="D33" s="1"/>
  <c r="Q7"/>
  <c r="Q8"/>
  <c r="AL20"/>
  <c r="AM13"/>
  <c r="Q10"/>
  <c r="E28" i="3"/>
  <c r="I5" i="2"/>
  <c r="AL21" l="1"/>
  <c r="AM14"/>
  <c r="Q11"/>
  <c r="I8" i="77"/>
  <c r="I7"/>
  <c r="AM15" i="2" l="1"/>
  <c r="P13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6" i="5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7" s="1"/>
  <c r="M28" s="1"/>
  <c r="M29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1" s="1"/>
  <c r="AC32" s="1"/>
  <c r="AC33" s="1"/>
  <c r="AC34" s="1"/>
  <c r="AC35" s="1"/>
  <c r="U34" i="2"/>
  <c r="D34"/>
  <c r="P14" l="1"/>
  <c r="Q13"/>
  <c r="E29" i="3"/>
  <c r="AY36" i="5"/>
  <c r="P15" i="2" l="1"/>
  <c r="Q14"/>
  <c r="E30" i="3"/>
  <c r="AM19" i="2" l="1"/>
  <c r="Q15"/>
  <c r="E31" i="3"/>
  <c r="Q16" i="2" l="1"/>
  <c r="E33" i="3"/>
  <c r="E32"/>
  <c r="G17" i="76"/>
  <c r="C18"/>
  <c r="AL27" i="2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4"/>
  <c r="G32" i="82" s="1"/>
  <c r="K34" i="2"/>
  <c r="F32" i="82" s="1"/>
  <c r="X34" i="2"/>
  <c r="Z34"/>
  <c r="A34"/>
  <c r="B34" s="1"/>
  <c r="O32" i="81" s="1"/>
  <c r="A13" i="1"/>
  <c r="AL28" i="2" l="1"/>
  <c r="I32" i="82"/>
  <c r="Q18" i="2"/>
  <c r="AP18" s="1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O34" i="2" l="1"/>
  <c r="P20"/>
  <c r="Q19"/>
  <c r="AJ36" i="5"/>
  <c r="K32" i="82" s="1"/>
  <c r="AI36" i="5"/>
  <c r="R35" i="1"/>
  <c r="AB36" i="7"/>
  <c r="D35" i="1"/>
  <c r="E35" s="1"/>
  <c r="B7" i="7"/>
  <c r="I4" i="2"/>
  <c r="G4"/>
  <c r="P21" l="1"/>
  <c r="Q20"/>
  <c r="AL36" i="5"/>
  <c r="AD36" i="7"/>
  <c r="B8"/>
  <c r="G5" i="2"/>
  <c r="AL31" l="1"/>
  <c r="AM31" s="1"/>
  <c r="Q21"/>
  <c r="AF36" i="7"/>
  <c r="B9"/>
  <c r="AM4" i="2"/>
  <c r="AM5"/>
  <c r="AL32" l="1"/>
  <c r="AM32" s="1"/>
  <c r="Q22"/>
  <c r="AH36" i="7"/>
  <c r="B10"/>
  <c r="AN5" i="2"/>
  <c r="E5" s="1"/>
  <c r="AN4"/>
  <c r="E4" s="1"/>
  <c r="AL33" l="1"/>
  <c r="AM33" s="1"/>
  <c r="Q23"/>
  <c r="AJ36" i="7"/>
  <c r="B11"/>
  <c r="F38" i="5"/>
  <c r="F39"/>
  <c r="B39"/>
  <c r="AL34" i="2" l="1"/>
  <c r="AM34" s="1"/>
  <c r="Q24"/>
  <c r="AL36" i="7"/>
  <c r="B12"/>
  <c r="AM6" i="2"/>
  <c r="AN6" s="1"/>
  <c r="E6" s="1"/>
  <c r="Q25" l="1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H7" i="3" l="1"/>
  <c r="H8" s="1"/>
  <c r="H9" s="1"/>
  <c r="H10" s="1"/>
  <c r="H11" s="1"/>
  <c r="H12" s="1"/>
  <c r="H13" s="1"/>
  <c r="H17" s="1"/>
  <c r="Q28" i="2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H9" i="82"/>
  <c r="P31" i="2" l="1"/>
  <c r="Q30"/>
  <c r="B18" i="7"/>
  <c r="AN12" i="2"/>
  <c r="E12" s="1"/>
  <c r="H10" i="82" s="1"/>
  <c r="V34" i="2"/>
  <c r="P32" l="1"/>
  <c r="Q31"/>
  <c r="AB34"/>
  <c r="AD34"/>
  <c r="AF34" s="1"/>
  <c r="B19" i="7"/>
  <c r="AN13" i="2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N14" i="2"/>
  <c r="E14" s="1"/>
  <c r="H12" i="82" s="1"/>
  <c r="V32" i="1"/>
  <c r="U32"/>
  <c r="P34" i="2" l="1"/>
  <c r="Q34" s="1"/>
  <c r="AP34" s="1"/>
  <c r="Q33"/>
  <c r="B21" i="7"/>
  <c r="AN15" i="2"/>
  <c r="E15" s="1"/>
  <c r="H13" i="82" s="1"/>
  <c r="AD33" i="3" l="1"/>
  <c r="AE33" s="1"/>
  <c r="AF33" s="1"/>
  <c r="AG33" s="1"/>
  <c r="AH33" s="1"/>
  <c r="B22" i="7"/>
  <c r="AN16" i="2"/>
  <c r="E16" s="1"/>
  <c r="H14" i="82" s="1"/>
  <c r="A14" i="5"/>
  <c r="AI33" i="3" l="1"/>
  <c r="AK33" s="1"/>
  <c r="B23" i="7"/>
  <c r="AN17" i="2"/>
  <c r="E17" s="1"/>
  <c r="H15" i="82" s="1"/>
  <c r="B24" i="7" l="1"/>
  <c r="B25" l="1"/>
  <c r="AN19" i="2"/>
  <c r="E19" s="1"/>
  <c r="H17" i="82" s="1"/>
  <c r="AT37" i="7"/>
  <c r="AT38" s="1"/>
  <c r="B26" l="1"/>
  <c r="AN20" i="2"/>
  <c r="E20" s="1"/>
  <c r="H18" i="82" s="1"/>
  <c r="E6" i="3"/>
  <c r="B27" i="7" l="1"/>
  <c r="AN21" i="2"/>
  <c r="E21" s="1"/>
  <c r="H19" i="82" s="1"/>
  <c r="B28" i="7" l="1"/>
  <c r="AN22" i="2"/>
  <c r="E22" s="1"/>
  <c r="H20" i="82" s="1"/>
  <c r="B29" i="7" l="1"/>
  <c r="AN23" i="2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E23" i="2" l="1"/>
  <c r="H21" i="82" s="1"/>
  <c r="B30" i="7"/>
  <c r="AN24" i="2"/>
  <c r="E24" s="1"/>
  <c r="H22" i="82" s="1"/>
  <c r="AC34" i="76"/>
  <c r="AB34" s="1"/>
  <c r="B31" i="7" l="1"/>
  <c r="E25" i="2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N26" i="2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N27" i="2"/>
  <c r="E27" s="1"/>
  <c r="H25" i="82" s="1"/>
  <c r="I35" i="79"/>
  <c r="K35" i="5"/>
  <c r="L36" s="1"/>
  <c r="AK36" s="1"/>
  <c r="B34" i="7" l="1"/>
  <c r="AN28" i="2"/>
  <c r="E28" s="1"/>
  <c r="H26" i="82" s="1"/>
  <c r="B35" i="7" l="1"/>
  <c r="B36"/>
  <c r="AN29" i="2"/>
  <c r="G15" i="73"/>
  <c r="H27" i="82" l="1"/>
  <c r="E29" i="2"/>
  <c r="N29" s="1"/>
  <c r="R29" s="1"/>
  <c r="D36" i="7"/>
  <c r="AN30" i="2"/>
  <c r="E30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AN31" i="2"/>
  <c r="K43" i="74"/>
  <c r="J43"/>
  <c r="G43"/>
  <c r="F43"/>
  <c r="H29" i="82" l="1"/>
  <c r="E31" i="2"/>
  <c r="H36" i="7"/>
  <c r="AN34" i="2"/>
  <c r="AN32"/>
  <c r="S3" i="3"/>
  <c r="H30" i="82" l="1"/>
  <c r="E32" i="2"/>
  <c r="H32" i="82"/>
  <c r="N34" i="2"/>
  <c r="J36" i="7"/>
  <c r="AN33" i="2"/>
  <c r="H31" i="82" l="1"/>
  <c r="E33" i="2"/>
  <c r="R34"/>
  <c r="AI34" s="1"/>
  <c r="S34" i="76"/>
  <c r="T34" s="1"/>
  <c r="F32" i="81" s="1"/>
  <c r="E32"/>
  <c r="L36" i="7"/>
  <c r="A33" i="2"/>
  <c r="B33" s="1"/>
  <c r="B32"/>
  <c r="N36" i="7" l="1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9" i="73" l="1"/>
  <c r="G19"/>
  <c r="K15" i="76"/>
  <c r="D14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U8" s="1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C19" i="76"/>
  <c r="AP19" i="2" s="1"/>
  <c r="N31" i="1" l="1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AP23" i="2" l="1"/>
  <c r="R23" s="1"/>
  <c r="L17" i="76"/>
  <c r="D17"/>
  <c r="E17" s="1"/>
  <c r="C24"/>
  <c r="AP24" i="2" s="1"/>
  <c r="G18" i="76"/>
  <c r="E16"/>
  <c r="S12" i="3"/>
  <c r="U12" l="1"/>
  <c r="C25" i="76"/>
  <c r="G19"/>
  <c r="I19"/>
  <c r="K18"/>
  <c r="N18" s="1"/>
  <c r="D18" l="1"/>
  <c r="AP25" i="2"/>
  <c r="E18" i="76"/>
  <c r="C26"/>
  <c r="AP26" i="2" s="1"/>
  <c r="I20" i="76"/>
  <c r="M18"/>
  <c r="L18"/>
  <c r="K19"/>
  <c r="N19" s="1"/>
  <c r="D19" l="1"/>
  <c r="E19" s="1"/>
  <c r="C27"/>
  <c r="I21"/>
  <c r="M19"/>
  <c r="G20"/>
  <c r="K20"/>
  <c r="N20" s="1"/>
  <c r="L19"/>
  <c r="AP27" i="2" l="1"/>
  <c r="D20" i="76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AP29" i="2" l="1"/>
  <c r="N22" i="76"/>
  <c r="E22"/>
  <c r="C30"/>
  <c r="AP30" i="2" s="1"/>
  <c r="M22" i="76"/>
  <c r="I23"/>
  <c r="K23"/>
  <c r="N23" s="1"/>
  <c r="L22"/>
  <c r="G23"/>
  <c r="G30" i="73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BA26"/>
  <c r="BA27"/>
  <c r="BA28"/>
  <c r="BA29"/>
  <c r="BA30"/>
  <c r="BA31"/>
  <c r="D32" i="73"/>
  <c r="D3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G32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E4" s="1"/>
  <c r="D5"/>
  <c r="A35"/>
  <c r="F4" i="77" s="1"/>
  <c r="F3" i="82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O29" s="1"/>
  <c r="A26" i="65"/>
  <c r="J24" i="63"/>
  <c r="B20" i="2"/>
  <c r="C12" i="7"/>
  <c r="B11" i="2"/>
  <c r="B10"/>
  <c r="P76" i="74"/>
  <c r="S11" i="76" l="1"/>
  <c r="R11" i="2"/>
  <c r="N13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AI11" i="2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18" i="2" l="1"/>
  <c r="AN18" s="1"/>
  <c r="I17" i="82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AO20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X8" s="1"/>
  <c r="AO24" i="2"/>
  <c r="G23" i="82"/>
  <c r="I24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AI23" s="1"/>
  <c r="J22" i="65"/>
  <c r="BC6" i="7"/>
  <c r="AX7"/>
  <c r="AY12"/>
  <c r="AO25" i="2" l="1"/>
  <c r="I25" i="82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N25" i="2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T30" i="2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Z27"/>
  <c r="AE28"/>
  <c r="A26" i="63"/>
  <c r="D27" i="65"/>
  <c r="AD26" i="3"/>
  <c r="BE28" i="7"/>
  <c r="BG28" s="1"/>
  <c r="I28" i="65"/>
  <c r="E25" i="63"/>
  <c r="M28" i="2"/>
  <c r="E26" i="82" s="1"/>
  <c r="F27"/>
  <c r="G27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B30" i="2"/>
  <c r="Z28"/>
  <c r="A27" i="63"/>
  <c r="X30" i="2"/>
  <c r="BE29" i="7"/>
  <c r="BG29" s="1"/>
  <c r="AD27" i="3"/>
  <c r="I29" i="65"/>
  <c r="E26" i="63"/>
  <c r="AI26" i="3"/>
  <c r="E27" i="82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O30" i="2" l="1"/>
  <c r="D29" i="65"/>
  <c r="AG28" i="2"/>
  <c r="B26" i="63"/>
  <c r="H30" i="65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AI29"/>
  <c r="C26" i="63"/>
  <c r="D26" s="1"/>
  <c r="E26" i="81"/>
  <c r="J28" i="65"/>
  <c r="E29" i="82" l="1"/>
  <c r="AO31" i="2"/>
  <c r="AG29"/>
  <c r="AS22" i="7"/>
  <c r="D30" i="65"/>
  <c r="AF30" i="2"/>
  <c r="B28" i="63" s="1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BC36" i="5" l="1"/>
  <c r="AR28" i="7"/>
  <c r="AS28" s="1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E18" i="2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Time of record to be reviwed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<sst xmlns="http://schemas.openxmlformats.org/spreadsheetml/2006/main" count="659" uniqueCount="420">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</sst>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6587</c:v>
                </c:pt>
                <c:pt idx="20">
                  <c:v>8136</c:v>
                </c:pt>
                <c:pt idx="21">
                  <c:v>8087</c:v>
                </c:pt>
                <c:pt idx="22">
                  <c:v>9331</c:v>
                </c:pt>
                <c:pt idx="23">
                  <c:v>8036</c:v>
                </c:pt>
                <c:pt idx="24">
                  <c:v>0</c:v>
                </c:pt>
                <c:pt idx="25">
                  <c:v>0</c:v>
                </c:pt>
                <c:pt idx="26">
                  <c:v>4583</c:v>
                </c:pt>
                <c:pt idx="27">
                  <c:v>9281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78935936"/>
        <c:axId val="78937472"/>
      </c:lineChart>
      <c:catAx>
        <c:axId val="7893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37472"/>
        <c:crosses val="autoZero"/>
        <c:auto val="1"/>
        <c:lblAlgn val="ctr"/>
        <c:lblOffset val="100"/>
      </c:catAx>
      <c:valAx>
        <c:axId val="78937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3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309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78953856"/>
        <c:axId val="78967936"/>
      </c:lineChart>
      <c:catAx>
        <c:axId val="7895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67936"/>
        <c:crosses val="autoZero"/>
        <c:auto val="1"/>
        <c:lblAlgn val="ctr"/>
        <c:lblOffset val="100"/>
      </c:catAx>
      <c:valAx>
        <c:axId val="7896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5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99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79004800"/>
        <c:axId val="79006336"/>
      </c:lineChart>
      <c:catAx>
        <c:axId val="790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06336"/>
        <c:crosses val="autoZero"/>
        <c:auto val="1"/>
        <c:lblAlgn val="ctr"/>
        <c:lblOffset val="100"/>
      </c:catAx>
      <c:valAx>
        <c:axId val="79006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0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79022720"/>
        <c:axId val="79032704"/>
      </c:lineChart>
      <c:catAx>
        <c:axId val="790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32704"/>
        <c:crosses val="autoZero"/>
        <c:auto val="1"/>
        <c:lblAlgn val="ctr"/>
        <c:lblOffset val="100"/>
      </c:catAx>
      <c:valAx>
        <c:axId val="79032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0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296</c:v>
                </c:pt>
                <c:pt idx="22">
                  <c:v>255.9</c:v>
                </c:pt>
                <c:pt idx="23">
                  <c:v>0</c:v>
                </c:pt>
                <c:pt idx="24">
                  <c:v>0</c:v>
                </c:pt>
                <c:pt idx="25">
                  <c:v>207.75</c:v>
                </c:pt>
                <c:pt idx="26">
                  <c:v>274.66666666666669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79114624"/>
        <c:axId val="79116160"/>
      </c:lineChart>
      <c:catAx>
        <c:axId val="791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16160"/>
        <c:crosses val="autoZero"/>
        <c:auto val="1"/>
        <c:lblAlgn val="ctr"/>
        <c:lblOffset val="100"/>
      </c:catAx>
      <c:valAx>
        <c:axId val="79116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74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78272768"/>
        <c:axId val="78286848"/>
      </c:lineChart>
      <c:catAx>
        <c:axId val="7827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86848"/>
        <c:crosses val="autoZero"/>
        <c:auto val="1"/>
        <c:lblAlgn val="ctr"/>
        <c:lblOffset val="100"/>
      </c:catAx>
      <c:valAx>
        <c:axId val="7828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7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78307328"/>
        <c:axId val="78308864"/>
      </c:lineChart>
      <c:catAx>
        <c:axId val="7830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08864"/>
        <c:crosses val="autoZero"/>
        <c:auto val="1"/>
        <c:lblAlgn val="ctr"/>
        <c:lblOffset val="100"/>
      </c:catAx>
      <c:valAx>
        <c:axId val="7830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0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79521280"/>
        <c:axId val="79522816"/>
      </c:lineChart>
      <c:catAx>
        <c:axId val="7952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22816"/>
        <c:crosses val="autoZero"/>
        <c:auto val="1"/>
        <c:lblAlgn val="ctr"/>
        <c:lblOffset val="100"/>
      </c:catAx>
      <c:valAx>
        <c:axId val="7952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2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79535104"/>
        <c:axId val="79557376"/>
      </c:lineChart>
      <c:catAx>
        <c:axId val="7953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57376"/>
        <c:crosses val="autoZero"/>
        <c:auto val="1"/>
        <c:lblAlgn val="ctr"/>
        <c:lblOffset val="100"/>
      </c:catAx>
      <c:valAx>
        <c:axId val="79557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3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556"/>
          <c:w val="0.1272403315177544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79598336"/>
        <c:axId val="79599872"/>
      </c:lineChart>
      <c:catAx>
        <c:axId val="7959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99872"/>
        <c:crosses val="autoZero"/>
        <c:auto val="1"/>
        <c:lblAlgn val="ctr"/>
        <c:lblOffset val="100"/>
      </c:catAx>
      <c:valAx>
        <c:axId val="7959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9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79735040"/>
        <c:axId val="79761408"/>
      </c:lineChart>
      <c:catAx>
        <c:axId val="797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61408"/>
        <c:crosses val="autoZero"/>
        <c:auto val="1"/>
        <c:lblAlgn val="ctr"/>
        <c:lblOffset val="100"/>
      </c:catAx>
      <c:valAx>
        <c:axId val="797614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309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0068992"/>
        <c:axId val="80070528"/>
      </c:lineChart>
      <c:catAx>
        <c:axId val="8006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70528"/>
        <c:crosses val="autoZero"/>
        <c:auto val="1"/>
        <c:lblAlgn val="ctr"/>
        <c:lblOffset val="100"/>
      </c:catAx>
      <c:valAx>
        <c:axId val="8007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6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4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29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141</c:v>
                </c:pt>
                <c:pt idx="14">
                  <c:v>66</c:v>
                </c:pt>
                <c:pt idx="15">
                  <c:v>50</c:v>
                </c:pt>
                <c:pt idx="16">
                  <c:v>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119</c:v>
                </c:pt>
                <c:pt idx="21">
                  <c:v>0</c:v>
                </c:pt>
                <c:pt idx="22">
                  <c:v>86</c:v>
                </c:pt>
                <c:pt idx="23">
                  <c:v>85</c:v>
                </c:pt>
                <c:pt idx="24">
                  <c:v>0</c:v>
                </c:pt>
                <c:pt idx="25">
                  <c:v>0</c:v>
                </c:pt>
                <c:pt idx="26">
                  <c:v>140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79268096"/>
        <c:axId val="79269888"/>
      </c:lineChart>
      <c:catAx>
        <c:axId val="7926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69888"/>
        <c:crosses val="autoZero"/>
        <c:auto val="1"/>
        <c:lblAlgn val="ctr"/>
        <c:lblOffset val="100"/>
      </c:catAx>
      <c:valAx>
        <c:axId val="7926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6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556"/>
          <c:w val="0.135416885389369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0158720"/>
        <c:axId val="80160256"/>
      </c:lineChart>
      <c:catAx>
        <c:axId val="801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60256"/>
        <c:crosses val="autoZero"/>
        <c:auto val="1"/>
        <c:lblAlgn val="ctr"/>
        <c:lblOffset val="100"/>
      </c:catAx>
      <c:valAx>
        <c:axId val="8016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5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55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6587</c:v>
                </c:pt>
                <c:pt idx="20">
                  <c:v>8136</c:v>
                </c:pt>
                <c:pt idx="21">
                  <c:v>8087</c:v>
                </c:pt>
                <c:pt idx="22">
                  <c:v>9331</c:v>
                </c:pt>
                <c:pt idx="23">
                  <c:v>8036</c:v>
                </c:pt>
                <c:pt idx="24">
                  <c:v>0</c:v>
                </c:pt>
                <c:pt idx="25">
                  <c:v>0</c:v>
                </c:pt>
                <c:pt idx="26">
                  <c:v>4583</c:v>
                </c:pt>
                <c:pt idx="27">
                  <c:v>9281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0185216"/>
        <c:axId val="80186752"/>
      </c:lineChart>
      <c:catAx>
        <c:axId val="8018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86752"/>
        <c:crosses val="autoZero"/>
        <c:auto val="1"/>
        <c:lblAlgn val="ctr"/>
        <c:lblOffset val="100"/>
      </c:catAx>
      <c:valAx>
        <c:axId val="80186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8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309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79957376"/>
        <c:axId val="79959168"/>
      </c:lineChart>
      <c:catAx>
        <c:axId val="799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59168"/>
        <c:crosses val="autoZero"/>
        <c:auto val="1"/>
        <c:lblAlgn val="ctr"/>
        <c:lblOffset val="100"/>
      </c:catAx>
      <c:valAx>
        <c:axId val="7995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556"/>
          <c:w val="0.135416885389369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79987840"/>
        <c:axId val="79989376"/>
      </c:lineChart>
      <c:catAx>
        <c:axId val="7998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89376"/>
        <c:crosses val="autoZero"/>
        <c:auto val="1"/>
        <c:lblAlgn val="ctr"/>
        <c:lblOffset val="100"/>
      </c:catAx>
      <c:valAx>
        <c:axId val="79989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8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839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-4801.8387096774168</c:v>
                </c:pt>
                <c:pt idx="8">
                  <c:v>-2496.0645161290449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-7053.580645161288</c:v>
                </c:pt>
                <c:pt idx="13">
                  <c:v>-4906.8387096774168</c:v>
                </c:pt>
                <c:pt idx="14">
                  <c:v>-1317.838709677424</c:v>
                </c:pt>
                <c:pt idx="15">
                  <c:v>-2760.0967741935383</c:v>
                </c:pt>
                <c:pt idx="16">
                  <c:v>0</c:v>
                </c:pt>
                <c:pt idx="17">
                  <c:v>0</c:v>
                </c:pt>
                <c:pt idx="18">
                  <c:v>-2146.7419354838785</c:v>
                </c:pt>
                <c:pt idx="19">
                  <c:v>-2760.0967741935383</c:v>
                </c:pt>
                <c:pt idx="20">
                  <c:v>-2996.7741935484009</c:v>
                </c:pt>
                <c:pt idx="21">
                  <c:v>-2760.0967741935456</c:v>
                </c:pt>
                <c:pt idx="22">
                  <c:v>-1176.3548387096816</c:v>
                </c:pt>
                <c:pt idx="23">
                  <c:v>0</c:v>
                </c:pt>
                <c:pt idx="24">
                  <c:v>0</c:v>
                </c:pt>
                <c:pt idx="25">
                  <c:v>-2111.7419354838639</c:v>
                </c:pt>
                <c:pt idx="26">
                  <c:v>-2418.419354838712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0231040"/>
        <c:axId val="80236928"/>
      </c:lineChart>
      <c:catAx>
        <c:axId val="8023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36928"/>
        <c:crosses val="autoZero"/>
        <c:auto val="1"/>
        <c:lblAlgn val="ctr"/>
        <c:lblOffset val="100"/>
      </c:catAx>
      <c:valAx>
        <c:axId val="80236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3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0278272"/>
        <c:axId val="80279808"/>
      </c:lineChart>
      <c:catAx>
        <c:axId val="8027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9808"/>
        <c:crosses val="autoZero"/>
        <c:auto val="1"/>
        <c:lblAlgn val="ctr"/>
        <c:lblOffset val="100"/>
      </c:catAx>
      <c:valAx>
        <c:axId val="8027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00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0316672"/>
        <c:axId val="80326656"/>
      </c:lineChart>
      <c:catAx>
        <c:axId val="8031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26656"/>
        <c:crosses val="autoZero"/>
        <c:auto val="1"/>
        <c:lblAlgn val="ctr"/>
        <c:lblOffset val="100"/>
      </c:catAx>
      <c:valAx>
        <c:axId val="803266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1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36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0359424"/>
        <c:axId val="80360960"/>
      </c:lineChart>
      <c:catAx>
        <c:axId val="8035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60960"/>
        <c:crosses val="autoZero"/>
        <c:auto val="1"/>
        <c:lblAlgn val="ctr"/>
        <c:lblOffset val="100"/>
      </c:catAx>
      <c:valAx>
        <c:axId val="803609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5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0377344"/>
        <c:axId val="80378880"/>
      </c:lineChart>
      <c:catAx>
        <c:axId val="8037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78880"/>
        <c:crosses val="autoZero"/>
        <c:auto val="1"/>
        <c:lblAlgn val="ctr"/>
        <c:lblOffset val="100"/>
      </c:catAx>
      <c:valAx>
        <c:axId val="8037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7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88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0411648"/>
        <c:axId val="80417536"/>
      </c:lineChart>
      <c:catAx>
        <c:axId val="8041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17536"/>
        <c:crosses val="autoZero"/>
        <c:auto val="1"/>
        <c:lblAlgn val="ctr"/>
        <c:lblOffset val="100"/>
      </c:catAx>
      <c:valAx>
        <c:axId val="8041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1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55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0454400"/>
        <c:axId val="80455936"/>
      </c:lineChart>
      <c:catAx>
        <c:axId val="8045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55936"/>
        <c:crosses val="autoZero"/>
        <c:auto val="1"/>
        <c:lblAlgn val="ctr"/>
        <c:lblOffset val="100"/>
      </c:catAx>
      <c:valAx>
        <c:axId val="8045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5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035"/>
          <c:w val="0.1234311819809399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0477568"/>
        <c:axId val="80561280"/>
      </c:lineChart>
      <c:catAx>
        <c:axId val="804775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61280"/>
        <c:crosses val="autoZero"/>
        <c:auto val="1"/>
        <c:lblAlgn val="ctr"/>
        <c:lblOffset val="100"/>
      </c:catAx>
      <c:valAx>
        <c:axId val="805612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7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018"/>
          <c:w val="0.1569039853282355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296</c:v>
                </c:pt>
                <c:pt idx="22">
                  <c:v>255.9</c:v>
                </c:pt>
                <c:pt idx="23">
                  <c:v>0</c:v>
                </c:pt>
                <c:pt idx="24">
                  <c:v>0</c:v>
                </c:pt>
                <c:pt idx="25">
                  <c:v>207.75</c:v>
                </c:pt>
                <c:pt idx="26">
                  <c:v>274.66666666666669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0597760"/>
        <c:axId val="80599296"/>
      </c:lineChart>
      <c:catAx>
        <c:axId val="8059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99296"/>
        <c:crosses val="autoZero"/>
        <c:auto val="1"/>
        <c:lblAlgn val="ctr"/>
        <c:lblOffset val="100"/>
      </c:catAx>
      <c:valAx>
        <c:axId val="80599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9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85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78056064"/>
        <c:axId val="78086528"/>
      </c:lineChart>
      <c:catAx>
        <c:axId val="7805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86528"/>
        <c:crosses val="autoZero"/>
        <c:auto val="1"/>
        <c:lblAlgn val="ctr"/>
        <c:lblOffset val="100"/>
      </c:catAx>
      <c:valAx>
        <c:axId val="7808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08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1250176"/>
        <c:axId val="81251712"/>
      </c:lineChart>
      <c:catAx>
        <c:axId val="812501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51712"/>
        <c:crosses val="autoZero"/>
        <c:auto val="1"/>
        <c:lblAlgn val="ctr"/>
        <c:lblOffset val="100"/>
      </c:catAx>
      <c:valAx>
        <c:axId val="812517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01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C29">
            <v>7234333</v>
          </cell>
        </row>
        <row r="30">
          <cell r="AB30">
            <v>951520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B34">
            <v>0</v>
          </cell>
          <cell r="AC34">
            <v>0</v>
          </cell>
        </row>
        <row r="35"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0.21318242099445547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1.0917030567685591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0.17587812106149148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0.22192510664309559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-4.9408621263373892E-3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0.19276385214651023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15846</v>
      </c>
      <c r="F9" s="324">
        <f>SUM('EDl log'!T11)</f>
        <v>0.18316804130738032</v>
      </c>
      <c r="G9" s="203">
        <f>-tanks!AW13</f>
        <v>29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14517</v>
      </c>
      <c r="F10" s="324">
        <f>SUM('EDl log'!T12)</f>
        <v>0.10472530500513241</v>
      </c>
      <c r="G10" s="203">
        <f>-tanks!AW14</f>
        <v>99</v>
      </c>
      <c r="H10" s="324">
        <f>SUM(tanks!AV14)</f>
        <v>0.54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9655</v>
      </c>
      <c r="F11" s="324">
        <f>SUM('EDl log'!T13)</f>
        <v>1.656790676916356E-2</v>
      </c>
      <c r="G11" s="203">
        <f>-tanks!AW15</f>
        <v>0</v>
      </c>
      <c r="H11" s="324">
        <f>SUM(tanks!AV15)</f>
        <v>0.54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0.54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0.54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8624</v>
      </c>
      <c r="F14" s="324">
        <f>SUM('EDl log'!T16)</f>
        <v>0.48144223062930924</v>
      </c>
      <c r="G14" s="203">
        <f>-tanks!AW18</f>
        <v>141</v>
      </c>
      <c r="H14" s="324">
        <f>SUM(tanks!AV18)</f>
        <v>0.54</v>
      </c>
      <c r="I14" s="10">
        <f>('B5'!AU17)*0.51</f>
        <v>0</v>
      </c>
      <c r="J14" s="304">
        <f>'B5'!AX17/0.51</f>
        <v>1.5686274509803921</v>
      </c>
      <c r="K14" s="203">
        <f>WATER!I18</f>
        <v>273</v>
      </c>
      <c r="L14" s="325">
        <f>SUM(WATER!J18)</f>
        <v>0.91575091575091572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7315</v>
      </c>
      <c r="F15" s="324">
        <f>SUM('EDl log'!T17)</f>
        <v>0.40042940500997398</v>
      </c>
      <c r="G15" s="203">
        <f>-tanks!AW19</f>
        <v>66</v>
      </c>
      <c r="H15" s="324">
        <f>SUM(tanks!AV19)</f>
        <v>0.54</v>
      </c>
      <c r="I15" s="10">
        <f>('B5'!AU18)*0.51</f>
        <v>0</v>
      </c>
      <c r="J15" s="304">
        <f>'B5'!AX18/0.51</f>
        <v>1.5686274509803921</v>
      </c>
      <c r="K15" s="203">
        <f>WATER!I19</f>
        <v>130</v>
      </c>
      <c r="L15" s="325">
        <f>SUM(WATER!J19)</f>
        <v>1.9230769230769231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10367.000000002008</v>
      </c>
      <c r="F16" s="324">
        <f>SUM('EDl log'!T18)</f>
        <v>8.4832797106013505E-2</v>
      </c>
      <c r="G16" s="203">
        <f>-tanks!AW20</f>
        <v>50</v>
      </c>
      <c r="H16" s="324">
        <f>SUM(tanks!AV20)</f>
        <v>0.54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7902</v>
      </c>
      <c r="F17" s="324">
        <f>SUM('EDl log'!T19)</f>
        <v>0.21386002624276274</v>
      </c>
      <c r="G17" s="203">
        <f>-tanks!AW21</f>
        <v>107</v>
      </c>
      <c r="H17" s="324">
        <f>SUM(tanks!AV21)</f>
        <v>0.54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0.54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0</v>
      </c>
      <c r="F19" s="324">
        <f>SUM('EDl log'!T21)</f>
        <v>0</v>
      </c>
      <c r="G19" s="203">
        <f>-tanks!AW23</f>
        <v>0</v>
      </c>
      <c r="H19" s="324">
        <f>SUM(tanks!AV23)</f>
        <v>0.54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6587</v>
      </c>
      <c r="F20" s="324">
        <f>SUM('EDl log'!T22)</f>
        <v>0.20923625144122898</v>
      </c>
      <c r="G20" s="203">
        <f>-tanks!AW24</f>
        <v>0</v>
      </c>
      <c r="H20" s="324">
        <f>SUM(tanks!AV24)</f>
        <v>0.54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8136</v>
      </c>
      <c r="F21" s="324">
        <f>SUM('EDl log'!T23)</f>
        <v>0.2065760374227473</v>
      </c>
      <c r="G21" s="203">
        <f>-tanks!AW25</f>
        <v>119</v>
      </c>
      <c r="H21" s="324">
        <f>SUM(tanks!AV25)</f>
        <v>0.54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8087</v>
      </c>
      <c r="F22" s="324">
        <f>SUM('EDl log'!T24)</f>
        <v>0.23007697473661329</v>
      </c>
      <c r="G22" s="203">
        <f>-tanks!AW26</f>
        <v>0</v>
      </c>
      <c r="H22" s="324">
        <f>SUM(tanks!AV26)</f>
        <v>0.54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9331</v>
      </c>
      <c r="F23" s="324">
        <f>SUM('EDl log'!T25)</f>
        <v>0.18157794151883744</v>
      </c>
      <c r="G23" s="203">
        <f>-tanks!AW27</f>
        <v>86</v>
      </c>
      <c r="H23" s="324">
        <f>SUM(tanks!AV27)</f>
        <v>0.54</v>
      </c>
      <c r="I23" s="10">
        <f>('B5'!AU26)*0.51</f>
        <v>0</v>
      </c>
      <c r="J23" s="304">
        <f>'B5'!AX26/0.51</f>
        <v>1.5686274509803921</v>
      </c>
      <c r="K23" s="203">
        <f>WATER!I27</f>
        <v>98</v>
      </c>
      <c r="L23" s="325">
        <f>SUM(WATER!J27)</f>
        <v>2.5510204081632653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8036</v>
      </c>
      <c r="F24" s="324">
        <f>SUM('EDl log'!T26)</f>
        <v>9.6976979943257657E-2</v>
      </c>
      <c r="G24" s="203">
        <f>-tanks!AW28</f>
        <v>85</v>
      </c>
      <c r="H24" s="324">
        <f>SUM(tanks!AV28)</f>
        <v>0.61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0.61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0.61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4583</v>
      </c>
      <c r="F27" s="324">
        <f>SUM('EDl log'!T29)</f>
        <v>0.28410279427314306</v>
      </c>
      <c r="G27" s="203">
        <f>-tanks!AW31</f>
        <v>140</v>
      </c>
      <c r="H27" s="324">
        <f>SUM(tanks!AV31)</f>
        <v>0.61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9281</v>
      </c>
      <c r="F28" s="324">
        <f>SUM('EDl log'!T30)</f>
        <v>0.16720715686866242</v>
      </c>
      <c r="G28" s="203">
        <f>-tanks!AW32</f>
        <v>0</v>
      </c>
      <c r="H28" s="324">
        <f>SUM(tanks!AV32)</f>
        <v>0.61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0.61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0.61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0.61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0.61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2148</v>
      </c>
      <c r="F9" s="203">
        <f>ELEC!K11</f>
        <v>4810</v>
      </c>
      <c r="G9" s="203">
        <f>ELEC!I11</f>
        <v>1044</v>
      </c>
      <c r="H9" s="203">
        <f>ELEC!E11</f>
        <v>7113</v>
      </c>
      <c r="I9" s="203">
        <f>ELEC!G11</f>
        <v>731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2428</v>
      </c>
      <c r="F10" s="203">
        <f>ELEC!K12</f>
        <v>5942</v>
      </c>
      <c r="G10" s="203">
        <f>ELEC!I12</f>
        <v>1138</v>
      </c>
      <c r="H10" s="203">
        <f>ELEC!E12</f>
        <v>4243</v>
      </c>
      <c r="I10" s="203">
        <f>ELEC!G12</f>
        <v>766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9655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2642</v>
      </c>
      <c r="F14" s="203">
        <f>ELEC!K16</f>
        <v>3056</v>
      </c>
      <c r="G14" s="203">
        <f>ELEC!I16</f>
        <v>1390</v>
      </c>
      <c r="H14" s="203">
        <f>ELEC!E16</f>
        <v>552</v>
      </c>
      <c r="I14" s="203">
        <f>ELEC!G16</f>
        <v>984</v>
      </c>
      <c r="J14" s="203">
        <f>WATER!Y18</f>
        <v>60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1934</v>
      </c>
      <c r="F15" s="203">
        <f>ELEC!K17</f>
        <v>2824</v>
      </c>
      <c r="G15" s="203">
        <f>ELEC!I17</f>
        <v>1008</v>
      </c>
      <c r="H15" s="203">
        <f>ELEC!E17</f>
        <v>899</v>
      </c>
      <c r="I15" s="203">
        <f>ELEC!G17</f>
        <v>650</v>
      </c>
      <c r="J15" s="203">
        <f>WATER!Y19</f>
        <v>46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1754</v>
      </c>
      <c r="F16" s="203">
        <f>ELEC!K18</f>
        <v>3844</v>
      </c>
      <c r="G16" s="203">
        <f>ELEC!I18</f>
        <v>778</v>
      </c>
      <c r="H16" s="203">
        <f>ELEC!E18</f>
        <v>3478.0000000020082</v>
      </c>
      <c r="I16" s="203">
        <f>ELEC!G18</f>
        <v>513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1206</v>
      </c>
      <c r="F17" s="203">
        <f>ELEC!K19</f>
        <v>3022</v>
      </c>
      <c r="G17" s="203">
        <f>ELEC!I19</f>
        <v>538</v>
      </c>
      <c r="H17" s="203">
        <f>ELEC!E19</f>
        <v>2815</v>
      </c>
      <c r="I17" s="203">
        <f>ELEC!G19</f>
        <v>321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1114</v>
      </c>
      <c r="F20" s="203">
        <f>ELEC!K22</f>
        <v>922</v>
      </c>
      <c r="G20" s="203">
        <f>ELEC!I22</f>
        <v>560</v>
      </c>
      <c r="H20" s="203">
        <f>ELEC!E22</f>
        <v>3636</v>
      </c>
      <c r="I20" s="203">
        <f>ELEC!G22</f>
        <v>355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1186</v>
      </c>
      <c r="F21" s="203">
        <f>ELEC!K23</f>
        <v>1148</v>
      </c>
      <c r="G21" s="203">
        <f>ELEC!I23</f>
        <v>576</v>
      </c>
      <c r="H21" s="203">
        <f>ELEC!E23</f>
        <v>4850</v>
      </c>
      <c r="I21" s="203">
        <f>ELEC!G23</f>
        <v>376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1132</v>
      </c>
      <c r="F22" s="203">
        <f>ELEC!K24</f>
        <v>1226</v>
      </c>
      <c r="G22" s="203">
        <f>ELEC!I24</f>
        <v>538</v>
      </c>
      <c r="H22" s="203">
        <f>ELEC!E24</f>
        <v>4852</v>
      </c>
      <c r="I22" s="203">
        <f>ELEC!G24</f>
        <v>339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1242</v>
      </c>
      <c r="F23" s="203">
        <f>ELEC!K25</f>
        <v>4754</v>
      </c>
      <c r="G23" s="203">
        <f>ELEC!I25</f>
        <v>630</v>
      </c>
      <c r="H23" s="203">
        <f>ELEC!E25</f>
        <v>2314</v>
      </c>
      <c r="I23" s="203">
        <f>ELEC!G25</f>
        <v>391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1070</v>
      </c>
      <c r="F24" s="203">
        <f>ELEC!K26</f>
        <v>3636</v>
      </c>
      <c r="G24" s="203">
        <f>ELEC!I26</f>
        <v>556</v>
      </c>
      <c r="H24" s="203">
        <f>ELEC!E26</f>
        <v>2427</v>
      </c>
      <c r="I24" s="203">
        <f>ELEC!G26</f>
        <v>347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1056</v>
      </c>
      <c r="F27" s="203">
        <f>ELEC!K29</f>
        <v>2508</v>
      </c>
      <c r="G27" s="203">
        <f>ELEC!I29</f>
        <v>512</v>
      </c>
      <c r="H27" s="203">
        <f>ELEC!E29</f>
        <v>170</v>
      </c>
      <c r="I27" s="203">
        <f>ELEC!G29</f>
        <v>337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1072</v>
      </c>
      <c r="F28" s="203">
        <f>ELEC!K30</f>
        <v>2072</v>
      </c>
      <c r="G28" s="203">
        <f>ELEC!I30</f>
        <v>532</v>
      </c>
      <c r="H28" s="203">
        <f>ELEC!E30</f>
        <v>4605</v>
      </c>
      <c r="I28" s="203">
        <f>ELEC!G30</f>
        <v>1000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topLeftCell="AH1" zoomScale="90" zoomScaleNormal="90" zoomScaleSheetLayoutView="100" workbookViewId="0">
      <pane ySplit="2" topLeftCell="A28" activePane="bottomLeft" state="frozen"/>
      <selection activeCell="C1" sqref="C1"/>
      <selection pane="bottomLeft" activeCell="AD33" sqref="AD33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10" style="458" bestFit="1" customWidth="1"/>
    <col min="40" max="40" width="10.7109375" style="458" bestFit="1" customWidth="1"/>
    <col min="41" max="16384" width="9.28515625" style="458"/>
  </cols>
  <sheetData>
    <row r="1" spans="1:40">
      <c r="AK1" s="642" t="s">
        <v>417</v>
      </c>
      <c r="AL1" s="642"/>
      <c r="AM1" s="642"/>
      <c r="AN1" s="643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9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0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15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>D10</f>
        <v>32911138</v>
      </c>
      <c r="E11" s="439">
        <v>7113</v>
      </c>
      <c r="F11" s="605">
        <v>4084615</v>
      </c>
      <c r="G11" s="306">
        <f t="shared" si="14"/>
        <v>731</v>
      </c>
      <c r="H11" s="438">
        <v>17957490</v>
      </c>
      <c r="I11" s="306">
        <f t="shared" si="16"/>
        <v>1044</v>
      </c>
      <c r="J11" s="438">
        <v>29489108</v>
      </c>
      <c r="K11" s="306">
        <f t="shared" si="18"/>
        <v>4810</v>
      </c>
      <c r="L11" s="438">
        <v>24410702</v>
      </c>
      <c r="M11" s="306">
        <f t="shared" si="20"/>
        <v>2148</v>
      </c>
      <c r="N11" s="305">
        <f t="shared" si="21"/>
        <v>15846</v>
      </c>
      <c r="O11" s="459">
        <f t="shared" ref="O11:O31" si="36">IF(B11&gt;0,N11/B11,0)</f>
        <v>0</v>
      </c>
      <c r="P11" s="595">
        <v>18266.478999999999</v>
      </c>
      <c r="Q11" s="460">
        <f t="shared" si="1"/>
        <v>15480.999999999767</v>
      </c>
      <c r="R11" s="633">
        <f>N11-Q11</f>
        <v>365.00000000023283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v>33242</v>
      </c>
      <c r="X11" s="442">
        <f t="shared" si="35"/>
        <v>10</v>
      </c>
      <c r="Y11" s="438">
        <v>937550</v>
      </c>
      <c r="Z11" s="442">
        <f t="shared" si="34"/>
        <v>1958</v>
      </c>
      <c r="AA11" s="438">
        <v>36639</v>
      </c>
      <c r="AB11" s="442">
        <f t="shared" si="27"/>
        <v>10</v>
      </c>
      <c r="AC11" s="438">
        <v>1133184</v>
      </c>
      <c r="AD11" s="442">
        <f t="shared" si="29"/>
        <v>2448</v>
      </c>
      <c r="AE11" s="464">
        <f t="shared" si="10"/>
        <v>20</v>
      </c>
      <c r="AF11" s="465">
        <f t="shared" si="4"/>
        <v>4406</v>
      </c>
      <c r="AG11" s="457">
        <f t="shared" ref="AG11:AG31" si="37">IF(AE11&gt;0,AF11/AE11,0)</f>
        <v>220.3</v>
      </c>
      <c r="AI11" s="458">
        <f>R11-'EDl log'!B11</f>
        <v>-1092171.9999999998</v>
      </c>
      <c r="AJ11" s="571">
        <v>44447</v>
      </c>
      <c r="AK11" s="458">
        <v>1200524</v>
      </c>
      <c r="AL11" s="577">
        <v>20</v>
      </c>
      <c r="AM11" s="577">
        <f t="shared" ref="AM11:AM15" si="38">AK11+AL11</f>
        <v>1200544</v>
      </c>
      <c r="AN11" s="577">
        <f>AM11-AM10</f>
        <v>7889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4243</v>
      </c>
      <c r="F12" s="605">
        <v>4085381</v>
      </c>
      <c r="G12" s="306">
        <f t="shared" si="14"/>
        <v>766</v>
      </c>
      <c r="H12" s="438">
        <v>17958628</v>
      </c>
      <c r="I12" s="306">
        <f t="shared" si="16"/>
        <v>1138</v>
      </c>
      <c r="J12" s="438">
        <v>29495050</v>
      </c>
      <c r="K12" s="306">
        <f t="shared" si="18"/>
        <v>5942</v>
      </c>
      <c r="L12" s="438">
        <v>24413130</v>
      </c>
      <c r="M12" s="306">
        <f t="shared" si="20"/>
        <v>2428</v>
      </c>
      <c r="N12" s="305">
        <f>M12+K12+I12+G12+E12</f>
        <v>14517</v>
      </c>
      <c r="O12" s="459">
        <f t="shared" si="36"/>
        <v>0</v>
      </c>
      <c r="P12" s="595">
        <v>18285.046999999999</v>
      </c>
      <c r="Q12" s="460">
        <f t="shared" si="1"/>
        <v>18567.999999999302</v>
      </c>
      <c r="R12" s="442">
        <f t="shared" si="33"/>
        <v>-4050.9999999993015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v>33247</v>
      </c>
      <c r="X12" s="442">
        <f t="shared" si="35"/>
        <v>5</v>
      </c>
      <c r="Y12" s="438">
        <v>938922</v>
      </c>
      <c r="Z12" s="442">
        <f t="shared" si="34"/>
        <v>1372</v>
      </c>
      <c r="AA12" s="438">
        <v>36655</v>
      </c>
      <c r="AB12" s="442">
        <f t="shared" si="27"/>
        <v>16</v>
      </c>
      <c r="AC12" s="438">
        <v>1136877</v>
      </c>
      <c r="AD12" s="442">
        <f t="shared" si="29"/>
        <v>3693</v>
      </c>
      <c r="AE12" s="464">
        <f t="shared" si="10"/>
        <v>21</v>
      </c>
      <c r="AF12" s="465">
        <f t="shared" si="4"/>
        <v>5065</v>
      </c>
      <c r="AG12" s="457">
        <f t="shared" si="37"/>
        <v>241.1904761904762</v>
      </c>
      <c r="AI12" s="458">
        <f>R12-'EDl log'!B12</f>
        <v>-1096587.9999999993</v>
      </c>
      <c r="AJ12" s="571">
        <v>44448</v>
      </c>
      <c r="AK12" s="458">
        <v>1204787</v>
      </c>
      <c r="AL12" s="577">
        <v>214</v>
      </c>
      <c r="AM12" s="577">
        <v>1204787</v>
      </c>
      <c r="AN12" s="577">
        <f t="shared" si="32"/>
        <v>4243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9655</v>
      </c>
      <c r="F13" s="605">
        <f t="shared" si="13"/>
        <v>4085381</v>
      </c>
      <c r="G13" s="306">
        <f t="shared" si="14"/>
        <v>0</v>
      </c>
      <c r="H13" s="438">
        <f t="shared" si="15"/>
        <v>17958628</v>
      </c>
      <c r="I13" s="306">
        <f t="shared" si="16"/>
        <v>0</v>
      </c>
      <c r="J13" s="438">
        <f t="shared" si="17"/>
        <v>29495050</v>
      </c>
      <c r="K13" s="306">
        <f t="shared" si="18"/>
        <v>0</v>
      </c>
      <c r="L13" s="438">
        <f t="shared" si="19"/>
        <v>24413130</v>
      </c>
      <c r="M13" s="306">
        <f t="shared" si="20"/>
        <v>0</v>
      </c>
      <c r="N13" s="305">
        <f>M13+K13+I13+G13+E13</f>
        <v>9655</v>
      </c>
      <c r="O13" s="459">
        <f t="shared" si="36"/>
        <v>0</v>
      </c>
      <c r="P13" s="595">
        <f t="shared" si="22"/>
        <v>18285.046999999999</v>
      </c>
      <c r="Q13" s="460">
        <f t="shared" si="1"/>
        <v>0</v>
      </c>
      <c r="R13" s="442">
        <f t="shared" si="33"/>
        <v>9655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33247</v>
      </c>
      <c r="X13" s="442">
        <f t="shared" si="35"/>
        <v>0</v>
      </c>
      <c r="Y13" s="438">
        <f t="shared" si="25"/>
        <v>938922</v>
      </c>
      <c r="Z13" s="442">
        <f t="shared" si="34"/>
        <v>0</v>
      </c>
      <c r="AA13" s="438">
        <f t="shared" si="26"/>
        <v>36655</v>
      </c>
      <c r="AB13" s="442">
        <f t="shared" si="27"/>
        <v>0</v>
      </c>
      <c r="AC13" s="438">
        <f t="shared" si="28"/>
        <v>1136877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-1082882</v>
      </c>
      <c r="AJ13" s="571">
        <v>44449</v>
      </c>
      <c r="AK13" s="458">
        <v>1214228</v>
      </c>
      <c r="AL13" s="577">
        <f t="shared" si="31"/>
        <v>214</v>
      </c>
      <c r="AM13" s="577">
        <f t="shared" si="38"/>
        <v>1214442</v>
      </c>
      <c r="AN13" s="577">
        <f t="shared" si="32"/>
        <v>9655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4085381</v>
      </c>
      <c r="G14" s="306">
        <f t="shared" si="14"/>
        <v>0</v>
      </c>
      <c r="H14" s="438">
        <f t="shared" si="15"/>
        <v>17958628</v>
      </c>
      <c r="I14" s="306">
        <f t="shared" si="16"/>
        <v>0</v>
      </c>
      <c r="J14" s="438">
        <f t="shared" si="17"/>
        <v>29495050</v>
      </c>
      <c r="K14" s="306">
        <f t="shared" si="18"/>
        <v>0</v>
      </c>
      <c r="L14" s="438">
        <f t="shared" si="19"/>
        <v>24413130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18285.046999999999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33247</v>
      </c>
      <c r="X14" s="442">
        <f t="shared" si="35"/>
        <v>0</v>
      </c>
      <c r="Y14" s="438">
        <f t="shared" si="25"/>
        <v>938922</v>
      </c>
      <c r="Z14" s="442">
        <f t="shared" si="34"/>
        <v>0</v>
      </c>
      <c r="AA14" s="438">
        <f t="shared" si="26"/>
        <v>36655</v>
      </c>
      <c r="AB14" s="442">
        <f t="shared" si="27"/>
        <v>0</v>
      </c>
      <c r="AC14" s="438">
        <f t="shared" si="28"/>
        <v>1136877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-1092537</v>
      </c>
      <c r="AJ14" s="571">
        <v>44450</v>
      </c>
      <c r="AK14" s="458">
        <f t="shared" si="30"/>
        <v>1214228</v>
      </c>
      <c r="AL14" s="577">
        <f t="shared" si="31"/>
        <v>214</v>
      </c>
      <c r="AM14" s="577">
        <f t="shared" si="38"/>
        <v>1214442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4085381</v>
      </c>
      <c r="G15" s="306">
        <f t="shared" si="14"/>
        <v>0</v>
      </c>
      <c r="H15" s="438">
        <f t="shared" si="15"/>
        <v>17958628</v>
      </c>
      <c r="I15" s="306">
        <f t="shared" si="16"/>
        <v>0</v>
      </c>
      <c r="J15" s="438">
        <f t="shared" si="17"/>
        <v>29495050</v>
      </c>
      <c r="K15" s="306">
        <f t="shared" si="18"/>
        <v>0</v>
      </c>
      <c r="L15" s="438">
        <f t="shared" si="19"/>
        <v>24413130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18285.046999999999</v>
      </c>
      <c r="Q15" s="460">
        <f t="shared" si="1"/>
        <v>0</v>
      </c>
      <c r="R15" s="442">
        <f t="shared" ref="R15:R31" si="39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33247</v>
      </c>
      <c r="X15" s="442">
        <f t="shared" si="35"/>
        <v>0</v>
      </c>
      <c r="Y15" s="438">
        <f t="shared" si="25"/>
        <v>938922</v>
      </c>
      <c r="Z15" s="442">
        <f t="shared" si="34"/>
        <v>0</v>
      </c>
      <c r="AA15" s="438">
        <f t="shared" si="26"/>
        <v>36655</v>
      </c>
      <c r="AB15" s="442">
        <f t="shared" si="27"/>
        <v>0</v>
      </c>
      <c r="AC15" s="438">
        <f t="shared" si="28"/>
        <v>1136877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-1092537</v>
      </c>
      <c r="AJ15" s="571">
        <v>44451</v>
      </c>
      <c r="AK15" s="458">
        <f t="shared" si="30"/>
        <v>1214228</v>
      </c>
      <c r="AL15" s="577">
        <f t="shared" si="31"/>
        <v>214</v>
      </c>
      <c r="AM15" s="577">
        <f t="shared" si="38"/>
        <v>1214442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552</v>
      </c>
      <c r="F16" s="605">
        <v>4086365</v>
      </c>
      <c r="G16" s="306">
        <f t="shared" si="14"/>
        <v>984</v>
      </c>
      <c r="H16" s="438">
        <v>17960018</v>
      </c>
      <c r="I16" s="306">
        <f t="shared" si="16"/>
        <v>1390</v>
      </c>
      <c r="J16" s="438">
        <v>29498106</v>
      </c>
      <c r="K16" s="306">
        <f t="shared" si="18"/>
        <v>3056</v>
      </c>
      <c r="L16" s="438">
        <v>24415772</v>
      </c>
      <c r="M16" s="306">
        <f t="shared" si="20"/>
        <v>2642</v>
      </c>
      <c r="N16" s="305">
        <f t="shared" si="21"/>
        <v>8624</v>
      </c>
      <c r="O16" s="459">
        <f t="shared" si="36"/>
        <v>0</v>
      </c>
      <c r="P16" s="595">
        <v>18303.469000000001</v>
      </c>
      <c r="Q16" s="460">
        <f t="shared" si="1"/>
        <v>18422.000000002299</v>
      </c>
      <c r="R16" s="442">
        <f t="shared" si="39"/>
        <v>-9798.0000000022992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v>33252</v>
      </c>
      <c r="X16" s="442">
        <f t="shared" si="35"/>
        <v>5</v>
      </c>
      <c r="Y16" s="438">
        <v>939994</v>
      </c>
      <c r="Z16" s="442">
        <f t="shared" si="34"/>
        <v>1072</v>
      </c>
      <c r="AA16" s="438">
        <v>36679</v>
      </c>
      <c r="AB16" s="442">
        <f t="shared" si="27"/>
        <v>24</v>
      </c>
      <c r="AC16" s="438">
        <v>1142219</v>
      </c>
      <c r="AD16" s="442">
        <f t="shared" si="29"/>
        <v>5342</v>
      </c>
      <c r="AE16" s="464">
        <f t="shared" si="10"/>
        <v>29</v>
      </c>
      <c r="AF16" s="465">
        <f t="shared" si="4"/>
        <v>6414</v>
      </c>
      <c r="AG16" s="457">
        <f t="shared" si="37"/>
        <v>221.17241379310346</v>
      </c>
      <c r="AI16" s="458">
        <f>R16-'EDl log'!B16</f>
        <v>-1103365.0000000023</v>
      </c>
      <c r="AJ16" s="571">
        <v>44452</v>
      </c>
      <c r="AK16" s="458">
        <v>1214611</v>
      </c>
      <c r="AL16" s="577">
        <v>383</v>
      </c>
      <c r="AM16" s="577">
        <f>AK16+AL16</f>
        <v>1214994</v>
      </c>
      <c r="AN16" s="577">
        <f t="shared" si="32"/>
        <v>552</v>
      </c>
    </row>
    <row r="17" spans="1:42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899</v>
      </c>
      <c r="F17" s="605">
        <v>4087015</v>
      </c>
      <c r="G17" s="306">
        <f t="shared" si="14"/>
        <v>650</v>
      </c>
      <c r="H17" s="438">
        <v>17961026</v>
      </c>
      <c r="I17" s="306">
        <f t="shared" si="16"/>
        <v>1008</v>
      </c>
      <c r="J17" s="438">
        <v>29500930</v>
      </c>
      <c r="K17" s="306">
        <f t="shared" si="18"/>
        <v>2824</v>
      </c>
      <c r="L17" s="438">
        <v>24417706</v>
      </c>
      <c r="M17" s="306">
        <f t="shared" si="20"/>
        <v>1934</v>
      </c>
      <c r="N17" s="305">
        <f t="shared" si="21"/>
        <v>7315</v>
      </c>
      <c r="O17" s="459">
        <f t="shared" si="36"/>
        <v>0</v>
      </c>
      <c r="P17" s="595">
        <v>18318.726999999999</v>
      </c>
      <c r="Q17" s="460">
        <f t="shared" si="1"/>
        <v>15257.999999997992</v>
      </c>
      <c r="R17" s="442">
        <f t="shared" si="39"/>
        <v>-7942.9999999979918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33252</v>
      </c>
      <c r="X17" s="442">
        <f>W17-W16</f>
        <v>0</v>
      </c>
      <c r="Y17" s="438">
        <f t="shared" si="25"/>
        <v>939994</v>
      </c>
      <c r="Z17" s="442">
        <f>Y17-Y16</f>
        <v>0</v>
      </c>
      <c r="AA17" s="438">
        <v>36698</v>
      </c>
      <c r="AB17" s="442">
        <f>AA17-AA16</f>
        <v>19</v>
      </c>
      <c r="AC17" s="438">
        <v>1146614</v>
      </c>
      <c r="AD17" s="442">
        <f t="shared" si="29"/>
        <v>4395</v>
      </c>
      <c r="AE17" s="464">
        <f t="shared" si="10"/>
        <v>19</v>
      </c>
      <c r="AF17" s="465">
        <f t="shared" si="4"/>
        <v>4395</v>
      </c>
      <c r="AG17" s="457">
        <f t="shared" si="37"/>
        <v>231.31578947368422</v>
      </c>
      <c r="AI17" s="458">
        <f>R17-'EDl log'!B17</f>
        <v>-1101704.9999999979</v>
      </c>
      <c r="AJ17" s="571">
        <v>44453</v>
      </c>
      <c r="AK17" s="458">
        <v>1215270</v>
      </c>
      <c r="AL17" s="577">
        <v>623</v>
      </c>
      <c r="AM17" s="577">
        <f t="shared" ref="AM17:AM19" si="40">AK17+AL17</f>
        <v>1215893</v>
      </c>
      <c r="AN17" s="577">
        <f t="shared" si="32"/>
        <v>899</v>
      </c>
    </row>
    <row r="18" spans="1:42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3478.0000000020082</v>
      </c>
      <c r="F18" s="605">
        <v>4087528</v>
      </c>
      <c r="G18" s="306">
        <f t="shared" si="14"/>
        <v>513</v>
      </c>
      <c r="H18" s="438">
        <v>17961804</v>
      </c>
      <c r="I18" s="306">
        <f t="shared" si="16"/>
        <v>778</v>
      </c>
      <c r="J18" s="438">
        <v>29504774</v>
      </c>
      <c r="K18" s="306">
        <f t="shared" si="18"/>
        <v>3844</v>
      </c>
      <c r="L18" s="438">
        <v>24419460</v>
      </c>
      <c r="M18" s="306">
        <f t="shared" si="20"/>
        <v>1754</v>
      </c>
      <c r="N18" s="305">
        <f>M18+K18+I18+G18+E18</f>
        <v>10367.000000002008</v>
      </c>
      <c r="O18" s="459">
        <f t="shared" si="36"/>
        <v>0</v>
      </c>
      <c r="P18" s="595">
        <v>18329.094000000001</v>
      </c>
      <c r="Q18" s="460">
        <f t="shared" si="1"/>
        <v>10367.000000002008</v>
      </c>
      <c r="R18" s="442">
        <f t="shared" si="39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v>33261</v>
      </c>
      <c r="X18" s="442">
        <f t="shared" si="35"/>
        <v>9</v>
      </c>
      <c r="Y18" s="438">
        <v>941968</v>
      </c>
      <c r="Z18" s="442">
        <f t="shared" si="34"/>
        <v>1974</v>
      </c>
      <c r="AA18" s="438">
        <v>36698</v>
      </c>
      <c r="AB18" s="442">
        <f t="shared" si="27"/>
        <v>0</v>
      </c>
      <c r="AC18" s="438">
        <f t="shared" si="28"/>
        <v>1146614</v>
      </c>
      <c r="AD18" s="442">
        <f t="shared" ref="AD18:AD31" si="41">AC18-AC17</f>
        <v>0</v>
      </c>
      <c r="AE18" s="464">
        <f t="shared" si="10"/>
        <v>9</v>
      </c>
      <c r="AF18" s="465">
        <f t="shared" si="4"/>
        <v>1974</v>
      </c>
      <c r="AG18" s="457">
        <f t="shared" si="37"/>
        <v>219.33333333333334</v>
      </c>
      <c r="AI18" s="458">
        <f>R18-'EDl log'!B18</f>
        <v>-1093762</v>
      </c>
      <c r="AJ18" s="571">
        <v>44454</v>
      </c>
      <c r="AK18" s="458">
        <v>1237137</v>
      </c>
      <c r="AL18" s="577">
        <v>627</v>
      </c>
      <c r="AM18" s="577">
        <f>AK18+AL18</f>
        <v>1237764</v>
      </c>
      <c r="AN18" s="634">
        <f>AP18-AO18</f>
        <v>3478.0000000020082</v>
      </c>
      <c r="AO18" s="467">
        <f>G18+I18+K18+M18</f>
        <v>6889</v>
      </c>
      <c r="AP18" s="458">
        <f>Q18+'EDl log'!C18</f>
        <v>10367.000000002008</v>
      </c>
    </row>
    <row r="19" spans="1:42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2815</v>
      </c>
      <c r="F19" s="605">
        <v>4087849</v>
      </c>
      <c r="G19" s="306">
        <f t="shared" si="14"/>
        <v>321</v>
      </c>
      <c r="H19" s="438">
        <v>17962342</v>
      </c>
      <c r="I19" s="306">
        <f t="shared" si="16"/>
        <v>538</v>
      </c>
      <c r="J19" s="438">
        <v>29507796</v>
      </c>
      <c r="K19" s="306">
        <f t="shared" si="18"/>
        <v>3022</v>
      </c>
      <c r="L19" s="438">
        <v>24420666</v>
      </c>
      <c r="M19" s="306">
        <f t="shared" si="20"/>
        <v>1206</v>
      </c>
      <c r="N19" s="305">
        <f t="shared" si="21"/>
        <v>7902</v>
      </c>
      <c r="O19" s="459">
        <f t="shared" si="36"/>
        <v>0</v>
      </c>
      <c r="P19" s="595">
        <v>18337.076000000001</v>
      </c>
      <c r="Q19" s="460">
        <f t="shared" si="1"/>
        <v>7981.9999999999709</v>
      </c>
      <c r="R19" s="442">
        <f t="shared" si="39"/>
        <v>-79.999999999970896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v>33267</v>
      </c>
      <c r="X19" s="442">
        <f t="shared" si="35"/>
        <v>6</v>
      </c>
      <c r="Y19" s="438">
        <v>943468</v>
      </c>
      <c r="Z19" s="442">
        <f t="shared" si="34"/>
        <v>1500</v>
      </c>
      <c r="AA19" s="438">
        <v>36709</v>
      </c>
      <c r="AB19" s="442">
        <f t="shared" si="27"/>
        <v>11</v>
      </c>
      <c r="AC19" s="438">
        <v>1148914</v>
      </c>
      <c r="AD19" s="442">
        <f t="shared" si="41"/>
        <v>2300</v>
      </c>
      <c r="AE19" s="464">
        <f t="shared" si="10"/>
        <v>17</v>
      </c>
      <c r="AF19" s="465">
        <f t="shared" si="4"/>
        <v>3800</v>
      </c>
      <c r="AG19" s="457">
        <f t="shared" si="37"/>
        <v>223.52941176470588</v>
      </c>
      <c r="AI19" s="458">
        <f>R19-'EDl log'!B19</f>
        <v>-1094234</v>
      </c>
      <c r="AJ19" s="571">
        <v>44455</v>
      </c>
      <c r="AK19" s="458">
        <v>1239907</v>
      </c>
      <c r="AL19" s="577">
        <v>672</v>
      </c>
      <c r="AM19" s="577">
        <f t="shared" si="40"/>
        <v>1240579</v>
      </c>
      <c r="AN19" s="577">
        <f t="shared" si="32"/>
        <v>2815</v>
      </c>
      <c r="AO19" s="467">
        <f t="shared" ref="AO19:AO34" si="42">G19+I19+K19+M19</f>
        <v>5087</v>
      </c>
      <c r="AP19" s="458">
        <f>Q19+'EDl log'!C19</f>
        <v>8373.9999999999709</v>
      </c>
    </row>
    <row r="20" spans="1:42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4087849</v>
      </c>
      <c r="G20" s="306">
        <f t="shared" si="14"/>
        <v>0</v>
      </c>
      <c r="H20" s="438">
        <f t="shared" si="15"/>
        <v>17962342</v>
      </c>
      <c r="I20" s="306">
        <f t="shared" si="16"/>
        <v>0</v>
      </c>
      <c r="J20" s="438">
        <f t="shared" si="17"/>
        <v>29507796</v>
      </c>
      <c r="K20" s="306">
        <f t="shared" si="18"/>
        <v>0</v>
      </c>
      <c r="L20" s="438">
        <f t="shared" si="19"/>
        <v>24420666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18337.076000000001</v>
      </c>
      <c r="Q20" s="460">
        <f t="shared" si="1"/>
        <v>0</v>
      </c>
      <c r="R20" s="442">
        <f t="shared" si="39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33267</v>
      </c>
      <c r="X20" s="442">
        <f t="shared" si="35"/>
        <v>0</v>
      </c>
      <c r="Y20" s="438">
        <f t="shared" si="25"/>
        <v>943468</v>
      </c>
      <c r="Z20" s="442">
        <f t="shared" si="34"/>
        <v>0</v>
      </c>
      <c r="AA20" s="438">
        <f t="shared" si="26"/>
        <v>36709</v>
      </c>
      <c r="AB20" s="442">
        <f t="shared" si="27"/>
        <v>0</v>
      </c>
      <c r="AC20" s="438">
        <f t="shared" si="28"/>
        <v>1148914</v>
      </c>
      <c r="AD20" s="442">
        <f t="shared" si="41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-1094154</v>
      </c>
      <c r="AJ20" s="571">
        <v>44456</v>
      </c>
      <c r="AK20" s="458">
        <f t="shared" ref="AK20:AK34" si="43">AK19</f>
        <v>1239907</v>
      </c>
      <c r="AL20" s="577">
        <f t="shared" si="31"/>
        <v>672</v>
      </c>
      <c r="AM20" s="577">
        <f>AK20+AL20</f>
        <v>1240579</v>
      </c>
      <c r="AN20" s="577">
        <f t="shared" si="32"/>
        <v>0</v>
      </c>
      <c r="AO20" s="467">
        <f t="shared" si="42"/>
        <v>0</v>
      </c>
      <c r="AP20" s="458">
        <f>Q20+'EDl log'!C20</f>
        <v>0</v>
      </c>
    </row>
    <row r="21" spans="1:42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0</v>
      </c>
      <c r="F21" s="605">
        <f t="shared" si="13"/>
        <v>4087849</v>
      </c>
      <c r="G21" s="306">
        <f t="shared" si="14"/>
        <v>0</v>
      </c>
      <c r="H21" s="438">
        <f t="shared" si="15"/>
        <v>17962342</v>
      </c>
      <c r="I21" s="306">
        <f t="shared" si="16"/>
        <v>0</v>
      </c>
      <c r="J21" s="438">
        <f t="shared" si="17"/>
        <v>29507796</v>
      </c>
      <c r="K21" s="306">
        <f t="shared" si="18"/>
        <v>0</v>
      </c>
      <c r="L21" s="438">
        <f t="shared" si="19"/>
        <v>24420666</v>
      </c>
      <c r="M21" s="306">
        <f t="shared" si="20"/>
        <v>0</v>
      </c>
      <c r="N21" s="305">
        <f t="shared" si="21"/>
        <v>0</v>
      </c>
      <c r="O21" s="459">
        <f t="shared" si="36"/>
        <v>0</v>
      </c>
      <c r="P21" s="595">
        <f t="shared" si="22"/>
        <v>18337.076000000001</v>
      </c>
      <c r="Q21" s="460">
        <f t="shared" si="1"/>
        <v>0</v>
      </c>
      <c r="R21" s="442">
        <f t="shared" si="39"/>
        <v>0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33267</v>
      </c>
      <c r="X21" s="442">
        <f t="shared" si="35"/>
        <v>0</v>
      </c>
      <c r="Y21" s="438">
        <f t="shared" si="25"/>
        <v>943468</v>
      </c>
      <c r="Z21" s="442">
        <f t="shared" si="34"/>
        <v>0</v>
      </c>
      <c r="AA21" s="438">
        <f t="shared" si="26"/>
        <v>36709</v>
      </c>
      <c r="AB21" s="442">
        <f t="shared" si="27"/>
        <v>0</v>
      </c>
      <c r="AC21" s="438">
        <f t="shared" si="28"/>
        <v>1148914</v>
      </c>
      <c r="AD21" s="442">
        <f t="shared" si="41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-1094154</v>
      </c>
      <c r="AJ21" s="571">
        <v>44457</v>
      </c>
      <c r="AK21" s="458">
        <f t="shared" si="43"/>
        <v>1239907</v>
      </c>
      <c r="AL21" s="577">
        <f t="shared" si="31"/>
        <v>672</v>
      </c>
      <c r="AM21" s="577">
        <f t="shared" ref="AM21:AM34" si="44">AK21+AL21</f>
        <v>1240579</v>
      </c>
      <c r="AN21" s="577">
        <f t="shared" si="32"/>
        <v>0</v>
      </c>
      <c r="AO21" s="467">
        <f t="shared" si="42"/>
        <v>0</v>
      </c>
      <c r="AP21" s="458">
        <f>Q21+'EDl log'!C21</f>
        <v>0</v>
      </c>
    </row>
    <row r="22" spans="1:42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3636</v>
      </c>
      <c r="F22" s="605">
        <v>4088204</v>
      </c>
      <c r="G22" s="306">
        <f t="shared" si="14"/>
        <v>355</v>
      </c>
      <c r="H22" s="438">
        <v>17962902</v>
      </c>
      <c r="I22" s="306">
        <f t="shared" si="16"/>
        <v>560</v>
      </c>
      <c r="J22" s="438">
        <v>29508718</v>
      </c>
      <c r="K22" s="306">
        <f t="shared" si="18"/>
        <v>922</v>
      </c>
      <c r="L22" s="438">
        <v>24421780</v>
      </c>
      <c r="M22" s="306">
        <f t="shared" si="20"/>
        <v>1114</v>
      </c>
      <c r="N22" s="305">
        <f t="shared" si="21"/>
        <v>6587</v>
      </c>
      <c r="O22" s="459">
        <f t="shared" si="36"/>
        <v>0</v>
      </c>
      <c r="P22" s="595">
        <v>18343.307000000001</v>
      </c>
      <c r="Q22" s="460">
        <f t="shared" si="1"/>
        <v>6230.9999999997672</v>
      </c>
      <c r="R22" s="442">
        <f t="shared" si="39"/>
        <v>356.00000000023283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33267</v>
      </c>
      <c r="X22" s="442">
        <f t="shared" si="35"/>
        <v>0</v>
      </c>
      <c r="Y22" s="438">
        <f t="shared" si="25"/>
        <v>943468</v>
      </c>
      <c r="Z22" s="442">
        <f t="shared" si="34"/>
        <v>0</v>
      </c>
      <c r="AA22" s="438">
        <v>36716</v>
      </c>
      <c r="AB22" s="442">
        <f t="shared" si="27"/>
        <v>7</v>
      </c>
      <c r="AC22" s="438">
        <v>1150554</v>
      </c>
      <c r="AD22" s="463">
        <f>AC22-AC21</f>
        <v>1640</v>
      </c>
      <c r="AE22" s="464">
        <f t="shared" si="10"/>
        <v>7</v>
      </c>
      <c r="AF22" s="465">
        <f t="shared" si="4"/>
        <v>1640</v>
      </c>
      <c r="AG22" s="457">
        <f t="shared" si="37"/>
        <v>234.28571428571428</v>
      </c>
      <c r="AI22" s="458">
        <f>R22-'EDl log'!B22</f>
        <v>-1093797.9999999998</v>
      </c>
      <c r="AJ22" s="571">
        <v>44458</v>
      </c>
      <c r="AK22" s="458">
        <v>1243417</v>
      </c>
      <c r="AL22" s="577">
        <v>798</v>
      </c>
      <c r="AM22" s="577">
        <f t="shared" si="44"/>
        <v>1244215</v>
      </c>
      <c r="AN22" s="577">
        <f t="shared" si="32"/>
        <v>3636</v>
      </c>
      <c r="AO22" s="467">
        <f t="shared" si="42"/>
        <v>2951</v>
      </c>
      <c r="AP22" s="458">
        <f>Q22+'EDl log'!C22</f>
        <v>6230.9999999997672</v>
      </c>
    </row>
    <row r="23" spans="1:42">
      <c r="A23" s="450">
        <f>'General information '!F25</f>
        <v>0</v>
      </c>
      <c r="B23" s="444">
        <f t="shared" si="6"/>
        <v>0</v>
      </c>
      <c r="C23" s="451">
        <v>44459</v>
      </c>
      <c r="D23" s="438">
        <f>D22</f>
        <v>32911138</v>
      </c>
      <c r="E23" s="439">
        <f>AN23</f>
        <v>4850</v>
      </c>
      <c r="F23" s="605">
        <v>4088580</v>
      </c>
      <c r="G23" s="306">
        <f t="shared" si="14"/>
        <v>376</v>
      </c>
      <c r="H23" s="438">
        <v>17963478</v>
      </c>
      <c r="I23" s="306">
        <f t="shared" si="16"/>
        <v>576</v>
      </c>
      <c r="J23" s="438">
        <v>29509866</v>
      </c>
      <c r="K23" s="306">
        <f t="shared" si="18"/>
        <v>1148</v>
      </c>
      <c r="L23" s="438">
        <v>24422966</v>
      </c>
      <c r="M23" s="306">
        <f t="shared" si="20"/>
        <v>1186</v>
      </c>
      <c r="N23" s="305">
        <f t="shared" si="21"/>
        <v>8136</v>
      </c>
      <c r="O23" s="459">
        <f t="shared" si="36"/>
        <v>0</v>
      </c>
      <c r="P23" s="595">
        <v>18351.594000000001</v>
      </c>
      <c r="Q23" s="460">
        <f t="shared" si="1"/>
        <v>8287.0000000002619</v>
      </c>
      <c r="R23" s="442">
        <f>AP23-Q23</f>
        <v>264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v>33267</v>
      </c>
      <c r="X23" s="442">
        <f t="shared" si="35"/>
        <v>0</v>
      </c>
      <c r="Y23" s="438">
        <f t="shared" si="25"/>
        <v>943468</v>
      </c>
      <c r="Z23" s="442">
        <f t="shared" si="34"/>
        <v>0</v>
      </c>
      <c r="AA23" s="438">
        <v>36726</v>
      </c>
      <c r="AB23" s="442">
        <f t="shared" si="27"/>
        <v>10</v>
      </c>
      <c r="AC23" s="438">
        <v>1153182</v>
      </c>
      <c r="AD23" s="442">
        <f t="shared" si="41"/>
        <v>2628</v>
      </c>
      <c r="AE23" s="464">
        <f t="shared" si="10"/>
        <v>10</v>
      </c>
      <c r="AF23" s="465">
        <f t="shared" si="4"/>
        <v>2628</v>
      </c>
      <c r="AG23" s="457">
        <f t="shared" si="37"/>
        <v>262.8</v>
      </c>
      <c r="AI23" s="458">
        <f>R23-'EDl log'!B23</f>
        <v>-1094154</v>
      </c>
      <c r="AJ23" s="571">
        <v>44459</v>
      </c>
      <c r="AK23" s="458">
        <v>1248267</v>
      </c>
      <c r="AL23" s="577">
        <v>798</v>
      </c>
      <c r="AM23" s="577">
        <f t="shared" si="44"/>
        <v>1249065</v>
      </c>
      <c r="AN23" s="577">
        <f t="shared" si="32"/>
        <v>4850</v>
      </c>
      <c r="AO23" s="467">
        <f t="shared" si="42"/>
        <v>3286</v>
      </c>
      <c r="AP23" s="458">
        <f>Q23+'EDl log'!C23</f>
        <v>8551.0000000002619</v>
      </c>
    </row>
    <row r="24" spans="1:42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4852</v>
      </c>
      <c r="F24" s="605">
        <v>4088919</v>
      </c>
      <c r="G24" s="306">
        <f t="shared" si="14"/>
        <v>339</v>
      </c>
      <c r="H24" s="438">
        <v>17964016</v>
      </c>
      <c r="I24" s="431">
        <f t="shared" si="16"/>
        <v>538</v>
      </c>
      <c r="J24" s="438">
        <v>29511092</v>
      </c>
      <c r="K24" s="306">
        <f t="shared" si="18"/>
        <v>1226</v>
      </c>
      <c r="L24" s="438">
        <v>24424098</v>
      </c>
      <c r="M24" s="306">
        <f t="shared" si="20"/>
        <v>1132</v>
      </c>
      <c r="N24" s="305">
        <f t="shared" si="21"/>
        <v>8087</v>
      </c>
      <c r="O24" s="459">
        <f t="shared" si="36"/>
        <v>0</v>
      </c>
      <c r="P24" s="595">
        <v>18359.603999999999</v>
      </c>
      <c r="Q24" s="460">
        <f t="shared" si="1"/>
        <v>8009.9999999983993</v>
      </c>
      <c r="R24" s="442">
        <f t="shared" si="39"/>
        <v>77.000000001600711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v>33268</v>
      </c>
      <c r="X24" s="442">
        <f t="shared" si="35"/>
        <v>1</v>
      </c>
      <c r="Y24" s="438">
        <v>943704</v>
      </c>
      <c r="Z24" s="442">
        <f t="shared" si="34"/>
        <v>236</v>
      </c>
      <c r="AA24" s="438">
        <v>36735</v>
      </c>
      <c r="AB24" s="442">
        <f t="shared" si="27"/>
        <v>9</v>
      </c>
      <c r="AC24" s="438">
        <v>1155774</v>
      </c>
      <c r="AD24" s="442">
        <f t="shared" si="41"/>
        <v>2592</v>
      </c>
      <c r="AE24" s="464">
        <f t="shared" si="10"/>
        <v>10</v>
      </c>
      <c r="AF24" s="465">
        <f t="shared" si="4"/>
        <v>2828</v>
      </c>
      <c r="AG24" s="457">
        <f t="shared" si="37"/>
        <v>282.8</v>
      </c>
      <c r="AI24" s="458">
        <f>R24-'EDl log'!B24</f>
        <v>-1094340.9999999984</v>
      </c>
      <c r="AJ24" s="571">
        <v>44460</v>
      </c>
      <c r="AK24" s="458">
        <v>1253025</v>
      </c>
      <c r="AL24" s="577">
        <v>892</v>
      </c>
      <c r="AM24" s="577">
        <f t="shared" si="44"/>
        <v>1253917</v>
      </c>
      <c r="AN24" s="577">
        <f t="shared" si="32"/>
        <v>4852</v>
      </c>
      <c r="AO24" s="467">
        <f t="shared" si="42"/>
        <v>3235</v>
      </c>
      <c r="AP24" s="458">
        <f>Q24+'EDl log'!C24</f>
        <v>8009.9999999983993</v>
      </c>
    </row>
    <row r="25" spans="1:42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2314</v>
      </c>
      <c r="F25" s="605">
        <v>4089310</v>
      </c>
      <c r="G25" s="306">
        <f t="shared" si="14"/>
        <v>391</v>
      </c>
      <c r="H25" s="438">
        <v>17964646</v>
      </c>
      <c r="I25" s="306">
        <f t="shared" si="16"/>
        <v>630</v>
      </c>
      <c r="J25" s="438">
        <v>29515846</v>
      </c>
      <c r="K25" s="306">
        <f t="shared" si="18"/>
        <v>4754</v>
      </c>
      <c r="L25" s="438">
        <v>24425340</v>
      </c>
      <c r="M25" s="306">
        <f t="shared" si="20"/>
        <v>1242</v>
      </c>
      <c r="N25" s="305">
        <f t="shared" si="21"/>
        <v>9331</v>
      </c>
      <c r="O25" s="459">
        <f t="shared" si="36"/>
        <v>0</v>
      </c>
      <c r="P25" s="595">
        <v>18368.966</v>
      </c>
      <c r="Q25" s="460">
        <f t="shared" si="1"/>
        <v>9362.0000000009895</v>
      </c>
      <c r="R25" s="442">
        <f t="shared" si="39"/>
        <v>-31.00000000098953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v>33278</v>
      </c>
      <c r="X25" s="442">
        <f t="shared" si="35"/>
        <v>10</v>
      </c>
      <c r="Y25" s="438">
        <v>946664</v>
      </c>
      <c r="Z25" s="442">
        <f t="shared" si="34"/>
        <v>2960</v>
      </c>
      <c r="AA25" s="438">
        <v>36735</v>
      </c>
      <c r="AB25" s="442">
        <f t="shared" si="27"/>
        <v>0</v>
      </c>
      <c r="AC25" s="438">
        <f t="shared" si="28"/>
        <v>1155774</v>
      </c>
      <c r="AD25" s="442">
        <f t="shared" si="41"/>
        <v>0</v>
      </c>
      <c r="AE25" s="464">
        <f t="shared" si="10"/>
        <v>10</v>
      </c>
      <c r="AF25" s="465">
        <f t="shared" si="4"/>
        <v>2960</v>
      </c>
      <c r="AG25" s="457">
        <f t="shared" si="37"/>
        <v>296</v>
      </c>
      <c r="AI25" s="458">
        <f>R25-'EDl log'!B25</f>
        <v>-1094674.0000000009</v>
      </c>
      <c r="AJ25" s="571">
        <v>44461</v>
      </c>
      <c r="AK25" s="458">
        <v>1255347</v>
      </c>
      <c r="AL25" s="577">
        <v>884</v>
      </c>
      <c r="AM25" s="577">
        <f t="shared" si="44"/>
        <v>1256231</v>
      </c>
      <c r="AN25" s="577">
        <f>AM25-AM24</f>
        <v>2314</v>
      </c>
      <c r="AO25" s="467">
        <f t="shared" si="42"/>
        <v>7017</v>
      </c>
      <c r="AP25" s="458">
        <f>Q25+'EDl log'!C25</f>
        <v>9587.0000000009895</v>
      </c>
    </row>
    <row r="26" spans="1:42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2427</v>
      </c>
      <c r="F26" s="605">
        <v>4089657</v>
      </c>
      <c r="G26" s="306">
        <f t="shared" si="14"/>
        <v>347</v>
      </c>
      <c r="H26" s="438">
        <v>17965202</v>
      </c>
      <c r="I26" s="306">
        <f t="shared" si="16"/>
        <v>556</v>
      </c>
      <c r="J26" s="438">
        <v>29519482</v>
      </c>
      <c r="K26" s="306">
        <f t="shared" si="18"/>
        <v>3636</v>
      </c>
      <c r="L26" s="438">
        <v>24426410</v>
      </c>
      <c r="M26" s="306">
        <f t="shared" si="20"/>
        <v>1070</v>
      </c>
      <c r="N26" s="305">
        <f t="shared" si="21"/>
        <v>8036</v>
      </c>
      <c r="O26" s="459">
        <f t="shared" si="36"/>
        <v>0</v>
      </c>
      <c r="P26" s="595">
        <v>18376.909</v>
      </c>
      <c r="Q26" s="460">
        <f t="shared" si="1"/>
        <v>7942.9999999993015</v>
      </c>
      <c r="R26" s="442">
        <f t="shared" si="39"/>
        <v>93.000000000698492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v>33286</v>
      </c>
      <c r="X26" s="442">
        <f t="shared" si="35"/>
        <v>8</v>
      </c>
      <c r="Y26" s="438">
        <v>948810</v>
      </c>
      <c r="Z26" s="442">
        <f t="shared" si="34"/>
        <v>2146</v>
      </c>
      <c r="AA26" s="438">
        <v>36737</v>
      </c>
      <c r="AB26" s="442">
        <f t="shared" si="27"/>
        <v>2</v>
      </c>
      <c r="AC26" s="438">
        <v>1156187</v>
      </c>
      <c r="AD26" s="442">
        <f t="shared" si="41"/>
        <v>413</v>
      </c>
      <c r="AE26" s="464">
        <f t="shared" si="10"/>
        <v>10</v>
      </c>
      <c r="AF26" s="465">
        <f t="shared" si="4"/>
        <v>2559</v>
      </c>
      <c r="AG26" s="457">
        <f t="shared" si="37"/>
        <v>255.9</v>
      </c>
      <c r="AI26" s="458">
        <f>R26-'EDl log'!B26</f>
        <v>-1094549.9999999993</v>
      </c>
      <c r="AJ26" s="571">
        <v>44462</v>
      </c>
      <c r="AK26" s="458">
        <v>1257712</v>
      </c>
      <c r="AL26" s="577">
        <v>946</v>
      </c>
      <c r="AM26" s="577">
        <f t="shared" si="44"/>
        <v>1258658</v>
      </c>
      <c r="AN26" s="577">
        <f t="shared" si="32"/>
        <v>2427</v>
      </c>
      <c r="AO26" s="467">
        <f t="shared" si="42"/>
        <v>5609</v>
      </c>
      <c r="AP26" s="458">
        <f>Q26+'EDl log'!C26</f>
        <v>7942.9999999993015</v>
      </c>
    </row>
    <row r="27" spans="1:42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4089657</v>
      </c>
      <c r="G27" s="306">
        <f t="shared" si="14"/>
        <v>0</v>
      </c>
      <c r="H27" s="438">
        <f t="shared" si="15"/>
        <v>17965202</v>
      </c>
      <c r="I27" s="306">
        <f t="shared" si="16"/>
        <v>0</v>
      </c>
      <c r="J27" s="438">
        <f t="shared" si="17"/>
        <v>29519482</v>
      </c>
      <c r="K27" s="306">
        <f t="shared" si="18"/>
        <v>0</v>
      </c>
      <c r="L27" s="438">
        <f t="shared" si="19"/>
        <v>24426410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18376.909</v>
      </c>
      <c r="Q27" s="460">
        <f t="shared" si="1"/>
        <v>0</v>
      </c>
      <c r="R27" s="442">
        <f t="shared" si="39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33286</v>
      </c>
      <c r="X27" s="442">
        <f t="shared" si="35"/>
        <v>0</v>
      </c>
      <c r="Y27" s="438">
        <f t="shared" si="25"/>
        <v>948810</v>
      </c>
      <c r="Z27" s="442">
        <f t="shared" si="34"/>
        <v>0</v>
      </c>
      <c r="AA27" s="438">
        <f t="shared" si="26"/>
        <v>36737</v>
      </c>
      <c r="AB27" s="442">
        <f t="shared" si="27"/>
        <v>0</v>
      </c>
      <c r="AC27" s="438">
        <f t="shared" si="28"/>
        <v>1156187</v>
      </c>
      <c r="AD27" s="442">
        <f t="shared" si="41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-1094643</v>
      </c>
      <c r="AJ27" s="571">
        <v>44463</v>
      </c>
      <c r="AK27" s="458">
        <f t="shared" si="43"/>
        <v>1257712</v>
      </c>
      <c r="AL27" s="577">
        <f t="shared" si="31"/>
        <v>946</v>
      </c>
      <c r="AM27" s="577">
        <f t="shared" si="44"/>
        <v>1258658</v>
      </c>
      <c r="AN27" s="577">
        <f t="shared" si="32"/>
        <v>0</v>
      </c>
      <c r="AO27" s="467">
        <f t="shared" si="42"/>
        <v>0</v>
      </c>
      <c r="AP27" s="458">
        <f>Q27+'EDl log'!C27</f>
        <v>0</v>
      </c>
    </row>
    <row r="28" spans="1:42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4089657</v>
      </c>
      <c r="G28" s="306">
        <f>F28-F27</f>
        <v>0</v>
      </c>
      <c r="H28" s="438">
        <f t="shared" si="15"/>
        <v>17965202</v>
      </c>
      <c r="I28" s="306">
        <f t="shared" si="16"/>
        <v>0</v>
      </c>
      <c r="J28" s="438">
        <f t="shared" si="17"/>
        <v>29519482</v>
      </c>
      <c r="K28" s="306">
        <f t="shared" si="18"/>
        <v>0</v>
      </c>
      <c r="L28" s="438">
        <f t="shared" si="19"/>
        <v>24426410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18376.909</v>
      </c>
      <c r="Q28" s="460">
        <f t="shared" si="1"/>
        <v>0</v>
      </c>
      <c r="R28" s="442">
        <f t="shared" si="39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33286</v>
      </c>
      <c r="X28" s="442">
        <f t="shared" si="35"/>
        <v>0</v>
      </c>
      <c r="Y28" s="438">
        <f t="shared" si="25"/>
        <v>948810</v>
      </c>
      <c r="Z28" s="442">
        <f t="shared" si="34"/>
        <v>0</v>
      </c>
      <c r="AA28" s="438">
        <f t="shared" si="26"/>
        <v>36737</v>
      </c>
      <c r="AB28" s="442">
        <f t="shared" si="27"/>
        <v>0</v>
      </c>
      <c r="AC28" s="438">
        <f t="shared" si="28"/>
        <v>1156187</v>
      </c>
      <c r="AD28" s="442">
        <f t="shared" si="41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-1094643</v>
      </c>
      <c r="AJ28" s="571">
        <v>44464</v>
      </c>
      <c r="AK28" s="458">
        <f t="shared" si="43"/>
        <v>1257712</v>
      </c>
      <c r="AL28" s="577">
        <f t="shared" si="31"/>
        <v>946</v>
      </c>
      <c r="AM28" s="577">
        <f t="shared" si="44"/>
        <v>1258658</v>
      </c>
      <c r="AN28" s="577">
        <f t="shared" si="32"/>
        <v>0</v>
      </c>
      <c r="AO28" s="467">
        <f t="shared" si="42"/>
        <v>0</v>
      </c>
      <c r="AP28" s="458">
        <f>Q28+'EDl log'!C28</f>
        <v>0</v>
      </c>
    </row>
    <row r="29" spans="1:42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170</v>
      </c>
      <c r="F29" s="605">
        <v>4089994</v>
      </c>
      <c r="G29" s="306">
        <f t="shared" ref="G29" si="45">F29-F28</f>
        <v>337</v>
      </c>
      <c r="H29" s="438">
        <v>17965714</v>
      </c>
      <c r="I29" s="306">
        <f t="shared" ref="I29" si="46">H29-H28</f>
        <v>512</v>
      </c>
      <c r="J29" s="438">
        <v>29521990</v>
      </c>
      <c r="K29" s="306">
        <f t="shared" ref="K29" si="47">J29-J28</f>
        <v>2508</v>
      </c>
      <c r="L29" s="438">
        <v>24427466</v>
      </c>
      <c r="M29" s="306">
        <f t="shared" ref="M29" si="48">L29-L28</f>
        <v>1056</v>
      </c>
      <c r="N29" s="305">
        <f t="shared" ref="N29" si="49">M29+K29+I29+G29+E29</f>
        <v>4583</v>
      </c>
      <c r="O29" s="459">
        <f t="shared" ref="O29" si="50">IF(B29&gt;0,N29/B29,0)</f>
        <v>0</v>
      </c>
      <c r="P29" s="595">
        <v>18383.172999999999</v>
      </c>
      <c r="Q29" s="460">
        <f t="shared" ref="Q29" si="51">(P29-P28)*1000</f>
        <v>6263.9999999992142</v>
      </c>
      <c r="R29" s="442">
        <f t="shared" ref="R29" si="52">N29-Q29</f>
        <v>-1680.9999999992142</v>
      </c>
      <c r="S29" s="438">
        <f t="shared" si="8"/>
        <v>10175</v>
      </c>
      <c r="T29" s="461">
        <f t="shared" ref="T29" si="53">S29-S28</f>
        <v>0</v>
      </c>
      <c r="U29" s="438">
        <f t="shared" si="9"/>
        <v>429166</v>
      </c>
      <c r="V29" s="442">
        <f t="shared" ref="V29" si="54">U29-U28</f>
        <v>0</v>
      </c>
      <c r="W29" s="438">
        <v>33292</v>
      </c>
      <c r="X29" s="442">
        <f t="shared" ref="X29" si="55">W29-W28</f>
        <v>6</v>
      </c>
      <c r="Y29" s="438">
        <v>950078</v>
      </c>
      <c r="Z29" s="442">
        <f t="shared" ref="Z29" si="56">Y29-Y28</f>
        <v>1268</v>
      </c>
      <c r="AA29" s="438">
        <v>36739</v>
      </c>
      <c r="AB29" s="442">
        <f t="shared" ref="AB29" si="57">AA29-AA28</f>
        <v>2</v>
      </c>
      <c r="AC29" s="438">
        <v>1156581</v>
      </c>
      <c r="AD29" s="442">
        <f t="shared" ref="AD29" si="58">AC29-AC28</f>
        <v>394</v>
      </c>
      <c r="AE29" s="464">
        <f t="shared" ref="AE29" si="59">AB29+X29+T29</f>
        <v>8</v>
      </c>
      <c r="AF29" s="465">
        <f t="shared" ref="AF29" si="60">V29+Z29+AD29</f>
        <v>1662</v>
      </c>
      <c r="AG29" s="457">
        <f t="shared" si="37"/>
        <v>207.75</v>
      </c>
      <c r="AI29" s="458">
        <f>R29-'EDl log'!B29</f>
        <v>-1096640.9999999993</v>
      </c>
      <c r="AJ29" s="571">
        <v>44465</v>
      </c>
      <c r="AK29" s="458">
        <f t="shared" si="43"/>
        <v>1257712</v>
      </c>
      <c r="AL29" s="577">
        <v>1116</v>
      </c>
      <c r="AM29" s="577">
        <f t="shared" si="44"/>
        <v>1258828</v>
      </c>
      <c r="AN29" s="577">
        <f t="shared" si="32"/>
        <v>170</v>
      </c>
      <c r="AO29" s="467">
        <f t="shared" si="42"/>
        <v>4413</v>
      </c>
      <c r="AP29" s="458">
        <f>Q29+'EDl log'!C29</f>
        <v>6580.9999999992142</v>
      </c>
    </row>
    <row r="30" spans="1:42">
      <c r="A30" s="450">
        <f>'General information '!F32</f>
        <v>0</v>
      </c>
      <c r="B30" s="444">
        <f>SUM(230*A30)</f>
        <v>0</v>
      </c>
      <c r="C30" s="451">
        <v>44466</v>
      </c>
      <c r="D30" s="438">
        <f>D29</f>
        <v>32911138</v>
      </c>
      <c r="E30" s="439">
        <f t="shared" si="12"/>
        <v>4605</v>
      </c>
      <c r="F30" s="605">
        <v>4090994</v>
      </c>
      <c r="G30" s="306">
        <f t="shared" si="14"/>
        <v>1000</v>
      </c>
      <c r="H30" s="438">
        <v>17966246</v>
      </c>
      <c r="I30" s="306">
        <f t="shared" si="16"/>
        <v>532</v>
      </c>
      <c r="J30" s="438">
        <v>29524062</v>
      </c>
      <c r="K30" s="306">
        <f t="shared" si="18"/>
        <v>2072</v>
      </c>
      <c r="L30" s="438">
        <v>24428538</v>
      </c>
      <c r="M30" s="306">
        <f t="shared" si="20"/>
        <v>1072</v>
      </c>
      <c r="N30" s="305">
        <f t="shared" si="21"/>
        <v>9281</v>
      </c>
      <c r="O30" s="459">
        <f t="shared" si="36"/>
        <v>0</v>
      </c>
      <c r="P30" s="595">
        <v>18390.494999999999</v>
      </c>
      <c r="Q30" s="460">
        <f t="shared" si="1"/>
        <v>7322.0000000001164</v>
      </c>
      <c r="R30" s="442">
        <f t="shared" si="39"/>
        <v>1958.9999999998836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v>33295</v>
      </c>
      <c r="X30" s="442">
        <f t="shared" si="35"/>
        <v>3</v>
      </c>
      <c r="Y30" s="438">
        <v>950880</v>
      </c>
      <c r="Z30" s="442">
        <f t="shared" si="34"/>
        <v>802</v>
      </c>
      <c r="AA30" s="438">
        <v>36745</v>
      </c>
      <c r="AB30" s="442">
        <f t="shared" si="27"/>
        <v>6</v>
      </c>
      <c r="AC30" s="438">
        <v>1158251</v>
      </c>
      <c r="AD30" s="442">
        <f t="shared" si="41"/>
        <v>1670</v>
      </c>
      <c r="AE30" s="464">
        <f t="shared" si="10"/>
        <v>9</v>
      </c>
      <c r="AF30" s="465">
        <f t="shared" si="4"/>
        <v>2472</v>
      </c>
      <c r="AG30" s="457">
        <f t="shared" si="37"/>
        <v>274.66666666666669</v>
      </c>
      <c r="AI30" s="458">
        <f>R30-'EDl log'!B30</f>
        <v>-1093310</v>
      </c>
      <c r="AJ30" s="571">
        <v>44466</v>
      </c>
      <c r="AK30" s="458">
        <v>1263317</v>
      </c>
      <c r="AL30" s="577">
        <v>116</v>
      </c>
      <c r="AM30" s="577">
        <f t="shared" si="44"/>
        <v>1263433</v>
      </c>
      <c r="AN30" s="577">
        <f t="shared" si="32"/>
        <v>4605</v>
      </c>
      <c r="AO30" s="467">
        <f t="shared" si="42"/>
        <v>4676</v>
      </c>
      <c r="AP30" s="458">
        <f>Q30+'EDl log'!C30</f>
        <v>7631.0000000001164</v>
      </c>
    </row>
    <row r="31" spans="1:42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ref="E31:E33" si="61">AN31</f>
        <v>0</v>
      </c>
      <c r="F31" s="605">
        <f t="shared" si="13"/>
        <v>4090994</v>
      </c>
      <c r="G31" s="306">
        <f t="shared" si="14"/>
        <v>0</v>
      </c>
      <c r="H31" s="438">
        <f t="shared" si="15"/>
        <v>17966246</v>
      </c>
      <c r="I31" s="306">
        <f t="shared" si="16"/>
        <v>0</v>
      </c>
      <c r="J31" s="438">
        <f t="shared" si="17"/>
        <v>29524062</v>
      </c>
      <c r="K31" s="306">
        <f t="shared" si="18"/>
        <v>0</v>
      </c>
      <c r="L31" s="438">
        <f t="shared" si="19"/>
        <v>24428538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18390.494999999999</v>
      </c>
      <c r="Q31" s="460">
        <f t="shared" si="1"/>
        <v>0</v>
      </c>
      <c r="R31" s="442">
        <f t="shared" si="39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33295</v>
      </c>
      <c r="X31" s="462">
        <f t="shared" si="35"/>
        <v>0</v>
      </c>
      <c r="Y31" s="438">
        <f t="shared" si="25"/>
        <v>950880</v>
      </c>
      <c r="Z31" s="442">
        <f t="shared" si="34"/>
        <v>0</v>
      </c>
      <c r="AA31" s="438">
        <f t="shared" si="26"/>
        <v>36745</v>
      </c>
      <c r="AB31" s="442">
        <f t="shared" si="27"/>
        <v>0</v>
      </c>
      <c r="AC31" s="438">
        <f t="shared" si="28"/>
        <v>1158251</v>
      </c>
      <c r="AD31" s="442">
        <f t="shared" si="41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-1095269</v>
      </c>
      <c r="AJ31" s="571">
        <v>44467</v>
      </c>
      <c r="AK31" s="458">
        <f t="shared" si="43"/>
        <v>1263317</v>
      </c>
      <c r="AL31" s="577">
        <f t="shared" si="31"/>
        <v>116</v>
      </c>
      <c r="AM31" s="577">
        <f t="shared" si="44"/>
        <v>1263433</v>
      </c>
      <c r="AN31" s="577">
        <f t="shared" si="32"/>
        <v>0</v>
      </c>
      <c r="AO31" s="467">
        <f t="shared" si="42"/>
        <v>0</v>
      </c>
      <c r="AP31" s="458">
        <f>Q31+'EDl log'!C31</f>
        <v>0</v>
      </c>
    </row>
    <row r="32" spans="1:42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61"/>
        <v>0</v>
      </c>
      <c r="F32" s="605">
        <f t="shared" si="13"/>
        <v>4090994</v>
      </c>
      <c r="G32" s="306">
        <f t="shared" si="14"/>
        <v>0</v>
      </c>
      <c r="H32" s="438">
        <f t="shared" si="15"/>
        <v>17966246</v>
      </c>
      <c r="I32" s="306">
        <f t="shared" si="16"/>
        <v>0</v>
      </c>
      <c r="J32" s="438">
        <f t="shared" si="17"/>
        <v>29524062</v>
      </c>
      <c r="K32" s="306">
        <f t="shared" si="18"/>
        <v>0</v>
      </c>
      <c r="L32" s="438">
        <f t="shared" si="19"/>
        <v>24428538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18390.494999999999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33295</v>
      </c>
      <c r="X32" s="462">
        <f>W32-W31</f>
        <v>0</v>
      </c>
      <c r="Y32" s="438">
        <f t="shared" si="25"/>
        <v>950880</v>
      </c>
      <c r="Z32" s="442">
        <f>Y32-Y31</f>
        <v>0</v>
      </c>
      <c r="AA32" s="438">
        <f t="shared" si="26"/>
        <v>36745</v>
      </c>
      <c r="AB32" s="442">
        <f>AA32-AA31</f>
        <v>0</v>
      </c>
      <c r="AC32" s="438">
        <f t="shared" si="28"/>
        <v>1158251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-1095269</v>
      </c>
      <c r="AJ32" s="571">
        <v>44468</v>
      </c>
      <c r="AK32" s="458">
        <f t="shared" si="43"/>
        <v>1263317</v>
      </c>
      <c r="AL32" s="577">
        <f t="shared" si="31"/>
        <v>116</v>
      </c>
      <c r="AM32" s="577">
        <f t="shared" si="44"/>
        <v>1263433</v>
      </c>
      <c r="AN32" s="577">
        <f t="shared" si="32"/>
        <v>0</v>
      </c>
      <c r="AO32" s="467">
        <f t="shared" si="42"/>
        <v>0</v>
      </c>
      <c r="AP32" s="458">
        <f>Q32+'EDl log'!C32</f>
        <v>0</v>
      </c>
    </row>
    <row r="33" spans="1:42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61"/>
        <v>0</v>
      </c>
      <c r="F33" s="605">
        <f t="shared" si="13"/>
        <v>4090994</v>
      </c>
      <c r="G33" s="306">
        <f t="shared" si="14"/>
        <v>0</v>
      </c>
      <c r="H33" s="438">
        <f t="shared" si="15"/>
        <v>17966246</v>
      </c>
      <c r="I33" s="306">
        <f t="shared" si="16"/>
        <v>0</v>
      </c>
      <c r="J33" s="438">
        <f t="shared" si="17"/>
        <v>29524062</v>
      </c>
      <c r="K33" s="306">
        <f t="shared" si="18"/>
        <v>0</v>
      </c>
      <c r="L33" s="438">
        <f t="shared" si="19"/>
        <v>24428538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18390.494999999999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33295</v>
      </c>
      <c r="X33" s="462">
        <f>W33-W32</f>
        <v>0</v>
      </c>
      <c r="Y33" s="438">
        <f t="shared" si="25"/>
        <v>950880</v>
      </c>
      <c r="Z33" s="442">
        <f>Y33-Y32</f>
        <v>0</v>
      </c>
      <c r="AA33" s="438">
        <f t="shared" si="26"/>
        <v>36745</v>
      </c>
      <c r="AB33" s="442">
        <f>AA33-AA32</f>
        <v>0</v>
      </c>
      <c r="AC33" s="438">
        <f t="shared" si="28"/>
        <v>1158251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-1095269</v>
      </c>
      <c r="AJ33" s="571">
        <v>44469</v>
      </c>
      <c r="AK33" s="458">
        <f t="shared" si="43"/>
        <v>1263317</v>
      </c>
      <c r="AL33" s="577">
        <f t="shared" si="31"/>
        <v>116</v>
      </c>
      <c r="AM33" s="577">
        <f t="shared" si="44"/>
        <v>1263433</v>
      </c>
      <c r="AN33" s="577">
        <f t="shared" si="32"/>
        <v>0</v>
      </c>
      <c r="AO33" s="467">
        <f t="shared" si="42"/>
        <v>0</v>
      </c>
      <c r="AP33" s="458">
        <f>Q33+'EDl log'!C33</f>
        <v>0</v>
      </c>
    </row>
    <row r="34" spans="1:42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62">D33</f>
        <v>32911138</v>
      </c>
      <c r="E34" s="439"/>
      <c r="F34" s="605">
        <f t="shared" si="13"/>
        <v>4090994</v>
      </c>
      <c r="G34" s="306">
        <f t="shared" ref="G34" si="63">F34-F33</f>
        <v>0</v>
      </c>
      <c r="H34" s="438">
        <f t="shared" si="15"/>
        <v>17966246</v>
      </c>
      <c r="I34" s="306">
        <f t="shared" ref="I34" si="64">H34-H33</f>
        <v>0</v>
      </c>
      <c r="J34" s="438">
        <f t="shared" si="17"/>
        <v>29524062</v>
      </c>
      <c r="K34" s="306">
        <f t="shared" ref="K34" si="65">J34-J33</f>
        <v>0</v>
      </c>
      <c r="L34" s="438">
        <f t="shared" si="19"/>
        <v>24428538</v>
      </c>
      <c r="M34" s="306">
        <f t="shared" ref="M34" si="66">L34-L33</f>
        <v>0</v>
      </c>
      <c r="N34" s="305">
        <f t="shared" ref="N34" si="67">M34+K34+I34+G34+E34</f>
        <v>0</v>
      </c>
      <c r="O34" s="459">
        <f>IF(B34&gt;0,N34/B34,0)</f>
        <v>0</v>
      </c>
      <c r="P34" s="595">
        <f t="shared" si="22"/>
        <v>18390.494999999999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68">U33</f>
        <v>429166</v>
      </c>
      <c r="V34" s="442">
        <f>U34-U33</f>
        <v>0</v>
      </c>
      <c r="W34" s="438">
        <f t="shared" si="24"/>
        <v>33295</v>
      </c>
      <c r="X34" s="462">
        <f>W34-W33</f>
        <v>0</v>
      </c>
      <c r="Y34" s="438">
        <f t="shared" si="25"/>
        <v>950880</v>
      </c>
      <c r="Z34" s="442">
        <f>Y34-Y33</f>
        <v>0</v>
      </c>
      <c r="AA34" s="438">
        <f t="shared" si="26"/>
        <v>36745</v>
      </c>
      <c r="AB34" s="442">
        <f>AA34-AA33</f>
        <v>0</v>
      </c>
      <c r="AC34" s="438">
        <f t="shared" si="28"/>
        <v>1158251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-1095269</v>
      </c>
      <c r="AJ34" s="571">
        <v>44470</v>
      </c>
      <c r="AK34" s="458">
        <f t="shared" si="43"/>
        <v>1263317</v>
      </c>
      <c r="AL34" s="577">
        <f t="shared" si="31"/>
        <v>116</v>
      </c>
      <c r="AM34" s="577">
        <f t="shared" si="44"/>
        <v>1263433</v>
      </c>
      <c r="AN34" s="577">
        <f t="shared" ref="AN34" si="69">AM34-AM33</f>
        <v>0</v>
      </c>
      <c r="AO34" s="467">
        <f t="shared" si="42"/>
        <v>0</v>
      </c>
      <c r="AP34" s="458">
        <f>Q34+'EDl log'!C34</f>
        <v>0</v>
      </c>
    </row>
    <row r="35" spans="1:42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1" activePane="bottomLeft" state="frozen"/>
      <selection activeCell="K1" sqref="K1"/>
      <selection pane="bottomLeft" activeCell="F39" sqref="F3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52" t="s">
        <v>2</v>
      </c>
      <c r="G1" s="653"/>
      <c r="H1" s="653"/>
      <c r="I1" s="654"/>
      <c r="J1" s="277">
        <f>J36</f>
        <v>69.099999999999994</v>
      </c>
      <c r="K1" s="655" t="s">
        <v>4</v>
      </c>
      <c r="L1" s="656"/>
      <c r="M1" s="656"/>
      <c r="N1" s="656"/>
      <c r="O1" s="657"/>
      <c r="P1" s="646" t="s">
        <v>6</v>
      </c>
      <c r="Q1" s="647"/>
      <c r="R1" s="647"/>
      <c r="S1" s="647"/>
      <c r="T1" s="648"/>
      <c r="U1" s="391"/>
      <c r="V1" s="27" t="s">
        <v>104</v>
      </c>
      <c r="W1" s="392"/>
      <c r="X1" s="646" t="s">
        <v>8</v>
      </c>
      <c r="Y1" s="647"/>
      <c r="Z1" s="647"/>
      <c r="AA1" s="647"/>
      <c r="AB1" s="647"/>
      <c r="AC1" s="649" t="s">
        <v>10</v>
      </c>
      <c r="AD1" s="650"/>
      <c r="AE1" s="650"/>
      <c r="AF1" s="651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44"/>
      <c r="R2" s="645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v>114</v>
      </c>
      <c r="C12" s="561">
        <v>121</v>
      </c>
      <c r="D12" s="45">
        <f t="shared" si="34"/>
        <v>14.5</v>
      </c>
      <c r="E12" s="45">
        <f t="shared" si="12"/>
        <v>121.51</v>
      </c>
      <c r="F12" s="561">
        <v>1881</v>
      </c>
      <c r="G12" s="52">
        <f t="shared" si="0"/>
        <v>1</v>
      </c>
      <c r="H12" s="561">
        <v>16427</v>
      </c>
      <c r="I12" s="390">
        <f t="shared" si="1"/>
        <v>29</v>
      </c>
      <c r="J12" s="66">
        <f t="shared" si="13"/>
        <v>29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1</v>
      </c>
      <c r="V12" s="62">
        <f t="shared" si="18"/>
        <v>29</v>
      </c>
      <c r="W12" s="394">
        <f t="shared" si="19"/>
        <v>29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29</v>
      </c>
      <c r="AJ12" s="312">
        <f>-tanks!AW13</f>
        <v>29</v>
      </c>
      <c r="AK12" s="312">
        <f t="shared" si="27"/>
        <v>0</v>
      </c>
      <c r="AL12" s="312">
        <f t="shared" si="8"/>
        <v>1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v>170</v>
      </c>
      <c r="C13" s="561">
        <v>176</v>
      </c>
      <c r="D13" s="45">
        <f t="shared" si="34"/>
        <v>-55</v>
      </c>
      <c r="E13" s="45">
        <f t="shared" si="12"/>
        <v>-460.90000000000003</v>
      </c>
      <c r="F13" s="561">
        <v>1881</v>
      </c>
      <c r="G13" s="52">
        <f t="shared" si="0"/>
        <v>0</v>
      </c>
      <c r="H13" s="561">
        <f t="shared" si="36"/>
        <v>16427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v>2127</v>
      </c>
      <c r="Q13" s="561">
        <v>178596</v>
      </c>
      <c r="R13" s="389">
        <f t="shared" si="44"/>
        <v>99</v>
      </c>
      <c r="S13" s="52">
        <f t="shared" si="5"/>
        <v>1</v>
      </c>
      <c r="T13" s="67">
        <f t="shared" si="37"/>
        <v>0</v>
      </c>
      <c r="U13" s="396">
        <f t="shared" si="17"/>
        <v>1</v>
      </c>
      <c r="V13" s="62">
        <f>R13+N13+I13:I13</f>
        <v>99</v>
      </c>
      <c r="W13" s="394">
        <f t="shared" si="19"/>
        <v>99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99</v>
      </c>
      <c r="AJ13" s="312">
        <f>-tanks!AW14</f>
        <v>99</v>
      </c>
      <c r="AK13" s="312">
        <f t="shared" si="27"/>
        <v>0</v>
      </c>
      <c r="AL13" s="312">
        <f t="shared" si="8"/>
        <v>1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170</v>
      </c>
      <c r="C14" s="561">
        <f t="shared" si="33"/>
        <v>176</v>
      </c>
      <c r="D14" s="45">
        <f t="shared" si="34"/>
        <v>0</v>
      </c>
      <c r="E14" s="45">
        <f t="shared" si="12"/>
        <v>0</v>
      </c>
      <c r="F14" s="561">
        <f t="shared" si="35"/>
        <v>1881</v>
      </c>
      <c r="G14" s="52">
        <f t="shared" si="0"/>
        <v>0</v>
      </c>
      <c r="H14" s="561">
        <f t="shared" si="36"/>
        <v>16427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2127</v>
      </c>
      <c r="Q14" s="561">
        <f t="shared" si="3"/>
        <v>178596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170</v>
      </c>
      <c r="C15" s="561">
        <f t="shared" si="33"/>
        <v>176</v>
      </c>
      <c r="D15" s="45">
        <f t="shared" si="34"/>
        <v>0</v>
      </c>
      <c r="E15" s="45">
        <f t="shared" si="12"/>
        <v>0</v>
      </c>
      <c r="F15" s="561">
        <f t="shared" si="35"/>
        <v>1881</v>
      </c>
      <c r="G15" s="52">
        <f t="shared" si="0"/>
        <v>0</v>
      </c>
      <c r="H15" s="561">
        <f t="shared" si="36"/>
        <v>16427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2127</v>
      </c>
      <c r="Q15" s="561">
        <f t="shared" si="3"/>
        <v>178596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170</v>
      </c>
      <c r="C16" s="561">
        <f t="shared" si="33"/>
        <v>176</v>
      </c>
      <c r="D16" s="45">
        <f t="shared" si="34"/>
        <v>0</v>
      </c>
      <c r="E16" s="45">
        <f t="shared" si="12"/>
        <v>0</v>
      </c>
      <c r="F16" s="561">
        <f t="shared" si="35"/>
        <v>1881</v>
      </c>
      <c r="G16" s="52">
        <f t="shared" si="0"/>
        <v>0</v>
      </c>
      <c r="H16" s="561">
        <f t="shared" si="36"/>
        <v>16427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2127</v>
      </c>
      <c r="Q16" s="561">
        <f t="shared" si="3"/>
        <v>178596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v>147</v>
      </c>
      <c r="C17" s="561">
        <v>153</v>
      </c>
      <c r="D17" s="45">
        <f t="shared" si="34"/>
        <v>23</v>
      </c>
      <c r="E17" s="45">
        <f t="shared" si="12"/>
        <v>192.74</v>
      </c>
      <c r="F17" s="561">
        <v>1883</v>
      </c>
      <c r="G17" s="52">
        <f t="shared" si="0"/>
        <v>2</v>
      </c>
      <c r="H17" s="561">
        <v>16568</v>
      </c>
      <c r="I17" s="390">
        <f t="shared" si="1"/>
        <v>141</v>
      </c>
      <c r="J17" s="66">
        <f t="shared" si="13"/>
        <v>70.5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2127</v>
      </c>
      <c r="Q17" s="561">
        <f t="shared" si="3"/>
        <v>178596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2</v>
      </c>
      <c r="V17" s="62">
        <f t="shared" si="18"/>
        <v>141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141</v>
      </c>
      <c r="AJ17" s="312">
        <f>-tanks!AW18</f>
        <v>141</v>
      </c>
      <c r="AK17" s="312">
        <f t="shared" si="27"/>
        <v>0</v>
      </c>
      <c r="AL17" s="312">
        <f t="shared" si="8"/>
        <v>2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v>131</v>
      </c>
      <c r="C18" s="561">
        <v>137</v>
      </c>
      <c r="D18" s="45">
        <f t="shared" si="34"/>
        <v>16</v>
      </c>
      <c r="E18" s="45">
        <f t="shared" si="12"/>
        <v>134.08000000000001</v>
      </c>
      <c r="F18" s="561">
        <v>1884</v>
      </c>
      <c r="G18" s="52">
        <f t="shared" si="0"/>
        <v>1</v>
      </c>
      <c r="H18" s="561">
        <v>16634</v>
      </c>
      <c r="I18" s="390">
        <f t="shared" si="1"/>
        <v>66</v>
      </c>
      <c r="J18" s="66">
        <f t="shared" si="13"/>
        <v>66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2127</v>
      </c>
      <c r="Q18" s="561">
        <f t="shared" ref="Q18:Q35" si="46">Q17</f>
        <v>178596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1</v>
      </c>
      <c r="V18" s="62">
        <f t="shared" si="18"/>
        <v>66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66</v>
      </c>
      <c r="AJ18" s="312">
        <f>-tanks!AW19</f>
        <v>66</v>
      </c>
      <c r="AK18" s="312">
        <f t="shared" si="27"/>
        <v>0</v>
      </c>
      <c r="AL18" s="312">
        <f t="shared" si="8"/>
        <v>1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v>177</v>
      </c>
      <c r="C19" s="561">
        <v>183</v>
      </c>
      <c r="D19" s="45">
        <f t="shared" si="34"/>
        <v>-46</v>
      </c>
      <c r="E19" s="45">
        <f t="shared" si="12"/>
        <v>-385.48</v>
      </c>
      <c r="F19" s="561">
        <f t="shared" si="35"/>
        <v>1884</v>
      </c>
      <c r="G19" s="52">
        <f t="shared" si="0"/>
        <v>0</v>
      </c>
      <c r="H19" s="561">
        <f t="shared" si="36"/>
        <v>16634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v>2128</v>
      </c>
      <c r="Q19" s="561">
        <v>178646</v>
      </c>
      <c r="R19" s="389">
        <f t="shared" si="44"/>
        <v>50</v>
      </c>
      <c r="S19" s="52">
        <f t="shared" si="5"/>
        <v>1</v>
      </c>
      <c r="T19" s="67">
        <f t="shared" si="37"/>
        <v>0</v>
      </c>
      <c r="U19" s="396">
        <f t="shared" si="17"/>
        <v>1</v>
      </c>
      <c r="V19" s="62">
        <f t="shared" si="18"/>
        <v>50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50</v>
      </c>
      <c r="AJ19" s="312">
        <f>-tanks!AW20</f>
        <v>50</v>
      </c>
      <c r="AK19" s="312">
        <f t="shared" si="27"/>
        <v>0</v>
      </c>
      <c r="AL19" s="312">
        <f t="shared" si="8"/>
        <v>1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v>168</v>
      </c>
      <c r="C20" s="561">
        <v>174</v>
      </c>
      <c r="D20" s="45">
        <f>C19-C20</f>
        <v>9</v>
      </c>
      <c r="E20" s="45">
        <f t="shared" si="12"/>
        <v>75.42</v>
      </c>
      <c r="F20" s="561">
        <v>1885</v>
      </c>
      <c r="G20" s="52">
        <f t="shared" si="0"/>
        <v>1</v>
      </c>
      <c r="H20" s="561">
        <v>16741</v>
      </c>
      <c r="I20" s="390">
        <f t="shared" si="1"/>
        <v>107</v>
      </c>
      <c r="J20" s="66">
        <f t="shared" si="13"/>
        <v>107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2128</v>
      </c>
      <c r="Q20" s="561">
        <f t="shared" si="46"/>
        <v>178646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1</v>
      </c>
      <c r="V20" s="62">
        <f t="shared" si="18"/>
        <v>107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107</v>
      </c>
      <c r="AJ20" s="312">
        <f>-tanks!AW21</f>
        <v>107</v>
      </c>
      <c r="AK20" s="312">
        <f t="shared" si="27"/>
        <v>0</v>
      </c>
      <c r="AL20" s="312">
        <f t="shared" si="8"/>
        <v>1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168</v>
      </c>
      <c r="C21" s="561">
        <f t="shared" si="33"/>
        <v>174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1885</v>
      </c>
      <c r="G21" s="52">
        <f t="shared" si="0"/>
        <v>0</v>
      </c>
      <c r="H21" s="561">
        <f t="shared" si="36"/>
        <v>16741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2128</v>
      </c>
      <c r="Q21" s="561">
        <f t="shared" si="46"/>
        <v>178646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168</v>
      </c>
      <c r="C22" s="561">
        <f t="shared" si="33"/>
        <v>174</v>
      </c>
      <c r="D22" s="45">
        <f t="shared" si="49"/>
        <v>0</v>
      </c>
      <c r="E22" s="45">
        <f t="shared" si="12"/>
        <v>0</v>
      </c>
      <c r="F22" s="561">
        <f t="shared" si="35"/>
        <v>1885</v>
      </c>
      <c r="G22" s="52">
        <f t="shared" si="0"/>
        <v>0</v>
      </c>
      <c r="H22" s="561">
        <f t="shared" si="36"/>
        <v>16741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2128</v>
      </c>
      <c r="Q22" s="561">
        <f t="shared" si="46"/>
        <v>178646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v>161</v>
      </c>
      <c r="C23" s="561">
        <v>167</v>
      </c>
      <c r="D23" s="45">
        <f t="shared" si="49"/>
        <v>7</v>
      </c>
      <c r="E23" s="45">
        <f t="shared" si="12"/>
        <v>58.660000000000004</v>
      </c>
      <c r="F23" s="561">
        <f t="shared" si="35"/>
        <v>1885</v>
      </c>
      <c r="G23" s="52">
        <f t="shared" si="0"/>
        <v>0</v>
      </c>
      <c r="H23" s="561">
        <f t="shared" si="36"/>
        <v>16741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2128</v>
      </c>
      <c r="Q23" s="561">
        <f t="shared" si="46"/>
        <v>178646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v>152</v>
      </c>
      <c r="C24" s="561">
        <v>158</v>
      </c>
      <c r="D24" s="45">
        <f t="shared" si="49"/>
        <v>9</v>
      </c>
      <c r="E24" s="45">
        <f t="shared" si="12"/>
        <v>75.42</v>
      </c>
      <c r="F24" s="561">
        <v>1887</v>
      </c>
      <c r="G24" s="52">
        <f t="shared" si="0"/>
        <v>2</v>
      </c>
      <c r="H24" s="561">
        <v>16860</v>
      </c>
      <c r="I24" s="390">
        <f t="shared" si="1"/>
        <v>119</v>
      </c>
      <c r="J24" s="66">
        <f t="shared" si="13"/>
        <v>59.5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2128</v>
      </c>
      <c r="Q24" s="561">
        <f t="shared" si="46"/>
        <v>178646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2</v>
      </c>
      <c r="V24" s="62">
        <f t="shared" si="18"/>
        <v>119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119</v>
      </c>
      <c r="AJ24" s="312">
        <f>-tanks!AW25</f>
        <v>119</v>
      </c>
      <c r="AK24" s="312">
        <f t="shared" si="27"/>
        <v>0</v>
      </c>
      <c r="AL24" s="312">
        <f t="shared" si="8"/>
        <v>2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v>142</v>
      </c>
      <c r="C25" s="561">
        <v>149</v>
      </c>
      <c r="D25" s="45">
        <f t="shared" si="49"/>
        <v>9</v>
      </c>
      <c r="E25" s="45">
        <f t="shared" si="12"/>
        <v>75.42</v>
      </c>
      <c r="F25" s="561">
        <f t="shared" si="35"/>
        <v>1887</v>
      </c>
      <c r="G25" s="52">
        <f t="shared" si="0"/>
        <v>0</v>
      </c>
      <c r="H25" s="561">
        <f t="shared" si="36"/>
        <v>16860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2128</v>
      </c>
      <c r="Q25" s="561">
        <f t="shared" si="46"/>
        <v>178646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v>133</v>
      </c>
      <c r="C26" s="561">
        <v>140</v>
      </c>
      <c r="D26" s="45">
        <f t="shared" si="49"/>
        <v>9</v>
      </c>
      <c r="E26" s="45">
        <f t="shared" si="12"/>
        <v>75.42</v>
      </c>
      <c r="F26" s="561">
        <f t="shared" si="35"/>
        <v>1887</v>
      </c>
      <c r="G26" s="52">
        <f t="shared" si="0"/>
        <v>0</v>
      </c>
      <c r="H26" s="561">
        <f t="shared" si="36"/>
        <v>16860</v>
      </c>
      <c r="I26" s="390">
        <f t="shared" si="1"/>
        <v>0</v>
      </c>
      <c r="J26" s="66">
        <f t="shared" si="13"/>
        <v>0</v>
      </c>
      <c r="K26" s="561">
        <v>2355</v>
      </c>
      <c r="L26" s="52">
        <f t="shared" si="15"/>
        <v>2</v>
      </c>
      <c r="M26" s="561">
        <v>173804</v>
      </c>
      <c r="N26" s="390">
        <f t="shared" si="2"/>
        <v>86</v>
      </c>
      <c r="O26" s="64">
        <f t="shared" si="48"/>
        <v>1869</v>
      </c>
      <c r="P26" s="561">
        <f t="shared" si="45"/>
        <v>2128</v>
      </c>
      <c r="Q26" s="561">
        <f t="shared" si="46"/>
        <v>178646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2</v>
      </c>
      <c r="V26" s="62">
        <f t="shared" si="18"/>
        <v>86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86</v>
      </c>
      <c r="AJ26" s="312">
        <f>-tanks!AW27</f>
        <v>86</v>
      </c>
      <c r="AK26" s="312">
        <f t="shared" si="27"/>
        <v>0</v>
      </c>
      <c r="AL26" s="312">
        <f t="shared" si="8"/>
        <v>2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v>162</v>
      </c>
      <c r="C27" s="561">
        <v>168</v>
      </c>
      <c r="D27" s="45">
        <f t="shared" si="49"/>
        <v>-28</v>
      </c>
      <c r="E27" s="45">
        <f t="shared" si="12"/>
        <v>-234.64000000000001</v>
      </c>
      <c r="F27" s="561">
        <v>1888</v>
      </c>
      <c r="G27" s="52">
        <f t="shared" si="0"/>
        <v>1</v>
      </c>
      <c r="H27" s="561">
        <v>16945</v>
      </c>
      <c r="I27" s="390">
        <f t="shared" si="1"/>
        <v>85</v>
      </c>
      <c r="J27" s="66">
        <f t="shared" si="13"/>
        <v>85</v>
      </c>
      <c r="K27" s="561">
        <f t="shared" si="14"/>
        <v>2355</v>
      </c>
      <c r="L27" s="52">
        <f t="shared" si="15"/>
        <v>0</v>
      </c>
      <c r="M27" s="561">
        <f t="shared" si="16"/>
        <v>173804</v>
      </c>
      <c r="N27" s="390">
        <f t="shared" si="2"/>
        <v>0</v>
      </c>
      <c r="O27" s="64">
        <f t="shared" si="48"/>
        <v>1869</v>
      </c>
      <c r="P27" s="561">
        <f t="shared" si="45"/>
        <v>2128</v>
      </c>
      <c r="Q27" s="561">
        <f t="shared" si="46"/>
        <v>178646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1</v>
      </c>
      <c r="V27" s="62">
        <f t="shared" si="18"/>
        <v>85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85</v>
      </c>
      <c r="AJ27" s="312">
        <f>-tanks!AW28</f>
        <v>85</v>
      </c>
      <c r="AK27" s="312">
        <f t="shared" si="27"/>
        <v>0</v>
      </c>
      <c r="AL27" s="312">
        <f t="shared" si="8"/>
        <v>1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162</v>
      </c>
      <c r="C28" s="561">
        <f t="shared" si="33"/>
        <v>168</v>
      </c>
      <c r="D28" s="45">
        <f t="shared" si="49"/>
        <v>0</v>
      </c>
      <c r="E28" s="45">
        <f t="shared" si="12"/>
        <v>0</v>
      </c>
      <c r="F28" s="561">
        <f t="shared" si="35"/>
        <v>1888</v>
      </c>
      <c r="G28" s="52">
        <f t="shared" si="0"/>
        <v>0</v>
      </c>
      <c r="H28" s="561">
        <f t="shared" si="36"/>
        <v>16945</v>
      </c>
      <c r="I28" s="390">
        <f t="shared" si="1"/>
        <v>0</v>
      </c>
      <c r="J28" s="66">
        <f t="shared" si="13"/>
        <v>0</v>
      </c>
      <c r="K28" s="561">
        <f t="shared" si="14"/>
        <v>2355</v>
      </c>
      <c r="L28" s="52">
        <f t="shared" si="15"/>
        <v>0</v>
      </c>
      <c r="M28" s="561">
        <f t="shared" si="16"/>
        <v>173804</v>
      </c>
      <c r="N28" s="390">
        <f t="shared" si="2"/>
        <v>0</v>
      </c>
      <c r="O28" s="64">
        <f t="shared" si="48"/>
        <v>1869</v>
      </c>
      <c r="P28" s="561">
        <f t="shared" si="45"/>
        <v>2128</v>
      </c>
      <c r="Q28" s="561">
        <f t="shared" si="46"/>
        <v>178646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162</v>
      </c>
      <c r="C29" s="561">
        <f t="shared" si="33"/>
        <v>168</v>
      </c>
      <c r="D29" s="45">
        <f t="shared" si="49"/>
        <v>0</v>
      </c>
      <c r="E29" s="45">
        <f t="shared" si="12"/>
        <v>0</v>
      </c>
      <c r="F29" s="561">
        <f t="shared" si="35"/>
        <v>1888</v>
      </c>
      <c r="G29" s="52">
        <f t="shared" si="0"/>
        <v>0</v>
      </c>
      <c r="H29" s="561">
        <f t="shared" si="36"/>
        <v>16945</v>
      </c>
      <c r="I29" s="390">
        <f t="shared" si="1"/>
        <v>0</v>
      </c>
      <c r="J29" s="66">
        <f t="shared" si="13"/>
        <v>0</v>
      </c>
      <c r="K29" s="561">
        <f t="shared" si="14"/>
        <v>2355</v>
      </c>
      <c r="L29" s="52">
        <f t="shared" si="15"/>
        <v>0</v>
      </c>
      <c r="M29" s="561">
        <f t="shared" si="16"/>
        <v>173804</v>
      </c>
      <c r="N29" s="390">
        <f t="shared" si="2"/>
        <v>0</v>
      </c>
      <c r="O29" s="64">
        <f t="shared" si="48"/>
        <v>1869</v>
      </c>
      <c r="P29" s="561">
        <f t="shared" si="45"/>
        <v>2128</v>
      </c>
      <c r="Q29" s="561">
        <f t="shared" si="46"/>
        <v>178646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v>155</v>
      </c>
      <c r="C30" s="561">
        <v>161.5</v>
      </c>
      <c r="D30" s="45">
        <f t="shared" ref="D30" si="54">C29-C30</f>
        <v>6.5</v>
      </c>
      <c r="E30" s="45">
        <f t="shared" ref="E30" si="55">D30*8.38</f>
        <v>54.470000000000006</v>
      </c>
      <c r="F30" s="561">
        <f t="shared" si="35"/>
        <v>1888</v>
      </c>
      <c r="G30" s="52">
        <f t="shared" ref="G30" si="56">F30-F29</f>
        <v>0</v>
      </c>
      <c r="H30" s="561">
        <v>16951</v>
      </c>
      <c r="I30" s="390">
        <f t="shared" ref="I30" si="57">SUM(H30-H29)</f>
        <v>6</v>
      </c>
      <c r="J30" s="66">
        <f t="shared" ref="J30" si="58">IF(G30&gt;0,I30/G30,0)</f>
        <v>0</v>
      </c>
      <c r="K30" s="561">
        <v>2355</v>
      </c>
      <c r="L30" s="52">
        <f t="shared" ref="L30" si="59">K30-K29</f>
        <v>0</v>
      </c>
      <c r="M30" s="561">
        <v>173864</v>
      </c>
      <c r="N30" s="390">
        <f t="shared" ref="N30" si="60">M30-M29</f>
        <v>60</v>
      </c>
      <c r="O30" s="64">
        <f t="shared" si="48"/>
        <v>1869</v>
      </c>
      <c r="P30" s="561">
        <v>2129</v>
      </c>
      <c r="Q30" s="561">
        <v>178720</v>
      </c>
      <c r="R30" s="389">
        <f t="shared" ref="R30" si="61">Q30-Q29</f>
        <v>74</v>
      </c>
      <c r="S30" s="52">
        <f t="shared" ref="S30" si="62">SUM(P30-P29)</f>
        <v>1</v>
      </c>
      <c r="T30" s="67">
        <f t="shared" ref="T30" si="63">SUM(S30*$T$2)</f>
        <v>0</v>
      </c>
      <c r="U30" s="396">
        <f t="shared" ref="U30" si="64">SUM(G30+L30+S30)</f>
        <v>1</v>
      </c>
      <c r="V30" s="62">
        <f t="shared" ref="V30" si="65">R30+N30+I30:I30</f>
        <v>140</v>
      </c>
      <c r="W30" s="394"/>
      <c r="X30" s="561">
        <f t="shared" si="20"/>
        <v>2470</v>
      </c>
      <c r="Y30" s="52">
        <f t="shared" ref="Y30" si="66">X30-X29</f>
        <v>0</v>
      </c>
      <c r="Z30" s="561">
        <f t="shared" si="22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61">
        <f t="shared" si="23"/>
        <v>1942</v>
      </c>
      <c r="AD30" s="265">
        <f t="shared" ref="AD30" si="69">AC30-AC29</f>
        <v>0</v>
      </c>
      <c r="AE30" s="561">
        <f t="shared" si="24"/>
        <v>366072</v>
      </c>
      <c r="AF30" s="301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2">
        <f t="shared" si="26"/>
        <v>140</v>
      </c>
      <c r="AJ30" s="312">
        <f>-tanks!AW31</f>
        <v>140</v>
      </c>
      <c r="AK30" s="312">
        <f t="shared" si="27"/>
        <v>0</v>
      </c>
      <c r="AL30" s="312">
        <f t="shared" si="8"/>
        <v>1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v>147</v>
      </c>
      <c r="C31" s="561">
        <v>154</v>
      </c>
      <c r="D31" s="45">
        <f t="shared" si="49"/>
        <v>7.5</v>
      </c>
      <c r="E31" s="45">
        <f t="shared" si="12"/>
        <v>62.850000000000009</v>
      </c>
      <c r="F31" s="561">
        <f t="shared" si="35"/>
        <v>1888</v>
      </c>
      <c r="G31" s="52">
        <f t="shared" si="0"/>
        <v>0</v>
      </c>
      <c r="H31" s="561">
        <v>16951</v>
      </c>
      <c r="I31" s="390">
        <f t="shared" si="1"/>
        <v>0</v>
      </c>
      <c r="J31" s="66">
        <f t="shared" si="13"/>
        <v>0</v>
      </c>
      <c r="K31" s="561">
        <v>2355</v>
      </c>
      <c r="L31" s="52">
        <f t="shared" si="15"/>
        <v>0</v>
      </c>
      <c r="M31" s="561">
        <v>173864</v>
      </c>
      <c r="N31" s="390">
        <f t="shared" si="2"/>
        <v>0</v>
      </c>
      <c r="O31" s="64">
        <f t="shared" si="48"/>
        <v>1869</v>
      </c>
      <c r="P31" s="561">
        <v>2129</v>
      </c>
      <c r="Q31" s="561">
        <v>178720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147</v>
      </c>
      <c r="C32" s="561">
        <f t="shared" si="33"/>
        <v>154</v>
      </c>
      <c r="D32" s="45">
        <f t="shared" si="49"/>
        <v>0</v>
      </c>
      <c r="E32" s="45">
        <f t="shared" si="12"/>
        <v>0</v>
      </c>
      <c r="F32" s="561">
        <f t="shared" si="35"/>
        <v>1888</v>
      </c>
      <c r="G32" s="52">
        <f t="shared" si="0"/>
        <v>0</v>
      </c>
      <c r="H32" s="561">
        <f t="shared" si="36"/>
        <v>16951</v>
      </c>
      <c r="I32" s="390">
        <f t="shared" si="1"/>
        <v>0</v>
      </c>
      <c r="J32" s="66">
        <f t="shared" si="13"/>
        <v>0</v>
      </c>
      <c r="K32" s="561">
        <f t="shared" si="14"/>
        <v>2355</v>
      </c>
      <c r="L32" s="52">
        <f t="shared" si="15"/>
        <v>0</v>
      </c>
      <c r="M32" s="561">
        <f t="shared" si="16"/>
        <v>173864</v>
      </c>
      <c r="N32" s="390">
        <f t="shared" si="2"/>
        <v>0</v>
      </c>
      <c r="O32" s="64">
        <f t="shared" si="48"/>
        <v>1869</v>
      </c>
      <c r="P32" s="561">
        <f t="shared" si="45"/>
        <v>2129</v>
      </c>
      <c r="Q32" s="561">
        <f t="shared" si="46"/>
        <v>178720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147</v>
      </c>
      <c r="C33" s="561">
        <f t="shared" si="33"/>
        <v>154</v>
      </c>
      <c r="D33" s="45">
        <f>C32-C33</f>
        <v>0</v>
      </c>
      <c r="E33" s="45">
        <f>D33*8.38</f>
        <v>0</v>
      </c>
      <c r="F33" s="561">
        <f t="shared" si="35"/>
        <v>1888</v>
      </c>
      <c r="G33" s="52">
        <f>F33-F32</f>
        <v>0</v>
      </c>
      <c r="H33" s="561">
        <f t="shared" si="36"/>
        <v>16951</v>
      </c>
      <c r="I33" s="390">
        <f>SUM(H33-H32)</f>
        <v>0</v>
      </c>
      <c r="J33" s="66">
        <f>IF(G33&gt;0,I33/G33,0)</f>
        <v>0</v>
      </c>
      <c r="K33" s="561">
        <f t="shared" si="14"/>
        <v>2355</v>
      </c>
      <c r="L33" s="52">
        <f>K33-K32</f>
        <v>0</v>
      </c>
      <c r="M33" s="561">
        <f t="shared" si="16"/>
        <v>173864</v>
      </c>
      <c r="N33" s="390">
        <f>M33-M32</f>
        <v>0</v>
      </c>
      <c r="O33" s="64">
        <f t="shared" si="48"/>
        <v>1869</v>
      </c>
      <c r="P33" s="561">
        <f t="shared" si="45"/>
        <v>2129</v>
      </c>
      <c r="Q33" s="561">
        <f t="shared" si="46"/>
        <v>178720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147</v>
      </c>
      <c r="C34" s="561">
        <f t="shared" si="33"/>
        <v>154</v>
      </c>
      <c r="D34" s="45">
        <f>C33-C34</f>
        <v>0</v>
      </c>
      <c r="E34" s="45">
        <f>D34*8.38</f>
        <v>0</v>
      </c>
      <c r="F34" s="561">
        <f t="shared" si="35"/>
        <v>1888</v>
      </c>
      <c r="G34" s="52">
        <f>F34-F33</f>
        <v>0</v>
      </c>
      <c r="H34" s="561">
        <f t="shared" si="36"/>
        <v>16951</v>
      </c>
      <c r="I34" s="390">
        <f>SUM(H34-H33)</f>
        <v>0</v>
      </c>
      <c r="J34" s="66">
        <f>IF(G34&gt;0,I34/G34,0)</f>
        <v>0</v>
      </c>
      <c r="K34" s="561">
        <f t="shared" si="14"/>
        <v>2355</v>
      </c>
      <c r="L34" s="52">
        <f>K34-K33</f>
        <v>0</v>
      </c>
      <c r="M34" s="561">
        <f t="shared" si="16"/>
        <v>173864</v>
      </c>
      <c r="N34" s="390">
        <f>M34-M33</f>
        <v>0</v>
      </c>
      <c r="O34" s="64">
        <f t="shared" si="48"/>
        <v>1869</v>
      </c>
      <c r="P34" s="561">
        <f t="shared" si="45"/>
        <v>2129</v>
      </c>
      <c r="Q34" s="561">
        <f t="shared" si="46"/>
        <v>178720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71">AN33</f>
        <v>65</v>
      </c>
      <c r="AO34" s="314">
        <f t="shared" si="53"/>
        <v>1950</v>
      </c>
      <c r="AP34" s="561">
        <f t="shared" si="71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147</v>
      </c>
      <c r="C35" s="561">
        <f t="shared" si="33"/>
        <v>154</v>
      </c>
      <c r="D35" s="45">
        <f>C34-C35</f>
        <v>0</v>
      </c>
      <c r="E35" s="45">
        <f>D35*8.38</f>
        <v>0</v>
      </c>
      <c r="F35" s="561">
        <f t="shared" si="35"/>
        <v>1888</v>
      </c>
      <c r="G35" s="52">
        <f>F35-F34</f>
        <v>0</v>
      </c>
      <c r="H35" s="561">
        <f t="shared" si="36"/>
        <v>16951</v>
      </c>
      <c r="I35" s="390">
        <f>SUM(H35-H34)</f>
        <v>0</v>
      </c>
      <c r="J35" s="66">
        <f>IF(G35&gt;0,I35/G35,0)</f>
        <v>0</v>
      </c>
      <c r="K35" s="561">
        <f t="shared" si="14"/>
        <v>2355</v>
      </c>
      <c r="L35" s="52">
        <f>K35-K34</f>
        <v>0</v>
      </c>
      <c r="M35" s="561">
        <f t="shared" si="16"/>
        <v>173864</v>
      </c>
      <c r="N35" s="390">
        <f>M35-M34</f>
        <v>0</v>
      </c>
      <c r="O35" s="64">
        <f t="shared" si="48"/>
        <v>1869</v>
      </c>
      <c r="P35" s="561">
        <f t="shared" si="45"/>
        <v>2129</v>
      </c>
      <c r="Q35" s="561">
        <f t="shared" si="46"/>
        <v>178720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71"/>
        <v>65</v>
      </c>
      <c r="AO35" s="314">
        <f t="shared" ref="AO35" si="72">(AN35/100)*3000</f>
        <v>1950</v>
      </c>
      <c r="AP35" s="561">
        <f t="shared" si="71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73">IF(AV35&gt;0,AW35,AX34)</f>
        <v>0.8</v>
      </c>
    </row>
    <row r="36" spans="1:50">
      <c r="J36" s="278">
        <f>SUM(J5:J32)/(COUNT(J5:J32)-COUNTIF(J5:J32,0))</f>
        <v>69.099999999999994</v>
      </c>
      <c r="V36" s="62">
        <f>SUM(V5:V34)</f>
        <v>1371</v>
      </c>
      <c r="AE36" s="71" t="s">
        <v>382</v>
      </c>
      <c r="AG36" s="338"/>
      <c r="AH36" s="62">
        <f>SUM(AH5:AH35)</f>
        <v>0</v>
      </c>
      <c r="AL36" s="62">
        <f>SUM(AL5:AL35)</f>
        <v>18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1371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="90" zoomScaleNormal="90" workbookViewId="0">
      <pane ySplit="3" topLeftCell="A18" activePane="bottomLeft" state="frozen"/>
      <selection pane="bottomLeft" activeCell="AW35" sqref="AW35:AW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8120811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61" t="s">
        <v>95</v>
      </c>
      <c r="AS2" s="662"/>
      <c r="AT2" s="662"/>
      <c r="AU2" s="662"/>
      <c r="AV2" s="663"/>
      <c r="AW2" s="661" t="s">
        <v>96</v>
      </c>
      <c r="AX2" s="662"/>
      <c r="AY2" s="663"/>
      <c r="AZ2" s="661" t="s">
        <v>98</v>
      </c>
      <c r="BA2" s="662"/>
      <c r="BB2" s="663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58" t="s">
        <v>126</v>
      </c>
      <c r="AO3" s="659"/>
      <c r="AP3" s="660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250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1.0917030567685591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250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250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250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250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250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250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250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27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v>134</v>
      </c>
      <c r="AU13" s="419">
        <f t="shared" si="43"/>
        <v>1.1000000000000001</v>
      </c>
      <c r="AV13" s="201">
        <v>182</v>
      </c>
      <c r="AW13" s="5">
        <v>2.9</v>
      </c>
      <c r="AX13" s="201">
        <v>144</v>
      </c>
      <c r="AY13" s="420">
        <f t="shared" si="31"/>
        <v>120.60000000000001</v>
      </c>
      <c r="AZ13" s="420">
        <f t="shared" si="32"/>
        <v>200.20000000000002</v>
      </c>
      <c r="BA13" s="420">
        <f t="shared" si="33"/>
        <v>417.59999999999997</v>
      </c>
      <c r="BB13" s="21">
        <f t="shared" si="34"/>
        <v>72</v>
      </c>
      <c r="BC13" s="21">
        <f t="shared" si="35"/>
        <v>-2.1999999999999886</v>
      </c>
      <c r="BD13" s="21">
        <f t="shared" si="35"/>
        <v>40.599999999999966</v>
      </c>
      <c r="BE13" s="24">
        <f t="shared" si="36"/>
        <v>110.39999999999998</v>
      </c>
      <c r="BF13" s="96">
        <f t="shared" si="4"/>
        <v>-110.39999999999998</v>
      </c>
      <c r="BG13" s="82">
        <f t="shared" si="5"/>
        <v>110.39999999999998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250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6862</v>
      </c>
      <c r="L14" s="83">
        <f t="shared" si="41"/>
        <v>2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-2</v>
      </c>
      <c r="AL14" s="321">
        <f t="shared" si="28"/>
        <v>0</v>
      </c>
      <c r="AM14" s="321">
        <f>'General information '!D14</f>
        <v>27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134</v>
      </c>
      <c r="AU14" s="419">
        <f t="shared" si="43"/>
        <v>1.1000000000000001</v>
      </c>
      <c r="AV14" s="201">
        <v>180</v>
      </c>
      <c r="AW14" s="5">
        <v>2.9</v>
      </c>
      <c r="AX14" s="201">
        <v>142</v>
      </c>
      <c r="AY14" s="420">
        <f t="shared" si="31"/>
        <v>120.60000000000001</v>
      </c>
      <c r="AZ14" s="420">
        <f t="shared" si="32"/>
        <v>198.00000000000003</v>
      </c>
      <c r="BA14" s="420">
        <f t="shared" si="33"/>
        <v>411.8</v>
      </c>
      <c r="BB14" s="21">
        <f t="shared" si="34"/>
        <v>0</v>
      </c>
      <c r="BC14" s="21">
        <f t="shared" si="35"/>
        <v>-2.1999999999999886</v>
      </c>
      <c r="BD14" s="21">
        <f t="shared" si="35"/>
        <v>-5.7999999999999545</v>
      </c>
      <c r="BE14" s="24">
        <f t="shared" si="36"/>
        <v>-7.9999999999999432</v>
      </c>
      <c r="BF14" s="96">
        <f t="shared" si="4"/>
        <v>7.9999999999999432</v>
      </c>
      <c r="BG14" s="82">
        <f t="shared" si="5"/>
        <v>-7.9999999999999432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250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6862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134</v>
      </c>
      <c r="AU15" s="419">
        <f t="shared" si="43"/>
        <v>1.1000000000000001</v>
      </c>
      <c r="AV15" s="201">
        <f t="shared" si="39"/>
        <v>180</v>
      </c>
      <c r="AW15" s="5">
        <v>2.9</v>
      </c>
      <c r="AX15" s="201">
        <f t="shared" si="40"/>
        <v>142</v>
      </c>
      <c r="AY15" s="420">
        <f t="shared" si="31"/>
        <v>120.60000000000001</v>
      </c>
      <c r="AZ15" s="420">
        <f t="shared" si="32"/>
        <v>198.00000000000003</v>
      </c>
      <c r="BA15" s="420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250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6862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134</v>
      </c>
      <c r="AU16" s="419">
        <f t="shared" si="43"/>
        <v>1.1000000000000001</v>
      </c>
      <c r="AV16" s="201">
        <f t="shared" si="39"/>
        <v>180</v>
      </c>
      <c r="AW16" s="5">
        <v>2.9</v>
      </c>
      <c r="AX16" s="201">
        <f t="shared" si="40"/>
        <v>142</v>
      </c>
      <c r="AY16" s="420">
        <f t="shared" si="31"/>
        <v>120.60000000000001</v>
      </c>
      <c r="AZ16" s="420">
        <f t="shared" si="32"/>
        <v>198.00000000000003</v>
      </c>
      <c r="BA16" s="420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250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6862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134</v>
      </c>
      <c r="AU17" s="419">
        <f t="shared" si="43"/>
        <v>1.1000000000000001</v>
      </c>
      <c r="AV17" s="201">
        <f t="shared" si="39"/>
        <v>180</v>
      </c>
      <c r="AW17" s="5">
        <v>2.9</v>
      </c>
      <c r="AX17" s="201">
        <f t="shared" si="40"/>
        <v>142</v>
      </c>
      <c r="AY17" s="420">
        <f t="shared" si="31"/>
        <v>120.60000000000001</v>
      </c>
      <c r="AZ17" s="420">
        <f t="shared" si="32"/>
        <v>198.00000000000003</v>
      </c>
      <c r="BA17" s="420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250</v>
      </c>
      <c r="F18" s="412"/>
      <c r="G18" s="5">
        <v>624495</v>
      </c>
      <c r="H18" s="5">
        <f t="shared" si="10"/>
        <v>273</v>
      </c>
      <c r="I18" s="5">
        <f t="shared" si="11"/>
        <v>273</v>
      </c>
      <c r="J18" s="328">
        <f t="shared" si="0"/>
        <v>0.91575091575091572</v>
      </c>
      <c r="K18" s="5">
        <f>'Swimming Pool quality check '!H18</f>
        <v>6862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v>153684</v>
      </c>
      <c r="Y18" s="318">
        <f t="shared" si="42"/>
        <v>60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60</v>
      </c>
      <c r="AL18" s="321">
        <f t="shared" si="28"/>
        <v>0</v>
      </c>
      <c r="AM18" s="321">
        <f>'General information '!D18</f>
        <v>27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v>135</v>
      </c>
      <c r="AU18" s="419">
        <f t="shared" si="43"/>
        <v>1.1000000000000001</v>
      </c>
      <c r="AV18" s="201">
        <v>178</v>
      </c>
      <c r="AW18" s="5">
        <v>2.9</v>
      </c>
      <c r="AX18" s="201">
        <v>154</v>
      </c>
      <c r="AY18" s="420">
        <f t="shared" si="31"/>
        <v>121.5</v>
      </c>
      <c r="AZ18" s="420">
        <f t="shared" si="32"/>
        <v>195.8</v>
      </c>
      <c r="BA18" s="420">
        <f t="shared" si="33"/>
        <v>446.59999999999997</v>
      </c>
      <c r="BB18" s="21">
        <f t="shared" si="34"/>
        <v>0.89999999999999147</v>
      </c>
      <c r="BC18" s="21">
        <f t="shared" si="35"/>
        <v>-2.2000000000000171</v>
      </c>
      <c r="BD18" s="21">
        <f t="shared" si="35"/>
        <v>34.799999999999955</v>
      </c>
      <c r="BE18" s="24">
        <f t="shared" si="36"/>
        <v>33.499999999999929</v>
      </c>
      <c r="BF18" s="96">
        <f t="shared" si="4"/>
        <v>239.50000000000006</v>
      </c>
      <c r="BG18" s="82">
        <f t="shared" si="5"/>
        <v>33.499999999999943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250</v>
      </c>
      <c r="F19" s="412"/>
      <c r="G19" s="5">
        <v>624625</v>
      </c>
      <c r="H19" s="5">
        <f t="shared" si="10"/>
        <v>130</v>
      </c>
      <c r="I19" s="5">
        <f t="shared" si="11"/>
        <v>130</v>
      </c>
      <c r="J19" s="328">
        <f t="shared" si="0"/>
        <v>1.9230769230769231</v>
      </c>
      <c r="K19" s="5">
        <f>'Swimming Pool quality check '!H19</f>
        <v>6862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v>153730</v>
      </c>
      <c r="Y19" s="318">
        <f t="shared" si="42"/>
        <v>46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46</v>
      </c>
      <c r="AL19" s="321">
        <f t="shared" si="28"/>
        <v>0</v>
      </c>
      <c r="AM19" s="321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v>151</v>
      </c>
      <c r="AU19" s="419">
        <f t="shared" si="43"/>
        <v>1.1000000000000001</v>
      </c>
      <c r="AV19" s="201">
        <v>176</v>
      </c>
      <c r="AW19" s="5">
        <v>2.9</v>
      </c>
      <c r="AX19" s="201">
        <v>166</v>
      </c>
      <c r="AY19" s="420">
        <f>AS19*AT19</f>
        <v>135.9</v>
      </c>
      <c r="AZ19" s="420">
        <f>AU19*AV19</f>
        <v>193.60000000000002</v>
      </c>
      <c r="BA19" s="420">
        <f>AW19*AX19</f>
        <v>481.4</v>
      </c>
      <c r="BB19" s="21">
        <f t="shared" ref="BB19:BD20" si="47">AY19-AY18</f>
        <v>14.400000000000006</v>
      </c>
      <c r="BC19" s="21">
        <f t="shared" si="47"/>
        <v>-2.1999999999999886</v>
      </c>
      <c r="BD19" s="21">
        <f t="shared" si="47"/>
        <v>34.800000000000011</v>
      </c>
      <c r="BE19" s="24">
        <f>SUM(BB19:BD19)</f>
        <v>47.000000000000028</v>
      </c>
      <c r="BF19" s="96">
        <f t="shared" si="4"/>
        <v>82.999999999999972</v>
      </c>
      <c r="BG19" s="82">
        <f t="shared" si="5"/>
        <v>47.000000000000028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250</v>
      </c>
      <c r="F20" s="412"/>
      <c r="G20" s="5">
        <f t="shared" si="9"/>
        <v>624625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6867</v>
      </c>
      <c r="L20" s="83">
        <f t="shared" si="41"/>
        <v>5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153730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-5</v>
      </c>
      <c r="AL20" s="321">
        <f t="shared" si="28"/>
        <v>0</v>
      </c>
      <c r="AM20" s="321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v>151</v>
      </c>
      <c r="AU20" s="419">
        <f t="shared" si="43"/>
        <v>1.1000000000000001</v>
      </c>
      <c r="AV20" s="201">
        <f t="shared" si="39"/>
        <v>176</v>
      </c>
      <c r="AW20" s="5">
        <v>2.9</v>
      </c>
      <c r="AX20" s="201">
        <v>165</v>
      </c>
      <c r="AY20" s="420">
        <f>AS20*AT20</f>
        <v>135.9</v>
      </c>
      <c r="AZ20" s="420">
        <f>AU20*AV20</f>
        <v>193.60000000000002</v>
      </c>
      <c r="BA20" s="420">
        <f>AW20*AX20</f>
        <v>478.5</v>
      </c>
      <c r="BB20" s="21">
        <f t="shared" si="47"/>
        <v>0</v>
      </c>
      <c r="BC20" s="21">
        <f t="shared" si="47"/>
        <v>0</v>
      </c>
      <c r="BD20" s="21">
        <f t="shared" si="47"/>
        <v>-2.8999999999999773</v>
      </c>
      <c r="BE20" s="24">
        <f>SUM(BB20:BD20)</f>
        <v>-2.8999999999999773</v>
      </c>
      <c r="BF20" s="96">
        <f t="shared" si="4"/>
        <v>2.8999999999999773</v>
      </c>
      <c r="BG20" s="82">
        <f t="shared" si="5"/>
        <v>-2.8999999999999773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250</v>
      </c>
      <c r="F21" s="321"/>
      <c r="G21" s="5">
        <f t="shared" si="9"/>
        <v>624625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6868</v>
      </c>
      <c r="L21" s="83">
        <f t="shared" si="41"/>
        <v>1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153730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-1</v>
      </c>
      <c r="AL21" s="321">
        <f t="shared" si="28"/>
        <v>0</v>
      </c>
      <c r="AM21" s="321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151</v>
      </c>
      <c r="AU21" s="419">
        <f t="shared" si="43"/>
        <v>1.1000000000000001</v>
      </c>
      <c r="AV21" s="201">
        <f t="shared" si="39"/>
        <v>176</v>
      </c>
      <c r="AW21" s="5">
        <v>2.9</v>
      </c>
      <c r="AX21" s="201">
        <f t="shared" si="40"/>
        <v>165</v>
      </c>
      <c r="AY21" s="420">
        <f>AS21*AT21</f>
        <v>135.9</v>
      </c>
      <c r="AZ21" s="420">
        <f>AU21*AV21</f>
        <v>193.60000000000002</v>
      </c>
      <c r="BA21" s="420">
        <f>AW21*AX21</f>
        <v>478.5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250</v>
      </c>
      <c r="F22" s="321"/>
      <c r="G22" s="5">
        <f t="shared" si="9"/>
        <v>624625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6868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153730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25.5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151</v>
      </c>
      <c r="AU22" s="419">
        <f t="shared" si="43"/>
        <v>1.1000000000000001</v>
      </c>
      <c r="AV22" s="201">
        <f t="shared" si="39"/>
        <v>176</v>
      </c>
      <c r="AW22" s="5">
        <v>2.9</v>
      </c>
      <c r="AX22" s="201">
        <f t="shared" si="40"/>
        <v>165</v>
      </c>
      <c r="AY22" s="420">
        <f t="shared" si="31"/>
        <v>135.9</v>
      </c>
      <c r="AZ22" s="420">
        <f t="shared" si="32"/>
        <v>193.60000000000002</v>
      </c>
      <c r="BA22" s="420">
        <f t="shared" si="33"/>
        <v>478.5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250</v>
      </c>
      <c r="F23" s="321"/>
      <c r="G23" s="5">
        <f t="shared" si="9"/>
        <v>624625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6868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153730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151</v>
      </c>
      <c r="AU23" s="419">
        <f t="shared" si="43"/>
        <v>1.1000000000000001</v>
      </c>
      <c r="AV23" s="201">
        <f t="shared" si="39"/>
        <v>176</v>
      </c>
      <c r="AW23" s="5">
        <v>2.9</v>
      </c>
      <c r="AX23" s="201">
        <f t="shared" si="40"/>
        <v>165</v>
      </c>
      <c r="AY23" s="420">
        <f t="shared" si="31"/>
        <v>135.9</v>
      </c>
      <c r="AZ23" s="420">
        <f t="shared" si="32"/>
        <v>193.60000000000002</v>
      </c>
      <c r="BA23" s="420">
        <f t="shared" si="33"/>
        <v>478.5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250</v>
      </c>
      <c r="F24" s="321"/>
      <c r="G24" s="5">
        <f t="shared" si="9"/>
        <v>624625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6873</v>
      </c>
      <c r="L24" s="269">
        <f t="shared" si="41"/>
        <v>5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153730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-5</v>
      </c>
      <c r="AL24" s="321">
        <f t="shared" si="28"/>
        <v>0</v>
      </c>
      <c r="AM24" s="321">
        <f>'General information '!D24</f>
        <v>26.5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44458</v>
      </c>
      <c r="AS24" s="418">
        <f t="shared" si="48"/>
        <v>0.9</v>
      </c>
      <c r="AT24" s="201">
        <v>150</v>
      </c>
      <c r="AU24" s="419">
        <f t="shared" si="43"/>
        <v>1.1000000000000001</v>
      </c>
      <c r="AV24" s="201">
        <f t="shared" si="39"/>
        <v>176</v>
      </c>
      <c r="AW24" s="5">
        <v>2.9</v>
      </c>
      <c r="AX24" s="201">
        <v>164</v>
      </c>
      <c r="AY24" s="420">
        <f t="shared" si="31"/>
        <v>135</v>
      </c>
      <c r="AZ24" s="420">
        <f t="shared" si="32"/>
        <v>193.60000000000002</v>
      </c>
      <c r="BA24" s="420">
        <f t="shared" si="33"/>
        <v>475.59999999999997</v>
      </c>
      <c r="BB24" s="21">
        <f t="shared" si="34"/>
        <v>-0.90000000000000568</v>
      </c>
      <c r="BC24" s="21">
        <f t="shared" si="34"/>
        <v>0</v>
      </c>
      <c r="BD24" s="21">
        <f t="shared" si="34"/>
        <v>-2.9000000000000341</v>
      </c>
      <c r="BE24" s="24">
        <f t="shared" si="36"/>
        <v>-3.8000000000000398</v>
      </c>
      <c r="BF24" s="96">
        <f t="shared" si="4"/>
        <v>3.8000000000000398</v>
      </c>
      <c r="BG24" s="82">
        <f t="shared" si="5"/>
        <v>-3.8000000000000398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250</v>
      </c>
      <c r="F25" s="321"/>
      <c r="G25" s="5">
        <f t="shared" si="9"/>
        <v>624625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6873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153730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150</v>
      </c>
      <c r="AU25" s="419">
        <f t="shared" si="43"/>
        <v>1.1000000000000001</v>
      </c>
      <c r="AV25" s="201">
        <f t="shared" si="39"/>
        <v>176</v>
      </c>
      <c r="AW25" s="5">
        <v>2.9</v>
      </c>
      <c r="AX25" s="201">
        <f t="shared" si="40"/>
        <v>164</v>
      </c>
      <c r="AY25" s="420">
        <f t="shared" si="31"/>
        <v>135</v>
      </c>
      <c r="AZ25" s="420">
        <f t="shared" si="32"/>
        <v>193.60000000000002</v>
      </c>
      <c r="BA25" s="420">
        <f t="shared" si="33"/>
        <v>475.59999999999997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250</v>
      </c>
      <c r="F26" s="321"/>
      <c r="G26" s="5">
        <f t="shared" si="9"/>
        <v>624625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6874</v>
      </c>
      <c r="L26" s="269">
        <f t="shared" si="41"/>
        <v>1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153730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-1</v>
      </c>
      <c r="AL26" s="321">
        <f>SUM(AJ26-W26)</f>
        <v>0</v>
      </c>
      <c r="AM26" s="321">
        <f>'General information '!D26</f>
        <v>27.5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v>123</v>
      </c>
      <c r="AU26" s="419">
        <f t="shared" si="43"/>
        <v>1.1000000000000001</v>
      </c>
      <c r="AV26" s="201">
        <v>174</v>
      </c>
      <c r="AW26" s="5">
        <v>2.9</v>
      </c>
      <c r="AX26" s="201">
        <v>156</v>
      </c>
      <c r="AY26" s="420">
        <f t="shared" si="31"/>
        <v>110.7</v>
      </c>
      <c r="AZ26" s="420">
        <f t="shared" si="32"/>
        <v>191.4</v>
      </c>
      <c r="BA26" s="420">
        <f t="shared" si="33"/>
        <v>452.4</v>
      </c>
      <c r="BB26" s="21">
        <f>AY26-AY25</f>
        <v>-24.299999999999997</v>
      </c>
      <c r="BC26" s="21">
        <f t="shared" si="34"/>
        <v>-2.2000000000000171</v>
      </c>
      <c r="BD26" s="21">
        <f t="shared" si="34"/>
        <v>-23.199999999999989</v>
      </c>
      <c r="BE26" s="24">
        <f t="shared" si="36"/>
        <v>-49.7</v>
      </c>
      <c r="BF26" s="96">
        <f t="shared" si="4"/>
        <v>49.7</v>
      </c>
      <c r="BG26" s="82">
        <f t="shared" si="5"/>
        <v>-49.7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250</v>
      </c>
      <c r="F27" s="321"/>
      <c r="G27" s="5">
        <v>624723</v>
      </c>
      <c r="H27" s="5">
        <f t="shared" si="10"/>
        <v>98</v>
      </c>
      <c r="I27" s="5">
        <f t="shared" si="11"/>
        <v>98</v>
      </c>
      <c r="J27" s="328">
        <f t="shared" si="0"/>
        <v>2.5510204081632653</v>
      </c>
      <c r="K27" s="5">
        <f>'Swimming Pool quality check '!H27</f>
        <v>6875</v>
      </c>
      <c r="L27" s="269">
        <f t="shared" si="41"/>
        <v>1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153730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-1</v>
      </c>
      <c r="AL27" s="321">
        <f t="shared" si="28"/>
        <v>0</v>
      </c>
      <c r="AM27" s="321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v>183</v>
      </c>
      <c r="AU27" s="419">
        <f t="shared" si="43"/>
        <v>1.1000000000000001</v>
      </c>
      <c r="AV27" s="201">
        <v>172</v>
      </c>
      <c r="AW27" s="5">
        <v>2.9</v>
      </c>
      <c r="AX27" s="201">
        <v>147</v>
      </c>
      <c r="AY27" s="420">
        <f t="shared" si="31"/>
        <v>164.70000000000002</v>
      </c>
      <c r="AZ27" s="420">
        <f t="shared" si="32"/>
        <v>189.20000000000002</v>
      </c>
      <c r="BA27" s="420">
        <f t="shared" si="33"/>
        <v>426.3</v>
      </c>
      <c r="BB27" s="21">
        <f t="shared" si="34"/>
        <v>54.000000000000014</v>
      </c>
      <c r="BC27" s="21">
        <f t="shared" si="34"/>
        <v>-2.1999999999999886</v>
      </c>
      <c r="BD27" s="21">
        <f t="shared" si="34"/>
        <v>-26.099999999999966</v>
      </c>
      <c r="BE27" s="24">
        <f t="shared" si="36"/>
        <v>25.70000000000006</v>
      </c>
      <c r="BF27" s="96">
        <f t="shared" si="4"/>
        <v>72.29999999999994</v>
      </c>
      <c r="BG27" s="82">
        <f t="shared" si="5"/>
        <v>25.70000000000006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250</v>
      </c>
      <c r="F28" s="321"/>
      <c r="G28" s="5">
        <f t="shared" si="9"/>
        <v>624723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6875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153730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183</v>
      </c>
      <c r="AU28" s="419">
        <f t="shared" si="43"/>
        <v>1.1000000000000001</v>
      </c>
      <c r="AV28" s="201">
        <f t="shared" si="39"/>
        <v>172</v>
      </c>
      <c r="AW28" s="5">
        <v>2.9</v>
      </c>
      <c r="AX28" s="201">
        <v>143</v>
      </c>
      <c r="AY28" s="420">
        <f t="shared" si="31"/>
        <v>164.70000000000002</v>
      </c>
      <c r="AZ28" s="420">
        <f t="shared" si="32"/>
        <v>189.20000000000002</v>
      </c>
      <c r="BA28" s="420">
        <f t="shared" si="33"/>
        <v>414.7</v>
      </c>
      <c r="BB28" s="21">
        <f t="shared" si="34"/>
        <v>0</v>
      </c>
      <c r="BC28" s="21">
        <f t="shared" si="34"/>
        <v>0</v>
      </c>
      <c r="BD28" s="21">
        <f t="shared" si="34"/>
        <v>-11.600000000000023</v>
      </c>
      <c r="BE28" s="24">
        <f t="shared" si="36"/>
        <v>-11.600000000000023</v>
      </c>
      <c r="BF28" s="96">
        <f t="shared" si="4"/>
        <v>11.600000000000023</v>
      </c>
      <c r="BG28" s="82">
        <f t="shared" si="5"/>
        <v>-11.600000000000023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250</v>
      </c>
      <c r="F29" s="321"/>
      <c r="G29" s="5">
        <f t="shared" si="9"/>
        <v>624723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6875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153730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183</v>
      </c>
      <c r="AU29" s="419">
        <f t="shared" si="43"/>
        <v>1.1000000000000001</v>
      </c>
      <c r="AV29" s="201">
        <f t="shared" si="39"/>
        <v>172</v>
      </c>
      <c r="AW29" s="5">
        <v>2.9</v>
      </c>
      <c r="AX29" s="201">
        <f t="shared" si="40"/>
        <v>143</v>
      </c>
      <c r="AY29" s="420">
        <f t="shared" si="31"/>
        <v>164.70000000000002</v>
      </c>
      <c r="AZ29" s="420">
        <f t="shared" si="32"/>
        <v>189.20000000000002</v>
      </c>
      <c r="BA29" s="420">
        <f t="shared" si="33"/>
        <v>414.7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250</v>
      </c>
      <c r="F30" s="321"/>
      <c r="G30" s="5">
        <f t="shared" si="9"/>
        <v>624723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6875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153730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183</v>
      </c>
      <c r="AU30" s="419">
        <f t="shared" si="43"/>
        <v>1.1000000000000001</v>
      </c>
      <c r="AV30" s="201">
        <f t="shared" si="39"/>
        <v>172</v>
      </c>
      <c r="AW30" s="5">
        <v>2.9</v>
      </c>
      <c r="AX30" s="201">
        <f t="shared" si="40"/>
        <v>143</v>
      </c>
      <c r="AY30" s="420">
        <f t="shared" si="31"/>
        <v>164.70000000000002</v>
      </c>
      <c r="AZ30" s="420">
        <f t="shared" si="32"/>
        <v>189.20000000000002</v>
      </c>
      <c r="BA30" s="420">
        <f t="shared" si="33"/>
        <v>414.7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250</v>
      </c>
      <c r="F31" s="321"/>
      <c r="G31" s="5">
        <f t="shared" si="9"/>
        <v>624723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6875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153730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25.5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v>181</v>
      </c>
      <c r="AU31" s="419">
        <f t="shared" si="43"/>
        <v>1.1000000000000001</v>
      </c>
      <c r="AV31" s="201">
        <v>170</v>
      </c>
      <c r="AW31" s="5">
        <v>2.9</v>
      </c>
      <c r="AX31" s="201">
        <v>140</v>
      </c>
      <c r="AY31" s="420">
        <f t="shared" si="31"/>
        <v>162.9</v>
      </c>
      <c r="AZ31" s="420">
        <f>AU31*AV31</f>
        <v>187.00000000000003</v>
      </c>
      <c r="BA31" s="420">
        <f t="shared" si="33"/>
        <v>406</v>
      </c>
      <c r="BB31" s="21">
        <f t="shared" si="34"/>
        <v>-1.8000000000000114</v>
      </c>
      <c r="BC31" s="21">
        <f t="shared" si="34"/>
        <v>-2.1999999999999886</v>
      </c>
      <c r="BD31" s="21">
        <f t="shared" si="34"/>
        <v>-8.6999999999999886</v>
      </c>
      <c r="BE31" s="24">
        <f t="shared" si="36"/>
        <v>-12.699999999999989</v>
      </c>
      <c r="BF31" s="96">
        <f t="shared" si="4"/>
        <v>12.699999999999989</v>
      </c>
      <c r="BG31" s="82">
        <f t="shared" si="5"/>
        <v>-12.699999999999989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250</v>
      </c>
      <c r="F32" s="321"/>
      <c r="G32" s="5">
        <f t="shared" si="9"/>
        <v>624723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6880</v>
      </c>
      <c r="L32" s="269">
        <f t="shared" si="41"/>
        <v>5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153730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-5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v>181</v>
      </c>
      <c r="AU32" s="419">
        <f t="shared" si="43"/>
        <v>1.1000000000000001</v>
      </c>
      <c r="AV32" s="201">
        <v>170</v>
      </c>
      <c r="AW32" s="5">
        <v>2.9</v>
      </c>
      <c r="AX32" s="201">
        <v>140</v>
      </c>
      <c r="AY32" s="420">
        <f t="shared" si="31"/>
        <v>162.9</v>
      </c>
      <c r="AZ32" s="420">
        <f t="shared" si="32"/>
        <v>187.00000000000003</v>
      </c>
      <c r="BA32" s="420">
        <f t="shared" si="33"/>
        <v>406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250</v>
      </c>
      <c r="F33" s="321"/>
      <c r="G33" s="5">
        <f t="shared" si="9"/>
        <v>624723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6880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153730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181</v>
      </c>
      <c r="AU33" s="419">
        <f t="shared" si="43"/>
        <v>1.1000000000000001</v>
      </c>
      <c r="AV33" s="201">
        <f t="shared" si="39"/>
        <v>170</v>
      </c>
      <c r="AW33" s="5">
        <v>2.9</v>
      </c>
      <c r="AX33" s="201">
        <f t="shared" si="40"/>
        <v>140</v>
      </c>
      <c r="AY33" s="420">
        <f t="shared" si="31"/>
        <v>162.9</v>
      </c>
      <c r="AZ33" s="420">
        <f t="shared" si="32"/>
        <v>187.00000000000003</v>
      </c>
      <c r="BA33" s="420">
        <f t="shared" si="33"/>
        <v>406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250</v>
      </c>
      <c r="F34" s="321"/>
      <c r="G34" s="5">
        <f t="shared" si="9"/>
        <v>624723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6880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153730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181</v>
      </c>
      <c r="AU34" s="419">
        <f>AU33</f>
        <v>1.1000000000000001</v>
      </c>
      <c r="AV34" s="201">
        <f t="shared" si="39"/>
        <v>170</v>
      </c>
      <c r="AW34" s="5">
        <v>2.9</v>
      </c>
      <c r="AX34" s="201">
        <f t="shared" si="40"/>
        <v>140</v>
      </c>
      <c r="AY34" s="420">
        <f t="shared" si="31"/>
        <v>162.9</v>
      </c>
      <c r="AZ34" s="420">
        <f>AU34*AV34</f>
        <v>187.00000000000003</v>
      </c>
      <c r="BA34" s="420">
        <f>AW34*AX34</f>
        <v>406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250</v>
      </c>
      <c r="F35" s="321"/>
      <c r="G35" s="5">
        <f t="shared" si="9"/>
        <v>624723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6880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153730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181</v>
      </c>
      <c r="AU35" s="419">
        <f>AU34</f>
        <v>1.1000000000000001</v>
      </c>
      <c r="AV35" s="201">
        <f t="shared" si="39"/>
        <v>170</v>
      </c>
      <c r="AW35" s="5">
        <v>2.9</v>
      </c>
      <c r="AX35" s="201">
        <f t="shared" si="40"/>
        <v>140</v>
      </c>
      <c r="AY35" s="420">
        <f t="shared" si="31"/>
        <v>162.9</v>
      </c>
      <c r="AZ35" s="420">
        <f>AU35*AV35</f>
        <v>187.00000000000003</v>
      </c>
      <c r="BA35" s="420">
        <f>AW35*AX35</f>
        <v>406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250</v>
      </c>
      <c r="F36" s="321"/>
      <c r="G36" s="5">
        <f t="shared" si="9"/>
        <v>624723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6880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153730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181</v>
      </c>
      <c r="AU36" s="419">
        <f>AU35</f>
        <v>1.1000000000000001</v>
      </c>
      <c r="AV36" s="201">
        <f t="shared" si="39"/>
        <v>170</v>
      </c>
      <c r="AW36" s="5">
        <v>2.9</v>
      </c>
      <c r="AX36" s="201">
        <f t="shared" si="40"/>
        <v>140</v>
      </c>
      <c r="AY36" s="420">
        <f t="shared" ref="AY36" si="53">AS36*AT36</f>
        <v>162.9</v>
      </c>
      <c r="AZ36" s="420">
        <f>AU36*AV36</f>
        <v>187.00000000000003</v>
      </c>
      <c r="BA36" s="420">
        <f>AW36*AX36</f>
        <v>406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730</v>
      </c>
      <c r="I37" s="406">
        <f>SUM(I6:I36)</f>
        <v>730</v>
      </c>
      <c r="L37" s="264">
        <f>SUM(L7:L36)</f>
        <v>27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255</v>
      </c>
      <c r="AJ37" s="316">
        <f>SUM(AJ6:AJ36)</f>
        <v>0</v>
      </c>
      <c r="AK37" s="321">
        <f>SUM(Y37-L37)</f>
        <v>228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7000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730</v>
      </c>
      <c r="Z38" s="316">
        <f>SUM(Y37:AJ37)</f>
        <v>255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730</v>
      </c>
      <c r="H39" s="1">
        <f>SUM(H38+C38)</f>
        <v>7500</v>
      </c>
      <c r="K39" s="1">
        <f>SUM(H39/G39)</f>
        <v>10.273972602739725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14" activePane="bottomLeft" state="frozen"/>
      <selection pane="bottomLeft" activeCell="E28" sqref="E2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v>11055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13068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[4]GEN!W32</f>
        <v>0</v>
      </c>
      <c r="X3" s="266">
        <v>13068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11055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13068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11055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13068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11055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13068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11055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13068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11055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13068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11055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13068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v>10879</v>
      </c>
      <c r="C10" s="282">
        <f t="shared" si="9"/>
        <v>9</v>
      </c>
      <c r="D10" s="524">
        <v>512698</v>
      </c>
      <c r="E10" s="282">
        <f t="shared" si="10"/>
        <v>1131</v>
      </c>
      <c r="F10" s="282">
        <f t="shared" si="0"/>
        <v>125.66666666666667</v>
      </c>
      <c r="G10" s="196"/>
      <c r="H10" s="266">
        <f t="shared" si="11"/>
        <v>11055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v>13010</v>
      </c>
      <c r="S10" s="282">
        <f t="shared" si="4"/>
        <v>14</v>
      </c>
      <c r="T10" s="524">
        <f t="shared" si="17"/>
        <v>191994</v>
      </c>
      <c r="U10" s="282">
        <f t="shared" si="18"/>
        <v>3500</v>
      </c>
      <c r="V10" s="282">
        <v>250</v>
      </c>
      <c r="W10" s="332"/>
      <c r="X10" s="283">
        <f t="shared" si="19"/>
        <v>13068</v>
      </c>
      <c r="Y10" s="282" t="str">
        <f t="shared" ref="Y10:Y20" si="31">IF(R10-X10&lt;=0,"ok","oil change")</f>
        <v>ok</v>
      </c>
      <c r="Z10" s="282">
        <f t="shared" si="6"/>
        <v>23</v>
      </c>
      <c r="AA10" s="282">
        <f t="shared" si="20"/>
        <v>4631</v>
      </c>
      <c r="AB10" s="282">
        <f t="shared" si="21"/>
        <v>375.66666666666669</v>
      </c>
      <c r="AC10" s="282">
        <f t="shared" si="22"/>
        <v>201.34782608695653</v>
      </c>
      <c r="AD10" s="73">
        <f>ELEC!Q11</f>
        <v>15480.999999999767</v>
      </c>
      <c r="AE10" s="73">
        <f t="shared" si="27"/>
        <v>673.08695652172901</v>
      </c>
      <c r="AF10" s="397">
        <f t="shared" si="28"/>
        <v>0.42067934782608063</v>
      </c>
      <c r="AG10" s="398">
        <f t="shared" si="29"/>
        <v>134.6173913043458</v>
      </c>
      <c r="AH10" s="398">
        <f t="shared" si="23"/>
        <v>66.730434782610729</v>
      </c>
      <c r="AI10" s="73">
        <f t="shared" si="30"/>
        <v>3984.5611814345398</v>
      </c>
      <c r="AJ10" s="284">
        <f t="shared" si="7"/>
        <v>0.25738396624472576</v>
      </c>
      <c r="AK10" s="284">
        <f t="shared" si="8"/>
        <v>173.24179049715391</v>
      </c>
    </row>
    <row r="11" spans="1:37" ht="15.75" thickBot="1">
      <c r="A11" s="4">
        <f>ELEC!C12</f>
        <v>44448</v>
      </c>
      <c r="B11" s="523">
        <v>10896</v>
      </c>
      <c r="C11" s="282">
        <f t="shared" si="9"/>
        <v>17</v>
      </c>
      <c r="D11" s="524">
        <v>514642</v>
      </c>
      <c r="E11" s="282">
        <f t="shared" si="10"/>
        <v>1944</v>
      </c>
      <c r="F11" s="282">
        <f t="shared" si="0"/>
        <v>114.35294117647059</v>
      </c>
      <c r="G11" s="196"/>
      <c r="H11" s="266">
        <f t="shared" si="11"/>
        <v>11055</v>
      </c>
      <c r="I11" s="282" t="str">
        <f t="shared" si="1"/>
        <v>ok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v>13019</v>
      </c>
      <c r="S11" s="282">
        <f t="shared" si="4"/>
        <v>9</v>
      </c>
      <c r="T11" s="524">
        <f t="shared" si="17"/>
        <v>194244</v>
      </c>
      <c r="U11" s="282">
        <f t="shared" si="18"/>
        <v>2250</v>
      </c>
      <c r="V11" s="282">
        <v>250</v>
      </c>
      <c r="W11" s="332"/>
      <c r="X11" s="283">
        <f t="shared" si="19"/>
        <v>13068</v>
      </c>
      <c r="Y11" s="282" t="str">
        <f t="shared" si="31"/>
        <v>ok</v>
      </c>
      <c r="Z11" s="282">
        <f t="shared" si="6"/>
        <v>26</v>
      </c>
      <c r="AA11" s="282">
        <f t="shared" si="20"/>
        <v>4194</v>
      </c>
      <c r="AB11" s="282">
        <f t="shared" si="21"/>
        <v>364.35294117647061</v>
      </c>
      <c r="AC11" s="282">
        <f t="shared" si="22"/>
        <v>161.30769230769232</v>
      </c>
      <c r="AD11" s="73">
        <f>ELEC!Q12</f>
        <v>18567.999999999302</v>
      </c>
      <c r="AE11" s="73">
        <f t="shared" si="27"/>
        <v>714.15384615381925</v>
      </c>
      <c r="AF11" s="397">
        <f t="shared" si="28"/>
        <v>0.44634615384613702</v>
      </c>
      <c r="AG11" s="398">
        <f t="shared" si="29"/>
        <v>142.83076923076385</v>
      </c>
      <c r="AH11" s="398">
        <f t="shared" si="23"/>
        <v>18.476923076928472</v>
      </c>
      <c r="AI11" s="73">
        <f t="shared" si="30"/>
        <v>4779.1054852318885</v>
      </c>
      <c r="AJ11" s="284">
        <f t="shared" si="7"/>
        <v>0.25738396624472576</v>
      </c>
      <c r="AK11" s="284">
        <f t="shared" si="8"/>
        <v>183.81174943199571</v>
      </c>
    </row>
    <row r="12" spans="1:37" ht="15.75" thickBot="1">
      <c r="A12" s="4">
        <f>ELEC!C13</f>
        <v>44449</v>
      </c>
      <c r="B12" s="523">
        <f t="shared" si="24"/>
        <v>10896</v>
      </c>
      <c r="C12" s="282">
        <f t="shared" si="9"/>
        <v>0</v>
      </c>
      <c r="D12" s="524">
        <f t="shared" si="25"/>
        <v>514642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11055</v>
      </c>
      <c r="I12" s="282" t="str">
        <f t="shared" si="1"/>
        <v>ok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13019</v>
      </c>
      <c r="S12" s="282">
        <f t="shared" si="4"/>
        <v>0</v>
      </c>
      <c r="T12" s="524">
        <f t="shared" si="17"/>
        <v>194244</v>
      </c>
      <c r="U12" s="282">
        <f t="shared" si="18"/>
        <v>0</v>
      </c>
      <c r="V12" s="282">
        <v>250</v>
      </c>
      <c r="W12" s="332"/>
      <c r="X12" s="283">
        <f t="shared" si="19"/>
        <v>13068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10896</v>
      </c>
      <c r="C13" s="282">
        <f t="shared" si="9"/>
        <v>0</v>
      </c>
      <c r="D13" s="524">
        <f t="shared" si="25"/>
        <v>514642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11055</v>
      </c>
      <c r="I13" s="282" t="str">
        <f t="shared" si="1"/>
        <v>ok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13019</v>
      </c>
      <c r="S13" s="282">
        <f t="shared" si="4"/>
        <v>0</v>
      </c>
      <c r="T13" s="524">
        <f t="shared" si="17"/>
        <v>194244</v>
      </c>
      <c r="U13" s="282">
        <f t="shared" si="18"/>
        <v>0</v>
      </c>
      <c r="V13" s="282">
        <v>250</v>
      </c>
      <c r="W13" s="332"/>
      <c r="X13" s="283">
        <f t="shared" si="19"/>
        <v>13068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10896</v>
      </c>
      <c r="C14" s="282">
        <f t="shared" si="9"/>
        <v>0</v>
      </c>
      <c r="D14" s="524">
        <f t="shared" si="25"/>
        <v>514642</v>
      </c>
      <c r="E14" s="282">
        <f t="shared" si="10"/>
        <v>0</v>
      </c>
      <c r="F14" s="282">
        <f t="shared" si="0"/>
        <v>0</v>
      </c>
      <c r="G14" s="196"/>
      <c r="H14" s="266">
        <v>11055</v>
      </c>
      <c r="I14" s="282" t="str">
        <f t="shared" si="1"/>
        <v>ok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13019</v>
      </c>
      <c r="S14" s="282">
        <f t="shared" si="4"/>
        <v>0</v>
      </c>
      <c r="T14" s="524">
        <f t="shared" si="17"/>
        <v>194244</v>
      </c>
      <c r="U14" s="282">
        <f t="shared" si="18"/>
        <v>0</v>
      </c>
      <c r="V14" s="282">
        <v>250</v>
      </c>
      <c r="W14" s="332"/>
      <c r="X14" s="283">
        <f t="shared" si="19"/>
        <v>13068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v>10905</v>
      </c>
      <c r="C15" s="282">
        <f t="shared" si="9"/>
        <v>9</v>
      </c>
      <c r="D15" s="524">
        <v>515880</v>
      </c>
      <c r="E15" s="282">
        <f t="shared" si="10"/>
        <v>1238</v>
      </c>
      <c r="F15" s="282">
        <f t="shared" si="0"/>
        <v>137.55555555555554</v>
      </c>
      <c r="G15" s="196"/>
      <c r="H15" s="266">
        <v>11055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v>13037</v>
      </c>
      <c r="S15" s="282">
        <f t="shared" si="4"/>
        <v>18</v>
      </c>
      <c r="T15" s="524">
        <f t="shared" si="17"/>
        <v>198744</v>
      </c>
      <c r="U15" s="282">
        <f t="shared" si="18"/>
        <v>4500</v>
      </c>
      <c r="V15" s="282">
        <v>250</v>
      </c>
      <c r="W15" s="332"/>
      <c r="X15" s="283">
        <f t="shared" si="19"/>
        <v>13068</v>
      </c>
      <c r="Y15" s="282" t="str">
        <f t="shared" si="31"/>
        <v>ok</v>
      </c>
      <c r="Z15" s="282">
        <f t="shared" si="6"/>
        <v>27</v>
      </c>
      <c r="AA15" s="282">
        <f t="shared" si="20"/>
        <v>5738</v>
      </c>
      <c r="AB15" s="282">
        <f t="shared" si="21"/>
        <v>387.55555555555554</v>
      </c>
      <c r="AC15" s="282">
        <f t="shared" si="22"/>
        <v>212.5185185185185</v>
      </c>
      <c r="AD15" s="73">
        <f>ELEC!Q16</f>
        <v>18422.000000002299</v>
      </c>
      <c r="AE15" s="73">
        <f t="shared" si="27"/>
        <v>682.29629629638146</v>
      </c>
      <c r="AF15" s="397">
        <f t="shared" si="28"/>
        <v>0.42643518518523843</v>
      </c>
      <c r="AG15" s="398">
        <f t="shared" si="29"/>
        <v>136.45925925927631</v>
      </c>
      <c r="AH15" s="398">
        <f t="shared" si="23"/>
        <v>76.059259259242197</v>
      </c>
      <c r="AI15" s="73">
        <f t="shared" si="30"/>
        <v>4741.5274261609293</v>
      </c>
      <c r="AJ15" s="284">
        <f t="shared" si="7"/>
        <v>0.25738396624472576</v>
      </c>
      <c r="AK15" s="284">
        <f t="shared" si="8"/>
        <v>175.61212689484924</v>
      </c>
    </row>
    <row r="16" spans="1:37" ht="15.75" thickBot="1">
      <c r="A16" s="4">
        <f>ELEC!C17</f>
        <v>44453</v>
      </c>
      <c r="B16" s="523">
        <v>10912</v>
      </c>
      <c r="C16" s="282">
        <f t="shared" si="9"/>
        <v>7</v>
      </c>
      <c r="D16" s="524">
        <v>516618</v>
      </c>
      <c r="E16" s="282">
        <f t="shared" si="10"/>
        <v>738</v>
      </c>
      <c r="F16" s="282">
        <f t="shared" si="0"/>
        <v>105.42857142857143</v>
      </c>
      <c r="G16" s="196"/>
      <c r="H16" s="266">
        <v>11055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v>13051</v>
      </c>
      <c r="S16" s="282">
        <f t="shared" si="4"/>
        <v>14</v>
      </c>
      <c r="T16" s="524">
        <f t="shared" si="17"/>
        <v>202244</v>
      </c>
      <c r="U16" s="282">
        <f t="shared" si="18"/>
        <v>3500</v>
      </c>
      <c r="V16" s="282">
        <v>250</v>
      </c>
      <c r="W16" s="332"/>
      <c r="X16" s="283">
        <f t="shared" si="19"/>
        <v>13068</v>
      </c>
      <c r="Y16" s="282" t="str">
        <f t="shared" si="31"/>
        <v>ok</v>
      </c>
      <c r="Z16" s="282">
        <f t="shared" si="6"/>
        <v>21</v>
      </c>
      <c r="AA16" s="282">
        <f t="shared" si="20"/>
        <v>4238</v>
      </c>
      <c r="AB16" s="282">
        <f t="shared" si="21"/>
        <v>355.42857142857144</v>
      </c>
      <c r="AC16" s="282">
        <f t="shared" si="22"/>
        <v>201.8095238095238</v>
      </c>
      <c r="AD16" s="73">
        <f>ELEC!Q17</f>
        <v>15257.999999997992</v>
      </c>
      <c r="AE16" s="73">
        <f t="shared" si="27"/>
        <v>726.57142857133294</v>
      </c>
      <c r="AF16" s="397">
        <f t="shared" si="28"/>
        <v>0.45410714285708309</v>
      </c>
      <c r="AG16" s="398">
        <f t="shared" si="29"/>
        <v>145.31428571426659</v>
      </c>
      <c r="AH16" s="398">
        <f t="shared" si="23"/>
        <v>56.495238095257207</v>
      </c>
      <c r="AI16" s="73">
        <f t="shared" si="30"/>
        <v>3927.1645569615089</v>
      </c>
      <c r="AJ16" s="284">
        <f t="shared" si="7"/>
        <v>0.25738396624472576</v>
      </c>
      <c r="AK16" s="284">
        <f t="shared" si="8"/>
        <v>187.00783604578615</v>
      </c>
    </row>
    <row r="17" spans="1:37" ht="15.75" thickBot="1">
      <c r="A17" s="4">
        <f>ELEC!C18</f>
        <v>44454</v>
      </c>
      <c r="B17" s="523">
        <v>10920</v>
      </c>
      <c r="C17" s="282">
        <f t="shared" si="9"/>
        <v>8</v>
      </c>
      <c r="D17" s="524">
        <v>517535</v>
      </c>
      <c r="E17" s="282">
        <f t="shared" si="10"/>
        <v>917</v>
      </c>
      <c r="F17" s="282">
        <f t="shared" si="0"/>
        <v>114.625</v>
      </c>
      <c r="G17" s="196"/>
      <c r="H17" s="266">
        <f t="shared" si="11"/>
        <v>11055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v>13058</v>
      </c>
      <c r="S17" s="282">
        <f t="shared" si="4"/>
        <v>7</v>
      </c>
      <c r="T17" s="524">
        <f t="shared" si="17"/>
        <v>203994</v>
      </c>
      <c r="U17" s="282">
        <f t="shared" si="18"/>
        <v>1750</v>
      </c>
      <c r="V17" s="282">
        <v>250</v>
      </c>
      <c r="W17" s="332"/>
      <c r="X17" s="283">
        <f t="shared" si="19"/>
        <v>13068</v>
      </c>
      <c r="Y17" s="282" t="str">
        <f t="shared" si="31"/>
        <v>ok</v>
      </c>
      <c r="Z17" s="282">
        <f t="shared" si="6"/>
        <v>15</v>
      </c>
      <c r="AA17" s="282">
        <f t="shared" si="20"/>
        <v>2667</v>
      </c>
      <c r="AB17" s="282">
        <f t="shared" si="21"/>
        <v>364.625</v>
      </c>
      <c r="AC17" s="282">
        <f t="shared" si="22"/>
        <v>177.8</v>
      </c>
      <c r="AD17" s="73">
        <f>ELEC!Q18</f>
        <v>10367.000000002008</v>
      </c>
      <c r="AE17" s="73">
        <f t="shared" si="27"/>
        <v>691.13333333346725</v>
      </c>
      <c r="AF17" s="397">
        <f t="shared" si="28"/>
        <v>0.43195833333341704</v>
      </c>
      <c r="AG17" s="398">
        <f t="shared" si="29"/>
        <v>138.22666666669346</v>
      </c>
      <c r="AH17" s="398">
        <f t="shared" si="23"/>
        <v>39.57333333330655</v>
      </c>
      <c r="AI17" s="73">
        <f t="shared" si="30"/>
        <v>2668.2995780595888</v>
      </c>
      <c r="AJ17" s="284">
        <f t="shared" si="7"/>
        <v>0.25738396624472576</v>
      </c>
      <c r="AK17" s="284">
        <f t="shared" si="8"/>
        <v>177.88663853730591</v>
      </c>
    </row>
    <row r="18" spans="1:37" ht="15.75" thickBot="1">
      <c r="A18" s="4">
        <f>ELEC!C19</f>
        <v>44455</v>
      </c>
      <c r="B18" s="523">
        <v>10922</v>
      </c>
      <c r="C18" s="282">
        <f t="shared" si="9"/>
        <v>2</v>
      </c>
      <c r="D18" s="524">
        <v>517723</v>
      </c>
      <c r="E18" s="282">
        <f t="shared" si="10"/>
        <v>188</v>
      </c>
      <c r="F18" s="282">
        <f t="shared" si="0"/>
        <v>94</v>
      </c>
      <c r="G18" s="196"/>
      <c r="H18" s="266">
        <f t="shared" si="11"/>
        <v>11055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v>13067</v>
      </c>
      <c r="S18" s="282">
        <f t="shared" si="4"/>
        <v>9</v>
      </c>
      <c r="T18" s="524">
        <f t="shared" si="17"/>
        <v>206244</v>
      </c>
      <c r="U18" s="282">
        <f t="shared" si="18"/>
        <v>2250</v>
      </c>
      <c r="V18" s="282">
        <v>250</v>
      </c>
      <c r="W18" s="332"/>
      <c r="X18" s="283">
        <f t="shared" si="19"/>
        <v>13068</v>
      </c>
      <c r="Y18" s="282" t="str">
        <f t="shared" si="31"/>
        <v>ok</v>
      </c>
      <c r="Z18" s="282">
        <f t="shared" si="6"/>
        <v>11</v>
      </c>
      <c r="AA18" s="282">
        <f t="shared" si="20"/>
        <v>2438</v>
      </c>
      <c r="AB18" s="282">
        <f t="shared" si="21"/>
        <v>344</v>
      </c>
      <c r="AC18" s="282">
        <f t="shared" si="22"/>
        <v>221.63636363636363</v>
      </c>
      <c r="AD18" s="73">
        <f>ELEC!Q19</f>
        <v>7981.9999999999709</v>
      </c>
      <c r="AE18" s="73">
        <f t="shared" si="27"/>
        <v>725.63636363636101</v>
      </c>
      <c r="AF18" s="397">
        <f t="shared" si="28"/>
        <v>0.45352272727272563</v>
      </c>
      <c r="AG18" s="398">
        <f t="shared" si="29"/>
        <v>145.12727272727221</v>
      </c>
      <c r="AH18" s="398">
        <f t="shared" si="23"/>
        <v>76.509090909091412</v>
      </c>
      <c r="AI18" s="73">
        <f t="shared" si="30"/>
        <v>2054.4388185653934</v>
      </c>
      <c r="AJ18" s="284">
        <f t="shared" si="7"/>
        <v>0.25738396624472576</v>
      </c>
      <c r="AK18" s="284">
        <f t="shared" si="8"/>
        <v>186.76716532412667</v>
      </c>
    </row>
    <row r="19" spans="1:37" ht="15.75" thickBot="1">
      <c r="A19" s="4">
        <f>ELEC!C20</f>
        <v>44456</v>
      </c>
      <c r="B19" s="523">
        <f t="shared" si="24"/>
        <v>10922</v>
      </c>
      <c r="C19" s="282">
        <f t="shared" si="9"/>
        <v>0</v>
      </c>
      <c r="D19" s="524">
        <f t="shared" si="25"/>
        <v>517723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11055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13067</v>
      </c>
      <c r="S19" s="282">
        <f t="shared" si="4"/>
        <v>0</v>
      </c>
      <c r="T19" s="524">
        <f t="shared" si="17"/>
        <v>206244</v>
      </c>
      <c r="U19" s="282">
        <f t="shared" si="18"/>
        <v>0</v>
      </c>
      <c r="V19" s="282">
        <v>250</v>
      </c>
      <c r="W19" s="332"/>
      <c r="X19" s="283">
        <f t="shared" si="19"/>
        <v>13068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10922</v>
      </c>
      <c r="C20" s="282">
        <f>B20-B19</f>
        <v>0</v>
      </c>
      <c r="D20" s="524">
        <f t="shared" si="25"/>
        <v>517723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11055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13067</v>
      </c>
      <c r="S20" s="282">
        <f t="shared" si="4"/>
        <v>0</v>
      </c>
      <c r="T20" s="524">
        <f t="shared" si="17"/>
        <v>206244</v>
      </c>
      <c r="U20" s="282">
        <f t="shared" si="18"/>
        <v>0</v>
      </c>
      <c r="V20" s="282">
        <v>250</v>
      </c>
      <c r="W20" s="332"/>
      <c r="X20" s="283">
        <f t="shared" si="19"/>
        <v>13068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v>10929</v>
      </c>
      <c r="C21" s="282">
        <f>B21-B20</f>
        <v>7</v>
      </c>
      <c r="D21" s="524">
        <v>518462</v>
      </c>
      <c r="E21" s="282">
        <f t="shared" si="10"/>
        <v>739</v>
      </c>
      <c r="F21" s="282">
        <f t="shared" si="0"/>
        <v>105.57142857142857</v>
      </c>
      <c r="G21" s="196"/>
      <c r="H21" s="266">
        <f t="shared" si="11"/>
        <v>11055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v>13070</v>
      </c>
      <c r="S21" s="282">
        <f t="shared" si="4"/>
        <v>3</v>
      </c>
      <c r="T21" s="524">
        <f t="shared" si="17"/>
        <v>206994</v>
      </c>
      <c r="U21" s="282">
        <f t="shared" si="18"/>
        <v>750</v>
      </c>
      <c r="V21" s="282">
        <v>250</v>
      </c>
      <c r="W21" s="196"/>
      <c r="X21" s="283">
        <f t="shared" si="19"/>
        <v>13068</v>
      </c>
      <c r="Y21" s="282" t="str">
        <f>Y20</f>
        <v>ok</v>
      </c>
      <c r="Z21" s="282">
        <f t="shared" si="6"/>
        <v>10</v>
      </c>
      <c r="AA21" s="282">
        <f t="shared" si="20"/>
        <v>1489</v>
      </c>
      <c r="AB21" s="282">
        <f t="shared" si="21"/>
        <v>355.57142857142856</v>
      </c>
      <c r="AC21" s="282">
        <f t="shared" si="22"/>
        <v>148.9</v>
      </c>
      <c r="AD21" s="73">
        <f>ELEC!Q22</f>
        <v>6230.9999999997672</v>
      </c>
      <c r="AE21" s="73">
        <f t="shared" si="27"/>
        <v>623.09999999997672</v>
      </c>
      <c r="AF21" s="397">
        <f t="shared" si="28"/>
        <v>0.38943749999998545</v>
      </c>
      <c r="AG21" s="398">
        <f t="shared" si="29"/>
        <v>124.61999999999534</v>
      </c>
      <c r="AH21" s="398">
        <f t="shared" si="23"/>
        <v>24.280000000004662</v>
      </c>
      <c r="AI21" s="73">
        <f t="shared" si="30"/>
        <v>1603.7594936708263</v>
      </c>
      <c r="AJ21" s="284">
        <f t="shared" si="7"/>
        <v>0.25738396624472576</v>
      </c>
      <c r="AK21" s="284">
        <f t="shared" si="8"/>
        <v>160.37594936708263</v>
      </c>
    </row>
    <row r="22" spans="1:37" ht="15.75" thickBot="1">
      <c r="A22" s="4">
        <f>ELEC!C23</f>
        <v>44459</v>
      </c>
      <c r="B22" s="523">
        <v>10932</v>
      </c>
      <c r="C22" s="282">
        <f t="shared" si="9"/>
        <v>3</v>
      </c>
      <c r="D22" s="524">
        <v>519007</v>
      </c>
      <c r="E22" s="282">
        <f>150*C22</f>
        <v>450</v>
      </c>
      <c r="F22" s="282">
        <f t="shared" si="0"/>
        <v>150</v>
      </c>
      <c r="G22" s="196"/>
      <c r="H22" s="266">
        <f t="shared" si="11"/>
        <v>11055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v>13079</v>
      </c>
      <c r="S22" s="282">
        <f t="shared" si="4"/>
        <v>9</v>
      </c>
      <c r="T22" s="524">
        <f t="shared" si="17"/>
        <v>209244</v>
      </c>
      <c r="U22" s="282">
        <f t="shared" si="18"/>
        <v>2250</v>
      </c>
      <c r="V22" s="282">
        <v>250</v>
      </c>
      <c r="W22" s="196"/>
      <c r="X22" s="283">
        <v>13229</v>
      </c>
      <c r="Y22" s="282" t="str">
        <f t="shared" ref="Y22:Y30" si="33">IF(R22-X22&lt;=0,"ok","oil change")</f>
        <v>ok</v>
      </c>
      <c r="Z22" s="282">
        <f t="shared" si="6"/>
        <v>12</v>
      </c>
      <c r="AA22" s="282">
        <f t="shared" si="20"/>
        <v>2700</v>
      </c>
      <c r="AB22" s="282">
        <f t="shared" si="21"/>
        <v>400</v>
      </c>
      <c r="AC22" s="282">
        <f t="shared" si="22"/>
        <v>225</v>
      </c>
      <c r="AD22" s="73">
        <f>ELEC!Q23</f>
        <v>8287.0000000002619</v>
      </c>
      <c r="AE22" s="73">
        <f t="shared" si="27"/>
        <v>690.5833333333552</v>
      </c>
      <c r="AF22" s="397">
        <f t="shared" si="28"/>
        <v>0.43161458333334701</v>
      </c>
      <c r="AG22" s="398">
        <f t="shared" si="29"/>
        <v>138.11666666667105</v>
      </c>
      <c r="AH22" s="398">
        <f t="shared" si="23"/>
        <v>86.883333333328949</v>
      </c>
      <c r="AI22" s="73">
        <f t="shared" si="30"/>
        <v>2132.9409282701099</v>
      </c>
      <c r="AJ22" s="284">
        <f t="shared" si="7"/>
        <v>0.25738396624472576</v>
      </c>
      <c r="AK22" s="284">
        <f t="shared" si="8"/>
        <v>177.74507735584248</v>
      </c>
    </row>
    <row r="23" spans="1:37" ht="15.75" thickBot="1">
      <c r="A23" s="4">
        <f>ELEC!C24</f>
        <v>44460</v>
      </c>
      <c r="B23" s="523">
        <v>10938</v>
      </c>
      <c r="C23" s="282">
        <f t="shared" si="9"/>
        <v>6</v>
      </c>
      <c r="D23" s="524">
        <v>519458</v>
      </c>
      <c r="E23" s="282">
        <f>150*C23</f>
        <v>900</v>
      </c>
      <c r="F23" s="282">
        <f t="shared" si="0"/>
        <v>150</v>
      </c>
      <c r="G23" s="196"/>
      <c r="H23" s="266">
        <f t="shared" si="11"/>
        <v>11055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v>13083</v>
      </c>
      <c r="S23" s="282">
        <f>R23-R22</f>
        <v>4</v>
      </c>
      <c r="T23" s="524">
        <f t="shared" si="17"/>
        <v>210244</v>
      </c>
      <c r="U23" s="282">
        <f>V23*S23</f>
        <v>1000</v>
      </c>
      <c r="V23" s="282">
        <v>250</v>
      </c>
      <c r="W23" s="196"/>
      <c r="X23" s="283">
        <v>13229</v>
      </c>
      <c r="Y23" s="282" t="str">
        <f t="shared" si="33"/>
        <v>ok</v>
      </c>
      <c r="Z23" s="282">
        <f t="shared" si="6"/>
        <v>10</v>
      </c>
      <c r="AA23" s="282">
        <f t="shared" si="20"/>
        <v>1900</v>
      </c>
      <c r="AB23" s="282">
        <f t="shared" si="21"/>
        <v>400</v>
      </c>
      <c r="AC23" s="282">
        <f t="shared" si="22"/>
        <v>190</v>
      </c>
      <c r="AD23" s="73">
        <f>ELEC!Q24</f>
        <v>8009.9999999983993</v>
      </c>
      <c r="AE23" s="73">
        <f t="shared" si="27"/>
        <v>800.99999999983993</v>
      </c>
      <c r="AF23" s="397">
        <f t="shared" si="28"/>
        <v>0.50062499999989996</v>
      </c>
      <c r="AG23" s="398">
        <f t="shared" si="29"/>
        <v>160.19999999996799</v>
      </c>
      <c r="AH23" s="398">
        <f t="shared" si="23"/>
        <v>29.800000000032014</v>
      </c>
      <c r="AI23" s="73">
        <f t="shared" si="30"/>
        <v>2061.6455696198414</v>
      </c>
      <c r="AJ23" s="284">
        <f t="shared" si="7"/>
        <v>0.25738396624472576</v>
      </c>
      <c r="AK23" s="284">
        <f t="shared" si="8"/>
        <v>206.16455696198415</v>
      </c>
    </row>
    <row r="24" spans="1:37" ht="15.75" thickBot="1">
      <c r="A24" s="4">
        <f>ELEC!C25</f>
        <v>44461</v>
      </c>
      <c r="B24" s="523">
        <v>10945</v>
      </c>
      <c r="C24" s="282">
        <f t="shared" si="9"/>
        <v>7</v>
      </c>
      <c r="D24" s="524">
        <v>519947</v>
      </c>
      <c r="E24" s="282">
        <f t="shared" si="10"/>
        <v>489</v>
      </c>
      <c r="F24" s="282">
        <f t="shared" si="0"/>
        <v>69.857142857142861</v>
      </c>
      <c r="G24" s="196"/>
      <c r="H24" s="266">
        <f t="shared" si="11"/>
        <v>11055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v>13088</v>
      </c>
      <c r="S24" s="282">
        <f t="shared" si="4"/>
        <v>5</v>
      </c>
      <c r="T24" s="524">
        <f t="shared" si="17"/>
        <v>211494</v>
      </c>
      <c r="U24" s="282">
        <f t="shared" si="18"/>
        <v>1250</v>
      </c>
      <c r="V24" s="282">
        <v>250</v>
      </c>
      <c r="W24" s="196"/>
      <c r="X24" s="283">
        <f t="shared" si="19"/>
        <v>13229</v>
      </c>
      <c r="Y24" s="282" t="str">
        <f t="shared" si="33"/>
        <v>ok</v>
      </c>
      <c r="Z24" s="282">
        <f t="shared" si="6"/>
        <v>12</v>
      </c>
      <c r="AA24" s="282">
        <f t="shared" si="20"/>
        <v>1739</v>
      </c>
      <c r="AB24" s="282">
        <f t="shared" si="21"/>
        <v>319.85714285714289</v>
      </c>
      <c r="AC24" s="282">
        <f t="shared" si="22"/>
        <v>144.91666666666666</v>
      </c>
      <c r="AD24" s="73">
        <f>ELEC!Q25</f>
        <v>9362.0000000009895</v>
      </c>
      <c r="AE24" s="73">
        <f t="shared" si="27"/>
        <v>780.16666666674917</v>
      </c>
      <c r="AF24" s="397">
        <f t="shared" si="28"/>
        <v>0.48760416666671824</v>
      </c>
      <c r="AG24" s="398">
        <f t="shared" si="29"/>
        <v>156.03333333334984</v>
      </c>
      <c r="AH24" s="398">
        <f t="shared" si="23"/>
        <v>-11.116666666683187</v>
      </c>
      <c r="AI24" s="73">
        <f t="shared" si="30"/>
        <v>2409.6286919833774</v>
      </c>
      <c r="AJ24" s="284">
        <f t="shared" si="7"/>
        <v>0.25738396624472576</v>
      </c>
      <c r="AK24" s="284">
        <f t="shared" si="8"/>
        <v>200.80239099861478</v>
      </c>
    </row>
    <row r="25" spans="1:37" ht="15.75" thickBot="1">
      <c r="A25" s="4">
        <f>ELEC!C26</f>
        <v>44462</v>
      </c>
      <c r="B25" s="523">
        <v>10951</v>
      </c>
      <c r="C25" s="282">
        <f t="shared" si="9"/>
        <v>6</v>
      </c>
      <c r="D25" s="524">
        <v>520346</v>
      </c>
      <c r="E25" s="282">
        <f t="shared" si="10"/>
        <v>399</v>
      </c>
      <c r="F25" s="282">
        <f t="shared" si="0"/>
        <v>66.5</v>
      </c>
      <c r="G25" s="196"/>
      <c r="H25" s="266">
        <f t="shared" si="11"/>
        <v>11055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v>13093</v>
      </c>
      <c r="S25" s="282">
        <f t="shared" si="4"/>
        <v>5</v>
      </c>
      <c r="T25" s="524">
        <f t="shared" si="17"/>
        <v>212744</v>
      </c>
      <c r="U25" s="282">
        <f t="shared" si="18"/>
        <v>1250</v>
      </c>
      <c r="V25" s="282">
        <v>250</v>
      </c>
      <c r="W25" s="196"/>
      <c r="X25" s="283">
        <f t="shared" si="19"/>
        <v>13229</v>
      </c>
      <c r="Y25" s="282" t="str">
        <f t="shared" si="33"/>
        <v>ok</v>
      </c>
      <c r="Z25" s="282">
        <f t="shared" si="6"/>
        <v>11</v>
      </c>
      <c r="AA25" s="282">
        <f t="shared" si="20"/>
        <v>1649</v>
      </c>
      <c r="AB25" s="282">
        <f t="shared" si="21"/>
        <v>316.5</v>
      </c>
      <c r="AC25" s="282">
        <f t="shared" si="22"/>
        <v>149.90909090909091</v>
      </c>
      <c r="AD25" s="73">
        <f>ELEC!Q26</f>
        <v>7942.9999999993015</v>
      </c>
      <c r="AE25" s="73">
        <f t="shared" si="27"/>
        <v>722.09090909084557</v>
      </c>
      <c r="AF25" s="397">
        <f t="shared" si="28"/>
        <v>0.45130681818177848</v>
      </c>
      <c r="AG25" s="398">
        <f t="shared" si="29"/>
        <v>144.4181818181691</v>
      </c>
      <c r="AH25" s="398">
        <f t="shared" si="23"/>
        <v>5.4909090909218037</v>
      </c>
      <c r="AI25" s="73">
        <f t="shared" si="30"/>
        <v>2044.400843881677</v>
      </c>
      <c r="AJ25" s="284">
        <f t="shared" si="7"/>
        <v>0.25738396624472576</v>
      </c>
      <c r="AK25" s="284">
        <f t="shared" si="8"/>
        <v>185.85462217106155</v>
      </c>
    </row>
    <row r="26" spans="1:37" ht="15.75" thickBot="1">
      <c r="A26" s="4">
        <f>ELEC!C27</f>
        <v>44463</v>
      </c>
      <c r="B26" s="523">
        <f t="shared" si="24"/>
        <v>10951</v>
      </c>
      <c r="C26" s="282">
        <f>B26-B25</f>
        <v>0</v>
      </c>
      <c r="D26" s="524">
        <f t="shared" si="25"/>
        <v>520346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11055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13093</v>
      </c>
      <c r="S26" s="282">
        <f t="shared" ref="S26" si="34">R26-R25</f>
        <v>0</v>
      </c>
      <c r="T26" s="524">
        <f t="shared" si="17"/>
        <v>212744</v>
      </c>
      <c r="U26" s="282">
        <f t="shared" si="18"/>
        <v>0</v>
      </c>
      <c r="V26" s="282">
        <v>250</v>
      </c>
      <c r="W26" s="196"/>
      <c r="X26" s="283">
        <f t="shared" si="19"/>
        <v>13229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10951</v>
      </c>
      <c r="C27" s="282">
        <f>B27-B26</f>
        <v>0</v>
      </c>
      <c r="D27" s="524">
        <f t="shared" si="25"/>
        <v>520346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11055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13093</v>
      </c>
      <c r="S27" s="282">
        <f t="shared" si="4"/>
        <v>0</v>
      </c>
      <c r="T27" s="524">
        <f t="shared" si="17"/>
        <v>212744</v>
      </c>
      <c r="U27" s="282">
        <f t="shared" si="18"/>
        <v>0</v>
      </c>
      <c r="V27" s="282">
        <v>250</v>
      </c>
      <c r="W27" s="196"/>
      <c r="X27" s="283">
        <f t="shared" si="19"/>
        <v>13229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v>10952</v>
      </c>
      <c r="C28" s="282">
        <f t="shared" si="9"/>
        <v>1</v>
      </c>
      <c r="D28" s="524">
        <v>520400</v>
      </c>
      <c r="E28" s="282">
        <f t="shared" si="35"/>
        <v>54</v>
      </c>
      <c r="F28" s="282">
        <f t="shared" si="0"/>
        <v>54</v>
      </c>
      <c r="G28" s="280"/>
      <c r="H28" s="266">
        <f t="shared" si="11"/>
        <v>11055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v>13102</v>
      </c>
      <c r="S28" s="282">
        <f t="shared" si="4"/>
        <v>9</v>
      </c>
      <c r="T28" s="524">
        <f t="shared" si="17"/>
        <v>214994</v>
      </c>
      <c r="U28" s="282">
        <f t="shared" si="18"/>
        <v>2250</v>
      </c>
      <c r="V28" s="282">
        <v>250</v>
      </c>
      <c r="W28" s="196"/>
      <c r="X28" s="283">
        <f t="shared" si="19"/>
        <v>13229</v>
      </c>
      <c r="Y28" s="282" t="str">
        <f t="shared" si="33"/>
        <v>ok</v>
      </c>
      <c r="Z28" s="282">
        <f t="shared" si="6"/>
        <v>10</v>
      </c>
      <c r="AA28" s="282">
        <f t="shared" si="20"/>
        <v>2304</v>
      </c>
      <c r="AB28" s="282">
        <f t="shared" si="21"/>
        <v>304</v>
      </c>
      <c r="AC28" s="282">
        <f t="shared" si="22"/>
        <v>230.4</v>
      </c>
      <c r="AD28" s="73">
        <f>ELEC!Q29</f>
        <v>6263.9999999992142</v>
      </c>
      <c r="AE28" s="73">
        <f t="shared" si="27"/>
        <v>626.39999999992142</v>
      </c>
      <c r="AF28" s="397">
        <f t="shared" si="28"/>
        <v>0.39149999999995089</v>
      </c>
      <c r="AG28" s="398">
        <f t="shared" si="29"/>
        <v>125.27999999998428</v>
      </c>
      <c r="AH28" s="398">
        <f t="shared" si="23"/>
        <v>105.12000000001572</v>
      </c>
      <c r="AI28" s="73">
        <f t="shared" si="30"/>
        <v>1612.2531645567599</v>
      </c>
      <c r="AJ28" s="284">
        <f t="shared" si="7"/>
        <v>0.25738396624472576</v>
      </c>
      <c r="AK28" s="284">
        <f t="shared" si="8"/>
        <v>161.22531645567599</v>
      </c>
    </row>
    <row r="29" spans="1:37" ht="15.75" thickBot="1">
      <c r="A29" s="4">
        <f>ELEC!C30</f>
        <v>44466</v>
      </c>
      <c r="B29" s="523">
        <v>10952</v>
      </c>
      <c r="C29" s="282">
        <f t="shared" si="9"/>
        <v>0</v>
      </c>
      <c r="D29" s="524">
        <f t="shared" si="25"/>
        <v>520400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11055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v>13112</v>
      </c>
      <c r="S29" s="282">
        <f t="shared" si="4"/>
        <v>10</v>
      </c>
      <c r="T29" s="524">
        <f t="shared" si="17"/>
        <v>217494</v>
      </c>
      <c r="U29" s="282">
        <f t="shared" si="18"/>
        <v>2500</v>
      </c>
      <c r="V29" s="282">
        <v>250</v>
      </c>
      <c r="W29" s="196"/>
      <c r="X29" s="283">
        <f t="shared" si="19"/>
        <v>13229</v>
      </c>
      <c r="Y29" s="282" t="str">
        <f t="shared" si="33"/>
        <v>ok</v>
      </c>
      <c r="Z29" s="282">
        <f t="shared" si="6"/>
        <v>10</v>
      </c>
      <c r="AA29" s="282">
        <f t="shared" si="20"/>
        <v>2500</v>
      </c>
      <c r="AB29" s="282">
        <f t="shared" si="21"/>
        <v>250</v>
      </c>
      <c r="AC29" s="282">
        <f t="shared" si="22"/>
        <v>250</v>
      </c>
      <c r="AD29" s="73">
        <f>ELEC!Q30</f>
        <v>7322.0000000001164</v>
      </c>
      <c r="AE29" s="73">
        <f t="shared" si="27"/>
        <v>732.20000000001164</v>
      </c>
      <c r="AF29" s="397">
        <f t="shared" si="28"/>
        <v>0.45762500000000728</v>
      </c>
      <c r="AG29" s="398">
        <f t="shared" si="29"/>
        <v>146.44000000000233</v>
      </c>
      <c r="AH29" s="398">
        <f t="shared" si="23"/>
        <v>103.55999999999767</v>
      </c>
      <c r="AI29" s="73">
        <f t="shared" si="30"/>
        <v>1884.5654008439119</v>
      </c>
      <c r="AJ29" s="284">
        <f t="shared" si="7"/>
        <v>0.25738396624472576</v>
      </c>
      <c r="AK29" s="284">
        <f t="shared" si="8"/>
        <v>188.45654008439118</v>
      </c>
    </row>
    <row r="30" spans="1:37" ht="15.75" thickBot="1">
      <c r="A30" s="4">
        <f>ELEC!C31</f>
        <v>44467</v>
      </c>
      <c r="B30" s="523">
        <f t="shared" si="24"/>
        <v>10952</v>
      </c>
      <c r="C30" s="282">
        <f t="shared" si="9"/>
        <v>0</v>
      </c>
      <c r="D30" s="524">
        <f t="shared" si="25"/>
        <v>520400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11055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13112</v>
      </c>
      <c r="S30" s="282">
        <f t="shared" si="4"/>
        <v>0</v>
      </c>
      <c r="T30" s="524">
        <f t="shared" si="17"/>
        <v>217494</v>
      </c>
      <c r="U30" s="282">
        <f t="shared" si="18"/>
        <v>0</v>
      </c>
      <c r="V30" s="282">
        <v>250</v>
      </c>
      <c r="W30" s="280"/>
      <c r="X30" s="283">
        <f t="shared" si="19"/>
        <v>13229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10952</v>
      </c>
      <c r="C31" s="282">
        <f>B31-B30</f>
        <v>0</v>
      </c>
      <c r="D31" s="524">
        <f t="shared" si="25"/>
        <v>520400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11055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13112</v>
      </c>
      <c r="S31" s="282">
        <f>R31-R30</f>
        <v>0</v>
      </c>
      <c r="T31" s="524">
        <f t="shared" si="17"/>
        <v>217494</v>
      </c>
      <c r="U31" s="282">
        <f t="shared" si="18"/>
        <v>0</v>
      </c>
      <c r="V31" s="282">
        <v>250</v>
      </c>
      <c r="W31" s="332"/>
      <c r="X31" s="283">
        <f t="shared" si="19"/>
        <v>13229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10952</v>
      </c>
      <c r="C32" s="282">
        <f>B32-B31</f>
        <v>0</v>
      </c>
      <c r="D32" s="524">
        <f t="shared" si="25"/>
        <v>520400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11055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13112</v>
      </c>
      <c r="S32" s="282">
        <f>R32-R31</f>
        <v>0</v>
      </c>
      <c r="T32" s="524">
        <f t="shared" si="17"/>
        <v>217494</v>
      </c>
      <c r="U32" s="282">
        <f t="shared" si="18"/>
        <v>0</v>
      </c>
      <c r="V32" s="282">
        <v>250</v>
      </c>
      <c r="W32" s="332"/>
      <c r="X32" s="283">
        <f t="shared" si="19"/>
        <v>13229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10952</v>
      </c>
      <c r="C33" s="282">
        <f>B33-B32</f>
        <v>0</v>
      </c>
      <c r="D33" s="524">
        <f t="shared" si="25"/>
        <v>520400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11055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13112</v>
      </c>
      <c r="S33" s="282">
        <f>R33-R32</f>
        <v>0</v>
      </c>
      <c r="T33" s="524">
        <f t="shared" si="17"/>
        <v>217494</v>
      </c>
      <c r="U33" s="282">
        <f t="shared" si="18"/>
        <v>0</v>
      </c>
      <c r="V33" s="282">
        <v>251</v>
      </c>
      <c r="W33" s="332"/>
      <c r="X33" s="283">
        <f t="shared" si="19"/>
        <v>13229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293</v>
      </c>
      <c r="V34" s="40"/>
      <c r="X34">
        <v>341</v>
      </c>
      <c r="Z34" s="415">
        <f>SUM(Z3:Z33)</f>
        <v>293</v>
      </c>
    </row>
    <row r="35" spans="1:37">
      <c r="C35" s="40">
        <f>SUM(C3:C33)</f>
        <v>127</v>
      </c>
      <c r="K35" s="40">
        <f>SUM(K3:K33)</f>
        <v>0</v>
      </c>
      <c r="S35" s="40">
        <f>SUM(S3:S33)</f>
        <v>166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0" zoomScale="90" zoomScaleNormal="90" workbookViewId="0">
      <pane xSplit="1" topLeftCell="AP1" activePane="topRight" state="frozen"/>
      <selection pane="topRight" activeCell="AQ36" sqref="AQ3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6" t="s">
        <v>108</v>
      </c>
      <c r="AS3" s="666" t="s">
        <v>232</v>
      </c>
      <c r="AT3" s="664" t="s">
        <v>300</v>
      </c>
      <c r="AU3" s="665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7"/>
      <c r="AS4" s="667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[5]tanks!BC36</f>
        <v>0</v>
      </c>
      <c r="BD5" s="518">
        <f>[5]tanks!BD36</f>
        <v>0</v>
      </c>
      <c r="BE5" s="518">
        <f>[5]tanks!BE36</f>
        <v>0</v>
      </c>
      <c r="BF5" s="518">
        <f>[5]tanks!BF36</f>
        <v>0</v>
      </c>
      <c r="BG5" s="518">
        <f>[5]tanks!BG36</f>
        <v>0</v>
      </c>
      <c r="BH5" s="518">
        <f>[5]tanks!BH36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3984.5611814345398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114</v>
      </c>
      <c r="C13" s="203">
        <f t="shared" si="20"/>
        <v>2452.8387096774195</v>
      </c>
      <c r="D13">
        <f t="shared" si="21"/>
        <v>114</v>
      </c>
      <c r="E13" s="203">
        <f t="shared" si="20"/>
        <v>2452.8387096774195</v>
      </c>
      <c r="F13">
        <f t="shared" si="22"/>
        <v>114</v>
      </c>
      <c r="G13" s="203">
        <f t="shared" si="1"/>
        <v>2452.8387096774195</v>
      </c>
      <c r="H13" s="203">
        <f t="shared" si="23"/>
        <v>114</v>
      </c>
      <c r="I13" s="203">
        <f t="shared" si="2"/>
        <v>2452.8387096774195</v>
      </c>
      <c r="J13" s="203">
        <f t="shared" si="24"/>
        <v>114</v>
      </c>
      <c r="K13" s="203">
        <f t="shared" si="3"/>
        <v>2452.8387096774195</v>
      </c>
      <c r="L13" s="203">
        <f t="shared" si="25"/>
        <v>114</v>
      </c>
      <c r="M13" s="203">
        <f t="shared" si="4"/>
        <v>2452.8387096774195</v>
      </c>
      <c r="N13" s="203">
        <f t="shared" si="26"/>
        <v>114</v>
      </c>
      <c r="O13" s="203">
        <f t="shared" si="5"/>
        <v>2452.8387096774195</v>
      </c>
      <c r="P13" s="203">
        <f t="shared" si="27"/>
        <v>114</v>
      </c>
      <c r="Q13" s="203">
        <f t="shared" si="6"/>
        <v>2452.8387096774195</v>
      </c>
      <c r="R13" s="203">
        <f t="shared" si="28"/>
        <v>114</v>
      </c>
      <c r="S13" s="203">
        <f t="shared" si="7"/>
        <v>2452.8387096774195</v>
      </c>
      <c r="T13" s="203">
        <f t="shared" si="29"/>
        <v>114</v>
      </c>
      <c r="U13" s="203">
        <f t="shared" si="8"/>
        <v>2452.8387096774195</v>
      </c>
      <c r="V13" s="203">
        <f t="shared" si="30"/>
        <v>114</v>
      </c>
      <c r="W13" s="203">
        <f t="shared" si="9"/>
        <v>2452.8387096774195</v>
      </c>
      <c r="X13" s="35">
        <f t="shared" si="10"/>
        <v>0.36774193548387107</v>
      </c>
      <c r="Y13" s="36">
        <f t="shared" si="31"/>
        <v>26981.225806451621</v>
      </c>
      <c r="Z13" s="203">
        <f>'B5'!C12</f>
        <v>121</v>
      </c>
      <c r="AA13" s="203">
        <f t="shared" si="32"/>
        <v>1210</v>
      </c>
      <c r="AB13" s="203">
        <f t="shared" si="33"/>
        <v>121</v>
      </c>
      <c r="AC13" s="203">
        <f t="shared" si="32"/>
        <v>1210</v>
      </c>
      <c r="AD13" s="203">
        <f t="shared" si="34"/>
        <v>121</v>
      </c>
      <c r="AE13" s="203">
        <f t="shared" si="11"/>
        <v>1210</v>
      </c>
      <c r="AF13" s="203">
        <f t="shared" si="35"/>
        <v>121</v>
      </c>
      <c r="AG13" s="203">
        <f t="shared" si="12"/>
        <v>1210</v>
      </c>
      <c r="AH13" s="203">
        <f t="shared" si="36"/>
        <v>121</v>
      </c>
      <c r="AI13" s="203">
        <f t="shared" si="13"/>
        <v>1210</v>
      </c>
      <c r="AJ13" s="203">
        <f t="shared" si="37"/>
        <v>121</v>
      </c>
      <c r="AK13" s="203">
        <f t="shared" si="14"/>
        <v>1210</v>
      </c>
      <c r="AL13" s="203">
        <f t="shared" si="38"/>
        <v>121</v>
      </c>
      <c r="AM13" s="203">
        <f t="shared" si="15"/>
        <v>1210</v>
      </c>
      <c r="AN13" s="35">
        <f t="shared" si="16"/>
        <v>0.43214285714285716</v>
      </c>
      <c r="AO13" s="36">
        <f t="shared" si="17"/>
        <v>8470</v>
      </c>
      <c r="AP13" s="546"/>
      <c r="AQ13" s="223">
        <f t="shared" si="39"/>
        <v>0.38131898253685725</v>
      </c>
      <c r="AR13" s="38">
        <f t="shared" si="45"/>
        <v>35451.225806451621</v>
      </c>
      <c r="AS13" s="197">
        <f t="shared" si="42"/>
        <v>-4801.8387096774168</v>
      </c>
      <c r="AT13" s="349"/>
      <c r="AU13" s="579"/>
      <c r="AV13" s="504">
        <f t="shared" si="43"/>
        <v>0.57999999999999996</v>
      </c>
      <c r="AW13" s="285">
        <f>-SUM('B5'!AI12)</f>
        <v>-29</v>
      </c>
      <c r="AX13" s="285">
        <f t="shared" si="19"/>
        <v>-4772.8387096774168</v>
      </c>
      <c r="AY13" s="37">
        <f t="shared" si="40"/>
        <v>-4801.8387096774168</v>
      </c>
      <c r="AZ13" s="100">
        <f>ELEC!A11</f>
        <v>0</v>
      </c>
      <c r="BA13" s="118">
        <f>'General information '!D13</f>
        <v>27</v>
      </c>
      <c r="BB13" s="388">
        <f>SUM('General information '!E13)</f>
        <v>0.64</v>
      </c>
      <c r="BC13" s="3">
        <f t="shared" si="44"/>
        <v>0</v>
      </c>
      <c r="BD13" s="102">
        <v>19222</v>
      </c>
      <c r="BE13" s="14">
        <f>(305/1185)*ELEC!Q12</f>
        <v>4779.1054852318885</v>
      </c>
      <c r="BF13" s="14"/>
      <c r="BG13" s="14" t="e">
        <f>#REF!-BE13</f>
        <v>#REF!</v>
      </c>
      <c r="BH13" s="11"/>
      <c r="BI13">
        <v>5</v>
      </c>
      <c r="BJ13">
        <f t="shared" si="41"/>
        <v>-954.56774193548335</v>
      </c>
      <c r="BK13" s="562">
        <f>GEN!AF10</f>
        <v>0.42067934782608063</v>
      </c>
    </row>
    <row r="14" spans="1:63">
      <c r="A14" s="437">
        <f>ELEC!C12</f>
        <v>44448</v>
      </c>
      <c r="B14">
        <f>'B5'!B13</f>
        <v>170</v>
      </c>
      <c r="C14" s="203">
        <f t="shared" si="20"/>
        <v>3657.7419354838707</v>
      </c>
      <c r="D14">
        <f t="shared" si="21"/>
        <v>170</v>
      </c>
      <c r="E14" s="203">
        <f t="shared" si="20"/>
        <v>3657.7419354838707</v>
      </c>
      <c r="F14">
        <f t="shared" si="22"/>
        <v>170</v>
      </c>
      <c r="G14" s="203">
        <f t="shared" si="1"/>
        <v>3657.7419354838707</v>
      </c>
      <c r="H14" s="203">
        <f t="shared" si="23"/>
        <v>170</v>
      </c>
      <c r="I14" s="203">
        <f t="shared" si="2"/>
        <v>3657.7419354838707</v>
      </c>
      <c r="J14" s="203">
        <f t="shared" si="24"/>
        <v>170</v>
      </c>
      <c r="K14" s="203">
        <f t="shared" si="3"/>
        <v>3657.7419354838707</v>
      </c>
      <c r="L14" s="203">
        <f t="shared" si="25"/>
        <v>170</v>
      </c>
      <c r="M14" s="203">
        <f t="shared" si="4"/>
        <v>3657.7419354838707</v>
      </c>
      <c r="N14" s="203">
        <f t="shared" si="26"/>
        <v>170</v>
      </c>
      <c r="O14" s="203">
        <f t="shared" si="5"/>
        <v>3657.7419354838707</v>
      </c>
      <c r="P14" s="203">
        <f t="shared" si="27"/>
        <v>170</v>
      </c>
      <c r="Q14" s="203">
        <f t="shared" si="6"/>
        <v>3657.7419354838707</v>
      </c>
      <c r="R14" s="203">
        <f t="shared" si="28"/>
        <v>170</v>
      </c>
      <c r="S14" s="203">
        <f t="shared" si="7"/>
        <v>3657.7419354838707</v>
      </c>
      <c r="T14" s="203">
        <f t="shared" si="29"/>
        <v>170</v>
      </c>
      <c r="U14" s="203">
        <f t="shared" si="8"/>
        <v>3657.7419354838707</v>
      </c>
      <c r="V14" s="203">
        <f t="shared" si="30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31"/>
        <v>40235.161290322576</v>
      </c>
      <c r="Z14" s="203">
        <f>'B5'!C13</f>
        <v>176</v>
      </c>
      <c r="AA14" s="203">
        <f t="shared" si="32"/>
        <v>1760</v>
      </c>
      <c r="AB14" s="203">
        <f t="shared" si="33"/>
        <v>176</v>
      </c>
      <c r="AC14" s="203">
        <f t="shared" si="32"/>
        <v>1760</v>
      </c>
      <c r="AD14" s="203">
        <f t="shared" si="34"/>
        <v>176</v>
      </c>
      <c r="AE14" s="203">
        <f t="shared" si="11"/>
        <v>1760</v>
      </c>
      <c r="AF14" s="203">
        <f t="shared" si="35"/>
        <v>176</v>
      </c>
      <c r="AG14" s="203">
        <f t="shared" si="12"/>
        <v>1760</v>
      </c>
      <c r="AH14" s="203">
        <f t="shared" si="36"/>
        <v>176</v>
      </c>
      <c r="AI14" s="203">
        <f t="shared" si="13"/>
        <v>1760</v>
      </c>
      <c r="AJ14" s="203">
        <f t="shared" si="37"/>
        <v>176</v>
      </c>
      <c r="AK14" s="203">
        <f t="shared" si="14"/>
        <v>1760</v>
      </c>
      <c r="AL14" s="203">
        <f t="shared" si="38"/>
        <v>176</v>
      </c>
      <c r="AM14" s="203">
        <f t="shared" si="15"/>
        <v>1760</v>
      </c>
      <c r="AN14" s="35">
        <f t="shared" si="16"/>
        <v>0.62857142857142856</v>
      </c>
      <c r="AO14" s="36">
        <f t="shared" si="17"/>
        <v>12320</v>
      </c>
      <c r="AQ14" s="223">
        <f t="shared" si="39"/>
        <v>0.56529161331959321</v>
      </c>
      <c r="AR14" s="38">
        <f t="shared" si="45"/>
        <v>52555.161290322576</v>
      </c>
      <c r="AS14" s="197">
        <f t="shared" si="42"/>
        <v>-2496.0645161290449</v>
      </c>
      <c r="AT14" s="349">
        <v>19600</v>
      </c>
      <c r="AU14" s="579">
        <v>0.54</v>
      </c>
      <c r="AV14" s="504">
        <f t="shared" si="43"/>
        <v>0.54</v>
      </c>
      <c r="AW14" s="285">
        <f>-SUM('B5'!AI13)</f>
        <v>-99</v>
      </c>
      <c r="AX14" s="285">
        <f t="shared" si="19"/>
        <v>-2397.0645161290449</v>
      </c>
      <c r="AY14" s="37">
        <f t="shared" si="40"/>
        <v>-2496.0645161290449</v>
      </c>
      <c r="AZ14" s="100">
        <f>ELEC!A12</f>
        <v>0</v>
      </c>
      <c r="BA14" s="118">
        <f>'General information '!D14</f>
        <v>27</v>
      </c>
      <c r="BB14" s="388">
        <f>SUM('General information '!E14)</f>
        <v>0.74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-799.02150537634827</v>
      </c>
      <c r="BK14" s="562">
        <f>GEN!AF11</f>
        <v>0.44634615384613702</v>
      </c>
    </row>
    <row r="15" spans="1:63" ht="13.5" customHeight="1">
      <c r="A15" s="437">
        <f>ELEC!C13</f>
        <v>44449</v>
      </c>
      <c r="B15">
        <f>'B5'!B14</f>
        <v>170</v>
      </c>
      <c r="C15" s="203">
        <f>B15*$B$4</f>
        <v>3657.7419354838707</v>
      </c>
      <c r="D15">
        <f t="shared" si="21"/>
        <v>170</v>
      </c>
      <c r="E15" s="203">
        <f t="shared" si="20"/>
        <v>3657.7419354838707</v>
      </c>
      <c r="F15">
        <f t="shared" si="22"/>
        <v>170</v>
      </c>
      <c r="G15" s="203">
        <f t="shared" si="1"/>
        <v>3657.7419354838707</v>
      </c>
      <c r="H15" s="203">
        <f t="shared" si="23"/>
        <v>170</v>
      </c>
      <c r="I15" s="203">
        <f t="shared" si="2"/>
        <v>3657.7419354838707</v>
      </c>
      <c r="J15" s="203">
        <f t="shared" si="24"/>
        <v>170</v>
      </c>
      <c r="K15" s="203">
        <f t="shared" si="3"/>
        <v>3657.7419354838707</v>
      </c>
      <c r="L15" s="203">
        <f t="shared" si="25"/>
        <v>170</v>
      </c>
      <c r="M15" s="203">
        <f t="shared" si="4"/>
        <v>3657.7419354838707</v>
      </c>
      <c r="N15" s="203">
        <f t="shared" si="26"/>
        <v>170</v>
      </c>
      <c r="O15" s="203">
        <f t="shared" si="5"/>
        <v>3657.7419354838707</v>
      </c>
      <c r="P15" s="203">
        <f t="shared" si="27"/>
        <v>170</v>
      </c>
      <c r="Q15" s="203">
        <f t="shared" si="6"/>
        <v>3657.7419354838707</v>
      </c>
      <c r="R15" s="203">
        <f t="shared" si="28"/>
        <v>170</v>
      </c>
      <c r="S15" s="203">
        <f t="shared" si="7"/>
        <v>3657.7419354838707</v>
      </c>
      <c r="T15" s="203">
        <f t="shared" si="29"/>
        <v>170</v>
      </c>
      <c r="U15" s="203">
        <f t="shared" si="8"/>
        <v>3657.7419354838707</v>
      </c>
      <c r="V15" s="203">
        <f t="shared" si="30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31"/>
        <v>40235.161290322576</v>
      </c>
      <c r="Z15" s="203">
        <f>'B5'!C14</f>
        <v>176</v>
      </c>
      <c r="AA15" s="203">
        <f t="shared" si="32"/>
        <v>1760</v>
      </c>
      <c r="AB15" s="203">
        <f t="shared" si="33"/>
        <v>176</v>
      </c>
      <c r="AC15" s="203">
        <f t="shared" si="32"/>
        <v>1760</v>
      </c>
      <c r="AD15" s="203">
        <f t="shared" si="34"/>
        <v>176</v>
      </c>
      <c r="AE15" s="203">
        <f t="shared" si="11"/>
        <v>1760</v>
      </c>
      <c r="AF15" s="203">
        <f t="shared" si="35"/>
        <v>176</v>
      </c>
      <c r="AG15" s="203">
        <f t="shared" si="12"/>
        <v>1760</v>
      </c>
      <c r="AH15" s="203">
        <f t="shared" si="36"/>
        <v>176</v>
      </c>
      <c r="AI15" s="203">
        <f t="shared" si="13"/>
        <v>1760</v>
      </c>
      <c r="AJ15" s="203">
        <f t="shared" si="37"/>
        <v>176</v>
      </c>
      <c r="AK15" s="203">
        <f t="shared" si="14"/>
        <v>1760</v>
      </c>
      <c r="AL15" s="203">
        <f t="shared" si="38"/>
        <v>176</v>
      </c>
      <c r="AM15" s="203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3">
        <f t="shared" si="39"/>
        <v>0.56529161331959321</v>
      </c>
      <c r="AR15" s="38">
        <f t="shared" si="45"/>
        <v>52555.161290322576</v>
      </c>
      <c r="AS15" s="197">
        <f t="shared" si="42"/>
        <v>0</v>
      </c>
      <c r="AT15" s="349"/>
      <c r="AU15" s="579"/>
      <c r="AV15" s="504">
        <f>IF(AT15&gt;0,AU15,AV14)</f>
        <v>0.54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170</v>
      </c>
      <c r="C16" s="203">
        <f t="shared" si="20"/>
        <v>3657.7419354838707</v>
      </c>
      <c r="D16">
        <f t="shared" si="21"/>
        <v>170</v>
      </c>
      <c r="E16" s="203">
        <f t="shared" si="20"/>
        <v>3657.7419354838707</v>
      </c>
      <c r="F16">
        <f t="shared" si="22"/>
        <v>170</v>
      </c>
      <c r="G16" s="203">
        <f t="shared" si="1"/>
        <v>3657.7419354838707</v>
      </c>
      <c r="H16" s="203">
        <f t="shared" si="23"/>
        <v>170</v>
      </c>
      <c r="I16" s="203">
        <f t="shared" si="2"/>
        <v>3657.7419354838707</v>
      </c>
      <c r="J16" s="203">
        <f t="shared" si="24"/>
        <v>170</v>
      </c>
      <c r="K16" s="203">
        <f t="shared" si="3"/>
        <v>3657.7419354838707</v>
      </c>
      <c r="L16" s="203">
        <f t="shared" si="25"/>
        <v>170</v>
      </c>
      <c r="M16" s="203">
        <f t="shared" si="4"/>
        <v>3657.7419354838707</v>
      </c>
      <c r="N16" s="203">
        <f t="shared" si="26"/>
        <v>170</v>
      </c>
      <c r="O16" s="203">
        <f t="shared" si="5"/>
        <v>3657.7419354838707</v>
      </c>
      <c r="P16" s="203">
        <f t="shared" si="27"/>
        <v>170</v>
      </c>
      <c r="Q16" s="203">
        <f t="shared" si="6"/>
        <v>3657.7419354838707</v>
      </c>
      <c r="R16" s="203">
        <f t="shared" si="28"/>
        <v>170</v>
      </c>
      <c r="S16" s="203">
        <f t="shared" si="7"/>
        <v>3657.7419354838707</v>
      </c>
      <c r="T16" s="203">
        <f t="shared" si="29"/>
        <v>170</v>
      </c>
      <c r="U16" s="203">
        <f t="shared" si="8"/>
        <v>3657.7419354838707</v>
      </c>
      <c r="V16" s="203">
        <f t="shared" si="30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31"/>
        <v>40235.161290322576</v>
      </c>
      <c r="Z16" s="203">
        <f>'B5'!C15</f>
        <v>176</v>
      </c>
      <c r="AA16" s="203">
        <f t="shared" si="32"/>
        <v>1760</v>
      </c>
      <c r="AB16" s="203">
        <f t="shared" si="33"/>
        <v>176</v>
      </c>
      <c r="AC16" s="203">
        <f t="shared" si="32"/>
        <v>1760</v>
      </c>
      <c r="AD16" s="203">
        <f t="shared" si="34"/>
        <v>176</v>
      </c>
      <c r="AE16" s="203">
        <f t="shared" si="11"/>
        <v>1760</v>
      </c>
      <c r="AF16" s="203">
        <f t="shared" si="35"/>
        <v>176</v>
      </c>
      <c r="AG16" s="203">
        <f t="shared" si="12"/>
        <v>1760</v>
      </c>
      <c r="AH16" s="203">
        <f t="shared" si="36"/>
        <v>176</v>
      </c>
      <c r="AI16" s="203">
        <f t="shared" si="13"/>
        <v>1760</v>
      </c>
      <c r="AJ16" s="203">
        <f t="shared" si="37"/>
        <v>176</v>
      </c>
      <c r="AK16" s="203">
        <f t="shared" si="14"/>
        <v>1760</v>
      </c>
      <c r="AL16" s="203">
        <f t="shared" si="38"/>
        <v>176</v>
      </c>
      <c r="AM16" s="203">
        <f t="shared" si="15"/>
        <v>1760</v>
      </c>
      <c r="AN16" s="35">
        <f t="shared" si="16"/>
        <v>0.62857142857142856</v>
      </c>
      <c r="AO16" s="36">
        <f t="shared" si="17"/>
        <v>12320</v>
      </c>
      <c r="AQ16" s="223">
        <f t="shared" si="39"/>
        <v>0.56529161331959321</v>
      </c>
      <c r="AR16" s="38">
        <f>Y16+AO16</f>
        <v>52555.161290322576</v>
      </c>
      <c r="AS16" s="197">
        <f>SUM(AR16-AR15-AT16)</f>
        <v>0</v>
      </c>
      <c r="AT16" s="349"/>
      <c r="AU16" s="580"/>
      <c r="AV16" s="504">
        <f>IF(AT16&gt;0,AU16,AV15)</f>
        <v>0.54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170</v>
      </c>
      <c r="C17" s="203">
        <f t="shared" si="20"/>
        <v>3657.7419354838707</v>
      </c>
      <c r="D17">
        <f t="shared" si="21"/>
        <v>170</v>
      </c>
      <c r="E17" s="203">
        <f t="shared" si="20"/>
        <v>3657.7419354838707</v>
      </c>
      <c r="F17">
        <f t="shared" si="22"/>
        <v>170</v>
      </c>
      <c r="G17" s="203">
        <f t="shared" si="1"/>
        <v>3657.7419354838707</v>
      </c>
      <c r="H17" s="203">
        <f t="shared" si="23"/>
        <v>170</v>
      </c>
      <c r="I17" s="203">
        <f t="shared" si="2"/>
        <v>3657.7419354838707</v>
      </c>
      <c r="J17" s="203">
        <f t="shared" si="24"/>
        <v>170</v>
      </c>
      <c r="K17" s="203">
        <f t="shared" si="3"/>
        <v>3657.7419354838707</v>
      </c>
      <c r="L17" s="203">
        <f t="shared" si="25"/>
        <v>170</v>
      </c>
      <c r="M17" s="203">
        <f t="shared" si="4"/>
        <v>3657.7419354838707</v>
      </c>
      <c r="N17" s="203">
        <f t="shared" si="26"/>
        <v>170</v>
      </c>
      <c r="O17" s="203">
        <f t="shared" si="5"/>
        <v>3657.7419354838707</v>
      </c>
      <c r="P17" s="203">
        <f t="shared" si="27"/>
        <v>170</v>
      </c>
      <c r="Q17" s="203">
        <f t="shared" si="6"/>
        <v>3657.7419354838707</v>
      </c>
      <c r="R17" s="203">
        <f t="shared" si="28"/>
        <v>170</v>
      </c>
      <c r="S17" s="203">
        <f t="shared" si="7"/>
        <v>3657.7419354838707</v>
      </c>
      <c r="T17" s="203">
        <f t="shared" si="29"/>
        <v>170</v>
      </c>
      <c r="U17" s="203">
        <f t="shared" si="8"/>
        <v>3657.7419354838707</v>
      </c>
      <c r="V17" s="203">
        <f t="shared" si="30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31"/>
        <v>40235.161290322576</v>
      </c>
      <c r="Z17" s="203">
        <f>'B5'!C16</f>
        <v>176</v>
      </c>
      <c r="AA17" s="203">
        <f t="shared" si="32"/>
        <v>1760</v>
      </c>
      <c r="AB17" s="203">
        <f t="shared" si="33"/>
        <v>176</v>
      </c>
      <c r="AC17" s="203">
        <f t="shared" si="32"/>
        <v>1760</v>
      </c>
      <c r="AD17" s="203">
        <f t="shared" si="34"/>
        <v>176</v>
      </c>
      <c r="AE17" s="203">
        <f t="shared" si="11"/>
        <v>1760</v>
      </c>
      <c r="AF17" s="203">
        <f t="shared" si="35"/>
        <v>176</v>
      </c>
      <c r="AG17" s="203">
        <f t="shared" si="12"/>
        <v>1760</v>
      </c>
      <c r="AH17" s="203">
        <f t="shared" si="36"/>
        <v>176</v>
      </c>
      <c r="AI17" s="203">
        <f t="shared" si="13"/>
        <v>1760</v>
      </c>
      <c r="AJ17" s="203">
        <f t="shared" si="37"/>
        <v>176</v>
      </c>
      <c r="AK17" s="203">
        <f t="shared" si="14"/>
        <v>1760</v>
      </c>
      <c r="AL17" s="203">
        <f t="shared" si="38"/>
        <v>176</v>
      </c>
      <c r="AM17" s="203">
        <f t="shared" si="15"/>
        <v>1760</v>
      </c>
      <c r="AN17" s="35">
        <f t="shared" si="16"/>
        <v>0.62857142857142856</v>
      </c>
      <c r="AO17" s="36">
        <f>SUM(AA17+AC17+AE17+AG17+AI17+AK17+AM17)</f>
        <v>12320</v>
      </c>
      <c r="AQ17" s="223">
        <f t="shared" si="39"/>
        <v>0.56529161331959321</v>
      </c>
      <c r="AR17" s="38">
        <f t="shared" si="45"/>
        <v>52555.161290322576</v>
      </c>
      <c r="AS17" s="197">
        <f>SUM(AR17-AR16-AT17)</f>
        <v>0</v>
      </c>
      <c r="AT17" s="349"/>
      <c r="AU17" s="579"/>
      <c r="AV17" s="504">
        <f t="shared" si="43"/>
        <v>0.54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4741.5274261609293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153</v>
      </c>
      <c r="AA18" s="203">
        <f t="shared" si="32"/>
        <v>1530</v>
      </c>
      <c r="AB18" s="203">
        <f t="shared" si="33"/>
        <v>153</v>
      </c>
      <c r="AC18" s="203">
        <f t="shared" si="32"/>
        <v>1530</v>
      </c>
      <c r="AD18" s="203">
        <f t="shared" si="34"/>
        <v>153</v>
      </c>
      <c r="AE18" s="203">
        <f t="shared" si="11"/>
        <v>1530</v>
      </c>
      <c r="AF18" s="203">
        <f t="shared" si="35"/>
        <v>153</v>
      </c>
      <c r="AG18" s="203">
        <f t="shared" si="12"/>
        <v>1530</v>
      </c>
      <c r="AH18" s="203">
        <f t="shared" si="36"/>
        <v>153</v>
      </c>
      <c r="AI18" s="203">
        <f t="shared" si="13"/>
        <v>1530</v>
      </c>
      <c r="AJ18" s="203">
        <f t="shared" si="37"/>
        <v>153</v>
      </c>
      <c r="AK18" s="203">
        <f t="shared" si="14"/>
        <v>1530</v>
      </c>
      <c r="AL18" s="203">
        <f t="shared" si="38"/>
        <v>153</v>
      </c>
      <c r="AM18" s="203">
        <f t="shared" si="15"/>
        <v>1530</v>
      </c>
      <c r="AN18" s="35">
        <f t="shared" si="16"/>
        <v>0.54642857142857137</v>
      </c>
      <c r="AO18" s="36">
        <f t="shared" si="17"/>
        <v>10710</v>
      </c>
      <c r="AQ18" s="223">
        <f t="shared" si="39"/>
        <v>0.4894221861370473</v>
      </c>
      <c r="AR18" s="38">
        <f t="shared" si="45"/>
        <v>45501.580645161288</v>
      </c>
      <c r="AS18" s="197">
        <f>SUM(AR18-AR17-AT18)</f>
        <v>-7053.580645161288</v>
      </c>
      <c r="AT18" s="349"/>
      <c r="AU18" s="579"/>
      <c r="AV18" s="504">
        <f>IF(AT18&gt;0,AU18,AV17)</f>
        <v>0.54</v>
      </c>
      <c r="AW18" s="285">
        <f>-SUM('B5'!AI17)</f>
        <v>-141</v>
      </c>
      <c r="AX18" s="285">
        <f t="shared" si="19"/>
        <v>-6912.580645161288</v>
      </c>
      <c r="AY18" s="37">
        <f t="shared" si="40"/>
        <v>-7053.580645161288</v>
      </c>
      <c r="AZ18" s="100">
        <f>ELEC!A16</f>
        <v>0</v>
      </c>
      <c r="BA18" s="118">
        <f>'General information '!D18</f>
        <v>27</v>
      </c>
      <c r="BB18" s="388">
        <f>SUM('General information '!E18)</f>
        <v>0.61</v>
      </c>
      <c r="BC18" s="3">
        <f t="shared" si="44"/>
        <v>0</v>
      </c>
      <c r="BD18" s="102">
        <v>19222</v>
      </c>
      <c r="BE18" s="14">
        <f>(305/1185)*ELEC!Q17</f>
        <v>3927.1645569615089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131</v>
      </c>
      <c r="C19" s="203">
        <f t="shared" si="20"/>
        <v>2818.6129032258063</v>
      </c>
      <c r="D19">
        <f t="shared" si="21"/>
        <v>131</v>
      </c>
      <c r="E19" s="203">
        <f t="shared" si="20"/>
        <v>2818.6129032258063</v>
      </c>
      <c r="F19">
        <f t="shared" si="22"/>
        <v>131</v>
      </c>
      <c r="G19" s="203">
        <f t="shared" si="1"/>
        <v>2818.6129032258063</v>
      </c>
      <c r="H19" s="203">
        <f t="shared" si="23"/>
        <v>131</v>
      </c>
      <c r="I19" s="203">
        <f t="shared" si="2"/>
        <v>2818.6129032258063</v>
      </c>
      <c r="J19" s="203">
        <f t="shared" si="24"/>
        <v>131</v>
      </c>
      <c r="K19" s="203">
        <f t="shared" si="3"/>
        <v>2818.6129032258063</v>
      </c>
      <c r="L19" s="203">
        <f t="shared" si="25"/>
        <v>131</v>
      </c>
      <c r="M19" s="203">
        <f t="shared" si="4"/>
        <v>2818.6129032258063</v>
      </c>
      <c r="N19" s="203">
        <f t="shared" si="26"/>
        <v>131</v>
      </c>
      <c r="O19" s="203">
        <f t="shared" si="5"/>
        <v>2818.6129032258063</v>
      </c>
      <c r="P19" s="203">
        <f t="shared" si="27"/>
        <v>131</v>
      </c>
      <c r="Q19" s="203">
        <f t="shared" si="6"/>
        <v>2818.6129032258063</v>
      </c>
      <c r="R19" s="203">
        <f t="shared" si="28"/>
        <v>131</v>
      </c>
      <c r="S19" s="203">
        <f t="shared" si="7"/>
        <v>2818.6129032258063</v>
      </c>
      <c r="T19" s="203">
        <f t="shared" si="29"/>
        <v>131</v>
      </c>
      <c r="U19" s="203">
        <f t="shared" si="8"/>
        <v>2818.6129032258063</v>
      </c>
      <c r="V19" s="203">
        <f t="shared" si="30"/>
        <v>131</v>
      </c>
      <c r="W19" s="203">
        <f t="shared" si="9"/>
        <v>2818.6129032258063</v>
      </c>
      <c r="X19" s="35">
        <f t="shared" si="10"/>
        <v>0.42258064516129035</v>
      </c>
      <c r="Y19" s="36">
        <f t="shared" si="31"/>
        <v>31004.741935483871</v>
      </c>
      <c r="Z19" s="203">
        <f>'B5'!C18</f>
        <v>137</v>
      </c>
      <c r="AA19" s="203">
        <f t="shared" si="32"/>
        <v>1370</v>
      </c>
      <c r="AB19" s="203">
        <f t="shared" si="33"/>
        <v>137</v>
      </c>
      <c r="AC19" s="203">
        <f t="shared" si="32"/>
        <v>1370</v>
      </c>
      <c r="AD19" s="203">
        <f t="shared" si="34"/>
        <v>137</v>
      </c>
      <c r="AE19" s="203">
        <f t="shared" si="11"/>
        <v>1370</v>
      </c>
      <c r="AF19" s="203">
        <f t="shared" si="35"/>
        <v>137</v>
      </c>
      <c r="AG19" s="203">
        <f t="shared" si="12"/>
        <v>1370</v>
      </c>
      <c r="AH19" s="203">
        <f t="shared" si="36"/>
        <v>137</v>
      </c>
      <c r="AI19" s="203">
        <f t="shared" si="13"/>
        <v>1370</v>
      </c>
      <c r="AJ19" s="203">
        <f t="shared" si="37"/>
        <v>137</v>
      </c>
      <c r="AK19" s="203">
        <f t="shared" si="14"/>
        <v>1370</v>
      </c>
      <c r="AL19" s="203">
        <f t="shared" si="38"/>
        <v>137</v>
      </c>
      <c r="AM19" s="203">
        <f t="shared" si="15"/>
        <v>1370</v>
      </c>
      <c r="AN19" s="35">
        <f t="shared" si="16"/>
        <v>0.48928571428571427</v>
      </c>
      <c r="AO19" s="36">
        <f t="shared" si="17"/>
        <v>9590</v>
      </c>
      <c r="AQ19" s="223">
        <f t="shared" si="39"/>
        <v>0.43664345418397194</v>
      </c>
      <c r="AR19" s="38">
        <f t="shared" si="45"/>
        <v>40594.741935483871</v>
      </c>
      <c r="AS19" s="197">
        <f t="shared" ref="AS19:AS36" si="46">SUM(AR19-AR18-AT19)</f>
        <v>-4906.8387096774168</v>
      </c>
      <c r="AT19" s="349"/>
      <c r="AU19" s="579"/>
      <c r="AV19" s="504">
        <f t="shared" si="43"/>
        <v>0.54</v>
      </c>
      <c r="AW19" s="285">
        <f>-SUM('B5'!AI18)</f>
        <v>-66</v>
      </c>
      <c r="AX19" s="285">
        <f t="shared" si="19"/>
        <v>-4840.8387096774168</v>
      </c>
      <c r="AY19" s="37">
        <f t="shared" si="40"/>
        <v>-4906.8387096774168</v>
      </c>
      <c r="AZ19" s="100">
        <f>ELEC!A17</f>
        <v>0</v>
      </c>
      <c r="BA19" s="118">
        <f>'General information '!D19</f>
        <v>27.5</v>
      </c>
      <c r="BB19" s="388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2668.2995780595888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177</v>
      </c>
      <c r="C20" s="203">
        <f t="shared" si="20"/>
        <v>3808.3548387096776</v>
      </c>
      <c r="D20">
        <f t="shared" si="21"/>
        <v>177</v>
      </c>
      <c r="E20" s="203">
        <f t="shared" si="20"/>
        <v>3808.3548387096776</v>
      </c>
      <c r="F20">
        <f t="shared" si="22"/>
        <v>177</v>
      </c>
      <c r="G20" s="203">
        <f t="shared" si="1"/>
        <v>3808.3548387096776</v>
      </c>
      <c r="H20" s="203">
        <f t="shared" si="23"/>
        <v>177</v>
      </c>
      <c r="I20" s="203">
        <f t="shared" si="2"/>
        <v>3808.3548387096776</v>
      </c>
      <c r="J20" s="203">
        <f t="shared" si="24"/>
        <v>177</v>
      </c>
      <c r="K20" s="203">
        <f t="shared" si="3"/>
        <v>3808.3548387096776</v>
      </c>
      <c r="L20" s="203">
        <f t="shared" si="25"/>
        <v>177</v>
      </c>
      <c r="M20" s="203">
        <f t="shared" si="4"/>
        <v>3808.3548387096776</v>
      </c>
      <c r="N20" s="203">
        <f t="shared" si="26"/>
        <v>177</v>
      </c>
      <c r="O20" s="203">
        <f t="shared" si="5"/>
        <v>3808.3548387096776</v>
      </c>
      <c r="P20" s="203">
        <f t="shared" si="27"/>
        <v>177</v>
      </c>
      <c r="Q20" s="203">
        <f t="shared" si="6"/>
        <v>3808.3548387096776</v>
      </c>
      <c r="R20" s="203">
        <f t="shared" si="28"/>
        <v>177</v>
      </c>
      <c r="S20" s="203">
        <f t="shared" si="7"/>
        <v>3808.3548387096776</v>
      </c>
      <c r="T20" s="203">
        <f t="shared" si="29"/>
        <v>177</v>
      </c>
      <c r="U20" s="203">
        <f t="shared" si="8"/>
        <v>3808.3548387096776</v>
      </c>
      <c r="V20" s="203">
        <f t="shared" si="30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31"/>
        <v>41891.903225806447</v>
      </c>
      <c r="Z20" s="203">
        <f>'B5'!C19</f>
        <v>183</v>
      </c>
      <c r="AA20" s="203">
        <f t="shared" si="32"/>
        <v>1830</v>
      </c>
      <c r="AB20" s="203">
        <f t="shared" si="33"/>
        <v>183</v>
      </c>
      <c r="AC20" s="203">
        <f t="shared" si="32"/>
        <v>1830</v>
      </c>
      <c r="AD20" s="203">
        <f t="shared" si="34"/>
        <v>183</v>
      </c>
      <c r="AE20" s="203">
        <f t="shared" si="11"/>
        <v>1830</v>
      </c>
      <c r="AF20" s="203">
        <f t="shared" si="35"/>
        <v>183</v>
      </c>
      <c r="AG20" s="203">
        <f t="shared" si="12"/>
        <v>1830</v>
      </c>
      <c r="AH20" s="203">
        <f t="shared" si="36"/>
        <v>183</v>
      </c>
      <c r="AI20" s="203">
        <f t="shared" si="13"/>
        <v>1830</v>
      </c>
      <c r="AJ20" s="203">
        <f t="shared" si="37"/>
        <v>183</v>
      </c>
      <c r="AK20" s="203">
        <f t="shared" si="14"/>
        <v>1830</v>
      </c>
      <c r="AL20" s="203">
        <f t="shared" si="38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9"/>
        <v>0.58838230854906359</v>
      </c>
      <c r="AR20" s="38">
        <f t="shared" si="45"/>
        <v>54701.903225806447</v>
      </c>
      <c r="AS20" s="197">
        <f t="shared" si="46"/>
        <v>-1317.838709677424</v>
      </c>
      <c r="AT20" s="349">
        <f>5400+10025</f>
        <v>15425</v>
      </c>
      <c r="AU20" s="579">
        <v>0.54</v>
      </c>
      <c r="AV20" s="504">
        <f t="shared" si="43"/>
        <v>0.54</v>
      </c>
      <c r="AW20" s="285">
        <f>-SUM('B5'!AI19)</f>
        <v>-50</v>
      </c>
      <c r="AX20" s="285">
        <f t="shared" si="19"/>
        <v>-1267.838709677424</v>
      </c>
      <c r="AY20" s="37">
        <f t="shared" si="40"/>
        <v>-1317.838709677424</v>
      </c>
      <c r="AZ20" s="100">
        <f>ELEC!A18</f>
        <v>0</v>
      </c>
      <c r="BA20" s="118">
        <f>'General information '!D20</f>
        <v>26.5</v>
      </c>
      <c r="BB20" s="388">
        <f>SUM('General information '!E20)</f>
        <v>0.64</v>
      </c>
      <c r="BC20" s="3">
        <f t="shared" si="44"/>
        <v>1</v>
      </c>
      <c r="BD20" s="102">
        <v>19222</v>
      </c>
      <c r="BE20" s="14">
        <f>(305/1185)*ELEC!Q19</f>
        <v>2054.4388185653934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168</v>
      </c>
      <c r="C21" s="203">
        <f t="shared" si="20"/>
        <v>3614.7096774193546</v>
      </c>
      <c r="D21">
        <f t="shared" si="21"/>
        <v>168</v>
      </c>
      <c r="E21" s="203">
        <f t="shared" si="20"/>
        <v>3614.7096774193546</v>
      </c>
      <c r="F21">
        <f t="shared" si="22"/>
        <v>168</v>
      </c>
      <c r="G21" s="203">
        <f t="shared" si="1"/>
        <v>3614.7096774193546</v>
      </c>
      <c r="H21" s="203">
        <f t="shared" si="23"/>
        <v>168</v>
      </c>
      <c r="I21" s="203">
        <f t="shared" si="2"/>
        <v>3614.7096774193546</v>
      </c>
      <c r="J21" s="203">
        <f t="shared" si="24"/>
        <v>168</v>
      </c>
      <c r="K21" s="203">
        <f t="shared" si="3"/>
        <v>3614.7096774193546</v>
      </c>
      <c r="L21" s="203">
        <f t="shared" si="25"/>
        <v>168</v>
      </c>
      <c r="M21" s="203">
        <f t="shared" si="4"/>
        <v>3614.7096774193546</v>
      </c>
      <c r="N21" s="203">
        <f t="shared" si="26"/>
        <v>168</v>
      </c>
      <c r="O21" s="203">
        <f t="shared" si="5"/>
        <v>3614.7096774193546</v>
      </c>
      <c r="P21" s="203">
        <f t="shared" si="27"/>
        <v>168</v>
      </c>
      <c r="Q21" s="203">
        <f t="shared" si="6"/>
        <v>3614.7096774193546</v>
      </c>
      <c r="R21" s="203">
        <f t="shared" si="28"/>
        <v>168</v>
      </c>
      <c r="S21" s="203">
        <f t="shared" si="7"/>
        <v>3614.7096774193546</v>
      </c>
      <c r="T21" s="203">
        <f t="shared" si="29"/>
        <v>168</v>
      </c>
      <c r="U21" s="203">
        <f t="shared" si="8"/>
        <v>3614.7096774193546</v>
      </c>
      <c r="V21" s="203">
        <f t="shared" si="30"/>
        <v>168</v>
      </c>
      <c r="W21" s="203">
        <f t="shared" si="9"/>
        <v>3614.7096774193546</v>
      </c>
      <c r="X21" s="35">
        <f t="shared" si="10"/>
        <v>0.54193548387096779</v>
      </c>
      <c r="Y21" s="36">
        <f t="shared" si="31"/>
        <v>39761.806451612909</v>
      </c>
      <c r="Z21" s="203">
        <f>'B5'!C20</f>
        <v>174</v>
      </c>
      <c r="AA21" s="203">
        <f t="shared" si="32"/>
        <v>1740</v>
      </c>
      <c r="AB21" s="203">
        <f t="shared" si="33"/>
        <v>174</v>
      </c>
      <c r="AC21" s="203">
        <f t="shared" si="32"/>
        <v>1740</v>
      </c>
      <c r="AD21" s="203">
        <f t="shared" si="34"/>
        <v>174</v>
      </c>
      <c r="AE21" s="203">
        <f t="shared" si="11"/>
        <v>1740</v>
      </c>
      <c r="AF21" s="203">
        <f t="shared" si="35"/>
        <v>174</v>
      </c>
      <c r="AG21" s="203">
        <f t="shared" si="12"/>
        <v>1740</v>
      </c>
      <c r="AH21" s="203">
        <f t="shared" si="36"/>
        <v>174</v>
      </c>
      <c r="AI21" s="203">
        <f t="shared" si="13"/>
        <v>1740</v>
      </c>
      <c r="AJ21" s="203">
        <f t="shared" si="37"/>
        <v>174</v>
      </c>
      <c r="AK21" s="203">
        <f t="shared" si="14"/>
        <v>1740</v>
      </c>
      <c r="AL21" s="203">
        <f t="shared" si="38"/>
        <v>174</v>
      </c>
      <c r="AM21" s="203">
        <f t="shared" si="15"/>
        <v>1740</v>
      </c>
      <c r="AN21" s="35">
        <f t="shared" si="16"/>
        <v>0.62142857142857144</v>
      </c>
      <c r="AO21" s="36">
        <f t="shared" si="17"/>
        <v>12180</v>
      </c>
      <c r="AQ21" s="223">
        <f t="shared" si="39"/>
        <v>0.55869427182545883</v>
      </c>
      <c r="AR21" s="38">
        <f t="shared" si="45"/>
        <v>51941.806451612909</v>
      </c>
      <c r="AS21" s="197">
        <f t="shared" si="46"/>
        <v>-2760.0967741935383</v>
      </c>
      <c r="AT21" s="349"/>
      <c r="AU21" s="579"/>
      <c r="AV21" s="504">
        <f t="shared" si="43"/>
        <v>0.54</v>
      </c>
      <c r="AW21" s="285">
        <f>-SUM('B5'!AI20)</f>
        <v>-107</v>
      </c>
      <c r="AX21" s="285">
        <f t="shared" si="19"/>
        <v>-2653.0967741935383</v>
      </c>
      <c r="AY21" s="37">
        <f t="shared" si="40"/>
        <v>-2760.0967741935383</v>
      </c>
      <c r="AZ21" s="100">
        <f>ELEC!A19</f>
        <v>0</v>
      </c>
      <c r="BA21" s="118">
        <f>'General information '!D21</f>
        <v>28</v>
      </c>
      <c r="BB21" s="388">
        <f>SUM('General information '!E21)</f>
        <v>0.6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168</v>
      </c>
      <c r="C22" s="203">
        <f t="shared" si="20"/>
        <v>3614.7096774193546</v>
      </c>
      <c r="D22">
        <f t="shared" si="21"/>
        <v>168</v>
      </c>
      <c r="E22" s="203">
        <f t="shared" si="20"/>
        <v>3614.7096774193546</v>
      </c>
      <c r="F22">
        <f t="shared" si="22"/>
        <v>168</v>
      </c>
      <c r="G22" s="203">
        <f t="shared" si="1"/>
        <v>3614.7096774193546</v>
      </c>
      <c r="H22" s="203">
        <f t="shared" si="23"/>
        <v>168</v>
      </c>
      <c r="I22" s="203">
        <f t="shared" si="2"/>
        <v>3614.7096774193546</v>
      </c>
      <c r="J22" s="203">
        <f t="shared" si="24"/>
        <v>168</v>
      </c>
      <c r="K22" s="203">
        <f t="shared" si="3"/>
        <v>3614.7096774193546</v>
      </c>
      <c r="L22" s="203">
        <f t="shared" si="25"/>
        <v>168</v>
      </c>
      <c r="M22" s="203">
        <f t="shared" si="4"/>
        <v>3614.7096774193546</v>
      </c>
      <c r="N22" s="203">
        <f t="shared" si="26"/>
        <v>168</v>
      </c>
      <c r="O22" s="203">
        <f t="shared" si="5"/>
        <v>3614.7096774193546</v>
      </c>
      <c r="P22" s="203">
        <f t="shared" si="27"/>
        <v>168</v>
      </c>
      <c r="Q22" s="203">
        <f t="shared" si="6"/>
        <v>3614.7096774193546</v>
      </c>
      <c r="R22" s="203">
        <f t="shared" si="28"/>
        <v>168</v>
      </c>
      <c r="S22" s="203">
        <f t="shared" si="7"/>
        <v>3614.7096774193546</v>
      </c>
      <c r="T22" s="203">
        <f t="shared" si="29"/>
        <v>168</v>
      </c>
      <c r="U22" s="203">
        <f t="shared" si="8"/>
        <v>3614.7096774193546</v>
      </c>
      <c r="V22" s="203">
        <f t="shared" si="30"/>
        <v>168</v>
      </c>
      <c r="W22" s="203">
        <f t="shared" si="9"/>
        <v>3614.7096774193546</v>
      </c>
      <c r="X22" s="35">
        <f t="shared" si="10"/>
        <v>0.54193548387096779</v>
      </c>
      <c r="Y22" s="36">
        <f t="shared" si="31"/>
        <v>39761.806451612909</v>
      </c>
      <c r="Z22" s="203">
        <f>'B5'!C21</f>
        <v>174</v>
      </c>
      <c r="AA22" s="203">
        <f t="shared" si="32"/>
        <v>1740</v>
      </c>
      <c r="AB22" s="203">
        <f t="shared" si="33"/>
        <v>174</v>
      </c>
      <c r="AC22" s="203">
        <f t="shared" si="32"/>
        <v>1740</v>
      </c>
      <c r="AD22" s="203">
        <f t="shared" si="34"/>
        <v>174</v>
      </c>
      <c r="AE22" s="203">
        <f t="shared" si="11"/>
        <v>1740</v>
      </c>
      <c r="AF22" s="203">
        <f t="shared" si="35"/>
        <v>174</v>
      </c>
      <c r="AG22" s="203">
        <f t="shared" si="12"/>
        <v>1740</v>
      </c>
      <c r="AH22" s="203">
        <f t="shared" si="36"/>
        <v>174</v>
      </c>
      <c r="AI22" s="203">
        <f t="shared" si="13"/>
        <v>1740</v>
      </c>
      <c r="AJ22" s="203">
        <f t="shared" si="37"/>
        <v>174</v>
      </c>
      <c r="AK22" s="203">
        <f t="shared" si="14"/>
        <v>1740</v>
      </c>
      <c r="AL22" s="203">
        <f t="shared" si="38"/>
        <v>174</v>
      </c>
      <c r="AM22" s="203">
        <f t="shared" si="15"/>
        <v>1740</v>
      </c>
      <c r="AN22" s="35">
        <f t="shared" si="16"/>
        <v>0.62142857142857144</v>
      </c>
      <c r="AO22" s="36">
        <f t="shared" si="17"/>
        <v>12180</v>
      </c>
      <c r="AQ22" s="223">
        <f t="shared" si="39"/>
        <v>0.55869427182545883</v>
      </c>
      <c r="AR22" s="38">
        <f t="shared" si="45"/>
        <v>51941.806451612909</v>
      </c>
      <c r="AS22" s="197">
        <f t="shared" si="46"/>
        <v>0</v>
      </c>
      <c r="AT22" s="349"/>
      <c r="AU22" s="579"/>
      <c r="AV22" s="504">
        <f t="shared" si="43"/>
        <v>0.54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25.5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168</v>
      </c>
      <c r="C23" s="203">
        <f t="shared" si="20"/>
        <v>3614.7096774193546</v>
      </c>
      <c r="D23">
        <f t="shared" si="21"/>
        <v>168</v>
      </c>
      <c r="E23" s="203">
        <f t="shared" si="20"/>
        <v>3614.7096774193546</v>
      </c>
      <c r="F23">
        <f t="shared" si="22"/>
        <v>168</v>
      </c>
      <c r="G23" s="203">
        <f t="shared" si="1"/>
        <v>3614.7096774193546</v>
      </c>
      <c r="H23" s="203">
        <f t="shared" si="23"/>
        <v>168</v>
      </c>
      <c r="I23" s="203">
        <f t="shared" si="2"/>
        <v>3614.7096774193546</v>
      </c>
      <c r="J23" s="203">
        <f t="shared" si="24"/>
        <v>168</v>
      </c>
      <c r="K23" s="203">
        <f t="shared" si="3"/>
        <v>3614.7096774193546</v>
      </c>
      <c r="L23" s="203">
        <f t="shared" si="25"/>
        <v>168</v>
      </c>
      <c r="M23" s="203">
        <f t="shared" si="4"/>
        <v>3614.7096774193546</v>
      </c>
      <c r="N23" s="203">
        <f t="shared" si="26"/>
        <v>168</v>
      </c>
      <c r="O23" s="203">
        <f t="shared" si="5"/>
        <v>3614.7096774193546</v>
      </c>
      <c r="P23" s="203">
        <f t="shared" si="27"/>
        <v>168</v>
      </c>
      <c r="Q23" s="203">
        <f t="shared" si="6"/>
        <v>3614.7096774193546</v>
      </c>
      <c r="R23" s="203">
        <f t="shared" si="28"/>
        <v>168</v>
      </c>
      <c r="S23" s="203">
        <f t="shared" si="7"/>
        <v>3614.7096774193546</v>
      </c>
      <c r="T23" s="203">
        <f t="shared" si="29"/>
        <v>168</v>
      </c>
      <c r="U23" s="203">
        <f t="shared" si="8"/>
        <v>3614.7096774193546</v>
      </c>
      <c r="V23" s="203">
        <f t="shared" si="30"/>
        <v>168</v>
      </c>
      <c r="W23" s="203">
        <f t="shared" si="9"/>
        <v>3614.7096774193546</v>
      </c>
      <c r="X23" s="35">
        <f t="shared" si="10"/>
        <v>0.54193548387096779</v>
      </c>
      <c r="Y23" s="36">
        <f t="shared" si="31"/>
        <v>39761.806451612909</v>
      </c>
      <c r="Z23" s="203">
        <f>'B5'!C22</f>
        <v>174</v>
      </c>
      <c r="AA23" s="203">
        <f t="shared" si="32"/>
        <v>1740</v>
      </c>
      <c r="AB23" s="203">
        <f t="shared" si="33"/>
        <v>174</v>
      </c>
      <c r="AC23" s="203">
        <f t="shared" si="32"/>
        <v>1740</v>
      </c>
      <c r="AD23" s="203">
        <f t="shared" si="34"/>
        <v>174</v>
      </c>
      <c r="AE23" s="203">
        <f t="shared" si="11"/>
        <v>1740</v>
      </c>
      <c r="AF23" s="203">
        <f t="shared" si="35"/>
        <v>174</v>
      </c>
      <c r="AG23" s="203">
        <f t="shared" si="12"/>
        <v>1740</v>
      </c>
      <c r="AH23" s="203">
        <f t="shared" si="36"/>
        <v>174</v>
      </c>
      <c r="AI23" s="203">
        <f t="shared" si="13"/>
        <v>1740</v>
      </c>
      <c r="AJ23" s="203">
        <f t="shared" si="37"/>
        <v>174</v>
      </c>
      <c r="AK23" s="203">
        <f t="shared" si="14"/>
        <v>1740</v>
      </c>
      <c r="AL23" s="203">
        <f t="shared" si="38"/>
        <v>174</v>
      </c>
      <c r="AM23" s="203">
        <f t="shared" si="15"/>
        <v>1740</v>
      </c>
      <c r="AN23" s="35">
        <f t="shared" si="16"/>
        <v>0.62142857142857144</v>
      </c>
      <c r="AO23" s="36">
        <f t="shared" si="17"/>
        <v>12180</v>
      </c>
      <c r="AQ23" s="223">
        <f t="shared" si="39"/>
        <v>0.55869427182545883</v>
      </c>
      <c r="AR23" s="38">
        <f t="shared" si="45"/>
        <v>51941.806451612909</v>
      </c>
      <c r="AS23" s="197">
        <f t="shared" si="46"/>
        <v>0</v>
      </c>
      <c r="AT23" s="349"/>
      <c r="AU23" s="579"/>
      <c r="AV23" s="504">
        <f t="shared" si="43"/>
        <v>0.54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1603.7594936708263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161</v>
      </c>
      <c r="C24" s="203">
        <f t="shared" si="20"/>
        <v>3464.0967741935483</v>
      </c>
      <c r="D24">
        <f t="shared" si="21"/>
        <v>161</v>
      </c>
      <c r="E24" s="203">
        <f t="shared" si="20"/>
        <v>3464.0967741935483</v>
      </c>
      <c r="F24">
        <f t="shared" si="22"/>
        <v>161</v>
      </c>
      <c r="G24" s="203">
        <f t="shared" si="1"/>
        <v>3464.0967741935483</v>
      </c>
      <c r="H24" s="203">
        <f t="shared" si="23"/>
        <v>161</v>
      </c>
      <c r="I24" s="203">
        <f t="shared" si="2"/>
        <v>3464.0967741935483</v>
      </c>
      <c r="J24" s="203">
        <f t="shared" si="24"/>
        <v>161</v>
      </c>
      <c r="K24" s="203">
        <f t="shared" si="3"/>
        <v>3464.0967741935483</v>
      </c>
      <c r="L24" s="203">
        <f t="shared" si="25"/>
        <v>161</v>
      </c>
      <c r="M24" s="203">
        <f t="shared" si="4"/>
        <v>3464.0967741935483</v>
      </c>
      <c r="N24" s="203">
        <f t="shared" si="26"/>
        <v>161</v>
      </c>
      <c r="O24" s="203">
        <f t="shared" si="5"/>
        <v>3464.0967741935483</v>
      </c>
      <c r="P24" s="203">
        <f t="shared" si="27"/>
        <v>161</v>
      </c>
      <c r="Q24" s="203">
        <f t="shared" si="6"/>
        <v>3464.0967741935483</v>
      </c>
      <c r="R24" s="203">
        <f t="shared" si="28"/>
        <v>161</v>
      </c>
      <c r="S24" s="203">
        <f t="shared" si="7"/>
        <v>3464.0967741935483</v>
      </c>
      <c r="T24" s="203">
        <f t="shared" si="29"/>
        <v>161</v>
      </c>
      <c r="U24" s="203">
        <f t="shared" si="8"/>
        <v>3464.0967741935483</v>
      </c>
      <c r="V24" s="203">
        <f t="shared" si="30"/>
        <v>161</v>
      </c>
      <c r="W24" s="203">
        <f t="shared" si="9"/>
        <v>3464.0967741935483</v>
      </c>
      <c r="X24" s="35">
        <f t="shared" si="10"/>
        <v>0.51935483870967736</v>
      </c>
      <c r="Y24" s="36">
        <f t="shared" si="31"/>
        <v>38105.06451612903</v>
      </c>
      <c r="Z24" s="203">
        <f>'B5'!C23</f>
        <v>167</v>
      </c>
      <c r="AA24" s="203">
        <f t="shared" si="32"/>
        <v>1670</v>
      </c>
      <c r="AB24" s="203">
        <f t="shared" si="33"/>
        <v>167</v>
      </c>
      <c r="AC24" s="203">
        <f t="shared" si="32"/>
        <v>1670</v>
      </c>
      <c r="AD24" s="203">
        <f t="shared" si="34"/>
        <v>167</v>
      </c>
      <c r="AE24" s="203">
        <f t="shared" si="11"/>
        <v>1670</v>
      </c>
      <c r="AF24" s="203">
        <f t="shared" si="35"/>
        <v>167</v>
      </c>
      <c r="AG24" s="203">
        <f t="shared" si="12"/>
        <v>1670</v>
      </c>
      <c r="AH24" s="203">
        <f t="shared" si="36"/>
        <v>167</v>
      </c>
      <c r="AI24" s="203">
        <f t="shared" si="13"/>
        <v>1670</v>
      </c>
      <c r="AJ24" s="203">
        <f t="shared" si="37"/>
        <v>167</v>
      </c>
      <c r="AK24" s="203">
        <f t="shared" si="14"/>
        <v>1670</v>
      </c>
      <c r="AL24" s="203">
        <f t="shared" si="38"/>
        <v>167</v>
      </c>
      <c r="AM24" s="203">
        <f t="shared" si="15"/>
        <v>1670</v>
      </c>
      <c r="AN24" s="35">
        <f t="shared" si="16"/>
        <v>0.59642857142857142</v>
      </c>
      <c r="AO24" s="36">
        <f t="shared" si="17"/>
        <v>11690</v>
      </c>
      <c r="AQ24" s="223">
        <f t="shared" si="39"/>
        <v>0.53560357659598823</v>
      </c>
      <c r="AR24" s="38">
        <f t="shared" si="45"/>
        <v>49795.06451612903</v>
      </c>
      <c r="AS24" s="197">
        <f t="shared" si="46"/>
        <v>-2146.7419354838785</v>
      </c>
      <c r="AT24" s="349"/>
      <c r="AU24" s="579"/>
      <c r="AV24" s="504">
        <f t="shared" si="43"/>
        <v>0.54</v>
      </c>
      <c r="AW24" s="285">
        <f>-SUM('B5'!AI23)</f>
        <v>0</v>
      </c>
      <c r="AX24" s="285">
        <f t="shared" si="19"/>
        <v>-2146.7419354838785</v>
      </c>
      <c r="AY24" s="37">
        <f t="shared" si="40"/>
        <v>-2146.7419354838785</v>
      </c>
      <c r="AZ24" s="100">
        <f>ELEC!A22</f>
        <v>0</v>
      </c>
      <c r="BA24" s="118">
        <f>'General information '!D24</f>
        <v>26.5</v>
      </c>
      <c r="BB24" s="388">
        <f>SUM('General information '!E24)</f>
        <v>0.61</v>
      </c>
      <c r="BC24" s="3">
        <f t="shared" si="44"/>
        <v>0</v>
      </c>
      <c r="BD24" s="102">
        <v>19222</v>
      </c>
      <c r="BE24" s="14">
        <f>(305/1185)*ELEC!Q23</f>
        <v>2132.9409282701099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152</v>
      </c>
      <c r="C25" s="203">
        <f t="shared" si="20"/>
        <v>3270.4516129032259</v>
      </c>
      <c r="D25">
        <f t="shared" si="21"/>
        <v>152</v>
      </c>
      <c r="E25" s="203">
        <f t="shared" si="20"/>
        <v>3270.4516129032259</v>
      </c>
      <c r="F25">
        <f t="shared" si="22"/>
        <v>152</v>
      </c>
      <c r="G25" s="203">
        <f t="shared" si="1"/>
        <v>3270.4516129032259</v>
      </c>
      <c r="H25" s="203">
        <f t="shared" si="23"/>
        <v>152</v>
      </c>
      <c r="I25" s="203">
        <f t="shared" si="2"/>
        <v>3270.4516129032259</v>
      </c>
      <c r="J25" s="203">
        <f t="shared" si="24"/>
        <v>152</v>
      </c>
      <c r="K25" s="203">
        <f t="shared" si="3"/>
        <v>3270.4516129032259</v>
      </c>
      <c r="L25" s="203">
        <f t="shared" si="25"/>
        <v>152</v>
      </c>
      <c r="M25" s="203">
        <f t="shared" si="4"/>
        <v>3270.4516129032259</v>
      </c>
      <c r="N25" s="203">
        <f t="shared" si="26"/>
        <v>152</v>
      </c>
      <c r="O25" s="203">
        <f t="shared" si="5"/>
        <v>3270.4516129032259</v>
      </c>
      <c r="P25" s="203">
        <f t="shared" si="27"/>
        <v>152</v>
      </c>
      <c r="Q25" s="203">
        <f t="shared" si="6"/>
        <v>3270.4516129032259</v>
      </c>
      <c r="R25" s="203">
        <f t="shared" si="28"/>
        <v>152</v>
      </c>
      <c r="S25" s="203">
        <f t="shared" si="7"/>
        <v>3270.4516129032259</v>
      </c>
      <c r="T25" s="203">
        <f t="shared" si="29"/>
        <v>152</v>
      </c>
      <c r="U25" s="203">
        <f t="shared" si="8"/>
        <v>3270.4516129032259</v>
      </c>
      <c r="V25" s="203">
        <f t="shared" si="30"/>
        <v>152</v>
      </c>
      <c r="W25" s="203">
        <f t="shared" si="9"/>
        <v>3270.4516129032259</v>
      </c>
      <c r="X25" s="35">
        <f t="shared" si="10"/>
        <v>0.49032258064516138</v>
      </c>
      <c r="Y25" s="36">
        <f t="shared" si="31"/>
        <v>35974.967741935492</v>
      </c>
      <c r="Z25" s="203">
        <f>'B5'!C24</f>
        <v>158</v>
      </c>
      <c r="AA25" s="203">
        <f t="shared" si="32"/>
        <v>1580</v>
      </c>
      <c r="AB25" s="203">
        <f t="shared" si="33"/>
        <v>158</v>
      </c>
      <c r="AC25" s="203">
        <f t="shared" si="32"/>
        <v>1580</v>
      </c>
      <c r="AD25" s="203">
        <f t="shared" si="34"/>
        <v>158</v>
      </c>
      <c r="AE25" s="203">
        <f t="shared" si="11"/>
        <v>1580</v>
      </c>
      <c r="AF25" s="203">
        <f t="shared" si="35"/>
        <v>158</v>
      </c>
      <c r="AG25" s="203">
        <f t="shared" si="12"/>
        <v>1580</v>
      </c>
      <c r="AH25" s="203">
        <f t="shared" si="36"/>
        <v>158</v>
      </c>
      <c r="AI25" s="203">
        <f t="shared" si="13"/>
        <v>1580</v>
      </c>
      <c r="AJ25" s="203">
        <f t="shared" si="37"/>
        <v>158</v>
      </c>
      <c r="AK25" s="203">
        <f t="shared" si="14"/>
        <v>1580</v>
      </c>
      <c r="AL25" s="203">
        <f t="shared" si="38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17"/>
        <v>11060</v>
      </c>
      <c r="AQ25" s="223">
        <f t="shared" si="39"/>
        <v>0.50591553987238347</v>
      </c>
      <c r="AR25" s="38">
        <f t="shared" si="45"/>
        <v>47034.967741935492</v>
      </c>
      <c r="AS25" s="197">
        <f t="shared" si="46"/>
        <v>-2760.0967741935383</v>
      </c>
      <c r="AT25" s="349"/>
      <c r="AU25" s="580"/>
      <c r="AV25" s="504">
        <f t="shared" si="43"/>
        <v>0.54</v>
      </c>
      <c r="AW25" s="285">
        <f>-SUM('B5'!AI24)</f>
        <v>-119</v>
      </c>
      <c r="AX25" s="285">
        <f t="shared" si="19"/>
        <v>-2641.0967741935383</v>
      </c>
      <c r="AY25" s="37">
        <f t="shared" si="40"/>
        <v>-2760.0967741935383</v>
      </c>
      <c r="AZ25" s="100">
        <f>ELEC!A23</f>
        <v>0</v>
      </c>
      <c r="BA25" s="118">
        <f>'General information '!D25</f>
        <v>27</v>
      </c>
      <c r="BB25" s="388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2061.6455696198414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142</v>
      </c>
      <c r="C26" s="203">
        <f t="shared" si="20"/>
        <v>3055.2903225806449</v>
      </c>
      <c r="D26">
        <f t="shared" si="21"/>
        <v>142</v>
      </c>
      <c r="E26" s="203">
        <f t="shared" si="20"/>
        <v>3055.2903225806449</v>
      </c>
      <c r="F26">
        <f t="shared" si="22"/>
        <v>142</v>
      </c>
      <c r="G26" s="203">
        <f t="shared" si="1"/>
        <v>3055.2903225806449</v>
      </c>
      <c r="H26" s="203">
        <f t="shared" si="23"/>
        <v>142</v>
      </c>
      <c r="I26" s="203">
        <f t="shared" si="2"/>
        <v>3055.2903225806449</v>
      </c>
      <c r="J26" s="203">
        <f t="shared" si="24"/>
        <v>142</v>
      </c>
      <c r="K26" s="203">
        <f t="shared" si="3"/>
        <v>3055.2903225806449</v>
      </c>
      <c r="L26" s="203">
        <f t="shared" si="25"/>
        <v>142</v>
      </c>
      <c r="M26" s="203">
        <f t="shared" si="4"/>
        <v>3055.2903225806449</v>
      </c>
      <c r="N26" s="203">
        <f t="shared" si="26"/>
        <v>142</v>
      </c>
      <c r="O26" s="203">
        <f t="shared" si="5"/>
        <v>3055.2903225806449</v>
      </c>
      <c r="P26" s="203">
        <f t="shared" si="27"/>
        <v>142</v>
      </c>
      <c r="Q26" s="203">
        <f t="shared" si="6"/>
        <v>3055.2903225806449</v>
      </c>
      <c r="R26" s="203">
        <f t="shared" si="28"/>
        <v>142</v>
      </c>
      <c r="S26" s="203">
        <f t="shared" si="7"/>
        <v>3055.2903225806449</v>
      </c>
      <c r="T26" s="203">
        <f t="shared" si="29"/>
        <v>142</v>
      </c>
      <c r="U26" s="203">
        <f t="shared" si="8"/>
        <v>3055.2903225806449</v>
      </c>
      <c r="V26" s="203">
        <f t="shared" si="30"/>
        <v>142</v>
      </c>
      <c r="W26" s="203">
        <f t="shared" si="9"/>
        <v>3055.2903225806449</v>
      </c>
      <c r="X26" s="35">
        <f t="shared" si="10"/>
        <v>0.45806451612903221</v>
      </c>
      <c r="Y26" s="36">
        <f t="shared" si="31"/>
        <v>33608.193548387091</v>
      </c>
      <c r="Z26" s="203">
        <f>'B5'!C25</f>
        <v>149</v>
      </c>
      <c r="AA26" s="203">
        <f t="shared" si="32"/>
        <v>1490</v>
      </c>
      <c r="AB26" s="203">
        <f t="shared" si="33"/>
        <v>149</v>
      </c>
      <c r="AC26" s="203">
        <f t="shared" si="32"/>
        <v>1490</v>
      </c>
      <c r="AD26" s="203">
        <f t="shared" si="34"/>
        <v>149</v>
      </c>
      <c r="AE26" s="203">
        <f t="shared" si="11"/>
        <v>1490</v>
      </c>
      <c r="AF26" s="203">
        <f t="shared" si="35"/>
        <v>149</v>
      </c>
      <c r="AG26" s="203">
        <f t="shared" si="12"/>
        <v>1490</v>
      </c>
      <c r="AH26" s="203">
        <f t="shared" si="36"/>
        <v>149</v>
      </c>
      <c r="AI26" s="203">
        <f t="shared" si="13"/>
        <v>1490</v>
      </c>
      <c r="AJ26" s="203">
        <f t="shared" si="37"/>
        <v>149</v>
      </c>
      <c r="AK26" s="203">
        <f t="shared" si="14"/>
        <v>1490</v>
      </c>
      <c r="AL26" s="203">
        <f t="shared" si="38"/>
        <v>149</v>
      </c>
      <c r="AM26" s="203">
        <f t="shared" si="15"/>
        <v>1490</v>
      </c>
      <c r="AN26" s="35">
        <f t="shared" si="16"/>
        <v>0.53214285714285714</v>
      </c>
      <c r="AO26" s="36">
        <f t="shared" si="17"/>
        <v>10430</v>
      </c>
      <c r="AQ26" s="223">
        <f t="shared" si="39"/>
        <v>0.47368176345473906</v>
      </c>
      <c r="AR26" s="38">
        <f t="shared" si="45"/>
        <v>44038.193548387091</v>
      </c>
      <c r="AS26" s="197">
        <f t="shared" si="46"/>
        <v>-2996.7741935484009</v>
      </c>
      <c r="AT26" s="349"/>
      <c r="AU26" s="579"/>
      <c r="AV26" s="504">
        <f t="shared" si="43"/>
        <v>0.54</v>
      </c>
      <c r="AW26" s="285">
        <f>-SUM('B5'!AI25)</f>
        <v>0</v>
      </c>
      <c r="AX26" s="285">
        <f t="shared" si="19"/>
        <v>-2996.7741935484009</v>
      </c>
      <c r="AY26" s="37">
        <f t="shared" si="40"/>
        <v>-2996.7741935484009</v>
      </c>
      <c r="AZ26" s="100">
        <f>ELEC!A24</f>
        <v>0</v>
      </c>
      <c r="BA26" s="118">
        <f>'General information '!D26</f>
        <v>27.5</v>
      </c>
      <c r="BB26" s="388">
        <f>SUM('General information '!E26)</f>
        <v>0.62</v>
      </c>
      <c r="BC26" s="3">
        <f t="shared" si="44"/>
        <v>0</v>
      </c>
      <c r="BD26" s="102">
        <v>19222</v>
      </c>
      <c r="BE26" s="14">
        <f>(305/1185)*ELEC!Q25</f>
        <v>2409.6286919833774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133</v>
      </c>
      <c r="C27" s="203">
        <f t="shared" si="20"/>
        <v>2861.6451612903224</v>
      </c>
      <c r="D27">
        <f t="shared" si="21"/>
        <v>133</v>
      </c>
      <c r="E27" s="203">
        <f t="shared" si="20"/>
        <v>2861.6451612903224</v>
      </c>
      <c r="F27">
        <f t="shared" si="22"/>
        <v>133</v>
      </c>
      <c r="G27" s="203">
        <f t="shared" si="1"/>
        <v>2861.6451612903224</v>
      </c>
      <c r="H27" s="203">
        <f t="shared" si="23"/>
        <v>133</v>
      </c>
      <c r="I27" s="203">
        <f t="shared" si="2"/>
        <v>2861.6451612903224</v>
      </c>
      <c r="J27" s="203">
        <f t="shared" si="24"/>
        <v>133</v>
      </c>
      <c r="K27" s="203">
        <f t="shared" si="3"/>
        <v>2861.6451612903224</v>
      </c>
      <c r="L27" s="203">
        <f t="shared" si="25"/>
        <v>133</v>
      </c>
      <c r="M27" s="203">
        <f t="shared" si="4"/>
        <v>2861.6451612903224</v>
      </c>
      <c r="N27" s="203">
        <f t="shared" si="26"/>
        <v>133</v>
      </c>
      <c r="O27" s="203">
        <f t="shared" si="5"/>
        <v>2861.6451612903224</v>
      </c>
      <c r="P27" s="203">
        <f t="shared" si="27"/>
        <v>133</v>
      </c>
      <c r="Q27" s="203">
        <f t="shared" si="6"/>
        <v>2861.6451612903224</v>
      </c>
      <c r="R27" s="203">
        <f t="shared" si="28"/>
        <v>133</v>
      </c>
      <c r="S27" s="203">
        <f t="shared" si="7"/>
        <v>2861.6451612903224</v>
      </c>
      <c r="T27" s="203">
        <f t="shared" si="29"/>
        <v>133</v>
      </c>
      <c r="U27" s="203">
        <f t="shared" si="8"/>
        <v>2861.6451612903224</v>
      </c>
      <c r="V27" s="203">
        <f t="shared" si="30"/>
        <v>133</v>
      </c>
      <c r="W27" s="203">
        <f t="shared" si="9"/>
        <v>2861.6451612903224</v>
      </c>
      <c r="X27" s="35">
        <f t="shared" si="10"/>
        <v>0.42903225806451611</v>
      </c>
      <c r="Y27" s="36">
        <f t="shared" si="31"/>
        <v>31478.096774193546</v>
      </c>
      <c r="Z27" s="203">
        <f>'B5'!C26</f>
        <v>140</v>
      </c>
      <c r="AA27" s="203">
        <f t="shared" si="32"/>
        <v>1400</v>
      </c>
      <c r="AB27" s="203">
        <f t="shared" si="33"/>
        <v>140</v>
      </c>
      <c r="AC27" s="203">
        <f t="shared" si="32"/>
        <v>1400</v>
      </c>
      <c r="AD27" s="203">
        <f t="shared" si="34"/>
        <v>140</v>
      </c>
      <c r="AE27" s="203">
        <f t="shared" si="11"/>
        <v>1400</v>
      </c>
      <c r="AF27" s="203">
        <f t="shared" si="35"/>
        <v>140</v>
      </c>
      <c r="AG27" s="203">
        <f t="shared" si="12"/>
        <v>1400</v>
      </c>
      <c r="AH27" s="203">
        <f t="shared" si="36"/>
        <v>140</v>
      </c>
      <c r="AI27" s="203">
        <f t="shared" si="13"/>
        <v>1400</v>
      </c>
      <c r="AJ27" s="203">
        <f t="shared" si="37"/>
        <v>140</v>
      </c>
      <c r="AK27" s="203">
        <f t="shared" si="14"/>
        <v>1400</v>
      </c>
      <c r="AL27" s="203">
        <f t="shared" si="38"/>
        <v>140</v>
      </c>
      <c r="AM27" s="203">
        <f t="shared" si="15"/>
        <v>1400</v>
      </c>
      <c r="AN27" s="35">
        <f t="shared" si="16"/>
        <v>0.5</v>
      </c>
      <c r="AO27" s="36">
        <f t="shared" si="17"/>
        <v>9800</v>
      </c>
      <c r="AQ27" s="223">
        <f t="shared" si="39"/>
        <v>0.44399372673113419</v>
      </c>
      <c r="AR27" s="38">
        <f t="shared" si="45"/>
        <v>41278.096774193546</v>
      </c>
      <c r="AS27" s="197">
        <f t="shared" si="46"/>
        <v>-2760.0967741935456</v>
      </c>
      <c r="AT27" s="349"/>
      <c r="AU27" s="579"/>
      <c r="AV27" s="504">
        <f t="shared" si="43"/>
        <v>0.54</v>
      </c>
      <c r="AW27" s="285">
        <f>-SUM('B5'!AI26)</f>
        <v>-86</v>
      </c>
      <c r="AX27" s="285">
        <f t="shared" si="19"/>
        <v>-2674.0967741935456</v>
      </c>
      <c r="AY27" s="37">
        <f t="shared" si="40"/>
        <v>-2760.0967741935456</v>
      </c>
      <c r="AZ27" s="100">
        <f>ELEC!A25</f>
        <v>0</v>
      </c>
      <c r="BA27" s="118">
        <f>'General information '!D27</f>
        <v>28</v>
      </c>
      <c r="BB27" s="388">
        <f>SUM('General information '!E27)</f>
        <v>0.64</v>
      </c>
      <c r="BC27" s="3">
        <f t="shared" si="44"/>
        <v>0</v>
      </c>
      <c r="BD27" s="102">
        <v>19222</v>
      </c>
      <c r="BE27" s="14">
        <f>(305/1185)*ELEC!Q26</f>
        <v>2044.400843881677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162</v>
      </c>
      <c r="C28" s="203">
        <f t="shared" si="20"/>
        <v>3485.6129032258063</v>
      </c>
      <c r="D28">
        <f t="shared" si="21"/>
        <v>162</v>
      </c>
      <c r="E28" s="203">
        <f t="shared" si="20"/>
        <v>3485.6129032258063</v>
      </c>
      <c r="F28">
        <f t="shared" si="22"/>
        <v>162</v>
      </c>
      <c r="G28" s="203">
        <f t="shared" si="1"/>
        <v>3485.6129032258063</v>
      </c>
      <c r="H28" s="203">
        <f t="shared" si="23"/>
        <v>162</v>
      </c>
      <c r="I28" s="203">
        <f t="shared" si="2"/>
        <v>3485.6129032258063</v>
      </c>
      <c r="J28" s="203">
        <f t="shared" si="24"/>
        <v>162</v>
      </c>
      <c r="K28" s="203">
        <f t="shared" si="3"/>
        <v>3485.6129032258063</v>
      </c>
      <c r="L28" s="203">
        <f t="shared" si="25"/>
        <v>162</v>
      </c>
      <c r="M28" s="203">
        <f t="shared" si="4"/>
        <v>3485.6129032258063</v>
      </c>
      <c r="N28" s="203">
        <f t="shared" si="26"/>
        <v>162</v>
      </c>
      <c r="O28" s="203">
        <f t="shared" si="5"/>
        <v>3485.6129032258063</v>
      </c>
      <c r="P28" s="203">
        <f t="shared" si="27"/>
        <v>162</v>
      </c>
      <c r="Q28" s="203">
        <f t="shared" si="6"/>
        <v>3485.6129032258063</v>
      </c>
      <c r="R28" s="203">
        <f t="shared" si="28"/>
        <v>162</v>
      </c>
      <c r="S28" s="203">
        <f t="shared" si="7"/>
        <v>3485.6129032258063</v>
      </c>
      <c r="T28" s="203">
        <f t="shared" si="29"/>
        <v>162</v>
      </c>
      <c r="U28" s="203">
        <f t="shared" si="8"/>
        <v>3485.6129032258063</v>
      </c>
      <c r="V28" s="203">
        <f t="shared" si="30"/>
        <v>162</v>
      </c>
      <c r="W28" s="203">
        <f t="shared" si="9"/>
        <v>3485.6129032258063</v>
      </c>
      <c r="X28" s="35">
        <f t="shared" si="10"/>
        <v>0.52258064516129021</v>
      </c>
      <c r="Y28" s="36">
        <f t="shared" si="31"/>
        <v>38341.741935483864</v>
      </c>
      <c r="Z28" s="203">
        <f>'B5'!C27</f>
        <v>168</v>
      </c>
      <c r="AA28" s="203">
        <f t="shared" si="32"/>
        <v>1680</v>
      </c>
      <c r="AB28" s="203">
        <f t="shared" si="33"/>
        <v>168</v>
      </c>
      <c r="AC28" s="203">
        <f t="shared" si="32"/>
        <v>1680</v>
      </c>
      <c r="AD28" s="203">
        <f t="shared" si="34"/>
        <v>168</v>
      </c>
      <c r="AE28" s="203">
        <f t="shared" si="11"/>
        <v>1680</v>
      </c>
      <c r="AF28" s="203">
        <f t="shared" si="35"/>
        <v>168</v>
      </c>
      <c r="AG28" s="203">
        <f t="shared" si="12"/>
        <v>1680</v>
      </c>
      <c r="AH28" s="203">
        <f t="shared" si="36"/>
        <v>168</v>
      </c>
      <c r="AI28" s="203">
        <f t="shared" si="13"/>
        <v>1680</v>
      </c>
      <c r="AJ28" s="203">
        <f t="shared" si="37"/>
        <v>168</v>
      </c>
      <c r="AK28" s="203">
        <f t="shared" si="14"/>
        <v>1680</v>
      </c>
      <c r="AL28" s="203">
        <f t="shared" si="38"/>
        <v>168</v>
      </c>
      <c r="AM28" s="203">
        <f t="shared" si="15"/>
        <v>1680</v>
      </c>
      <c r="AN28" s="35">
        <f t="shared" si="16"/>
        <v>0.6</v>
      </c>
      <c r="AO28" s="36">
        <f t="shared" si="17"/>
        <v>11760</v>
      </c>
      <c r="AQ28" s="223">
        <f t="shared" si="39"/>
        <v>0.53890224734305547</v>
      </c>
      <c r="AR28" s="38">
        <f t="shared" si="45"/>
        <v>50101.741935483864</v>
      </c>
      <c r="AS28" s="197">
        <f t="shared" si="46"/>
        <v>-1176.3548387096816</v>
      </c>
      <c r="AT28" s="349">
        <v>10000</v>
      </c>
      <c r="AU28" s="580">
        <v>0.61</v>
      </c>
      <c r="AV28" s="504">
        <f t="shared" si="43"/>
        <v>0.61</v>
      </c>
      <c r="AW28" s="285">
        <f>-SUM('B5'!AI27)</f>
        <v>-85</v>
      </c>
      <c r="AX28" s="285">
        <f t="shared" si="19"/>
        <v>-1091.3548387096816</v>
      </c>
      <c r="AY28" s="37">
        <f t="shared" si="40"/>
        <v>-1176.3548387096816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1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162</v>
      </c>
      <c r="C29" s="203">
        <f t="shared" si="20"/>
        <v>3485.6129032258063</v>
      </c>
      <c r="D29">
        <f t="shared" si="21"/>
        <v>162</v>
      </c>
      <c r="E29" s="203">
        <f t="shared" si="20"/>
        <v>3485.6129032258063</v>
      </c>
      <c r="F29">
        <f t="shared" si="22"/>
        <v>162</v>
      </c>
      <c r="G29" s="203">
        <f t="shared" si="1"/>
        <v>3485.6129032258063</v>
      </c>
      <c r="H29" s="203">
        <f t="shared" si="23"/>
        <v>162</v>
      </c>
      <c r="I29" s="203">
        <f t="shared" si="2"/>
        <v>3485.6129032258063</v>
      </c>
      <c r="J29" s="203">
        <f t="shared" si="24"/>
        <v>162</v>
      </c>
      <c r="K29" s="203">
        <f t="shared" si="3"/>
        <v>3485.6129032258063</v>
      </c>
      <c r="L29" s="203">
        <f t="shared" si="25"/>
        <v>162</v>
      </c>
      <c r="M29" s="203">
        <f t="shared" si="4"/>
        <v>3485.6129032258063</v>
      </c>
      <c r="N29" s="203">
        <f t="shared" si="26"/>
        <v>162</v>
      </c>
      <c r="O29" s="203">
        <f t="shared" si="5"/>
        <v>3485.6129032258063</v>
      </c>
      <c r="P29" s="203">
        <f t="shared" si="27"/>
        <v>162</v>
      </c>
      <c r="Q29" s="203">
        <f t="shared" si="6"/>
        <v>3485.6129032258063</v>
      </c>
      <c r="R29" s="203">
        <f t="shared" si="28"/>
        <v>162</v>
      </c>
      <c r="S29" s="203">
        <f t="shared" si="7"/>
        <v>3485.6129032258063</v>
      </c>
      <c r="T29" s="203">
        <f t="shared" si="29"/>
        <v>162</v>
      </c>
      <c r="U29" s="203">
        <f t="shared" si="8"/>
        <v>3485.6129032258063</v>
      </c>
      <c r="V29" s="203">
        <f t="shared" si="30"/>
        <v>162</v>
      </c>
      <c r="W29" s="203">
        <f t="shared" si="9"/>
        <v>3485.6129032258063</v>
      </c>
      <c r="X29" s="35">
        <f t="shared" si="10"/>
        <v>0.52258064516129021</v>
      </c>
      <c r="Y29" s="36">
        <f t="shared" si="31"/>
        <v>38341.741935483864</v>
      </c>
      <c r="Z29" s="203">
        <f>'B5'!C28</f>
        <v>168</v>
      </c>
      <c r="AA29" s="203">
        <f t="shared" si="32"/>
        <v>1680</v>
      </c>
      <c r="AB29" s="203">
        <f t="shared" si="33"/>
        <v>168</v>
      </c>
      <c r="AC29" s="203">
        <f t="shared" si="32"/>
        <v>1680</v>
      </c>
      <c r="AD29" s="203">
        <f t="shared" si="34"/>
        <v>168</v>
      </c>
      <c r="AE29" s="203">
        <f t="shared" si="11"/>
        <v>1680</v>
      </c>
      <c r="AF29" s="203">
        <f t="shared" si="35"/>
        <v>168</v>
      </c>
      <c r="AG29" s="203">
        <f t="shared" si="12"/>
        <v>1680</v>
      </c>
      <c r="AH29" s="203">
        <f t="shared" si="36"/>
        <v>168</v>
      </c>
      <c r="AI29" s="203">
        <f t="shared" si="13"/>
        <v>1680</v>
      </c>
      <c r="AJ29" s="203">
        <f t="shared" si="37"/>
        <v>168</v>
      </c>
      <c r="AK29" s="203">
        <f t="shared" si="14"/>
        <v>1680</v>
      </c>
      <c r="AL29" s="203">
        <f t="shared" si="38"/>
        <v>168</v>
      </c>
      <c r="AM29" s="203">
        <f t="shared" si="15"/>
        <v>1680</v>
      </c>
      <c r="AN29" s="35">
        <f t="shared" si="16"/>
        <v>0.6</v>
      </c>
      <c r="AO29" s="36">
        <f t="shared" si="17"/>
        <v>11760</v>
      </c>
      <c r="AQ29" s="223">
        <f t="shared" si="39"/>
        <v>0.53890224734305547</v>
      </c>
      <c r="AR29" s="38">
        <f t="shared" si="45"/>
        <v>50101.741935483864</v>
      </c>
      <c r="AS29" s="197">
        <f>SUM(AR29-AR28-AT29)</f>
        <v>0</v>
      </c>
      <c r="AT29" s="349"/>
      <c r="AU29" s="580"/>
      <c r="AV29" s="504">
        <f t="shared" si="43"/>
        <v>0.61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162</v>
      </c>
      <c r="C30" s="203">
        <f t="shared" si="20"/>
        <v>3485.6129032258063</v>
      </c>
      <c r="D30">
        <f t="shared" ref="D30:D35" si="47">SUM(B30)</f>
        <v>162</v>
      </c>
      <c r="E30" s="203">
        <f t="shared" si="20"/>
        <v>3485.6129032258063</v>
      </c>
      <c r="F30">
        <f t="shared" ref="F30:F35" si="48">SUM(D30)</f>
        <v>162</v>
      </c>
      <c r="G30" s="203">
        <f t="shared" si="1"/>
        <v>3485.6129032258063</v>
      </c>
      <c r="H30" s="203">
        <f t="shared" ref="H30:H35" si="49">SUM(F30)</f>
        <v>162</v>
      </c>
      <c r="I30" s="203">
        <f t="shared" si="2"/>
        <v>3485.6129032258063</v>
      </c>
      <c r="J30" s="203">
        <f t="shared" ref="J30:J35" si="50">SUM(H30)</f>
        <v>162</v>
      </c>
      <c r="K30" s="203">
        <f t="shared" si="3"/>
        <v>3485.6129032258063</v>
      </c>
      <c r="L30" s="203">
        <f t="shared" ref="L30:L35" si="51">SUM(J30)</f>
        <v>162</v>
      </c>
      <c r="M30" s="203">
        <f t="shared" si="4"/>
        <v>3485.6129032258063</v>
      </c>
      <c r="N30" s="203">
        <f t="shared" ref="N30:N35" si="52">SUM(L30)</f>
        <v>162</v>
      </c>
      <c r="O30" s="203">
        <f t="shared" si="5"/>
        <v>3485.6129032258063</v>
      </c>
      <c r="P30" s="203">
        <f t="shared" ref="P30:P35" si="53">SUM(N30)</f>
        <v>162</v>
      </c>
      <c r="Q30" s="203">
        <f t="shared" si="6"/>
        <v>3485.6129032258063</v>
      </c>
      <c r="R30" s="203">
        <f t="shared" ref="R30:R35" si="54">SUM(P30)</f>
        <v>162</v>
      </c>
      <c r="S30" s="203">
        <f t="shared" si="7"/>
        <v>3485.6129032258063</v>
      </c>
      <c r="T30" s="203">
        <f t="shared" ref="T30:T35" si="55">SUM(R30)</f>
        <v>162</v>
      </c>
      <c r="U30" s="203">
        <f t="shared" si="8"/>
        <v>3485.6129032258063</v>
      </c>
      <c r="V30" s="203">
        <f t="shared" ref="V30:V35" si="56">SUM(T30)</f>
        <v>162</v>
      </c>
      <c r="W30" s="203">
        <f t="shared" si="9"/>
        <v>3485.6129032258063</v>
      </c>
      <c r="X30" s="35">
        <f t="shared" ref="X30:X35" si="57">SUM(Y30/73370)</f>
        <v>0.52258064516129021</v>
      </c>
      <c r="Y30" s="36">
        <f t="shared" ref="Y30:Y35" si="58">SUM(C30+E30+G30+I30+K30+M30+O30+Q30+S30+U30+W30)</f>
        <v>38341.741935483864</v>
      </c>
      <c r="Z30" s="203">
        <f>'B5'!C29</f>
        <v>168</v>
      </c>
      <c r="AA30" s="203">
        <f t="shared" si="32"/>
        <v>1680</v>
      </c>
      <c r="AB30" s="203">
        <f t="shared" ref="AB30:AB35" si="59">SUM(Z30)</f>
        <v>168</v>
      </c>
      <c r="AC30" s="203">
        <f t="shared" si="32"/>
        <v>1680</v>
      </c>
      <c r="AD30" s="203">
        <f t="shared" ref="AD30:AD35" si="60">SUM(AB30)</f>
        <v>168</v>
      </c>
      <c r="AE30" s="203">
        <f t="shared" si="11"/>
        <v>1680</v>
      </c>
      <c r="AF30" s="203">
        <f t="shared" ref="AF30:AF35" si="61">SUM(AD30)</f>
        <v>168</v>
      </c>
      <c r="AG30" s="203">
        <f t="shared" si="12"/>
        <v>1680</v>
      </c>
      <c r="AH30" s="203">
        <f t="shared" ref="AH30:AH35" si="62">SUM(AF30)</f>
        <v>168</v>
      </c>
      <c r="AI30" s="203">
        <f t="shared" si="13"/>
        <v>1680</v>
      </c>
      <c r="AJ30" s="203">
        <f t="shared" ref="AJ30:AJ35" si="63">SUM(AH30)</f>
        <v>168</v>
      </c>
      <c r="AK30" s="203">
        <f t="shared" si="14"/>
        <v>1680</v>
      </c>
      <c r="AL30" s="203">
        <f t="shared" ref="AL30:AL35" si="64">SUM(AJ30)</f>
        <v>168</v>
      </c>
      <c r="AM30" s="203">
        <f t="shared" si="15"/>
        <v>1680</v>
      </c>
      <c r="AN30" s="35">
        <f t="shared" ref="AN30:AN35" si="65">SUM(AO30/19600)</f>
        <v>0.6</v>
      </c>
      <c r="AO30" s="36">
        <f t="shared" ref="AO30:AO35" si="66">SUM(AA30+AC30+AE30+AG30+AI30+AK30+AM30)</f>
        <v>11760</v>
      </c>
      <c r="AQ30" s="223">
        <f t="shared" si="39"/>
        <v>0.53890224734305547</v>
      </c>
      <c r="AR30" s="38">
        <f t="shared" ref="AR30:AR35" si="67">Y30+AO30</f>
        <v>50101.741935483864</v>
      </c>
      <c r="AS30" s="197">
        <f>SUM(AR30-AR29-AT30)</f>
        <v>0</v>
      </c>
      <c r="AT30" s="349"/>
      <c r="AU30" s="580"/>
      <c r="AV30" s="504">
        <f t="shared" si="43"/>
        <v>0.61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1612.2531645567599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155</v>
      </c>
      <c r="C31" s="203">
        <f t="shared" si="20"/>
        <v>3335</v>
      </c>
      <c r="D31">
        <f t="shared" si="47"/>
        <v>155</v>
      </c>
      <c r="E31" s="203">
        <f t="shared" si="20"/>
        <v>3335</v>
      </c>
      <c r="F31">
        <f t="shared" si="48"/>
        <v>155</v>
      </c>
      <c r="G31" s="203">
        <f t="shared" si="1"/>
        <v>3335</v>
      </c>
      <c r="H31" s="203">
        <f t="shared" si="49"/>
        <v>155</v>
      </c>
      <c r="I31" s="203">
        <f t="shared" si="2"/>
        <v>3335</v>
      </c>
      <c r="J31" s="203">
        <f t="shared" si="50"/>
        <v>155</v>
      </c>
      <c r="K31" s="203">
        <f t="shared" si="3"/>
        <v>3335</v>
      </c>
      <c r="L31" s="203">
        <f t="shared" si="51"/>
        <v>155</v>
      </c>
      <c r="M31" s="203">
        <f t="shared" si="4"/>
        <v>3335</v>
      </c>
      <c r="N31" s="203">
        <f t="shared" si="52"/>
        <v>155</v>
      </c>
      <c r="O31" s="203">
        <f t="shared" si="5"/>
        <v>3335</v>
      </c>
      <c r="P31" s="203">
        <f t="shared" si="53"/>
        <v>155</v>
      </c>
      <c r="Q31" s="203">
        <f t="shared" si="6"/>
        <v>3335</v>
      </c>
      <c r="R31" s="203">
        <f t="shared" si="54"/>
        <v>155</v>
      </c>
      <c r="S31" s="203">
        <f t="shared" si="7"/>
        <v>3335</v>
      </c>
      <c r="T31" s="203">
        <f t="shared" si="55"/>
        <v>155</v>
      </c>
      <c r="U31" s="203">
        <f t="shared" si="8"/>
        <v>3335</v>
      </c>
      <c r="V31" s="203">
        <f t="shared" si="56"/>
        <v>155</v>
      </c>
      <c r="W31" s="203">
        <f t="shared" si="9"/>
        <v>3335</v>
      </c>
      <c r="X31" s="35">
        <f t="shared" si="57"/>
        <v>0.5</v>
      </c>
      <c r="Y31" s="36">
        <f t="shared" si="58"/>
        <v>36685</v>
      </c>
      <c r="Z31" s="203">
        <f>'B5'!C30</f>
        <v>161.5</v>
      </c>
      <c r="AA31" s="203">
        <f t="shared" si="32"/>
        <v>1615</v>
      </c>
      <c r="AB31" s="203">
        <f t="shared" si="59"/>
        <v>161.5</v>
      </c>
      <c r="AC31" s="203">
        <f t="shared" si="32"/>
        <v>1615</v>
      </c>
      <c r="AD31" s="203">
        <f t="shared" si="60"/>
        <v>161.5</v>
      </c>
      <c r="AE31" s="203">
        <f t="shared" si="11"/>
        <v>1615</v>
      </c>
      <c r="AF31" s="203">
        <f t="shared" si="61"/>
        <v>161.5</v>
      </c>
      <c r="AG31" s="203">
        <f t="shared" si="12"/>
        <v>1615</v>
      </c>
      <c r="AH31" s="203">
        <f t="shared" si="62"/>
        <v>161.5</v>
      </c>
      <c r="AI31" s="203">
        <f t="shared" si="13"/>
        <v>1615</v>
      </c>
      <c r="AJ31" s="203">
        <f t="shared" si="63"/>
        <v>161.5</v>
      </c>
      <c r="AK31" s="203">
        <f t="shared" si="14"/>
        <v>1615</v>
      </c>
      <c r="AL31" s="203">
        <f t="shared" si="64"/>
        <v>161.5</v>
      </c>
      <c r="AM31" s="203">
        <f t="shared" si="15"/>
        <v>1615</v>
      </c>
      <c r="AN31" s="35">
        <f t="shared" si="65"/>
        <v>0.57678571428571423</v>
      </c>
      <c r="AO31" s="36">
        <f t="shared" si="66"/>
        <v>11305</v>
      </c>
      <c r="AQ31" s="223">
        <f t="shared" si="39"/>
        <v>0.51618801764009892</v>
      </c>
      <c r="AR31" s="38">
        <f t="shared" si="67"/>
        <v>47990</v>
      </c>
      <c r="AS31" s="197">
        <f t="shared" si="46"/>
        <v>-2111.7419354838639</v>
      </c>
      <c r="AT31" s="349"/>
      <c r="AU31" s="607"/>
      <c r="AV31" s="504">
        <f t="shared" si="43"/>
        <v>0.61</v>
      </c>
      <c r="AW31" s="285">
        <f>-SUM('B5'!AI30)</f>
        <v>-140</v>
      </c>
      <c r="AX31" s="285">
        <f t="shared" si="19"/>
        <v>-1971.7419354838639</v>
      </c>
      <c r="AY31" s="37">
        <f t="shared" si="40"/>
        <v>-2111.7419354838639</v>
      </c>
      <c r="AZ31" s="100">
        <f>ELEC!A29</f>
        <v>0</v>
      </c>
      <c r="BA31" s="118">
        <f>'General information '!D31</f>
        <v>25.5</v>
      </c>
      <c r="BB31" s="388">
        <f>SUM('General information '!E31)</f>
        <v>0.61</v>
      </c>
      <c r="BC31" s="3">
        <f t="shared" si="44"/>
        <v>0</v>
      </c>
      <c r="BD31" s="102">
        <v>19222</v>
      </c>
      <c r="BE31" s="14">
        <f>(305/1185)*ELEC!Q30</f>
        <v>1884.5654008439119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147</v>
      </c>
      <c r="C32" s="203">
        <f t="shared" si="20"/>
        <v>3162.8709677419356</v>
      </c>
      <c r="D32">
        <f t="shared" si="47"/>
        <v>147</v>
      </c>
      <c r="E32" s="203">
        <f t="shared" si="20"/>
        <v>3162.8709677419356</v>
      </c>
      <c r="F32">
        <f t="shared" si="48"/>
        <v>147</v>
      </c>
      <c r="G32" s="203">
        <f t="shared" si="1"/>
        <v>3162.8709677419356</v>
      </c>
      <c r="H32" s="203">
        <f t="shared" si="49"/>
        <v>147</v>
      </c>
      <c r="I32" s="203">
        <f t="shared" si="2"/>
        <v>3162.8709677419356</v>
      </c>
      <c r="J32" s="203">
        <f t="shared" si="50"/>
        <v>147</v>
      </c>
      <c r="K32" s="203">
        <f t="shared" si="3"/>
        <v>3162.8709677419356</v>
      </c>
      <c r="L32" s="203">
        <f t="shared" si="51"/>
        <v>147</v>
      </c>
      <c r="M32" s="203">
        <f t="shared" si="4"/>
        <v>3162.8709677419356</v>
      </c>
      <c r="N32" s="203">
        <f t="shared" si="52"/>
        <v>147</v>
      </c>
      <c r="O32" s="203">
        <f t="shared" si="5"/>
        <v>3162.8709677419356</v>
      </c>
      <c r="P32" s="203">
        <f t="shared" si="53"/>
        <v>147</v>
      </c>
      <c r="Q32" s="203">
        <f t="shared" si="6"/>
        <v>3162.8709677419356</v>
      </c>
      <c r="R32" s="203">
        <f t="shared" si="54"/>
        <v>147</v>
      </c>
      <c r="S32" s="203">
        <f t="shared" si="7"/>
        <v>3162.8709677419356</v>
      </c>
      <c r="T32" s="203">
        <f t="shared" si="55"/>
        <v>147</v>
      </c>
      <c r="U32" s="203">
        <f t="shared" si="8"/>
        <v>3162.8709677419356</v>
      </c>
      <c r="V32" s="203">
        <f t="shared" si="56"/>
        <v>147</v>
      </c>
      <c r="W32" s="203">
        <f t="shared" si="9"/>
        <v>3162.8709677419356</v>
      </c>
      <c r="X32" s="35">
        <f t="shared" si="57"/>
        <v>0.47419354838709676</v>
      </c>
      <c r="Y32" s="36">
        <f t="shared" si="58"/>
        <v>34791.580645161288</v>
      </c>
      <c r="Z32" s="203">
        <f>'B5'!C31</f>
        <v>154</v>
      </c>
      <c r="AA32" s="203">
        <f t="shared" si="32"/>
        <v>1540</v>
      </c>
      <c r="AB32" s="203">
        <f t="shared" si="59"/>
        <v>154</v>
      </c>
      <c r="AC32" s="203">
        <f t="shared" si="32"/>
        <v>1540</v>
      </c>
      <c r="AD32" s="203">
        <f t="shared" si="60"/>
        <v>154</v>
      </c>
      <c r="AE32" s="203">
        <f t="shared" si="11"/>
        <v>1540</v>
      </c>
      <c r="AF32" s="203">
        <f t="shared" si="61"/>
        <v>154</v>
      </c>
      <c r="AG32" s="203">
        <f t="shared" si="12"/>
        <v>1540</v>
      </c>
      <c r="AH32" s="203">
        <f t="shared" si="62"/>
        <v>154</v>
      </c>
      <c r="AI32" s="203">
        <f t="shared" si="13"/>
        <v>1540</v>
      </c>
      <c r="AJ32" s="203">
        <f t="shared" si="63"/>
        <v>154</v>
      </c>
      <c r="AK32" s="203">
        <f t="shared" si="14"/>
        <v>1540</v>
      </c>
      <c r="AL32" s="203">
        <f t="shared" si="64"/>
        <v>154</v>
      </c>
      <c r="AM32" s="203">
        <f t="shared" si="15"/>
        <v>1540</v>
      </c>
      <c r="AN32" s="35">
        <f t="shared" si="65"/>
        <v>0.55000000000000004</v>
      </c>
      <c r="AO32" s="36">
        <f t="shared" si="66"/>
        <v>10780</v>
      </c>
      <c r="AQ32" s="223">
        <f t="shared" si="39"/>
        <v>0.49017511719007517</v>
      </c>
      <c r="AR32" s="38">
        <f t="shared" si="67"/>
        <v>45571.580645161288</v>
      </c>
      <c r="AS32" s="197">
        <f t="shared" si="46"/>
        <v>-2418.419354838712</v>
      </c>
      <c r="AT32" s="349"/>
      <c r="AU32" s="579"/>
      <c r="AV32" s="504">
        <f>IF(AT32&gt;0,AU32,AV31)</f>
        <v>0.61</v>
      </c>
      <c r="AW32" s="285">
        <f>-SUM('B5'!AI31)</f>
        <v>0</v>
      </c>
      <c r="AX32" s="285">
        <f t="shared" si="19"/>
        <v>-2418.419354838712</v>
      </c>
      <c r="AY32" s="37">
        <f t="shared" si="40"/>
        <v>-2418.419354838712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147</v>
      </c>
      <c r="C33" s="203">
        <f t="shared" si="20"/>
        <v>3162.8709677419356</v>
      </c>
      <c r="D33">
        <f t="shared" si="47"/>
        <v>147</v>
      </c>
      <c r="E33" s="203">
        <f t="shared" si="20"/>
        <v>3162.8709677419356</v>
      </c>
      <c r="F33">
        <f t="shared" si="48"/>
        <v>147</v>
      </c>
      <c r="G33" s="203">
        <f t="shared" si="1"/>
        <v>3162.8709677419356</v>
      </c>
      <c r="H33" s="203">
        <f t="shared" si="49"/>
        <v>147</v>
      </c>
      <c r="I33" s="203">
        <f t="shared" si="2"/>
        <v>3162.8709677419356</v>
      </c>
      <c r="J33" s="203">
        <f t="shared" si="50"/>
        <v>147</v>
      </c>
      <c r="K33" s="203">
        <f t="shared" si="3"/>
        <v>3162.8709677419356</v>
      </c>
      <c r="L33" s="203">
        <f t="shared" si="51"/>
        <v>147</v>
      </c>
      <c r="M33" s="203">
        <f t="shared" si="4"/>
        <v>3162.8709677419356</v>
      </c>
      <c r="N33" s="203">
        <f t="shared" si="52"/>
        <v>147</v>
      </c>
      <c r="O33" s="203">
        <f t="shared" si="5"/>
        <v>3162.8709677419356</v>
      </c>
      <c r="P33" s="203">
        <f t="shared" si="53"/>
        <v>147</v>
      </c>
      <c r="Q33" s="203">
        <f t="shared" si="6"/>
        <v>3162.8709677419356</v>
      </c>
      <c r="R33" s="203">
        <f t="shared" si="54"/>
        <v>147</v>
      </c>
      <c r="S33" s="203">
        <f t="shared" si="7"/>
        <v>3162.8709677419356</v>
      </c>
      <c r="T33" s="203">
        <f t="shared" si="55"/>
        <v>147</v>
      </c>
      <c r="U33" s="203">
        <f t="shared" si="8"/>
        <v>3162.8709677419356</v>
      </c>
      <c r="V33" s="203">
        <f t="shared" si="56"/>
        <v>147</v>
      </c>
      <c r="W33" s="203">
        <f t="shared" si="9"/>
        <v>3162.8709677419356</v>
      </c>
      <c r="X33" s="35">
        <f t="shared" si="57"/>
        <v>0.47419354838709676</v>
      </c>
      <c r="Y33" s="36">
        <f t="shared" si="58"/>
        <v>34791.580645161288</v>
      </c>
      <c r="Z33" s="203">
        <f>'B5'!C32</f>
        <v>154</v>
      </c>
      <c r="AA33" s="203">
        <f t="shared" si="32"/>
        <v>1540</v>
      </c>
      <c r="AB33" s="203">
        <f t="shared" si="59"/>
        <v>154</v>
      </c>
      <c r="AC33" s="203">
        <f t="shared" si="32"/>
        <v>1540</v>
      </c>
      <c r="AD33" s="203">
        <f t="shared" si="60"/>
        <v>154</v>
      </c>
      <c r="AE33" s="203">
        <f t="shared" si="11"/>
        <v>1540</v>
      </c>
      <c r="AF33" s="203">
        <f t="shared" si="61"/>
        <v>154</v>
      </c>
      <c r="AG33" s="203">
        <f t="shared" si="12"/>
        <v>1540</v>
      </c>
      <c r="AH33" s="203">
        <f t="shared" si="62"/>
        <v>154</v>
      </c>
      <c r="AI33" s="203">
        <f t="shared" si="13"/>
        <v>1540</v>
      </c>
      <c r="AJ33" s="203">
        <f t="shared" si="63"/>
        <v>154</v>
      </c>
      <c r="AK33" s="203">
        <f t="shared" si="14"/>
        <v>1540</v>
      </c>
      <c r="AL33" s="203">
        <f t="shared" si="64"/>
        <v>154</v>
      </c>
      <c r="AM33" s="203">
        <f t="shared" si="15"/>
        <v>1540</v>
      </c>
      <c r="AN33" s="35">
        <f t="shared" si="65"/>
        <v>0.55000000000000004</v>
      </c>
      <c r="AO33" s="36">
        <f t="shared" si="66"/>
        <v>10780</v>
      </c>
      <c r="AQ33" s="223">
        <f t="shared" si="39"/>
        <v>0.49017511719007517</v>
      </c>
      <c r="AR33" s="38">
        <f t="shared" si="67"/>
        <v>45571.580645161288</v>
      </c>
      <c r="AS33" s="197">
        <f>SUM(AR33-AR32-AT33)</f>
        <v>0</v>
      </c>
      <c r="AT33" s="349"/>
      <c r="AU33" s="579"/>
      <c r="AV33" s="504">
        <f>IF(AT33&gt;0,AU33,AV32)</f>
        <v>0.61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147</v>
      </c>
      <c r="C34" s="203">
        <f>B34*$B$4</f>
        <v>3162.8709677419356</v>
      </c>
      <c r="D34">
        <f t="shared" si="47"/>
        <v>147</v>
      </c>
      <c r="E34" s="203">
        <f>D34*$B$4</f>
        <v>3162.8709677419356</v>
      </c>
      <c r="F34">
        <f t="shared" si="48"/>
        <v>147</v>
      </c>
      <c r="G34" s="203">
        <f>F34*$B$4</f>
        <v>3162.8709677419356</v>
      </c>
      <c r="H34" s="203">
        <f t="shared" si="49"/>
        <v>147</v>
      </c>
      <c r="I34" s="203">
        <f>H34*$B$4</f>
        <v>3162.8709677419356</v>
      </c>
      <c r="J34" s="203">
        <f t="shared" si="50"/>
        <v>147</v>
      </c>
      <c r="K34" s="203">
        <f>J34*$B$4</f>
        <v>3162.8709677419356</v>
      </c>
      <c r="L34" s="203">
        <f t="shared" si="51"/>
        <v>147</v>
      </c>
      <c r="M34" s="203">
        <f>L34*$B$4</f>
        <v>3162.8709677419356</v>
      </c>
      <c r="N34" s="203">
        <f t="shared" si="52"/>
        <v>147</v>
      </c>
      <c r="O34" s="203">
        <f>N34*$B$4</f>
        <v>3162.8709677419356</v>
      </c>
      <c r="P34" s="203">
        <f t="shared" si="53"/>
        <v>147</v>
      </c>
      <c r="Q34" s="203">
        <f>P34*$B$4</f>
        <v>3162.8709677419356</v>
      </c>
      <c r="R34" s="203">
        <f t="shared" si="54"/>
        <v>147</v>
      </c>
      <c r="S34" s="203">
        <f>R34*$B$4</f>
        <v>3162.8709677419356</v>
      </c>
      <c r="T34" s="203">
        <f t="shared" si="55"/>
        <v>147</v>
      </c>
      <c r="U34" s="203">
        <f>T34*$B$4</f>
        <v>3162.8709677419356</v>
      </c>
      <c r="V34" s="203">
        <f t="shared" si="56"/>
        <v>147</v>
      </c>
      <c r="W34" s="203">
        <f>V34*$B$4</f>
        <v>3162.8709677419356</v>
      </c>
      <c r="X34" s="35">
        <f t="shared" si="57"/>
        <v>0.47419354838709676</v>
      </c>
      <c r="Y34" s="36">
        <f t="shared" si="58"/>
        <v>34791.580645161288</v>
      </c>
      <c r="Z34" s="203">
        <f>'B5'!C33</f>
        <v>154</v>
      </c>
      <c r="AA34" s="203">
        <f>SUM(Z34*$Z$4)</f>
        <v>1540</v>
      </c>
      <c r="AB34" s="203">
        <f t="shared" si="59"/>
        <v>154</v>
      </c>
      <c r="AC34" s="203">
        <f>SUM(AB34*$Z$4)</f>
        <v>1540</v>
      </c>
      <c r="AD34" s="203">
        <f t="shared" si="60"/>
        <v>154</v>
      </c>
      <c r="AE34" s="203">
        <f>SUM(AD34*$Z$4)</f>
        <v>1540</v>
      </c>
      <c r="AF34" s="203">
        <f t="shared" si="61"/>
        <v>154</v>
      </c>
      <c r="AG34" s="203">
        <f>SUM(AF34*$Z$4)</f>
        <v>1540</v>
      </c>
      <c r="AH34" s="203">
        <f t="shared" si="62"/>
        <v>154</v>
      </c>
      <c r="AI34" s="203">
        <f>SUM(AH34*$Z$4)</f>
        <v>1540</v>
      </c>
      <c r="AJ34" s="203">
        <f t="shared" si="63"/>
        <v>154</v>
      </c>
      <c r="AK34" s="203">
        <f>SUM(AJ34*$Z$4)</f>
        <v>1540</v>
      </c>
      <c r="AL34" s="203">
        <f t="shared" si="64"/>
        <v>154</v>
      </c>
      <c r="AM34" s="203">
        <f>SUM(AL34*$Z$4)</f>
        <v>1540</v>
      </c>
      <c r="AN34" s="35">
        <f t="shared" si="65"/>
        <v>0.55000000000000004</v>
      </c>
      <c r="AO34" s="36">
        <f t="shared" si="66"/>
        <v>10780</v>
      </c>
      <c r="AQ34" s="223">
        <f>SUM(AR34/92970)</f>
        <v>0.49017511719007517</v>
      </c>
      <c r="AR34" s="38">
        <f t="shared" si="67"/>
        <v>45571.580645161288</v>
      </c>
      <c r="AS34" s="197">
        <f t="shared" si="46"/>
        <v>0</v>
      </c>
      <c r="AT34" s="349"/>
      <c r="AU34" s="579"/>
      <c r="AV34" s="504">
        <f>IF(AT34&gt;0,AU34,AV33)</f>
        <v>0.61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147</v>
      </c>
      <c r="C35" s="203">
        <f>B35*$B$4</f>
        <v>3162.8709677419356</v>
      </c>
      <c r="D35">
        <f t="shared" si="47"/>
        <v>147</v>
      </c>
      <c r="E35" s="203">
        <f>D35*$B$4</f>
        <v>3162.8709677419356</v>
      </c>
      <c r="F35">
        <f t="shared" si="48"/>
        <v>147</v>
      </c>
      <c r="G35" s="203">
        <f>F35*$B$4</f>
        <v>3162.8709677419356</v>
      </c>
      <c r="H35" s="203">
        <f t="shared" si="49"/>
        <v>147</v>
      </c>
      <c r="I35" s="203">
        <f>H35*$B$4</f>
        <v>3162.8709677419356</v>
      </c>
      <c r="J35" s="203">
        <f t="shared" si="50"/>
        <v>147</v>
      </c>
      <c r="K35" s="203">
        <f>J35*$B$4</f>
        <v>3162.8709677419356</v>
      </c>
      <c r="L35" s="203">
        <f t="shared" si="51"/>
        <v>147</v>
      </c>
      <c r="M35" s="203">
        <f>L35*$B$4</f>
        <v>3162.8709677419356</v>
      </c>
      <c r="N35" s="203">
        <f t="shared" si="52"/>
        <v>147</v>
      </c>
      <c r="O35" s="203">
        <f>N35*$B$4</f>
        <v>3162.8709677419356</v>
      </c>
      <c r="P35" s="203">
        <f t="shared" si="53"/>
        <v>147</v>
      </c>
      <c r="Q35" s="203">
        <f>P35*$B$4</f>
        <v>3162.8709677419356</v>
      </c>
      <c r="R35" s="203">
        <f t="shared" si="54"/>
        <v>147</v>
      </c>
      <c r="S35" s="203">
        <f>R35*$B$4</f>
        <v>3162.8709677419356</v>
      </c>
      <c r="T35" s="203">
        <f t="shared" si="55"/>
        <v>147</v>
      </c>
      <c r="U35" s="203">
        <f>T35*$B$4</f>
        <v>3162.8709677419356</v>
      </c>
      <c r="V35" s="203">
        <f t="shared" si="56"/>
        <v>147</v>
      </c>
      <c r="W35" s="203">
        <f>V35*$B$4</f>
        <v>3162.8709677419356</v>
      </c>
      <c r="X35" s="35">
        <f t="shared" si="57"/>
        <v>0.47419354838709676</v>
      </c>
      <c r="Y35" s="36">
        <f t="shared" si="58"/>
        <v>34791.580645161288</v>
      </c>
      <c r="Z35" s="203">
        <f>'B5'!C34</f>
        <v>154</v>
      </c>
      <c r="AA35" s="203">
        <f>SUM(Z35*$Z$4)</f>
        <v>1540</v>
      </c>
      <c r="AB35" s="203">
        <f t="shared" si="59"/>
        <v>154</v>
      </c>
      <c r="AC35" s="203">
        <f>SUM(AB35*$Z$4)</f>
        <v>1540</v>
      </c>
      <c r="AD35" s="203">
        <f t="shared" si="60"/>
        <v>154</v>
      </c>
      <c r="AE35" s="203">
        <f>SUM(AD35*$Z$4)</f>
        <v>1540</v>
      </c>
      <c r="AF35" s="203">
        <f t="shared" si="61"/>
        <v>154</v>
      </c>
      <c r="AG35" s="203">
        <f>SUM(AF35*$Z$4)</f>
        <v>1540</v>
      </c>
      <c r="AH35" s="203">
        <f t="shared" si="62"/>
        <v>154</v>
      </c>
      <c r="AI35" s="203">
        <f>SUM(AH35*$Z$4)</f>
        <v>1540</v>
      </c>
      <c r="AJ35" s="203">
        <f t="shared" si="63"/>
        <v>154</v>
      </c>
      <c r="AK35" s="203">
        <f>SUM(AJ35*$Z$4)</f>
        <v>1540</v>
      </c>
      <c r="AL35" s="203">
        <f t="shared" si="64"/>
        <v>154</v>
      </c>
      <c r="AM35" s="203">
        <f>SUM(AL35*$Z$4)</f>
        <v>1540</v>
      </c>
      <c r="AN35" s="35">
        <f t="shared" si="65"/>
        <v>0.55000000000000004</v>
      </c>
      <c r="AO35" s="36">
        <f t="shared" si="66"/>
        <v>10780</v>
      </c>
      <c r="AQ35" s="223">
        <f>SUM(AR35/92970)</f>
        <v>0.49017511719007517</v>
      </c>
      <c r="AR35" s="38">
        <f t="shared" si="67"/>
        <v>45571.580645161288</v>
      </c>
      <c r="AS35" s="197">
        <f t="shared" si="46"/>
        <v>0</v>
      </c>
      <c r="AT35" s="349"/>
      <c r="AU35" s="579"/>
      <c r="AV35" s="563">
        <f>IF(AT35&gt;0,AU35,AV34)</f>
        <v>0.61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147</v>
      </c>
      <c r="C36" s="203">
        <f>B36*$B$4</f>
        <v>3162.8709677419356</v>
      </c>
      <c r="D36">
        <f t="shared" ref="D36" si="68">SUM(B36)</f>
        <v>147</v>
      </c>
      <c r="E36" s="203">
        <f>D36*$B$4</f>
        <v>3162.8709677419356</v>
      </c>
      <c r="F36">
        <f t="shared" ref="F36" si="69">SUM(D36)</f>
        <v>147</v>
      </c>
      <c r="G36" s="203">
        <f>F36*$B$4</f>
        <v>3162.8709677419356</v>
      </c>
      <c r="H36" s="203">
        <f t="shared" ref="H36" si="70">SUM(F36)</f>
        <v>147</v>
      </c>
      <c r="I36" s="203">
        <f>H36*$B$4</f>
        <v>3162.8709677419356</v>
      </c>
      <c r="J36" s="203">
        <f t="shared" ref="J36" si="71">SUM(H36)</f>
        <v>147</v>
      </c>
      <c r="K36" s="203">
        <f>J36*$B$4</f>
        <v>3162.8709677419356</v>
      </c>
      <c r="L36" s="203">
        <f t="shared" ref="L36" si="72">SUM(J36)</f>
        <v>147</v>
      </c>
      <c r="M36" s="203">
        <f>L36*$B$4</f>
        <v>3162.8709677419356</v>
      </c>
      <c r="N36" s="203">
        <f t="shared" ref="N36" si="73">SUM(L36)</f>
        <v>147</v>
      </c>
      <c r="O36" s="203">
        <f>N36*$B$4</f>
        <v>3162.8709677419356</v>
      </c>
      <c r="P36" s="203">
        <f t="shared" ref="P36" si="74">SUM(N36)</f>
        <v>147</v>
      </c>
      <c r="Q36" s="203">
        <f>P36*$B$4</f>
        <v>3162.8709677419356</v>
      </c>
      <c r="R36" s="203">
        <f t="shared" ref="R36" si="75">SUM(P36)</f>
        <v>147</v>
      </c>
      <c r="S36" s="203">
        <f>R36*$B$4</f>
        <v>3162.8709677419356</v>
      </c>
      <c r="T36" s="203">
        <f t="shared" ref="T36" si="76">SUM(R36)</f>
        <v>147</v>
      </c>
      <c r="U36" s="203">
        <f>T36*$B$4</f>
        <v>3162.8709677419356</v>
      </c>
      <c r="V36" s="203">
        <f t="shared" ref="V36" si="77">SUM(T36)</f>
        <v>147</v>
      </c>
      <c r="W36" s="203">
        <f>V36*$B$4</f>
        <v>3162.8709677419356</v>
      </c>
      <c r="X36" s="35">
        <f t="shared" ref="X36" si="78">SUM(Y36/73370)</f>
        <v>0.47419354838709676</v>
      </c>
      <c r="Y36" s="36">
        <f t="shared" ref="Y36" si="79">SUM(C36+E36+G36+I36+K36+M36+O36+Q36+S36+U36+W36)</f>
        <v>34791.580645161288</v>
      </c>
      <c r="Z36" s="203">
        <f>'B5'!C35</f>
        <v>154</v>
      </c>
      <c r="AA36" s="203">
        <f>SUM(Z36*$Z$4)</f>
        <v>1540</v>
      </c>
      <c r="AB36" s="203">
        <f t="shared" ref="AB36" si="80">SUM(Z36)</f>
        <v>154</v>
      </c>
      <c r="AC36" s="203">
        <f>SUM(AB36*$Z$4)</f>
        <v>1540</v>
      </c>
      <c r="AD36" s="203">
        <f t="shared" ref="AD36" si="81">SUM(AB36)</f>
        <v>154</v>
      </c>
      <c r="AE36" s="203">
        <f>SUM(AD36*$Z$4)</f>
        <v>1540</v>
      </c>
      <c r="AF36" s="203">
        <f t="shared" ref="AF36" si="82">SUM(AD36)</f>
        <v>154</v>
      </c>
      <c r="AG36" s="203">
        <f>SUM(AF36*$Z$4)</f>
        <v>1540</v>
      </c>
      <c r="AH36" s="203">
        <f t="shared" ref="AH36" si="83">SUM(AF36)</f>
        <v>154</v>
      </c>
      <c r="AI36" s="203">
        <f>SUM(AH36*$Z$4)</f>
        <v>1540</v>
      </c>
      <c r="AJ36" s="203">
        <f t="shared" ref="AJ36" si="84">SUM(AH36)</f>
        <v>154</v>
      </c>
      <c r="AK36" s="203">
        <f>SUM(AJ36*$Z$4)</f>
        <v>1540</v>
      </c>
      <c r="AL36" s="203">
        <f t="shared" ref="AL36" si="85">SUM(AJ36)</f>
        <v>154</v>
      </c>
      <c r="AM36" s="203">
        <f>SUM(AL36*$Z$4)</f>
        <v>1540</v>
      </c>
      <c r="AN36" s="35">
        <f t="shared" ref="AN36" si="86">SUM(AO36/19600)</f>
        <v>0.55000000000000004</v>
      </c>
      <c r="AO36" s="36">
        <f t="shared" ref="AO36" si="87">SUM(AA36+AC36+AE36+AG36+AI36+AK36+AM36)</f>
        <v>10780</v>
      </c>
      <c r="AQ36" s="223">
        <f>SUM(AR36/92970)</f>
        <v>0.49017511719007517</v>
      </c>
      <c r="AR36" s="38">
        <f t="shared" si="45"/>
        <v>45571.580645161288</v>
      </c>
      <c r="AS36" s="197">
        <f t="shared" si="46"/>
        <v>0</v>
      </c>
      <c r="AT36" s="349"/>
      <c r="AU36" s="579"/>
      <c r="AV36" s="563">
        <f>IF(AT36&gt;0,AU36,AV35)</f>
        <v>0.61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4</v>
      </c>
      <c r="AT37" s="203">
        <f>SUM(AT6:AT35)</f>
        <v>60625</v>
      </c>
      <c r="AU37" s="574">
        <f>SUM(AU6:AU36)/AS37</f>
        <v>0.5675</v>
      </c>
      <c r="AX37" s="203">
        <f>SUM(AX6:AX36)</f>
        <v>-57957.290322580637</v>
      </c>
      <c r="AY37" s="203">
        <f>SUM(AY6:AY36)</f>
        <v>-59328.290322580637</v>
      </c>
    </row>
    <row r="38" spans="1:60">
      <c r="AS38" s="206"/>
      <c r="AT38" s="82">
        <f>+AT37*AU37</f>
        <v>34404.6875</v>
      </c>
    </row>
    <row r="40" spans="1:60">
      <c r="AS40" s="165">
        <f>SUM(AS6:AS36)/'EDl log'!A35</f>
        <v>-4944.0241935483864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-1.338227396674609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topLeftCell="A10" zoomScale="70" zoomScaleNormal="70" workbookViewId="0">
      <selection activeCell="E22" sqref="E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159.96313985627418</v>
      </c>
      <c r="P4" s="292">
        <f>SUM(L4:O4)</f>
        <v>210.18668877833056</v>
      </c>
      <c r="Q4" s="292">
        <f>SUM(-tanks!AX6*tanks!$AU$37)</f>
        <v>2860.492903225806</v>
      </c>
      <c r="R4" s="292">
        <f>SUM(P4:Q4)</f>
        <v>3070.6795920041368</v>
      </c>
      <c r="S4" s="294">
        <f>SUM(ELEC!N4)</f>
        <v>14404</v>
      </c>
      <c r="T4" s="330">
        <f>IF(S4&gt;0,R4/S4,0)</f>
        <v>0.21318242099445547</v>
      </c>
      <c r="U4" s="246"/>
      <c r="V4" s="247" t="str">
        <f>'[6]EDl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81"/>
      <c r="AC4" s="682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159.96313985627418</v>
      </c>
      <c r="P5" s="292">
        <f t="shared" ref="P5:P30" si="8">SUM(L5:O5)</f>
        <v>246.86728579325592</v>
      </c>
      <c r="Q5" s="292">
        <f>SUM(-tanks!AX7*tanks!$AU$37)</f>
        <v>2345.7520967741898</v>
      </c>
      <c r="R5" s="292">
        <f t="shared" ref="R5:R30" si="9">SUM(P5:Q5)</f>
        <v>2592.6193825674459</v>
      </c>
      <c r="S5" s="294">
        <f>SUM(ELEC!N5)</f>
        <v>14741</v>
      </c>
      <c r="T5" s="330">
        <f>IF(S5&gt;0,R5/S5,0)</f>
        <v>0.17587812106149148</v>
      </c>
      <c r="U5" s="246"/>
      <c r="V5" s="675"/>
      <c r="W5" s="676"/>
      <c r="X5" s="676"/>
      <c r="Y5" s="677"/>
      <c r="Z5" s="26" t="s">
        <v>202</v>
      </c>
      <c r="AA5" s="260">
        <f>'[7]EDl log'!AA22</f>
        <v>5000</v>
      </c>
      <c r="AB5" s="683"/>
      <c r="AC5" s="684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159.96313985627418</v>
      </c>
      <c r="P6" s="292">
        <f t="shared" si="8"/>
        <v>159.96313985627418</v>
      </c>
      <c r="Q6" s="292">
        <f>SUM(-tanks!AX8*tanks!$AU$37)</f>
        <v>0</v>
      </c>
      <c r="R6" s="292">
        <f t="shared" si="9"/>
        <v>159.96313985627418</v>
      </c>
      <c r="S6" s="294">
        <f>SUM(ELEC!N6)</f>
        <v>0</v>
      </c>
      <c r="T6" s="330">
        <f t="shared" ref="T6:T30" si="16">IF(S6&gt;0,R6/S6,0)</f>
        <v>0</v>
      </c>
      <c r="V6" s="678"/>
      <c r="W6" s="679"/>
      <c r="X6" s="679"/>
      <c r="Y6" s="680"/>
      <c r="Z6" s="3"/>
      <c r="AA6" s="3"/>
      <c r="AB6" s="683"/>
      <c r="AC6" s="684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159.96313985627418</v>
      </c>
      <c r="P7" s="292">
        <f t="shared" si="8"/>
        <v>159.96313985627418</v>
      </c>
      <c r="Q7" s="292">
        <f>SUM(-tanks!AX9*tanks!$AU$37)</f>
        <v>0</v>
      </c>
      <c r="R7" s="292">
        <f t="shared" si="9"/>
        <v>159.96313985627418</v>
      </c>
      <c r="S7" s="294">
        <f>SUM(ELEC!N7)</f>
        <v>0</v>
      </c>
      <c r="T7" s="330">
        <f t="shared" si="16"/>
        <v>0</v>
      </c>
      <c r="V7" s="671" t="s">
        <v>203</v>
      </c>
      <c r="W7" s="672"/>
      <c r="X7" s="673" t="s">
        <v>204</v>
      </c>
      <c r="Y7" s="674"/>
      <c r="Z7" s="672"/>
      <c r="AA7" s="26"/>
      <c r="AB7" s="685"/>
      <c r="AC7" s="686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159.96313985627418</v>
      </c>
      <c r="P8" s="292">
        <f t="shared" si="8"/>
        <v>184.03478164731897</v>
      </c>
      <c r="Q8" s="292">
        <f>SUM(-tanks!AX10*tanks!$AU$37)</f>
        <v>2966.4140322580661</v>
      </c>
      <c r="R8" s="292">
        <f t="shared" si="9"/>
        <v>3150.4488139053851</v>
      </c>
      <c r="S8" s="294">
        <f>SUM(ELEC!N8)</f>
        <v>14196</v>
      </c>
      <c r="T8" s="330">
        <f>IF(S8&gt;0,R8/S8,0)</f>
        <v>0.22192510664309559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159.96313985627418</v>
      </c>
      <c r="P9" s="292">
        <f t="shared" si="8"/>
        <v>176.90244333886125</v>
      </c>
      <c r="Q9" s="292">
        <f>SUM(-tanks!AX11*tanks!$AU$37)</f>
        <v>-212.19008064516288</v>
      </c>
      <c r="R9" s="292">
        <f>SUM(P9:Q9)</f>
        <v>-35.287637306301633</v>
      </c>
      <c r="S9" s="294">
        <f>SUM(ELEC!N9)</f>
        <v>7142</v>
      </c>
      <c r="T9" s="330">
        <f t="shared" si="16"/>
        <v>-4.9408621263373892E-3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'[9]EDl log'!Y26</f>
        <v>80</v>
      </c>
      <c r="Z9" s="172">
        <f>'[9]EDl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159.96313985627418</v>
      </c>
      <c r="P10" s="292">
        <f t="shared" si="8"/>
        <v>174.91770038695412</v>
      </c>
      <c r="Q10" s="292">
        <f>SUM(-tanks!AX12*tanks!$AU$37)</f>
        <v>2920.0987096774143</v>
      </c>
      <c r="R10" s="292">
        <f t="shared" si="9"/>
        <v>3095.0164100643683</v>
      </c>
      <c r="S10" s="294">
        <f>SUM(ELEC!N10)</f>
        <v>16056</v>
      </c>
      <c r="T10" s="330">
        <f t="shared" si="16"/>
        <v>0.19276385214651023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'[9]EDl log'!Y27</f>
        <v>112</v>
      </c>
      <c r="Z10" s="172">
        <f>'[9]EDl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v>1092537</v>
      </c>
      <c r="C11" s="260">
        <f t="shared" si="0"/>
        <v>365</v>
      </c>
      <c r="D11" s="303">
        <f t="shared" si="11"/>
        <v>367</v>
      </c>
      <c r="E11" s="303">
        <f t="shared" si="12"/>
        <v>1092539</v>
      </c>
      <c r="F11" s="608">
        <v>159337</v>
      </c>
      <c r="G11" s="160">
        <f t="shared" si="1"/>
        <v>68</v>
      </c>
      <c r="H11" s="608">
        <v>534956</v>
      </c>
      <c r="I11" s="161">
        <f t="shared" si="2"/>
        <v>171</v>
      </c>
      <c r="J11" s="608">
        <v>398245</v>
      </c>
      <c r="K11" s="162">
        <f t="shared" si="3"/>
        <v>128</v>
      </c>
      <c r="L11" s="291">
        <f t="shared" si="4"/>
        <v>14.434494195688226</v>
      </c>
      <c r="M11" s="291">
        <f t="shared" si="5"/>
        <v>12.704477611940298</v>
      </c>
      <c r="N11" s="291">
        <f t="shared" si="6"/>
        <v>6.7927031509121063</v>
      </c>
      <c r="O11" s="291">
        <f t="shared" si="7"/>
        <v>159.96313985627418</v>
      </c>
      <c r="P11" s="292">
        <f t="shared" si="8"/>
        <v>193.89481481481482</v>
      </c>
      <c r="Q11" s="292">
        <f>SUM(-tanks!AX13*tanks!$AU$37)</f>
        <v>2708.5859677419339</v>
      </c>
      <c r="R11" s="292">
        <f t="shared" si="9"/>
        <v>2902.4807825567486</v>
      </c>
      <c r="S11" s="294">
        <f>SUM(ELEC!N11)</f>
        <v>15846</v>
      </c>
      <c r="T11" s="330">
        <f t="shared" si="16"/>
        <v>0.18316804130738032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'[9]EDl log'!Y28</f>
        <v>320</v>
      </c>
      <c r="Z11" s="172">
        <f>'[9]EDl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v>1092537</v>
      </c>
      <c r="C12" s="260">
        <f t="shared" si="0"/>
        <v>0</v>
      </c>
      <c r="D12" s="303">
        <f t="shared" si="11"/>
        <v>0</v>
      </c>
      <c r="E12" s="303">
        <f t="shared" si="12"/>
        <v>1092537</v>
      </c>
      <c r="F12" s="608">
        <v>159337</v>
      </c>
      <c r="G12" s="160">
        <f t="shared" si="1"/>
        <v>0</v>
      </c>
      <c r="H12" s="608">
        <f t="shared" si="14"/>
        <v>534956</v>
      </c>
      <c r="I12" s="161">
        <f t="shared" si="2"/>
        <v>0</v>
      </c>
      <c r="J12" s="608">
        <f t="shared" si="15"/>
        <v>398245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159.96313985627418</v>
      </c>
      <c r="P12" s="292">
        <f t="shared" si="8"/>
        <v>159.96313985627418</v>
      </c>
      <c r="Q12" s="292">
        <f>SUM(-tanks!AX14*tanks!$AU$37)</f>
        <v>1360.3341129032331</v>
      </c>
      <c r="R12" s="292">
        <f t="shared" si="9"/>
        <v>1520.2972527595073</v>
      </c>
      <c r="S12" s="294">
        <f>SUM(ELEC!N12)</f>
        <v>14517</v>
      </c>
      <c r="T12" s="330">
        <f t="shared" si="16"/>
        <v>0.10472530500513241</v>
      </c>
      <c r="V12" s="549"/>
      <c r="W12" s="260"/>
      <c r="X12" s="3"/>
      <c r="Y12" s="172">
        <f>'[9]EDl log'!Y29</f>
        <v>0</v>
      </c>
      <c r="Z12" s="172">
        <f>'[9]EDl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1092537</v>
      </c>
      <c r="C13" s="260">
        <f t="shared" si="0"/>
        <v>0</v>
      </c>
      <c r="D13" s="303">
        <f t="shared" si="11"/>
        <v>0</v>
      </c>
      <c r="E13" s="303">
        <f t="shared" si="12"/>
        <v>1092537</v>
      </c>
      <c r="F13" s="608">
        <f t="shared" si="13"/>
        <v>159337</v>
      </c>
      <c r="G13" s="160">
        <f t="shared" si="1"/>
        <v>0</v>
      </c>
      <c r="H13" s="608">
        <f t="shared" si="14"/>
        <v>534956</v>
      </c>
      <c r="I13" s="161">
        <f t="shared" si="2"/>
        <v>0</v>
      </c>
      <c r="J13" s="608">
        <f t="shared" si="15"/>
        <v>398245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159.96313985627418</v>
      </c>
      <c r="P13" s="292">
        <f t="shared" si="8"/>
        <v>159.96313985627418</v>
      </c>
      <c r="Q13" s="292">
        <f>SUM(-tanks!AX15*tanks!$AU$37)</f>
        <v>0</v>
      </c>
      <c r="R13" s="292">
        <f t="shared" si="9"/>
        <v>159.96313985627418</v>
      </c>
      <c r="S13" s="294">
        <f>SUM(ELEC!N13)</f>
        <v>9655</v>
      </c>
      <c r="T13" s="330">
        <f>IF(S13&gt;0,R13/S13,0)</f>
        <v>1.656790676916356E-2</v>
      </c>
      <c r="V13" s="549" t="str">
        <f>'[7]EDl log'!V30</f>
        <v>Occ %</v>
      </c>
      <c r="W13" s="565">
        <f>'[2]EDl log'!W30</f>
        <v>0</v>
      </c>
      <c r="X13" s="493"/>
      <c r="Y13" s="260" t="str">
        <f>'[10]EDl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1092537</v>
      </c>
      <c r="C14" s="260">
        <f t="shared" si="0"/>
        <v>0</v>
      </c>
      <c r="D14" s="303">
        <f t="shared" si="11"/>
        <v>0</v>
      </c>
      <c r="E14" s="303">
        <f t="shared" si="12"/>
        <v>1092537</v>
      </c>
      <c r="F14" s="608">
        <f t="shared" si="13"/>
        <v>159337</v>
      </c>
      <c r="G14" s="160">
        <f t="shared" si="1"/>
        <v>0</v>
      </c>
      <c r="H14" s="608">
        <f t="shared" si="14"/>
        <v>534956</v>
      </c>
      <c r="I14" s="161">
        <f t="shared" si="2"/>
        <v>0</v>
      </c>
      <c r="J14" s="608">
        <f t="shared" si="15"/>
        <v>398245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159.96313985627418</v>
      </c>
      <c r="P14" s="292">
        <f>SUM(L14:O14)</f>
        <v>159.96313985627418</v>
      </c>
      <c r="Q14" s="292">
        <f>SUM(-tanks!AX16*tanks!$AU$37)</f>
        <v>0</v>
      </c>
      <c r="R14" s="292">
        <f>SUM(P14:Q14)</f>
        <v>159.96313985627418</v>
      </c>
      <c r="S14" s="294">
        <f>SUM(ELEC!N14)</f>
        <v>0</v>
      </c>
      <c r="T14" s="330">
        <f>IF(S14&gt;0,R14/S14,0)</f>
        <v>0</v>
      </c>
      <c r="V14" s="549" t="str">
        <f>'[7]EDl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1092537</v>
      </c>
      <c r="C15" s="260">
        <f t="shared" si="0"/>
        <v>0</v>
      </c>
      <c r="D15" s="303">
        <f t="shared" si="11"/>
        <v>0</v>
      </c>
      <c r="E15" s="303">
        <f t="shared" si="12"/>
        <v>1092537</v>
      </c>
      <c r="F15" s="608">
        <f t="shared" si="13"/>
        <v>159337</v>
      </c>
      <c r="G15" s="160">
        <f t="shared" si="1"/>
        <v>0</v>
      </c>
      <c r="H15" s="608">
        <f t="shared" si="14"/>
        <v>534956</v>
      </c>
      <c r="I15" s="161">
        <f t="shared" si="2"/>
        <v>0</v>
      </c>
      <c r="J15" s="608">
        <f t="shared" si="15"/>
        <v>398245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159.96313985627418</v>
      </c>
      <c r="P15" s="292">
        <f>SUM(L15:O15)</f>
        <v>159.96313985627418</v>
      </c>
      <c r="Q15" s="292">
        <f>SUM(-tanks!AX17*tanks!$AU$37)</f>
        <v>0</v>
      </c>
      <c r="R15" s="292">
        <f>SUM(P15:Q15)</f>
        <v>159.96313985627418</v>
      </c>
      <c r="S15" s="294">
        <f>SUM(ELEC!N15)</f>
        <v>0</v>
      </c>
      <c r="T15" s="330">
        <f>IF(S15&gt;0,R15/S15,0)</f>
        <v>0</v>
      </c>
      <c r="V15" s="549" t="str">
        <f>'[7]EDl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v>1093567</v>
      </c>
      <c r="C16" s="260">
        <f t="shared" si="0"/>
        <v>1030</v>
      </c>
      <c r="D16" s="303">
        <f t="shared" si="11"/>
        <v>1029</v>
      </c>
      <c r="E16" s="303">
        <f t="shared" si="12"/>
        <v>1093566</v>
      </c>
      <c r="F16" s="608">
        <v>159337</v>
      </c>
      <c r="G16" s="160">
        <f t="shared" si="1"/>
        <v>0</v>
      </c>
      <c r="H16" s="608">
        <v>535639</v>
      </c>
      <c r="I16" s="161">
        <f t="shared" si="2"/>
        <v>683</v>
      </c>
      <c r="J16" s="608">
        <v>398591</v>
      </c>
      <c r="K16" s="162">
        <f>J16-J15</f>
        <v>346</v>
      </c>
      <c r="L16" s="291">
        <f>SUM(G16*$Y$28)/1507.5</f>
        <v>0</v>
      </c>
      <c r="M16" s="291">
        <f>SUM(I16*$Y$27)/1507.5</f>
        <v>50.743615257048091</v>
      </c>
      <c r="N16" s="291">
        <f>SUM(K16*$Y$26)/1507.5</f>
        <v>18.361525704809289</v>
      </c>
      <c r="O16" s="291">
        <f t="shared" si="7"/>
        <v>159.96313985627418</v>
      </c>
      <c r="P16" s="292">
        <f>SUM(L16:O16)</f>
        <v>229.06828081813157</v>
      </c>
      <c r="Q16" s="292">
        <f>SUM(-tanks!AX18*tanks!$AU$37)</f>
        <v>3922.8895161290311</v>
      </c>
      <c r="R16" s="292">
        <f>SUM(P16:Q16)</f>
        <v>4151.9577969471629</v>
      </c>
      <c r="S16" s="294">
        <f>SUM(ELEC!N16)</f>
        <v>8624</v>
      </c>
      <c r="T16" s="330">
        <f>IF(S16&gt;0,R16/S16,0)</f>
        <v>0.48144223062930924</v>
      </c>
      <c r="V16" s="549" t="str">
        <f>'[7]EDl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v>1093762</v>
      </c>
      <c r="C17" s="260">
        <f t="shared" si="0"/>
        <v>195</v>
      </c>
      <c r="D17" s="303">
        <f t="shared" si="11"/>
        <v>194</v>
      </c>
      <c r="E17" s="303">
        <f t="shared" si="12"/>
        <v>1093761</v>
      </c>
      <c r="F17" s="608">
        <v>159392</v>
      </c>
      <c r="G17" s="160">
        <f>F17-F16</f>
        <v>55</v>
      </c>
      <c r="H17" s="608">
        <v>535778</v>
      </c>
      <c r="I17" s="161">
        <f t="shared" si="2"/>
        <v>139</v>
      </c>
      <c r="J17" s="608">
        <f t="shared" si="15"/>
        <v>398591</v>
      </c>
      <c r="K17" s="162">
        <f>J17-J16</f>
        <v>0</v>
      </c>
      <c r="L17" s="291">
        <f>SUM(G17*$Y$28)/1507.5</f>
        <v>11.674958540630183</v>
      </c>
      <c r="M17" s="291">
        <f>SUM(I17*$Y$27)/1507.5</f>
        <v>10.327031509121062</v>
      </c>
      <c r="N17" s="291">
        <f>SUM(K17*$Y$26)/1507.5</f>
        <v>0</v>
      </c>
      <c r="O17" s="291">
        <f t="shared" si="7"/>
        <v>159.96313985627418</v>
      </c>
      <c r="P17" s="292">
        <f>SUM(L17:O17)</f>
        <v>181.96512990602542</v>
      </c>
      <c r="Q17" s="292">
        <f>SUM(-tanks!AX19*tanks!$AU$37)</f>
        <v>2747.1759677419341</v>
      </c>
      <c r="R17" s="292">
        <f>SUM(P17:Q17)</f>
        <v>2929.1410976479597</v>
      </c>
      <c r="S17" s="294">
        <f>SUM(ELEC!N17)</f>
        <v>7315</v>
      </c>
      <c r="T17" s="330">
        <f>IF(S17&gt;0,R17/S17,0)</f>
        <v>0.40042940500997398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v>1093762</v>
      </c>
      <c r="C18" s="260">
        <f>SUM(B18-B17)</f>
        <v>0</v>
      </c>
      <c r="D18" s="303">
        <f>SUM(G18+I18+K18)</f>
        <v>0</v>
      </c>
      <c r="E18" s="303">
        <f t="shared" si="12"/>
        <v>1093762</v>
      </c>
      <c r="F18" s="608">
        <f t="shared" si="13"/>
        <v>159392</v>
      </c>
      <c r="G18" s="160">
        <f t="shared" si="1"/>
        <v>0</v>
      </c>
      <c r="H18" s="608">
        <f t="shared" si="14"/>
        <v>535778</v>
      </c>
      <c r="I18" s="161">
        <f t="shared" si="2"/>
        <v>0</v>
      </c>
      <c r="J18" s="608">
        <f t="shared" si="15"/>
        <v>398591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159.96313985627418</v>
      </c>
      <c r="P18" s="292">
        <f t="shared" si="8"/>
        <v>159.96313985627418</v>
      </c>
      <c r="Q18" s="292">
        <f>SUM(-tanks!AX20*tanks!$AU$37)</f>
        <v>719.49846774193816</v>
      </c>
      <c r="R18" s="292">
        <f t="shared" si="9"/>
        <v>879.46160759821237</v>
      </c>
      <c r="S18" s="294">
        <f>SUM(ELEC!N18)</f>
        <v>10367.000000002008</v>
      </c>
      <c r="T18" s="330">
        <f t="shared" si="16"/>
        <v>8.4832797106013505E-2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v>1094154</v>
      </c>
      <c r="C19" s="260">
        <f t="shared" si="0"/>
        <v>392</v>
      </c>
      <c r="D19" s="303">
        <f t="shared" si="11"/>
        <v>362</v>
      </c>
      <c r="E19" s="303">
        <f t="shared" si="12"/>
        <v>1094124</v>
      </c>
      <c r="F19" s="608">
        <v>159392</v>
      </c>
      <c r="G19" s="160">
        <f t="shared" si="1"/>
        <v>0</v>
      </c>
      <c r="H19" s="608">
        <v>536019</v>
      </c>
      <c r="I19" s="161">
        <f t="shared" si="2"/>
        <v>241</v>
      </c>
      <c r="J19" s="608">
        <v>398712</v>
      </c>
      <c r="K19" s="162">
        <f t="shared" si="3"/>
        <v>121</v>
      </c>
      <c r="L19" s="291">
        <f t="shared" si="17"/>
        <v>0</v>
      </c>
      <c r="M19" s="291">
        <f t="shared" si="18"/>
        <v>17.905140961857381</v>
      </c>
      <c r="N19" s="291">
        <f t="shared" si="19"/>
        <v>6.4212271973466004</v>
      </c>
      <c r="O19" s="291">
        <f t="shared" si="7"/>
        <v>159.96313985627418</v>
      </c>
      <c r="P19" s="292">
        <f t="shared" si="8"/>
        <v>184.28950801547816</v>
      </c>
      <c r="Q19" s="292">
        <f>SUM(-tanks!AX21*tanks!$AU$37)</f>
        <v>1505.632419354833</v>
      </c>
      <c r="R19" s="292">
        <f t="shared" si="9"/>
        <v>1689.9219273703111</v>
      </c>
      <c r="S19" s="294">
        <f>SUM(ELEC!N19)</f>
        <v>7902</v>
      </c>
      <c r="T19" s="330">
        <f t="shared" si="16"/>
        <v>0.21386002624276274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1094154</v>
      </c>
      <c r="C20" s="260">
        <f t="shared" si="0"/>
        <v>0</v>
      </c>
      <c r="D20" s="303">
        <f t="shared" si="11"/>
        <v>0</v>
      </c>
      <c r="E20" s="303">
        <f t="shared" si="12"/>
        <v>1094154</v>
      </c>
      <c r="F20" s="608">
        <f t="shared" si="13"/>
        <v>159392</v>
      </c>
      <c r="G20" s="160">
        <f t="shared" si="1"/>
        <v>0</v>
      </c>
      <c r="H20" s="608">
        <f t="shared" si="14"/>
        <v>536019</v>
      </c>
      <c r="I20" s="161">
        <f t="shared" si="2"/>
        <v>0</v>
      </c>
      <c r="J20" s="608">
        <f t="shared" si="15"/>
        <v>398712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159.96313985627418</v>
      </c>
      <c r="P20" s="292">
        <f t="shared" si="8"/>
        <v>159.96313985627418</v>
      </c>
      <c r="Q20" s="292">
        <f>SUM(-tanks!AX22*tanks!$AU$37)</f>
        <v>0</v>
      </c>
      <c r="R20" s="292">
        <f t="shared" si="9"/>
        <v>159.96313985627418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1094154</v>
      </c>
      <c r="C21" s="260">
        <f t="shared" si="0"/>
        <v>0</v>
      </c>
      <c r="D21" s="303">
        <f t="shared" si="11"/>
        <v>0</v>
      </c>
      <c r="E21" s="303">
        <f t="shared" si="12"/>
        <v>1094154</v>
      </c>
      <c r="F21" s="608">
        <f t="shared" si="13"/>
        <v>159392</v>
      </c>
      <c r="G21" s="160">
        <f t="shared" si="1"/>
        <v>0</v>
      </c>
      <c r="H21" s="608">
        <f t="shared" si="14"/>
        <v>536019</v>
      </c>
      <c r="I21" s="161">
        <f t="shared" si="2"/>
        <v>0</v>
      </c>
      <c r="J21" s="608">
        <f t="shared" si="15"/>
        <v>398712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159.96313985627418</v>
      </c>
      <c r="P21" s="292">
        <f t="shared" si="8"/>
        <v>159.96313985627418</v>
      </c>
      <c r="Q21" s="292">
        <f>SUM(-tanks!AX23*tanks!$AU$37)</f>
        <v>0</v>
      </c>
      <c r="R21" s="292">
        <f t="shared" si="9"/>
        <v>159.96313985627418</v>
      </c>
      <c r="S21" s="294">
        <f>SUM(ELEC!N21)</f>
        <v>0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81"/>
      <c r="AC21" s="682"/>
    </row>
    <row r="22" spans="1:32" ht="20.100000000000001" customHeight="1">
      <c r="A22" s="163">
        <f>ELEC!C22</f>
        <v>44458</v>
      </c>
      <c r="B22" s="608">
        <f t="shared" si="10"/>
        <v>1094154</v>
      </c>
      <c r="C22" s="260">
        <f t="shared" si="0"/>
        <v>0</v>
      </c>
      <c r="D22" s="303">
        <f t="shared" si="11"/>
        <v>0</v>
      </c>
      <c r="E22" s="303">
        <f t="shared" si="12"/>
        <v>1094154</v>
      </c>
      <c r="F22" s="608">
        <f t="shared" si="13"/>
        <v>159392</v>
      </c>
      <c r="G22" s="160">
        <f t="shared" si="1"/>
        <v>0</v>
      </c>
      <c r="H22" s="608">
        <f t="shared" si="14"/>
        <v>536019</v>
      </c>
      <c r="I22" s="161">
        <f t="shared" si="2"/>
        <v>0</v>
      </c>
      <c r="J22" s="608">
        <f t="shared" si="15"/>
        <v>398712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159.96313985627418</v>
      </c>
      <c r="P22" s="292">
        <f t="shared" si="8"/>
        <v>159.96313985627418</v>
      </c>
      <c r="Q22" s="292">
        <f>SUM(-tanks!AX24*tanks!$AU$37)</f>
        <v>1218.2760483871011</v>
      </c>
      <c r="R22" s="292">
        <f t="shared" si="9"/>
        <v>1378.2391882433753</v>
      </c>
      <c r="S22" s="294">
        <f>SUM(ELEC!N22)</f>
        <v>6587</v>
      </c>
      <c r="T22" s="330">
        <f t="shared" si="16"/>
        <v>0.20923625144122898</v>
      </c>
      <c r="V22" s="687"/>
      <c r="W22" s="688"/>
      <c r="X22" s="688"/>
      <c r="Y22" s="689"/>
      <c r="Z22" s="26" t="s">
        <v>202</v>
      </c>
      <c r="AA22" s="26">
        <v>5000</v>
      </c>
      <c r="AB22" s="683"/>
      <c r="AC22" s="684"/>
    </row>
    <row r="23" spans="1:32" ht="20.100000000000001" customHeight="1">
      <c r="A23" s="163">
        <f>ELEC!C23</f>
        <v>44459</v>
      </c>
      <c r="B23" s="608">
        <v>1094418</v>
      </c>
      <c r="C23" s="260">
        <f t="shared" si="0"/>
        <v>264</v>
      </c>
      <c r="D23" s="303">
        <f t="shared" si="11"/>
        <v>295</v>
      </c>
      <c r="E23" s="303">
        <f t="shared" si="12"/>
        <v>1094449</v>
      </c>
      <c r="F23" s="608">
        <f t="shared" si="13"/>
        <v>159392</v>
      </c>
      <c r="G23" s="160">
        <f t="shared" si="1"/>
        <v>0</v>
      </c>
      <c r="H23" s="608">
        <v>536314</v>
      </c>
      <c r="I23" s="161">
        <f t="shared" si="2"/>
        <v>295</v>
      </c>
      <c r="J23" s="608">
        <f t="shared" si="15"/>
        <v>398712</v>
      </c>
      <c r="K23" s="162">
        <f t="shared" si="3"/>
        <v>0</v>
      </c>
      <c r="L23" s="291">
        <f t="shared" si="17"/>
        <v>0</v>
      </c>
      <c r="M23" s="291">
        <f t="shared" si="18"/>
        <v>21.917081260364842</v>
      </c>
      <c r="N23" s="291">
        <f t="shared" si="19"/>
        <v>0</v>
      </c>
      <c r="O23" s="291">
        <f t="shared" si="7"/>
        <v>159.96313985627418</v>
      </c>
      <c r="P23" s="292">
        <f t="shared" si="8"/>
        <v>181.88022111663904</v>
      </c>
      <c r="Q23" s="292">
        <f>SUM(-tanks!AX25*tanks!$AU$37)</f>
        <v>1498.8224193548331</v>
      </c>
      <c r="R23" s="292">
        <f t="shared" si="9"/>
        <v>1680.702640471472</v>
      </c>
      <c r="S23" s="294">
        <f>SUM(ELEC!N23)</f>
        <v>8136</v>
      </c>
      <c r="T23" s="330">
        <f t="shared" si="16"/>
        <v>0.2065760374227473</v>
      </c>
      <c r="V23" s="690"/>
      <c r="W23" s="691"/>
      <c r="X23" s="691"/>
      <c r="Y23" s="692"/>
      <c r="Z23" s="693"/>
      <c r="AA23" s="694"/>
      <c r="AB23" s="683"/>
      <c r="AC23" s="684"/>
    </row>
    <row r="24" spans="1:32" ht="20.100000000000001" customHeight="1">
      <c r="A24" s="163">
        <f>ELEC!C24</f>
        <v>44460</v>
      </c>
      <c r="B24" s="608">
        <f t="shared" si="10"/>
        <v>1094418</v>
      </c>
      <c r="C24" s="260">
        <f t="shared" si="0"/>
        <v>0</v>
      </c>
      <c r="D24" s="303">
        <f t="shared" si="11"/>
        <v>0</v>
      </c>
      <c r="E24" s="303">
        <f t="shared" si="12"/>
        <v>1094418</v>
      </c>
      <c r="F24" s="608">
        <f t="shared" si="13"/>
        <v>159392</v>
      </c>
      <c r="G24" s="160">
        <f t="shared" si="1"/>
        <v>0</v>
      </c>
      <c r="H24" s="608">
        <f t="shared" si="14"/>
        <v>536314</v>
      </c>
      <c r="I24" s="161">
        <f t="shared" si="2"/>
        <v>0</v>
      </c>
      <c r="J24" s="608">
        <f t="shared" si="15"/>
        <v>398712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159.96313985627418</v>
      </c>
      <c r="P24" s="292">
        <f t="shared" si="8"/>
        <v>159.96313985627418</v>
      </c>
      <c r="Q24" s="292">
        <f>SUM(-tanks!AX26*tanks!$AU$37)</f>
        <v>1700.6693548387175</v>
      </c>
      <c r="R24" s="292">
        <f t="shared" si="9"/>
        <v>1860.6324946949917</v>
      </c>
      <c r="S24" s="294">
        <f>SUM(ELEC!N24)</f>
        <v>8087</v>
      </c>
      <c r="T24" s="330">
        <f t="shared" si="16"/>
        <v>0.23007697473661329</v>
      </c>
      <c r="V24" s="695" t="s">
        <v>203</v>
      </c>
      <c r="W24" s="696"/>
      <c r="X24" s="697" t="s">
        <v>204</v>
      </c>
      <c r="Y24" s="698"/>
      <c r="Z24" s="699"/>
      <c r="AA24" s="170"/>
      <c r="AB24" s="685"/>
      <c r="AC24" s="686"/>
    </row>
    <row r="25" spans="1:32" ht="20.100000000000001" customHeight="1">
      <c r="A25" s="163">
        <f>ELEC!C25</f>
        <v>44461</v>
      </c>
      <c r="B25" s="608">
        <v>1094643</v>
      </c>
      <c r="C25" s="260">
        <f t="shared" si="0"/>
        <v>225</v>
      </c>
      <c r="D25" s="303">
        <f t="shared" si="11"/>
        <v>226</v>
      </c>
      <c r="E25" s="303">
        <f t="shared" si="12"/>
        <v>1094644</v>
      </c>
      <c r="F25" s="608">
        <f t="shared" si="13"/>
        <v>159392</v>
      </c>
      <c r="G25" s="160">
        <f t="shared" si="1"/>
        <v>0</v>
      </c>
      <c r="H25" s="608">
        <v>536540</v>
      </c>
      <c r="I25" s="161">
        <f t="shared" si="2"/>
        <v>226</v>
      </c>
      <c r="J25" s="608">
        <v>398712</v>
      </c>
      <c r="K25" s="162">
        <f t="shared" si="3"/>
        <v>0</v>
      </c>
      <c r="L25" s="291">
        <f t="shared" si="17"/>
        <v>0</v>
      </c>
      <c r="M25" s="291">
        <f t="shared" si="18"/>
        <v>16.790713101160861</v>
      </c>
      <c r="N25" s="291">
        <f t="shared" si="19"/>
        <v>0</v>
      </c>
      <c r="O25" s="291">
        <f t="shared" si="7"/>
        <v>159.96313985627418</v>
      </c>
      <c r="P25" s="292">
        <f t="shared" si="8"/>
        <v>176.75385295743504</v>
      </c>
      <c r="Q25" s="292">
        <f>SUM(-tanks!AX27*tanks!$AU$37)</f>
        <v>1517.5499193548371</v>
      </c>
      <c r="R25" s="292">
        <f t="shared" si="9"/>
        <v>1694.3037723122723</v>
      </c>
      <c r="S25" s="294">
        <f>SUM(ELEC!N25)</f>
        <v>9331</v>
      </c>
      <c r="T25" s="330">
        <f t="shared" si="16"/>
        <v>0.18157794151883744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1094643</v>
      </c>
      <c r="C26" s="260">
        <f t="shared" si="0"/>
        <v>0</v>
      </c>
      <c r="D26" s="303">
        <f t="shared" si="11"/>
        <v>0</v>
      </c>
      <c r="E26" s="303">
        <f t="shared" si="12"/>
        <v>1094643</v>
      </c>
      <c r="F26" s="608">
        <f t="shared" si="13"/>
        <v>159392</v>
      </c>
      <c r="G26" s="160">
        <f t="shared" si="1"/>
        <v>0</v>
      </c>
      <c r="H26" s="608">
        <f t="shared" si="14"/>
        <v>536540</v>
      </c>
      <c r="I26" s="161">
        <f t="shared" si="2"/>
        <v>0</v>
      </c>
      <c r="J26" s="608">
        <f t="shared" si="15"/>
        <v>398712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159.96313985627418</v>
      </c>
      <c r="P26" s="292">
        <f t="shared" si="8"/>
        <v>159.96313985627418</v>
      </c>
      <c r="Q26" s="292">
        <f>SUM(-tanks!AX28*tanks!$AU$37)</f>
        <v>619.34387096774435</v>
      </c>
      <c r="R26" s="292">
        <f t="shared" si="9"/>
        <v>779.30701082401856</v>
      </c>
      <c r="S26" s="294">
        <f>SUM(ELEC!N26)</f>
        <v>8036</v>
      </c>
      <c r="T26" s="330">
        <f t="shared" si="16"/>
        <v>9.6976979943257657E-2</v>
      </c>
      <c r="V26" s="250">
        <f>W9</f>
        <v>397791</v>
      </c>
      <c r="W26" s="170">
        <f>J33</f>
        <v>398895</v>
      </c>
      <c r="X26" s="172" t="s">
        <v>199</v>
      </c>
      <c r="Y26" s="172">
        <v>80</v>
      </c>
      <c r="Z26" s="172">
        <v>1</v>
      </c>
      <c r="AA26" s="332">
        <f>(W26-V26)*Z26</f>
        <v>1104</v>
      </c>
      <c r="AB26" s="332">
        <f>AA26*Y26</f>
        <v>88320</v>
      </c>
      <c r="AC26" s="245">
        <f>AC9</f>
        <v>1033333</v>
      </c>
      <c r="AD26" s="492">
        <f>SUM(K36)</f>
        <v>0.2152886115444618</v>
      </c>
    </row>
    <row r="27" spans="1:32" ht="20.100000000000001" customHeight="1">
      <c r="A27" s="163">
        <f>ELEC!C27</f>
        <v>44463</v>
      </c>
      <c r="B27" s="608">
        <f t="shared" si="10"/>
        <v>1094643</v>
      </c>
      <c r="C27" s="260">
        <f t="shared" si="0"/>
        <v>0</v>
      </c>
      <c r="D27" s="303">
        <f t="shared" si="11"/>
        <v>0</v>
      </c>
      <c r="E27" s="303">
        <f t="shared" si="12"/>
        <v>1094643</v>
      </c>
      <c r="F27" s="608">
        <f t="shared" si="13"/>
        <v>159392</v>
      </c>
      <c r="G27" s="160">
        <f t="shared" si="1"/>
        <v>0</v>
      </c>
      <c r="H27" s="608">
        <f t="shared" si="14"/>
        <v>536540</v>
      </c>
      <c r="I27" s="161">
        <f t="shared" si="2"/>
        <v>0</v>
      </c>
      <c r="J27" s="608">
        <f t="shared" si="15"/>
        <v>398712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159.96313985627418</v>
      </c>
      <c r="P27" s="292">
        <f t="shared" si="8"/>
        <v>159.96313985627418</v>
      </c>
      <c r="Q27" s="292">
        <f>SUM(-tanks!AX29*tanks!$AU$37)</f>
        <v>0</v>
      </c>
      <c r="R27" s="292">
        <f t="shared" si="9"/>
        <v>159.96313985627418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536982</v>
      </c>
      <c r="X27" s="172" t="s">
        <v>212</v>
      </c>
      <c r="Y27" s="172">
        <v>112</v>
      </c>
      <c r="Z27" s="172">
        <v>1</v>
      </c>
      <c r="AA27" s="332">
        <f>(W27-V27)*Z27</f>
        <v>3546</v>
      </c>
      <c r="AB27" s="332">
        <f>SUM(AA27*Y27)</f>
        <v>397152</v>
      </c>
      <c r="AC27" s="245">
        <f>AC10</f>
        <v>6200000</v>
      </c>
      <c r="AD27" s="492">
        <f>SUM(I36)</f>
        <v>0.69149765990639633</v>
      </c>
    </row>
    <row r="28" spans="1:32" ht="20.100000000000001" customHeight="1">
      <c r="A28" s="163">
        <f>ELEC!C28</f>
        <v>44464</v>
      </c>
      <c r="B28" s="608">
        <f t="shared" si="10"/>
        <v>1094643</v>
      </c>
      <c r="C28" s="260">
        <f t="shared" si="0"/>
        <v>0</v>
      </c>
      <c r="D28" s="303">
        <f t="shared" si="11"/>
        <v>0</v>
      </c>
      <c r="E28" s="303">
        <f>B27+D28</f>
        <v>1094643</v>
      </c>
      <c r="F28" s="608">
        <f t="shared" si="13"/>
        <v>159392</v>
      </c>
      <c r="G28" s="160">
        <f t="shared" si="1"/>
        <v>0</v>
      </c>
      <c r="H28" s="608">
        <f t="shared" si="14"/>
        <v>536540</v>
      </c>
      <c r="I28" s="161">
        <f t="shared" si="2"/>
        <v>0</v>
      </c>
      <c r="J28" s="608">
        <f t="shared" si="15"/>
        <v>398712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159.96313985627418</v>
      </c>
      <c r="P28" s="292">
        <f t="shared" si="8"/>
        <v>159.96313985627418</v>
      </c>
      <c r="Q28" s="292">
        <f>SUM(-tanks!AX30*tanks!$AU$37)</f>
        <v>0</v>
      </c>
      <c r="R28" s="292">
        <f t="shared" si="9"/>
        <v>159.96313985627418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479</v>
      </c>
      <c r="AB28" s="332">
        <f>SUM(AA28*Y28)</f>
        <v>153280</v>
      </c>
      <c r="AC28" s="245">
        <f>AC11</f>
        <v>1000</v>
      </c>
      <c r="AD28" s="492">
        <f>SUM(G36)</f>
        <v>9.3408736349453972E-2</v>
      </c>
      <c r="AE28" s="40">
        <f>SUM(AB28*5%)</f>
        <v>7664</v>
      </c>
      <c r="AF28" s="82">
        <f>SUM(AE28/7)*31</f>
        <v>33940.571428571428</v>
      </c>
    </row>
    <row r="29" spans="1:32" ht="20.100000000000001" customHeight="1">
      <c r="A29" s="163">
        <f>ELEC!C29</f>
        <v>44465</v>
      </c>
      <c r="B29" s="641">
        <v>1094960</v>
      </c>
      <c r="C29" s="260">
        <f t="shared" si="0"/>
        <v>317</v>
      </c>
      <c r="D29" s="303">
        <f t="shared" si="11"/>
        <v>316</v>
      </c>
      <c r="E29" s="303">
        <f>B28+D29</f>
        <v>1094959</v>
      </c>
      <c r="F29" s="608">
        <f t="shared" si="13"/>
        <v>159392</v>
      </c>
      <c r="G29" s="160">
        <f t="shared" si="1"/>
        <v>0</v>
      </c>
      <c r="H29" s="641">
        <v>536839</v>
      </c>
      <c r="I29" s="161">
        <f t="shared" si="2"/>
        <v>299</v>
      </c>
      <c r="J29" s="641">
        <v>398729</v>
      </c>
      <c r="K29" s="162">
        <f t="shared" si="3"/>
        <v>17</v>
      </c>
      <c r="L29" s="291">
        <f t="shared" si="17"/>
        <v>0</v>
      </c>
      <c r="M29" s="291">
        <f t="shared" si="18"/>
        <v>22.214262023217248</v>
      </c>
      <c r="N29" s="291">
        <f t="shared" si="19"/>
        <v>0.9021558872305141</v>
      </c>
      <c r="O29" s="291">
        <f t="shared" si="7"/>
        <v>159.96313985627418</v>
      </c>
      <c r="P29" s="292">
        <f t="shared" si="8"/>
        <v>183.07955776672193</v>
      </c>
      <c r="Q29" s="292">
        <f>SUM(-tanks!AX31*tanks!$AU$37)</f>
        <v>1118.9635483870927</v>
      </c>
      <c r="R29" s="292">
        <f t="shared" si="9"/>
        <v>1302.0431061538147</v>
      </c>
      <c r="S29" s="294">
        <f>SUM(ELEC!N29)</f>
        <v>4583</v>
      </c>
      <c r="T29" s="330">
        <f t="shared" si="16"/>
        <v>0.28410279427314306</v>
      </c>
      <c r="V29" s="213"/>
      <c r="W29" s="214"/>
      <c r="X29" s="214"/>
      <c r="Y29" s="215"/>
      <c r="Z29" s="3"/>
      <c r="AA29" s="332">
        <f>SUM(AA26:AA28)</f>
        <v>5129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v>1095269</v>
      </c>
      <c r="C30" s="260">
        <f t="shared" si="0"/>
        <v>309</v>
      </c>
      <c r="D30" s="303">
        <f t="shared" si="11"/>
        <v>309</v>
      </c>
      <c r="E30" s="303">
        <f t="shared" si="12"/>
        <v>1095269</v>
      </c>
      <c r="F30" s="608">
        <v>159392</v>
      </c>
      <c r="G30" s="160">
        <f t="shared" si="1"/>
        <v>0</v>
      </c>
      <c r="H30" s="608">
        <v>536982</v>
      </c>
      <c r="I30" s="161">
        <f t="shared" si="2"/>
        <v>143</v>
      </c>
      <c r="J30" s="608">
        <v>398895</v>
      </c>
      <c r="K30" s="162">
        <f t="shared" si="3"/>
        <v>166</v>
      </c>
      <c r="L30" s="291">
        <f t="shared" si="17"/>
        <v>0</v>
      </c>
      <c r="M30" s="291">
        <f t="shared" si="18"/>
        <v>10.624212271973466</v>
      </c>
      <c r="N30" s="291">
        <f t="shared" si="19"/>
        <v>8.8092868988391384</v>
      </c>
      <c r="O30" s="291">
        <f t="shared" si="7"/>
        <v>159.96313985627418</v>
      </c>
      <c r="P30" s="292">
        <f t="shared" si="8"/>
        <v>179.39663902708679</v>
      </c>
      <c r="Q30" s="292">
        <f>SUM(-tanks!AX32*tanks!$AU$37)</f>
        <v>1372.4529838709691</v>
      </c>
      <c r="R30" s="292">
        <f t="shared" si="9"/>
        <v>1551.8496228980559</v>
      </c>
      <c r="S30" s="294">
        <f>SUM(ELEC!N30)</f>
        <v>9281</v>
      </c>
      <c r="T30" s="330">
        <f t="shared" si="16"/>
        <v>0.16720715686866242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638752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1095269</v>
      </c>
      <c r="C31" s="260">
        <f>SUM(B31-B30)</f>
        <v>0</v>
      </c>
      <c r="D31" s="303">
        <f t="shared" si="11"/>
        <v>0</v>
      </c>
      <c r="E31" s="303">
        <f>B30+D31</f>
        <v>1095269</v>
      </c>
      <c r="F31" s="608">
        <f t="shared" si="13"/>
        <v>159392</v>
      </c>
      <c r="G31" s="160">
        <f>F31-F30</f>
        <v>0</v>
      </c>
      <c r="H31" s="608">
        <f t="shared" si="14"/>
        <v>536982</v>
      </c>
      <c r="I31" s="161">
        <f>H31-H30</f>
        <v>0</v>
      </c>
      <c r="J31" s="608">
        <f t="shared" si="15"/>
        <v>398895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159.96313985627418</v>
      </c>
      <c r="P31" s="292">
        <f>SUM(L31:O31)</f>
        <v>159.96313985627418</v>
      </c>
      <c r="Q31" s="292">
        <f>SUM(-tanks!AX33*tanks!$AU$37)</f>
        <v>0</v>
      </c>
      <c r="R31" s="292">
        <f>SUM(P31:Q31)</f>
        <v>159.96313985627418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1095269</v>
      </c>
      <c r="C32" s="260">
        <f>SUM(B32-B31)</f>
        <v>0</v>
      </c>
      <c r="D32" s="303">
        <f t="shared" si="11"/>
        <v>0</v>
      </c>
      <c r="E32" s="303">
        <f>B31+D32</f>
        <v>1095269</v>
      </c>
      <c r="F32" s="608">
        <f t="shared" si="13"/>
        <v>159392</v>
      </c>
      <c r="G32" s="160">
        <f>F32-F31</f>
        <v>0</v>
      </c>
      <c r="H32" s="608">
        <f t="shared" si="14"/>
        <v>536982</v>
      </c>
      <c r="I32" s="161">
        <f>H32-H31</f>
        <v>0</v>
      </c>
      <c r="J32" s="608">
        <f t="shared" si="15"/>
        <v>398895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159.96313985627418</v>
      </c>
      <c r="P32" s="292">
        <f>SUM(L32:O32)</f>
        <v>159.96313985627418</v>
      </c>
      <c r="Q32" s="292">
        <f>SUM(-tanks!AX34*tanks!$AU$37)</f>
        <v>0</v>
      </c>
      <c r="R32" s="292">
        <f>SUM(P32:Q32)</f>
        <v>159.96313985627418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1095269</v>
      </c>
      <c r="C33" s="260">
        <f>SUM(B33-B32)</f>
        <v>0</v>
      </c>
      <c r="D33" s="303">
        <f t="shared" si="11"/>
        <v>0</v>
      </c>
      <c r="E33" s="303">
        <f>B32+D33</f>
        <v>1095269</v>
      </c>
      <c r="F33" s="608">
        <f t="shared" si="13"/>
        <v>159392</v>
      </c>
      <c r="G33" s="160">
        <f>F33-F32</f>
        <v>0</v>
      </c>
      <c r="H33" s="608">
        <f t="shared" si="14"/>
        <v>536982</v>
      </c>
      <c r="I33" s="161">
        <f>H33-H32</f>
        <v>0</v>
      </c>
      <c r="J33" s="608">
        <f t="shared" si="15"/>
        <v>398895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159.96313985627418</v>
      </c>
      <c r="P33" s="292">
        <f>SUM(L33:O33)</f>
        <v>159.96313985627418</v>
      </c>
      <c r="Q33" s="292">
        <f>SUM(-tanks!AX35*tanks!$AU$37)</f>
        <v>0</v>
      </c>
      <c r="R33" s="292">
        <f>SUM(P33:Q33)</f>
        <v>159.96313985627418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293</v>
      </c>
      <c r="X33" s="222">
        <f>SUM(W33/A35)</f>
        <v>24.416666666666668</v>
      </c>
      <c r="Y33" s="256">
        <f>SUM(X33/1)</f>
        <v>24.416666666666668</v>
      </c>
      <c r="Z33" s="3"/>
      <c r="AA33" s="3"/>
      <c r="AB33" s="525">
        <f>SUM(AB30+AC33)</f>
        <v>7873085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1095269</v>
      </c>
      <c r="C34" s="260">
        <f>SUM(B34-B33)</f>
        <v>0</v>
      </c>
      <c r="D34" s="303">
        <f t="shared" ref="D34" si="20">SUM(G34+I34+K34)</f>
        <v>0</v>
      </c>
      <c r="E34" s="303">
        <f>B33+D34</f>
        <v>1095269</v>
      </c>
      <c r="F34" s="608">
        <f t="shared" si="13"/>
        <v>159392</v>
      </c>
      <c r="G34" s="160">
        <f>F34-F33</f>
        <v>0</v>
      </c>
      <c r="H34" s="608">
        <f t="shared" si="14"/>
        <v>536982</v>
      </c>
      <c r="I34" s="161">
        <f>H34-H33</f>
        <v>0</v>
      </c>
      <c r="J34" s="608">
        <f t="shared" si="15"/>
        <v>398895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159.96313985627418</v>
      </c>
      <c r="P34" s="292">
        <f>SUM(L34:O34)</f>
        <v>159.96313985627418</v>
      </c>
      <c r="Q34" s="292">
        <f>SUM(-tanks!AX36*tanks!$AU$37)</f>
        <v>0</v>
      </c>
      <c r="R34" s="292">
        <f>SUM(P34:Q34)</f>
        <v>159.96313985627418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12</v>
      </c>
      <c r="C35" s="173">
        <f>SUM(C4:C34)/A35</f>
        <v>427.33333333333331</v>
      </c>
      <c r="D35" s="173"/>
      <c r="E35" s="173"/>
      <c r="F35" s="599"/>
      <c r="G35" s="599">
        <f>SUM(G4:G34)/A35</f>
        <v>39.916666666666664</v>
      </c>
      <c r="H35" s="173"/>
      <c r="I35" s="173">
        <f>SUM(I4:I34)/A35</f>
        <v>295.5</v>
      </c>
      <c r="K35" s="173">
        <f>SUM(K4:K34)/A35</f>
        <v>92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1.0001950078003121</v>
      </c>
      <c r="G36" s="225">
        <f>IF(C35&gt;0,G35/C35,0)</f>
        <v>9.3408736349453972E-2</v>
      </c>
      <c r="H36" s="212"/>
      <c r="I36" s="225">
        <f>SUM(I35/C35)</f>
        <v>0.69149765990639633</v>
      </c>
      <c r="J36" s="212"/>
      <c r="K36" s="225">
        <f>SUM(K35/C35)</f>
        <v>0.2152886115444618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5222.6102819237149</v>
      </c>
      <c r="AC36" s="556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5222.6102819237149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68"/>
      <c r="AC45" s="668"/>
      <c r="AD45" s="568"/>
      <c r="AE45" s="17"/>
      <c r="AF45" s="17"/>
    </row>
    <row r="46" spans="1:32">
      <c r="V46" s="668"/>
      <c r="W46" s="668"/>
      <c r="X46" s="668"/>
      <c r="Y46" s="668"/>
      <c r="Z46" s="529"/>
      <c r="AA46" s="529"/>
      <c r="AB46" s="668"/>
      <c r="AC46" s="668"/>
      <c r="AD46" s="568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68"/>
      <c r="AE47" s="17"/>
      <c r="AF47" s="17"/>
    </row>
    <row r="48" spans="1:32">
      <c r="V48" s="669"/>
      <c r="W48" s="669"/>
      <c r="X48" s="670"/>
      <c r="Y48" s="670"/>
      <c r="Z48" s="670"/>
      <c r="AA48" s="530"/>
      <c r="AB48" s="668"/>
      <c r="AC48" s="668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5" activePane="bottomLeft" state="frozen"/>
      <selection pane="bottomLeft" activeCell="K40" sqref="K40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0" t="s">
        <v>193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2"/>
    </row>
    <row r="2" spans="1:15" ht="15.75" customHeight="1" thickBot="1">
      <c r="A2" s="703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5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>
        <v>29</v>
      </c>
      <c r="C13" s="37">
        <v>25</v>
      </c>
      <c r="D13" s="26">
        <f>(C13+B13)/2</f>
        <v>27</v>
      </c>
      <c r="E13" s="348">
        <v>0.64</v>
      </c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>
        <v>29</v>
      </c>
      <c r="C14" s="37">
        <v>25</v>
      </c>
      <c r="D14" s="26">
        <f t="shared" ref="D14:D33" si="3">(C14+B14)/2</f>
        <v>27</v>
      </c>
      <c r="E14" s="334">
        <v>0.74</v>
      </c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>
        <v>29</v>
      </c>
      <c r="C18" s="37">
        <v>25</v>
      </c>
      <c r="D18" s="26">
        <f t="shared" si="3"/>
        <v>27</v>
      </c>
      <c r="E18" s="421">
        <v>0.61</v>
      </c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>
        <v>30</v>
      </c>
      <c r="C19" s="37">
        <v>25</v>
      </c>
      <c r="D19" s="26">
        <f t="shared" si="3"/>
        <v>27.5</v>
      </c>
      <c r="E19" s="334">
        <v>0.65</v>
      </c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>
        <v>29</v>
      </c>
      <c r="C20" s="37">
        <v>24</v>
      </c>
      <c r="D20" s="26">
        <f t="shared" si="3"/>
        <v>26.5</v>
      </c>
      <c r="E20" s="334">
        <v>0.64</v>
      </c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>
        <v>30</v>
      </c>
      <c r="C21" s="37">
        <v>26</v>
      </c>
      <c r="D21" s="26">
        <f>(C21+B21)/2</f>
        <v>28</v>
      </c>
      <c r="E21" s="334">
        <v>0.6</v>
      </c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>
        <v>28</v>
      </c>
      <c r="C22" s="37">
        <v>23</v>
      </c>
      <c r="D22" s="26">
        <f t="shared" si="3"/>
        <v>25.5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>
        <v>29</v>
      </c>
      <c r="C24" s="37">
        <v>24</v>
      </c>
      <c r="D24" s="26">
        <f>(C24+B24)/2</f>
        <v>26.5</v>
      </c>
      <c r="E24" s="388">
        <v>0.61</v>
      </c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>
        <v>29</v>
      </c>
      <c r="C25" s="37">
        <v>25</v>
      </c>
      <c r="D25" s="26">
        <f t="shared" si="3"/>
        <v>27</v>
      </c>
      <c r="E25" s="334">
        <v>0.65</v>
      </c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>
        <v>30</v>
      </c>
      <c r="C26" s="37">
        <v>25</v>
      </c>
      <c r="D26" s="26">
        <f t="shared" si="3"/>
        <v>27.5</v>
      </c>
      <c r="E26" s="334">
        <v>0.62</v>
      </c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>
        <v>31</v>
      </c>
      <c r="C27" s="37">
        <v>25</v>
      </c>
      <c r="D27" s="26">
        <f t="shared" si="3"/>
        <v>28</v>
      </c>
      <c r="E27" s="388">
        <v>0.64</v>
      </c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>
        <v>28</v>
      </c>
      <c r="C31" s="37">
        <v>23</v>
      </c>
      <c r="D31" s="26">
        <f t="shared" si="3"/>
        <v>25.5</v>
      </c>
      <c r="E31" s="336">
        <v>0.61</v>
      </c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38.708333333333336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4833.9999999990105</v>
      </c>
      <c r="E6" s="3">
        <f>ELEC!Q25</f>
        <v>9362.0000000009895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20</v>
      </c>
      <c r="B9" s="3">
        <f>ELEC!AF11</f>
        <v>4406</v>
      </c>
      <c r="C9" s="3">
        <f>ELEC!N11</f>
        <v>15846</v>
      </c>
      <c r="D9" s="3">
        <f t="shared" si="0"/>
        <v>365.00000000023283</v>
      </c>
      <c r="E9" s="3">
        <f>ELEC!Q11</f>
        <v>15480.999999999767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100.59999999999997</v>
      </c>
      <c r="J9" s="9">
        <f>'B5'!A11</f>
        <v>44446</v>
      </c>
    </row>
    <row r="10" spans="1:10">
      <c r="A10" s="3">
        <f>ELEC!T12+ELEC!X12+ELEC!AB12</f>
        <v>21</v>
      </c>
      <c r="B10" s="3">
        <f>ELEC!AF12</f>
        <v>5065</v>
      </c>
      <c r="C10" s="3">
        <f>ELEC!N12</f>
        <v>14517</v>
      </c>
      <c r="D10" s="3">
        <f t="shared" si="0"/>
        <v>-4050.9999999993015</v>
      </c>
      <c r="E10" s="3">
        <f>ELEC!Q12</f>
        <v>18567.999999999302</v>
      </c>
      <c r="F10" s="3">
        <f>GEN!Z10</f>
        <v>23</v>
      </c>
      <c r="G10" s="3">
        <f>WATER!C13+WATER!H13</f>
        <v>0</v>
      </c>
      <c r="H10" s="3">
        <f>WATER!L13</f>
        <v>0</v>
      </c>
      <c r="I10" s="15">
        <f>WATER!BC13+WATER!BD13+WATER!BE14-Sheet1!G10</f>
        <v>30.400000000000034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9655</v>
      </c>
      <c r="D11" s="3">
        <f t="shared" si="0"/>
        <v>9655</v>
      </c>
      <c r="E11" s="3">
        <f>ELEC!Q13</f>
        <v>0</v>
      </c>
      <c r="F11" s="3">
        <f>GEN!Z11</f>
        <v>26</v>
      </c>
      <c r="G11" s="3">
        <f>WATER!C14+WATER!H14</f>
        <v>0</v>
      </c>
      <c r="H11" s="3">
        <f>WATER!L14</f>
        <v>2</v>
      </c>
      <c r="I11" s="15">
        <f>WATER!BC14+WATER!BD14+WATER!BE15-Sheet1!G11</f>
        <v>-7.9999999999999432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29</v>
      </c>
      <c r="B14" s="3">
        <f>ELEC!AF16</f>
        <v>6414</v>
      </c>
      <c r="C14" s="3">
        <f>ELEC!N16</f>
        <v>8624</v>
      </c>
      <c r="D14" s="3">
        <f t="shared" si="0"/>
        <v>-9798.0000000022992</v>
      </c>
      <c r="E14" s="3">
        <f>ELEC!Q16</f>
        <v>18422.000000002299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33.499999999999929</v>
      </c>
      <c r="J14" s="9">
        <f>'B5'!A16</f>
        <v>44451</v>
      </c>
    </row>
    <row r="15" spans="1:10">
      <c r="A15" s="3">
        <f>ELEC!T17+ELEC!X17+ELEC!AB17</f>
        <v>19</v>
      </c>
      <c r="B15" s="3">
        <f>ELEC!AF17</f>
        <v>4395</v>
      </c>
      <c r="C15" s="3">
        <f>ELEC!N17</f>
        <v>7315</v>
      </c>
      <c r="D15" s="3">
        <f t="shared" si="0"/>
        <v>-7942.9999999979918</v>
      </c>
      <c r="E15" s="3">
        <f>ELEC!Q17</f>
        <v>15257.999999997992</v>
      </c>
      <c r="F15" s="3">
        <f>GEN!Z15</f>
        <v>27</v>
      </c>
      <c r="G15" s="3">
        <f>WATER!C18+WATER!H18</f>
        <v>273</v>
      </c>
      <c r="H15" s="3">
        <f>WATER!L18</f>
        <v>0</v>
      </c>
      <c r="I15" s="15">
        <f>WATER!BC18+WATER!BD18+WATER!BE19-Sheet1!G15</f>
        <v>-193.40000000000003</v>
      </c>
      <c r="J15" s="9">
        <f>'B5'!A17</f>
        <v>44452</v>
      </c>
    </row>
    <row r="16" spans="1:10">
      <c r="A16" s="3">
        <f>ELEC!T18+ELEC!X18+ELEC!AB18</f>
        <v>9</v>
      </c>
      <c r="B16" s="3">
        <f>ELEC!AF18</f>
        <v>1974</v>
      </c>
      <c r="C16" s="3">
        <f>ELEC!N18</f>
        <v>10367.000000002008</v>
      </c>
      <c r="D16" s="3">
        <f t="shared" si="0"/>
        <v>0</v>
      </c>
      <c r="E16" s="3">
        <f>ELEC!Q18</f>
        <v>10367.000000002008</v>
      </c>
      <c r="F16" s="3">
        <f>GEN!Z16</f>
        <v>21</v>
      </c>
      <c r="G16" s="3">
        <f>WATER!C19+WATER!H19</f>
        <v>130</v>
      </c>
      <c r="H16" s="3">
        <f>WATER!L19</f>
        <v>0</v>
      </c>
      <c r="I16" s="15">
        <f>WATER!BC19+WATER!BD19+WATER!BE20-Sheet1!G16</f>
        <v>-100.29999999999995</v>
      </c>
      <c r="J16" s="9">
        <f>'B5'!A18</f>
        <v>44453</v>
      </c>
    </row>
    <row r="17" spans="1:10">
      <c r="A17" s="3">
        <f>ELEC!T19+ELEC!X19+ELEC!AB19</f>
        <v>17</v>
      </c>
      <c r="B17" s="3">
        <f>ELEC!AF19</f>
        <v>3800</v>
      </c>
      <c r="C17" s="3">
        <f>ELEC!N19</f>
        <v>7902</v>
      </c>
      <c r="D17" s="3">
        <f t="shared" si="0"/>
        <v>-79.999999999970896</v>
      </c>
      <c r="E17" s="3">
        <f>ELEC!Q19</f>
        <v>7981.9999999999709</v>
      </c>
      <c r="F17" s="3">
        <f>GEN!Z17</f>
        <v>15</v>
      </c>
      <c r="G17" s="3">
        <f>WATER!C20+WATER!H20</f>
        <v>0</v>
      </c>
      <c r="H17" s="3">
        <f>WATER!L20</f>
        <v>5</v>
      </c>
      <c r="I17" s="15">
        <f>WATER!BC20+WATER!BD20+WATER!BE21-Sheet1!G17</f>
        <v>-2.8999999999999773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1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7</v>
      </c>
      <c r="B20" s="3">
        <f>ELEC!AF22</f>
        <v>1640</v>
      </c>
      <c r="C20" s="3">
        <f>ELEC!N22</f>
        <v>6587</v>
      </c>
      <c r="D20" s="3">
        <f t="shared" si="0"/>
        <v>356.00000000023283</v>
      </c>
      <c r="E20" s="3">
        <f>ELEC!Q22</f>
        <v>6230.9999999997672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-3.8000000000000398</v>
      </c>
      <c r="J20" s="9">
        <f>'B5'!A22</f>
        <v>44457</v>
      </c>
    </row>
    <row r="21" spans="1:10">
      <c r="A21" s="3">
        <f>ELEC!T23+ELEC!X23+ELEC!AB23</f>
        <v>10</v>
      </c>
      <c r="B21" s="3">
        <f>ELEC!AF23</f>
        <v>2628</v>
      </c>
      <c r="C21" s="3">
        <f>ELEC!N23</f>
        <v>8136</v>
      </c>
      <c r="D21" s="3">
        <f t="shared" si="0"/>
        <v>-151.00000000026193</v>
      </c>
      <c r="E21" s="3">
        <f>ELEC!Q23</f>
        <v>8287.0000000002619</v>
      </c>
      <c r="F21" s="3">
        <f>GEN!Z21</f>
        <v>10</v>
      </c>
      <c r="G21" s="3">
        <f>WATER!C24+WATER!H24</f>
        <v>0</v>
      </c>
      <c r="H21" s="3">
        <f>WATER!L24</f>
        <v>5</v>
      </c>
      <c r="I21" s="15">
        <f>WATER!BC24+WATER!BD24+WATER!BE25-Sheet1!G21</f>
        <v>-2.9000000000000341</v>
      </c>
      <c r="J21" s="9">
        <f>'B5'!A23</f>
        <v>44458</v>
      </c>
    </row>
    <row r="22" spans="1:10">
      <c r="A22" s="3">
        <f>ELEC!T24+ELEC!X24+ELEC!AB24</f>
        <v>10</v>
      </c>
      <c r="B22" s="3">
        <f>ELEC!AF24</f>
        <v>2828</v>
      </c>
      <c r="C22" s="3">
        <f>ELEC!N24</f>
        <v>8087</v>
      </c>
      <c r="D22" s="3">
        <f t="shared" si="0"/>
        <v>77.000000001600711</v>
      </c>
      <c r="E22" s="3">
        <f>ELEC!Q24</f>
        <v>8009.9999999983993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-49.7</v>
      </c>
      <c r="J22" s="9">
        <f>'B5'!A24</f>
        <v>44459</v>
      </c>
    </row>
    <row r="23" spans="1:10">
      <c r="A23" s="3">
        <f>ELEC!T25+ELEC!X25+ELEC!AB25</f>
        <v>10</v>
      </c>
      <c r="B23" s="3">
        <f>ELEC!AF25</f>
        <v>2960</v>
      </c>
      <c r="C23" s="3">
        <f>ELEC!N25</f>
        <v>9331</v>
      </c>
      <c r="D23" s="3">
        <f t="shared" si="0"/>
        <v>-31.00000000098953</v>
      </c>
      <c r="E23" s="3">
        <f>ELEC!Q25</f>
        <v>9362.0000000009895</v>
      </c>
      <c r="F23" s="3">
        <f>GEN!Z23</f>
        <v>10</v>
      </c>
      <c r="G23" s="3">
        <f>WATER!C26+WATER!H26</f>
        <v>0</v>
      </c>
      <c r="H23" s="3">
        <f>WATER!L26</f>
        <v>1</v>
      </c>
      <c r="I23" s="15">
        <f>WATER!BC26+WATER!BD26+WATER!BE27-Sheet1!G23</f>
        <v>0.300000000000054</v>
      </c>
      <c r="J23" s="9">
        <f>'B5'!A25</f>
        <v>44460</v>
      </c>
    </row>
    <row r="24" spans="1:10">
      <c r="A24" s="3">
        <f>ELEC!T26+ELEC!X26+ELEC!AB26</f>
        <v>10</v>
      </c>
      <c r="B24" s="3">
        <f>ELEC!AF26</f>
        <v>2559</v>
      </c>
      <c r="C24" s="3">
        <f>ELEC!N26</f>
        <v>8036</v>
      </c>
      <c r="D24" s="3">
        <f t="shared" si="0"/>
        <v>93.000000000698492</v>
      </c>
      <c r="E24" s="3">
        <f>ELEC!Q26</f>
        <v>7942.9999999993015</v>
      </c>
      <c r="F24" s="3">
        <f>GEN!Z24</f>
        <v>12</v>
      </c>
      <c r="G24" s="3">
        <f>WATER!C27+WATER!H27</f>
        <v>98</v>
      </c>
      <c r="H24" s="3">
        <f>WATER!L27</f>
        <v>1</v>
      </c>
      <c r="I24" s="15">
        <f>WATER!BC27+WATER!BD27+WATER!BE28-Sheet1!G24</f>
        <v>-137.89999999999998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-11.600000000000023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8</v>
      </c>
      <c r="B27" s="3">
        <f>ELEC!AF29</f>
        <v>1662</v>
      </c>
      <c r="C27" s="3">
        <f>ELEC!N29</f>
        <v>4583</v>
      </c>
      <c r="D27" s="3">
        <f t="shared" si="0"/>
        <v>-1680.9999999992142</v>
      </c>
      <c r="E27" s="3">
        <f>ELEC!Q29</f>
        <v>6263.9999999992142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-12.699999999999989</v>
      </c>
      <c r="J27" s="9">
        <f>'B5'!A29</f>
        <v>44464</v>
      </c>
    </row>
    <row r="28" spans="1:10">
      <c r="A28" s="3">
        <f>ELEC!T30+ELEC!X30+ELEC!AB30</f>
        <v>9</v>
      </c>
      <c r="B28" s="3">
        <f>ELEC!AF30</f>
        <v>2472</v>
      </c>
      <c r="C28" s="3">
        <f>ELEC!N30</f>
        <v>9281</v>
      </c>
      <c r="D28" s="3">
        <f t="shared" si="0"/>
        <v>1958.9999999998836</v>
      </c>
      <c r="E28" s="3">
        <f>ELEC!Q30</f>
        <v>7322.0000000001164</v>
      </c>
      <c r="F28" s="3">
        <f>GEN!Z28</f>
        <v>10</v>
      </c>
      <c r="G28" s="3">
        <f>WATER!C31+WATER!H31</f>
        <v>0</v>
      </c>
      <c r="H28" s="3">
        <f>WATER!L31</f>
        <v>0</v>
      </c>
      <c r="I28" s="15">
        <f>WATER!BC31+WATER!BD31+WATER!BE32-Sheet1!G28</f>
        <v>-10.899999999999977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10</v>
      </c>
      <c r="G29" s="3">
        <f>WATER!C32+WATER!H32</f>
        <v>0</v>
      </c>
      <c r="H29" s="3">
        <f>WATER!L32</f>
        <v>5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9"/>
      <c r="B1" s="706" t="s">
        <v>119</v>
      </c>
      <c r="C1" s="706" t="s">
        <v>118</v>
      </c>
      <c r="D1" s="711" t="s">
        <v>113</v>
      </c>
      <c r="E1" s="711" t="s">
        <v>114</v>
      </c>
      <c r="F1" s="712" t="s">
        <v>120</v>
      </c>
      <c r="G1" s="713" t="s">
        <v>75</v>
      </c>
      <c r="H1" s="714" t="s">
        <v>115</v>
      </c>
      <c r="I1" s="715" t="s">
        <v>116</v>
      </c>
      <c r="J1" s="714" t="s">
        <v>117</v>
      </c>
      <c r="K1" s="708" t="s">
        <v>121</v>
      </c>
      <c r="L1" s="708" t="s">
        <v>122</v>
      </c>
      <c r="M1" s="708" t="s">
        <v>123</v>
      </c>
      <c r="N1" s="708" t="s">
        <v>124</v>
      </c>
    </row>
    <row r="2" spans="1:14">
      <c r="A2" s="710"/>
      <c r="B2" s="707"/>
      <c r="C2" s="707"/>
      <c r="D2" s="711"/>
      <c r="E2" s="711"/>
      <c r="F2" s="712"/>
      <c r="G2" s="713"/>
      <c r="H2" s="714"/>
      <c r="I2" s="716"/>
      <c r="J2" s="714"/>
      <c r="K2" s="708"/>
      <c r="L2" s="708"/>
      <c r="M2" s="708"/>
      <c r="N2" s="70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29</v>
      </c>
      <c r="C12" s="76">
        <f>'B5'!AH12</f>
        <v>0</v>
      </c>
      <c r="D12" s="76">
        <f>GEN!AI10</f>
        <v>3984.5611814345398</v>
      </c>
      <c r="E12" s="239">
        <f t="shared" si="0"/>
        <v>4013.5611814345398</v>
      </c>
      <c r="F12" s="75">
        <f>WATER!L12</f>
        <v>0</v>
      </c>
      <c r="G12" s="78">
        <f>WATER!BG12</f>
        <v>-15.20000000000001</v>
      </c>
      <c r="H12" s="79">
        <f>ELEC!AF11</f>
        <v>4406</v>
      </c>
      <c r="I12" s="79">
        <f>ELEC!Q11</f>
        <v>15480.999999999767</v>
      </c>
      <c r="J12" s="79">
        <f>ELEC!R11</f>
        <v>365.00000000023283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99</v>
      </c>
      <c r="C13" s="76">
        <f>'B5'!AH13</f>
        <v>0</v>
      </c>
      <c r="D13" s="76">
        <f>GEN!AI11</f>
        <v>4779.1054852318885</v>
      </c>
      <c r="E13" s="239">
        <f t="shared" si="0"/>
        <v>4878.1054852318885</v>
      </c>
      <c r="F13" s="75">
        <f>WATER!L13</f>
        <v>0</v>
      </c>
      <c r="G13" s="78">
        <f>WATER!BG13</f>
        <v>110.39999999999998</v>
      </c>
      <c r="H13" s="79">
        <f>ELEC!AF12</f>
        <v>5065</v>
      </c>
      <c r="I13" s="79">
        <f>ELEC!Q12</f>
        <v>18567.999999999302</v>
      </c>
      <c r="J13" s="79">
        <f>ELEC!R12</f>
        <v>-4050.9999999993015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-7.9999999999999432</v>
      </c>
      <c r="H14" s="79">
        <f>ELEC!AF13</f>
        <v>0</v>
      </c>
      <c r="I14" s="79">
        <f>ELEC!Q13</f>
        <v>0</v>
      </c>
      <c r="J14" s="79">
        <f>ELEC!R13</f>
        <v>9655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141</v>
      </c>
      <c r="C17" s="76">
        <f>'B5'!AH17</f>
        <v>0</v>
      </c>
      <c r="D17" s="76">
        <f>GEN!AI15</f>
        <v>4741.5274261609293</v>
      </c>
      <c r="E17" s="239">
        <f t="shared" si="0"/>
        <v>4882.5274261609293</v>
      </c>
      <c r="F17" s="75">
        <f>WATER!L17</f>
        <v>0</v>
      </c>
      <c r="G17" s="78">
        <f>WATER!BG17</f>
        <v>0</v>
      </c>
      <c r="H17" s="79">
        <f>ELEC!AF16</f>
        <v>6414</v>
      </c>
      <c r="I17" s="79">
        <f>ELEC!Q16</f>
        <v>18422.000000002299</v>
      </c>
      <c r="J17" s="79">
        <f>ELEC!R16</f>
        <v>-9798.0000000022992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66</v>
      </c>
      <c r="C18" s="76">
        <f>'B5'!AH18</f>
        <v>0</v>
      </c>
      <c r="D18" s="76">
        <f>GEN!AI16</f>
        <v>3927.1645569615089</v>
      </c>
      <c r="E18" s="239">
        <f t="shared" si="0"/>
        <v>3993.1645569615089</v>
      </c>
      <c r="F18" s="75">
        <f>WATER!L18</f>
        <v>0</v>
      </c>
      <c r="G18" s="78">
        <f>WATER!BG18</f>
        <v>33.499999999999943</v>
      </c>
      <c r="H18" s="79">
        <f>ELEC!AF17</f>
        <v>4395</v>
      </c>
      <c r="I18" s="79">
        <f>ELEC!Q17</f>
        <v>15257.999999997992</v>
      </c>
      <c r="J18" s="79">
        <f>ELEC!R17</f>
        <v>-7942.9999999979918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50</v>
      </c>
      <c r="C19" s="76">
        <f>'B5'!AH19</f>
        <v>0</v>
      </c>
      <c r="D19" s="76">
        <f>GEN!AI17</f>
        <v>2668.2995780595888</v>
      </c>
      <c r="E19" s="239">
        <f t="shared" si="0"/>
        <v>2718.2995780595888</v>
      </c>
      <c r="F19" s="75">
        <f>WATER!L19</f>
        <v>0</v>
      </c>
      <c r="G19" s="78">
        <f>WATER!BG19</f>
        <v>47.000000000000028</v>
      </c>
      <c r="H19" s="79">
        <f>ELEC!AF18</f>
        <v>1974</v>
      </c>
      <c r="I19" s="79">
        <f>ELEC!Q18</f>
        <v>10367.000000002008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107</v>
      </c>
      <c r="C20" s="76">
        <f>'B5'!AH20</f>
        <v>0</v>
      </c>
      <c r="D20" s="76">
        <f>GEN!AI18</f>
        <v>2054.4388185653934</v>
      </c>
      <c r="E20" s="239">
        <f t="shared" si="0"/>
        <v>2161.4388185653934</v>
      </c>
      <c r="F20" s="75">
        <f>WATER!L20</f>
        <v>5</v>
      </c>
      <c r="G20" s="78">
        <f>WATER!BG20</f>
        <v>-2.8999999999999773</v>
      </c>
      <c r="H20" s="79">
        <f>ELEC!AF19</f>
        <v>3800</v>
      </c>
      <c r="I20" s="79">
        <f>ELEC!Q19</f>
        <v>7981.9999999999709</v>
      </c>
      <c r="J20" s="79">
        <f>ELEC!R19</f>
        <v>-79.999999999970896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1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1603.7594936708263</v>
      </c>
      <c r="E23" s="239">
        <f t="shared" si="0"/>
        <v>1603.7594936708263</v>
      </c>
      <c r="F23" s="75">
        <f>WATER!L23</f>
        <v>0</v>
      </c>
      <c r="G23" s="78">
        <f>WATER!BG23</f>
        <v>0</v>
      </c>
      <c r="H23" s="79">
        <f>ELEC!AF22</f>
        <v>1640</v>
      </c>
      <c r="I23" s="79">
        <f>ELEC!Q22</f>
        <v>6230.9999999997672</v>
      </c>
      <c r="J23" s="79">
        <f>ELEC!R22</f>
        <v>356.00000000023283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119</v>
      </c>
      <c r="C24" s="76">
        <f>'B5'!AH24</f>
        <v>0</v>
      </c>
      <c r="D24" s="76">
        <f>GEN!AI22</f>
        <v>2132.9409282701099</v>
      </c>
      <c r="E24" s="239">
        <f t="shared" si="0"/>
        <v>2251.9409282701099</v>
      </c>
      <c r="F24" s="75">
        <f>WATER!L24</f>
        <v>5</v>
      </c>
      <c r="G24" s="78">
        <f>WATER!BG24</f>
        <v>-3.8000000000000398</v>
      </c>
      <c r="H24" s="79">
        <f>ELEC!AF23</f>
        <v>2628</v>
      </c>
      <c r="I24" s="79">
        <f>ELEC!Q23</f>
        <v>8287.0000000002619</v>
      </c>
      <c r="J24" s="79">
        <f>ELEC!R23</f>
        <v>264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2061.6455696198414</v>
      </c>
      <c r="E25" s="239">
        <f t="shared" si="0"/>
        <v>2061.6455696198414</v>
      </c>
      <c r="F25" s="75">
        <f>WATER!L25</f>
        <v>0</v>
      </c>
      <c r="G25" s="78">
        <f>WATER!BG25</f>
        <v>0</v>
      </c>
      <c r="H25" s="79">
        <f>ELEC!AF24</f>
        <v>2828</v>
      </c>
      <c r="I25" s="79">
        <f>ELEC!Q24</f>
        <v>8009.9999999983993</v>
      </c>
      <c r="J25" s="79">
        <f>ELEC!R24</f>
        <v>77.000000001600711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86</v>
      </c>
      <c r="C26" s="76">
        <f>'B5'!AH26</f>
        <v>0</v>
      </c>
      <c r="D26" s="76">
        <f>GEN!AI24</f>
        <v>2409.6286919833774</v>
      </c>
      <c r="E26" s="239">
        <f t="shared" si="0"/>
        <v>2495.6286919833774</v>
      </c>
      <c r="F26" s="75">
        <f>WATER!L26</f>
        <v>1</v>
      </c>
      <c r="G26" s="78">
        <f>WATER!BG26</f>
        <v>-49.7</v>
      </c>
      <c r="H26" s="79">
        <f>ELEC!AF25</f>
        <v>2960</v>
      </c>
      <c r="I26" s="79">
        <f>ELEC!Q25</f>
        <v>9362.0000000009895</v>
      </c>
      <c r="J26" s="79">
        <f>ELEC!R25</f>
        <v>-31.00000000098953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85</v>
      </c>
      <c r="C27" s="76">
        <f>'B5'!AH27</f>
        <v>0</v>
      </c>
      <c r="D27" s="76">
        <f>GEN!AI25</f>
        <v>2044.400843881677</v>
      </c>
      <c r="E27" s="239">
        <f t="shared" si="0"/>
        <v>2129.4008438816772</v>
      </c>
      <c r="F27" s="75">
        <f>WATER!L27</f>
        <v>1</v>
      </c>
      <c r="G27" s="78">
        <f>WATER!BG27</f>
        <v>25.70000000000006</v>
      </c>
      <c r="H27" s="79">
        <f>ELEC!AF26</f>
        <v>2559</v>
      </c>
      <c r="I27" s="79">
        <f>ELEC!Q26</f>
        <v>7942.9999999993015</v>
      </c>
      <c r="J27" s="79">
        <f>ELEC!R26</f>
        <v>93.000000000698492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-11.600000000000023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140</v>
      </c>
      <c r="C30" s="76">
        <f>'B5'!AH30</f>
        <v>0</v>
      </c>
      <c r="D30" s="76">
        <f>GEN!AI28</f>
        <v>1612.2531645567599</v>
      </c>
      <c r="E30" s="77">
        <f t="shared" si="0"/>
        <v>1752.2531645567599</v>
      </c>
      <c r="F30" s="75">
        <f>WATER!L30</f>
        <v>0</v>
      </c>
      <c r="G30" s="78">
        <f>WATER!BG30</f>
        <v>0</v>
      </c>
      <c r="H30" s="79">
        <f>ELEC!AF29</f>
        <v>1662</v>
      </c>
      <c r="I30" s="79">
        <f>ELEC!Q29</f>
        <v>6263.9999999992142</v>
      </c>
      <c r="J30" s="79">
        <f>ELEC!R29</f>
        <v>-1680.9999999992142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1884.5654008439119</v>
      </c>
      <c r="E31" s="77">
        <f t="shared" si="0"/>
        <v>1884.5654008439119</v>
      </c>
      <c r="F31" s="75">
        <f>WATER!L31</f>
        <v>0</v>
      </c>
      <c r="G31" s="78">
        <f>WATER!BG31</f>
        <v>-12.699999999999989</v>
      </c>
      <c r="H31" s="79">
        <f>ELEC!AF30</f>
        <v>2472</v>
      </c>
      <c r="I31" s="79">
        <f>ELEC!Q30</f>
        <v>7322.0000000001164</v>
      </c>
      <c r="J31" s="79">
        <f>ELEC!R30</f>
        <v>1958.9999999998836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5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7" t="s">
        <v>151</v>
      </c>
      <c r="U3" s="71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2" activePane="bottomLeft" state="frozen"/>
      <selection pane="bottomLeft" activeCell="I32" sqref="I3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18" t="s">
        <v>51</v>
      </c>
      <c r="B1" s="730" t="s">
        <v>317</v>
      </c>
      <c r="C1" s="731"/>
      <c r="D1" s="733"/>
      <c r="E1" s="730" t="s">
        <v>318</v>
      </c>
      <c r="F1" s="731"/>
      <c r="G1" s="732"/>
      <c r="H1" s="727" t="s">
        <v>323</v>
      </c>
      <c r="I1" s="724" t="s">
        <v>324</v>
      </c>
      <c r="J1" s="721" t="s">
        <v>43</v>
      </c>
    </row>
    <row r="2" spans="1:18" ht="38.25" thickBot="1">
      <c r="A2" s="719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8"/>
      <c r="I2" s="725"/>
      <c r="J2" s="722"/>
    </row>
    <row r="3" spans="1:18" ht="24" customHeight="1" thickBot="1">
      <c r="A3" s="720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9"/>
      <c r="I3" s="726"/>
      <c r="J3" s="723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'[11]Swimming Pool quality check '!I36</f>
        <v>0</v>
      </c>
      <c r="J5" s="624">
        <f>'[12]Swimming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'[7]Swimming Pool quality check '!N36</f>
        <v>642</v>
      </c>
      <c r="O5" s="496">
        <f>'[7]Swimming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>
        <v>1.6</v>
      </c>
      <c r="C13" s="632">
        <v>7.8</v>
      </c>
      <c r="D13" s="628">
        <f>'[1]Swimming Pool quality check '!D44</f>
        <v>0</v>
      </c>
      <c r="E13" s="170">
        <f>'[1]Swimming Pool quality check '!E44</f>
        <v>0</v>
      </c>
      <c r="F13" s="170">
        <f>'[1]Swimming Pool quality check '!F44</f>
        <v>0</v>
      </c>
      <c r="G13" s="170">
        <f>'[1]Swimming Pool quality check '!G44</f>
        <v>0</v>
      </c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>
        <v>1.5</v>
      </c>
      <c r="C14" s="614">
        <v>7.8</v>
      </c>
      <c r="D14" s="628">
        <f>'[1]Swimming Pool quality check '!D45</f>
        <v>0</v>
      </c>
      <c r="E14" s="170">
        <f>'[1]Swimming Pool quality check '!E45</f>
        <v>0</v>
      </c>
      <c r="F14" s="170">
        <f>'[1]Swimming Pool quality check '!F45</f>
        <v>0</v>
      </c>
      <c r="G14" s="170">
        <f>'[1]Swimming Pool quality check '!G45</f>
        <v>0</v>
      </c>
      <c r="H14" s="559">
        <v>6862</v>
      </c>
      <c r="I14" s="496">
        <f t="shared" si="4"/>
        <v>2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6862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6862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6862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>
        <v>1.5</v>
      </c>
      <c r="C18" s="614">
        <v>7.8</v>
      </c>
      <c r="D18" s="170">
        <v>0</v>
      </c>
      <c r="E18" s="170">
        <v>0</v>
      </c>
      <c r="F18" s="614">
        <v>0</v>
      </c>
      <c r="G18" s="613">
        <v>0</v>
      </c>
      <c r="H18" s="559">
        <f t="shared" si="1"/>
        <v>6862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>
        <v>1.3</v>
      </c>
      <c r="C19" s="614">
        <v>7.8</v>
      </c>
      <c r="D19" s="170">
        <v>0</v>
      </c>
      <c r="E19" s="170">
        <v>0</v>
      </c>
      <c r="F19" s="614">
        <v>0</v>
      </c>
      <c r="G19" s="613">
        <v>0</v>
      </c>
      <c r="H19" s="559">
        <f t="shared" si="1"/>
        <v>6862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>
        <v>0.2</v>
      </c>
      <c r="C20" s="614">
        <v>7.8</v>
      </c>
      <c r="D20" s="170">
        <v>0</v>
      </c>
      <c r="E20" s="170">
        <v>0</v>
      </c>
      <c r="F20" s="614">
        <v>0</v>
      </c>
      <c r="G20" s="613">
        <v>0</v>
      </c>
      <c r="H20" s="559">
        <v>6867</v>
      </c>
      <c r="I20" s="496">
        <f t="shared" si="4"/>
        <v>5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>
        <v>0.4</v>
      </c>
      <c r="C21" s="614">
        <v>7.8</v>
      </c>
      <c r="D21" s="170">
        <v>0</v>
      </c>
      <c r="E21" s="170">
        <v>0</v>
      </c>
      <c r="F21" s="614">
        <v>0</v>
      </c>
      <c r="G21" s="613">
        <v>0</v>
      </c>
      <c r="H21" s="559">
        <v>6868</v>
      </c>
      <c r="I21" s="496">
        <f t="shared" si="4"/>
        <v>1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6868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6868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>
        <v>0.9</v>
      </c>
      <c r="C24" s="614">
        <v>7.9</v>
      </c>
      <c r="D24" s="612">
        <v>0</v>
      </c>
      <c r="E24" s="614">
        <v>0</v>
      </c>
      <c r="F24" s="614">
        <v>0</v>
      </c>
      <c r="G24" s="613">
        <v>0</v>
      </c>
      <c r="H24" s="559">
        <v>6873</v>
      </c>
      <c r="I24" s="496">
        <f t="shared" si="4"/>
        <v>5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>
        <v>2</v>
      </c>
      <c r="C25" s="614">
        <v>7.8</v>
      </c>
      <c r="D25" s="612">
        <v>0</v>
      </c>
      <c r="E25" s="614">
        <v>0</v>
      </c>
      <c r="F25" s="614">
        <v>0</v>
      </c>
      <c r="G25" s="613">
        <v>0</v>
      </c>
      <c r="H25" s="559">
        <f t="shared" si="1"/>
        <v>6873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>
        <v>2</v>
      </c>
      <c r="C26" s="637">
        <v>7.8</v>
      </c>
      <c r="D26" s="635">
        <v>0</v>
      </c>
      <c r="E26" s="637">
        <v>0</v>
      </c>
      <c r="F26" s="637">
        <v>0</v>
      </c>
      <c r="G26" s="636">
        <v>0</v>
      </c>
      <c r="H26" s="559">
        <v>6874</v>
      </c>
      <c r="I26" s="496">
        <f t="shared" si="4"/>
        <v>1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>
        <v>2</v>
      </c>
      <c r="C27" s="640">
        <v>7.6</v>
      </c>
      <c r="D27" s="638">
        <v>0</v>
      </c>
      <c r="E27" s="640">
        <v>0</v>
      </c>
      <c r="F27" s="640">
        <v>0</v>
      </c>
      <c r="G27" s="639">
        <v>0</v>
      </c>
      <c r="H27" s="559">
        <v>6875</v>
      </c>
      <c r="I27" s="496">
        <f t="shared" si="4"/>
        <v>1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>
        <v>2</v>
      </c>
      <c r="C28" s="640">
        <v>7.6</v>
      </c>
      <c r="D28" s="638">
        <v>0</v>
      </c>
      <c r="E28" s="640">
        <v>0</v>
      </c>
      <c r="F28" s="640">
        <v>0</v>
      </c>
      <c r="G28" s="639">
        <v>0</v>
      </c>
      <c r="H28" s="559">
        <f t="shared" si="1"/>
        <v>6875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6875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6875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>
        <v>2.2999999999999998</v>
      </c>
      <c r="C31" s="170">
        <v>7.8</v>
      </c>
      <c r="D31" s="170"/>
      <c r="E31" s="170"/>
      <c r="F31" s="170"/>
      <c r="G31" s="170"/>
      <c r="H31" s="559">
        <f t="shared" si="1"/>
        <v>6875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>
        <v>2</v>
      </c>
      <c r="C32" s="170">
        <v>7.6</v>
      </c>
      <c r="D32" s="170"/>
      <c r="E32" s="170"/>
      <c r="F32" s="170"/>
      <c r="G32" s="496"/>
      <c r="H32" s="559">
        <v>6880</v>
      </c>
      <c r="I32" s="496">
        <f t="shared" si="4"/>
        <v>5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v>6879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6880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6880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6880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6880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4" t="s">
        <v>161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</row>
    <row r="2" spans="1:28" ht="19.5">
      <c r="A2" s="735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</row>
    <row r="3" spans="1:28" ht="19.5">
      <c r="A3" s="735" t="s">
        <v>162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5" t="s">
        <v>407</v>
      </c>
      <c r="B5" s="735"/>
      <c r="C5" s="735"/>
      <c r="D5" s="735"/>
      <c r="E5" s="735"/>
      <c r="F5" s="735"/>
      <c r="G5" s="735"/>
      <c r="H5" s="735"/>
      <c r="I5" s="735"/>
      <c r="J5" s="735"/>
      <c r="K5" s="735"/>
      <c r="L5" s="735"/>
      <c r="M5" s="735"/>
      <c r="N5" s="735"/>
      <c r="O5" s="735"/>
      <c r="P5" s="735"/>
      <c r="Q5" s="735"/>
      <c r="R5" s="735"/>
      <c r="S5" s="735"/>
      <c r="T5" s="735"/>
      <c r="U5" s="735"/>
      <c r="V5" s="735"/>
      <c r="W5" s="735"/>
      <c r="X5" s="735"/>
    </row>
    <row r="6" spans="1:28" ht="15.75" thickBot="1">
      <c r="A6" s="736"/>
      <c r="B6" s="736"/>
      <c r="C6" s="736"/>
      <c r="D6" s="736"/>
      <c r="E6" s="736"/>
      <c r="F6" s="736"/>
      <c r="G6" s="736"/>
      <c r="H6" s="736"/>
      <c r="I6" s="736"/>
      <c r="J6" s="736"/>
      <c r="K6" s="736"/>
      <c r="L6" s="736"/>
      <c r="M6" s="736"/>
      <c r="N6" s="736"/>
      <c r="O6" s="736"/>
      <c r="P6" s="736"/>
      <c r="Q6" s="736"/>
      <c r="R6" s="736"/>
      <c r="S6" s="736"/>
      <c r="T6" s="736"/>
      <c r="U6" s="736"/>
      <c r="V6" s="736"/>
      <c r="W6" s="736"/>
      <c r="X6" s="736"/>
    </row>
    <row r="7" spans="1:28" ht="15.75" thickBot="1">
      <c r="A7" s="738" t="s">
        <v>163</v>
      </c>
      <c r="B7" s="739"/>
      <c r="C7" s="740" t="s">
        <v>164</v>
      </c>
      <c r="D7" s="741"/>
      <c r="E7" s="741"/>
      <c r="F7" s="741"/>
      <c r="G7" s="741"/>
      <c r="H7" s="741"/>
      <c r="I7" s="741"/>
      <c r="J7" s="741"/>
      <c r="K7" s="74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'[13]Degree Days 2020'!B10</f>
        <v>20</v>
      </c>
      <c r="C10" s="267">
        <f>'[13]Degree Days 2020'!C10</f>
        <v>15</v>
      </c>
      <c r="D10" s="267">
        <f>'[13]Degree Days 2020'!D10</f>
        <v>-0.80000000000000071</v>
      </c>
      <c r="E10" s="267">
        <f>'[13]Degree Days 2020'!E10</f>
        <v>1</v>
      </c>
      <c r="F10" s="267">
        <f>'[13]Degree Days 2020'!F10</f>
        <v>21</v>
      </c>
      <c r="G10" s="267">
        <f>'[13]Degree Days 2020'!G10</f>
        <v>16</v>
      </c>
      <c r="H10" s="267">
        <f>'[13]Degree Days 2020'!H10</f>
        <v>0.19999999999999929</v>
      </c>
      <c r="I10" s="267">
        <f>'[13]Degree Days 2020'!I10</f>
        <v>1</v>
      </c>
      <c r="J10" s="267">
        <f>'[13]Degree Days 2020'!J10</f>
        <v>18</v>
      </c>
      <c r="K10" s="267">
        <f>'[13]Degree Days 2020'!K10</f>
        <v>14</v>
      </c>
      <c r="L10" s="267">
        <f>'[13]Degree Days 2020'!L10</f>
        <v>-2.3000000000000007</v>
      </c>
      <c r="M10" s="267">
        <f>'[14]Degree Days 2020'!M10</f>
        <v>1</v>
      </c>
      <c r="N10" s="267">
        <f>'[15]General information '!B6</f>
        <v>17</v>
      </c>
      <c r="O10" s="267">
        <f>'[15]General information '!C6</f>
        <v>12</v>
      </c>
      <c r="P10" s="267">
        <f>(N10+O10)/2-18.3</f>
        <v>-3.8000000000000007</v>
      </c>
      <c r="Q10" s="517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'[13]Degree Days 2020'!AA10</f>
        <v>-92.59999999999998</v>
      </c>
      <c r="AB10" s="267">
        <f>'[13]Degree Days 2020'!AB10</f>
        <v>2.7999999999999936</v>
      </c>
    </row>
    <row r="11" spans="1:28">
      <c r="A11" s="117">
        <v>2</v>
      </c>
      <c r="B11" s="267">
        <f>'[13]Degree Days 2020'!B11</f>
        <v>21</v>
      </c>
      <c r="C11" s="267">
        <f>'[13]Degree Days 2020'!C11</f>
        <v>15</v>
      </c>
      <c r="D11" s="267">
        <f>'[13]Degree Days 2020'!D11</f>
        <v>-0.30000000000000071</v>
      </c>
      <c r="E11" s="267">
        <f>'[13]Degree Days 2020'!E11</f>
        <v>2</v>
      </c>
      <c r="F11" s="267">
        <f>'[13]Degree Days 2020'!F11</f>
        <v>23</v>
      </c>
      <c r="G11" s="267">
        <f>'[13]Degree Days 2020'!G11</f>
        <v>17</v>
      </c>
      <c r="H11" s="267">
        <f>'[13]Degree Days 2020'!H11</f>
        <v>1.6999999999999993</v>
      </c>
      <c r="I11" s="267">
        <f>'[13]Degree Days 2020'!I11</f>
        <v>2</v>
      </c>
      <c r="J11" s="267">
        <f>'[13]Degree Days 2020'!J11</f>
        <v>18</v>
      </c>
      <c r="K11" s="267">
        <f>'[13]Degree Days 2020'!K11</f>
        <v>13</v>
      </c>
      <c r="L11" s="267">
        <f>'[13]Degree Days 2020'!L11</f>
        <v>-2.8000000000000007</v>
      </c>
      <c r="M11" s="267">
        <f>'[14]Degree Days 2020'!M11</f>
        <v>2</v>
      </c>
      <c r="N11" s="267">
        <f>'[15]General information '!B7</f>
        <v>15</v>
      </c>
      <c r="O11" s="267">
        <f>'[15]General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'[13]Degree Days 2020'!AA11</f>
        <v>-75.899999999999977</v>
      </c>
      <c r="AB11" s="267">
        <f>'[13]Degree Days 2020'!AB11</f>
        <v>6.4999999999999964</v>
      </c>
    </row>
    <row r="12" spans="1:28">
      <c r="A12" s="117">
        <v>3</v>
      </c>
      <c r="B12" s="267">
        <f>'[13]Degree Days 2020'!B12</f>
        <v>21</v>
      </c>
      <c r="C12" s="267">
        <f>'[13]Degree Days 2020'!C12</f>
        <v>16</v>
      </c>
      <c r="D12" s="267">
        <f>'[13]Degree Days 2020'!D12</f>
        <v>0.19999999999999929</v>
      </c>
      <c r="E12" s="267">
        <f>'[13]Degree Days 2020'!E12</f>
        <v>3</v>
      </c>
      <c r="F12" s="267">
        <f>'[13]Degree Days 2020'!F12</f>
        <v>20</v>
      </c>
      <c r="G12" s="267">
        <f>'[13]Degree Days 2020'!G12</f>
        <v>15</v>
      </c>
      <c r="H12" s="267">
        <f>'[13]Degree Days 2020'!H12</f>
        <v>-0.80000000000000071</v>
      </c>
      <c r="I12" s="267">
        <f>'[13]Degree Days 2020'!I12</f>
        <v>3</v>
      </c>
      <c r="J12" s="267">
        <f>'[13]Degree Days 2020'!J12</f>
        <v>18</v>
      </c>
      <c r="K12" s="267">
        <f>'[13]Degree Days 2020'!K12</f>
        <v>13</v>
      </c>
      <c r="L12" s="267">
        <f>'[13]Degree Days 2020'!L12</f>
        <v>-2.8000000000000007</v>
      </c>
      <c r="M12" s="267">
        <f>'[14]Degree Days 2020'!M12</f>
        <v>3</v>
      </c>
      <c r="N12" s="267">
        <f>'[15]General information '!B8</f>
        <v>19</v>
      </c>
      <c r="O12" s="267">
        <f>'[15]General information '!C8</f>
        <v>15</v>
      </c>
      <c r="P12" s="267">
        <f t="shared" si="0"/>
        <v>-1.3000000000000007</v>
      </c>
      <c r="Q12" s="517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'[13]Degree Days 2020'!AA12</f>
        <v>-56.899999999999991</v>
      </c>
      <c r="AB12" s="267">
        <f>'[13]Degree Days 2020'!AB12</f>
        <v>11.499999999999996</v>
      </c>
    </row>
    <row r="13" spans="1:28">
      <c r="A13" s="117">
        <v>4</v>
      </c>
      <c r="B13" s="267">
        <f>'[13]Degree Days 2020'!B13</f>
        <v>22</v>
      </c>
      <c r="C13" s="267">
        <f>'[13]Degree Days 2020'!C13</f>
        <v>15</v>
      </c>
      <c r="D13" s="267">
        <f>'[13]Degree Days 2020'!D13</f>
        <v>0.19999999999999929</v>
      </c>
      <c r="E13" s="267">
        <f>'[13]Degree Days 2020'!E13</f>
        <v>4</v>
      </c>
      <c r="F13" s="267">
        <f>'[13]Degree Days 2020'!F13</f>
        <v>20</v>
      </c>
      <c r="G13" s="267">
        <f>'[13]Degree Days 2020'!G13</f>
        <v>15</v>
      </c>
      <c r="H13" s="267">
        <f>'[13]Degree Days 2020'!H13</f>
        <v>-0.80000000000000071</v>
      </c>
      <c r="I13" s="267">
        <f>'[13]Degree Days 2020'!I13</f>
        <v>4</v>
      </c>
      <c r="J13" s="267">
        <f>'[13]Degree Days 2020'!J13</f>
        <v>18</v>
      </c>
      <c r="K13" s="267">
        <f>'[13]Degree Days 2020'!K13</f>
        <v>13</v>
      </c>
      <c r="L13" s="267">
        <f>'[13]Degree Days 2020'!L13</f>
        <v>-2.8000000000000007</v>
      </c>
      <c r="M13" s="267">
        <f>'[14]Degree Days 2020'!M13</f>
        <v>4</v>
      </c>
      <c r="N13" s="267">
        <f>'[15]General information '!B9</f>
        <v>18</v>
      </c>
      <c r="O13" s="267">
        <f>'[15]General information '!C9</f>
        <v>15</v>
      </c>
      <c r="P13" s="267">
        <f t="shared" si="0"/>
        <v>-1.8000000000000007</v>
      </c>
      <c r="Q13" s="517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'[13]Degree Days 2020'!B14</f>
        <v>22</v>
      </c>
      <c r="C14" s="267">
        <f>'[13]Degree Days 2020'!C14</f>
        <v>16</v>
      </c>
      <c r="D14" s="267">
        <f>'[13]Degree Days 2020'!D14</f>
        <v>0.69999999999999929</v>
      </c>
      <c r="E14" s="267">
        <f>'[13]Degree Days 2020'!E14</f>
        <v>5</v>
      </c>
      <c r="F14" s="267">
        <f>'[13]Degree Days 2020'!F14</f>
        <v>20</v>
      </c>
      <c r="G14" s="267">
        <f>'[13]Degree Days 2020'!G14</f>
        <v>15</v>
      </c>
      <c r="H14" s="267">
        <f>'[13]Degree Days 2020'!H14</f>
        <v>-0.80000000000000071</v>
      </c>
      <c r="I14" s="267">
        <f>'[13]Degree Days 2020'!I14</f>
        <v>5</v>
      </c>
      <c r="J14" s="267">
        <f>'[13]Degree Days 2020'!J14</f>
        <v>19</v>
      </c>
      <c r="K14" s="267">
        <f>'[13]Degree Days 2020'!K14</f>
        <v>12</v>
      </c>
      <c r="L14" s="267">
        <f>'[13]Degree Days 2020'!L14</f>
        <v>-2.8000000000000007</v>
      </c>
      <c r="M14" s="267">
        <f>'[14]Degree Days 2020'!M14</f>
        <v>5</v>
      </c>
      <c r="N14" s="267">
        <f>'[15]General information '!B10</f>
        <v>19</v>
      </c>
      <c r="O14" s="267">
        <f>'[15]General information '!C10</f>
        <v>15</v>
      </c>
      <c r="P14" s="267">
        <f t="shared" si="0"/>
        <v>-1.3000000000000007</v>
      </c>
      <c r="Q14" s="517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'[13]Degree Days 2020'!B15</f>
        <v>22</v>
      </c>
      <c r="C15" s="267">
        <f>'[13]Degree Days 2020'!C15</f>
        <v>15</v>
      </c>
      <c r="D15" s="267">
        <f>'[13]Degree Days 2020'!D15</f>
        <v>0.19999999999999929</v>
      </c>
      <c r="E15" s="267">
        <f>'[13]Degree Days 2020'!E15</f>
        <v>6</v>
      </c>
      <c r="F15" s="267">
        <f>'[13]Degree Days 2020'!F15</f>
        <v>19</v>
      </c>
      <c r="G15" s="267">
        <f>'[13]Degree Days 2020'!G15</f>
        <v>15</v>
      </c>
      <c r="H15" s="267">
        <f>'[13]Degree Days 2020'!H15</f>
        <v>-1.3000000000000007</v>
      </c>
      <c r="I15" s="267">
        <f>'[13]Degree Days 2020'!I15</f>
        <v>6</v>
      </c>
      <c r="J15" s="267">
        <f>'[13]Degree Days 2020'!J15</f>
        <v>18</v>
      </c>
      <c r="K15" s="267">
        <f>'[13]Degree Days 2020'!K15</f>
        <v>14</v>
      </c>
      <c r="L15" s="267">
        <f>'[13]Degree Days 2020'!L15</f>
        <v>-2.3000000000000007</v>
      </c>
      <c r="M15" s="267">
        <f>'[14]Degree Days 2020'!M15</f>
        <v>6</v>
      </c>
      <c r="N15" s="267">
        <f>'[15]General information '!B11</f>
        <v>30</v>
      </c>
      <c r="O15" s="267">
        <f>'[15]General information '!C11</f>
        <v>15</v>
      </c>
      <c r="P15" s="267">
        <f t="shared" si="0"/>
        <v>4.1999999999999993</v>
      </c>
      <c r="Q15" s="517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'[13]Degree Days 2020'!B16</f>
        <v>20</v>
      </c>
      <c r="C16" s="267">
        <f>'[13]Degree Days 2020'!C16</f>
        <v>14</v>
      </c>
      <c r="D16" s="267">
        <f>'[13]Degree Days 2020'!D16</f>
        <v>-1.3000000000000007</v>
      </c>
      <c r="E16" s="267">
        <f>'[13]Degree Days 2020'!E16</f>
        <v>7</v>
      </c>
      <c r="F16" s="267">
        <f>'[13]Degree Days 2020'!F16</f>
        <v>21</v>
      </c>
      <c r="G16" s="267">
        <f>'[13]Degree Days 2020'!G16</f>
        <v>17</v>
      </c>
      <c r="H16" s="267">
        <f>'[13]Degree Days 2020'!H16</f>
        <v>0.69999999999999929</v>
      </c>
      <c r="I16" s="267">
        <f>'[13]Degree Days 2020'!I16</f>
        <v>7</v>
      </c>
      <c r="J16" s="267">
        <f>'[13]Degree Days 2020'!J16</f>
        <v>19</v>
      </c>
      <c r="K16" s="267">
        <f>'[13]Degree Days 2020'!K16</f>
        <v>14</v>
      </c>
      <c r="L16" s="267">
        <f>'[13]Degree Days 2020'!L16</f>
        <v>-1.8000000000000007</v>
      </c>
      <c r="M16" s="267">
        <f>'[14]Degree Days 2020'!M16</f>
        <v>7</v>
      </c>
      <c r="N16" s="267">
        <f>'[15]General information '!B12</f>
        <v>24</v>
      </c>
      <c r="O16" s="267">
        <f>'[15]General information '!C12</f>
        <v>19</v>
      </c>
      <c r="P16" s="267">
        <f t="shared" si="0"/>
        <v>3.1999999999999993</v>
      </c>
      <c r="Q16" s="517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'[13]Degree Days 2020'!B17</f>
        <v>21</v>
      </c>
      <c r="C17" s="267">
        <f>'[13]Degree Days 2020'!C17</f>
        <v>14</v>
      </c>
      <c r="D17" s="267">
        <f>'[13]Degree Days 2020'!D17</f>
        <v>-0.80000000000000071</v>
      </c>
      <c r="E17" s="267">
        <f>'[13]Degree Days 2020'!E17</f>
        <v>8</v>
      </c>
      <c r="F17" s="267">
        <f>'[13]Degree Days 2020'!F17</f>
        <v>23</v>
      </c>
      <c r="G17" s="267">
        <f>'[13]Degree Days 2020'!G17</f>
        <v>19</v>
      </c>
      <c r="H17" s="267">
        <f>'[13]Degree Days 2020'!H17</f>
        <v>2.6999999999999993</v>
      </c>
      <c r="I17" s="267">
        <f>'[13]Degree Days 2020'!I17</f>
        <v>8</v>
      </c>
      <c r="J17" s="267">
        <f>'[13]Degree Days 2020'!J17</f>
        <v>20</v>
      </c>
      <c r="K17" s="267">
        <f>'[13]Degree Days 2020'!K17</f>
        <v>16</v>
      </c>
      <c r="L17" s="267">
        <f>'[13]Degree Days 2020'!L17</f>
        <v>-0.30000000000000071</v>
      </c>
      <c r="M17" s="267">
        <f>'[14]Degree Days 2020'!M17</f>
        <v>8</v>
      </c>
      <c r="N17" s="267">
        <f>'[15]General information '!B13</f>
        <v>20</v>
      </c>
      <c r="O17" s="267">
        <f>'[15]General information '!C13</f>
        <v>17</v>
      </c>
      <c r="P17" s="267">
        <f t="shared" si="0"/>
        <v>0.19999999999999929</v>
      </c>
      <c r="Q17" s="517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'[13]Degree Days 2020'!B18</f>
        <v>22</v>
      </c>
      <c r="C18" s="267">
        <f>'[13]Degree Days 2020'!C18</f>
        <v>15</v>
      </c>
      <c r="D18" s="267">
        <f>'[13]Degree Days 2020'!D18</f>
        <v>0.19999999999999929</v>
      </c>
      <c r="E18" s="267">
        <f>'[13]Degree Days 2020'!E18</f>
        <v>9</v>
      </c>
      <c r="F18" s="267">
        <f>'[13]Degree Days 2020'!F18</f>
        <v>21</v>
      </c>
      <c r="G18" s="267">
        <f>'[13]Degree Days 2020'!G18</f>
        <v>18</v>
      </c>
      <c r="H18" s="267">
        <f>'[13]Degree Days 2020'!H18</f>
        <v>1.1999999999999993</v>
      </c>
      <c r="I18" s="267">
        <f>'[13]Degree Days 2020'!I18</f>
        <v>9</v>
      </c>
      <c r="J18" s="267">
        <f>'[13]Degree Days 2020'!J18</f>
        <v>23</v>
      </c>
      <c r="K18" s="267">
        <f>'[13]Degree Days 2020'!K18</f>
        <v>17</v>
      </c>
      <c r="L18" s="267">
        <f>'[13]Degree Days 2020'!L18</f>
        <v>1.6999999999999993</v>
      </c>
      <c r="M18" s="267">
        <f>'[14]Degree Days 2020'!M18</f>
        <v>9</v>
      </c>
      <c r="N18" s="267">
        <f>'[15]General information '!B14</f>
        <v>20</v>
      </c>
      <c r="O18" s="267">
        <f>'[15]General information '!C14</f>
        <v>16</v>
      </c>
      <c r="P18" s="267">
        <f t="shared" si="0"/>
        <v>-0.30000000000000071</v>
      </c>
      <c r="Q18" s="517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'[13]Degree Days 2020'!B19</f>
        <v>22</v>
      </c>
      <c r="C19" s="267">
        <f>'[13]Degree Days 2020'!C19</f>
        <v>15</v>
      </c>
      <c r="D19" s="267">
        <f>'[13]Degree Days 2020'!D19</f>
        <v>0.19999999999999929</v>
      </c>
      <c r="E19" s="267">
        <f>'[13]Degree Days 2020'!E19</f>
        <v>10</v>
      </c>
      <c r="F19" s="267">
        <f>'[13]Degree Days 2020'!F19</f>
        <v>19</v>
      </c>
      <c r="G19" s="267">
        <f>'[13]Degree Days 2020'!G19</f>
        <v>14</v>
      </c>
      <c r="H19" s="267">
        <f>'[13]Degree Days 2020'!H19</f>
        <v>-1.8000000000000007</v>
      </c>
      <c r="I19" s="267">
        <f>'[13]Degree Days 2020'!I19</f>
        <v>10</v>
      </c>
      <c r="J19" s="267">
        <f>'[13]Degree Days 2020'!J19</f>
        <v>19</v>
      </c>
      <c r="K19" s="267">
        <f>'[13]Degree Days 2020'!K19</f>
        <v>13</v>
      </c>
      <c r="L19" s="267">
        <f>'[13]Degree Days 2020'!L19</f>
        <v>-2.3000000000000007</v>
      </c>
      <c r="M19" s="267">
        <f>'[14]Degree Days 2020'!M19</f>
        <v>10</v>
      </c>
      <c r="N19" s="267">
        <f>'[15]General information '!B15</f>
        <v>16</v>
      </c>
      <c r="O19" s="267">
        <f>'[15]General information '!C15</f>
        <v>14</v>
      </c>
      <c r="P19" s="267">
        <f t="shared" si="0"/>
        <v>-3.3000000000000007</v>
      </c>
      <c r="Q19" s="517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'[13]Degree Days 2020'!B20</f>
        <v>22</v>
      </c>
      <c r="C20" s="267">
        <f>'[13]Degree Days 2020'!C20</f>
        <v>16</v>
      </c>
      <c r="D20" s="267">
        <f>'[13]Degree Days 2020'!D20</f>
        <v>0.69999999999999929</v>
      </c>
      <c r="E20" s="267">
        <f>'[13]Degree Days 2020'!E20</f>
        <v>11</v>
      </c>
      <c r="F20" s="267">
        <f>'[13]Degree Days 2020'!F20</f>
        <v>18</v>
      </c>
      <c r="G20" s="267">
        <f>'[13]Degree Days 2020'!G20</f>
        <v>13</v>
      </c>
      <c r="H20" s="267">
        <f>'[13]Degree Days 2020'!H20</f>
        <v>-2.8000000000000007</v>
      </c>
      <c r="I20" s="267">
        <f>'[13]Degree Days 2020'!I20</f>
        <v>11</v>
      </c>
      <c r="J20" s="267">
        <f>'[13]Degree Days 2020'!J20</f>
        <v>17</v>
      </c>
      <c r="K20" s="267">
        <f>'[13]Degree Days 2020'!K20</f>
        <v>12</v>
      </c>
      <c r="L20" s="267">
        <f>'[13]Degree Days 2020'!L20</f>
        <v>-3.8000000000000007</v>
      </c>
      <c r="M20" s="267">
        <f>'[14]Degree Days 2020'!M20</f>
        <v>11</v>
      </c>
      <c r="N20" s="267">
        <f>'[15]General information '!B16</f>
        <v>17</v>
      </c>
      <c r="O20" s="267">
        <f>'[15]General information '!C16</f>
        <v>12</v>
      </c>
      <c r="P20" s="267">
        <f t="shared" si="0"/>
        <v>-3.8000000000000007</v>
      </c>
      <c r="Q20" s="517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'[13]Degree Days 2020'!B21</f>
        <v>24</v>
      </c>
      <c r="C21" s="267">
        <f>'[13]Degree Days 2020'!C21</f>
        <v>13</v>
      </c>
      <c r="D21" s="267">
        <f>'[13]Degree Days 2020'!D21</f>
        <v>0.19999999999999929</v>
      </c>
      <c r="E21" s="267">
        <f>'[13]Degree Days 2020'!E21</f>
        <v>12</v>
      </c>
      <c r="F21" s="267">
        <f>'[13]Degree Days 2020'!F21</f>
        <v>18</v>
      </c>
      <c r="G21" s="267">
        <f>'[13]Degree Days 2020'!G21</f>
        <v>13</v>
      </c>
      <c r="H21" s="267">
        <f>'[13]Degree Days 2020'!H21</f>
        <v>-2.8000000000000007</v>
      </c>
      <c r="I21" s="267">
        <f>'[13]Degree Days 2020'!I21</f>
        <v>12</v>
      </c>
      <c r="J21" s="267">
        <f>'[13]Degree Days 2020'!J21</f>
        <v>18</v>
      </c>
      <c r="K21" s="267">
        <f>'[13]Degree Days 2020'!K21</f>
        <v>13</v>
      </c>
      <c r="L21" s="267">
        <f>'[13]Degree Days 2020'!L21</f>
        <v>-2.8000000000000007</v>
      </c>
      <c r="M21" s="267">
        <f>'[14]Degree Days 2020'!M21</f>
        <v>12</v>
      </c>
      <c r="N21" s="267">
        <f>'[15]General information '!B17</f>
        <v>16</v>
      </c>
      <c r="O21" s="267">
        <f>'[15]General information '!C17</f>
        <v>13</v>
      </c>
      <c r="P21" s="267">
        <f t="shared" si="0"/>
        <v>-3.8000000000000007</v>
      </c>
      <c r="Q21" s="517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'[13]Degree Days 2020'!B22</f>
        <v>18</v>
      </c>
      <c r="C22" s="267">
        <f>'[13]Degree Days 2020'!C22</f>
        <v>12</v>
      </c>
      <c r="D22" s="267">
        <f>'[13]Degree Days 2020'!D22</f>
        <v>-3.3000000000000007</v>
      </c>
      <c r="E22" s="267">
        <f>'[13]Degree Days 2020'!E22</f>
        <v>13</v>
      </c>
      <c r="F22" s="267">
        <f>'[13]Degree Days 2020'!F22</f>
        <v>19</v>
      </c>
      <c r="G22" s="267">
        <f>'[13]Degree Days 2020'!G22</f>
        <v>14</v>
      </c>
      <c r="H22" s="267">
        <f>'[13]Degree Days 2020'!H22</f>
        <v>-1.8000000000000007</v>
      </c>
      <c r="I22" s="267">
        <f>'[13]Degree Days 2020'!I22</f>
        <v>13</v>
      </c>
      <c r="J22" s="267">
        <f>'[13]Degree Days 2020'!J22</f>
        <v>18</v>
      </c>
      <c r="K22" s="267">
        <f>'[13]Degree Days 2020'!K22</f>
        <v>16</v>
      </c>
      <c r="L22" s="267">
        <f>'[13]Degree Days 2020'!L22</f>
        <v>-1.3000000000000007</v>
      </c>
      <c r="M22" s="267">
        <f>'[14]Degree Days 2020'!M22</f>
        <v>13</v>
      </c>
      <c r="N22" s="267">
        <f>'[15]General information '!B18</f>
        <v>18</v>
      </c>
      <c r="O22" s="267">
        <f>'[15]General information '!C18</f>
        <v>11</v>
      </c>
      <c r="P22" s="267">
        <f t="shared" si="0"/>
        <v>-3.8000000000000007</v>
      </c>
      <c r="Q22" s="517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'[13]Degree Days 2020'!B23</f>
        <v>17</v>
      </c>
      <c r="C23" s="267">
        <f>'[13]Degree Days 2020'!C23</f>
        <v>12</v>
      </c>
      <c r="D23" s="267">
        <f>'[13]Degree Days 2020'!D23</f>
        <v>-3.8000000000000007</v>
      </c>
      <c r="E23" s="267">
        <f>'[13]Degree Days 2020'!E23</f>
        <v>14</v>
      </c>
      <c r="F23" s="267">
        <f>'[13]Degree Days 2020'!F23</f>
        <v>18</v>
      </c>
      <c r="G23" s="267">
        <f>'[13]Degree Days 2020'!G23</f>
        <v>13</v>
      </c>
      <c r="H23" s="267">
        <f>'[13]Degree Days 2020'!H23</f>
        <v>-2.8000000000000007</v>
      </c>
      <c r="I23" s="267">
        <f>'[13]Degree Days 2020'!I23</f>
        <v>14</v>
      </c>
      <c r="J23" s="267">
        <f>'[13]Degree Days 2020'!J23</f>
        <v>19</v>
      </c>
      <c r="K23" s="267">
        <f>'[13]Degree Days 2020'!K23</f>
        <v>15</v>
      </c>
      <c r="L23" s="267">
        <f>'[13]Degree Days 2020'!L23</f>
        <v>-1.3000000000000007</v>
      </c>
      <c r="M23" s="267">
        <f>'[14]Degree Days 2020'!M23</f>
        <v>14</v>
      </c>
      <c r="N23" s="267">
        <f>'[15]General information '!B19</f>
        <v>20</v>
      </c>
      <c r="O23" s="267">
        <f>'[15]General information '!C19</f>
        <v>12</v>
      </c>
      <c r="P23" s="267">
        <f t="shared" si="0"/>
        <v>-2.3000000000000007</v>
      </c>
      <c r="Q23" s="517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'[13]Degree Days 2020'!B24</f>
        <v>19</v>
      </c>
      <c r="C24" s="267">
        <f>'[13]Degree Days 2020'!C24</f>
        <v>13</v>
      </c>
      <c r="D24" s="267">
        <f>'[13]Degree Days 2020'!D24</f>
        <v>-2.3000000000000007</v>
      </c>
      <c r="E24" s="267">
        <f>'[13]Degree Days 2020'!E24</f>
        <v>15</v>
      </c>
      <c r="F24" s="267">
        <f>'[13]Degree Days 2020'!F24</f>
        <v>18</v>
      </c>
      <c r="G24" s="267">
        <f>'[13]Degree Days 2020'!G24</f>
        <v>12</v>
      </c>
      <c r="H24" s="267">
        <f>'[13]Degree Days 2020'!H24</f>
        <v>-3.3000000000000007</v>
      </c>
      <c r="I24" s="267">
        <f>'[13]Degree Days 2020'!I24</f>
        <v>15</v>
      </c>
      <c r="J24" s="267">
        <f>'[13]Degree Days 2020'!J24</f>
        <v>19</v>
      </c>
      <c r="K24" s="267">
        <f>'[13]Degree Days 2020'!K24</f>
        <v>15</v>
      </c>
      <c r="L24" s="267">
        <f>'[13]Degree Days 2020'!L24</f>
        <v>-1.3000000000000007</v>
      </c>
      <c r="M24" s="267">
        <f>'[14]Degree Days 2020'!M24</f>
        <v>15</v>
      </c>
      <c r="N24" s="267">
        <f>'[15]General information '!B20</f>
        <v>24</v>
      </c>
      <c r="O24" s="267">
        <f>'[15]General information '!C20</f>
        <v>14</v>
      </c>
      <c r="P24" s="267">
        <f t="shared" si="0"/>
        <v>0.69999999999999929</v>
      </c>
      <c r="Q24" s="517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'[13]Degree Days 2020'!B25</f>
        <v>15</v>
      </c>
      <c r="C25" s="267">
        <f>'[13]Degree Days 2020'!C25</f>
        <v>9</v>
      </c>
      <c r="D25" s="267">
        <f>'[13]Degree Days 2020'!D25</f>
        <v>-6.3000000000000007</v>
      </c>
      <c r="E25" s="267">
        <f>'[13]Degree Days 2020'!E25</f>
        <v>16</v>
      </c>
      <c r="F25" s="267">
        <f>'[13]Degree Days 2020'!F25</f>
        <v>11</v>
      </c>
      <c r="G25" s="267">
        <f>'[13]Degree Days 2020'!G25</f>
        <v>7</v>
      </c>
      <c r="H25" s="267">
        <f>'[13]Degree Days 2020'!H25</f>
        <v>-9.3000000000000007</v>
      </c>
      <c r="I25" s="267">
        <f>'[13]Degree Days 2020'!I25</f>
        <v>16</v>
      </c>
      <c r="J25" s="267">
        <f>'[13]Degree Days 2020'!J25</f>
        <v>19</v>
      </c>
      <c r="K25" s="267">
        <f>'[13]Degree Days 2020'!K25</f>
        <v>14</v>
      </c>
      <c r="L25" s="267">
        <f>'[13]Degree Days 2020'!L25</f>
        <v>-1.8000000000000007</v>
      </c>
      <c r="M25" s="267">
        <f>'[14]Degree Days 2020'!M25</f>
        <v>16</v>
      </c>
      <c r="N25" s="267">
        <f>'[15]General information '!B21</f>
        <v>26</v>
      </c>
      <c r="O25" s="267">
        <f>'[15]General information '!C21</f>
        <v>17</v>
      </c>
      <c r="P25" s="267">
        <f t="shared" si="0"/>
        <v>3.1999999999999993</v>
      </c>
      <c r="Q25" s="517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'[13]Degree Days 2020'!B26</f>
        <v>15</v>
      </c>
      <c r="C26" s="267">
        <f>'[13]Degree Days 2020'!C26</f>
        <v>12</v>
      </c>
      <c r="D26" s="267">
        <f>'[13]Degree Days 2020'!D26</f>
        <v>-4.8000000000000007</v>
      </c>
      <c r="E26" s="267">
        <f>'[13]Degree Days 2020'!E26</f>
        <v>17</v>
      </c>
      <c r="F26" s="267">
        <f>'[13]Degree Days 2020'!F26</f>
        <v>13</v>
      </c>
      <c r="G26" s="267">
        <f>'[13]Degree Days 2020'!G26</f>
        <v>7</v>
      </c>
      <c r="H26" s="267">
        <f>'[13]Degree Days 2020'!H26</f>
        <v>-8.3000000000000007</v>
      </c>
      <c r="I26" s="267">
        <f>'[13]Degree Days 2020'!I26</f>
        <v>17</v>
      </c>
      <c r="J26" s="267">
        <f>'[13]Degree Days 2020'!J26</f>
        <v>20</v>
      </c>
      <c r="K26" s="267">
        <f>'[13]Degree Days 2020'!K26</f>
        <v>15</v>
      </c>
      <c r="L26" s="267">
        <f>'[13]Degree Days 2020'!L26</f>
        <v>-0.80000000000000071</v>
      </c>
      <c r="M26" s="267">
        <f>'[14]Degree Days 2020'!M26</f>
        <v>17</v>
      </c>
      <c r="N26" s="267">
        <f>'[15]General information '!B22</f>
        <v>27</v>
      </c>
      <c r="O26" s="267">
        <f>'[15]General information '!C22</f>
        <v>17</v>
      </c>
      <c r="P26" s="267">
        <f t="shared" si="0"/>
        <v>3.6999999999999993</v>
      </c>
      <c r="Q26" s="517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'[13]Degree Days 2020'!B27</f>
        <v>14</v>
      </c>
      <c r="C27" s="267">
        <f>'[13]Degree Days 2020'!C27</f>
        <v>8</v>
      </c>
      <c r="D27" s="267">
        <f>'[13]Degree Days 2020'!D27</f>
        <v>-7.3000000000000007</v>
      </c>
      <c r="E27" s="267">
        <f>'[13]Degree Days 2020'!E27</f>
        <v>18</v>
      </c>
      <c r="F27" s="267">
        <f>'[13]Degree Days 2020'!F27</f>
        <v>13</v>
      </c>
      <c r="G27" s="267">
        <f>'[13]Degree Days 2020'!G27</f>
        <v>7</v>
      </c>
      <c r="H27" s="267">
        <f>'[13]Degree Days 2020'!H27</f>
        <v>-8.3000000000000007</v>
      </c>
      <c r="I27" s="267">
        <f>'[13]Degree Days 2020'!I27</f>
        <v>18</v>
      </c>
      <c r="J27" s="267">
        <f>'[13]Degree Days 2020'!J27</f>
        <v>20</v>
      </c>
      <c r="K27" s="267">
        <f>'[13]Degree Days 2020'!K27</f>
        <v>15</v>
      </c>
      <c r="L27" s="267">
        <f>'[13]Degree Days 2020'!L27</f>
        <v>-0.80000000000000071</v>
      </c>
      <c r="M27" s="267">
        <f>'[14]Degree Days 2020'!M27</f>
        <v>18</v>
      </c>
      <c r="N27" s="267">
        <f>'[15]General information '!B23</f>
        <v>32</v>
      </c>
      <c r="O27" s="267">
        <f>'[15]General information '!C23</f>
        <v>19</v>
      </c>
      <c r="P27" s="267">
        <f t="shared" si="0"/>
        <v>7.1999999999999993</v>
      </c>
      <c r="Q27" s="517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'[13]Degree Days 2020'!B28</f>
        <v>17</v>
      </c>
      <c r="C28" s="267">
        <f>'[13]Degree Days 2020'!C28</f>
        <v>10</v>
      </c>
      <c r="D28" s="267">
        <f>'[13]Degree Days 2020'!D28</f>
        <v>-4.8000000000000007</v>
      </c>
      <c r="E28" s="267">
        <f>'[13]Degree Days 2020'!E28</f>
        <v>19</v>
      </c>
      <c r="F28" s="267">
        <f>'[13]Degree Days 2020'!F28</f>
        <v>14</v>
      </c>
      <c r="G28" s="267">
        <f>'[13]Degree Days 2020'!G28</f>
        <v>7</v>
      </c>
      <c r="H28" s="267">
        <f>'[13]Degree Days 2020'!H28</f>
        <v>-7.8000000000000007</v>
      </c>
      <c r="I28" s="267">
        <f>'[13]Degree Days 2020'!I28</f>
        <v>19</v>
      </c>
      <c r="J28" s="267">
        <f>'[13]Degree Days 2020'!J28</f>
        <v>19</v>
      </c>
      <c r="K28" s="267">
        <f>'[13]Degree Days 2020'!K28</f>
        <v>17</v>
      </c>
      <c r="L28" s="267">
        <f>'[13]Degree Days 2020'!L28</f>
        <v>-0.30000000000000071</v>
      </c>
      <c r="M28" s="267">
        <f>'[14]Degree Days 2020'!M28</f>
        <v>19</v>
      </c>
      <c r="N28" s="267">
        <f>'[15]General information '!B24</f>
        <v>33</v>
      </c>
      <c r="O28" s="267">
        <f>'[15]General information '!C24</f>
        <v>24</v>
      </c>
      <c r="P28" s="267">
        <f t="shared" si="0"/>
        <v>10.199999999999999</v>
      </c>
      <c r="Q28" s="517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'[13]Degree Days 2020'!B29</f>
        <v>17</v>
      </c>
      <c r="C29" s="267">
        <f>'[13]Degree Days 2020'!C29</f>
        <v>10</v>
      </c>
      <c r="D29" s="267">
        <f>'[13]Degree Days 2020'!D29</f>
        <v>-4.8000000000000007</v>
      </c>
      <c r="E29" s="267">
        <f>'[13]Degree Days 2020'!E29</f>
        <v>20</v>
      </c>
      <c r="F29" s="267">
        <f>'[13]Degree Days 2020'!F29</f>
        <v>19</v>
      </c>
      <c r="G29" s="267">
        <f>'[13]Degree Days 2020'!G29</f>
        <v>14</v>
      </c>
      <c r="H29" s="267">
        <f>'[13]Degree Days 2020'!H29</f>
        <v>-1.8000000000000007</v>
      </c>
      <c r="I29" s="267">
        <f>'[13]Degree Days 2020'!I29</f>
        <v>20</v>
      </c>
      <c r="J29" s="267">
        <f>'[13]Degree Days 2020'!J29</f>
        <v>21</v>
      </c>
      <c r="K29" s="267">
        <f>'[13]Degree Days 2020'!K29</f>
        <v>18</v>
      </c>
      <c r="L29" s="267">
        <f>'[13]Degree Days 2020'!L29</f>
        <v>1.1999999999999993</v>
      </c>
      <c r="M29" s="267">
        <f>'[14]Degree Days 2020'!M29</f>
        <v>20</v>
      </c>
      <c r="N29" s="267">
        <f>'[15]General information '!B25</f>
        <v>22</v>
      </c>
      <c r="O29" s="267">
        <f>'[15]General information '!C25</f>
        <v>15</v>
      </c>
      <c r="P29" s="267">
        <f t="shared" si="0"/>
        <v>0.19999999999999929</v>
      </c>
      <c r="Q29" s="517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'[13]Degree Days 2020'!B30</f>
        <v>16</v>
      </c>
      <c r="C30" s="267">
        <f>'[13]Degree Days 2020'!C30</f>
        <v>9</v>
      </c>
      <c r="D30" s="267">
        <f>'[13]Degree Days 2020'!D30</f>
        <v>-5.8000000000000007</v>
      </c>
      <c r="E30" s="267">
        <f>'[13]Degree Days 2020'!E30</f>
        <v>21</v>
      </c>
      <c r="F30" s="267">
        <f>'[13]Degree Days 2020'!F30</f>
        <v>18</v>
      </c>
      <c r="G30" s="267">
        <f>'[13]Degree Days 2020'!G30</f>
        <v>13</v>
      </c>
      <c r="H30" s="267">
        <f>'[13]Degree Days 2020'!H30</f>
        <v>-2.8000000000000007</v>
      </c>
      <c r="I30" s="267">
        <f>'[13]Degree Days 2020'!I30</f>
        <v>21</v>
      </c>
      <c r="J30" s="267">
        <f>'[13]Degree Days 2020'!J30</f>
        <v>23</v>
      </c>
      <c r="K30" s="267">
        <f>'[13]Degree Days 2020'!K30</f>
        <v>14</v>
      </c>
      <c r="L30" s="267">
        <f>'[13]Degree Days 2020'!L30</f>
        <v>0.19999999999999929</v>
      </c>
      <c r="M30" s="267">
        <f>'[14]Degree Days 2020'!M30</f>
        <v>21</v>
      </c>
      <c r="N30" s="267">
        <f>'[15]General information '!B26</f>
        <v>21</v>
      </c>
      <c r="O30" s="267">
        <f>'[15]General information '!C26</f>
        <v>17</v>
      </c>
      <c r="P30" s="267">
        <f t="shared" si="0"/>
        <v>0.69999999999999929</v>
      </c>
      <c r="Q30" s="517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'[13]Degree Days 2020'!B31</f>
        <v>17</v>
      </c>
      <c r="C31" s="267">
        <f>'[13]Degree Days 2020'!C31</f>
        <v>10</v>
      </c>
      <c r="D31" s="267">
        <f>'[13]Degree Days 2020'!D31</f>
        <v>-4.8000000000000007</v>
      </c>
      <c r="E31" s="267">
        <f>'[13]Degree Days 2020'!E31</f>
        <v>22</v>
      </c>
      <c r="F31" s="267">
        <f>'[13]Degree Days 2020'!F31</f>
        <v>21</v>
      </c>
      <c r="G31" s="267">
        <f>'[13]Degree Days 2020'!G31</f>
        <v>12</v>
      </c>
      <c r="H31" s="267">
        <f>'[13]Degree Days 2020'!H31</f>
        <v>-1.8000000000000007</v>
      </c>
      <c r="I31" s="267">
        <f>'[13]Degree Days 2020'!I31</f>
        <v>22</v>
      </c>
      <c r="J31" s="267">
        <f>'[13]Degree Days 2020'!J31</f>
        <v>26</v>
      </c>
      <c r="K31" s="267">
        <f>'[13]Degree Days 2020'!K31</f>
        <v>14</v>
      </c>
      <c r="L31" s="267">
        <f>'[13]Degree Days 2020'!L31</f>
        <v>1.6999999999999993</v>
      </c>
      <c r="M31" s="267">
        <f>'[14]Degree Days 2020'!M31</f>
        <v>22</v>
      </c>
      <c r="N31" s="267">
        <f>'[15]General information '!B27</f>
        <v>21</v>
      </c>
      <c r="O31" s="267">
        <f>'[15]General information '!C27</f>
        <v>18</v>
      </c>
      <c r="P31" s="267">
        <f t="shared" si="0"/>
        <v>1.1999999999999993</v>
      </c>
      <c r="Q31" s="517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'[13]Degree Days 2020'!B32</f>
        <v>18</v>
      </c>
      <c r="C32" s="267">
        <f>'[13]Degree Days 2020'!C32</f>
        <v>12</v>
      </c>
      <c r="D32" s="267">
        <f>'[13]Degree Days 2020'!D32</f>
        <v>-3.3000000000000007</v>
      </c>
      <c r="E32" s="267">
        <f>'[13]Degree Days 2020'!E32</f>
        <v>23</v>
      </c>
      <c r="F32" s="267">
        <f>'[13]Degree Days 2020'!F32</f>
        <v>19</v>
      </c>
      <c r="G32" s="267">
        <f>'[13]Degree Days 2020'!G32</f>
        <v>13</v>
      </c>
      <c r="H32" s="267">
        <f>'[13]Degree Days 2020'!H32</f>
        <v>-2.3000000000000007</v>
      </c>
      <c r="I32" s="267">
        <f>'[13]Degree Days 2020'!I32</f>
        <v>23</v>
      </c>
      <c r="J32" s="267">
        <f>'[13]Degree Days 2020'!J32</f>
        <v>33</v>
      </c>
      <c r="K32" s="267">
        <f>'[13]Degree Days 2020'!K32</f>
        <v>17</v>
      </c>
      <c r="L32" s="267">
        <f>'[13]Degree Days 2020'!L32</f>
        <v>6.6999999999999993</v>
      </c>
      <c r="M32" s="267">
        <f>'[14]Degree Days 2020'!M32</f>
        <v>23</v>
      </c>
      <c r="N32" s="267">
        <f>'[15]General information '!B28</f>
        <v>20</v>
      </c>
      <c r="O32" s="267">
        <f>'[15]General information '!C28</f>
        <v>18</v>
      </c>
      <c r="P32" s="267">
        <f t="shared" si="0"/>
        <v>0.69999999999999929</v>
      </c>
      <c r="Q32" s="517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'[13]Degree Days 2020'!B33</f>
        <v>17</v>
      </c>
      <c r="C33" s="267">
        <f>'[13]Degree Days 2020'!C33</f>
        <v>11</v>
      </c>
      <c r="D33" s="267">
        <f>'[13]Degree Days 2020'!D33</f>
        <v>-4.3000000000000007</v>
      </c>
      <c r="E33" s="267">
        <f>'[13]Degree Days 2020'!E33</f>
        <v>24</v>
      </c>
      <c r="F33" s="267">
        <f>'[13]Degree Days 2020'!F33</f>
        <v>19</v>
      </c>
      <c r="G33" s="267">
        <f>'[13]Degree Days 2020'!G33</f>
        <v>12</v>
      </c>
      <c r="H33" s="267">
        <f>'[13]Degree Days 2020'!H33</f>
        <v>-2.8000000000000007</v>
      </c>
      <c r="I33" s="267">
        <f>'[13]Degree Days 2020'!I33</f>
        <v>24</v>
      </c>
      <c r="J33" s="267">
        <f>'[13]Degree Days 2020'!J33</f>
        <v>15</v>
      </c>
      <c r="K33" s="267">
        <f>'[13]Degree Days 2020'!K33</f>
        <v>12</v>
      </c>
      <c r="L33" s="267">
        <f>'[13]Degree Days 2020'!L33</f>
        <v>-4.8000000000000007</v>
      </c>
      <c r="M33" s="267">
        <f>'[14]Degree Days 2020'!M33</f>
        <v>24</v>
      </c>
      <c r="N33" s="267">
        <f>'[15]General information '!B29</f>
        <v>24</v>
      </c>
      <c r="O33" s="267">
        <f>'[15]General information '!C29</f>
        <v>18</v>
      </c>
      <c r="P33" s="267">
        <f t="shared" si="0"/>
        <v>2.6999999999999993</v>
      </c>
      <c r="Q33" s="517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'[13]Degree Days 2020'!B34</f>
        <v>21</v>
      </c>
      <c r="C34" s="267">
        <f>'[13]Degree Days 2020'!C34</f>
        <v>12</v>
      </c>
      <c r="D34" s="267">
        <f>'[13]Degree Days 2020'!D34</f>
        <v>-1.8000000000000007</v>
      </c>
      <c r="E34" s="267">
        <f>'[13]Degree Days 2020'!E34</f>
        <v>25</v>
      </c>
      <c r="F34" s="267">
        <f>'[13]Degree Days 2020'!F34</f>
        <v>18</v>
      </c>
      <c r="G34" s="267">
        <f>'[13]Degree Days 2020'!G34</f>
        <v>13</v>
      </c>
      <c r="H34" s="267">
        <f>'[13]Degree Days 2020'!H34</f>
        <v>-2.8000000000000007</v>
      </c>
      <c r="I34" s="267">
        <f>'[13]Degree Days 2020'!I34</f>
        <v>25</v>
      </c>
      <c r="J34" s="267">
        <f>'[13]Degree Days 2020'!J34</f>
        <v>15</v>
      </c>
      <c r="K34" s="267">
        <f>'[13]Degree Days 2020'!K34</f>
        <v>12</v>
      </c>
      <c r="L34" s="267">
        <f>'[13]Degree Days 2020'!L34</f>
        <v>-4.8000000000000007</v>
      </c>
      <c r="M34" s="267">
        <f>'[14]Degree Days 2020'!M34</f>
        <v>25</v>
      </c>
      <c r="N34" s="267">
        <f>'[15]General information '!B30</f>
        <v>23</v>
      </c>
      <c r="O34" s="267">
        <f>'[15]General information '!C30</f>
        <v>18</v>
      </c>
      <c r="P34" s="267">
        <f t="shared" si="0"/>
        <v>2.1999999999999993</v>
      </c>
      <c r="Q34" s="517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'[13]Degree Days 2020'!B35</f>
        <v>18</v>
      </c>
      <c r="C35" s="267">
        <f>'[13]Degree Days 2020'!C35</f>
        <v>11</v>
      </c>
      <c r="D35" s="267">
        <f>'[13]Degree Days 2020'!D35</f>
        <v>-3.8000000000000007</v>
      </c>
      <c r="E35" s="267">
        <f>'[13]Degree Days 2020'!E35</f>
        <v>26</v>
      </c>
      <c r="F35" s="267">
        <f>'[13]Degree Days 2020'!F35</f>
        <v>18</v>
      </c>
      <c r="G35" s="267">
        <f>'[13]Degree Days 2020'!G35</f>
        <v>13</v>
      </c>
      <c r="H35" s="267">
        <f>'[13]Degree Days 2020'!H35</f>
        <v>-2.8000000000000007</v>
      </c>
      <c r="I35" s="267">
        <f>'[13]Degree Days 2020'!I35</f>
        <v>26</v>
      </c>
      <c r="J35" s="267">
        <f>'[13]Degree Days 2020'!J35</f>
        <v>16</v>
      </c>
      <c r="K35" s="267">
        <f>'[13]Degree Days 2020'!K35</f>
        <v>10</v>
      </c>
      <c r="L35" s="267">
        <f>'[13]Degree Days 2020'!L35</f>
        <v>-5.3000000000000007</v>
      </c>
      <c r="M35" s="267">
        <f>'[14]Degree Days 2020'!M35</f>
        <v>26</v>
      </c>
      <c r="N35" s="267">
        <f>'[15]General information '!B31</f>
        <v>22</v>
      </c>
      <c r="O35" s="267">
        <f>'[15]General information '!C31</f>
        <v>16</v>
      </c>
      <c r="P35" s="267">
        <f t="shared" si="0"/>
        <v>0.69999999999999929</v>
      </c>
      <c r="Q35" s="517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'[13]Degree Days 2020'!B36</f>
        <v>14</v>
      </c>
      <c r="C36" s="267">
        <f>'[13]Degree Days 2020'!C36</f>
        <v>10</v>
      </c>
      <c r="D36" s="267">
        <f>'[13]Degree Days 2020'!D36</f>
        <v>-6.3000000000000007</v>
      </c>
      <c r="E36" s="267">
        <f>'[13]Degree Days 2020'!E36</f>
        <v>27</v>
      </c>
      <c r="F36" s="267">
        <f>'[13]Degree Days 2020'!F36</f>
        <v>18</v>
      </c>
      <c r="G36" s="267">
        <f>'[13]Degree Days 2020'!G36</f>
        <v>13</v>
      </c>
      <c r="H36" s="267">
        <f>'[13]Degree Days 2020'!H36</f>
        <v>-2.8000000000000007</v>
      </c>
      <c r="I36" s="267">
        <f>'[13]Degree Days 2020'!I36</f>
        <v>27</v>
      </c>
      <c r="J36" s="267">
        <f>'[13]Degree Days 2020'!J36</f>
        <v>17</v>
      </c>
      <c r="K36" s="267">
        <f>'[13]Degree Days 2020'!K36</f>
        <v>11</v>
      </c>
      <c r="L36" s="267">
        <f>'[13]Degree Days 2020'!L36</f>
        <v>-4.3000000000000007</v>
      </c>
      <c r="M36" s="267">
        <f>'[14]Degree Days 2020'!M36</f>
        <v>27</v>
      </c>
      <c r="N36" s="267">
        <f>'[15]General information '!B32</f>
        <v>22</v>
      </c>
      <c r="O36" s="267">
        <f>'[15]General information '!C32</f>
        <v>18</v>
      </c>
      <c r="P36" s="267">
        <f t="shared" si="0"/>
        <v>1.6999999999999993</v>
      </c>
      <c r="Q36" s="517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'[13]Degree Days 2020'!B37</f>
        <v>14</v>
      </c>
      <c r="C37" s="267">
        <f>'[13]Degree Days 2020'!C37</f>
        <v>10</v>
      </c>
      <c r="D37" s="267">
        <f>'[13]Degree Days 2020'!D37</f>
        <v>-6.3000000000000007</v>
      </c>
      <c r="E37" s="267">
        <f>'[13]Degree Days 2020'!E37</f>
        <v>28</v>
      </c>
      <c r="F37" s="267">
        <f>'[13]Degree Days 2020'!F37</f>
        <v>17</v>
      </c>
      <c r="G37" s="267">
        <f>'[13]Degree Days 2020'!G37</f>
        <v>13</v>
      </c>
      <c r="H37" s="267">
        <f>'[13]Degree Days 2020'!H37</f>
        <v>-3.3000000000000007</v>
      </c>
      <c r="I37" s="267">
        <f>'[13]Degree Days 2020'!I37</f>
        <v>28</v>
      </c>
      <c r="J37" s="267">
        <f>'[13]Degree Days 2020'!J37</f>
        <v>17</v>
      </c>
      <c r="K37" s="267">
        <f>'[13]Degree Days 2020'!K37</f>
        <v>13</v>
      </c>
      <c r="L37" s="267">
        <f>'[13]Degree Days 2020'!L37</f>
        <v>-3.3000000000000007</v>
      </c>
      <c r="M37" s="267">
        <f>'[14]Degree Days 2020'!M37</f>
        <v>28</v>
      </c>
      <c r="N37" s="267">
        <f>'[15]General information '!B33</f>
        <v>26</v>
      </c>
      <c r="O37" s="267">
        <f>'[15]General information '!C33</f>
        <v>16</v>
      </c>
      <c r="P37" s="267">
        <f t="shared" si="0"/>
        <v>2.6999999999999993</v>
      </c>
      <c r="Q37" s="517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'[13]Degree Days 2020'!B38</f>
        <v>16</v>
      </c>
      <c r="C38" s="267">
        <f>'[13]Degree Days 2020'!C38</f>
        <v>12</v>
      </c>
      <c r="D38" s="267">
        <f>'[13]Degree Days 2020'!D38</f>
        <v>-4.3000000000000007</v>
      </c>
      <c r="E38" s="267"/>
      <c r="F38" s="267"/>
      <c r="G38" s="267"/>
      <c r="H38" s="267"/>
      <c r="I38" s="267">
        <f>'[13]Degree Days 2020'!I38</f>
        <v>29</v>
      </c>
      <c r="J38" s="267">
        <f>'[13]Degree Days 2020'!J38</f>
        <v>17</v>
      </c>
      <c r="K38" s="267">
        <f>'[13]Degree Days 2020'!K38</f>
        <v>14</v>
      </c>
      <c r="L38" s="267">
        <f>'[13]Degree Days 2020'!L38</f>
        <v>-2.8000000000000007</v>
      </c>
      <c r="M38" s="267">
        <f>'[14]Degree Days 2020'!M38</f>
        <v>29</v>
      </c>
      <c r="N38" s="267">
        <f>'[15]General information '!B34</f>
        <v>29</v>
      </c>
      <c r="O38" s="267">
        <f>'[15]General information '!C34</f>
        <v>18</v>
      </c>
      <c r="P38" s="267">
        <f t="shared" si="0"/>
        <v>5.1999999999999993</v>
      </c>
      <c r="Q38" s="517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'[13]Degree Days 2020'!B39</f>
        <v>10</v>
      </c>
      <c r="C39" s="267">
        <f>'[13]Degree Days 2020'!C39</f>
        <v>4</v>
      </c>
      <c r="D39" s="267">
        <f>'[13]Degree Days 2020'!D39</f>
        <v>-11.3</v>
      </c>
      <c r="E39" s="267"/>
      <c r="F39" s="267"/>
      <c r="G39" s="267"/>
      <c r="H39" s="267"/>
      <c r="I39" s="267">
        <f>'[13]Degree Days 2020'!I39</f>
        <v>30</v>
      </c>
      <c r="J39" s="267">
        <f>'[13]Degree Days 2020'!J39</f>
        <v>19</v>
      </c>
      <c r="K39" s="267">
        <f>'[13]Degree Days 2020'!K39</f>
        <v>13</v>
      </c>
      <c r="L39" s="267">
        <f>'[13]Degree Days 2020'!L39</f>
        <v>-2.3000000000000007</v>
      </c>
      <c r="M39" s="267">
        <f>'[14]Degree Days 2020'!M39</f>
        <v>30</v>
      </c>
      <c r="N39" s="267">
        <f>'[15]General information '!B35</f>
        <v>25</v>
      </c>
      <c r="O39" s="267">
        <f>'[15]General information '!C35</f>
        <v>21</v>
      </c>
      <c r="P39" s="267">
        <f t="shared" si="0"/>
        <v>4.6999999999999993</v>
      </c>
      <c r="Q39" s="517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'[13]Degree Days 2020'!B40</f>
        <v>21</v>
      </c>
      <c r="C40" s="267">
        <f>'[13]Degree Days 2020'!C40</f>
        <v>16</v>
      </c>
      <c r="D40" s="267">
        <f>'[13]Degree Days 2020'!D40</f>
        <v>0.19999999999999929</v>
      </c>
      <c r="E40" s="267"/>
      <c r="F40" s="267"/>
      <c r="G40" s="267"/>
      <c r="H40" s="267"/>
      <c r="I40" s="267">
        <f>'[13]Degree Days 2020'!I40</f>
        <v>31</v>
      </c>
      <c r="J40" s="267">
        <f>'[13]Degree Days 2020'!J40</f>
        <v>18</v>
      </c>
      <c r="K40" s="267">
        <f>'[13]Degree Days 2020'!K40</f>
        <v>13</v>
      </c>
      <c r="L40" s="267">
        <f>'[13]Degree Days 2020'!L40</f>
        <v>-2.8000000000000007</v>
      </c>
      <c r="M40" s="267"/>
      <c r="N40" s="267"/>
      <c r="O40" s="267"/>
      <c r="P40" s="267"/>
      <c r="Q40" s="517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'[9]Degree Days 2020'!B48</f>
        <v>0</v>
      </c>
      <c r="C48" s="267">
        <f>'[9]Degree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'[9]Degree Days 2020'!B49</f>
        <v>0</v>
      </c>
      <c r="C49" s="267">
        <f>'[9]Degree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'[9]Degree Days 2020'!B50</f>
        <v>0</v>
      </c>
      <c r="C50" s="267">
        <f>'[9]Degree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'[9]Degree Days 2020'!B51</f>
        <v>0</v>
      </c>
      <c r="C51" s="267">
        <f>'[9]Degree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'[9]Degree Days 2020'!B52</f>
        <v>30</v>
      </c>
      <c r="C52" s="267">
        <f>'[9]Degree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'[9]Degree Days 2020'!B53</f>
        <v>30</v>
      </c>
      <c r="C53" s="267">
        <f>'[9]Degree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'[9]Degree Days 2020'!B54</f>
        <v>30</v>
      </c>
      <c r="C54" s="267">
        <f>'[9]Degree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'[9]Degree Days 2020'!B55</f>
        <v>29</v>
      </c>
      <c r="C55" s="267">
        <f>'[9]Degree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29</v>
      </c>
      <c r="K55" s="267">
        <f>'General information '!C13</f>
        <v>25</v>
      </c>
      <c r="L55" s="119">
        <f t="shared" si="6"/>
        <v>8.6999999999999993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'[9]Degree Days 2020'!B56</f>
        <v>30</v>
      </c>
      <c r="C56" s="267">
        <f>'[9]Degree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29</v>
      </c>
      <c r="K56" s="267">
        <f>'General information '!C14</f>
        <v>25</v>
      </c>
      <c r="L56" s="119">
        <f t="shared" si="6"/>
        <v>8.6999999999999993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'[9]Degree Days 2020'!B57</f>
        <v>31</v>
      </c>
      <c r="C57" s="267">
        <f>'[9]Degree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'[9]Degree Days 2020'!B58</f>
        <v>30</v>
      </c>
      <c r="C58" s="267">
        <f>'[9]Degree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'[9]Degree Days 2020'!B59</f>
        <v>31</v>
      </c>
      <c r="C59" s="267">
        <f>'[9]Degree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'[9]Degree Days 2020'!B60</f>
        <v>31</v>
      </c>
      <c r="C60" s="267">
        <f>'[9]Degree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29</v>
      </c>
      <c r="K60" s="267">
        <f>'General information '!C18</f>
        <v>25</v>
      </c>
      <c r="L60" s="119">
        <f t="shared" si="6"/>
        <v>8.6999999999999993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'[9]Degree Days 2020'!B61</f>
        <v>30</v>
      </c>
      <c r="C61" s="267">
        <f>'[9]Degree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30</v>
      </c>
      <c r="K61" s="267">
        <f>'General information '!C19</f>
        <v>25</v>
      </c>
      <c r="L61" s="119">
        <f t="shared" si="6"/>
        <v>9.1999999999999993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'[9]Degree Days 2020'!B62</f>
        <v>28</v>
      </c>
      <c r="C62" s="267">
        <f>'[9]Degree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29</v>
      </c>
      <c r="K62" s="267">
        <f>'General information '!C20</f>
        <v>24</v>
      </c>
      <c r="L62" s="119">
        <f t="shared" si="6"/>
        <v>8.1999999999999993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'[9]Degree Days 2020'!B63</f>
        <v>30</v>
      </c>
      <c r="C63" s="267">
        <f>'[9]Degree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30</v>
      </c>
      <c r="K63" s="267">
        <f>'General information '!C21</f>
        <v>26</v>
      </c>
      <c r="L63" s="119">
        <f t="shared" si="6"/>
        <v>9.6999999999999993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'[9]Degree Days 2020'!B64</f>
        <v>30</v>
      </c>
      <c r="C64" s="267">
        <f>'[9]Degree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28</v>
      </c>
      <c r="K64" s="267">
        <f>'General information '!C22</f>
        <v>23</v>
      </c>
      <c r="L64" s="119">
        <f t="shared" si="6"/>
        <v>7.1999999999999993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'[9]Degree Days 2020'!B65</f>
        <v>30</v>
      </c>
      <c r="C65" s="267">
        <f>'[9]Degree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'[9]Degree Days 2020'!B66</f>
        <v>31</v>
      </c>
      <c r="C66" s="267">
        <f>'[9]Degree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29</v>
      </c>
      <c r="K66" s="267">
        <f>'General information '!C24</f>
        <v>24</v>
      </c>
      <c r="L66" s="119">
        <f t="shared" si="6"/>
        <v>8.1999999999999993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'[9]Degree Days 2020'!B67</f>
        <v>31</v>
      </c>
      <c r="C67" s="267">
        <f>'[9]Degree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29</v>
      </c>
      <c r="K67" s="267">
        <f>'General information '!C25</f>
        <v>25</v>
      </c>
      <c r="L67" s="119">
        <f t="shared" si="6"/>
        <v>8.6999999999999993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'[9]Degree Days 2020'!B68</f>
        <v>31</v>
      </c>
      <c r="C68" s="267">
        <f>'[9]Degree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30</v>
      </c>
      <c r="K68" s="267">
        <f>'General information '!C26</f>
        <v>25</v>
      </c>
      <c r="L68" s="119">
        <f t="shared" si="6"/>
        <v>9.1999999999999993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'[9]Degree Days 2020'!B69</f>
        <v>0</v>
      </c>
      <c r="C69" s="267">
        <f>'[9]Degree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31</v>
      </c>
      <c r="K69" s="267">
        <f>'General information '!C27</f>
        <v>25</v>
      </c>
      <c r="L69" s="119">
        <f t="shared" si="6"/>
        <v>9.6999999999999993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'[9]Degree Days 2020'!B70</f>
        <v>0</v>
      </c>
      <c r="C70" s="267">
        <f>'[9]Degree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'[9]Degree Days 2020'!B71</f>
        <v>0</v>
      </c>
      <c r="C71" s="267">
        <f>'[9]Degree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'[9]Degree Days 2020'!B72</f>
        <v>0</v>
      </c>
      <c r="C72" s="267">
        <f>'[9]Degree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'[9]Degree Days 2020'!B73</f>
        <v>0</v>
      </c>
      <c r="C73" s="267">
        <f>'[9]Degree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28</v>
      </c>
      <c r="K73" s="267">
        <f>'General information '!C31</f>
        <v>23</v>
      </c>
      <c r="L73" s="119">
        <f t="shared" si="6"/>
        <v>7.1999999999999993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'[9]Degree Days 2020'!B74</f>
        <v>31</v>
      </c>
      <c r="C74" s="267">
        <f>'[9]Degree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'[9]Degree Days 2020'!B75</f>
        <v>32</v>
      </c>
      <c r="C75" s="267">
        <f>'[9]Degree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'[9]Degree Days 2020'!B76</f>
        <v>32</v>
      </c>
      <c r="C76" s="267">
        <f>'[9]Degree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'[9]Degree Days 2020'!B77</f>
        <v>31</v>
      </c>
      <c r="C77" s="267">
        <f>'[9]Degree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'[9]Degree Days 2020'!B78</f>
        <v>31</v>
      </c>
      <c r="C78" s="267">
        <f>'[9]Degree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-237.90000000000006</v>
      </c>
      <c r="K81" s="119">
        <f>SUMIF(L48:L78,"&gt;0")</f>
        <v>153.4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3" t="s">
        <v>174</v>
      </c>
      <c r="O84" s="743" t="s">
        <v>175</v>
      </c>
      <c r="P84" s="134"/>
      <c r="T84" s="134"/>
      <c r="X84" s="134"/>
    </row>
    <row r="85" spans="1:24" ht="20.25" thickBot="1">
      <c r="D85" s="134"/>
      <c r="I85" s="745" t="s">
        <v>182</v>
      </c>
      <c r="J85" s="746"/>
      <c r="K85" s="746"/>
      <c r="L85" s="746"/>
      <c r="N85" s="744"/>
      <c r="O85" s="744"/>
      <c r="P85" s="134"/>
      <c r="R85" s="17"/>
      <c r="S85" s="17"/>
      <c r="T85" s="140"/>
      <c r="U85" s="141"/>
      <c r="X85" s="134"/>
    </row>
    <row r="86" spans="1:24" ht="18.75" thickBot="1">
      <c r="D86" s="134"/>
      <c r="I86" s="747" t="s">
        <v>183</v>
      </c>
      <c r="J86" s="747"/>
      <c r="K86" s="747"/>
      <c r="L86" s="747"/>
      <c r="N86" s="142">
        <f>B43+F43+J43+N43+R43+V43+B81+F81+J81+N81+R81+V81</f>
        <v>-2660.9000000000005</v>
      </c>
      <c r="O86" s="142">
        <f>C43+G43+K43+O43+S43+W43+C81+G81+K81+O81+S81+W81</f>
        <v>983.39999999999975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7"/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  <c r="N88" s="737"/>
      <c r="O88" s="737"/>
      <c r="P88" s="737"/>
      <c r="Q88" s="737"/>
      <c r="R88" s="737"/>
      <c r="S88" s="737"/>
      <c r="T88" s="737"/>
      <c r="U88" s="737"/>
      <c r="V88" s="737"/>
      <c r="W88" s="73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8" t="s">
        <v>215</v>
      </c>
      <c r="B2" s="748"/>
      <c r="C2" s="748"/>
      <c r="D2" s="748"/>
      <c r="E2" s="748"/>
      <c r="F2" s="748"/>
      <c r="G2" s="748"/>
      <c r="H2" s="748"/>
      <c r="I2" s="748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12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730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3368.1290322580644</v>
      </c>
      <c r="G7" s="497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5">
        <f>tanks!AT37</f>
        <v>60625</v>
      </c>
      <c r="C8" s="481">
        <f>SUM(tanks!AU37)</f>
        <v>0.5675</v>
      </c>
      <c r="D8" s="191">
        <f>SUM(B8*C8)*D4</f>
        <v>51865066.40625</v>
      </c>
      <c r="E8" s="192">
        <f>SUM(D8/D4/F4)</f>
        <v>2867.0572916666665</v>
      </c>
      <c r="F8" s="192">
        <f>SUM(E8*F4)</f>
        <v>34404.6875</v>
      </c>
      <c r="G8" s="606">
        <f>E8*$G$4</f>
        <v>88878.776041666657</v>
      </c>
      <c r="H8" s="189">
        <v>26882.6</v>
      </c>
      <c r="I8" s="192">
        <f>'[16]Budget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5129</v>
      </c>
      <c r="C10" s="181"/>
      <c r="D10" s="183">
        <f>'EDl log'!AB33</f>
        <v>7873085</v>
      </c>
      <c r="E10" s="182">
        <f>SUM(D10/D4/F4)</f>
        <v>435.21752349364289</v>
      </c>
      <c r="F10" s="182">
        <f>SUM(E10*F4)</f>
        <v>5222.6102819237149</v>
      </c>
      <c r="G10" s="497">
        <f>E10*$G$4</f>
        <v>13491.74322830293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3582.9522345151481</v>
      </c>
      <c r="F12" s="180">
        <f>SUM(F6:F10)</f>
        <v>42995.426814181774</v>
      </c>
      <c r="G12" s="179">
        <f>SUM(G6:G10)</f>
        <v>110570.51926996959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153.4</v>
      </c>
      <c r="C14" s="427">
        <f>'[17]Utility Cost '!C14</f>
        <v>285.99999999999983</v>
      </c>
      <c r="D14" s="170"/>
      <c r="E14" s="170">
        <f>B14-C14</f>
        <v>-132.59999999999982</v>
      </c>
      <c r="F14" s="496">
        <v>0</v>
      </c>
      <c r="G14" s="416"/>
      <c r="H14" s="417">
        <f>SUM(G12-H12)</f>
        <v>55986.919269969592</v>
      </c>
      <c r="I14" s="417">
        <f>SUM(G12-I12)</f>
        <v>57683.021958141631</v>
      </c>
    </row>
    <row r="15" spans="1:11">
      <c r="A15" s="442" t="s">
        <v>302</v>
      </c>
      <c r="B15" s="97">
        <f>'Degree Days 2020'!J81</f>
        <v>-237.90000000000006</v>
      </c>
      <c r="C15" s="427">
        <f>'[17]Utility Cost '!C15</f>
        <v>0</v>
      </c>
      <c r="D15" s="170"/>
      <c r="E15" s="170">
        <f>B15-C15</f>
        <v>-237.90000000000006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38.708333333333336</v>
      </c>
      <c r="C16" s="427">
        <f>'[17]Utility Cost '!C16</f>
        <v>27.833333333333332</v>
      </c>
      <c r="D16" s="426"/>
      <c r="E16" s="427">
        <f>B16-C16</f>
        <v>10.875000000000004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'[17]Utility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293</v>
      </c>
      <c r="C18" s="427">
        <f>'[17]Utility Cost '!C18</f>
        <v>329</v>
      </c>
      <c r="D18" s="424">
        <f>'[18]Other Fuel Calculation 2021'!$G$116</f>
        <v>202.66666666666666</v>
      </c>
      <c r="E18" s="511">
        <f>B18-C18</f>
        <v>-36</v>
      </c>
      <c r="F18" s="514">
        <f>B18-D18</f>
        <v>90.333333333333343</v>
      </c>
    </row>
    <row r="19" spans="1:10">
      <c r="A19" s="508" t="s">
        <v>409</v>
      </c>
      <c r="B19" s="506">
        <f>SUM(B18/$F$4)</f>
        <v>24.416666666666668</v>
      </c>
      <c r="C19" s="427">
        <f>'[17]Utility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2021-09-28T08:53:27Z</dcterms:modified>
</cp:coreProperties>
</file>