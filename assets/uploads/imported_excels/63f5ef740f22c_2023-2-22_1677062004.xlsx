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1\July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<sst xmlns="http://schemas.openxmlformats.org/spreadsheetml/2006/main" count="139" uniqueCount="59">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</sst>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" fillId="0" borderId="2" xfId="0" applyFont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Submetering!S2</f>
        <v>858.31200000000001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160</v>
      </c>
    </row>
    <row r="3" spans="1:11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Submetering!S3</f>
        <v>724.81500000000005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163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Submetering!S4</f>
        <v>783.23699999999997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87</v>
      </c>
    </row>
    <row r="5" spans="1:11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Submetering!S5</f>
        <v>783.23699999999997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76</v>
      </c>
    </row>
    <row r="6" spans="1:11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Submetering!S6</f>
        <v>736.827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77</v>
      </c>
    </row>
    <row r="7" spans="1:11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Submetering!S7</f>
        <v>812.44800000000009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84</v>
      </c>
    </row>
    <row r="8" spans="1:11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Submetering!S8</f>
        <v>699.42600000000004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95</v>
      </c>
    </row>
    <row r="9" spans="1:11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Submetering!S9</f>
        <v>885.33900000000006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105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Submetering!S10</f>
        <v>662.57100000000003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141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Submetering!S11</f>
        <v>772.04399999999998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97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Submetering!S12</f>
        <v>776.13900000000001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100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Submetering!S13</f>
        <v>772.86299999999994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105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Submetering!S14</f>
        <v>741.46799999999996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85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Submetering!S15</f>
        <v>770.67900000000009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91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Submetering!S16</f>
        <v>1058.421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124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Submetering!S17</f>
        <v>821.7299999999999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134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Submetering!S18</f>
        <v>873.6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138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Submetering!S19</f>
        <v>737.1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78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Submetering!S20</f>
        <v>732.45900000000006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58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Submetering!S21</f>
        <v>815.178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114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Submetering!S22</f>
        <v>636.36299999999994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176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Submetering!S23</f>
        <v>750.75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161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Submetering!S24</f>
        <v>857.22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142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Submetering!S25</f>
        <v>698.88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90</v>
      </c>
    </row>
    <row r="26" spans="1:11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Submetering!S26</f>
        <v>816.27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94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64730</v>
      </c>
      <c r="F27" s="11">
        <v>5.0000000000000001E-3</v>
      </c>
      <c r="G27" s="12">
        <f>Submetering!S27</f>
        <v>831.01199999999994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81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60600</v>
      </c>
      <c r="F28" s="11">
        <v>5.0000000000000001E-3</v>
      </c>
      <c r="G28" s="12">
        <f>Submetering!S28</f>
        <v>812.17499999999995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95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67200</v>
      </c>
      <c r="F29" s="11">
        <v>5.0000000000000001E-3</v>
      </c>
      <c r="G29" s="12">
        <f>Submetering!S29</f>
        <v>935.57100000000003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103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79410</v>
      </c>
      <c r="F30" s="11">
        <v>5.0000000000000001E-3</v>
      </c>
      <c r="G30" s="12">
        <f>Submetering!S30</f>
        <v>675.67499999999995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156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46390</v>
      </c>
      <c r="F31" s="11">
        <v>5.0000000000000001E-3</v>
      </c>
      <c r="G31" s="12">
        <f>Submetering!S31</f>
        <v>788.15099999999995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150</v>
      </c>
    </row>
    <row r="32" spans="1:1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83240</v>
      </c>
      <c r="F32" s="11">
        <v>5.0000000000000001E-3</v>
      </c>
      <c r="G32" s="12">
        <f>Submetering!S32</f>
        <v>1056.2369999999999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Hotel!AT7</f>
        <v>0</v>
      </c>
      <c r="S2" s="4">
        <f>Hotel!BA7</f>
        <v>858.31200000000001</v>
      </c>
      <c r="T2" s="4">
        <f>Hotel!AX7</f>
        <v>0</v>
      </c>
      <c r="U2" s="4">
        <f>Hotel!B7</f>
        <v>160</v>
      </c>
    </row>
    <row r="3" spans="1:21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Hotel!AT8</f>
        <v>0</v>
      </c>
      <c r="S3" s="4">
        <f>Hotel!BA8</f>
        <v>724.81500000000005</v>
      </c>
      <c r="T3" s="4">
        <f>Hotel!AX8</f>
        <v>0</v>
      </c>
      <c r="U3" s="4">
        <f>Hotel!B8</f>
        <v>163</v>
      </c>
    </row>
    <row r="4" spans="1:21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Hotel!AT9</f>
        <v>0</v>
      </c>
      <c r="S4" s="4">
        <f>Hotel!BA9</f>
        <v>783.23699999999997</v>
      </c>
      <c r="T4" s="4">
        <f>Hotel!AX9</f>
        <v>0</v>
      </c>
      <c r="U4" s="4">
        <f>Hotel!B9</f>
        <v>87</v>
      </c>
    </row>
    <row r="5" spans="1:21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Hotel!AT10</f>
        <v>0</v>
      </c>
      <c r="S5" s="4">
        <f>Hotel!BA10</f>
        <v>783.23699999999997</v>
      </c>
      <c r="T5" s="4">
        <f>Hotel!AX10</f>
        <v>0</v>
      </c>
      <c r="U5" s="4">
        <f>Hotel!B10</f>
        <v>76</v>
      </c>
    </row>
    <row r="6" spans="1:21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Hotel!AT11</f>
        <v>0</v>
      </c>
      <c r="S6" s="4">
        <f>Hotel!BA11</f>
        <v>736.827</v>
      </c>
      <c r="T6" s="4">
        <f>Hotel!AX11</f>
        <v>0</v>
      </c>
      <c r="U6" s="4">
        <f>Hotel!B11</f>
        <v>77</v>
      </c>
    </row>
    <row r="7" spans="1:21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Hotel!AT12</f>
        <v>0</v>
      </c>
      <c r="S7" s="4">
        <f>Hotel!BA12</f>
        <v>812.44800000000009</v>
      </c>
      <c r="T7" s="4">
        <f>Hotel!AX12</f>
        <v>0</v>
      </c>
      <c r="U7" s="4">
        <f>Hotel!B12</f>
        <v>84</v>
      </c>
    </row>
    <row r="8" spans="1:21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Hotel!AT13</f>
        <v>0</v>
      </c>
      <c r="S8" s="4">
        <f>Hotel!BA13</f>
        <v>699.42600000000004</v>
      </c>
      <c r="T8" s="4">
        <f>Hotel!AX13</f>
        <v>0</v>
      </c>
      <c r="U8" s="4">
        <f>Hotel!B13</f>
        <v>95</v>
      </c>
    </row>
    <row r="9" spans="1:21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Hotel!AT14</f>
        <v>0</v>
      </c>
      <c r="S9" s="4">
        <f>Hotel!BA14</f>
        <v>885.33900000000006</v>
      </c>
      <c r="T9" s="4">
        <f>Hotel!AX14</f>
        <v>0</v>
      </c>
      <c r="U9" s="4">
        <f>Hotel!B14</f>
        <v>105</v>
      </c>
    </row>
    <row r="10" spans="1:21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Hotel!AT15</f>
        <v>0</v>
      </c>
      <c r="S10" s="4">
        <f>Hotel!BA15</f>
        <v>662.57100000000003</v>
      </c>
      <c r="T10" s="4">
        <f>Hotel!AX15</f>
        <v>0</v>
      </c>
      <c r="U10" s="4">
        <f>Hotel!B15</f>
        <v>141</v>
      </c>
    </row>
    <row r="11" spans="1:21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Hotel!AT16</f>
        <v>0</v>
      </c>
      <c r="S11" s="4">
        <f>Hotel!BA16</f>
        <v>772.04399999999998</v>
      </c>
      <c r="T11" s="4">
        <f>Hotel!AX16</f>
        <v>0</v>
      </c>
      <c r="U11" s="4">
        <f>Hotel!B16</f>
        <v>97</v>
      </c>
    </row>
    <row r="12" spans="1:21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Hotel!AT17</f>
        <v>0</v>
      </c>
      <c r="S12" s="4">
        <f>Hotel!BA17</f>
        <v>776.13900000000001</v>
      </c>
      <c r="T12" s="4">
        <f>Hotel!AX17</f>
        <v>0</v>
      </c>
      <c r="U12" s="4">
        <f>Hotel!B17</f>
        <v>100</v>
      </c>
    </row>
    <row r="13" spans="1:21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Hotel!AT18</f>
        <v>0</v>
      </c>
      <c r="S13" s="4">
        <f>Hotel!BA18</f>
        <v>772.86299999999994</v>
      </c>
      <c r="T13" s="4">
        <f>Hotel!AX18</f>
        <v>0</v>
      </c>
      <c r="U13" s="4">
        <f>Hotel!B18</f>
        <v>105</v>
      </c>
    </row>
    <row r="14" spans="1:21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Hotel!AT19</f>
        <v>0</v>
      </c>
      <c r="S14" s="4">
        <f>Hotel!BA19</f>
        <v>741.46799999999996</v>
      </c>
      <c r="T14" s="4">
        <f>Hotel!AX19</f>
        <v>0</v>
      </c>
      <c r="U14" s="4">
        <f>Hotel!B19</f>
        <v>85</v>
      </c>
    </row>
    <row r="15" spans="1:21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Hotel!AT20</f>
        <v>0</v>
      </c>
      <c r="S15" s="4">
        <f>Hotel!BA20</f>
        <v>770.67900000000009</v>
      </c>
      <c r="T15" s="4">
        <f>Hotel!AX20</f>
        <v>0</v>
      </c>
      <c r="U15" s="4">
        <f>Hotel!B20</f>
        <v>91</v>
      </c>
    </row>
    <row r="16" spans="1:21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Hotel!AT21</f>
        <v>0</v>
      </c>
      <c r="S16" s="4">
        <f>Hotel!BA21</f>
        <v>1058.421</v>
      </c>
      <c r="T16" s="4">
        <f>Hotel!AX21</f>
        <v>0</v>
      </c>
      <c r="U16" s="4">
        <f>Hotel!B21</f>
        <v>124</v>
      </c>
    </row>
    <row r="17" spans="1:21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Hotel!AT22</f>
        <v>0</v>
      </c>
      <c r="S17" s="4">
        <f>Hotel!BA22</f>
        <v>821.7299999999999</v>
      </c>
      <c r="T17" s="4">
        <f>Hotel!AX22</f>
        <v>0</v>
      </c>
      <c r="U17" s="4">
        <f>Hotel!B22</f>
        <v>134</v>
      </c>
    </row>
    <row r="18" spans="1:21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Hotel!AT23</f>
        <v>0</v>
      </c>
      <c r="S18" s="4">
        <f>Hotel!BA23</f>
        <v>873.6</v>
      </c>
      <c r="T18" s="4">
        <f>Hotel!AX23</f>
        <v>0</v>
      </c>
      <c r="U18" s="4">
        <f>Hotel!B23</f>
        <v>138</v>
      </c>
    </row>
    <row r="19" spans="1:21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Hotel!AT24</f>
        <v>0</v>
      </c>
      <c r="S19" s="4">
        <f>Hotel!BA24</f>
        <v>737.1</v>
      </c>
      <c r="T19" s="4">
        <f>Hotel!AX24</f>
        <v>0</v>
      </c>
      <c r="U19" s="4">
        <f>Hotel!B24</f>
        <v>78</v>
      </c>
    </row>
    <row r="20" spans="1:21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Hotel!AT25</f>
        <v>0</v>
      </c>
      <c r="S20" s="4">
        <f>Hotel!BA25</f>
        <v>732.45900000000006</v>
      </c>
      <c r="T20" s="4">
        <f>Hotel!AX25</f>
        <v>0</v>
      </c>
      <c r="U20" s="4">
        <f>Hotel!B25</f>
        <v>58</v>
      </c>
    </row>
    <row r="21" spans="1:21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Hotel!AT26</f>
        <v>0</v>
      </c>
      <c r="S21" s="4">
        <f>Hotel!BA26</f>
        <v>815.178</v>
      </c>
      <c r="T21" s="4">
        <f>Hotel!AX26</f>
        <v>0</v>
      </c>
      <c r="U21" s="4">
        <f>Hotel!B26</f>
        <v>114</v>
      </c>
    </row>
    <row r="22" spans="1:21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Hotel!AT27</f>
        <v>0</v>
      </c>
      <c r="S22" s="4">
        <f>Hotel!BA27</f>
        <v>636.36299999999994</v>
      </c>
      <c r="T22" s="4">
        <f>Hotel!AX27</f>
        <v>0</v>
      </c>
      <c r="U22" s="4">
        <f>Hotel!B27</f>
        <v>176</v>
      </c>
    </row>
    <row r="23" spans="1:21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Hotel!AT28</f>
        <v>0</v>
      </c>
      <c r="S23" s="4">
        <f>Hotel!BA28</f>
        <v>750.75</v>
      </c>
      <c r="T23" s="4">
        <f>Hotel!AX28</f>
        <v>0</v>
      </c>
      <c r="U23" s="4">
        <f>Hotel!B28</f>
        <v>161</v>
      </c>
    </row>
    <row r="24" spans="1:21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Hotel!AT29</f>
        <v>0</v>
      </c>
      <c r="S24" s="4">
        <f>Hotel!BA29</f>
        <v>857.22</v>
      </c>
      <c r="T24" s="4">
        <f>Hotel!AX29</f>
        <v>0</v>
      </c>
      <c r="U24" s="4">
        <f>Hotel!B29</f>
        <v>142</v>
      </c>
    </row>
    <row r="25" spans="1:21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Hotel!AT30</f>
        <v>0</v>
      </c>
      <c r="S25" s="4">
        <f>Hotel!BA30</f>
        <v>698.88</v>
      </c>
      <c r="T25" s="4">
        <f>Hotel!AX30</f>
        <v>0</v>
      </c>
      <c r="U25" s="4">
        <f>Hotel!B30</f>
        <v>90</v>
      </c>
    </row>
    <row r="26" spans="1:21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Hotel!AT31</f>
        <v>0</v>
      </c>
      <c r="S26" s="4">
        <f>Hotel!BA31</f>
        <v>816.27</v>
      </c>
      <c r="T26" s="4">
        <f>Hotel!AX31</f>
        <v>0</v>
      </c>
      <c r="U26" s="4">
        <f>Hotel!B31</f>
        <v>94</v>
      </c>
    </row>
    <row r="27" spans="1:21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1040</v>
      </c>
      <c r="F27" s="4">
        <f>Hotel!R32</f>
        <v>15180</v>
      </c>
      <c r="G27" s="4">
        <f>Hotel!S32</f>
        <v>4190</v>
      </c>
      <c r="H27" s="4">
        <f>Hotel!T32</f>
        <v>1740</v>
      </c>
      <c r="I27" s="4">
        <f>Hotel!U32</f>
        <v>4380</v>
      </c>
      <c r="J27" s="4">
        <f>Hotel!V32</f>
        <v>3630</v>
      </c>
      <c r="K27" s="4">
        <f>Hotel!W32</f>
        <v>2450</v>
      </c>
      <c r="L27" s="4">
        <f>Hotel!X32</f>
        <v>3750</v>
      </c>
      <c r="M27" s="4">
        <f>Hotel!Y32</f>
        <v>5770</v>
      </c>
      <c r="N27" s="4">
        <f>Hotel!Z32</f>
        <v>2670</v>
      </c>
      <c r="O27" s="4">
        <f>Hotel!AA32</f>
        <v>2980</v>
      </c>
      <c r="P27" s="4">
        <f>Hotel!AB32</f>
        <v>7420</v>
      </c>
      <c r="Q27" s="4">
        <f>Hotel!AC32</f>
        <v>9530</v>
      </c>
      <c r="R27" s="4">
        <f>Hotel!AT32</f>
        <v>0</v>
      </c>
      <c r="S27" s="4">
        <f>Hotel!BA32</f>
        <v>831.01199999999994</v>
      </c>
      <c r="T27" s="4">
        <f>Hotel!AX32</f>
        <v>0</v>
      </c>
      <c r="U27" s="4">
        <f>Hotel!B32</f>
        <v>81</v>
      </c>
    </row>
    <row r="28" spans="1:21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970</v>
      </c>
      <c r="F28" s="4">
        <f>Hotel!R33</f>
        <v>13500</v>
      </c>
      <c r="G28" s="4">
        <f>Hotel!S33</f>
        <v>3680</v>
      </c>
      <c r="H28" s="4">
        <f>Hotel!T33</f>
        <v>1620</v>
      </c>
      <c r="I28" s="4">
        <f>Hotel!U33</f>
        <v>3940</v>
      </c>
      <c r="J28" s="4">
        <f>Hotel!V33</f>
        <v>3480</v>
      </c>
      <c r="K28" s="4">
        <f>Hotel!W33</f>
        <v>2280</v>
      </c>
      <c r="L28" s="4">
        <f>Hotel!X33</f>
        <v>3920</v>
      </c>
      <c r="M28" s="4">
        <f>Hotel!Y33</f>
        <v>5460</v>
      </c>
      <c r="N28" s="4">
        <f>Hotel!Z33</f>
        <v>2510</v>
      </c>
      <c r="O28" s="4">
        <f>Hotel!AA33</f>
        <v>3140</v>
      </c>
      <c r="P28" s="4">
        <f>Hotel!AB33</f>
        <v>6950</v>
      </c>
      <c r="Q28" s="4">
        <f>Hotel!AC33</f>
        <v>9150</v>
      </c>
      <c r="R28" s="4">
        <f>Hotel!AT33</f>
        <v>0</v>
      </c>
      <c r="S28" s="4">
        <f>Hotel!BA33</f>
        <v>812.17499999999995</v>
      </c>
      <c r="T28" s="4">
        <f>Hotel!AX33</f>
        <v>0</v>
      </c>
      <c r="U28" s="4">
        <f>Hotel!B33</f>
        <v>95</v>
      </c>
    </row>
    <row r="29" spans="1:21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1060</v>
      </c>
      <c r="F29" s="4">
        <f>Hotel!R34</f>
        <v>15410</v>
      </c>
      <c r="G29" s="4">
        <f>Hotel!S34</f>
        <v>4260</v>
      </c>
      <c r="H29" s="4">
        <f>Hotel!T34</f>
        <v>1760</v>
      </c>
      <c r="I29" s="4">
        <f>Hotel!U34</f>
        <v>4150</v>
      </c>
      <c r="J29" s="4">
        <f>Hotel!V34</f>
        <v>3800</v>
      </c>
      <c r="K29" s="4">
        <f>Hotel!W34</f>
        <v>2470</v>
      </c>
      <c r="L29" s="4">
        <f>Hotel!X34</f>
        <v>4210</v>
      </c>
      <c r="M29" s="4">
        <f>Hotel!Y34</f>
        <v>5860</v>
      </c>
      <c r="N29" s="4">
        <f>Hotel!Z34</f>
        <v>2820</v>
      </c>
      <c r="O29" s="4">
        <f>Hotel!AA34</f>
        <v>3370</v>
      </c>
      <c r="P29" s="4">
        <f>Hotel!AB34</f>
        <v>7480</v>
      </c>
      <c r="Q29" s="4">
        <f>Hotel!AC34</f>
        <v>10550</v>
      </c>
      <c r="R29" s="4">
        <f>Hotel!AT34</f>
        <v>0</v>
      </c>
      <c r="S29" s="4">
        <f>Hotel!BA34</f>
        <v>935.57100000000003</v>
      </c>
      <c r="T29" s="4">
        <f>Hotel!AX34</f>
        <v>0</v>
      </c>
      <c r="U29" s="4">
        <f>Hotel!B34</f>
        <v>103</v>
      </c>
    </row>
    <row r="30" spans="1:21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1250</v>
      </c>
      <c r="F30" s="4">
        <f>Hotel!R35</f>
        <v>17470</v>
      </c>
      <c r="G30" s="4">
        <f>Hotel!S35</f>
        <v>4730</v>
      </c>
      <c r="H30" s="4">
        <f>Hotel!T35</f>
        <v>2110</v>
      </c>
      <c r="I30" s="4">
        <f>Hotel!U35</f>
        <v>5240</v>
      </c>
      <c r="J30" s="4">
        <f>Hotel!V35</f>
        <v>4450</v>
      </c>
      <c r="K30" s="4">
        <f>Hotel!W35</f>
        <v>2920</v>
      </c>
      <c r="L30" s="4">
        <f>Hotel!X35</f>
        <v>5130</v>
      </c>
      <c r="M30" s="4">
        <f>Hotel!Y35</f>
        <v>6720</v>
      </c>
      <c r="N30" s="4">
        <f>Hotel!Z35</f>
        <v>3530</v>
      </c>
      <c r="O30" s="4">
        <f>Hotel!AA35</f>
        <v>4120</v>
      </c>
      <c r="P30" s="4">
        <f>Hotel!AB35</f>
        <v>9060</v>
      </c>
      <c r="Q30" s="4">
        <f>Hotel!AC35</f>
        <v>12680</v>
      </c>
      <c r="R30" s="4">
        <f>Hotel!AT35</f>
        <v>0</v>
      </c>
      <c r="S30" s="4">
        <f>Hotel!BA35</f>
        <v>675.67499999999995</v>
      </c>
      <c r="T30" s="4">
        <f>Hotel!AX35</f>
        <v>0</v>
      </c>
      <c r="U30" s="4">
        <f>Hotel!B35</f>
        <v>156</v>
      </c>
    </row>
    <row r="31" spans="1:21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740</v>
      </c>
      <c r="F31" s="4">
        <f>Hotel!R36</f>
        <v>10330</v>
      </c>
      <c r="G31" s="4">
        <f>Hotel!S36</f>
        <v>2790</v>
      </c>
      <c r="H31" s="4">
        <f>Hotel!T36</f>
        <v>1220</v>
      </c>
      <c r="I31" s="4">
        <f>Hotel!U36</f>
        <v>3220</v>
      </c>
      <c r="J31" s="4">
        <f>Hotel!V36</f>
        <v>2590</v>
      </c>
      <c r="K31" s="4">
        <f>Hotel!W36</f>
        <v>1720</v>
      </c>
      <c r="L31" s="4">
        <f>Hotel!X36</f>
        <v>3400</v>
      </c>
      <c r="M31" s="4">
        <f>Hotel!Y36</f>
        <v>4650</v>
      </c>
      <c r="N31" s="4">
        <f>Hotel!Z36</f>
        <v>2220</v>
      </c>
      <c r="O31" s="4">
        <f>Hotel!AA36</f>
        <v>2520</v>
      </c>
      <c r="P31" s="4">
        <f>Hotel!AB36</f>
        <v>5510</v>
      </c>
      <c r="Q31" s="4">
        <f>Hotel!AC36</f>
        <v>5480</v>
      </c>
      <c r="R31" s="4">
        <f>Hotel!AT36</f>
        <v>0</v>
      </c>
      <c r="S31" s="4">
        <f>Hotel!BA36</f>
        <v>788.15099999999995</v>
      </c>
      <c r="T31" s="4">
        <f>Hotel!AX36</f>
        <v>0</v>
      </c>
      <c r="U31" s="4">
        <f>Hotel!B36</f>
        <v>150</v>
      </c>
    </row>
    <row r="32" spans="1:21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1320</v>
      </c>
      <c r="F32" s="4">
        <f>Hotel!R37</f>
        <v>18320</v>
      </c>
      <c r="G32" s="4">
        <f>Hotel!S37</f>
        <v>4950</v>
      </c>
      <c r="H32" s="4">
        <f>Hotel!T37</f>
        <v>2210</v>
      </c>
      <c r="I32" s="4">
        <f>Hotel!U37</f>
        <v>5760</v>
      </c>
      <c r="J32" s="4">
        <f>Hotel!V37</f>
        <v>4430</v>
      </c>
      <c r="K32" s="4">
        <f>Hotel!W37</f>
        <v>3100</v>
      </c>
      <c r="L32" s="4">
        <f>Hotel!X37</f>
        <v>5170</v>
      </c>
      <c r="M32" s="4">
        <f>Hotel!Y37</f>
        <v>7310</v>
      </c>
      <c r="N32" s="4">
        <f>Hotel!Z37</f>
        <v>3530</v>
      </c>
      <c r="O32" s="4">
        <f>Hotel!AA37</f>
        <v>4180</v>
      </c>
      <c r="P32" s="4">
        <f>Hotel!AB37</f>
        <v>9860</v>
      </c>
      <c r="Q32" s="4">
        <f>Hotel!AC37</f>
        <v>13100</v>
      </c>
      <c r="R32" s="4">
        <f>Hotel!AT37</f>
        <v>0</v>
      </c>
      <c r="S32" s="4">
        <f>Hotel!BA37</f>
        <v>1056.2369999999999</v>
      </c>
      <c r="T32" s="4">
        <f>Hotel!AX37</f>
        <v>0</v>
      </c>
      <c r="U32" s="4">
        <f>Hotel!B37</f>
        <v>101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zoomScale="93" zoomScaleNormal="93" workbookViewId="0">
      <selection activeCell="A2" sqref="A2:O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7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0">
        <v>21728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51</v>
      </c>
      <c r="AV4" s="69" t="s">
        <v>53</v>
      </c>
      <c r="AW4" s="69" t="s">
        <v>55</v>
      </c>
      <c r="AX4" s="69" t="s">
        <v>56</v>
      </c>
      <c r="AY4" s="58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58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0">
        <v>21728</v>
      </c>
    </row>
    <row r="7" spans="1:54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 t="shared" ref="Q7:AC7" si="0">IF((C7-C2&lt;0), "0",C7-C2)</f>
        <v>1080</v>
      </c>
      <c r="R7" s="37">
        <f t="shared" si="0"/>
        <v>14400</v>
      </c>
      <c r="S7" s="37">
        <f t="shared" si="0"/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0">
        <v>24872</v>
      </c>
      <c r="AZ7" s="37">
        <f>(IF((AY7-AY6&lt;0),"0",AY7-AY6))*100</f>
        <v>314400</v>
      </c>
      <c r="BA7" s="37">
        <f>AZ7*$AZ$44*60%</f>
        <v>858.31200000000001</v>
      </c>
      <c r="BB7" s="48">
        <f>BA7*0.4444</f>
        <v>381.43385280000001</v>
      </c>
    </row>
    <row r="8" spans="1:54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5">IF((D8-D7&lt;0), "0",D8-D7)</f>
        <v>13200</v>
      </c>
      <c r="S8" s="37">
        <f t="shared" ref="S8:S35" si="16">IF((E8-E7&lt;0), "0",E8-E7)</f>
        <v>3470</v>
      </c>
      <c r="T8" s="37">
        <f t="shared" si="15"/>
        <v>1620</v>
      </c>
      <c r="U8" s="37">
        <f t="shared" si="15"/>
        <v>4560</v>
      </c>
      <c r="V8" s="37">
        <f t="shared" si="15"/>
        <v>3390</v>
      </c>
      <c r="W8" s="37">
        <f t="shared" si="15"/>
        <v>2260</v>
      </c>
      <c r="X8" s="37">
        <f t="shared" si="15"/>
        <v>4050</v>
      </c>
      <c r="Y8" s="37">
        <f t="shared" si="15"/>
        <v>5120</v>
      </c>
      <c r="Z8" s="37">
        <f t="shared" si="15"/>
        <v>2760</v>
      </c>
      <c r="AA8" s="37">
        <f t="shared" si="15"/>
        <v>3390</v>
      </c>
      <c r="AB8" s="37">
        <f t="shared" si="15"/>
        <v>6860</v>
      </c>
      <c r="AC8" s="37">
        <f t="shared" si="15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0">
        <v>27527</v>
      </c>
      <c r="AZ8" s="37">
        <f t="shared" ref="AZ8:AZ38" si="18">(IF((AY8-AY7&lt;0),"0",AY8-AY7))*100</f>
        <v>265500</v>
      </c>
      <c r="BA8" s="37">
        <f t="shared" ref="BA8:BA39" si="19">AZ8*$AZ$44*60%</f>
        <v>724.81500000000005</v>
      </c>
      <c r="BB8" s="48">
        <f t="shared" ref="BB8:BB38" si="20">BA8*0.4444</f>
        <v>322.10778600000003</v>
      </c>
    </row>
    <row r="9" spans="1:54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21">IF((C9-C8&lt;0), "0",C9-C8)</f>
        <v>1010</v>
      </c>
      <c r="R9" s="37">
        <f t="shared" ref="R9:R37" si="22">IF((D9-D8&lt;0), "0",D9-D8)</f>
        <v>13480</v>
      </c>
      <c r="S9" s="37">
        <f t="shared" si="16"/>
        <v>3530</v>
      </c>
      <c r="T9" s="37">
        <f t="shared" ref="T9:T35" si="23">IF((F9-F8&lt;0), "0",F9-F8)</f>
        <v>1670</v>
      </c>
      <c r="U9" s="37">
        <f t="shared" ref="U9:U35" si="24">IF((G9-G8&lt;0), "0",G9-G8)</f>
        <v>4400</v>
      </c>
      <c r="V9" s="37">
        <f t="shared" ref="V9:V35" si="25">IF((H9-H8&lt;0), "0",H9-H8)</f>
        <v>3410</v>
      </c>
      <c r="W9" s="37">
        <f t="shared" ref="W9:W35" si="26">IF((I9-I8&lt;0), "0",I9-I8)</f>
        <v>2320</v>
      </c>
      <c r="X9" s="37">
        <f t="shared" ref="X9:X37" si="27">IF((J9-J8&lt;0), "0",J9-J8)</f>
        <v>3880</v>
      </c>
      <c r="Y9" s="37">
        <f t="shared" ref="Y9:Y35" si="28">IF((K9-K8&lt;0), "0",K9-K8)</f>
        <v>5350</v>
      </c>
      <c r="Z9" s="37">
        <f t="shared" ref="Z9:Z35" si="29">IF((L9-L8&lt;0), "0",L9-L8)</f>
        <v>2740</v>
      </c>
      <c r="AA9" s="37">
        <f t="shared" ref="AA9:AA35" si="30">IF((M9-M8&lt;0), "0",M9-M8)</f>
        <v>3290</v>
      </c>
      <c r="AB9" s="37">
        <f t="shared" ref="AB9:AB37" si="31">IF((N9-N8&lt;0), "0",N9-N8)</f>
        <v>7080</v>
      </c>
      <c r="AC9" s="37">
        <f t="shared" ref="AC9:AC37" si="32">IF((O9-O8&lt;0), "0",O9-O8)</f>
        <v>10040</v>
      </c>
      <c r="AD9" s="35">
        <f t="shared" ref="AD9:AD37" si="33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34">SUM(AF9:AR9)</f>
        <v>310.99999999999994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0">
        <v>30396</v>
      </c>
      <c r="AZ9" s="37">
        <f t="shared" si="18"/>
        <v>286900</v>
      </c>
      <c r="BA9" s="37">
        <f t="shared" si="19"/>
        <v>783.23699999999997</v>
      </c>
      <c r="BB9" s="48">
        <f t="shared" si="20"/>
        <v>348.07052279999999</v>
      </c>
    </row>
    <row r="10" spans="1:54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21"/>
        <v>990</v>
      </c>
      <c r="R10" s="37">
        <f t="shared" si="22"/>
        <v>13530</v>
      </c>
      <c r="S10" s="37">
        <f t="shared" si="16"/>
        <v>3470</v>
      </c>
      <c r="T10" s="37">
        <f t="shared" si="23"/>
        <v>1690</v>
      </c>
      <c r="U10" s="37">
        <f t="shared" si="24"/>
        <v>4330</v>
      </c>
      <c r="V10" s="37">
        <f t="shared" si="25"/>
        <v>3330</v>
      </c>
      <c r="W10" s="37">
        <f t="shared" si="26"/>
        <v>2330</v>
      </c>
      <c r="X10" s="37">
        <f t="shared" si="27"/>
        <v>3530</v>
      </c>
      <c r="Y10" s="37">
        <f t="shared" si="28"/>
        <v>5170</v>
      </c>
      <c r="Z10" s="37">
        <f t="shared" si="29"/>
        <v>2560</v>
      </c>
      <c r="AA10" s="37">
        <f t="shared" si="30"/>
        <v>3270</v>
      </c>
      <c r="AB10" s="37">
        <f t="shared" si="31"/>
        <v>7010</v>
      </c>
      <c r="AC10" s="37">
        <f t="shared" si="32"/>
        <v>10080</v>
      </c>
      <c r="AD10" s="35">
        <f t="shared" si="33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34"/>
        <v>306.45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0">
        <v>33265</v>
      </c>
      <c r="AZ10" s="37">
        <f t="shared" si="18"/>
        <v>286900</v>
      </c>
      <c r="BA10" s="37">
        <f t="shared" si="19"/>
        <v>783.23699999999997</v>
      </c>
      <c r="BB10" s="48">
        <f t="shared" si="20"/>
        <v>348.07052279999999</v>
      </c>
    </row>
    <row r="11" spans="1:54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21"/>
        <v>970</v>
      </c>
      <c r="R11" s="37">
        <f t="shared" si="22"/>
        <v>12900</v>
      </c>
      <c r="S11" s="37">
        <f t="shared" si="16"/>
        <v>3380</v>
      </c>
      <c r="T11" s="37">
        <f t="shared" si="23"/>
        <v>1640</v>
      </c>
      <c r="U11" s="37">
        <f t="shared" si="24"/>
        <v>4150</v>
      </c>
      <c r="V11" s="37">
        <f t="shared" si="25"/>
        <v>3170</v>
      </c>
      <c r="W11" s="37">
        <f t="shared" si="26"/>
        <v>2250</v>
      </c>
      <c r="X11" s="37">
        <f t="shared" si="27"/>
        <v>3340</v>
      </c>
      <c r="Y11" s="37">
        <f t="shared" si="28"/>
        <v>4880</v>
      </c>
      <c r="Z11" s="37">
        <f t="shared" si="29"/>
        <v>2380</v>
      </c>
      <c r="AA11" s="37">
        <f t="shared" si="30"/>
        <v>3130</v>
      </c>
      <c r="AB11" s="37">
        <f t="shared" si="31"/>
        <v>6860</v>
      </c>
      <c r="AC11" s="37">
        <f t="shared" si="32"/>
        <v>9190</v>
      </c>
      <c r="AD11" s="35">
        <f t="shared" si="33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34"/>
        <v>291.20000000000005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0">
        <v>35964</v>
      </c>
      <c r="AZ11" s="37">
        <f t="shared" si="18"/>
        <v>269900</v>
      </c>
      <c r="BA11" s="37">
        <f t="shared" si="19"/>
        <v>736.827</v>
      </c>
      <c r="BB11" s="48">
        <f t="shared" si="20"/>
        <v>327.44591880000002</v>
      </c>
    </row>
    <row r="12" spans="1:54" x14ac:dyDescent="0.25">
      <c r="A12" s="23">
        <v>44383</v>
      </c>
      <c r="B12" s="40">
        <v>84</v>
      </c>
      <c r="C12" s="71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21"/>
        <v>1080</v>
      </c>
      <c r="R12" s="37">
        <f t="shared" si="22"/>
        <v>14430</v>
      </c>
      <c r="S12" s="37">
        <f t="shared" si="16"/>
        <v>3780</v>
      </c>
      <c r="T12" s="37">
        <f t="shared" ref="T12:W14" si="35">IF((F12-F11&lt;0), "0",F12-F11)</f>
        <v>1800</v>
      </c>
      <c r="U12" s="37">
        <f t="shared" si="35"/>
        <v>4480</v>
      </c>
      <c r="V12" s="37">
        <f t="shared" si="35"/>
        <v>3600</v>
      </c>
      <c r="W12" s="37">
        <f t="shared" si="35"/>
        <v>2490</v>
      </c>
      <c r="X12" s="37">
        <f t="shared" si="27"/>
        <v>4020</v>
      </c>
      <c r="Y12" s="37">
        <f t="shared" si="28"/>
        <v>5530</v>
      </c>
      <c r="Z12" s="37">
        <f>IF((L12-L11&lt;0), "0",L12-L11)</f>
        <v>2770</v>
      </c>
      <c r="AA12" s="37">
        <f t="shared" si="30"/>
        <v>3520</v>
      </c>
      <c r="AB12" s="37">
        <f t="shared" si="31"/>
        <v>7620</v>
      </c>
      <c r="AC12" s="37">
        <f t="shared" si="32"/>
        <v>9130</v>
      </c>
      <c r="AD12" s="35">
        <f t="shared" si="33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34"/>
        <v>321.25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0">
        <v>38940</v>
      </c>
      <c r="AZ12" s="37">
        <f t="shared" si="18"/>
        <v>297600</v>
      </c>
      <c r="BA12" s="37">
        <f t="shared" si="19"/>
        <v>812.44800000000009</v>
      </c>
      <c r="BB12" s="48">
        <f t="shared" si="20"/>
        <v>361.05189120000006</v>
      </c>
    </row>
    <row r="13" spans="1:54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21"/>
        <v>930</v>
      </c>
      <c r="R13" s="37">
        <f t="shared" si="22"/>
        <v>12240</v>
      </c>
      <c r="S13" s="37">
        <f t="shared" si="16"/>
        <v>3290</v>
      </c>
      <c r="T13" s="37">
        <f t="shared" si="35"/>
        <v>1550</v>
      </c>
      <c r="U13" s="37">
        <f t="shared" si="35"/>
        <v>4010</v>
      </c>
      <c r="V13" s="37">
        <f t="shared" si="35"/>
        <v>3130</v>
      </c>
      <c r="W13" s="37">
        <f t="shared" si="35"/>
        <v>2150</v>
      </c>
      <c r="X13" s="37">
        <f t="shared" si="27"/>
        <v>3740</v>
      </c>
      <c r="Y13" s="37">
        <f t="shared" si="28"/>
        <v>4720</v>
      </c>
      <c r="Z13" s="37">
        <f>IF((L13-L12&lt;0), "0",L13-L12)</f>
        <v>2500</v>
      </c>
      <c r="AA13" s="37">
        <f t="shared" si="30"/>
        <v>2900</v>
      </c>
      <c r="AB13" s="37">
        <f t="shared" si="31"/>
        <v>6420</v>
      </c>
      <c r="AC13" s="37">
        <f t="shared" si="32"/>
        <v>7590</v>
      </c>
      <c r="AD13" s="35">
        <f t="shared" si="33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34"/>
        <v>275.84999999999997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0">
        <v>41502</v>
      </c>
      <c r="AZ13" s="37">
        <f t="shared" si="18"/>
        <v>256200</v>
      </c>
      <c r="BA13" s="37">
        <f t="shared" si="19"/>
        <v>699.42600000000004</v>
      </c>
      <c r="BB13" s="48">
        <f t="shared" si="20"/>
        <v>310.82491440000001</v>
      </c>
    </row>
    <row r="14" spans="1:54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47"/>
      <c r="Q14" s="37">
        <f t="shared" si="21"/>
        <v>1040</v>
      </c>
      <c r="R14" s="37">
        <f t="shared" si="22"/>
        <v>13910</v>
      </c>
      <c r="S14" s="37">
        <f t="shared" si="16"/>
        <v>3700</v>
      </c>
      <c r="T14" s="37">
        <f t="shared" si="35"/>
        <v>1740</v>
      </c>
      <c r="U14" s="37">
        <f t="shared" si="35"/>
        <v>4520</v>
      </c>
      <c r="V14" s="37">
        <f t="shared" si="35"/>
        <v>3470</v>
      </c>
      <c r="W14" s="37">
        <f t="shared" si="35"/>
        <v>2390</v>
      </c>
      <c r="X14" s="37">
        <f t="shared" si="27"/>
        <v>4100</v>
      </c>
      <c r="Y14" s="37">
        <f t="shared" si="28"/>
        <v>5230</v>
      </c>
      <c r="Z14" s="37">
        <f>IF((L14-L13&lt;0), "0",L14-L13)</f>
        <v>2840</v>
      </c>
      <c r="AA14" s="37">
        <f t="shared" si="30"/>
        <v>3370</v>
      </c>
      <c r="AB14" s="37">
        <f t="shared" si="31"/>
        <v>7460</v>
      </c>
      <c r="AC14" s="37">
        <f t="shared" si="32"/>
        <v>9120</v>
      </c>
      <c r="AD14" s="35">
        <f t="shared" si="33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34"/>
        <v>314.45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0">
        <v>44745</v>
      </c>
      <c r="AZ14" s="37">
        <f t="shared" si="18"/>
        <v>324300</v>
      </c>
      <c r="BA14" s="37">
        <f t="shared" si="19"/>
        <v>885.33900000000006</v>
      </c>
      <c r="BB14" s="48">
        <f t="shared" si="20"/>
        <v>393.44465160000004</v>
      </c>
    </row>
    <row r="15" spans="1:54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21"/>
        <v>1000</v>
      </c>
      <c r="R15" s="37">
        <f t="shared" si="22"/>
        <v>13440</v>
      </c>
      <c r="S15" s="37">
        <f t="shared" si="16"/>
        <v>3580</v>
      </c>
      <c r="T15" s="37">
        <f t="shared" si="23"/>
        <v>1660</v>
      </c>
      <c r="U15" s="37">
        <f t="shared" si="24"/>
        <v>4370</v>
      </c>
      <c r="V15" s="37">
        <f t="shared" si="25"/>
        <v>3280</v>
      </c>
      <c r="W15" s="37">
        <f t="shared" si="26"/>
        <v>2260</v>
      </c>
      <c r="X15" s="37">
        <f t="shared" si="27"/>
        <v>4030</v>
      </c>
      <c r="Y15" s="37">
        <f t="shared" si="28"/>
        <v>4910</v>
      </c>
      <c r="Z15" s="37">
        <f t="shared" si="29"/>
        <v>2730</v>
      </c>
      <c r="AA15" s="37">
        <f t="shared" si="30"/>
        <v>3130</v>
      </c>
      <c r="AB15" s="37">
        <f t="shared" si="31"/>
        <v>6930</v>
      </c>
      <c r="AC15" s="37">
        <f t="shared" si="32"/>
        <v>9770</v>
      </c>
      <c r="AD15" s="35">
        <f t="shared" si="33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34"/>
        <v>305.45000000000005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0">
        <v>47172</v>
      </c>
      <c r="AZ15" s="37">
        <f t="shared" si="18"/>
        <v>242700</v>
      </c>
      <c r="BA15" s="37">
        <f t="shared" si="19"/>
        <v>662.57100000000003</v>
      </c>
      <c r="BB15" s="48">
        <f t="shared" si="20"/>
        <v>294.44655240000003</v>
      </c>
    </row>
    <row r="16" spans="1:54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21"/>
        <v>1050</v>
      </c>
      <c r="R16" s="37">
        <f t="shared" si="22"/>
        <v>14040</v>
      </c>
      <c r="S16" s="37">
        <f t="shared" si="16"/>
        <v>3750</v>
      </c>
      <c r="T16" s="37">
        <f t="shared" si="23"/>
        <v>1750</v>
      </c>
      <c r="U16" s="37">
        <f>IF((G16-G15&lt;0), "0",G16-G15)</f>
        <v>4490</v>
      </c>
      <c r="V16" s="37">
        <f>IF((H16-H15&lt;0), "0",H16-H15)</f>
        <v>3580</v>
      </c>
      <c r="W16" s="37">
        <f t="shared" si="26"/>
        <v>2410</v>
      </c>
      <c r="X16" s="37">
        <f t="shared" si="27"/>
        <v>4160</v>
      </c>
      <c r="Y16" s="37">
        <f t="shared" si="28"/>
        <v>5130</v>
      </c>
      <c r="Z16" s="37">
        <f t="shared" si="29"/>
        <v>2740</v>
      </c>
      <c r="AA16" s="37">
        <f t="shared" si="30"/>
        <v>3380</v>
      </c>
      <c r="AB16" s="37">
        <f t="shared" si="31"/>
        <v>7220</v>
      </c>
      <c r="AC16" s="37">
        <f t="shared" si="32"/>
        <v>9410</v>
      </c>
      <c r="AD16" s="35">
        <f t="shared" si="33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34"/>
        <v>315.55000000000007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0">
        <v>50000</v>
      </c>
      <c r="AZ16" s="37">
        <f t="shared" si="18"/>
        <v>282800</v>
      </c>
      <c r="BA16" s="37">
        <f t="shared" si="19"/>
        <v>772.04399999999998</v>
      </c>
      <c r="BB16" s="48">
        <f t="shared" si="20"/>
        <v>343.09635359999999</v>
      </c>
    </row>
    <row r="17" spans="1:54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21"/>
        <v>960</v>
      </c>
      <c r="R17" s="37">
        <f t="shared" si="22"/>
        <v>12650</v>
      </c>
      <c r="S17" s="37">
        <f t="shared" si="16"/>
        <v>3350</v>
      </c>
      <c r="T17" s="37">
        <f t="shared" si="23"/>
        <v>1590</v>
      </c>
      <c r="U17" s="37">
        <f>IF((G17-G16&lt;0), "0",G17-G16)</f>
        <v>4180</v>
      </c>
      <c r="V17" s="37">
        <f>IF((H17-H16&lt;0), "0",H17-H16)</f>
        <v>3250</v>
      </c>
      <c r="W17" s="37">
        <f t="shared" si="26"/>
        <v>2190</v>
      </c>
      <c r="X17" s="37">
        <f t="shared" si="27"/>
        <v>4590</v>
      </c>
      <c r="Y17" s="37">
        <f t="shared" si="28"/>
        <v>4790</v>
      </c>
      <c r="Z17" s="37">
        <f t="shared" si="29"/>
        <v>2390</v>
      </c>
      <c r="AA17" s="37">
        <f t="shared" si="30"/>
        <v>3100</v>
      </c>
      <c r="AB17" s="37">
        <f t="shared" si="31"/>
        <v>6490</v>
      </c>
      <c r="AC17" s="37">
        <f t="shared" si="32"/>
        <v>7800</v>
      </c>
      <c r="AD17" s="35">
        <f t="shared" si="33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34"/>
        <v>286.64999999999998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0">
        <v>52843</v>
      </c>
      <c r="AZ17" s="37">
        <f t="shared" si="18"/>
        <v>284300</v>
      </c>
      <c r="BA17" s="37">
        <f t="shared" si="19"/>
        <v>776.13900000000001</v>
      </c>
      <c r="BB17" s="48">
        <f t="shared" si="20"/>
        <v>344.91617160000004</v>
      </c>
    </row>
    <row r="18" spans="1:54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21"/>
        <v>1020</v>
      </c>
      <c r="R18" s="37">
        <f t="shared" si="22"/>
        <v>13830</v>
      </c>
      <c r="S18" s="37">
        <f t="shared" si="16"/>
        <v>3710</v>
      </c>
      <c r="T18" s="37">
        <f t="shared" si="23"/>
        <v>1710</v>
      </c>
      <c r="U18" s="37">
        <f t="shared" si="24"/>
        <v>4280</v>
      </c>
      <c r="V18" s="37">
        <f t="shared" si="25"/>
        <v>3510</v>
      </c>
      <c r="W18" s="37">
        <f t="shared" si="26"/>
        <v>2320</v>
      </c>
      <c r="X18" s="37">
        <f t="shared" si="27"/>
        <v>2700</v>
      </c>
      <c r="Y18" s="37">
        <f t="shared" si="28"/>
        <v>5250</v>
      </c>
      <c r="Z18" s="37">
        <f t="shared" si="29"/>
        <v>2520</v>
      </c>
      <c r="AA18" s="37">
        <f t="shared" si="30"/>
        <v>3180</v>
      </c>
      <c r="AB18" s="37">
        <f t="shared" si="31"/>
        <v>7110</v>
      </c>
      <c r="AC18" s="37">
        <f t="shared" si="32"/>
        <v>8970</v>
      </c>
      <c r="AD18" s="35">
        <f t="shared" si="33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34"/>
        <v>300.55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0">
        <v>55674</v>
      </c>
      <c r="AZ18" s="37">
        <f t="shared" si="18"/>
        <v>283100</v>
      </c>
      <c r="BA18" s="37">
        <f t="shared" si="19"/>
        <v>772.86299999999994</v>
      </c>
      <c r="BB18" s="48">
        <f t="shared" si="20"/>
        <v>343.46031719999996</v>
      </c>
    </row>
    <row r="19" spans="1:54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21"/>
        <v>980</v>
      </c>
      <c r="R19" s="37">
        <f t="shared" si="22"/>
        <v>13680</v>
      </c>
      <c r="S19" s="37">
        <f t="shared" si="16"/>
        <v>3690</v>
      </c>
      <c r="T19" s="37">
        <f t="shared" si="23"/>
        <v>1660</v>
      </c>
      <c r="U19" s="37">
        <f t="shared" si="24"/>
        <v>4180</v>
      </c>
      <c r="V19" s="37">
        <f t="shared" si="25"/>
        <v>3350</v>
      </c>
      <c r="W19" s="37">
        <f t="shared" si="26"/>
        <v>2250</v>
      </c>
      <c r="X19" s="37">
        <f t="shared" si="27"/>
        <v>3850</v>
      </c>
      <c r="Y19" s="37">
        <f t="shared" si="28"/>
        <v>5240</v>
      </c>
      <c r="Z19" s="37">
        <f t="shared" si="29"/>
        <v>2340</v>
      </c>
      <c r="AA19" s="37">
        <f t="shared" si="30"/>
        <v>3020</v>
      </c>
      <c r="AB19" s="37">
        <f t="shared" si="31"/>
        <v>6930</v>
      </c>
      <c r="AC19" s="37">
        <f t="shared" si="32"/>
        <v>9620</v>
      </c>
      <c r="AD19" s="35">
        <f t="shared" si="33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34"/>
        <v>303.95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0">
        <v>58390</v>
      </c>
      <c r="AZ19" s="37">
        <f t="shared" si="18"/>
        <v>271600</v>
      </c>
      <c r="BA19" s="37">
        <f t="shared" si="19"/>
        <v>741.46799999999996</v>
      </c>
      <c r="BB19" s="48">
        <f t="shared" si="20"/>
        <v>329.50837919999998</v>
      </c>
    </row>
    <row r="20" spans="1:54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21"/>
        <v>1040</v>
      </c>
      <c r="R20" s="37">
        <f t="shared" si="22"/>
        <v>14300</v>
      </c>
      <c r="S20" s="37">
        <f t="shared" si="16"/>
        <v>3840</v>
      </c>
      <c r="T20" s="37">
        <f t="shared" si="23"/>
        <v>1770</v>
      </c>
      <c r="U20" s="37">
        <f t="shared" si="24"/>
        <v>4530</v>
      </c>
      <c r="V20" s="37">
        <f t="shared" si="25"/>
        <v>3570</v>
      </c>
      <c r="W20" s="37">
        <f t="shared" si="26"/>
        <v>2390</v>
      </c>
      <c r="X20" s="37">
        <f t="shared" si="27"/>
        <v>4010</v>
      </c>
      <c r="Y20" s="37">
        <f t="shared" si="28"/>
        <v>5800</v>
      </c>
      <c r="Z20" s="37">
        <f t="shared" si="29"/>
        <v>2610</v>
      </c>
      <c r="AA20" s="37">
        <f t="shared" si="30"/>
        <v>3110</v>
      </c>
      <c r="AB20" s="37">
        <f t="shared" si="31"/>
        <v>7330</v>
      </c>
      <c r="AC20" s="37">
        <f t="shared" si="32"/>
        <v>9440</v>
      </c>
      <c r="AD20" s="35">
        <f t="shared" si="33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34"/>
        <v>318.7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0">
        <v>61213</v>
      </c>
      <c r="AZ20" s="37">
        <f t="shared" si="18"/>
        <v>282300</v>
      </c>
      <c r="BA20" s="37">
        <f t="shared" si="19"/>
        <v>770.67900000000009</v>
      </c>
      <c r="BB20" s="48">
        <f t="shared" si="20"/>
        <v>342.48974760000004</v>
      </c>
    </row>
    <row r="21" spans="1:54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21"/>
        <v>1020</v>
      </c>
      <c r="R21" s="37">
        <f t="shared" si="22"/>
        <v>13830</v>
      </c>
      <c r="S21" s="37">
        <f t="shared" si="16"/>
        <v>3710</v>
      </c>
      <c r="T21" s="37">
        <f t="shared" si="23"/>
        <v>1710</v>
      </c>
      <c r="U21" s="37">
        <f t="shared" si="24"/>
        <v>4550</v>
      </c>
      <c r="V21" s="37">
        <f t="shared" si="25"/>
        <v>3400</v>
      </c>
      <c r="W21" s="37">
        <f t="shared" si="26"/>
        <v>2330</v>
      </c>
      <c r="X21" s="37">
        <f t="shared" si="27"/>
        <v>3800</v>
      </c>
      <c r="Y21" s="37">
        <f t="shared" si="28"/>
        <v>5580</v>
      </c>
      <c r="Z21" s="37">
        <f t="shared" si="29"/>
        <v>2660</v>
      </c>
      <c r="AA21" s="37">
        <f t="shared" si="30"/>
        <v>3180</v>
      </c>
      <c r="AB21" s="37">
        <f t="shared" si="31"/>
        <v>7020</v>
      </c>
      <c r="AC21" s="37">
        <f t="shared" si="32"/>
        <v>8460</v>
      </c>
      <c r="AD21" s="35">
        <f t="shared" si="33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34"/>
        <v>306.25000000000006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0">
        <v>65090</v>
      </c>
      <c r="AZ21" s="37">
        <f t="shared" si="18"/>
        <v>387700</v>
      </c>
      <c r="BA21" s="37">
        <f t="shared" si="19"/>
        <v>1058.421</v>
      </c>
      <c r="BB21" s="48">
        <f t="shared" si="20"/>
        <v>470.36229240000006</v>
      </c>
    </row>
    <row r="22" spans="1:54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72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72">
        <v>16982630</v>
      </c>
      <c r="Q22" s="37">
        <f t="shared" si="21"/>
        <v>1080</v>
      </c>
      <c r="R22" s="37">
        <f t="shared" si="22"/>
        <v>14900</v>
      </c>
      <c r="S22" s="37">
        <f t="shared" si="16"/>
        <v>3990</v>
      </c>
      <c r="T22" s="37">
        <f t="shared" si="23"/>
        <v>1820</v>
      </c>
      <c r="U22" s="37">
        <f t="shared" si="24"/>
        <v>4990</v>
      </c>
      <c r="V22" s="37">
        <f t="shared" si="25"/>
        <v>3680</v>
      </c>
      <c r="W22" s="37">
        <f t="shared" si="26"/>
        <v>2490</v>
      </c>
      <c r="X22" s="37">
        <f t="shared" si="27"/>
        <v>4230</v>
      </c>
      <c r="Y22" s="37">
        <f t="shared" si="28"/>
        <v>6140</v>
      </c>
      <c r="Z22" s="37">
        <f t="shared" si="29"/>
        <v>3020</v>
      </c>
      <c r="AA22" s="37">
        <f t="shared" si="30"/>
        <v>3530</v>
      </c>
      <c r="AB22" s="37">
        <f t="shared" si="31"/>
        <v>7820</v>
      </c>
      <c r="AC22" s="37">
        <f t="shared" si="32"/>
        <v>9940</v>
      </c>
      <c r="AD22" s="35">
        <f t="shared" si="33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34"/>
        <v>338.15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0">
        <v>68100</v>
      </c>
      <c r="AZ22" s="37">
        <f t="shared" si="18"/>
        <v>301000</v>
      </c>
      <c r="BA22" s="37">
        <f t="shared" si="19"/>
        <v>821.7299999999999</v>
      </c>
      <c r="BB22" s="48">
        <f t="shared" si="20"/>
        <v>365.17681199999998</v>
      </c>
    </row>
    <row r="23" spans="1:54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21"/>
        <v>2900</v>
      </c>
      <c r="R23" s="37">
        <f t="shared" si="22"/>
        <v>16120</v>
      </c>
      <c r="S23" s="37">
        <f t="shared" si="16"/>
        <v>4460</v>
      </c>
      <c r="T23" s="37">
        <f t="shared" si="23"/>
        <v>1710</v>
      </c>
      <c r="U23" s="37">
        <f t="shared" si="24"/>
        <v>4480</v>
      </c>
      <c r="V23" s="37">
        <f t="shared" si="25"/>
        <v>3420</v>
      </c>
      <c r="W23" s="37">
        <f t="shared" si="26"/>
        <v>2320</v>
      </c>
      <c r="X23" s="37">
        <f t="shared" si="27"/>
        <v>3910</v>
      </c>
      <c r="Y23" s="37">
        <f t="shared" si="28"/>
        <v>5710</v>
      </c>
      <c r="Z23" s="37">
        <f t="shared" si="29"/>
        <v>2770</v>
      </c>
      <c r="AA23" s="37">
        <f t="shared" si="30"/>
        <v>3260</v>
      </c>
      <c r="AB23" s="37">
        <f t="shared" si="31"/>
        <v>7480</v>
      </c>
      <c r="AC23" s="37">
        <f t="shared" si="32"/>
        <v>8700</v>
      </c>
      <c r="AD23" s="35">
        <f t="shared" si="33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34"/>
        <v>336.2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0">
        <v>71300</v>
      </c>
      <c r="AZ23" s="37">
        <f t="shared" si="18"/>
        <v>320000</v>
      </c>
      <c r="BA23" s="37">
        <f t="shared" si="19"/>
        <v>873.6</v>
      </c>
      <c r="BB23" s="48">
        <f t="shared" si="20"/>
        <v>388.22784000000001</v>
      </c>
    </row>
    <row r="24" spans="1:54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21"/>
        <v>6720</v>
      </c>
      <c r="R24" s="37">
        <f t="shared" si="22"/>
        <v>14950</v>
      </c>
      <c r="S24" s="37">
        <f t="shared" si="16"/>
        <v>4020</v>
      </c>
      <c r="T24" s="37">
        <f t="shared" si="23"/>
        <v>1660</v>
      </c>
      <c r="U24" s="37">
        <f t="shared" si="24"/>
        <v>4340</v>
      </c>
      <c r="V24" s="37">
        <f t="shared" si="25"/>
        <v>3220</v>
      </c>
      <c r="W24" s="37">
        <f t="shared" si="26"/>
        <v>2190</v>
      </c>
      <c r="X24" s="37">
        <f t="shared" si="27"/>
        <v>3230</v>
      </c>
      <c r="Y24" s="37">
        <f t="shared" si="28"/>
        <v>5250</v>
      </c>
      <c r="Z24" s="37">
        <f t="shared" si="29"/>
        <v>2380</v>
      </c>
      <c r="AA24" s="37">
        <f t="shared" si="30"/>
        <v>2850</v>
      </c>
      <c r="AB24" s="37">
        <f t="shared" si="31"/>
        <v>6830</v>
      </c>
      <c r="AC24" s="37">
        <f t="shared" si="32"/>
        <v>7920</v>
      </c>
      <c r="AD24" s="35">
        <f t="shared" si="33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34"/>
        <v>327.8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0">
        <v>74000</v>
      </c>
      <c r="AZ24" s="37">
        <f t="shared" si="18"/>
        <v>270000</v>
      </c>
      <c r="BA24" s="37">
        <f t="shared" si="19"/>
        <v>737.1</v>
      </c>
      <c r="BB24" s="48">
        <f t="shared" si="20"/>
        <v>327.56724000000003</v>
      </c>
    </row>
    <row r="25" spans="1:54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6">IF((C25-C24&lt;0), "0",C25-C24)</f>
        <v>11990</v>
      </c>
      <c r="R25" s="37">
        <f t="shared" si="22"/>
        <v>16090</v>
      </c>
      <c r="S25" s="37">
        <f t="shared" si="36"/>
        <v>4110</v>
      </c>
      <c r="T25" s="37">
        <f t="shared" si="36"/>
        <v>1760</v>
      </c>
      <c r="U25" s="37">
        <f t="shared" si="36"/>
        <v>4290</v>
      </c>
      <c r="V25" s="37">
        <f t="shared" si="36"/>
        <v>3400</v>
      </c>
      <c r="W25" s="37">
        <f t="shared" si="36"/>
        <v>2320</v>
      </c>
      <c r="X25" s="37">
        <f t="shared" si="36"/>
        <v>3520</v>
      </c>
      <c r="Y25" s="37">
        <f t="shared" si="36"/>
        <v>5460</v>
      </c>
      <c r="Z25" s="37">
        <f t="shared" si="36"/>
        <v>2480</v>
      </c>
      <c r="AA25" s="37">
        <f t="shared" si="36"/>
        <v>2860</v>
      </c>
      <c r="AB25" s="37">
        <f t="shared" si="36"/>
        <v>7130</v>
      </c>
      <c r="AC25" s="37">
        <f t="shared" si="36"/>
        <v>8490</v>
      </c>
      <c r="AD25" s="35">
        <f t="shared" si="33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34"/>
        <v>369.49999999999994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0">
        <v>76683</v>
      </c>
      <c r="AZ25" s="37">
        <f t="shared" si="18"/>
        <v>268300</v>
      </c>
      <c r="BA25" s="37">
        <f t="shared" si="19"/>
        <v>732.45900000000006</v>
      </c>
      <c r="BB25" s="48">
        <f t="shared" si="20"/>
        <v>325.50477960000006</v>
      </c>
    </row>
    <row r="26" spans="1:54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6"/>
        <v>11200</v>
      </c>
      <c r="R26" s="37">
        <f t="shared" si="22"/>
        <v>15390</v>
      </c>
      <c r="S26" s="37">
        <f t="shared" si="36"/>
        <v>3710</v>
      </c>
      <c r="T26" s="37">
        <f t="shared" si="36"/>
        <v>1820</v>
      </c>
      <c r="U26" s="37">
        <f t="shared" si="36"/>
        <v>4560</v>
      </c>
      <c r="V26" s="37">
        <f t="shared" si="36"/>
        <v>3580</v>
      </c>
      <c r="W26" s="37">
        <f t="shared" si="36"/>
        <v>2470</v>
      </c>
      <c r="X26" s="37">
        <f t="shared" si="36"/>
        <v>4240</v>
      </c>
      <c r="Y26" s="37">
        <f t="shared" si="36"/>
        <v>5630</v>
      </c>
      <c r="Z26" s="37">
        <f t="shared" si="36"/>
        <v>2690</v>
      </c>
      <c r="AA26" s="37">
        <f t="shared" si="36"/>
        <v>3250</v>
      </c>
      <c r="AB26" s="37">
        <f t="shared" si="36"/>
        <v>7870</v>
      </c>
      <c r="AC26" s="37">
        <f t="shared" si="36"/>
        <v>8670</v>
      </c>
      <c r="AD26" s="35">
        <f t="shared" si="33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34"/>
        <v>375.40000000000003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0">
        <v>79669</v>
      </c>
      <c r="AZ26" s="37">
        <f t="shared" si="18"/>
        <v>298600</v>
      </c>
      <c r="BA26" s="37">
        <f t="shared" si="19"/>
        <v>815.178</v>
      </c>
      <c r="BB26" s="48">
        <f t="shared" si="20"/>
        <v>362.2651032</v>
      </c>
    </row>
    <row r="27" spans="1:54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6"/>
        <v>11960</v>
      </c>
      <c r="R27" s="37">
        <f t="shared" si="22"/>
        <v>15980</v>
      </c>
      <c r="S27" s="37">
        <f t="shared" si="36"/>
        <v>4080</v>
      </c>
      <c r="T27" s="37">
        <f t="shared" si="36"/>
        <v>1740</v>
      </c>
      <c r="U27" s="37">
        <f t="shared" si="36"/>
        <v>4470</v>
      </c>
      <c r="V27" s="37">
        <f t="shared" si="36"/>
        <v>3510</v>
      </c>
      <c r="W27" s="37">
        <f t="shared" si="36"/>
        <v>2320</v>
      </c>
      <c r="X27" s="37">
        <f t="shared" si="36"/>
        <v>3990</v>
      </c>
      <c r="Y27" s="37">
        <f t="shared" si="36"/>
        <v>5670</v>
      </c>
      <c r="Z27" s="37">
        <f t="shared" si="36"/>
        <v>2780</v>
      </c>
      <c r="AA27" s="37">
        <f t="shared" si="36"/>
        <v>3280</v>
      </c>
      <c r="AB27" s="37">
        <f t="shared" si="36"/>
        <v>7550</v>
      </c>
      <c r="AC27" s="37">
        <f t="shared" si="36"/>
        <v>8520</v>
      </c>
      <c r="AD27" s="35">
        <f t="shared" si="33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34"/>
        <v>379.25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0">
        <v>82000</v>
      </c>
      <c r="AZ27" s="37">
        <f t="shared" si="18"/>
        <v>233100</v>
      </c>
      <c r="BA27" s="37">
        <f t="shared" si="19"/>
        <v>636.36299999999994</v>
      </c>
      <c r="BB27" s="48">
        <f t="shared" si="20"/>
        <v>282.79971719999998</v>
      </c>
    </row>
    <row r="28" spans="1:54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21"/>
        <v>11870</v>
      </c>
      <c r="R28" s="37">
        <f t="shared" si="22"/>
        <v>15980</v>
      </c>
      <c r="S28" s="37">
        <f t="shared" si="16"/>
        <v>4040</v>
      </c>
      <c r="T28" s="37">
        <f t="shared" si="23"/>
        <v>1800</v>
      </c>
      <c r="U28" s="37">
        <f t="shared" si="24"/>
        <v>4680</v>
      </c>
      <c r="V28" s="37">
        <f t="shared" si="25"/>
        <v>3650</v>
      </c>
      <c r="W28" s="37">
        <f t="shared" si="26"/>
        <v>2410</v>
      </c>
      <c r="X28" s="37">
        <f t="shared" si="27"/>
        <v>4140</v>
      </c>
      <c r="Y28" s="37">
        <f t="shared" si="28"/>
        <v>5980</v>
      </c>
      <c r="Z28" s="37">
        <f t="shared" si="29"/>
        <v>3050</v>
      </c>
      <c r="AA28" s="37">
        <f t="shared" si="30"/>
        <v>3530</v>
      </c>
      <c r="AB28" s="37">
        <f t="shared" si="31"/>
        <v>8100</v>
      </c>
      <c r="AC28" s="37">
        <f t="shared" si="32"/>
        <v>8240</v>
      </c>
      <c r="AD28" s="35">
        <f t="shared" si="33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34"/>
        <v>387.34999999999997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0">
        <v>84750</v>
      </c>
      <c r="AZ28" s="37">
        <f t="shared" si="18"/>
        <v>275000</v>
      </c>
      <c r="BA28" s="37">
        <f t="shared" si="19"/>
        <v>750.75</v>
      </c>
      <c r="BB28" s="48">
        <f t="shared" si="20"/>
        <v>333.63330000000002</v>
      </c>
    </row>
    <row r="29" spans="1:54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21"/>
        <v>8520</v>
      </c>
      <c r="R29" s="37">
        <f t="shared" si="22"/>
        <v>13560</v>
      </c>
      <c r="S29" s="37">
        <f t="shared" si="16"/>
        <v>3230</v>
      </c>
      <c r="T29" s="37">
        <f t="shared" si="23"/>
        <v>1760</v>
      </c>
      <c r="U29" s="37">
        <f t="shared" si="24"/>
        <v>4580</v>
      </c>
      <c r="V29" s="37">
        <f t="shared" si="25"/>
        <v>3480</v>
      </c>
      <c r="W29" s="37">
        <f t="shared" si="26"/>
        <v>2300</v>
      </c>
      <c r="X29" s="37">
        <f t="shared" si="27"/>
        <v>4240</v>
      </c>
      <c r="Y29" s="37">
        <f t="shared" si="28"/>
        <v>5160</v>
      </c>
      <c r="Z29" s="37">
        <f t="shared" si="29"/>
        <v>2860</v>
      </c>
      <c r="AA29" s="37">
        <f t="shared" si="30"/>
        <v>3350</v>
      </c>
      <c r="AB29" s="37">
        <f t="shared" si="31"/>
        <v>7740</v>
      </c>
      <c r="AC29" s="37">
        <f t="shared" si="32"/>
        <v>8680</v>
      </c>
      <c r="AD29" s="35">
        <f t="shared" si="33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34"/>
        <v>347.3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0">
        <v>87890</v>
      </c>
      <c r="AZ29" s="37">
        <f t="shared" si="18"/>
        <v>314000</v>
      </c>
      <c r="BA29" s="37">
        <f t="shared" si="19"/>
        <v>857.22</v>
      </c>
      <c r="BB29" s="48">
        <f t="shared" si="20"/>
        <v>380.94856800000002</v>
      </c>
    </row>
    <row r="30" spans="1:54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21"/>
        <v>1190</v>
      </c>
      <c r="R30" s="37">
        <f t="shared" si="22"/>
        <v>14410</v>
      </c>
      <c r="S30" s="37">
        <f t="shared" si="16"/>
        <v>3950</v>
      </c>
      <c r="T30" s="37">
        <f t="shared" si="23"/>
        <v>1730</v>
      </c>
      <c r="U30" s="37">
        <f t="shared" si="24"/>
        <v>4480</v>
      </c>
      <c r="V30" s="37">
        <f t="shared" si="25"/>
        <v>3480</v>
      </c>
      <c r="W30" s="37">
        <f t="shared" si="26"/>
        <v>2340</v>
      </c>
      <c r="X30" s="37">
        <f t="shared" si="27"/>
        <v>4090</v>
      </c>
      <c r="Y30" s="37">
        <f t="shared" si="28"/>
        <v>4970</v>
      </c>
      <c r="Z30" s="37">
        <f t="shared" si="29"/>
        <v>2770</v>
      </c>
      <c r="AA30" s="37">
        <f t="shared" si="30"/>
        <v>3270</v>
      </c>
      <c r="AB30" s="37">
        <f t="shared" si="31"/>
        <v>7440</v>
      </c>
      <c r="AC30" s="37">
        <f t="shared" si="32"/>
        <v>9400</v>
      </c>
      <c r="AD30" s="35">
        <f t="shared" si="33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34"/>
        <v>317.59999999999997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0">
        <v>90450</v>
      </c>
      <c r="AZ30" s="37">
        <f t="shared" si="18"/>
        <v>256000</v>
      </c>
      <c r="BA30" s="37">
        <f t="shared" si="19"/>
        <v>698.88</v>
      </c>
      <c r="BB30" s="48">
        <f t="shared" si="20"/>
        <v>310.58227199999999</v>
      </c>
    </row>
    <row r="31" spans="1:54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22"/>
        <v>14600</v>
      </c>
      <c r="S31" s="37">
        <f t="shared" si="16"/>
        <v>4010</v>
      </c>
      <c r="T31" s="37">
        <f t="shared" si="23"/>
        <v>1690</v>
      </c>
      <c r="U31" s="37">
        <f t="shared" si="24"/>
        <v>4330</v>
      </c>
      <c r="V31" s="37">
        <f t="shared" si="25"/>
        <v>3510</v>
      </c>
      <c r="W31" s="37">
        <f t="shared" si="26"/>
        <v>2360</v>
      </c>
      <c r="X31" s="37">
        <f t="shared" si="27"/>
        <v>3680</v>
      </c>
      <c r="Y31" s="37">
        <f t="shared" si="28"/>
        <v>5560</v>
      </c>
      <c r="Z31" s="37">
        <f t="shared" si="29"/>
        <v>2620</v>
      </c>
      <c r="AA31" s="37">
        <f t="shared" si="30"/>
        <v>3080</v>
      </c>
      <c r="AB31" s="37">
        <f t="shared" si="31"/>
        <v>7210</v>
      </c>
      <c r="AC31" s="37">
        <f t="shared" si="32"/>
        <v>8800</v>
      </c>
      <c r="AD31" s="35">
        <f t="shared" si="33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34"/>
        <v>312.3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0">
        <v>93440</v>
      </c>
      <c r="AZ31" s="37">
        <f t="shared" si="18"/>
        <v>299000</v>
      </c>
      <c r="BA31" s="37">
        <f t="shared" si="19"/>
        <v>816.27</v>
      </c>
      <c r="BB31" s="48">
        <f t="shared" si="20"/>
        <v>362.75038799999999</v>
      </c>
    </row>
    <row r="32" spans="1:54" x14ac:dyDescent="0.25">
      <c r="A32" s="23">
        <v>44403</v>
      </c>
      <c r="B32" s="40">
        <v>81</v>
      </c>
      <c r="C32" s="24">
        <v>6712340</v>
      </c>
      <c r="D32" s="24">
        <v>16274620</v>
      </c>
      <c r="E32" s="24">
        <v>2903470</v>
      </c>
      <c r="F32" s="24">
        <v>3564640</v>
      </c>
      <c r="G32" s="24">
        <v>10590600</v>
      </c>
      <c r="H32" s="24">
        <v>5673720</v>
      </c>
      <c r="I32" s="24">
        <v>5191970</v>
      </c>
      <c r="J32" s="24">
        <v>6092050</v>
      </c>
      <c r="K32" s="24">
        <v>9411380</v>
      </c>
      <c r="L32" s="24">
        <v>3951160</v>
      </c>
      <c r="M32" s="24">
        <v>8045520</v>
      </c>
      <c r="N32" s="24">
        <v>12354810</v>
      </c>
      <c r="O32" s="24">
        <v>17069580</v>
      </c>
      <c r="Q32" s="37">
        <f>IF((C32-C31&lt;0), "0",C32-C31)</f>
        <v>1040</v>
      </c>
      <c r="R32" s="37">
        <f t="shared" si="22"/>
        <v>15180</v>
      </c>
      <c r="S32" s="37">
        <f t="shared" si="16"/>
        <v>4190</v>
      </c>
      <c r="T32" s="37">
        <f t="shared" si="23"/>
        <v>1740</v>
      </c>
      <c r="U32" s="37">
        <f t="shared" si="24"/>
        <v>4380</v>
      </c>
      <c r="V32" s="37">
        <f t="shared" si="25"/>
        <v>3630</v>
      </c>
      <c r="W32" s="37">
        <f t="shared" si="26"/>
        <v>2450</v>
      </c>
      <c r="X32" s="37">
        <f t="shared" si="27"/>
        <v>3750</v>
      </c>
      <c r="Y32" s="37">
        <f t="shared" si="28"/>
        <v>5770</v>
      </c>
      <c r="Z32" s="37">
        <f t="shared" si="29"/>
        <v>2670</v>
      </c>
      <c r="AA32" s="37">
        <f t="shared" si="30"/>
        <v>2980</v>
      </c>
      <c r="AB32" s="37">
        <f t="shared" si="31"/>
        <v>7420</v>
      </c>
      <c r="AC32" s="37">
        <f t="shared" si="32"/>
        <v>9530</v>
      </c>
      <c r="AD32" s="35">
        <f t="shared" si="33"/>
        <v>64730</v>
      </c>
      <c r="AF32" s="20">
        <f t="shared" si="1"/>
        <v>5.2</v>
      </c>
      <c r="AG32" s="20">
        <f t="shared" si="2"/>
        <v>75.900000000000006</v>
      </c>
      <c r="AH32" s="20">
        <f t="shared" si="3"/>
        <v>20.95</v>
      </c>
      <c r="AI32" s="20">
        <f t="shared" si="4"/>
        <v>8.7000000000000011</v>
      </c>
      <c r="AJ32" s="20">
        <f t="shared" si="5"/>
        <v>21.900000000000002</v>
      </c>
      <c r="AK32" s="20">
        <f t="shared" si="6"/>
        <v>18.150000000000002</v>
      </c>
      <c r="AL32" s="20">
        <f t="shared" si="7"/>
        <v>12.25</v>
      </c>
      <c r="AM32" s="20">
        <f t="shared" si="8"/>
        <v>18.75</v>
      </c>
      <c r="AN32" s="20">
        <f t="shared" si="9"/>
        <v>28.85</v>
      </c>
      <c r="AO32" s="20">
        <f t="shared" si="10"/>
        <v>13.35</v>
      </c>
      <c r="AP32" s="20">
        <f t="shared" si="11"/>
        <v>14.9</v>
      </c>
      <c r="AQ32" s="20">
        <f t="shared" si="12"/>
        <v>37.1</v>
      </c>
      <c r="AR32" s="20">
        <f t="shared" si="13"/>
        <v>47.65</v>
      </c>
      <c r="AS32" s="35">
        <f t="shared" si="34"/>
        <v>323.64999999999998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0">
        <v>96484</v>
      </c>
      <c r="AZ32" s="37">
        <f t="shared" si="18"/>
        <v>304400</v>
      </c>
      <c r="BA32" s="37">
        <f t="shared" si="19"/>
        <v>831.01199999999994</v>
      </c>
      <c r="BB32" s="48">
        <f t="shared" si="20"/>
        <v>369.30173279999997</v>
      </c>
    </row>
    <row r="33" spans="1:54" x14ac:dyDescent="0.25">
      <c r="A33" s="23">
        <v>44404</v>
      </c>
      <c r="B33" s="40">
        <v>95</v>
      </c>
      <c r="C33" s="24">
        <v>6713310</v>
      </c>
      <c r="D33" s="24">
        <v>16288120</v>
      </c>
      <c r="E33" s="24">
        <v>2907150</v>
      </c>
      <c r="F33" s="24">
        <v>3566260</v>
      </c>
      <c r="G33" s="24">
        <v>10594540</v>
      </c>
      <c r="H33" s="24">
        <v>5677200</v>
      </c>
      <c r="I33" s="24">
        <v>5194250</v>
      </c>
      <c r="J33" s="24">
        <v>6095970</v>
      </c>
      <c r="K33" s="24">
        <v>9416840</v>
      </c>
      <c r="L33" s="24">
        <v>3953670</v>
      </c>
      <c r="M33" s="24">
        <v>8048660</v>
      </c>
      <c r="N33" s="24">
        <v>12361760</v>
      </c>
      <c r="O33" s="24">
        <v>17078730</v>
      </c>
      <c r="Q33" s="37">
        <f>IF((C33-C32&lt;0), "0",C33-C32)</f>
        <v>970</v>
      </c>
      <c r="R33" s="37">
        <f t="shared" si="22"/>
        <v>13500</v>
      </c>
      <c r="S33" s="37">
        <f t="shared" si="16"/>
        <v>3680</v>
      </c>
      <c r="T33" s="37">
        <f t="shared" si="23"/>
        <v>1620</v>
      </c>
      <c r="U33" s="37">
        <f t="shared" si="24"/>
        <v>3940</v>
      </c>
      <c r="V33" s="37">
        <f t="shared" si="25"/>
        <v>3480</v>
      </c>
      <c r="W33" s="37">
        <f t="shared" si="26"/>
        <v>2280</v>
      </c>
      <c r="X33" s="37">
        <f t="shared" si="27"/>
        <v>3920</v>
      </c>
      <c r="Y33" s="37">
        <f t="shared" si="28"/>
        <v>5460</v>
      </c>
      <c r="Z33" s="37">
        <f t="shared" si="29"/>
        <v>2510</v>
      </c>
      <c r="AA33" s="37">
        <f t="shared" si="30"/>
        <v>3140</v>
      </c>
      <c r="AB33" s="37">
        <f t="shared" si="31"/>
        <v>6950</v>
      </c>
      <c r="AC33" s="37">
        <f t="shared" si="32"/>
        <v>9150</v>
      </c>
      <c r="AD33" s="35">
        <f t="shared" si="33"/>
        <v>60600</v>
      </c>
      <c r="AF33" s="20">
        <f t="shared" si="1"/>
        <v>4.8500000000000005</v>
      </c>
      <c r="AG33" s="20">
        <f t="shared" si="2"/>
        <v>67.5</v>
      </c>
      <c r="AH33" s="20">
        <f t="shared" si="3"/>
        <v>18.400000000000002</v>
      </c>
      <c r="AI33" s="20">
        <f t="shared" si="4"/>
        <v>8.1</v>
      </c>
      <c r="AJ33" s="20">
        <f t="shared" si="5"/>
        <v>19.7</v>
      </c>
      <c r="AK33" s="20">
        <f t="shared" si="6"/>
        <v>17.400000000000002</v>
      </c>
      <c r="AL33" s="20">
        <f t="shared" si="7"/>
        <v>11.4</v>
      </c>
      <c r="AM33" s="20">
        <f t="shared" si="8"/>
        <v>19.600000000000001</v>
      </c>
      <c r="AN33" s="20">
        <f t="shared" si="9"/>
        <v>27.3</v>
      </c>
      <c r="AO33" s="20">
        <f t="shared" si="10"/>
        <v>12.55</v>
      </c>
      <c r="AP33" s="20">
        <f t="shared" si="11"/>
        <v>15.700000000000001</v>
      </c>
      <c r="AQ33" s="20">
        <f t="shared" si="12"/>
        <v>34.75</v>
      </c>
      <c r="AR33" s="20">
        <f t="shared" si="13"/>
        <v>45.75</v>
      </c>
      <c r="AS33" s="35">
        <f t="shared" si="34"/>
        <v>303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0">
        <v>99459</v>
      </c>
      <c r="AZ33" s="37">
        <f t="shared" si="18"/>
        <v>297500</v>
      </c>
      <c r="BA33" s="37">
        <f t="shared" si="19"/>
        <v>812.17499999999995</v>
      </c>
      <c r="BB33" s="48">
        <f t="shared" si="20"/>
        <v>360.93056999999999</v>
      </c>
    </row>
    <row r="34" spans="1:54" x14ac:dyDescent="0.25">
      <c r="A34" s="23">
        <v>44405</v>
      </c>
      <c r="B34" s="46">
        <v>103</v>
      </c>
      <c r="C34" s="45">
        <v>6714370</v>
      </c>
      <c r="D34" s="24">
        <v>16303530</v>
      </c>
      <c r="E34" s="24">
        <v>2911410</v>
      </c>
      <c r="F34" s="24">
        <v>3568020</v>
      </c>
      <c r="G34" s="24">
        <v>10598690</v>
      </c>
      <c r="H34" s="24">
        <v>5681000</v>
      </c>
      <c r="I34" s="24">
        <v>5196720</v>
      </c>
      <c r="J34" s="24">
        <v>6100180</v>
      </c>
      <c r="K34" s="24">
        <v>9422700</v>
      </c>
      <c r="L34" s="24">
        <v>3956490</v>
      </c>
      <c r="M34" s="24">
        <v>8052030</v>
      </c>
      <c r="N34" s="24">
        <v>12369240</v>
      </c>
      <c r="O34" s="24">
        <v>17089280</v>
      </c>
      <c r="Q34" s="37">
        <f>IF((C34-C33&lt;0), "0",C34-C33)</f>
        <v>1060</v>
      </c>
      <c r="R34" s="37">
        <f t="shared" si="22"/>
        <v>15410</v>
      </c>
      <c r="S34" s="37">
        <f t="shared" si="16"/>
        <v>4260</v>
      </c>
      <c r="T34" s="37">
        <f t="shared" si="23"/>
        <v>1760</v>
      </c>
      <c r="U34" s="37">
        <f t="shared" si="24"/>
        <v>4150</v>
      </c>
      <c r="V34" s="37">
        <f t="shared" si="25"/>
        <v>3800</v>
      </c>
      <c r="W34" s="37">
        <f t="shared" si="26"/>
        <v>2470</v>
      </c>
      <c r="X34" s="37">
        <f t="shared" si="27"/>
        <v>4210</v>
      </c>
      <c r="Y34" s="37">
        <f t="shared" si="28"/>
        <v>5860</v>
      </c>
      <c r="Z34" s="37">
        <f t="shared" si="29"/>
        <v>2820</v>
      </c>
      <c r="AA34" s="37">
        <f t="shared" si="30"/>
        <v>3370</v>
      </c>
      <c r="AB34" s="37">
        <f t="shared" si="31"/>
        <v>7480</v>
      </c>
      <c r="AC34" s="37">
        <f t="shared" si="32"/>
        <v>10550</v>
      </c>
      <c r="AD34" s="35">
        <f t="shared" si="33"/>
        <v>67200</v>
      </c>
      <c r="AF34" s="20">
        <f>Q34*$D$39</f>
        <v>5.3</v>
      </c>
      <c r="AG34" s="20">
        <f t="shared" si="2"/>
        <v>77.05</v>
      </c>
      <c r="AH34" s="20">
        <f t="shared" si="3"/>
        <v>21.3</v>
      </c>
      <c r="AI34" s="20">
        <f t="shared" si="4"/>
        <v>8.8000000000000007</v>
      </c>
      <c r="AJ34" s="20">
        <f t="shared" si="5"/>
        <v>20.75</v>
      </c>
      <c r="AK34" s="20">
        <f t="shared" si="6"/>
        <v>19</v>
      </c>
      <c r="AL34" s="20">
        <f t="shared" si="7"/>
        <v>12.35</v>
      </c>
      <c r="AM34" s="20">
        <f t="shared" si="8"/>
        <v>21.05</v>
      </c>
      <c r="AN34" s="20">
        <f t="shared" si="9"/>
        <v>29.3</v>
      </c>
      <c r="AO34" s="20">
        <f t="shared" si="10"/>
        <v>14.1</v>
      </c>
      <c r="AP34" s="20">
        <f t="shared" si="11"/>
        <v>16.850000000000001</v>
      </c>
      <c r="AQ34" s="20">
        <f t="shared" si="12"/>
        <v>37.4</v>
      </c>
      <c r="AR34" s="20">
        <f t="shared" si="13"/>
        <v>52.75</v>
      </c>
      <c r="AS34" s="35">
        <f>SUM(AF34:AR34)</f>
        <v>336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0">
        <v>102886</v>
      </c>
      <c r="AZ34" s="37">
        <f t="shared" si="18"/>
        <v>342700</v>
      </c>
      <c r="BA34" s="37">
        <f t="shared" si="19"/>
        <v>935.57100000000003</v>
      </c>
      <c r="BB34" s="48">
        <f t="shared" si="20"/>
        <v>415.76775240000001</v>
      </c>
    </row>
    <row r="35" spans="1:54" x14ac:dyDescent="0.25">
      <c r="A35" s="23">
        <v>44406</v>
      </c>
      <c r="B35" s="40">
        <v>156</v>
      </c>
      <c r="C35" s="24">
        <v>6715620</v>
      </c>
      <c r="D35" s="24">
        <v>16321000</v>
      </c>
      <c r="E35" s="24">
        <v>2916140</v>
      </c>
      <c r="F35" s="24">
        <v>3570130</v>
      </c>
      <c r="G35" s="24">
        <v>10603930</v>
      </c>
      <c r="H35" s="24">
        <v>5685450</v>
      </c>
      <c r="I35" s="24">
        <v>5199640</v>
      </c>
      <c r="J35" s="24">
        <v>6105310</v>
      </c>
      <c r="K35" s="24">
        <v>9429420</v>
      </c>
      <c r="L35" s="24">
        <v>3960020</v>
      </c>
      <c r="M35" s="24">
        <v>8056150</v>
      </c>
      <c r="N35" s="24">
        <v>12378300</v>
      </c>
      <c r="O35" s="24">
        <v>17101960</v>
      </c>
      <c r="Q35" s="37">
        <f>IF((C35-C34&lt;0), "0",C35-C34)</f>
        <v>1250</v>
      </c>
      <c r="R35" s="37">
        <f t="shared" si="22"/>
        <v>17470</v>
      </c>
      <c r="S35" s="37">
        <f t="shared" si="16"/>
        <v>4730</v>
      </c>
      <c r="T35" s="37">
        <f t="shared" si="23"/>
        <v>2110</v>
      </c>
      <c r="U35" s="37">
        <f t="shared" si="24"/>
        <v>5240</v>
      </c>
      <c r="V35" s="37">
        <f t="shared" si="25"/>
        <v>4450</v>
      </c>
      <c r="W35" s="37">
        <f t="shared" si="26"/>
        <v>2920</v>
      </c>
      <c r="X35" s="37">
        <f t="shared" si="27"/>
        <v>5130</v>
      </c>
      <c r="Y35" s="37">
        <f t="shared" si="28"/>
        <v>6720</v>
      </c>
      <c r="Z35" s="37">
        <f t="shared" si="29"/>
        <v>3530</v>
      </c>
      <c r="AA35" s="37">
        <f t="shared" si="30"/>
        <v>4120</v>
      </c>
      <c r="AB35" s="37">
        <f t="shared" si="31"/>
        <v>9060</v>
      </c>
      <c r="AC35" s="37">
        <f t="shared" si="32"/>
        <v>12680</v>
      </c>
      <c r="AD35" s="35">
        <f t="shared" si="33"/>
        <v>79410</v>
      </c>
      <c r="AF35" s="20">
        <f t="shared" si="1"/>
        <v>6.25</v>
      </c>
      <c r="AG35" s="20">
        <f t="shared" si="2"/>
        <v>87.350000000000009</v>
      </c>
      <c r="AH35" s="20">
        <f t="shared" si="3"/>
        <v>23.650000000000002</v>
      </c>
      <c r="AI35" s="20">
        <f t="shared" si="4"/>
        <v>10.55</v>
      </c>
      <c r="AJ35" s="20">
        <f t="shared" si="5"/>
        <v>26.2</v>
      </c>
      <c r="AK35" s="20">
        <f t="shared" si="6"/>
        <v>22.25</v>
      </c>
      <c r="AL35" s="20">
        <f t="shared" si="7"/>
        <v>14.6</v>
      </c>
      <c r="AM35" s="20">
        <f t="shared" si="8"/>
        <v>25.650000000000002</v>
      </c>
      <c r="AN35" s="20">
        <f t="shared" si="9"/>
        <v>33.6</v>
      </c>
      <c r="AO35" s="20">
        <f t="shared" si="10"/>
        <v>17.650000000000002</v>
      </c>
      <c r="AP35" s="20">
        <f t="shared" si="11"/>
        <v>20.6</v>
      </c>
      <c r="AQ35" s="20">
        <f t="shared" si="12"/>
        <v>45.300000000000004</v>
      </c>
      <c r="AR35" s="20">
        <f t="shared" si="13"/>
        <v>63.4</v>
      </c>
      <c r="AS35" s="35">
        <f>SUM(AF35:AR35)</f>
        <v>397.05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0">
        <v>105361</v>
      </c>
      <c r="AZ35" s="37">
        <f t="shared" si="18"/>
        <v>247500</v>
      </c>
      <c r="BA35" s="37">
        <f t="shared" si="19"/>
        <v>675.67499999999995</v>
      </c>
      <c r="BB35" s="48">
        <f t="shared" si="20"/>
        <v>300.26997</v>
      </c>
    </row>
    <row r="36" spans="1:54" x14ac:dyDescent="0.25">
      <c r="A36" s="23">
        <v>44407</v>
      </c>
      <c r="B36" s="40">
        <v>150</v>
      </c>
      <c r="C36" s="24">
        <v>6716360</v>
      </c>
      <c r="D36" s="24">
        <v>16331330</v>
      </c>
      <c r="E36" s="24">
        <v>2918930</v>
      </c>
      <c r="F36" s="24">
        <v>3571350</v>
      </c>
      <c r="G36" s="24">
        <v>10607150</v>
      </c>
      <c r="H36" s="24">
        <v>5688040</v>
      </c>
      <c r="I36" s="24">
        <v>5201360</v>
      </c>
      <c r="J36" s="73">
        <v>6108710</v>
      </c>
      <c r="K36" s="24">
        <v>9434070</v>
      </c>
      <c r="L36" s="24">
        <v>3962240</v>
      </c>
      <c r="M36" s="24">
        <v>8058670</v>
      </c>
      <c r="N36" s="24">
        <v>12383810</v>
      </c>
      <c r="O36" s="24">
        <v>17107440</v>
      </c>
      <c r="Q36" s="37">
        <f t="shared" ref="Q36:AA36" si="37">IF((C36-C35&lt;0), "0",C36-C35)</f>
        <v>740</v>
      </c>
      <c r="R36" s="37">
        <f t="shared" si="22"/>
        <v>10330</v>
      </c>
      <c r="S36" s="37">
        <f t="shared" si="37"/>
        <v>2790</v>
      </c>
      <c r="T36" s="37">
        <f t="shared" si="37"/>
        <v>1220</v>
      </c>
      <c r="U36" s="37">
        <f t="shared" si="37"/>
        <v>3220</v>
      </c>
      <c r="V36" s="37">
        <f t="shared" si="37"/>
        <v>2590</v>
      </c>
      <c r="W36" s="37">
        <f t="shared" si="37"/>
        <v>1720</v>
      </c>
      <c r="X36" s="37">
        <f t="shared" si="27"/>
        <v>3400</v>
      </c>
      <c r="Y36" s="37">
        <f t="shared" si="37"/>
        <v>4650</v>
      </c>
      <c r="Z36" s="37">
        <f t="shared" si="37"/>
        <v>2220</v>
      </c>
      <c r="AA36" s="37">
        <f t="shared" si="37"/>
        <v>2520</v>
      </c>
      <c r="AB36" s="37">
        <f t="shared" si="31"/>
        <v>5510</v>
      </c>
      <c r="AC36" s="37">
        <f t="shared" si="32"/>
        <v>5480</v>
      </c>
      <c r="AD36" s="35">
        <f t="shared" si="33"/>
        <v>46390</v>
      </c>
      <c r="AF36" s="20">
        <f t="shared" si="1"/>
        <v>3.7</v>
      </c>
      <c r="AG36" s="20">
        <f t="shared" si="2"/>
        <v>51.65</v>
      </c>
      <c r="AH36" s="20">
        <f t="shared" si="3"/>
        <v>13.950000000000001</v>
      </c>
      <c r="AI36" s="20">
        <f t="shared" si="4"/>
        <v>6.1000000000000005</v>
      </c>
      <c r="AJ36" s="20">
        <f t="shared" si="5"/>
        <v>16.100000000000001</v>
      </c>
      <c r="AK36" s="20">
        <f t="shared" si="6"/>
        <v>12.950000000000001</v>
      </c>
      <c r="AL36" s="20">
        <f t="shared" si="7"/>
        <v>8.6</v>
      </c>
      <c r="AM36" s="20">
        <f t="shared" si="8"/>
        <v>17</v>
      </c>
      <c r="AN36" s="20">
        <f t="shared" si="9"/>
        <v>23.25</v>
      </c>
      <c r="AO36" s="20">
        <f t="shared" si="10"/>
        <v>11.1</v>
      </c>
      <c r="AP36" s="20">
        <f t="shared" si="11"/>
        <v>12.6</v>
      </c>
      <c r="AQ36" s="20">
        <f t="shared" si="12"/>
        <v>27.55</v>
      </c>
      <c r="AR36" s="20">
        <f t="shared" si="13"/>
        <v>27.400000000000002</v>
      </c>
      <c r="AS36" s="35">
        <f>SUM(AF36:AR36)</f>
        <v>231.95000000000002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0">
        <v>108248</v>
      </c>
      <c r="AZ36" s="37">
        <f t="shared" si="18"/>
        <v>288700</v>
      </c>
      <c r="BA36" s="37">
        <f t="shared" si="19"/>
        <v>788.15099999999995</v>
      </c>
      <c r="BB36" s="48">
        <f t="shared" si="20"/>
        <v>350.25430439999997</v>
      </c>
    </row>
    <row r="37" spans="1:54" x14ac:dyDescent="0.25">
      <c r="A37" s="23">
        <v>44408</v>
      </c>
      <c r="B37" s="40">
        <v>101</v>
      </c>
      <c r="C37" s="24">
        <v>6717680</v>
      </c>
      <c r="D37" s="24">
        <v>16349650</v>
      </c>
      <c r="E37" s="24">
        <v>2923880</v>
      </c>
      <c r="F37" s="24">
        <v>3573560</v>
      </c>
      <c r="G37" s="24">
        <v>10612910</v>
      </c>
      <c r="H37" s="24">
        <v>5692470</v>
      </c>
      <c r="I37" s="24">
        <v>5204460</v>
      </c>
      <c r="J37" s="24">
        <v>6113880</v>
      </c>
      <c r="K37" s="24">
        <v>9441380</v>
      </c>
      <c r="L37" s="24">
        <v>3965770</v>
      </c>
      <c r="M37" s="24">
        <v>8062850</v>
      </c>
      <c r="N37" s="24">
        <v>12393670</v>
      </c>
      <c r="O37" s="24">
        <v>17120540</v>
      </c>
      <c r="Q37" s="37">
        <f t="shared" ref="Q37" si="38">IF((C37-C36&lt;0), "0",C37-C36)</f>
        <v>1320</v>
      </c>
      <c r="R37" s="37">
        <f t="shared" si="22"/>
        <v>18320</v>
      </c>
      <c r="S37" s="37">
        <f t="shared" ref="S37" si="39">IF((E37-E36&lt;0), "0",E37-E36)</f>
        <v>4950</v>
      </c>
      <c r="T37" s="37">
        <f t="shared" ref="T37" si="40">IF((F37-F36&lt;0), "0",F37-F36)</f>
        <v>2210</v>
      </c>
      <c r="U37" s="37">
        <f t="shared" ref="U37" si="41">IF((G37-G36&lt;0), "0",G37-G36)</f>
        <v>5760</v>
      </c>
      <c r="V37" s="37">
        <f t="shared" ref="V37" si="42">IF((H37-H36&lt;0), "0",H37-H36)</f>
        <v>4430</v>
      </c>
      <c r="W37" s="37">
        <f t="shared" ref="W37" si="43">IF((I37-I36&lt;0), "0",I37-I36)</f>
        <v>3100</v>
      </c>
      <c r="X37" s="37">
        <f t="shared" si="27"/>
        <v>5170</v>
      </c>
      <c r="Y37" s="37">
        <f t="shared" ref="Y37" si="44">IF((K37-K36&lt;0), "0",K37-K36)</f>
        <v>7310</v>
      </c>
      <c r="Z37" s="37">
        <f t="shared" ref="Z37" si="45">IF((L37-L36&lt;0), "0",L37-L36)</f>
        <v>3530</v>
      </c>
      <c r="AA37" s="37">
        <f t="shared" ref="AA37" si="46">IF((M37-M36&lt;0), "0",M37-M36)</f>
        <v>4180</v>
      </c>
      <c r="AB37" s="37">
        <f t="shared" si="31"/>
        <v>9860</v>
      </c>
      <c r="AC37" s="37">
        <f t="shared" si="32"/>
        <v>13100</v>
      </c>
      <c r="AD37" s="35">
        <f t="shared" si="33"/>
        <v>83240</v>
      </c>
      <c r="AF37" s="20">
        <f t="shared" ref="AF37" si="47">Q37*$D$39</f>
        <v>6.6000000000000005</v>
      </c>
      <c r="AG37" s="20">
        <f t="shared" ref="AG37" si="48">R37*$D$39</f>
        <v>91.600000000000009</v>
      </c>
      <c r="AH37" s="20">
        <f t="shared" ref="AH37" si="49">S37*$D$39</f>
        <v>24.75</v>
      </c>
      <c r="AI37" s="20">
        <f t="shared" ref="AI37" si="50">T37*$D$39</f>
        <v>11.05</v>
      </c>
      <c r="AJ37" s="20">
        <f t="shared" ref="AJ37" si="51">U37*$D$39</f>
        <v>28.8</v>
      </c>
      <c r="AK37" s="20">
        <f t="shared" ref="AK37" si="52">V37*$D$39</f>
        <v>22.150000000000002</v>
      </c>
      <c r="AL37" s="20">
        <f t="shared" ref="AL37" si="53">W37*$D$39</f>
        <v>15.5</v>
      </c>
      <c r="AM37" s="20">
        <f t="shared" ref="AM37" si="54">X37*$D$39</f>
        <v>25.85</v>
      </c>
      <c r="AN37" s="20">
        <f t="shared" ref="AN37" si="55">Y37*$D$39</f>
        <v>36.550000000000004</v>
      </c>
      <c r="AO37" s="20">
        <f t="shared" ref="AO37" si="56">Z37*$D$39</f>
        <v>17.650000000000002</v>
      </c>
      <c r="AP37" s="20">
        <f t="shared" ref="AP37" si="57">AA37*$D$39</f>
        <v>20.900000000000002</v>
      </c>
      <c r="AQ37" s="20">
        <f t="shared" ref="AQ37" si="58">AB37*$D$39</f>
        <v>49.300000000000004</v>
      </c>
      <c r="AR37" s="20">
        <f t="shared" ref="AR37" si="59">AC37*$D$39</f>
        <v>65.5</v>
      </c>
      <c r="AS37" s="35">
        <f>SUM(AF37:AR37)</f>
        <v>416.2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70">
        <v>112117</v>
      </c>
      <c r="AZ37" s="37">
        <f t="shared" si="18"/>
        <v>386900</v>
      </c>
      <c r="BA37" s="37">
        <f t="shared" si="19"/>
        <v>1056.2369999999999</v>
      </c>
      <c r="BB37" s="48">
        <f t="shared" si="20"/>
        <v>469.39172279999997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89960</v>
      </c>
      <c r="R38" s="38">
        <f t="shared" ref="R38:AD38" si="60">SUM(R7:R37)</f>
        <v>446050</v>
      </c>
      <c r="S38" s="38">
        <f t="shared" si="60"/>
        <v>118130</v>
      </c>
      <c r="T38" s="38">
        <f t="shared" si="60"/>
        <v>53490</v>
      </c>
      <c r="U38" s="38">
        <f t="shared" si="60"/>
        <v>137800</v>
      </c>
      <c r="V38" s="38">
        <f t="shared" si="60"/>
        <v>108590</v>
      </c>
      <c r="W38" s="38">
        <f t="shared" si="60"/>
        <v>73300</v>
      </c>
      <c r="X38" s="38">
        <f t="shared" si="60"/>
        <v>123050</v>
      </c>
      <c r="Y38" s="38">
        <f t="shared" si="60"/>
        <v>169150</v>
      </c>
      <c r="Z38" s="38">
        <f t="shared" si="60"/>
        <v>84190</v>
      </c>
      <c r="AA38" s="38">
        <f t="shared" si="60"/>
        <v>101150</v>
      </c>
      <c r="AB38" s="38">
        <f t="shared" si="60"/>
        <v>227350</v>
      </c>
      <c r="AC38" s="38">
        <f t="shared" si="60"/>
        <v>284570</v>
      </c>
      <c r="AD38" s="38">
        <f t="shared" si="60"/>
        <v>2016780</v>
      </c>
      <c r="AF38" s="35">
        <f>SUM(AF7:AF37)</f>
        <v>449.80000000000013</v>
      </c>
      <c r="AG38" s="35">
        <f t="shared" ref="AG38:AT38" si="61">SUM(AG7:AG37)</f>
        <v>2230.2500000000005</v>
      </c>
      <c r="AH38" s="35">
        <f t="shared" si="61"/>
        <v>590.65</v>
      </c>
      <c r="AI38" s="35">
        <f t="shared" si="61"/>
        <v>267.45000000000005</v>
      </c>
      <c r="AJ38" s="35">
        <f t="shared" si="61"/>
        <v>688.99999999999989</v>
      </c>
      <c r="AK38" s="35">
        <f t="shared" si="61"/>
        <v>542.94999999999993</v>
      </c>
      <c r="AL38" s="35">
        <f t="shared" si="61"/>
        <v>366.5</v>
      </c>
      <c r="AM38" s="35">
        <f t="shared" si="61"/>
        <v>615.24999999999989</v>
      </c>
      <c r="AN38" s="35">
        <f t="shared" si="61"/>
        <v>845.74999999999989</v>
      </c>
      <c r="AO38" s="35">
        <f t="shared" si="61"/>
        <v>420.95000000000005</v>
      </c>
      <c r="AP38" s="35">
        <f t="shared" si="61"/>
        <v>505.75</v>
      </c>
      <c r="AQ38" s="35">
        <f t="shared" si="61"/>
        <v>1136.75</v>
      </c>
      <c r="AR38" s="35">
        <f t="shared" si="61"/>
        <v>1422.8500000000006</v>
      </c>
      <c r="AS38" s="35">
        <f t="shared" si="61"/>
        <v>10083.900000000001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24676.197000000004</v>
      </c>
      <c r="BB38" s="48">
        <f t="shared" si="20"/>
        <v>10966.101946800001</v>
      </c>
    </row>
    <row r="39" spans="1:54" x14ac:dyDescent="0.25">
      <c r="B39" s="39">
        <f>SUM(B7:B37)</f>
        <v>3461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2023-02-12T11:51:23Z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