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830DE0E5-628C-4357-97B8-316CF842B9B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  <c r="C9" i="2"/>
  <c r="C8" i="2"/>
  <c r="C7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AB29" i="2"/>
  <c r="AB28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H12" i="2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9" i="2" l="1"/>
  <c r="H8" i="2"/>
  <c r="H10" i="2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<sst xmlns="http://schemas.openxmlformats.org/spreadsheetml/2006/main" count="77" uniqueCount="40">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</sst>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0</v>
      </c>
      <c r="F12" s="110" t="e">
        <f>('August 2025'!C12*0.27)/('August 2025'!C12+'August 2025'!E12)</f>
        <v>#DIV/0!</v>
      </c>
      <c r="G12" s="97">
        <f>'August 2025'!U12</f>
        <v>4365</v>
      </c>
      <c r="H12" s="113">
        <v>0.62</v>
      </c>
      <c r="I12" s="98" t="str">
        <f>'August 2025'!W12</f>
        <v>0</v>
      </c>
      <c r="J12" s="99">
        <v>2.42</v>
      </c>
      <c r="K12" s="106">
        <f>'August 2025'!AB12*5.04</f>
        <v>0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229</v>
      </c>
      <c r="P12" s="100">
        <f>'August 2025'!AD12</f>
        <v>516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0</v>
      </c>
      <c r="F13" s="110" t="e">
        <f>('August 2025'!C13*0.27)/('August 2025'!C13+'August 2025'!E13)</f>
        <v>#DIV/0!</v>
      </c>
      <c r="G13" s="97" t="str">
        <f>'August 2025'!U13</f>
        <v>0</v>
      </c>
      <c r="H13" s="113">
        <v>0.62</v>
      </c>
      <c r="I13" s="98">
        <f>'August 2025'!W13</f>
        <v>0</v>
      </c>
      <c r="J13" s="99">
        <v>2.42</v>
      </c>
      <c r="K13" s="106">
        <f>'August 2025'!AB13*5.04</f>
        <v>0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0</v>
      </c>
      <c r="P13" s="100">
        <f>'August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0</v>
      </c>
      <c r="F14" s="110" t="e">
        <f>('August 2025'!C14*0.27)/('August 2025'!C14+'August 2025'!E14)</f>
        <v>#DIV/0!</v>
      </c>
      <c r="G14" s="97" t="str">
        <f>'August 2025'!U14</f>
        <v>0</v>
      </c>
      <c r="H14" s="113">
        <v>0.62</v>
      </c>
      <c r="I14" s="98">
        <f>'August 2025'!W14</f>
        <v>0</v>
      </c>
      <c r="J14" s="99">
        <v>2.42</v>
      </c>
      <c r="K14" s="106">
        <f>'August 2025'!AB14*5.04</f>
        <v>0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0</v>
      </c>
      <c r="P14" s="100">
        <f>'August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0</v>
      </c>
      <c r="F15" s="110" t="e">
        <f>('August 2025'!C15*0.27)/('August 2025'!C15+'August 2025'!E15)</f>
        <v>#DIV/0!</v>
      </c>
      <c r="G15" s="97" t="str">
        <f>'August 2025'!U15</f>
        <v>0</v>
      </c>
      <c r="H15" s="113">
        <v>0.62</v>
      </c>
      <c r="I15" s="98">
        <f>'August 2025'!W15</f>
        <v>0</v>
      </c>
      <c r="J15" s="99">
        <v>2.42</v>
      </c>
      <c r="K15" s="106">
        <f>'August 2025'!AB15*5.04</f>
        <v>0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0</v>
      </c>
      <c r="P15" s="100">
        <f>'August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0</v>
      </c>
      <c r="F16" s="110" t="e">
        <f>('August 2025'!C16*0.27)/('August 2025'!C16+'August 2025'!E16)</f>
        <v>#DIV/0!</v>
      </c>
      <c r="G16" s="97" t="str">
        <f>'August 2025'!U16</f>
        <v>0</v>
      </c>
      <c r="H16" s="113">
        <v>0.62</v>
      </c>
      <c r="I16" s="98">
        <f>'August 2025'!W16</f>
        <v>0</v>
      </c>
      <c r="J16" s="99">
        <v>2.42</v>
      </c>
      <c r="K16" s="106">
        <f>'August 2025'!AB16*5.04</f>
        <v>0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0</v>
      </c>
      <c r="P16" s="100">
        <f>'August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0</v>
      </c>
      <c r="F17" s="110" t="e">
        <f>('August 2025'!C17*0.27)/('August 2025'!C17+'August 2025'!E17)</f>
        <v>#DIV/0!</v>
      </c>
      <c r="G17" s="97" t="str">
        <f>'August 2025'!U17</f>
        <v>0</v>
      </c>
      <c r="H17" s="113">
        <v>0.62</v>
      </c>
      <c r="I17" s="98">
        <f>'August 2025'!W17</f>
        <v>0</v>
      </c>
      <c r="J17" s="99">
        <v>2.42</v>
      </c>
      <c r="K17" s="106">
        <f>'August 2025'!AB17*5.04</f>
        <v>0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0</v>
      </c>
      <c r="P17" s="100">
        <f>'August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0</v>
      </c>
      <c r="F18" s="110" t="e">
        <f>('August 2025'!C18*0.27)/('August 2025'!C18+'August 2025'!E18)</f>
        <v>#DIV/0!</v>
      </c>
      <c r="G18" s="97" t="str">
        <f>'August 2025'!U18</f>
        <v>0</v>
      </c>
      <c r="H18" s="113">
        <v>0.62</v>
      </c>
      <c r="I18" s="98">
        <f>'August 2025'!W18</f>
        <v>0</v>
      </c>
      <c r="J18" s="99">
        <v>2.42</v>
      </c>
      <c r="K18" s="106">
        <f>'August 2025'!AB18*5.04</f>
        <v>0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0</v>
      </c>
      <c r="P18" s="100">
        <f>'August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0</v>
      </c>
      <c r="F19" s="110" t="e">
        <f>('August 2025'!C19*0.27)/('August 2025'!C19+'August 2025'!E19)</f>
        <v>#DIV/0!</v>
      </c>
      <c r="G19" s="97" t="str">
        <f>'August 2025'!U19</f>
        <v>0</v>
      </c>
      <c r="H19" s="113">
        <v>0.62</v>
      </c>
      <c r="I19" s="98">
        <f>'August 2025'!W19</f>
        <v>0</v>
      </c>
      <c r="J19" s="99">
        <v>2.42</v>
      </c>
      <c r="K19" s="106">
        <f>'August 2025'!AB19*5.04</f>
        <v>0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0</v>
      </c>
      <c r="P19" s="100">
        <f>'August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0</v>
      </c>
      <c r="F20" s="110" t="e">
        <f>('August 2025'!C20*0.27)/('August 2025'!C20+'August 2025'!E20)</f>
        <v>#DIV/0!</v>
      </c>
      <c r="G20" s="97" t="str">
        <f>'August 2025'!U20</f>
        <v>0</v>
      </c>
      <c r="H20" s="113">
        <v>0.62</v>
      </c>
      <c r="I20" s="98">
        <f>'August 2025'!W20</f>
        <v>0</v>
      </c>
      <c r="J20" s="99">
        <v>2.42</v>
      </c>
      <c r="K20" s="106">
        <f>'August 2025'!AB20*5.04</f>
        <v>0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0</v>
      </c>
      <c r="P20" s="100">
        <f>'August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0</v>
      </c>
      <c r="F21" s="110" t="e">
        <f>('August 2025'!C21*0.27)/('August 2025'!C21+'August 2025'!E21)</f>
        <v>#DIV/0!</v>
      </c>
      <c r="G21" s="97" t="str">
        <f>'August 2025'!U21</f>
        <v>0</v>
      </c>
      <c r="H21" s="113">
        <v>0.62</v>
      </c>
      <c r="I21" s="98">
        <f>'August 2025'!W21</f>
        <v>0</v>
      </c>
      <c r="J21" s="99">
        <v>2.42</v>
      </c>
      <c r="K21" s="106">
        <f>'August 2025'!AB21*5.04</f>
        <v>0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0</v>
      </c>
      <c r="P21" s="100">
        <f>'August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0</v>
      </c>
      <c r="F22" s="110" t="e">
        <f>('August 2025'!C22*0.27)/('August 2025'!C22+'August 2025'!E22)</f>
        <v>#DIV/0!</v>
      </c>
      <c r="G22" s="97" t="str">
        <f>'August 2025'!U22</f>
        <v>0</v>
      </c>
      <c r="H22" s="113">
        <v>0.62</v>
      </c>
      <c r="I22" s="98">
        <f>'August 2025'!W22</f>
        <v>0</v>
      </c>
      <c r="J22" s="99">
        <v>2.42</v>
      </c>
      <c r="K22" s="106">
        <f>'August 2025'!AB22*5.04</f>
        <v>0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0</v>
      </c>
      <c r="P22" s="100">
        <f>'August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0</v>
      </c>
      <c r="F23" s="110" t="e">
        <f>('August 2025'!C23*0.27)/('August 2025'!C23+'August 2025'!E23)</f>
        <v>#DIV/0!</v>
      </c>
      <c r="G23" s="97" t="str">
        <f>'August 2025'!U23</f>
        <v>0</v>
      </c>
      <c r="H23" s="113">
        <v>0.62</v>
      </c>
      <c r="I23" s="98">
        <f>'August 2025'!W23</f>
        <v>0</v>
      </c>
      <c r="J23" s="99">
        <v>2.42</v>
      </c>
      <c r="K23" s="106">
        <f>'August 2025'!AB23*5.04</f>
        <v>0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0</v>
      </c>
      <c r="P23" s="100">
        <f>'August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0</v>
      </c>
      <c r="F24" s="110" t="e">
        <f>('August 2025'!C24*0.27)/('August 2025'!C24+'August 2025'!E24)</f>
        <v>#DIV/0!</v>
      </c>
      <c r="G24" s="97" t="str">
        <f>'August 2025'!U24</f>
        <v>0</v>
      </c>
      <c r="H24" s="113">
        <v>0.62</v>
      </c>
      <c r="I24" s="98">
        <f>'August 2025'!W24</f>
        <v>0</v>
      </c>
      <c r="J24" s="99">
        <v>2.42</v>
      </c>
      <c r="K24" s="106">
        <f>'August 2025'!AB24*5.04</f>
        <v>0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0</v>
      </c>
      <c r="P24" s="100">
        <f>'August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0</v>
      </c>
      <c r="F25" s="110" t="e">
        <f>('August 2025'!C25*0.27)/('August 2025'!C25+'August 2025'!E25)</f>
        <v>#DIV/0!</v>
      </c>
      <c r="G25" s="97" t="str">
        <f>'August 2025'!U25</f>
        <v>0</v>
      </c>
      <c r="H25" s="113">
        <v>0.62</v>
      </c>
      <c r="I25" s="98">
        <f>'August 2025'!W25</f>
        <v>0</v>
      </c>
      <c r="J25" s="99">
        <v>2.42</v>
      </c>
      <c r="K25" s="106">
        <f>'August 2025'!AB25*5.04</f>
        <v>0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0</v>
      </c>
      <c r="P25" s="100">
        <f>'August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0</v>
      </c>
      <c r="F26" s="110" t="e">
        <f>('August 2025'!C26*0.27)/('August 2025'!C26+'August 2025'!E26)</f>
        <v>#DIV/0!</v>
      </c>
      <c r="G26" s="97" t="str">
        <f>'August 2025'!U26</f>
        <v>0</v>
      </c>
      <c r="H26" s="113">
        <v>0.62</v>
      </c>
      <c r="I26" s="98">
        <f>'August 2025'!W26</f>
        <v>0</v>
      </c>
      <c r="J26" s="99">
        <v>2.42</v>
      </c>
      <c r="K26" s="106">
        <f>'August 2025'!AB26*5.04</f>
        <v>0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0</v>
      </c>
      <c r="P26" s="100">
        <f>'August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0</v>
      </c>
      <c r="F27" s="110" t="e">
        <f>('August 2025'!C27*0.27)/('August 2025'!C27+'August 2025'!E27)</f>
        <v>#DIV/0!</v>
      </c>
      <c r="G27" s="97" t="str">
        <f>'August 2025'!U27</f>
        <v>0</v>
      </c>
      <c r="H27" s="113">
        <v>0.62</v>
      </c>
      <c r="I27" s="98">
        <f>'August 2025'!W27</f>
        <v>0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0</v>
      </c>
      <c r="P27" s="100">
        <f>'August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0</v>
      </c>
      <c r="F28" s="110" t="e">
        <f>('August 2025'!C28*0.27)/('August 2025'!C28+'August 2025'!E28)</f>
        <v>#DIV/0!</v>
      </c>
      <c r="G28" s="97" t="str">
        <f>'August 2025'!U28</f>
        <v>0</v>
      </c>
      <c r="H28" s="113">
        <v>0.62</v>
      </c>
      <c r="I28" s="98">
        <f>'August 2025'!W28</f>
        <v>0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0</v>
      </c>
      <c r="P28" s="100">
        <f>'August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0</v>
      </c>
      <c r="F29" s="110" t="e">
        <f>('August 2025'!C29*0.27)/('August 2025'!C29+'August 2025'!E29)</f>
        <v>#DIV/0!</v>
      </c>
      <c r="G29" s="97" t="str">
        <f>'August 2025'!U29</f>
        <v>0</v>
      </c>
      <c r="H29" s="113">
        <v>0.62</v>
      </c>
      <c r="I29" s="98">
        <f>'August 2025'!W29</f>
        <v>0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0</v>
      </c>
      <c r="P29" s="100">
        <f>'August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0</v>
      </c>
      <c r="P30" s="100">
        <f>'August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1" zoomScale="85" zoomScaleNormal="85" workbookViewId="0">
      <selection activeCell="T13" sqref="T1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29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2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2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-12349.89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0.7" customHeight="1" x14ac:dyDescent="0.2">
      <c r="A12" s="19">
        <v>45880</v>
      </c>
      <c r="B12" s="10">
        <v>583358</v>
      </c>
      <c r="C12" s="14" t="str">
        <f t="shared" si="2"/>
        <v>0</v>
      </c>
      <c r="D12" s="11">
        <v>882249</v>
      </c>
      <c r="E12" s="14" t="str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-45881.1</v>
      </c>
      <c r="J12" s="32">
        <f t="shared" si="0"/>
        <v>9.9999999998544808E-2</v>
      </c>
      <c r="K12" s="20">
        <f t="shared" si="7"/>
        <v>45880</v>
      </c>
      <c r="L12" s="33">
        <v>7935</v>
      </c>
      <c r="M12" s="34">
        <v>0</v>
      </c>
      <c r="N12" s="32" t="str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4365</v>
      </c>
      <c r="V12" s="41">
        <v>24840</v>
      </c>
      <c r="W12" s="32" t="str">
        <f t="shared" si="1"/>
        <v>0</v>
      </c>
      <c r="X12" s="43">
        <v>61265</v>
      </c>
      <c r="Y12" s="14" t="str">
        <f t="shared" si="11"/>
        <v>0</v>
      </c>
      <c r="Z12" s="47">
        <v>1585</v>
      </c>
      <c r="AA12" s="52"/>
      <c r="AB12" s="32" t="str">
        <f t="shared" si="12"/>
        <v>0</v>
      </c>
      <c r="AC12" s="13">
        <v>229</v>
      </c>
      <c r="AD12" s="18">
        <v>516</v>
      </c>
    </row>
    <row r="13" spans="1:30" ht="20.7" customHeight="1" x14ac:dyDescent="0.2">
      <c r="A13" s="19">
        <v>45881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-45881</v>
      </c>
      <c r="J13" s="32">
        <f t="shared" si="0"/>
        <v>-1</v>
      </c>
      <c r="K13" s="20">
        <f t="shared" si="7"/>
        <v>45881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45882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-45882</v>
      </c>
      <c r="J14" s="32">
        <f t="shared" si="0"/>
        <v>-1</v>
      </c>
      <c r="K14" s="20">
        <f t="shared" si="7"/>
        <v>45882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45883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-45883</v>
      </c>
      <c r="J15" s="32">
        <f t="shared" si="0"/>
        <v>-1</v>
      </c>
      <c r="K15" s="20">
        <f t="shared" si="7"/>
        <v>45883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45884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-45884</v>
      </c>
      <c r="J16" s="32">
        <f t="shared" si="0"/>
        <v>-1</v>
      </c>
      <c r="K16" s="20">
        <f t="shared" si="7"/>
        <v>45884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45885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-45885</v>
      </c>
      <c r="J17" s="32">
        <f t="shared" si="0"/>
        <v>-1</v>
      </c>
      <c r="K17" s="20">
        <f t="shared" si="7"/>
        <v>45885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45886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-45886</v>
      </c>
      <c r="J18" s="32">
        <f t="shared" si="0"/>
        <v>-1</v>
      </c>
      <c r="K18" s="20">
        <f t="shared" si="7"/>
        <v>45886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45887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-45887</v>
      </c>
      <c r="J19" s="32">
        <f t="shared" si="0"/>
        <v>-1</v>
      </c>
      <c r="K19" s="20">
        <f t="shared" si="7"/>
        <v>45887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45888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-45888</v>
      </c>
      <c r="J20" s="32">
        <f t="shared" si="0"/>
        <v>-1</v>
      </c>
      <c r="K20" s="20">
        <f t="shared" si="7"/>
        <v>45888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45889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-45889</v>
      </c>
      <c r="J21" s="32">
        <f t="shared" si="0"/>
        <v>-1</v>
      </c>
      <c r="K21" s="20">
        <f t="shared" si="7"/>
        <v>45889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45890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-45890</v>
      </c>
      <c r="J22" s="32">
        <f t="shared" si="0"/>
        <v>-1</v>
      </c>
      <c r="K22" s="20">
        <f t="shared" si="7"/>
        <v>45890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45891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-45891</v>
      </c>
      <c r="J23" s="32">
        <f t="shared" si="0"/>
        <v>-1</v>
      </c>
      <c r="K23" s="20">
        <f t="shared" si="7"/>
        <v>45891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45892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-45892</v>
      </c>
      <c r="J24" s="32">
        <f t="shared" si="0"/>
        <v>-1</v>
      </c>
      <c r="K24" s="20">
        <f t="shared" si="7"/>
        <v>45892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45893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-45893</v>
      </c>
      <c r="J25" s="32">
        <f t="shared" si="0"/>
        <v>-1</v>
      </c>
      <c r="K25" s="20">
        <f t="shared" si="7"/>
        <v>45893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45894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-45894</v>
      </c>
      <c r="J26" s="32">
        <f t="shared" si="0"/>
        <v>-1</v>
      </c>
      <c r="K26" s="20">
        <f t="shared" si="7"/>
        <v>45894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45895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-45895</v>
      </c>
      <c r="J27" s="32">
        <f t="shared" si="0"/>
        <v>-1</v>
      </c>
      <c r="K27" s="20">
        <f t="shared" si="7"/>
        <v>45895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45896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-45896</v>
      </c>
      <c r="J28" s="32">
        <f t="shared" si="0"/>
        <v>-1</v>
      </c>
      <c r="K28" s="20">
        <f t="shared" si="7"/>
        <v>45896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45897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-45897</v>
      </c>
      <c r="J29" s="32">
        <f t="shared" si="0"/>
        <v>-1</v>
      </c>
      <c r="K29" s="20">
        <f t="shared" si="7"/>
        <v>45897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45898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-45898</v>
      </c>
      <c r="J30" s="32">
        <f>I32-I30</f>
        <v>-2</v>
      </c>
      <c r="K30" s="20">
        <f t="shared" si="7"/>
        <v>45898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-45899</v>
      </c>
      <c r="J31" s="32">
        <f>I32-I31</f>
        <v>-1</v>
      </c>
      <c r="K31" s="20">
        <f t="shared" ref="K31" si="15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99606</v>
      </c>
      <c r="D34" s="77"/>
      <c r="E34" s="76">
        <f>SUM(E2:E33)</f>
        <v>14166</v>
      </c>
      <c r="F34" s="78"/>
      <c r="G34" s="76">
        <f>SUM(G2:G33)</f>
        <v>0</v>
      </c>
      <c r="H34" s="77">
        <f>SUM(H2:H33)</f>
        <v>113772</v>
      </c>
      <c r="I34" s="76">
        <f>SUM(I2:I32)</f>
        <v>-1308677.53</v>
      </c>
      <c r="J34" s="76">
        <f>SUM(J2:J33)</f>
        <v>35288.329999999994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1968</v>
      </c>
      <c r="U34" s="76">
        <f>SUM(U2:U33)</f>
        <v>5973</v>
      </c>
      <c r="V34" s="75"/>
      <c r="W34" s="76">
        <f>SUM(W2:W33)</f>
        <v>1273</v>
      </c>
      <c r="X34" s="75"/>
      <c r="Y34" s="76">
        <f>SUM(Y2:Y33)</f>
        <v>0</v>
      </c>
      <c r="Z34" s="75"/>
      <c r="AA34" s="75">
        <f>SUM(AA2:AA33)</f>
        <v>3485</v>
      </c>
      <c r="AB34" s="76">
        <f>SUM(AB2:AB33)</f>
        <v>3300</v>
      </c>
      <c r="AC34" s="79">
        <f>SUM(AC2:AC33)</f>
        <v>2491</v>
      </c>
      <c r="AD34" s="80">
        <f>SUM(AD2:AD33)</f>
        <v>5473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2025-08-11T06:03:03Z</dcterms:modified>
  <cp:category/>
  <cp:contentStatus/>
</cp:coreProperties>
</file>