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<sst xmlns="http://schemas.openxmlformats.org/spreadsheetml/2006/main" count="296" uniqueCount="138">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</sst>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9" workbookViewId="0">
      <selection activeCell="P25" sqref="P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 t="e">
        <f>Submetering!E8+Submetering!F8+Submetering!G8+Submetering!H8-Submetering!AV8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 t="str">
        <f>IF(LPG!F14-LPG!F13&lt;0,"0",(LPG!F14-LPG!F13)*1.8315)</f>
        <v>0</v>
      </c>
      <c r="AY7" s="32" t="str">
        <f>IF(LPG!H14-LPG!H13&lt;0,"0",(LPG!H14-LPG!H13)*1.8315)</f>
        <v>0</v>
      </c>
      <c r="AZ7" s="32">
        <v>0</v>
      </c>
      <c r="BA7" s="32" t="str">
        <f>IF(LPG!M14-LPG!M13&lt;0,"0",(LPG!M14-LPG!M13)*1.8315)</f>
        <v>0</v>
      </c>
      <c r="BB7" s="32" t="str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 t="str">
        <f>'FS Desroches Daily'!D10</f>
        <v>0</v>
      </c>
      <c r="F8" s="33" t="str">
        <f>'FS Desroches Daily'!F10</f>
        <v>0</v>
      </c>
      <c r="G8" s="32" t="str">
        <f>'FS Desroches Daily'!H10</f>
        <v>0</v>
      </c>
      <c r="H8" s="33" t="str">
        <f>'FS Desroches Daily'!J10</f>
        <v>0</v>
      </c>
      <c r="I8" s="32" t="str">
        <f>'FS Desroches Daily'!L10</f>
        <v>0</v>
      </c>
      <c r="J8" s="33" t="str">
        <f>'FS Desroches Daily'!N10</f>
        <v/>
      </c>
      <c r="K8" s="13" t="str">
        <f>'FS Desroches Daily'!P10</f>
        <v/>
      </c>
      <c r="L8" s="32" t="str">
        <f>'FS Desroches Daily'!R10</f>
        <v/>
      </c>
      <c r="M8" s="32" t="str">
        <f>'FS Desroches Daily'!T10</f>
        <v/>
      </c>
      <c r="N8" s="32" t="str">
        <f>'FS Desroches Daily'!V10</f>
        <v/>
      </c>
      <c r="O8" s="32" t="str">
        <f>'FS Desroches Daily'!X10</f>
        <v/>
      </c>
      <c r="P8" s="32" t="str">
        <f>'FS Desroches Daily'!Z10</f>
        <v/>
      </c>
      <c r="Q8" s="32" t="str">
        <f>'FS Desroches Daily'!AB10</f>
        <v/>
      </c>
      <c r="R8" s="32" t="str">
        <f>'FS Desroches Daily'!AD10</f>
        <v/>
      </c>
      <c r="S8" s="32" t="str">
        <f>'FS Desroches Daily'!AF10</f>
        <v/>
      </c>
      <c r="T8" s="32" t="str">
        <f>'FS Desroches Daily'!AH10</f>
        <v/>
      </c>
      <c r="U8" s="36" t="str">
        <f>'FS Desroches Daily'!AJ10</f>
        <v/>
      </c>
      <c r="V8" s="36" t="str">
        <f>'FS Desroches Daily'!AL10</f>
        <v/>
      </c>
      <c r="W8" s="36" t="str">
        <f>'FS Desroches Daily'!AN10</f>
        <v/>
      </c>
      <c r="X8" s="36" t="str">
        <f>'FS Desroches Daily'!AP10</f>
        <v/>
      </c>
      <c r="Y8" s="36" t="str">
        <f>'FS Desroches Daily'!AR10</f>
        <v/>
      </c>
      <c r="Z8" s="36" t="str">
        <f>'FS Desroches Daily'!AT10</f>
        <v/>
      </c>
      <c r="AA8" s="36" t="str">
        <f>'FS Desroches Daily'!AT10</f>
        <v/>
      </c>
      <c r="AB8" s="36" t="str">
        <f>'FS Desroches Daily'!AV10</f>
        <v/>
      </c>
      <c r="AC8" s="36" t="str">
        <f>'FS Desroches Daily'!AZ10</f>
        <v/>
      </c>
      <c r="AD8" s="36" t="str">
        <f>'FS Desroches Daily'!BB10</f>
        <v/>
      </c>
      <c r="AE8" s="36" t="str">
        <f>'FS Desroches Daily'!BD10</f>
        <v/>
      </c>
      <c r="AF8" s="32" t="str">
        <f>'FS Desroches Daily'!BF10</f>
        <v/>
      </c>
      <c r="AG8" s="33" t="str">
        <f>'FS Desroches Daily'!BH10</f>
        <v/>
      </c>
      <c r="AH8" s="33" t="str">
        <f>'FS Desroches Daily'!BJ10</f>
        <v/>
      </c>
      <c r="AI8" s="33" t="str">
        <f>'FS Desroches Daily'!BL10</f>
        <v/>
      </c>
      <c r="AJ8" s="33" t="str">
        <f>'FS Desroches Daily'!BN10</f>
        <v/>
      </c>
      <c r="AK8" s="33" t="str">
        <f>'FS Desroches Daily'!BP10</f>
        <v/>
      </c>
      <c r="AL8" s="33" t="str">
        <f>'FS Desroches Daily'!BR10</f>
        <v/>
      </c>
      <c r="AM8" s="33" t="str">
        <f>'FS Desroches Daily'!BT10</f>
        <v/>
      </c>
      <c r="AN8" s="33" t="str">
        <f>'FS Desroches Daily'!BV10</f>
        <v/>
      </c>
      <c r="AO8" s="33" t="str">
        <f>'FS Desroches Daily'!BX10</f>
        <v/>
      </c>
      <c r="AP8" s="33" t="str">
        <f>'FS Desroches Daily'!BZ10</f>
        <v/>
      </c>
      <c r="AQ8" s="32" t="str">
        <f>'FS Desroches Daily'!CB10</f>
        <v/>
      </c>
      <c r="AR8" s="32" t="str">
        <f>'FS Desroches Daily'!CD10</f>
        <v/>
      </c>
      <c r="AS8" s="32" t="str">
        <f>'FS Desroches Daily'!CF10</f>
        <v/>
      </c>
      <c r="AT8" s="32" t="str">
        <f>'FS Desroches Daily'!CH10</f>
        <v/>
      </c>
      <c r="AU8" s="32" t="str">
        <f>'FS Desroches Daily'!CJ10</f>
        <v/>
      </c>
      <c r="AV8" s="32" t="str">
        <f>'FS Desroches Daily'!CL10</f>
        <v/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0</v>
      </c>
      <c r="F9" s="33">
        <f>'FS Desroches Daily'!F11</f>
        <v>0</v>
      </c>
      <c r="G9" s="32">
        <f>'FS Desroches Daily'!H11</f>
        <v>0</v>
      </c>
      <c r="H9" s="33">
        <f>'FS Desroches Daily'!J11</f>
        <v>0</v>
      </c>
      <c r="I9" s="32">
        <f>'FS Desroches Daily'!L11</f>
        <v>0</v>
      </c>
      <c r="J9" s="33">
        <f>'FS Desroches Daily'!N11</f>
        <v>0</v>
      </c>
      <c r="K9" s="13">
        <f>'FS Desroches Daily'!P11</f>
        <v>0</v>
      </c>
      <c r="L9" s="32">
        <f>'FS Desroches Daily'!R11</f>
        <v>0</v>
      </c>
      <c r="M9" s="32">
        <f>'FS Desroches Daily'!T11</f>
        <v>0</v>
      </c>
      <c r="N9" s="32">
        <f>'FS Desroches Daily'!V11</f>
        <v>0</v>
      </c>
      <c r="O9" s="32">
        <f>'FS Desroches Daily'!X11</f>
        <v>0</v>
      </c>
      <c r="P9" s="32">
        <f>'FS Desroches Daily'!Z11</f>
        <v>0</v>
      </c>
      <c r="Q9" s="32">
        <f>'FS Desroches Daily'!AB11</f>
        <v>0</v>
      </c>
      <c r="R9" s="32">
        <f>'FS Desroches Daily'!AD11</f>
        <v>0</v>
      </c>
      <c r="S9" s="32">
        <f>'FS Desroches Daily'!AF11</f>
        <v>0</v>
      </c>
      <c r="T9" s="32">
        <f>'FS Desroches Daily'!AH11</f>
        <v>0</v>
      </c>
      <c r="U9" s="36">
        <f>'FS Desroches Daily'!AJ11</f>
        <v>0</v>
      </c>
      <c r="V9" s="36">
        <f>'FS Desroches Daily'!AL11</f>
        <v>0</v>
      </c>
      <c r="W9" s="36">
        <f>'FS Desroches Daily'!AN11</f>
        <v>0</v>
      </c>
      <c r="X9" s="36">
        <f>'FS Desroches Daily'!AP11</f>
        <v>0</v>
      </c>
      <c r="Y9" s="36">
        <f>'FS Desroches Daily'!AR11</f>
        <v>0</v>
      </c>
      <c r="Z9" s="36">
        <f>'FS Desroches Daily'!AT11</f>
        <v>0</v>
      </c>
      <c r="AA9" s="36">
        <f>'FS Desroches Daily'!AT11</f>
        <v>0</v>
      </c>
      <c r="AB9" s="36">
        <f>'FS Desroches Daily'!AV11</f>
        <v>0</v>
      </c>
      <c r="AC9" s="36">
        <f>'FS Desroches Daily'!AZ11</f>
        <v>0</v>
      </c>
      <c r="AD9" s="36">
        <f>'FS Desroches Daily'!BB11</f>
        <v>0</v>
      </c>
      <c r="AE9" s="36">
        <f>'FS Desroches Daily'!BD11</f>
        <v>0</v>
      </c>
      <c r="AF9" s="32">
        <f>'FS Desroches Daily'!BF11</f>
        <v>0</v>
      </c>
      <c r="AG9" s="33">
        <f>'FS Desroches Daily'!BH11</f>
        <v>0</v>
      </c>
      <c r="AH9" s="33">
        <f>'FS Desroches Daily'!BJ11</f>
        <v>0</v>
      </c>
      <c r="AI9" s="33">
        <f>'FS Desroches Daily'!BL11</f>
        <v>0</v>
      </c>
      <c r="AJ9" s="33">
        <f>'FS Desroches Daily'!BN11</f>
        <v>0</v>
      </c>
      <c r="AK9" s="33">
        <f>'FS Desroches Daily'!BP11</f>
        <v>0</v>
      </c>
      <c r="AL9" s="33">
        <f>'FS Desroches Daily'!BR11</f>
        <v>0</v>
      </c>
      <c r="AM9" s="33">
        <f>'FS Desroches Daily'!BT11</f>
        <v>0</v>
      </c>
      <c r="AN9" s="33">
        <f>'FS Desroches Daily'!BV11</f>
        <v>0</v>
      </c>
      <c r="AO9" s="33">
        <f>'FS Desroches Daily'!BX11</f>
        <v>0</v>
      </c>
      <c r="AP9" s="33">
        <f>'FS Desroches Daily'!BZ11</f>
        <v>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0</v>
      </c>
      <c r="AU9" s="32">
        <f>'FS Desroches Daily'!CJ11</f>
        <v>0</v>
      </c>
      <c r="AV9" s="32">
        <f>'FS Desroches Daily'!CL11</f>
        <v>0</v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9600.0000000000528</v>
      </c>
      <c r="F33" s="17">
        <f t="shared" ref="F33:BC33" si="1">SUM(F2:F32)</f>
        <v>5800.0000000002492</v>
      </c>
      <c r="G33" s="17">
        <f t="shared" si="1"/>
        <v>10699.999999999931</v>
      </c>
      <c r="H33" s="17">
        <f t="shared" si="1"/>
        <v>7500.0000000000628</v>
      </c>
      <c r="I33" s="17">
        <f t="shared" si="1"/>
        <v>13700.000000000047</v>
      </c>
      <c r="J33" s="17">
        <f t="shared" si="1"/>
        <v>6599.99999999994</v>
      </c>
      <c r="K33" s="17">
        <f t="shared" si="1"/>
        <v>0</v>
      </c>
      <c r="L33" s="17">
        <f t="shared" si="1"/>
        <v>36</v>
      </c>
      <c r="M33" s="17">
        <f t="shared" si="1"/>
        <v>1192.3000000000466</v>
      </c>
      <c r="N33" s="17">
        <f t="shared" si="1"/>
        <v>773.90000000002328</v>
      </c>
      <c r="O33" s="17">
        <f t="shared" si="1"/>
        <v>1280.0000000000296</v>
      </c>
      <c r="P33" s="17">
        <f t="shared" si="1"/>
        <v>3700.0000000002592</v>
      </c>
      <c r="Q33" s="17">
        <f t="shared" si="1"/>
        <v>610.00000000001364</v>
      </c>
      <c r="R33" s="17">
        <f t="shared" si="1"/>
        <v>1959.9999999999795</v>
      </c>
      <c r="S33" s="17">
        <f t="shared" si="1"/>
        <v>3379.9999999999955</v>
      </c>
      <c r="T33" s="17">
        <f t="shared" si="1"/>
        <v>5.7999999999999545</v>
      </c>
      <c r="U33" s="36">
        <f t="shared" si="1"/>
        <v>1790.0000000000205</v>
      </c>
      <c r="V33" s="36">
        <f t="shared" si="1"/>
        <v>1.0500000000000114</v>
      </c>
      <c r="W33" s="36">
        <f t="shared" si="1"/>
        <v>0.78000000000000114</v>
      </c>
      <c r="X33" s="36">
        <f t="shared" si="1"/>
        <v>0.75999999999999091</v>
      </c>
      <c r="Y33" s="36">
        <f t="shared" si="1"/>
        <v>590.00000000000341</v>
      </c>
      <c r="Z33" s="36">
        <f t="shared" si="1"/>
        <v>660.00000000002501</v>
      </c>
      <c r="AA33" s="36">
        <f t="shared" si="1"/>
        <v>660.00000000002501</v>
      </c>
      <c r="AB33" s="36">
        <f t="shared" si="1"/>
        <v>610.00000000001364</v>
      </c>
      <c r="AC33" s="36">
        <f t="shared" si="1"/>
        <v>599.99999999996589</v>
      </c>
      <c r="AD33" s="36">
        <f t="shared" si="1"/>
        <v>500</v>
      </c>
      <c r="AE33" s="36">
        <f t="shared" si="1"/>
        <v>60.000000000002274</v>
      </c>
      <c r="AF33" s="17">
        <f t="shared" si="1"/>
        <v>202</v>
      </c>
      <c r="AG33" s="33">
        <f t="shared" si="1"/>
        <v>210.00000000000796</v>
      </c>
      <c r="AH33" s="33">
        <f t="shared" si="1"/>
        <v>240.00000000000909</v>
      </c>
      <c r="AI33" s="33">
        <f t="shared" si="1"/>
        <v>209.99999999997954</v>
      </c>
      <c r="AJ33" s="33">
        <f t="shared" si="1"/>
        <v>259.99999999999091</v>
      </c>
      <c r="AK33" s="33">
        <f t="shared" si="1"/>
        <v>289.99999999996362</v>
      </c>
      <c r="AL33" s="33">
        <f t="shared" si="1"/>
        <v>155</v>
      </c>
      <c r="AM33" s="33">
        <f t="shared" si="1"/>
        <v>159.99999999999659</v>
      </c>
      <c r="AN33" s="33">
        <f t="shared" si="1"/>
        <v>150</v>
      </c>
      <c r="AO33" s="33">
        <f t="shared" si="1"/>
        <v>210.00000000000796</v>
      </c>
      <c r="AP33" s="33">
        <f t="shared" si="1"/>
        <v>226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384.59999999999854</v>
      </c>
      <c r="AU33" s="17">
        <f t="shared" si="1"/>
        <v>1393</v>
      </c>
      <c r="AV33" s="17">
        <f t="shared" si="1"/>
        <v>2360.0000000000136</v>
      </c>
      <c r="AW33" s="17">
        <f t="shared" si="1"/>
        <v>159.9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43.955999999999996</v>
      </c>
      <c r="BC33" s="17">
        <f t="shared" si="1"/>
        <v>0</v>
      </c>
    </row>
    <row r="35" spans="5:55" x14ac:dyDescent="0.25">
      <c r="E35" s="39">
        <f>E33/E37</f>
        <v>0.30633735401110407</v>
      </c>
      <c r="G35" s="30">
        <f>G33-M36</f>
        <v>8733.799999999861</v>
      </c>
      <c r="AE35" s="36">
        <f>SUM(U33:AE33)</f>
        <v>5472.5900000000547</v>
      </c>
      <c r="AG35" s="33">
        <f>SUM(AG33:AP33)</f>
        <v>2110.9999999999554</v>
      </c>
    </row>
    <row r="36" spans="5:55" x14ac:dyDescent="0.25">
      <c r="G36" s="30">
        <f>G35-633*14</f>
        <v>-128.20000000013897</v>
      </c>
      <c r="M36" s="30">
        <f>M33+N33</f>
        <v>1966.2000000000698</v>
      </c>
    </row>
    <row r="37" spans="5:55" x14ac:dyDescent="0.25">
      <c r="E37" s="17">
        <f>E33+F33+G33+H33+J33-633*14</f>
        <v>31338.00000000024</v>
      </c>
      <c r="G37" s="38">
        <f>M36/E37</f>
        <v>6.274171931840114E-2</v>
      </c>
      <c r="M37" s="36">
        <f>AE35</f>
        <v>5472.5900000000547</v>
      </c>
    </row>
    <row r="38" spans="5:55" x14ac:dyDescent="0.25">
      <c r="L38" s="28">
        <f>M38/E37</f>
        <v>6.7362307741398272E-2</v>
      </c>
      <c r="M38" s="30">
        <f>AG35</f>
        <v>2110.9999999999554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BG15" sqref="BG15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/>
      <c r="D10" s="66" t="str">
        <f t="shared" si="42"/>
        <v>0</v>
      </c>
      <c r="E10" s="60"/>
      <c r="F10" s="66" t="str">
        <f t="shared" si="43"/>
        <v>0</v>
      </c>
      <c r="G10" s="60"/>
      <c r="H10" s="66" t="str">
        <f t="shared" si="44"/>
        <v>0</v>
      </c>
      <c r="I10" s="60"/>
      <c r="J10" s="66" t="str">
        <f t="shared" si="85"/>
        <v>0</v>
      </c>
      <c r="K10" s="60"/>
      <c r="L10" s="66" t="str">
        <f t="shared" si="45"/>
        <v>0</v>
      </c>
      <c r="M10" s="60"/>
      <c r="N10" s="66" t="str">
        <f t="shared" si="46"/>
        <v/>
      </c>
      <c r="O10" s="60"/>
      <c r="P10" s="67" t="str">
        <f t="shared" si="47"/>
        <v/>
      </c>
      <c r="Q10" s="60"/>
      <c r="R10" s="67" t="str">
        <f t="shared" si="48"/>
        <v/>
      </c>
      <c r="S10" s="60"/>
      <c r="T10" s="66" t="str">
        <f t="shared" si="49"/>
        <v/>
      </c>
      <c r="U10" s="60"/>
      <c r="V10" s="67" t="str">
        <f t="shared" si="50"/>
        <v/>
      </c>
      <c r="W10" s="60"/>
      <c r="X10" s="67" t="str">
        <f t="shared" si="65"/>
        <v/>
      </c>
      <c r="Y10" s="60"/>
      <c r="Z10" s="67" t="str">
        <f t="shared" si="66"/>
        <v/>
      </c>
      <c r="AA10" s="60"/>
      <c r="AB10" s="67" t="str">
        <f t="shared" si="67"/>
        <v/>
      </c>
      <c r="AC10" s="60"/>
      <c r="AD10" s="67" t="str">
        <f t="shared" si="68"/>
        <v/>
      </c>
      <c r="AE10" s="60"/>
      <c r="AF10" s="67" t="str">
        <f t="shared" si="69"/>
        <v/>
      </c>
      <c r="AG10" s="60"/>
      <c r="AH10" s="67" t="str">
        <f t="shared" si="51"/>
        <v/>
      </c>
      <c r="AI10" s="60"/>
      <c r="AJ10" s="67" t="str">
        <f t="shared" si="70"/>
        <v/>
      </c>
      <c r="AK10" s="60"/>
      <c r="AL10" s="67" t="str">
        <f t="shared" si="52"/>
        <v/>
      </c>
      <c r="AM10" s="60"/>
      <c r="AN10" s="67" t="str">
        <f t="shared" si="53"/>
        <v/>
      </c>
      <c r="AO10" s="60"/>
      <c r="AP10" s="67" t="str">
        <f t="shared" si="54"/>
        <v/>
      </c>
      <c r="AQ10" s="60"/>
      <c r="AR10" s="67" t="str">
        <f t="shared" si="71"/>
        <v/>
      </c>
      <c r="AS10" s="60"/>
      <c r="AT10" s="67" t="str">
        <f t="shared" si="72"/>
        <v/>
      </c>
      <c r="AU10" s="60"/>
      <c r="AV10" s="67" t="str">
        <f t="shared" si="73"/>
        <v/>
      </c>
      <c r="AW10" s="60"/>
      <c r="AX10" s="67" t="str">
        <f t="shared" si="74"/>
        <v/>
      </c>
      <c r="AY10" s="60"/>
      <c r="AZ10" s="67" t="str">
        <f t="shared" si="75"/>
        <v/>
      </c>
      <c r="BA10" s="60"/>
      <c r="BB10" s="67" t="str">
        <f t="shared" si="76"/>
        <v/>
      </c>
      <c r="BC10" s="60"/>
      <c r="BD10" s="67" t="str">
        <f t="shared" si="77"/>
        <v/>
      </c>
      <c r="BE10" s="61"/>
      <c r="BF10" s="67" t="str">
        <f t="shared" si="55"/>
        <v/>
      </c>
      <c r="BG10" s="62"/>
      <c r="BH10" s="67" t="str">
        <f t="shared" si="78"/>
        <v/>
      </c>
      <c r="BI10" s="62"/>
      <c r="BJ10" s="67" t="str">
        <f t="shared" si="79"/>
        <v/>
      </c>
      <c r="BK10" s="62"/>
      <c r="BL10" s="67" t="str">
        <f t="shared" si="80"/>
        <v/>
      </c>
      <c r="BM10" s="62"/>
      <c r="BN10" s="67" t="str">
        <f t="shared" si="81"/>
        <v/>
      </c>
      <c r="BO10" s="62"/>
      <c r="BP10" s="67" t="str">
        <f t="shared" si="82"/>
        <v/>
      </c>
      <c r="BQ10" s="62"/>
      <c r="BR10" s="67" t="str">
        <f t="shared" si="56"/>
        <v/>
      </c>
      <c r="BS10" s="62"/>
      <c r="BT10" s="67" t="str">
        <f t="shared" si="83"/>
        <v/>
      </c>
      <c r="BU10" s="62"/>
      <c r="BV10" s="67" t="str">
        <f t="shared" si="57"/>
        <v/>
      </c>
      <c r="BW10" s="62"/>
      <c r="BX10" s="67" t="str">
        <f t="shared" si="84"/>
        <v/>
      </c>
      <c r="BY10" s="62"/>
      <c r="BZ10" s="67" t="str">
        <f t="shared" si="58"/>
        <v/>
      </c>
      <c r="CA10" s="62"/>
      <c r="CB10" s="67" t="str">
        <f t="shared" si="59"/>
        <v/>
      </c>
      <c r="CC10" s="62"/>
      <c r="CD10" s="67" t="str">
        <f t="shared" si="60"/>
        <v/>
      </c>
      <c r="CE10" s="62"/>
      <c r="CF10" s="67" t="str">
        <f t="shared" si="61"/>
        <v/>
      </c>
      <c r="CG10" s="62"/>
      <c r="CH10" s="67" t="str">
        <f t="shared" si="62"/>
        <v/>
      </c>
      <c r="CI10" s="62"/>
      <c r="CJ10" s="67" t="str">
        <f t="shared" si="63"/>
        <v/>
      </c>
      <c r="CK10" s="62"/>
      <c r="CL10" s="66" t="str">
        <f t="shared" si="64"/>
        <v/>
      </c>
      <c r="CM10" s="67"/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/>
      <c r="D11" s="66">
        <f t="shared" si="42"/>
        <v>0</v>
      </c>
      <c r="E11" s="60"/>
      <c r="F11" s="66">
        <f t="shared" si="43"/>
        <v>0</v>
      </c>
      <c r="G11" s="60"/>
      <c r="H11" s="66">
        <f t="shared" si="44"/>
        <v>0</v>
      </c>
      <c r="I11" s="60"/>
      <c r="J11" s="66">
        <f t="shared" si="85"/>
        <v>0</v>
      </c>
      <c r="K11" s="60"/>
      <c r="L11" s="66">
        <f t="shared" si="45"/>
        <v>0</v>
      </c>
      <c r="M11" s="60"/>
      <c r="N11" s="66">
        <f t="shared" si="46"/>
        <v>0</v>
      </c>
      <c r="O11" s="60"/>
      <c r="P11" s="67">
        <f t="shared" si="47"/>
        <v>0</v>
      </c>
      <c r="Q11" s="60"/>
      <c r="R11" s="67">
        <f t="shared" si="48"/>
        <v>0</v>
      </c>
      <c r="S11" s="60"/>
      <c r="T11" s="66">
        <f t="shared" si="49"/>
        <v>0</v>
      </c>
      <c r="U11" s="60"/>
      <c r="V11" s="67">
        <f t="shared" si="50"/>
        <v>0</v>
      </c>
      <c r="W11" s="60"/>
      <c r="X11" s="67">
        <f t="shared" si="65"/>
        <v>0</v>
      </c>
      <c r="Y11" s="60"/>
      <c r="Z11" s="67">
        <f t="shared" si="66"/>
        <v>0</v>
      </c>
      <c r="AA11" s="60"/>
      <c r="AB11" s="67">
        <f t="shared" si="67"/>
        <v>0</v>
      </c>
      <c r="AC11" s="60"/>
      <c r="AD11" s="67">
        <f t="shared" si="68"/>
        <v>0</v>
      </c>
      <c r="AE11" s="60"/>
      <c r="AF11" s="67">
        <f t="shared" si="69"/>
        <v>0</v>
      </c>
      <c r="AG11" s="60"/>
      <c r="AH11" s="67">
        <f t="shared" si="51"/>
        <v>0</v>
      </c>
      <c r="AI11" s="60"/>
      <c r="AJ11" s="67">
        <f t="shared" si="70"/>
        <v>0</v>
      </c>
      <c r="AK11" s="60"/>
      <c r="AL11" s="67">
        <f t="shared" si="52"/>
        <v>0</v>
      </c>
      <c r="AM11" s="60"/>
      <c r="AN11" s="67">
        <f t="shared" si="53"/>
        <v>0</v>
      </c>
      <c r="AO11" s="60"/>
      <c r="AP11" s="67">
        <f t="shared" si="54"/>
        <v>0</v>
      </c>
      <c r="AQ11" s="60"/>
      <c r="AR11" s="67">
        <f t="shared" si="71"/>
        <v>0</v>
      </c>
      <c r="AS11" s="60"/>
      <c r="AT11" s="67">
        <f t="shared" si="72"/>
        <v>0</v>
      </c>
      <c r="AU11" s="60"/>
      <c r="AV11" s="67">
        <f t="shared" si="73"/>
        <v>0</v>
      </c>
      <c r="AW11" s="60"/>
      <c r="AX11" s="67">
        <f t="shared" si="74"/>
        <v>0</v>
      </c>
      <c r="AY11" s="60"/>
      <c r="AZ11" s="67">
        <f t="shared" si="75"/>
        <v>0</v>
      </c>
      <c r="BA11" s="60"/>
      <c r="BB11" s="67">
        <f t="shared" si="76"/>
        <v>0</v>
      </c>
      <c r="BC11" s="60"/>
      <c r="BD11" s="67">
        <f t="shared" si="77"/>
        <v>0</v>
      </c>
      <c r="BE11" s="61"/>
      <c r="BF11" s="67">
        <f t="shared" si="55"/>
        <v>0</v>
      </c>
      <c r="BG11" s="62"/>
      <c r="BH11" s="67">
        <f t="shared" si="78"/>
        <v>0</v>
      </c>
      <c r="BI11" s="62"/>
      <c r="BJ11" s="67">
        <f t="shared" si="79"/>
        <v>0</v>
      </c>
      <c r="BK11" s="62"/>
      <c r="BL11" s="67">
        <f t="shared" si="80"/>
        <v>0</v>
      </c>
      <c r="BM11" s="62"/>
      <c r="BN11" s="67">
        <f t="shared" si="81"/>
        <v>0</v>
      </c>
      <c r="BO11" s="62"/>
      <c r="BP11" s="67">
        <f t="shared" si="82"/>
        <v>0</v>
      </c>
      <c r="BQ11" s="62"/>
      <c r="BR11" s="67">
        <f t="shared" si="56"/>
        <v>0</v>
      </c>
      <c r="BS11" s="62"/>
      <c r="BT11" s="67">
        <f t="shared" si="83"/>
        <v>0</v>
      </c>
      <c r="BU11" s="62"/>
      <c r="BV11" s="67">
        <f t="shared" si="57"/>
        <v>0</v>
      </c>
      <c r="BW11" s="62"/>
      <c r="BX11" s="67">
        <f t="shared" si="84"/>
        <v>0</v>
      </c>
      <c r="BY11" s="62"/>
      <c r="BZ11" s="67">
        <f t="shared" si="58"/>
        <v>0</v>
      </c>
      <c r="CA11" s="62"/>
      <c r="CB11" s="67">
        <f t="shared" si="59"/>
        <v>0</v>
      </c>
      <c r="CC11" s="62"/>
      <c r="CD11" s="67">
        <f t="shared" si="60"/>
        <v>0</v>
      </c>
      <c r="CE11" s="62"/>
      <c r="CF11" s="67">
        <f t="shared" si="61"/>
        <v>0</v>
      </c>
      <c r="CG11" s="62"/>
      <c r="CH11" s="67">
        <f t="shared" si="62"/>
        <v>0</v>
      </c>
      <c r="CI11" s="62"/>
      <c r="CJ11" s="67">
        <f t="shared" si="63"/>
        <v>0</v>
      </c>
      <c r="CK11" s="62"/>
      <c r="CL11" s="66">
        <f t="shared" si="64"/>
        <v>0</v>
      </c>
      <c r="CM11" s="67"/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/>
      <c r="D12" s="66">
        <f t="shared" si="42"/>
        <v>0</v>
      </c>
      <c r="E12" s="60"/>
      <c r="F12" s="66">
        <f t="shared" si="43"/>
        <v>0</v>
      </c>
      <c r="G12" s="60"/>
      <c r="H12" s="66">
        <f t="shared" si="44"/>
        <v>0</v>
      </c>
      <c r="I12" s="60"/>
      <c r="J12" s="66">
        <f t="shared" si="85"/>
        <v>0</v>
      </c>
      <c r="K12" s="60"/>
      <c r="L12" s="66">
        <f t="shared" si="45"/>
        <v>0</v>
      </c>
      <c r="M12" s="60"/>
      <c r="N12" s="66">
        <f t="shared" si="46"/>
        <v>0</v>
      </c>
      <c r="O12" s="60"/>
      <c r="P12" s="67">
        <f t="shared" si="47"/>
        <v>0</v>
      </c>
      <c r="Q12" s="60"/>
      <c r="R12" s="67">
        <f t="shared" si="48"/>
        <v>0</v>
      </c>
      <c r="S12" s="60"/>
      <c r="T12" s="67">
        <f t="shared" ref="T12:T34" si="86">IF((S12-S11&lt;0), "",S12-S11)</f>
        <v>0</v>
      </c>
      <c r="U12" s="60"/>
      <c r="V12" s="67">
        <f t="shared" si="50"/>
        <v>0</v>
      </c>
      <c r="W12" s="60"/>
      <c r="X12" s="67">
        <f t="shared" si="65"/>
        <v>0</v>
      </c>
      <c r="Y12" s="60"/>
      <c r="Z12" s="67">
        <f t="shared" si="66"/>
        <v>0</v>
      </c>
      <c r="AA12" s="60"/>
      <c r="AB12" s="67">
        <f t="shared" si="67"/>
        <v>0</v>
      </c>
      <c r="AC12" s="60"/>
      <c r="AD12" s="67">
        <f t="shared" si="68"/>
        <v>0</v>
      </c>
      <c r="AE12" s="60"/>
      <c r="AF12" s="67">
        <f t="shared" si="69"/>
        <v>0</v>
      </c>
      <c r="AG12" s="60"/>
      <c r="AH12" s="67">
        <f t="shared" si="51"/>
        <v>0</v>
      </c>
      <c r="AI12" s="60"/>
      <c r="AJ12" s="67">
        <f t="shared" si="70"/>
        <v>0</v>
      </c>
      <c r="AK12" s="60"/>
      <c r="AL12" s="67">
        <f t="shared" si="52"/>
        <v>0</v>
      </c>
      <c r="AM12" s="60"/>
      <c r="AN12" s="67">
        <f t="shared" si="53"/>
        <v>0</v>
      </c>
      <c r="AO12" s="60"/>
      <c r="AP12" s="67">
        <f t="shared" si="54"/>
        <v>0</v>
      </c>
      <c r="AQ12" s="60"/>
      <c r="AR12" s="67">
        <f t="shared" si="71"/>
        <v>0</v>
      </c>
      <c r="AS12" s="60"/>
      <c r="AT12" s="67">
        <f t="shared" si="72"/>
        <v>0</v>
      </c>
      <c r="AU12" s="60"/>
      <c r="AV12" s="67">
        <f t="shared" si="73"/>
        <v>0</v>
      </c>
      <c r="AW12" s="60"/>
      <c r="AX12" s="67">
        <f t="shared" si="74"/>
        <v>0</v>
      </c>
      <c r="AY12" s="60"/>
      <c r="AZ12" s="67">
        <f t="shared" si="75"/>
        <v>0</v>
      </c>
      <c r="BA12" s="60"/>
      <c r="BB12" s="67">
        <f t="shared" si="76"/>
        <v>0</v>
      </c>
      <c r="BC12" s="60"/>
      <c r="BD12" s="67">
        <f t="shared" si="77"/>
        <v>0</v>
      </c>
      <c r="BE12" s="61"/>
      <c r="BF12" s="67">
        <f t="shared" si="55"/>
        <v>0</v>
      </c>
      <c r="BG12" s="62"/>
      <c r="BH12" s="67">
        <f t="shared" si="78"/>
        <v>0</v>
      </c>
      <c r="BI12" s="62"/>
      <c r="BJ12" s="67">
        <f t="shared" si="79"/>
        <v>0</v>
      </c>
      <c r="BK12" s="62"/>
      <c r="BL12" s="67">
        <f t="shared" si="80"/>
        <v>0</v>
      </c>
      <c r="BM12" s="62"/>
      <c r="BN12" s="67">
        <f t="shared" si="81"/>
        <v>0</v>
      </c>
      <c r="BO12" s="62"/>
      <c r="BP12" s="67">
        <f t="shared" si="82"/>
        <v>0</v>
      </c>
      <c r="BQ12" s="62"/>
      <c r="BR12" s="67">
        <f t="shared" si="56"/>
        <v>0</v>
      </c>
      <c r="BS12" s="62"/>
      <c r="BT12" s="67">
        <f t="shared" si="83"/>
        <v>0</v>
      </c>
      <c r="BU12" s="62"/>
      <c r="BV12" s="67">
        <f t="shared" si="57"/>
        <v>0</v>
      </c>
      <c r="BW12" s="62"/>
      <c r="BX12" s="67">
        <f t="shared" si="84"/>
        <v>0</v>
      </c>
      <c r="BY12" s="62"/>
      <c r="BZ12" s="67">
        <f t="shared" si="58"/>
        <v>0</v>
      </c>
      <c r="CA12" s="62"/>
      <c r="CB12" s="67">
        <f t="shared" si="59"/>
        <v>0</v>
      </c>
      <c r="CC12" s="62"/>
      <c r="CD12" s="67">
        <f t="shared" si="60"/>
        <v>0</v>
      </c>
      <c r="CE12" s="62"/>
      <c r="CF12" s="67">
        <f t="shared" si="61"/>
        <v>0</v>
      </c>
      <c r="CG12" s="62"/>
      <c r="CH12" s="67">
        <f t="shared" si="62"/>
        <v>0</v>
      </c>
      <c r="CI12" s="62"/>
      <c r="CJ12" s="67">
        <f t="shared" si="63"/>
        <v>0</v>
      </c>
      <c r="CK12" s="62"/>
      <c r="CL12" s="66">
        <f t="shared" si="64"/>
        <v>0</v>
      </c>
      <c r="CM12" s="67"/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/>
      <c r="D13" s="66">
        <f t="shared" si="42"/>
        <v>0</v>
      </c>
      <c r="E13" s="60"/>
      <c r="F13" s="66">
        <f t="shared" si="43"/>
        <v>0</v>
      </c>
      <c r="G13" s="60"/>
      <c r="H13" s="66">
        <f t="shared" si="44"/>
        <v>0</v>
      </c>
      <c r="I13" s="60"/>
      <c r="J13" s="66">
        <f t="shared" si="85"/>
        <v>0</v>
      </c>
      <c r="K13" s="60"/>
      <c r="L13" s="66">
        <f t="shared" si="45"/>
        <v>0</v>
      </c>
      <c r="M13" s="60"/>
      <c r="N13" s="66">
        <f t="shared" si="46"/>
        <v>0</v>
      </c>
      <c r="O13" s="60"/>
      <c r="P13" s="67">
        <f t="shared" si="47"/>
        <v>0</v>
      </c>
      <c r="Q13" s="60"/>
      <c r="R13" s="67">
        <f t="shared" si="48"/>
        <v>0</v>
      </c>
      <c r="S13" s="60"/>
      <c r="T13" s="67">
        <f t="shared" si="86"/>
        <v>0</v>
      </c>
      <c r="U13" s="60"/>
      <c r="V13" s="67">
        <f t="shared" si="50"/>
        <v>0</v>
      </c>
      <c r="W13" s="60"/>
      <c r="X13" s="67">
        <f t="shared" si="65"/>
        <v>0</v>
      </c>
      <c r="Y13" s="60"/>
      <c r="Z13" s="67">
        <f t="shared" si="66"/>
        <v>0</v>
      </c>
      <c r="AA13" s="60"/>
      <c r="AB13" s="67">
        <f t="shared" si="67"/>
        <v>0</v>
      </c>
      <c r="AC13" s="60"/>
      <c r="AD13" s="67">
        <f t="shared" si="68"/>
        <v>0</v>
      </c>
      <c r="AE13" s="60"/>
      <c r="AF13" s="67">
        <f t="shared" si="69"/>
        <v>0</v>
      </c>
      <c r="AG13" s="60"/>
      <c r="AH13" s="67">
        <f t="shared" si="51"/>
        <v>0</v>
      </c>
      <c r="AI13" s="60"/>
      <c r="AJ13" s="67">
        <f t="shared" si="70"/>
        <v>0</v>
      </c>
      <c r="AK13" s="60"/>
      <c r="AL13" s="67">
        <f t="shared" si="52"/>
        <v>0</v>
      </c>
      <c r="AM13" s="60"/>
      <c r="AN13" s="67">
        <f t="shared" si="53"/>
        <v>0</v>
      </c>
      <c r="AO13" s="60"/>
      <c r="AP13" s="67">
        <f t="shared" si="54"/>
        <v>0</v>
      </c>
      <c r="AQ13" s="60"/>
      <c r="AR13" s="67">
        <f t="shared" si="71"/>
        <v>0</v>
      </c>
      <c r="AS13" s="60"/>
      <c r="AT13" s="67">
        <f t="shared" si="72"/>
        <v>0</v>
      </c>
      <c r="AU13" s="60"/>
      <c r="AV13" s="67">
        <f t="shared" si="73"/>
        <v>0</v>
      </c>
      <c r="AW13" s="60"/>
      <c r="AX13" s="67">
        <f t="shared" si="74"/>
        <v>0</v>
      </c>
      <c r="AY13" s="60"/>
      <c r="AZ13" s="67">
        <f t="shared" si="75"/>
        <v>0</v>
      </c>
      <c r="BA13" s="60"/>
      <c r="BB13" s="67">
        <f t="shared" si="76"/>
        <v>0</v>
      </c>
      <c r="BC13" s="60"/>
      <c r="BD13" s="67">
        <f t="shared" si="77"/>
        <v>0</v>
      </c>
      <c r="BE13" s="61"/>
      <c r="BF13" s="67">
        <f t="shared" si="55"/>
        <v>0</v>
      </c>
      <c r="BG13" s="62"/>
      <c r="BH13" s="67">
        <f t="shared" si="78"/>
        <v>0</v>
      </c>
      <c r="BI13" s="62"/>
      <c r="BJ13" s="67">
        <f t="shared" si="79"/>
        <v>0</v>
      </c>
      <c r="BK13" s="62"/>
      <c r="BL13" s="67">
        <f t="shared" si="80"/>
        <v>0</v>
      </c>
      <c r="BM13" s="62"/>
      <c r="BN13" s="67">
        <f t="shared" si="81"/>
        <v>0</v>
      </c>
      <c r="BO13" s="62"/>
      <c r="BP13" s="67">
        <f t="shared" si="82"/>
        <v>0</v>
      </c>
      <c r="BQ13" s="62"/>
      <c r="BR13" s="67">
        <f t="shared" si="56"/>
        <v>0</v>
      </c>
      <c r="BS13" s="62"/>
      <c r="BT13" s="67">
        <f t="shared" si="83"/>
        <v>0</v>
      </c>
      <c r="BU13" s="62"/>
      <c r="BV13" s="67">
        <f t="shared" si="57"/>
        <v>0</v>
      </c>
      <c r="BW13" s="62"/>
      <c r="BX13" s="67">
        <f t="shared" si="84"/>
        <v>0</v>
      </c>
      <c r="BY13" s="62"/>
      <c r="BZ13" s="67">
        <f t="shared" si="58"/>
        <v>0</v>
      </c>
      <c r="CA13" s="62"/>
      <c r="CB13" s="67">
        <f t="shared" si="59"/>
        <v>0</v>
      </c>
      <c r="CC13" s="62"/>
      <c r="CD13" s="67">
        <f t="shared" si="60"/>
        <v>0</v>
      </c>
      <c r="CE13" s="62"/>
      <c r="CF13" s="67">
        <f t="shared" si="61"/>
        <v>0</v>
      </c>
      <c r="CG13" s="62"/>
      <c r="CH13" s="67">
        <f t="shared" si="62"/>
        <v>0</v>
      </c>
      <c r="CI13" s="62"/>
      <c r="CJ13" s="67">
        <f t="shared" si="63"/>
        <v>0</v>
      </c>
      <c r="CK13" s="62"/>
      <c r="CL13" s="66">
        <f t="shared" si="64"/>
        <v>0</v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/>
      <c r="D14" s="66">
        <f t="shared" si="42"/>
        <v>0</v>
      </c>
      <c r="E14" s="60"/>
      <c r="F14" s="66">
        <f t="shared" si="43"/>
        <v>0</v>
      </c>
      <c r="G14" s="60"/>
      <c r="H14" s="66">
        <f t="shared" si="44"/>
        <v>0</v>
      </c>
      <c r="I14" s="60"/>
      <c r="J14" s="66">
        <f t="shared" si="85"/>
        <v>0</v>
      </c>
      <c r="K14" s="60"/>
      <c r="L14" s="66">
        <f t="shared" si="45"/>
        <v>0</v>
      </c>
      <c r="M14" s="60"/>
      <c r="N14" s="66">
        <f t="shared" si="46"/>
        <v>0</v>
      </c>
      <c r="O14" s="60"/>
      <c r="P14" s="67">
        <f t="shared" si="47"/>
        <v>0</v>
      </c>
      <c r="Q14" s="60"/>
      <c r="R14" s="67">
        <f t="shared" si="48"/>
        <v>0</v>
      </c>
      <c r="S14" s="60"/>
      <c r="T14" s="67">
        <f t="shared" si="86"/>
        <v>0</v>
      </c>
      <c r="U14" s="60"/>
      <c r="V14" s="67">
        <f t="shared" si="50"/>
        <v>0</v>
      </c>
      <c r="W14" s="60"/>
      <c r="X14" s="67">
        <f>IF((W14-W13&lt;0), "",(W14-W13)*1000)</f>
        <v>0</v>
      </c>
      <c r="Y14" s="60"/>
      <c r="Z14" s="67">
        <f t="shared" si="66"/>
        <v>0</v>
      </c>
      <c r="AA14" s="60"/>
      <c r="AB14" s="67">
        <f t="shared" si="67"/>
        <v>0</v>
      </c>
      <c r="AC14" s="60"/>
      <c r="AD14" s="67">
        <f t="shared" si="68"/>
        <v>0</v>
      </c>
      <c r="AE14" s="60"/>
      <c r="AF14" s="67">
        <f t="shared" si="69"/>
        <v>0</v>
      </c>
      <c r="AG14" s="60"/>
      <c r="AH14" s="67">
        <f t="shared" si="51"/>
        <v>0</v>
      </c>
      <c r="AI14" s="60"/>
      <c r="AJ14" s="67">
        <f t="shared" si="70"/>
        <v>0</v>
      </c>
      <c r="AK14" s="60"/>
      <c r="AL14" s="67">
        <f t="shared" si="52"/>
        <v>0</v>
      </c>
      <c r="AM14" s="60"/>
      <c r="AN14" s="67">
        <f t="shared" si="53"/>
        <v>0</v>
      </c>
      <c r="AO14" s="60"/>
      <c r="AP14" s="67">
        <f t="shared" si="54"/>
        <v>0</v>
      </c>
      <c r="AQ14" s="60"/>
      <c r="AR14" s="67">
        <f t="shared" si="71"/>
        <v>0</v>
      </c>
      <c r="AS14" s="60"/>
      <c r="AT14" s="67">
        <f t="shared" si="72"/>
        <v>0</v>
      </c>
      <c r="AU14" s="60"/>
      <c r="AV14" s="67">
        <f t="shared" si="73"/>
        <v>0</v>
      </c>
      <c r="AW14" s="60"/>
      <c r="AX14" s="67">
        <f t="shared" si="74"/>
        <v>0</v>
      </c>
      <c r="AY14" s="60"/>
      <c r="AZ14" s="67">
        <f t="shared" si="75"/>
        <v>0</v>
      </c>
      <c r="BA14" s="60"/>
      <c r="BB14" s="67">
        <f t="shared" si="76"/>
        <v>0</v>
      </c>
      <c r="BC14" s="60"/>
      <c r="BD14" s="67">
        <f t="shared" si="77"/>
        <v>0</v>
      </c>
      <c r="BE14" s="61"/>
      <c r="BF14" s="67">
        <f t="shared" si="55"/>
        <v>0</v>
      </c>
      <c r="BG14" s="62"/>
      <c r="BH14" s="67">
        <f t="shared" si="78"/>
        <v>0</v>
      </c>
      <c r="BI14" s="62"/>
      <c r="BJ14" s="67">
        <f t="shared" si="79"/>
        <v>0</v>
      </c>
      <c r="BK14" s="62"/>
      <c r="BL14" s="67">
        <f t="shared" si="80"/>
        <v>0</v>
      </c>
      <c r="BM14" s="62"/>
      <c r="BN14" s="67">
        <f t="shared" si="81"/>
        <v>0</v>
      </c>
      <c r="BO14" s="62"/>
      <c r="BP14" s="67">
        <f t="shared" si="82"/>
        <v>0</v>
      </c>
      <c r="BQ14" s="62"/>
      <c r="BR14" s="67">
        <f t="shared" si="56"/>
        <v>0</v>
      </c>
      <c r="BS14" s="62"/>
      <c r="BT14" s="67">
        <f t="shared" si="83"/>
        <v>0</v>
      </c>
      <c r="BU14" s="62"/>
      <c r="BV14" s="67">
        <f t="shared" si="57"/>
        <v>0</v>
      </c>
      <c r="BW14" s="62"/>
      <c r="BX14" s="67">
        <f t="shared" si="84"/>
        <v>0</v>
      </c>
      <c r="BY14" s="62"/>
      <c r="BZ14" s="67">
        <f t="shared" si="58"/>
        <v>0</v>
      </c>
      <c r="CA14" s="62"/>
      <c r="CB14" s="67">
        <f t="shared" si="59"/>
        <v>0</v>
      </c>
      <c r="CC14" s="62"/>
      <c r="CD14" s="67">
        <f t="shared" si="60"/>
        <v>0</v>
      </c>
      <c r="CE14" s="62"/>
      <c r="CF14" s="67">
        <f t="shared" si="61"/>
        <v>0</v>
      </c>
      <c r="CG14" s="62"/>
      <c r="CH14" s="67">
        <f t="shared" si="62"/>
        <v>0</v>
      </c>
      <c r="CI14" s="62"/>
      <c r="CJ14" s="67">
        <f t="shared" si="63"/>
        <v>0</v>
      </c>
      <c r="CK14" s="62"/>
      <c r="CL14" s="66">
        <f t="shared" si="64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/>
      <c r="D15" s="66">
        <f t="shared" si="42"/>
        <v>0</v>
      </c>
      <c r="E15" s="60"/>
      <c r="F15" s="66">
        <f t="shared" si="43"/>
        <v>0</v>
      </c>
      <c r="G15" s="60"/>
      <c r="H15" s="66">
        <f t="shared" si="44"/>
        <v>0</v>
      </c>
      <c r="I15" s="60"/>
      <c r="J15" s="66">
        <f t="shared" si="85"/>
        <v>0</v>
      </c>
      <c r="K15" s="60"/>
      <c r="L15" s="66">
        <f t="shared" si="45"/>
        <v>0</v>
      </c>
      <c r="M15" s="60"/>
      <c r="N15" s="66">
        <f t="shared" si="46"/>
        <v>0</v>
      </c>
      <c r="O15" s="60"/>
      <c r="P15" s="67">
        <f t="shared" si="47"/>
        <v>0</v>
      </c>
      <c r="Q15" s="60"/>
      <c r="R15" s="67">
        <f t="shared" si="48"/>
        <v>0</v>
      </c>
      <c r="S15" s="60"/>
      <c r="T15" s="67">
        <f t="shared" si="86"/>
        <v>0</v>
      </c>
      <c r="U15" s="60"/>
      <c r="V15" s="67">
        <f t="shared" si="50"/>
        <v>0</v>
      </c>
      <c r="W15" s="60"/>
      <c r="X15" s="67">
        <f t="shared" si="65"/>
        <v>0</v>
      </c>
      <c r="Y15" s="60"/>
      <c r="Z15" s="67">
        <f t="shared" si="66"/>
        <v>0</v>
      </c>
      <c r="AA15" s="60"/>
      <c r="AB15" s="67">
        <f t="shared" si="67"/>
        <v>0</v>
      </c>
      <c r="AC15" s="60"/>
      <c r="AD15" s="67">
        <f t="shared" si="68"/>
        <v>0</v>
      </c>
      <c r="AE15" s="60"/>
      <c r="AF15" s="67">
        <f t="shared" si="69"/>
        <v>0</v>
      </c>
      <c r="AG15" s="60"/>
      <c r="AH15" s="67">
        <f t="shared" si="51"/>
        <v>0</v>
      </c>
      <c r="AI15" s="60"/>
      <c r="AJ15" s="67">
        <f t="shared" si="70"/>
        <v>0</v>
      </c>
      <c r="AK15" s="60"/>
      <c r="AL15" s="67">
        <f t="shared" si="52"/>
        <v>0</v>
      </c>
      <c r="AM15" s="60"/>
      <c r="AN15" s="67">
        <f t="shared" si="53"/>
        <v>0</v>
      </c>
      <c r="AO15" s="60"/>
      <c r="AP15" s="67">
        <f t="shared" si="54"/>
        <v>0</v>
      </c>
      <c r="AQ15" s="60"/>
      <c r="AR15" s="67">
        <f t="shared" si="71"/>
        <v>0</v>
      </c>
      <c r="AS15" s="60"/>
      <c r="AT15" s="67">
        <f t="shared" si="72"/>
        <v>0</v>
      </c>
      <c r="AU15" s="60"/>
      <c r="AV15" s="67">
        <f t="shared" si="73"/>
        <v>0</v>
      </c>
      <c r="AW15" s="60"/>
      <c r="AX15" s="67">
        <f t="shared" si="74"/>
        <v>0</v>
      </c>
      <c r="AY15" s="60"/>
      <c r="AZ15" s="67">
        <f t="shared" si="75"/>
        <v>0</v>
      </c>
      <c r="BA15" s="60"/>
      <c r="BB15" s="67">
        <f t="shared" si="76"/>
        <v>0</v>
      </c>
      <c r="BC15" s="60"/>
      <c r="BD15" s="67">
        <f t="shared" si="77"/>
        <v>0</v>
      </c>
      <c r="BE15" s="61"/>
      <c r="BF15" s="67">
        <f t="shared" si="55"/>
        <v>0</v>
      </c>
      <c r="BG15" s="62"/>
      <c r="BH15" s="67">
        <f t="shared" si="78"/>
        <v>0</v>
      </c>
      <c r="BI15" s="62"/>
      <c r="BJ15" s="67">
        <f t="shared" si="79"/>
        <v>0</v>
      </c>
      <c r="BK15" s="62"/>
      <c r="BL15" s="67">
        <f t="shared" si="80"/>
        <v>0</v>
      </c>
      <c r="BM15" s="62"/>
      <c r="BN15" s="67">
        <f t="shared" si="81"/>
        <v>0</v>
      </c>
      <c r="BO15" s="62"/>
      <c r="BP15" s="67">
        <f t="shared" si="82"/>
        <v>0</v>
      </c>
      <c r="BQ15" s="62"/>
      <c r="BR15" s="67">
        <f t="shared" si="56"/>
        <v>0</v>
      </c>
      <c r="BS15" s="62"/>
      <c r="BT15" s="67">
        <f t="shared" si="83"/>
        <v>0</v>
      </c>
      <c r="BU15" s="62"/>
      <c r="BV15" s="67">
        <f t="shared" si="57"/>
        <v>0</v>
      </c>
      <c r="BW15" s="62"/>
      <c r="BX15" s="67">
        <f t="shared" si="84"/>
        <v>0</v>
      </c>
      <c r="BY15" s="62"/>
      <c r="BZ15" s="67">
        <f t="shared" si="58"/>
        <v>0</v>
      </c>
      <c r="CA15" s="62"/>
      <c r="CB15" s="67">
        <f t="shared" si="59"/>
        <v>0</v>
      </c>
      <c r="CC15" s="62"/>
      <c r="CD15" s="67">
        <f t="shared" si="60"/>
        <v>0</v>
      </c>
      <c r="CE15" s="62"/>
      <c r="CF15" s="67">
        <f t="shared" si="61"/>
        <v>0</v>
      </c>
      <c r="CG15" s="62"/>
      <c r="CH15" s="67">
        <f t="shared" si="62"/>
        <v>0</v>
      </c>
      <c r="CI15" s="62"/>
      <c r="CJ15" s="67">
        <f t="shared" si="63"/>
        <v>0</v>
      </c>
      <c r="CK15" s="62"/>
      <c r="CL15" s="66">
        <f t="shared" si="64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/>
      <c r="D16" s="66">
        <f t="shared" si="42"/>
        <v>0</v>
      </c>
      <c r="E16" s="60"/>
      <c r="F16" s="66">
        <f t="shared" si="43"/>
        <v>0</v>
      </c>
      <c r="G16" s="60"/>
      <c r="H16" s="66">
        <f t="shared" si="44"/>
        <v>0</v>
      </c>
      <c r="I16" s="60"/>
      <c r="J16" s="66">
        <f t="shared" si="85"/>
        <v>0</v>
      </c>
      <c r="K16" s="60"/>
      <c r="L16" s="66">
        <f t="shared" si="45"/>
        <v>0</v>
      </c>
      <c r="M16" s="60"/>
      <c r="N16" s="66">
        <f t="shared" si="46"/>
        <v>0</v>
      </c>
      <c r="O16" s="60"/>
      <c r="P16" s="67">
        <f t="shared" si="47"/>
        <v>0</v>
      </c>
      <c r="Q16" s="60"/>
      <c r="R16" s="67">
        <f t="shared" si="48"/>
        <v>0</v>
      </c>
      <c r="S16" s="60"/>
      <c r="T16" s="67">
        <f t="shared" si="86"/>
        <v>0</v>
      </c>
      <c r="U16" s="60"/>
      <c r="V16" s="67">
        <f t="shared" si="50"/>
        <v>0</v>
      </c>
      <c r="W16" s="60"/>
      <c r="X16" s="67">
        <f t="shared" si="65"/>
        <v>0</v>
      </c>
      <c r="Y16" s="60"/>
      <c r="Z16" s="67">
        <f t="shared" si="66"/>
        <v>0</v>
      </c>
      <c r="AA16" s="60"/>
      <c r="AB16" s="67">
        <f t="shared" si="67"/>
        <v>0</v>
      </c>
      <c r="AC16" s="60"/>
      <c r="AD16" s="67">
        <f t="shared" si="68"/>
        <v>0</v>
      </c>
      <c r="AE16" s="60"/>
      <c r="AF16" s="67">
        <f t="shared" si="69"/>
        <v>0</v>
      </c>
      <c r="AG16" s="60"/>
      <c r="AH16" s="67">
        <f t="shared" si="51"/>
        <v>0</v>
      </c>
      <c r="AI16" s="60"/>
      <c r="AJ16" s="67">
        <f t="shared" si="70"/>
        <v>0</v>
      </c>
      <c r="AK16" s="60"/>
      <c r="AL16" s="67">
        <f t="shared" si="52"/>
        <v>0</v>
      </c>
      <c r="AM16" s="60"/>
      <c r="AN16" s="67">
        <f t="shared" si="53"/>
        <v>0</v>
      </c>
      <c r="AO16" s="60"/>
      <c r="AP16" s="67">
        <f t="shared" si="54"/>
        <v>0</v>
      </c>
      <c r="AQ16" s="60"/>
      <c r="AR16" s="67">
        <f t="shared" si="71"/>
        <v>0</v>
      </c>
      <c r="AS16" s="60"/>
      <c r="AT16" s="67">
        <f t="shared" si="72"/>
        <v>0</v>
      </c>
      <c r="AU16" s="60"/>
      <c r="AV16" s="67">
        <f t="shared" si="73"/>
        <v>0</v>
      </c>
      <c r="AW16" s="60"/>
      <c r="AX16" s="67">
        <f t="shared" si="74"/>
        <v>0</v>
      </c>
      <c r="AY16" s="60"/>
      <c r="AZ16" s="67">
        <f t="shared" si="75"/>
        <v>0</v>
      </c>
      <c r="BA16" s="60"/>
      <c r="BB16" s="67">
        <f t="shared" si="76"/>
        <v>0</v>
      </c>
      <c r="BC16" s="60"/>
      <c r="BD16" s="67">
        <f t="shared" si="77"/>
        <v>0</v>
      </c>
      <c r="BE16" s="61"/>
      <c r="BF16" s="67">
        <f t="shared" si="55"/>
        <v>0</v>
      </c>
      <c r="BG16" s="62"/>
      <c r="BH16" s="67">
        <f t="shared" si="78"/>
        <v>0</v>
      </c>
      <c r="BI16" s="62"/>
      <c r="BJ16" s="67">
        <f t="shared" si="79"/>
        <v>0</v>
      </c>
      <c r="BK16" s="62"/>
      <c r="BL16" s="67">
        <f t="shared" si="80"/>
        <v>0</v>
      </c>
      <c r="BM16" s="62"/>
      <c r="BN16" s="67">
        <f t="shared" si="81"/>
        <v>0</v>
      </c>
      <c r="BO16" s="62"/>
      <c r="BP16" s="67">
        <f t="shared" si="82"/>
        <v>0</v>
      </c>
      <c r="BQ16" s="62"/>
      <c r="BR16" s="67">
        <f t="shared" si="56"/>
        <v>0</v>
      </c>
      <c r="BS16" s="62"/>
      <c r="BT16" s="67">
        <f t="shared" si="83"/>
        <v>0</v>
      </c>
      <c r="BU16" s="62"/>
      <c r="BV16" s="67">
        <f t="shared" si="57"/>
        <v>0</v>
      </c>
      <c r="BW16" s="62"/>
      <c r="BX16" s="67">
        <f t="shared" si="84"/>
        <v>0</v>
      </c>
      <c r="BY16" s="62"/>
      <c r="BZ16" s="67">
        <f t="shared" si="58"/>
        <v>0</v>
      </c>
      <c r="CA16" s="62"/>
      <c r="CB16" s="67">
        <f t="shared" si="59"/>
        <v>0</v>
      </c>
      <c r="CC16" s="62"/>
      <c r="CD16" s="67">
        <f t="shared" si="60"/>
        <v>0</v>
      </c>
      <c r="CE16" s="62"/>
      <c r="CF16" s="67">
        <f t="shared" si="61"/>
        <v>0</v>
      </c>
      <c r="CG16" s="62"/>
      <c r="CH16" s="67">
        <f t="shared" si="62"/>
        <v>0</v>
      </c>
      <c r="CI16" s="62"/>
      <c r="CJ16" s="67">
        <f t="shared" si="63"/>
        <v>0</v>
      </c>
      <c r="CK16" s="62"/>
      <c r="CL16" s="66">
        <f t="shared" si="64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/>
      <c r="D17" s="66">
        <f t="shared" si="42"/>
        <v>0</v>
      </c>
      <c r="E17" s="60"/>
      <c r="F17" s="66">
        <f t="shared" si="43"/>
        <v>0</v>
      </c>
      <c r="G17" s="60"/>
      <c r="H17" s="66">
        <f t="shared" si="44"/>
        <v>0</v>
      </c>
      <c r="I17" s="60"/>
      <c r="J17" s="66">
        <f t="shared" si="85"/>
        <v>0</v>
      </c>
      <c r="K17" s="60"/>
      <c r="L17" s="66">
        <f t="shared" si="45"/>
        <v>0</v>
      </c>
      <c r="M17" s="60"/>
      <c r="N17" s="66">
        <f t="shared" si="46"/>
        <v>0</v>
      </c>
      <c r="O17" s="60"/>
      <c r="P17" s="67">
        <f t="shared" si="47"/>
        <v>0</v>
      </c>
      <c r="Q17" s="60"/>
      <c r="R17" s="67">
        <f t="shared" si="48"/>
        <v>0</v>
      </c>
      <c r="S17" s="60"/>
      <c r="T17" s="67">
        <f t="shared" si="86"/>
        <v>0</v>
      </c>
      <c r="U17" s="60"/>
      <c r="V17" s="67">
        <f t="shared" si="50"/>
        <v>0</v>
      </c>
      <c r="W17" s="60"/>
      <c r="X17" s="67">
        <f t="shared" si="65"/>
        <v>0</v>
      </c>
      <c r="Y17" s="60"/>
      <c r="Z17" s="67">
        <f t="shared" si="66"/>
        <v>0</v>
      </c>
      <c r="AA17" s="60"/>
      <c r="AB17" s="67">
        <f t="shared" si="67"/>
        <v>0</v>
      </c>
      <c r="AC17" s="60"/>
      <c r="AD17" s="67">
        <f t="shared" si="68"/>
        <v>0</v>
      </c>
      <c r="AE17" s="60"/>
      <c r="AF17" s="67">
        <f t="shared" si="69"/>
        <v>0</v>
      </c>
      <c r="AG17" s="60"/>
      <c r="AH17" s="67">
        <f t="shared" si="51"/>
        <v>0</v>
      </c>
      <c r="AI17" s="60"/>
      <c r="AJ17" s="67">
        <f t="shared" si="70"/>
        <v>0</v>
      </c>
      <c r="AK17" s="60"/>
      <c r="AL17" s="67">
        <f t="shared" si="52"/>
        <v>0</v>
      </c>
      <c r="AM17" s="60"/>
      <c r="AN17" s="67">
        <f t="shared" si="53"/>
        <v>0</v>
      </c>
      <c r="AO17" s="60"/>
      <c r="AP17" s="67">
        <f t="shared" si="54"/>
        <v>0</v>
      </c>
      <c r="AQ17" s="60"/>
      <c r="AR17" s="67">
        <f t="shared" si="71"/>
        <v>0</v>
      </c>
      <c r="AS17" s="60"/>
      <c r="AT17" s="67">
        <f t="shared" si="72"/>
        <v>0</v>
      </c>
      <c r="AU17" s="60"/>
      <c r="AV17" s="67">
        <f t="shared" si="73"/>
        <v>0</v>
      </c>
      <c r="AW17" s="60"/>
      <c r="AX17" s="67">
        <f t="shared" si="74"/>
        <v>0</v>
      </c>
      <c r="AY17" s="60"/>
      <c r="AZ17" s="67">
        <f t="shared" si="75"/>
        <v>0</v>
      </c>
      <c r="BA17" s="60"/>
      <c r="BB17" s="67">
        <f t="shared" si="76"/>
        <v>0</v>
      </c>
      <c r="BC17" s="60"/>
      <c r="BD17" s="67">
        <f t="shared" si="77"/>
        <v>0</v>
      </c>
      <c r="BE17" s="61"/>
      <c r="BF17" s="67">
        <f t="shared" si="55"/>
        <v>0</v>
      </c>
      <c r="BG17" s="62"/>
      <c r="BH17" s="67">
        <f t="shared" si="78"/>
        <v>0</v>
      </c>
      <c r="BI17" s="62"/>
      <c r="BJ17" s="67">
        <f t="shared" si="79"/>
        <v>0</v>
      </c>
      <c r="BK17" s="62"/>
      <c r="BL17" s="67">
        <f t="shared" si="80"/>
        <v>0</v>
      </c>
      <c r="BM17" s="62"/>
      <c r="BN17" s="67">
        <f t="shared" si="81"/>
        <v>0</v>
      </c>
      <c r="BO17" s="62"/>
      <c r="BP17" s="67">
        <f t="shared" si="82"/>
        <v>0</v>
      </c>
      <c r="BQ17" s="62"/>
      <c r="BR17" s="67">
        <f t="shared" si="56"/>
        <v>0</v>
      </c>
      <c r="BS17" s="62"/>
      <c r="BT17" s="67">
        <f t="shared" si="83"/>
        <v>0</v>
      </c>
      <c r="BU17" s="62"/>
      <c r="BV17" s="67">
        <f t="shared" si="57"/>
        <v>0</v>
      </c>
      <c r="BW17" s="62"/>
      <c r="BX17" s="67">
        <f t="shared" si="84"/>
        <v>0</v>
      </c>
      <c r="BY17" s="62"/>
      <c r="BZ17" s="67">
        <f t="shared" si="58"/>
        <v>0</v>
      </c>
      <c r="CA17" s="62"/>
      <c r="CB17" s="67">
        <f t="shared" si="59"/>
        <v>0</v>
      </c>
      <c r="CC17" s="62"/>
      <c r="CD17" s="67">
        <f t="shared" si="60"/>
        <v>0</v>
      </c>
      <c r="CE17" s="62"/>
      <c r="CF17" s="67">
        <f t="shared" si="61"/>
        <v>0</v>
      </c>
      <c r="CG17" s="62"/>
      <c r="CH17" s="67">
        <f t="shared" si="62"/>
        <v>0</v>
      </c>
      <c r="CI17" s="62"/>
      <c r="CJ17" s="67">
        <f t="shared" si="63"/>
        <v>0</v>
      </c>
      <c r="CK17" s="62"/>
      <c r="CL17" s="66">
        <f t="shared" si="64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0</v>
      </c>
      <c r="R35" s="71"/>
      <c r="AX35" s="67">
        <f t="shared" si="74"/>
        <v>0</v>
      </c>
      <c r="BF35" s="71">
        <f>SUM(BF4:BF33)</f>
        <v>202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zoomScaleNormal="100" workbookViewId="0">
      <selection activeCell="Q14" sqref="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53</v>
      </c>
      <c r="C4" s="94" t="s">
        <v>54</v>
      </c>
      <c r="D4" s="97" t="s">
        <v>55</v>
      </c>
      <c r="E4" s="80" t="s">
        <v>56</v>
      </c>
      <c r="F4" s="100"/>
      <c r="G4" s="100"/>
      <c r="H4" s="100"/>
      <c r="I4" s="100"/>
      <c r="J4" s="81"/>
      <c r="K4" s="88" t="s">
        <v>57</v>
      </c>
      <c r="L4" s="89"/>
      <c r="M4" s="90"/>
      <c r="N4" s="79" t="s">
        <v>36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58</v>
      </c>
      <c r="F5" s="81"/>
      <c r="G5" s="80" t="s">
        <v>59</v>
      </c>
      <c r="H5" s="81"/>
      <c r="I5" s="80" t="s">
        <v>60</v>
      </c>
      <c r="J5" s="81"/>
      <c r="K5" s="82" t="s">
        <v>61</v>
      </c>
      <c r="L5" s="83"/>
      <c r="M5" s="84"/>
      <c r="N5" s="85" t="s">
        <v>62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/>
      <c r="C14" s="41"/>
      <c r="D14" s="41"/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25">
      <c r="A15" s="27">
        <v>43959</v>
      </c>
      <c r="B15" s="41"/>
      <c r="C15" s="41"/>
      <c r="D15" s="41"/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25">
      <c r="A16" s="27">
        <v>43960</v>
      </c>
      <c r="B16" s="41"/>
      <c r="C16" s="41"/>
      <c r="D16" s="41"/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27">
        <v>43961</v>
      </c>
      <c r="B17" s="41"/>
      <c r="C17" s="41"/>
      <c r="D17" s="41"/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27">
        <v>43962</v>
      </c>
      <c r="B18" s="41"/>
      <c r="C18" s="41"/>
      <c r="D18" s="41"/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27">
        <v>43963</v>
      </c>
      <c r="B19" s="41"/>
      <c r="C19" s="41"/>
      <c r="D19" s="41"/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27">
        <v>43964</v>
      </c>
      <c r="B20" s="41"/>
      <c r="C20" s="41"/>
      <c r="D20" s="41"/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27">
        <v>43965</v>
      </c>
      <c r="B21" s="41"/>
      <c r="C21" s="41"/>
      <c r="D21" s="41"/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/>
      <c r="C22" s="41"/>
      <c r="D22" s="41"/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/>
      <c r="C23" s="41"/>
      <c r="D23" s="41"/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/>
      <c r="C24" s="41"/>
      <c r="D24" s="41"/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/>
      <c r="C25" s="41"/>
      <c r="D25" s="41"/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/>
      <c r="C26" s="41"/>
      <c r="D26" s="41"/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/>
      <c r="C27" s="41"/>
      <c r="D27" s="41"/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/>
      <c r="C28" s="41"/>
      <c r="D28" s="41"/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/>
      <c r="C29" s="41"/>
      <c r="D29" s="41"/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/>
      <c r="C30" s="41"/>
      <c r="D30" s="41"/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/>
      <c r="C31" s="41"/>
      <c r="D31" s="41"/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/>
      <c r="C32" s="41"/>
      <c r="D32" s="41"/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/>
      <c r="C33" s="41"/>
      <c r="D33" s="41"/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/>
      <c r="C34" s="41"/>
      <c r="D34" s="41"/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/>
      <c r="C35" s="41"/>
      <c r="D35" s="41"/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/>
      <c r="C36" s="41"/>
      <c r="D36" s="41"/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/>
      <c r="C37" s="41"/>
      <c r="D37" s="41"/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/>
      <c r="C38" s="41"/>
      <c r="D38" s="41"/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/>
      <c r="C39" s="41"/>
      <c r="D39" s="41"/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2020-05-07T09:33:58Z</dcterms:modified>
</cp:coreProperties>
</file>