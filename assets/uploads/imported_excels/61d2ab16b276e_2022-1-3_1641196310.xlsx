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uay.fawaz\Four Seasons Hotels Limited\ABS_Engineering_O365 - FSENG-Admin - FSENG-Admin\FSENG\HEP\"/>
    </mc:Choice>
  </mc:AlternateContent>
  <bookViews>
    <workbookView xWindow="-105" yWindow="-105" windowWidth="19425" windowHeight="10425"/>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33" i="1" l="1"/>
  <c r="I33" i="1"/>
  <c r="G33" i="1"/>
  <c r="E33" i="1"/>
  <c r="W34" i="2" l="1"/>
  <c r="W33" i="2"/>
  <c r="Q36" i="2" l="1"/>
  <c r="P36" i="2"/>
  <c r="Q35" i="2"/>
  <c r="P35" i="2"/>
  <c r="Q34" i="2"/>
  <c r="P34" i="2"/>
  <c r="Q33" i="2"/>
  <c r="P33" i="2"/>
  <c r="Q32" i="2"/>
  <c r="P32" i="2"/>
  <c r="Q31" i="2"/>
  <c r="P31" i="2"/>
  <c r="O36" i="2"/>
  <c r="N36" i="2"/>
  <c r="M36" i="2"/>
  <c r="O35" i="2"/>
  <c r="N35" i="2"/>
  <c r="M35" i="2"/>
  <c r="O34" i="2"/>
  <c r="N34" i="2"/>
  <c r="M34" i="2"/>
  <c r="O33" i="2"/>
  <c r="N33" i="2"/>
  <c r="M33" i="2"/>
  <c r="O32" i="2"/>
  <c r="N32" i="2"/>
  <c r="M32" i="2"/>
  <c r="O31" i="2"/>
  <c r="N31" i="2"/>
  <c r="M31" i="2"/>
  <c r="J36" i="2"/>
  <c r="I36" i="2"/>
  <c r="H36" i="2"/>
  <c r="G36" i="2"/>
  <c r="F36" i="2"/>
  <c r="E36" i="2"/>
  <c r="D36" i="2"/>
  <c r="C36" i="2"/>
  <c r="B36" i="2"/>
  <c r="J35" i="2"/>
  <c r="I35" i="2"/>
  <c r="H35" i="2"/>
  <c r="G35" i="2"/>
  <c r="F35" i="2"/>
  <c r="E35" i="2"/>
  <c r="D35" i="2"/>
  <c r="C35" i="2"/>
  <c r="B35" i="2"/>
  <c r="J34" i="2"/>
  <c r="I34" i="2"/>
  <c r="H34" i="2"/>
  <c r="G34" i="2"/>
  <c r="F34" i="2"/>
  <c r="E34" i="2"/>
  <c r="D34" i="2"/>
  <c r="C34" i="2"/>
  <c r="B34" i="2"/>
  <c r="J33" i="2"/>
  <c r="I33" i="2"/>
  <c r="H33" i="2"/>
  <c r="G33" i="2"/>
  <c r="F33" i="2"/>
  <c r="E33" i="2"/>
  <c r="D33" i="2"/>
  <c r="C33" i="2"/>
  <c r="B33" i="2"/>
  <c r="J32" i="2"/>
  <c r="I32" i="2"/>
  <c r="H32" i="2"/>
  <c r="G32" i="2"/>
  <c r="F32" i="2"/>
  <c r="E32" i="2"/>
  <c r="D32" i="2"/>
  <c r="C32" i="2"/>
  <c r="B32" i="2"/>
  <c r="J31" i="2"/>
  <c r="I31" i="2"/>
  <c r="H31" i="2"/>
  <c r="G31" i="2"/>
  <c r="F31" i="2"/>
  <c r="E31" i="2"/>
  <c r="D31" i="2"/>
  <c r="C31" i="2"/>
  <c r="B31" i="2"/>
  <c r="AO16" i="2" l="1"/>
  <c r="AH36" i="2" l="1"/>
  <c r="AG36" i="2"/>
  <c r="AF36" i="2"/>
  <c r="AH35" i="2"/>
  <c r="AG35" i="2"/>
  <c r="AF35" i="2"/>
  <c r="AH34" i="2"/>
  <c r="AG34" i="2"/>
  <c r="AF34" i="2"/>
  <c r="AH33" i="2"/>
  <c r="AG33" i="2"/>
  <c r="AF33" i="2"/>
  <c r="AH32" i="2"/>
  <c r="AG32" i="2"/>
  <c r="AF32" i="2"/>
  <c r="AH31" i="2"/>
  <c r="AG31" i="2"/>
  <c r="AF31" i="2"/>
  <c r="W36" i="2"/>
  <c r="W35" i="2"/>
  <c r="W32" i="2"/>
  <c r="W31" i="2"/>
  <c r="W30" i="2"/>
  <c r="V36" i="2"/>
  <c r="V35" i="2"/>
  <c r="V34" i="2"/>
  <c r="V33" i="2"/>
  <c r="V32" i="2"/>
  <c r="V31" i="2"/>
  <c r="V30" i="2"/>
  <c r="Q30" i="2"/>
  <c r="P30" i="2"/>
  <c r="O30" i="2"/>
  <c r="N30" i="2"/>
  <c r="M30" i="2"/>
  <c r="H37" i="2"/>
  <c r="J37" i="2"/>
  <c r="J30" i="2"/>
  <c r="I30" i="2"/>
  <c r="I37" i="2" s="1"/>
  <c r="H30" i="2"/>
  <c r="G30" i="2"/>
  <c r="F30" i="2"/>
  <c r="E30" i="2"/>
  <c r="D30" i="2"/>
  <c r="C30" i="2"/>
  <c r="B30" i="2"/>
  <c r="AH30" i="2" l="1"/>
  <c r="AG30" i="2"/>
  <c r="AF30" i="2"/>
  <c r="AH29" i="2"/>
  <c r="AG29" i="2"/>
  <c r="AF29" i="2"/>
  <c r="AH28" i="2"/>
  <c r="AG28" i="2"/>
  <c r="AF28" i="2"/>
  <c r="W29" i="2"/>
  <c r="V29" i="2"/>
  <c r="W28" i="2"/>
  <c r="V28" i="2"/>
  <c r="Q29" i="2"/>
  <c r="P29" i="2"/>
  <c r="Q28" i="2"/>
  <c r="P28" i="2"/>
  <c r="O29" i="2"/>
  <c r="N29" i="2"/>
  <c r="M29" i="2"/>
  <c r="O28" i="2"/>
  <c r="N28" i="2"/>
  <c r="M28" i="2"/>
  <c r="J29" i="2" l="1"/>
  <c r="I29" i="2"/>
  <c r="H29" i="2"/>
  <c r="G29" i="2"/>
  <c r="F29" i="2"/>
  <c r="E29" i="2"/>
  <c r="D29" i="2"/>
  <c r="C29" i="2"/>
  <c r="B29" i="2"/>
  <c r="J28" i="2"/>
  <c r="I28" i="2"/>
  <c r="H28" i="2"/>
  <c r="G28" i="2"/>
  <c r="F28" i="2"/>
  <c r="E28" i="2"/>
  <c r="D28" i="2"/>
  <c r="C28" i="2"/>
  <c r="B28" i="2"/>
  <c r="AH27" i="2" l="1"/>
  <c r="AG27" i="2"/>
  <c r="AF27" i="2"/>
  <c r="W27" i="2"/>
  <c r="V27" i="2"/>
  <c r="Q27" i="2" l="1"/>
  <c r="P27" i="2"/>
  <c r="O27" i="2" l="1"/>
  <c r="N27" i="2"/>
  <c r="M27" i="2"/>
  <c r="J27" i="2"/>
  <c r="I27" i="2"/>
  <c r="H27" i="2"/>
  <c r="G27" i="2"/>
  <c r="F27" i="2"/>
  <c r="E27" i="2"/>
  <c r="D27" i="2"/>
  <c r="C27" i="2"/>
  <c r="B27" i="2"/>
  <c r="AH26" i="2" l="1"/>
  <c r="AG26" i="2"/>
  <c r="AF26" i="2"/>
  <c r="W26" i="2"/>
  <c r="V26" i="2"/>
  <c r="Q26" i="2" l="1"/>
  <c r="P26" i="2"/>
  <c r="O26" i="2"/>
  <c r="N26" i="2"/>
  <c r="M26" i="2"/>
  <c r="J26" i="2" l="1"/>
  <c r="I26" i="2"/>
  <c r="H26" i="2"/>
  <c r="G26" i="2"/>
  <c r="F26" i="2"/>
  <c r="E26" i="2"/>
  <c r="D26" i="2"/>
  <c r="C26" i="2"/>
  <c r="B26" i="2"/>
  <c r="AH25" i="2" l="1"/>
  <c r="AG25" i="2"/>
  <c r="AF25" i="2"/>
  <c r="W25" i="2"/>
  <c r="V25" i="2"/>
  <c r="Q25" i="2"/>
  <c r="P25" i="2"/>
  <c r="O25" i="2"/>
  <c r="N25" i="2"/>
  <c r="M25" i="2"/>
  <c r="J25" i="2" l="1"/>
  <c r="I25" i="2"/>
  <c r="H25" i="2"/>
  <c r="G25" i="2"/>
  <c r="F25" i="2"/>
  <c r="E25" i="2"/>
  <c r="D25" i="2"/>
  <c r="C25" i="2"/>
  <c r="B25" i="2"/>
  <c r="AH24" i="2" l="1"/>
  <c r="AG24" i="2"/>
  <c r="AF24" i="2"/>
  <c r="W24" i="2"/>
  <c r="V24" i="2"/>
  <c r="Q24" i="2" l="1"/>
  <c r="P24" i="2"/>
  <c r="O24" i="2"/>
  <c r="N24" i="2"/>
  <c r="M24" i="2"/>
  <c r="J24" i="2" l="1"/>
  <c r="I24" i="2"/>
  <c r="H24" i="2"/>
  <c r="G24" i="2"/>
  <c r="F24" i="2"/>
  <c r="E24" i="2"/>
  <c r="D24" i="2"/>
  <c r="C24" i="2"/>
  <c r="B24" i="2"/>
  <c r="AH23" i="2" l="1"/>
  <c r="AG23" i="2"/>
  <c r="AF23" i="2"/>
  <c r="W23" i="2"/>
  <c r="V23" i="2"/>
  <c r="Q23" i="2" l="1"/>
  <c r="P23" i="2"/>
  <c r="O23" i="2"/>
  <c r="N23" i="2"/>
  <c r="M23" i="2"/>
  <c r="J23" i="2" l="1"/>
  <c r="I23" i="2"/>
  <c r="H23" i="2"/>
  <c r="G23" i="2"/>
  <c r="F23" i="2"/>
  <c r="E23" i="2"/>
  <c r="D23" i="2"/>
  <c r="C23" i="2"/>
  <c r="B23" i="2"/>
  <c r="AH22" i="2" l="1"/>
  <c r="AG22" i="2"/>
  <c r="AF22" i="2"/>
  <c r="AH21" i="2"/>
  <c r="AG21" i="2"/>
  <c r="AF21" i="2"/>
  <c r="W22" i="2"/>
  <c r="V22" i="2"/>
  <c r="W21" i="2"/>
  <c r="V21" i="2"/>
  <c r="Q22" i="2" l="1"/>
  <c r="P22" i="2"/>
  <c r="Q21" i="2"/>
  <c r="P21" i="2"/>
  <c r="O22" i="2"/>
  <c r="N22" i="2"/>
  <c r="M22" i="2"/>
  <c r="O21" i="2"/>
  <c r="N21" i="2"/>
  <c r="M21" i="2"/>
  <c r="J22" i="2" l="1"/>
  <c r="I22" i="2"/>
  <c r="H22" i="2"/>
  <c r="G22" i="2"/>
  <c r="F22" i="2"/>
  <c r="E22" i="2"/>
  <c r="D22" i="2"/>
  <c r="C22" i="2"/>
  <c r="B22" i="2"/>
  <c r="J21" i="2"/>
  <c r="I21" i="2"/>
  <c r="H21" i="2"/>
  <c r="G21" i="2"/>
  <c r="F21" i="2"/>
  <c r="E21" i="2"/>
  <c r="D21" i="2"/>
  <c r="C21" i="2"/>
  <c r="B21" i="2"/>
  <c r="AH20" i="2" l="1"/>
  <c r="AG20" i="2"/>
  <c r="AF20" i="2"/>
  <c r="W20" i="2"/>
  <c r="V20" i="2"/>
  <c r="Q20" i="2" l="1"/>
  <c r="P20" i="2"/>
  <c r="O20" i="2"/>
  <c r="N20" i="2"/>
  <c r="M20" i="2"/>
  <c r="J20" i="2" l="1"/>
  <c r="I20" i="2"/>
  <c r="H20" i="2"/>
  <c r="G20" i="2"/>
  <c r="F20" i="2"/>
  <c r="E20" i="2"/>
  <c r="D20" i="2"/>
  <c r="C20" i="2"/>
  <c r="B20" i="2"/>
  <c r="AH19" i="2" l="1"/>
  <c r="AG19" i="2"/>
  <c r="AF19" i="2"/>
  <c r="W19" i="2"/>
  <c r="V19" i="2"/>
  <c r="Q19" i="2"/>
  <c r="P19" i="2"/>
  <c r="O19" i="2"/>
  <c r="N19" i="2"/>
  <c r="M19" i="2"/>
  <c r="J19" i="2" l="1"/>
  <c r="I19" i="2"/>
  <c r="H19" i="2"/>
  <c r="G19" i="2"/>
  <c r="F19" i="2"/>
  <c r="E19" i="2"/>
  <c r="D19" i="2"/>
  <c r="C19" i="2"/>
  <c r="B19" i="2"/>
  <c r="AH18" i="2" l="1"/>
  <c r="AG18" i="2"/>
  <c r="AF18" i="2"/>
  <c r="W18" i="2"/>
  <c r="V18" i="2"/>
  <c r="Q18" i="2" l="1"/>
  <c r="P18" i="2"/>
  <c r="O18" i="2"/>
  <c r="N18" i="2"/>
  <c r="M18" i="2"/>
  <c r="J18" i="2" l="1"/>
  <c r="I18" i="2"/>
  <c r="H18" i="2"/>
  <c r="G18" i="2"/>
  <c r="F18" i="2"/>
  <c r="E18" i="2"/>
  <c r="D18" i="2"/>
  <c r="C18" i="2"/>
  <c r="B18" i="2"/>
  <c r="AH17" i="2" l="1"/>
  <c r="AG17" i="2"/>
  <c r="AF17" i="2"/>
  <c r="W17" i="2"/>
  <c r="V17" i="2"/>
  <c r="Q17" i="2" l="1"/>
  <c r="P17" i="2"/>
  <c r="O17" i="2"/>
  <c r="N17" i="2"/>
  <c r="M17" i="2"/>
  <c r="J17" i="2" l="1"/>
  <c r="I17" i="2"/>
  <c r="H17" i="2"/>
  <c r="G17" i="2"/>
  <c r="F17" i="2"/>
  <c r="E17" i="2"/>
  <c r="D17" i="2"/>
  <c r="C17" i="2"/>
  <c r="B17" i="2"/>
  <c r="AH16" i="2" l="1"/>
  <c r="AG16" i="2"/>
  <c r="AF16" i="2"/>
  <c r="W16" i="2"/>
  <c r="V16" i="2"/>
  <c r="Q16" i="2" l="1"/>
  <c r="P16" i="2"/>
  <c r="O16" i="2"/>
  <c r="N16" i="2"/>
  <c r="M16" i="2"/>
  <c r="J16" i="2" l="1"/>
  <c r="I16" i="2"/>
  <c r="H16" i="2"/>
  <c r="G16" i="2"/>
  <c r="F16" i="2"/>
  <c r="E16" i="2"/>
  <c r="D16" i="2"/>
  <c r="C16" i="2"/>
  <c r="B16" i="2"/>
  <c r="AH15" i="2" l="1"/>
  <c r="AG15" i="2"/>
  <c r="AF15" i="2"/>
  <c r="AH14" i="2"/>
  <c r="AG14" i="2"/>
  <c r="AF14" i="2"/>
  <c r="W15" i="2"/>
  <c r="V15" i="2"/>
  <c r="W14" i="2"/>
  <c r="V14" i="2"/>
  <c r="Q15" i="2" l="1"/>
  <c r="P15" i="2"/>
  <c r="Q14" i="2"/>
  <c r="P14" i="2"/>
  <c r="O15" i="2"/>
  <c r="N15" i="2"/>
  <c r="M15" i="2"/>
  <c r="O14" i="2"/>
  <c r="N14" i="2"/>
  <c r="M14" i="2"/>
  <c r="J15" i="2" l="1"/>
  <c r="I15" i="2"/>
  <c r="H15" i="2"/>
  <c r="G15" i="2"/>
  <c r="F15" i="2"/>
  <c r="E15" i="2"/>
  <c r="D15" i="2"/>
  <c r="C15" i="2"/>
  <c r="B15" i="2"/>
  <c r="J14" i="2"/>
  <c r="I14" i="2"/>
  <c r="H14" i="2"/>
  <c r="G14" i="2"/>
  <c r="F14" i="2"/>
  <c r="E14" i="2"/>
  <c r="D14" i="2"/>
  <c r="C14" i="2"/>
  <c r="B14" i="2"/>
  <c r="AH13" i="2" l="1"/>
  <c r="AG13" i="2"/>
  <c r="AF13" i="2"/>
  <c r="W13" i="2"/>
  <c r="V13" i="2"/>
  <c r="Q13" i="2" l="1"/>
  <c r="P13" i="2"/>
  <c r="O13" i="2"/>
  <c r="N13" i="2"/>
  <c r="M13" i="2"/>
  <c r="J13" i="2" l="1"/>
  <c r="I13" i="2"/>
  <c r="H13" i="2"/>
  <c r="G13" i="2"/>
  <c r="F13" i="2"/>
  <c r="E13" i="2"/>
  <c r="D13" i="2"/>
  <c r="C13" i="2"/>
  <c r="B13" i="2"/>
  <c r="AH12" i="2" l="1"/>
  <c r="AG12" i="2"/>
  <c r="AF12" i="2"/>
  <c r="W12" i="2"/>
  <c r="V12" i="2"/>
  <c r="Q12" i="2" l="1"/>
  <c r="P12" i="2"/>
  <c r="O12" i="2"/>
  <c r="N12" i="2"/>
  <c r="M12" i="2"/>
  <c r="J12" i="2" l="1"/>
  <c r="I12" i="2"/>
  <c r="H12" i="2"/>
  <c r="G12" i="2"/>
  <c r="F12" i="2"/>
  <c r="E12" i="2"/>
  <c r="D12" i="2"/>
  <c r="C12" i="2"/>
  <c r="B12" i="2"/>
  <c r="AH11" i="2" l="1"/>
  <c r="AG11" i="2"/>
  <c r="AF11" i="2"/>
  <c r="W11" i="2"/>
  <c r="V11" i="2"/>
  <c r="Q11" i="2" l="1"/>
  <c r="P11" i="2"/>
  <c r="O11" i="2"/>
  <c r="N11" i="2"/>
  <c r="M11" i="2"/>
  <c r="J11" i="2" l="1"/>
  <c r="I11" i="2"/>
  <c r="H11" i="2"/>
  <c r="G11" i="2"/>
  <c r="F11" i="2"/>
  <c r="E11" i="2"/>
  <c r="D11" i="2"/>
  <c r="C11" i="2"/>
  <c r="B11" i="2"/>
  <c r="AH10" i="2" l="1"/>
  <c r="AG10" i="2"/>
  <c r="AF10" i="2"/>
  <c r="W10" i="2"/>
  <c r="V10" i="2"/>
  <c r="Q10" i="2" l="1"/>
  <c r="P10" i="2"/>
  <c r="O10" i="2"/>
  <c r="N10" i="2"/>
  <c r="M10" i="2"/>
  <c r="J10" i="2" l="1"/>
  <c r="I10" i="2"/>
  <c r="H10" i="2"/>
  <c r="G10" i="2"/>
  <c r="F10" i="2"/>
  <c r="E10" i="2"/>
  <c r="D10" i="2"/>
  <c r="C10" i="2"/>
  <c r="B10" i="2"/>
  <c r="J9" i="2"/>
  <c r="I9" i="2"/>
  <c r="H9" i="2"/>
  <c r="G9" i="2"/>
  <c r="F9" i="2"/>
  <c r="E9" i="2"/>
  <c r="D9" i="2"/>
  <c r="C9" i="2"/>
  <c r="B9" i="2"/>
  <c r="AH9" i="2" l="1"/>
  <c r="AG9" i="2"/>
  <c r="AF9" i="2"/>
  <c r="AH8" i="2"/>
  <c r="AG8" i="2"/>
  <c r="AF8" i="2"/>
  <c r="AH7" i="2"/>
  <c r="AG7" i="2"/>
  <c r="AF7" i="2"/>
  <c r="W9" i="2"/>
  <c r="V9" i="2"/>
  <c r="W8" i="2"/>
  <c r="V8" i="2"/>
  <c r="W7" i="2"/>
  <c r="V7" i="2"/>
  <c r="Q9" i="2"/>
  <c r="P9" i="2"/>
  <c r="Q8" i="2"/>
  <c r="P8" i="2"/>
  <c r="Q7" i="2"/>
  <c r="P7" i="2"/>
  <c r="O9" i="2"/>
  <c r="N9" i="2"/>
  <c r="M9" i="2"/>
  <c r="O8" i="2"/>
  <c r="N8" i="2"/>
  <c r="M8" i="2"/>
  <c r="O7" i="2"/>
  <c r="N7" i="2"/>
  <c r="M7" i="2"/>
  <c r="J8" i="2" l="1"/>
  <c r="I8" i="2"/>
  <c r="H8" i="2"/>
  <c r="G8" i="2"/>
  <c r="F8" i="2"/>
  <c r="E8" i="2"/>
  <c r="D8" i="2"/>
  <c r="C8" i="2"/>
  <c r="B8" i="2"/>
  <c r="J7" i="2"/>
  <c r="I7" i="2"/>
  <c r="H7" i="2"/>
  <c r="G7" i="2"/>
  <c r="F7" i="2"/>
  <c r="E7" i="2"/>
  <c r="D7" i="2"/>
  <c r="C7" i="2"/>
  <c r="B7" i="2"/>
  <c r="AH6" i="2" l="1"/>
  <c r="AG6" i="2"/>
  <c r="AF6" i="2"/>
  <c r="W6" i="2"/>
  <c r="V6" i="2"/>
  <c r="Q6" i="2" l="1"/>
  <c r="P6" i="2"/>
  <c r="O6" i="2"/>
  <c r="N6" i="2"/>
  <c r="M6" i="2"/>
  <c r="J6" i="2" l="1"/>
  <c r="I6" i="2"/>
  <c r="H6" i="2"/>
  <c r="G6" i="2"/>
  <c r="F6" i="2"/>
  <c r="E6" i="2"/>
  <c r="D6" i="2"/>
  <c r="C6" i="2"/>
  <c r="B6" i="2"/>
  <c r="M31" i="1" l="1"/>
  <c r="N31" i="1"/>
  <c r="M32" i="1"/>
  <c r="N32" i="1"/>
  <c r="B31" i="1"/>
  <c r="B32" i="1"/>
  <c r="U31" i="3"/>
  <c r="V31" i="3"/>
  <c r="W31" i="3"/>
  <c r="U32" i="3"/>
  <c r="V32" i="3"/>
  <c r="W32" i="3"/>
  <c r="E31" i="3"/>
  <c r="F31" i="3"/>
  <c r="G31" i="3"/>
  <c r="H31" i="3"/>
  <c r="I31" i="3"/>
  <c r="J31" i="3"/>
  <c r="K31" i="3"/>
  <c r="L31" i="3"/>
  <c r="M31" i="3"/>
  <c r="Q31" i="3"/>
  <c r="R31" i="3"/>
  <c r="E32" i="3"/>
  <c r="F32" i="3"/>
  <c r="G32" i="3"/>
  <c r="H32" i="3"/>
  <c r="I32" i="3"/>
  <c r="J32" i="3"/>
  <c r="K32" i="3"/>
  <c r="L32" i="3"/>
  <c r="M32" i="3"/>
  <c r="Q32" i="3"/>
  <c r="R32" i="3"/>
  <c r="B31" i="3"/>
  <c r="B32" i="3"/>
  <c r="AI35" i="2"/>
  <c r="AK35" i="2" s="1"/>
  <c r="AI36" i="2"/>
  <c r="AK36" i="2" s="1"/>
  <c r="AC35" i="2"/>
  <c r="AD35" i="2" s="1"/>
  <c r="AC36" i="2"/>
  <c r="AD36" i="2" s="1"/>
  <c r="Z35" i="2"/>
  <c r="AA35" i="2" s="1"/>
  <c r="Z36" i="2"/>
  <c r="AA36" i="2" s="1"/>
  <c r="T35" i="2"/>
  <c r="U35" i="2" s="1"/>
  <c r="T36" i="2"/>
  <c r="N32" i="3" s="1"/>
  <c r="R35" i="2"/>
  <c r="O31" i="3" s="1"/>
  <c r="S35" i="2"/>
  <c r="R36" i="2"/>
  <c r="O32" i="3" s="1"/>
  <c r="S36" i="2"/>
  <c r="K35" i="2"/>
  <c r="L35" i="2" s="1"/>
  <c r="K36" i="2"/>
  <c r="L36" i="2" s="1"/>
  <c r="X32" i="3" l="1"/>
  <c r="AL36" i="2"/>
  <c r="AM36" i="2" s="1"/>
  <c r="AL35" i="2"/>
  <c r="AM35" i="2" s="1"/>
  <c r="X31" i="3"/>
  <c r="T32" i="3"/>
  <c r="I32" i="1" s="1"/>
  <c r="AE36" i="2"/>
  <c r="T31" i="3"/>
  <c r="I31" i="1" s="1"/>
  <c r="AE35" i="2"/>
  <c r="AO35" i="2" s="1"/>
  <c r="P32" i="3"/>
  <c r="G32" i="1" s="1"/>
  <c r="P31" i="3"/>
  <c r="G31" i="1" s="1"/>
  <c r="S32" i="3"/>
  <c r="S31" i="3"/>
  <c r="K32" i="1"/>
  <c r="N31" i="3"/>
  <c r="K31" i="1" s="1"/>
  <c r="U36" i="2"/>
  <c r="AO36" i="2" s="1"/>
  <c r="E31" i="1"/>
  <c r="E32" i="1"/>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7" i="2"/>
  <c r="AI6" i="2" l="1"/>
  <c r="AC6" i="2"/>
  <c r="AN37" i="2" l="1"/>
  <c r="AH37" i="2"/>
  <c r="AG37" i="2"/>
  <c r="AF37" i="2"/>
  <c r="G37" i="2"/>
  <c r="D37" i="2"/>
  <c r="Z33" i="3"/>
  <c r="Z7" i="2"/>
  <c r="K6" i="2" l="1"/>
  <c r="L6" i="2" l="1"/>
  <c r="M4" i="1"/>
  <c r="M5" i="1"/>
  <c r="M6" i="1"/>
  <c r="M8" i="1"/>
  <c r="M9" i="1"/>
  <c r="M10" i="1"/>
  <c r="M12" i="1"/>
  <c r="M13" i="1"/>
  <c r="M14" i="1"/>
  <c r="M15" i="1"/>
  <c r="M16" i="1"/>
  <c r="M17" i="1"/>
  <c r="M18" i="1"/>
  <c r="M19" i="1"/>
  <c r="M20" i="1"/>
  <c r="M21" i="1"/>
  <c r="M22" i="1"/>
  <c r="M23" i="1"/>
  <c r="M24" i="1"/>
  <c r="M25" i="1"/>
  <c r="M26" i="1"/>
  <c r="M28" i="1"/>
  <c r="M29" i="1"/>
  <c r="M30" i="1"/>
  <c r="M3"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7" i="1"/>
  <c r="N33" i="1" l="1"/>
  <c r="Z9" i="2"/>
  <c r="P5" i="3" s="1"/>
  <c r="G5" i="1" s="1"/>
  <c r="Z10" i="2"/>
  <c r="AA10" i="2" s="1"/>
  <c r="Z11" i="2"/>
  <c r="AA11" i="2" s="1"/>
  <c r="Z12" i="2"/>
  <c r="Z13" i="2"/>
  <c r="AA13" i="2" s="1"/>
  <c r="Z14" i="2"/>
  <c r="AA14" i="2" s="1"/>
  <c r="Z15" i="2"/>
  <c r="AA15" i="2" s="1"/>
  <c r="Z16" i="2"/>
  <c r="AA16" i="2" s="1"/>
  <c r="AD17" i="2"/>
  <c r="R15" i="2"/>
  <c r="O11" i="3" s="1"/>
  <c r="R16" i="2"/>
  <c r="O12" i="3" s="1"/>
  <c r="R17" i="2"/>
  <c r="O13" i="3" s="1"/>
  <c r="R18" i="2"/>
  <c r="R19" i="2"/>
  <c r="O15" i="3" s="1"/>
  <c r="R20" i="2"/>
  <c r="O16" i="3" s="1"/>
  <c r="R21" i="2"/>
  <c r="O17" i="3" s="1"/>
  <c r="R22" i="2"/>
  <c r="R23" i="2"/>
  <c r="O19" i="3" s="1"/>
  <c r="R24" i="2"/>
  <c r="O20" i="3" s="1"/>
  <c r="R25" i="2"/>
  <c r="O21" i="3" s="1"/>
  <c r="R26" i="2"/>
  <c r="R27" i="2"/>
  <c r="O23" i="3" s="1"/>
  <c r="R28" i="2"/>
  <c r="O24" i="3" s="1"/>
  <c r="R29" i="2"/>
  <c r="O25" i="3" s="1"/>
  <c r="R30" i="2"/>
  <c r="O26" i="3" s="1"/>
  <c r="R31" i="2"/>
  <c r="O27" i="3" s="1"/>
  <c r="R32" i="2"/>
  <c r="O28" i="3" s="1"/>
  <c r="R33" i="2"/>
  <c r="O29" i="3" s="1"/>
  <c r="R34" i="2"/>
  <c r="R6" i="2"/>
  <c r="R7" i="2"/>
  <c r="O3" i="3" s="1"/>
  <c r="R8" i="2"/>
  <c r="O4" i="3" s="1"/>
  <c r="R9" i="2"/>
  <c r="O5" i="3" s="1"/>
  <c r="R10" i="2"/>
  <c r="O6" i="3" s="1"/>
  <c r="R11" i="2"/>
  <c r="O7" i="3" s="1"/>
  <c r="R12" i="2"/>
  <c r="O8" i="3" s="1"/>
  <c r="R13" i="2"/>
  <c r="O9" i="3" s="1"/>
  <c r="R14" i="2"/>
  <c r="O10" i="3" s="1"/>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AE6" i="2" s="1"/>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S32" i="2"/>
  <c r="S31" i="2"/>
  <c r="S30" i="2"/>
  <c r="S29" i="2"/>
  <c r="S28" i="2"/>
  <c r="S27" i="2"/>
  <c r="S26" i="2"/>
  <c r="O22" i="3"/>
  <c r="S25" i="2"/>
  <c r="S24" i="2"/>
  <c r="S23" i="2"/>
  <c r="S22" i="2"/>
  <c r="O18" i="3"/>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AK18" i="2"/>
  <c r="X14" i="3" s="1"/>
  <c r="D40" i="2"/>
  <c r="G39" i="2"/>
  <c r="N29" i="3"/>
  <c r="N24" i="3"/>
  <c r="N3" i="3"/>
  <c r="P28" i="3" l="1"/>
  <c r="G28" i="1" s="1"/>
  <c r="K28" i="1"/>
  <c r="U32" i="2"/>
  <c r="T23" i="3"/>
  <c r="AL25" i="2"/>
  <c r="AM25" i="2" s="1"/>
  <c r="P17" i="3"/>
  <c r="G17" i="1" s="1"/>
  <c r="U19" i="2"/>
  <c r="P15" i="3"/>
  <c r="U15" i="2"/>
  <c r="P9" i="3"/>
  <c r="G9" i="1" s="1"/>
  <c r="P27" i="3"/>
  <c r="S27" i="3" s="1"/>
  <c r="P19" i="3"/>
  <c r="G19" i="1" s="1"/>
  <c r="T28" i="3"/>
  <c r="AE32" i="2"/>
  <c r="T27" i="3"/>
  <c r="N19" i="3"/>
  <c r="T12" i="3"/>
  <c r="T22" i="3"/>
  <c r="I22" i="1" s="1"/>
  <c r="T21" i="3"/>
  <c r="I21" i="1" s="1"/>
  <c r="AE25" i="2"/>
  <c r="T13" i="3"/>
  <c r="AE17" i="2"/>
  <c r="T30" i="3"/>
  <c r="P11" i="3"/>
  <c r="G11" i="1" s="1"/>
  <c r="X18" i="3"/>
  <c r="T17" i="3"/>
  <c r="I17" i="1" s="1"/>
  <c r="X9" i="3"/>
  <c r="N10" i="3"/>
  <c r="K10" i="1" s="1"/>
  <c r="U11" i="2"/>
  <c r="AO11" i="2" s="1"/>
  <c r="P26" i="3"/>
  <c r="G26" i="1" s="1"/>
  <c r="U17" i="2"/>
  <c r="T3" i="3"/>
  <c r="P24" i="3"/>
  <c r="G24" i="1" s="1"/>
  <c r="U16" i="2"/>
  <c r="U30" i="2"/>
  <c r="M33" i="3"/>
  <c r="V33" i="3"/>
  <c r="I33" i="3"/>
  <c r="T7" i="3"/>
  <c r="I7" i="1" s="1"/>
  <c r="U9" i="2"/>
  <c r="K33" i="3"/>
  <c r="J33" i="3"/>
  <c r="W33" i="3"/>
  <c r="U33" i="3"/>
  <c r="T5" i="3"/>
  <c r="I5" i="1" s="1"/>
  <c r="Q33" i="3"/>
  <c r="U8" i="2"/>
  <c r="T37" i="2"/>
  <c r="U37" i="2" s="1"/>
  <c r="L33" i="3"/>
  <c r="X27" i="3"/>
  <c r="AL11" i="2"/>
  <c r="AM11" i="2" s="1"/>
  <c r="X10" i="3"/>
  <c r="T20" i="3"/>
  <c r="I20" i="1" s="1"/>
  <c r="P4" i="3"/>
  <c r="G4" i="1" s="1"/>
  <c r="R33" i="3"/>
  <c r="L7" i="2"/>
  <c r="L37" i="2" s="1"/>
  <c r="K37" i="2"/>
  <c r="X2" i="3"/>
  <c r="AK37" i="2"/>
  <c r="AD37" i="2"/>
  <c r="AE37" i="2" s="1"/>
  <c r="AA6" i="2"/>
  <c r="Z37" i="2"/>
  <c r="O2" i="3"/>
  <c r="O33" i="3" s="1"/>
  <c r="R37" i="2"/>
  <c r="R39" i="2" s="1"/>
  <c r="S5" i="3"/>
  <c r="E30" i="1"/>
  <c r="E17" i="1"/>
  <c r="N2" i="3"/>
  <c r="U6" i="2"/>
  <c r="AL6" i="2"/>
  <c r="AM6" i="2" s="1"/>
  <c r="G3" i="1"/>
  <c r="S3" i="3"/>
  <c r="P2" i="3"/>
  <c r="AA7" i="2"/>
  <c r="U25" i="2"/>
  <c r="N18" i="3"/>
  <c r="K18" i="1" s="1"/>
  <c r="S23" i="3"/>
  <c r="K30" i="1"/>
  <c r="K24" i="1"/>
  <c r="E29" i="1"/>
  <c r="K7" i="1"/>
  <c r="S30" i="3"/>
  <c r="X26" i="3"/>
  <c r="X13" i="3"/>
  <c r="AL21" i="2"/>
  <c r="AM21" i="2" s="1"/>
  <c r="T25" i="3"/>
  <c r="I25" i="1" s="1"/>
  <c r="T11" i="3"/>
  <c r="T16" i="3"/>
  <c r="AA17" i="2"/>
  <c r="AO17" i="2" s="1"/>
  <c r="S15" i="3"/>
  <c r="K15" i="1"/>
  <c r="K11" i="1"/>
  <c r="K8" i="1"/>
  <c r="K4" i="1"/>
  <c r="K25" i="1"/>
  <c r="K29" i="1"/>
  <c r="E24" i="1"/>
  <c r="E13" i="1"/>
  <c r="E6" i="1"/>
  <c r="X30" i="3"/>
  <c r="AL34" i="2"/>
  <c r="AM34" i="2" s="1"/>
  <c r="AL24" i="2"/>
  <c r="AM24" i="2" s="1"/>
  <c r="AL9" i="2"/>
  <c r="AM9" i="2" s="1"/>
  <c r="X4" i="3"/>
  <c r="X19" i="3"/>
  <c r="T8" i="3"/>
  <c r="I8" i="1" s="1"/>
  <c r="T24" i="3"/>
  <c r="G13" i="1"/>
  <c r="S13" i="3"/>
  <c r="AO33" i="2"/>
  <c r="S14" i="3"/>
  <c r="G15" i="1"/>
  <c r="P29" i="3"/>
  <c r="AA9" i="2"/>
  <c r="AO9" i="2" s="1"/>
  <c r="S17" i="3"/>
  <c r="P10" i="3"/>
  <c r="P25" i="3"/>
  <c r="G25" i="1" s="1"/>
  <c r="N9" i="3"/>
  <c r="K9" i="1" s="1"/>
  <c r="N16" i="3"/>
  <c r="K16" i="1" s="1"/>
  <c r="AO15" i="2"/>
  <c r="K3" i="1"/>
  <c r="N27" i="3"/>
  <c r="K27" i="1" s="1"/>
  <c r="K26" i="1"/>
  <c r="K13" i="1"/>
  <c r="N23" i="3"/>
  <c r="K23" i="1" s="1"/>
  <c r="K19" i="1"/>
  <c r="AO28" i="2"/>
  <c r="K5" i="1"/>
  <c r="K12" i="1"/>
  <c r="N20" i="3"/>
  <c r="K20" i="1" s="1"/>
  <c r="AO31" i="2"/>
  <c r="K21" i="1"/>
  <c r="U12" i="2"/>
  <c r="K6" i="1"/>
  <c r="AO20" i="2"/>
  <c r="E12" i="1"/>
  <c r="E9" i="1"/>
  <c r="E7" i="1"/>
  <c r="E4" i="1"/>
  <c r="E3" i="1"/>
  <c r="E23" i="1"/>
  <c r="E18" i="1"/>
  <c r="E16" i="1"/>
  <c r="E15" i="1"/>
  <c r="E14" i="1"/>
  <c r="E25" i="1"/>
  <c r="AO2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I28" i="1" s="1"/>
  <c r="AL28" i="2"/>
  <c r="AM28" i="2" s="1"/>
  <c r="X24" i="3"/>
  <c r="X16" i="3"/>
  <c r="AL20" i="2"/>
  <c r="AM20" i="2" s="1"/>
  <c r="T6" i="3"/>
  <c r="AO22" i="2"/>
  <c r="X3" i="3"/>
  <c r="X12" i="3"/>
  <c r="AA26" i="2"/>
  <c r="AO26" i="2" s="1"/>
  <c r="N22" i="3"/>
  <c r="K22" i="1" s="1"/>
  <c r="N17" i="3"/>
  <c r="K17" i="1" s="1"/>
  <c r="T19" i="3"/>
  <c r="P18" i="3"/>
  <c r="P7" i="3"/>
  <c r="AA25" i="2"/>
  <c r="P12" i="3"/>
  <c r="T26" i="3"/>
  <c r="AL26" i="2"/>
  <c r="AM26" i="2" s="1"/>
  <c r="S28" i="3"/>
  <c r="T29" i="3"/>
  <c r="I29" i="1" s="1"/>
  <c r="AL29" i="2"/>
  <c r="AM29" i="2" s="1"/>
  <c r="AA24" i="2"/>
  <c r="AO24" i="2" s="1"/>
  <c r="P20" i="3"/>
  <c r="AA34" i="2"/>
  <c r="AA18" i="2"/>
  <c r="AO18" i="2" s="1"/>
  <c r="AA12" i="2"/>
  <c r="P8" i="3"/>
  <c r="AL33" i="2"/>
  <c r="AM33" i="2" s="1"/>
  <c r="AL12" i="2"/>
  <c r="AM12" i="2" s="1"/>
  <c r="T2" i="3"/>
  <c r="N14" i="3"/>
  <c r="K14" i="1" s="1"/>
  <c r="X23" i="3"/>
  <c r="I23" i="1" s="1"/>
  <c r="T14" i="3"/>
  <c r="I14" i="1" s="1"/>
  <c r="U34" i="2"/>
  <c r="U29" i="2"/>
  <c r="AO29" i="2" s="1"/>
  <c r="X6" i="3"/>
  <c r="X15" i="3"/>
  <c r="U10" i="2"/>
  <c r="AO10" i="2" s="1"/>
  <c r="AL18" i="2"/>
  <c r="AM18" i="2" s="1"/>
  <c r="P6" i="3"/>
  <c r="P16" i="3"/>
  <c r="AA27" i="2"/>
  <c r="AO27" i="2" s="1"/>
  <c r="AO32" i="2" l="1"/>
  <c r="I27" i="1"/>
  <c r="G27" i="1"/>
  <c r="I12" i="1"/>
  <c r="S11" i="3"/>
  <c r="S9" i="3"/>
  <c r="AO7" i="2"/>
  <c r="S26" i="3"/>
  <c r="I13" i="1"/>
  <c r="I10" i="1"/>
  <c r="S19" i="3"/>
  <c r="S24" i="3"/>
  <c r="I18" i="1"/>
  <c r="I24" i="1"/>
  <c r="S4" i="3"/>
  <c r="I9" i="1"/>
  <c r="AO8" i="2"/>
  <c r="I3" i="1"/>
  <c r="I30" i="1"/>
  <c r="T33" i="3"/>
  <c r="AO25" i="2"/>
  <c r="AM37" i="2"/>
  <c r="AL37" i="2"/>
  <c r="AO6" i="2"/>
  <c r="AA37" i="2"/>
  <c r="G2" i="1"/>
  <c r="P33" i="3"/>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M2" i="1" l="1"/>
  <c r="M33" i="1" s="1"/>
  <c r="Y33"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<sst xmlns="http://schemas.openxmlformats.org/spreadsheetml/2006/main" count="220" uniqueCount="103">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</sst>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
      <sz val="11"/>
      <color rgb="FF000000"/>
      <name val="Calibri"/>
      <family val="2"/>
      <scheme val="minor"/>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6" fillId="0" borderId="0"/>
  </cellStyleXfs>
  <cellXfs count="138">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0"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0" fillId="0" borderId="19" xfId="0" applyBorder="1" applyAlignment="1">
      <alignment horizontal="center"/>
    </xf>
    <xf numFmtId="0" fontId="1" fillId="0" borderId="20"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1" fontId="0" fillId="0" borderId="21" xfId="0" applyNumberFormat="1" applyBorder="1" applyAlignment="1">
      <alignment horizontal="center"/>
    </xf>
    <xf numFmtId="0" fontId="0" fillId="0" borderId="1" xfId="0" applyFill="1" applyBorder="1" applyAlignment="1">
      <alignment horizontal="center" vertical="center"/>
    </xf>
    <xf numFmtId="2" fontId="0" fillId="0" borderId="1"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3" fontId="9" fillId="0" borderId="3"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xf numFmtId="4" fontId="12" fillId="0" borderId="3"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0" fontId="12" fillId="0" borderId="3" xfId="0" applyFont="1" applyBorder="1" applyAlignment="1">
      <alignment horizontal="center" vertical="center" wrapText="1"/>
    </xf>
    <xf numFmtId="1" fontId="9" fillId="0" borderId="3" xfId="0" applyNumberFormat="1" applyFont="1" applyBorder="1" applyAlignment="1">
      <alignment horizontal="center" vertical="center" wrapText="1"/>
    </xf>
    <xf numFmtId="1" fontId="0" fillId="0" borderId="22" xfId="0" applyNumberFormat="1" applyBorder="1" applyAlignment="1">
      <alignment horizontal="center"/>
    </xf>
    <xf numFmtId="1" fontId="0" fillId="0" borderId="13" xfId="0" applyNumberFormat="1" applyBorder="1" applyAlignment="1">
      <alignment horizontal="center"/>
    </xf>
    <xf numFmtId="0" fontId="17" fillId="0" borderId="1" xfId="0"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tabSelected="1" workbookViewId="0">
      <selection activeCell="M33" sqref="M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1" t="s">
        <v>0</v>
      </c>
      <c r="B1" s="112" t="s">
        <v>1</v>
      </c>
      <c r="C1" s="113" t="s">
        <v>2</v>
      </c>
      <c r="D1" s="112" t="s">
        <v>3</v>
      </c>
      <c r="E1" s="114" t="s">
        <v>4</v>
      </c>
      <c r="F1" s="115" t="s">
        <v>5</v>
      </c>
      <c r="G1" s="114" t="s">
        <v>10</v>
      </c>
      <c r="H1" s="115" t="s">
        <v>11</v>
      </c>
      <c r="I1" s="116" t="s">
        <v>82</v>
      </c>
      <c r="J1" s="117" t="s">
        <v>83</v>
      </c>
      <c r="K1" s="114" t="s">
        <v>6</v>
      </c>
      <c r="L1" s="118" t="s">
        <v>7</v>
      </c>
      <c r="M1" s="114" t="s">
        <v>8</v>
      </c>
      <c r="N1" s="119" t="s">
        <v>9</v>
      </c>
    </row>
    <row r="2" spans="1:15" x14ac:dyDescent="0.25">
      <c r="A2" s="106" t="s">
        <v>80</v>
      </c>
      <c r="B2" s="107">
        <v>1</v>
      </c>
      <c r="C2" s="108">
        <v>12</v>
      </c>
      <c r="D2" s="107">
        <v>2021</v>
      </c>
      <c r="E2" s="101">
        <f>Submetering!E2+Submetering!F2+Submetering!G2+Submetering!H2+Submetering!I2+Submetering!J2+Submetering!K2</f>
        <v>31932</v>
      </c>
      <c r="F2" s="109">
        <v>0.2</v>
      </c>
      <c r="G2" s="101">
        <f>Submetering!P2</f>
        <v>720</v>
      </c>
      <c r="H2" s="109">
        <v>6.47</v>
      </c>
      <c r="I2" s="101">
        <f>Submetering!T2-Submetering!T2*15%-Submetering!X2</f>
        <v>26105.378199997089</v>
      </c>
      <c r="J2" s="100">
        <v>0.21</v>
      </c>
      <c r="K2" s="101">
        <f>Submetering!N2-Submetering!O2</f>
        <v>57.922999999992612</v>
      </c>
      <c r="L2" s="109">
        <v>7.84</v>
      </c>
      <c r="M2" s="101">
        <f>Submetering!Y2</f>
        <v>153</v>
      </c>
      <c r="N2" s="102">
        <f>Submetering!Z2</f>
        <v>290</v>
      </c>
    </row>
    <row r="3" spans="1:15" x14ac:dyDescent="0.25">
      <c r="A3" s="110" t="s">
        <v>80</v>
      </c>
      <c r="B3" s="72">
        <f>B2+1</f>
        <v>2</v>
      </c>
      <c r="C3" s="73">
        <v>12</v>
      </c>
      <c r="D3" s="72">
        <v>2021</v>
      </c>
      <c r="E3" s="71">
        <f>Submetering!E3+Submetering!F3+Submetering!G3+Submetering!H3+Submetering!I3+Submetering!J3+Submetering!K3</f>
        <v>32249</v>
      </c>
      <c r="F3" s="74">
        <v>0.2</v>
      </c>
      <c r="G3" s="71">
        <f>Submetering!P3</f>
        <v>775</v>
      </c>
      <c r="H3" s="74">
        <v>6.47</v>
      </c>
      <c r="I3" s="71">
        <f>Submetering!T3-Submetering!T3*15%-Submetering!X3</f>
        <v>24737.934599998545</v>
      </c>
      <c r="J3" s="70">
        <v>0.21</v>
      </c>
      <c r="K3" s="71">
        <f>Submetering!N3-Submetering!O3</f>
        <v>129.57000000000016</v>
      </c>
      <c r="L3" s="74">
        <v>7.84</v>
      </c>
      <c r="M3" s="71">
        <f>Submetering!Y3</f>
        <v>175</v>
      </c>
      <c r="N3" s="104">
        <f>Submetering!Z3</f>
        <v>341</v>
      </c>
    </row>
    <row r="4" spans="1:15" x14ac:dyDescent="0.25">
      <c r="A4" s="110" t="s">
        <v>80</v>
      </c>
      <c r="B4" s="72">
        <f t="shared" ref="B4:B32" si="0">B3+1</f>
        <v>3</v>
      </c>
      <c r="C4" s="73">
        <v>12</v>
      </c>
      <c r="D4" s="72">
        <v>2021</v>
      </c>
      <c r="E4" s="71">
        <f>Submetering!E4+Submetering!F4+Submetering!G4+Submetering!H4+Submetering!I4+Submetering!J4+Submetering!K4</f>
        <v>33958</v>
      </c>
      <c r="F4" s="74">
        <v>0.2</v>
      </c>
      <c r="G4" s="71">
        <f>Submetering!P4</f>
        <v>773</v>
      </c>
      <c r="H4" s="74">
        <v>6.47</v>
      </c>
      <c r="I4" s="71">
        <f>Submetering!T4-Submetering!T4*15%-Submetering!X4</f>
        <v>26624.213600004368</v>
      </c>
      <c r="J4" s="70">
        <v>0.21</v>
      </c>
      <c r="K4" s="71">
        <f>Submetering!N4-Submetering!O4</f>
        <v>110.91100000000088</v>
      </c>
      <c r="L4" s="74">
        <v>7.84</v>
      </c>
      <c r="M4" s="71">
        <f>Submetering!Y4</f>
        <v>178</v>
      </c>
      <c r="N4" s="104">
        <f>Submetering!Z4</f>
        <v>281</v>
      </c>
    </row>
    <row r="5" spans="1:15" x14ac:dyDescent="0.25">
      <c r="A5" s="110" t="s">
        <v>80</v>
      </c>
      <c r="B5" s="72">
        <f t="shared" si="0"/>
        <v>4</v>
      </c>
      <c r="C5" s="73">
        <v>12</v>
      </c>
      <c r="D5" s="72">
        <v>2021</v>
      </c>
      <c r="E5" s="71">
        <f>Submetering!E5+Submetering!F5+Submetering!G5+Submetering!H5+Submetering!I5+Submetering!J5+Submetering!K5</f>
        <v>32827</v>
      </c>
      <c r="F5" s="74">
        <v>0.2</v>
      </c>
      <c r="G5" s="71">
        <f>Submetering!P5</f>
        <v>751</v>
      </c>
      <c r="H5" s="74">
        <v>6.47</v>
      </c>
      <c r="I5" s="71">
        <f>Submetering!T5-Submetering!T5*15%-Submetering!X5</f>
        <v>22709.106599999999</v>
      </c>
      <c r="J5" s="70">
        <v>0.21</v>
      </c>
      <c r="K5" s="81">
        <f>Submetering!N5-Submetering!O5</f>
        <v>109.59099999999978</v>
      </c>
      <c r="L5" s="74">
        <v>7.84</v>
      </c>
      <c r="M5" s="71">
        <f>Submetering!Y5</f>
        <v>154</v>
      </c>
      <c r="N5" s="104">
        <f>Submetering!Z5</f>
        <v>220</v>
      </c>
    </row>
    <row r="6" spans="1:15" x14ac:dyDescent="0.25">
      <c r="A6" s="110" t="s">
        <v>80</v>
      </c>
      <c r="B6" s="72">
        <f t="shared" si="0"/>
        <v>5</v>
      </c>
      <c r="C6" s="73">
        <v>12</v>
      </c>
      <c r="D6" s="72">
        <v>2021</v>
      </c>
      <c r="E6" s="71">
        <f>Submetering!E6+Submetering!F6+Submetering!G6+Submetering!H6+Submetering!I6+Submetering!J6+Submetering!K6</f>
        <v>33378</v>
      </c>
      <c r="F6" s="74">
        <v>0.2</v>
      </c>
      <c r="G6" s="71">
        <f>Submetering!P6</f>
        <v>760</v>
      </c>
      <c r="H6" s="74">
        <v>6.47</v>
      </c>
      <c r="I6" s="71">
        <f>Submetering!T6-Submetering!T6*15%-Submetering!X6</f>
        <v>21274.814799995635</v>
      </c>
      <c r="J6" s="70">
        <v>0.21</v>
      </c>
      <c r="K6" s="71">
        <f>Submetering!N6-Submetering!O6</f>
        <v>121.29000000000025</v>
      </c>
      <c r="L6" s="74">
        <v>7.84</v>
      </c>
      <c r="M6" s="71">
        <f>Submetering!Y6</f>
        <v>166</v>
      </c>
      <c r="N6" s="104">
        <f>Submetering!Z6</f>
        <v>234</v>
      </c>
    </row>
    <row r="7" spans="1:15" x14ac:dyDescent="0.25">
      <c r="A7" s="110" t="s">
        <v>80</v>
      </c>
      <c r="B7" s="72">
        <f t="shared" si="0"/>
        <v>6</v>
      </c>
      <c r="C7" s="73">
        <v>12</v>
      </c>
      <c r="D7" s="72">
        <v>2021</v>
      </c>
      <c r="E7" s="71">
        <f>Submetering!E7+Submetering!F7+Submetering!G7+Submetering!H7+Submetering!I7+Submetering!J7+Submetering!K7</f>
        <v>33380</v>
      </c>
      <c r="F7" s="74">
        <v>0.2</v>
      </c>
      <c r="G7" s="71">
        <f>Submetering!P7</f>
        <v>757</v>
      </c>
      <c r="H7" s="74">
        <v>6.47</v>
      </c>
      <c r="I7" s="71">
        <f>Submetering!T7-Submetering!T7*15%-Submetering!X7</f>
        <v>21471.826200000003</v>
      </c>
      <c r="J7" s="70">
        <v>0.21</v>
      </c>
      <c r="K7" s="71">
        <f>Submetering!N7-Submetering!O7</f>
        <v>99.356000000001131</v>
      </c>
      <c r="L7" s="74">
        <v>7.84</v>
      </c>
      <c r="M7" s="71">
        <f>Submetering!Y7</f>
        <v>148</v>
      </c>
      <c r="N7" s="104">
        <f>Submetering!Z7</f>
        <v>197</v>
      </c>
    </row>
    <row r="8" spans="1:15" x14ac:dyDescent="0.25">
      <c r="A8" s="110" t="s">
        <v>80</v>
      </c>
      <c r="B8" s="72">
        <f t="shared" si="0"/>
        <v>7</v>
      </c>
      <c r="C8" s="73">
        <v>12</v>
      </c>
      <c r="D8" s="72">
        <v>2021</v>
      </c>
      <c r="E8" s="71">
        <f>Submetering!E8+Submetering!F8+Submetering!G8+Submetering!H8+Submetering!I8+Submetering!J8+Submetering!K8</f>
        <v>34219</v>
      </c>
      <c r="F8" s="74">
        <v>0.2</v>
      </c>
      <c r="G8" s="71">
        <f>Submetering!P8</f>
        <v>761</v>
      </c>
      <c r="H8" s="74">
        <v>6.47</v>
      </c>
      <c r="I8" s="71">
        <f>Submetering!T8-Submetering!T8*15%-Submetering!X8</f>
        <v>22806.354200001457</v>
      </c>
      <c r="J8" s="70">
        <v>0.21</v>
      </c>
      <c r="K8" s="71">
        <f>Submetering!N8-Submetering!O8</f>
        <v>114.68799999999896</v>
      </c>
      <c r="L8" s="74">
        <v>7.84</v>
      </c>
      <c r="M8" s="71">
        <f>Submetering!Y8</f>
        <v>171</v>
      </c>
      <c r="N8" s="104">
        <f>Submetering!Z8</f>
        <v>222</v>
      </c>
    </row>
    <row r="9" spans="1:15" x14ac:dyDescent="0.25">
      <c r="A9" s="110" t="s">
        <v>80</v>
      </c>
      <c r="B9" s="72">
        <f t="shared" si="0"/>
        <v>8</v>
      </c>
      <c r="C9" s="73">
        <v>12</v>
      </c>
      <c r="D9" s="72">
        <v>2021</v>
      </c>
      <c r="E9" s="71">
        <f>Submetering!E9+Submetering!F9+Submetering!G9+Submetering!H9+Submetering!I9+Submetering!J9+Submetering!K9</f>
        <v>31973</v>
      </c>
      <c r="F9" s="74">
        <v>0.2</v>
      </c>
      <c r="G9" s="71">
        <f>Submetering!P9</f>
        <v>765</v>
      </c>
      <c r="H9" s="74">
        <v>6.47</v>
      </c>
      <c r="I9" s="71">
        <f>Submetering!T9-Submetering!T9*15%-Submetering!X9</f>
        <v>24494.913200001458</v>
      </c>
      <c r="J9" s="70">
        <v>0.21</v>
      </c>
      <c r="K9" s="71">
        <f>Submetering!N9-Submetering!O9</f>
        <v>112.74199999999996</v>
      </c>
      <c r="L9" s="74">
        <v>7.84</v>
      </c>
      <c r="M9" s="71">
        <f>Submetering!Y9</f>
        <v>171</v>
      </c>
      <c r="N9" s="104">
        <f>Submetering!Z9</f>
        <v>235</v>
      </c>
      <c r="O9" s="1" t="s">
        <v>12</v>
      </c>
    </row>
    <row r="10" spans="1:15" x14ac:dyDescent="0.25">
      <c r="A10" s="110" t="s">
        <v>80</v>
      </c>
      <c r="B10" s="72">
        <f t="shared" si="0"/>
        <v>9</v>
      </c>
      <c r="C10" s="73">
        <v>12</v>
      </c>
      <c r="D10" s="72">
        <v>2021</v>
      </c>
      <c r="E10" s="71">
        <f>Submetering!E10+Submetering!F10+Submetering!G10+Submetering!H10+Submetering!I10+Submetering!J10+Submetering!K10</f>
        <v>34579</v>
      </c>
      <c r="F10" s="74">
        <v>0.2</v>
      </c>
      <c r="G10" s="71">
        <f>Submetering!P10</f>
        <v>813</v>
      </c>
      <c r="H10" s="74">
        <v>6.47</v>
      </c>
      <c r="I10" s="71">
        <f>Submetering!T10-Submetering!T10*15%-Submetering!X10</f>
        <v>21836.394399995632</v>
      </c>
      <c r="J10" s="70">
        <v>0.21</v>
      </c>
      <c r="K10" s="71">
        <f>Submetering!N10-Submetering!O10</f>
        <v>166.5550000000012</v>
      </c>
      <c r="L10" s="74">
        <v>7.84</v>
      </c>
      <c r="M10" s="71">
        <f>Submetering!Y10</f>
        <v>148</v>
      </c>
      <c r="N10" s="104">
        <f>Submetering!Z10</f>
        <v>203</v>
      </c>
    </row>
    <row r="11" spans="1:15" x14ac:dyDescent="0.25">
      <c r="A11" s="110" t="s">
        <v>80</v>
      </c>
      <c r="B11" s="72">
        <f t="shared" si="0"/>
        <v>10</v>
      </c>
      <c r="C11" s="73">
        <v>12</v>
      </c>
      <c r="D11" s="72">
        <v>2021</v>
      </c>
      <c r="E11" s="71">
        <f>Submetering!E11+Submetering!F11+Submetering!G11+Submetering!H11+Submetering!I11+Submetering!J11+Submetering!K11</f>
        <v>34679</v>
      </c>
      <c r="F11" s="74">
        <v>0.2</v>
      </c>
      <c r="G11" s="71">
        <f>Submetering!P11</f>
        <v>776</v>
      </c>
      <c r="H11" s="74">
        <v>6.47</v>
      </c>
      <c r="I11" s="71">
        <f>Submetering!T11-Submetering!T11*15%-Submetering!X11</f>
        <v>23536.712600004365</v>
      </c>
      <c r="J11" s="70">
        <v>0.21</v>
      </c>
      <c r="K11" s="71">
        <f>Submetering!N11-Submetering!O11</f>
        <v>97.426999999998543</v>
      </c>
      <c r="L11" s="74">
        <v>7.84</v>
      </c>
      <c r="M11" s="71">
        <f>Submetering!Y11</f>
        <v>152</v>
      </c>
      <c r="N11" s="104">
        <f>Submetering!Z11</f>
        <v>214</v>
      </c>
    </row>
    <row r="12" spans="1:15" x14ac:dyDescent="0.25">
      <c r="A12" s="110" t="s">
        <v>80</v>
      </c>
      <c r="B12" s="72">
        <f t="shared" si="0"/>
        <v>11</v>
      </c>
      <c r="C12" s="73">
        <v>12</v>
      </c>
      <c r="D12" s="72">
        <v>2021</v>
      </c>
      <c r="E12" s="71">
        <f>Submetering!E12+Submetering!F12+Submetering!G12+Submetering!H12+Submetering!I12+Submetering!J12+Submetering!K12</f>
        <v>33519</v>
      </c>
      <c r="F12" s="74">
        <v>0.2</v>
      </c>
      <c r="G12" s="71">
        <f>Submetering!P12</f>
        <v>728</v>
      </c>
      <c r="H12" s="74">
        <v>6.47</v>
      </c>
      <c r="I12" s="71">
        <f>Submetering!T12-Submetering!T12*15%-Submetering!X12</f>
        <v>24242.258400000006</v>
      </c>
      <c r="J12" s="70">
        <v>0.21</v>
      </c>
      <c r="K12" s="71">
        <f>Submetering!N12-Submetering!O12</f>
        <v>117.74400000000128</v>
      </c>
      <c r="L12" s="74">
        <v>7.84</v>
      </c>
      <c r="M12" s="71">
        <f>Submetering!Y12</f>
        <v>181</v>
      </c>
      <c r="N12" s="104">
        <f>Submetering!Z12</f>
        <v>251</v>
      </c>
    </row>
    <row r="13" spans="1:15" x14ac:dyDescent="0.25">
      <c r="A13" s="110" t="s">
        <v>80</v>
      </c>
      <c r="B13" s="72">
        <f t="shared" si="0"/>
        <v>12</v>
      </c>
      <c r="C13" s="73">
        <v>12</v>
      </c>
      <c r="D13" s="72">
        <v>2021</v>
      </c>
      <c r="E13" s="71">
        <f>Submetering!E13+Submetering!F13+Submetering!G13+Submetering!H13+Submetering!I13+Submetering!J13+Submetering!K13</f>
        <v>33118</v>
      </c>
      <c r="F13" s="74">
        <v>0.2</v>
      </c>
      <c r="G13" s="71">
        <f>Submetering!P13</f>
        <v>764</v>
      </c>
      <c r="H13" s="74">
        <v>6.47</v>
      </c>
      <c r="I13" s="71">
        <f>Submetering!T13-Submetering!T13*15%-Submetering!X13</f>
        <v>21198.723599997087</v>
      </c>
      <c r="J13" s="70">
        <v>0.21</v>
      </c>
      <c r="K13" s="71">
        <f>Submetering!N13-Submetering!O13</f>
        <v>146.9320000000007</v>
      </c>
      <c r="L13" s="74">
        <v>7.84</v>
      </c>
      <c r="M13" s="71">
        <f>Submetering!Y13</f>
        <v>183</v>
      </c>
      <c r="N13" s="104">
        <f>Submetering!Z13</f>
        <v>252</v>
      </c>
    </row>
    <row r="14" spans="1:15" x14ac:dyDescent="0.25">
      <c r="A14" s="110" t="s">
        <v>80</v>
      </c>
      <c r="B14" s="72">
        <f t="shared" si="0"/>
        <v>13</v>
      </c>
      <c r="C14" s="73">
        <v>12</v>
      </c>
      <c r="D14" s="72">
        <v>2021</v>
      </c>
      <c r="E14" s="71">
        <f>Submetering!E14+Submetering!F14+Submetering!G14+Submetering!H14+Submetering!I14+Submetering!J14+Submetering!K14</f>
        <v>31201</v>
      </c>
      <c r="F14" s="74">
        <v>0.2</v>
      </c>
      <c r="G14" s="71">
        <f>Submetering!P14</f>
        <v>766</v>
      </c>
      <c r="H14" s="74">
        <v>6.47</v>
      </c>
      <c r="I14" s="71">
        <f>Submetering!T14-Submetering!T14*15%-Submetering!X14</f>
        <v>20882.32240000146</v>
      </c>
      <c r="J14" s="70">
        <v>0.21</v>
      </c>
      <c r="K14" s="71">
        <f>Submetering!N14-Submetering!O14</f>
        <v>127.22899999999913</v>
      </c>
      <c r="L14" s="74">
        <v>7.84</v>
      </c>
      <c r="M14" s="71">
        <f>Submetering!Y14</f>
        <v>149</v>
      </c>
      <c r="N14" s="104">
        <f>Submetering!Z14</f>
        <v>202</v>
      </c>
    </row>
    <row r="15" spans="1:15" x14ac:dyDescent="0.25">
      <c r="A15" s="110" t="s">
        <v>80</v>
      </c>
      <c r="B15" s="72">
        <f t="shared" si="0"/>
        <v>14</v>
      </c>
      <c r="C15" s="73">
        <v>12</v>
      </c>
      <c r="D15" s="72">
        <v>2021</v>
      </c>
      <c r="E15" s="71">
        <f>Submetering!E15+Submetering!F15+Submetering!G15+Submetering!H15+Submetering!I15+Submetering!J15+Submetering!K15</f>
        <v>32140</v>
      </c>
      <c r="F15" s="74">
        <v>0.2</v>
      </c>
      <c r="G15" s="71">
        <f>Submetering!P15</f>
        <v>738</v>
      </c>
      <c r="H15" s="74">
        <v>6.47</v>
      </c>
      <c r="I15" s="71">
        <f>Submetering!T15-Submetering!T15*15%-Submetering!X15</f>
        <v>19704.772999997091</v>
      </c>
      <c r="J15" s="70">
        <v>0.21</v>
      </c>
      <c r="K15" s="81">
        <f>Submetering!N15-Submetering!O15</f>
        <v>116.48199999999906</v>
      </c>
      <c r="L15" s="74">
        <v>7.84</v>
      </c>
      <c r="M15" s="71">
        <f>Submetering!Y15</f>
        <v>151</v>
      </c>
      <c r="N15" s="104">
        <f>Submetering!Z15</f>
        <v>203</v>
      </c>
    </row>
    <row r="16" spans="1:15" x14ac:dyDescent="0.25">
      <c r="A16" s="110" t="s">
        <v>80</v>
      </c>
      <c r="B16" s="72">
        <f t="shared" si="0"/>
        <v>15</v>
      </c>
      <c r="C16" s="73">
        <v>12</v>
      </c>
      <c r="D16" s="72">
        <v>2021</v>
      </c>
      <c r="E16" s="71">
        <f>Submetering!E16+Submetering!F16+Submetering!G16+Submetering!H16+Submetering!I16+Submetering!J16+Submetering!K16</f>
        <v>32841</v>
      </c>
      <c r="F16" s="74">
        <v>0.2</v>
      </c>
      <c r="G16" s="71">
        <f>Submetering!P16</f>
        <v>780</v>
      </c>
      <c r="H16" s="74">
        <v>6.47</v>
      </c>
      <c r="I16" s="71">
        <f>Submetering!T16-Submetering!T16*15%-Submetering!X16</f>
        <v>20758.372600005816</v>
      </c>
      <c r="J16" s="70">
        <v>0.21</v>
      </c>
      <c r="K16" s="71">
        <f>Submetering!N16-Submetering!O16</f>
        <v>148.83799999999928</v>
      </c>
      <c r="L16" s="74">
        <v>7.84</v>
      </c>
      <c r="M16" s="71">
        <f>Submetering!Y16</f>
        <v>154</v>
      </c>
      <c r="N16" s="104">
        <f>Submetering!Z16</f>
        <v>217</v>
      </c>
    </row>
    <row r="17" spans="1:14" x14ac:dyDescent="0.25">
      <c r="A17" s="110" t="s">
        <v>80</v>
      </c>
      <c r="B17" s="72">
        <f t="shared" si="0"/>
        <v>16</v>
      </c>
      <c r="C17" s="73">
        <v>12</v>
      </c>
      <c r="D17" s="72">
        <v>2021</v>
      </c>
      <c r="E17" s="71">
        <f>Submetering!E17+Submetering!F17+Submetering!G17+Submetering!H17+Submetering!I17+Submetering!J17+Submetering!K17</f>
        <v>32148</v>
      </c>
      <c r="F17" s="74">
        <v>0.2</v>
      </c>
      <c r="G17" s="71">
        <f>Submetering!P17</f>
        <v>826</v>
      </c>
      <c r="H17" s="74">
        <v>6.47</v>
      </c>
      <c r="I17" s="71">
        <f>Submetering!T17-Submetering!T17*15%-Submetering!X17</f>
        <v>21860.929799995632</v>
      </c>
      <c r="J17" s="70">
        <v>0.21</v>
      </c>
      <c r="K17" s="71">
        <f>Submetering!N17-Submetering!O17</f>
        <v>141.02899999999954</v>
      </c>
      <c r="L17" s="74">
        <v>7.84</v>
      </c>
      <c r="M17" s="71">
        <f>Submetering!Y17</f>
        <v>130</v>
      </c>
      <c r="N17" s="104">
        <f>Submetering!Z17</f>
        <v>191</v>
      </c>
    </row>
    <row r="18" spans="1:14" x14ac:dyDescent="0.25">
      <c r="A18" s="110" t="s">
        <v>80</v>
      </c>
      <c r="B18" s="72">
        <f t="shared" si="0"/>
        <v>17</v>
      </c>
      <c r="C18" s="73">
        <v>12</v>
      </c>
      <c r="D18" s="72">
        <v>2021</v>
      </c>
      <c r="E18" s="71">
        <f>Submetering!E18+Submetering!F18+Submetering!G18+Submetering!H18+Submetering!I18+Submetering!J18+Submetering!K18</f>
        <v>33051</v>
      </c>
      <c r="F18" s="74">
        <v>0.2</v>
      </c>
      <c r="G18" s="71">
        <f>Submetering!P18</f>
        <v>843</v>
      </c>
      <c r="H18" s="74">
        <v>6.47</v>
      </c>
      <c r="I18" s="71">
        <f>Submetering!T18-Submetering!T18*15%-Submetering!X18</f>
        <v>22627.86</v>
      </c>
      <c r="J18" s="70">
        <v>0.21</v>
      </c>
      <c r="K18" s="71">
        <f>Submetering!N18-Submetering!O18</f>
        <v>111.53700000000117</v>
      </c>
      <c r="L18" s="74">
        <v>7.84</v>
      </c>
      <c r="M18" s="71">
        <f>Submetering!Y18</f>
        <v>133</v>
      </c>
      <c r="N18" s="104">
        <f>Submetering!Z18</f>
        <v>214</v>
      </c>
    </row>
    <row r="19" spans="1:14" x14ac:dyDescent="0.25">
      <c r="A19" s="110" t="s">
        <v>80</v>
      </c>
      <c r="B19" s="72">
        <f t="shared" si="0"/>
        <v>18</v>
      </c>
      <c r="C19" s="73">
        <v>12</v>
      </c>
      <c r="D19" s="72">
        <v>2021</v>
      </c>
      <c r="E19" s="71">
        <f>Submetering!E19+Submetering!F19+Submetering!G19+Submetering!H19+Submetering!I19+Submetering!J19+Submetering!K19</f>
        <v>30980</v>
      </c>
      <c r="F19" s="74">
        <v>0.2</v>
      </c>
      <c r="G19" s="71">
        <f>Submetering!P19</f>
        <v>705</v>
      </c>
      <c r="H19" s="74">
        <v>6.47</v>
      </c>
      <c r="I19" s="71">
        <f>Submetering!T19-Submetering!T19*15%-Submetering!X19</f>
        <v>19433.005600002914</v>
      </c>
      <c r="J19" s="70">
        <v>0.21</v>
      </c>
      <c r="K19" s="71">
        <f>Submetering!N19-Submetering!O19</f>
        <v>123.65200000000095</v>
      </c>
      <c r="L19" s="74">
        <v>7.84</v>
      </c>
      <c r="M19" s="71">
        <f>Submetering!Y19</f>
        <v>113</v>
      </c>
      <c r="N19" s="104">
        <f>Submetering!Z19</f>
        <v>197</v>
      </c>
    </row>
    <row r="20" spans="1:14" x14ac:dyDescent="0.25">
      <c r="A20" s="110" t="s">
        <v>80</v>
      </c>
      <c r="B20" s="72">
        <f t="shared" si="0"/>
        <v>19</v>
      </c>
      <c r="C20" s="73">
        <v>12</v>
      </c>
      <c r="D20" s="72">
        <v>2021</v>
      </c>
      <c r="E20" s="71">
        <f>Submetering!E20+Submetering!F20+Submetering!G20+Submetering!H20+Submetering!I20+Submetering!J20+Submetering!K20</f>
        <v>31138</v>
      </c>
      <c r="F20" s="74">
        <v>0.2</v>
      </c>
      <c r="G20" s="71">
        <f>Submetering!P20</f>
        <v>764</v>
      </c>
      <c r="H20" s="74">
        <v>6.47</v>
      </c>
      <c r="I20" s="71">
        <f>Submetering!T20-Submetering!T20*15%-Submetering!X20</f>
        <v>19706.344400001457</v>
      </c>
      <c r="J20" s="70">
        <v>0.21</v>
      </c>
      <c r="K20" s="71">
        <f>Submetering!N20-Submetering!O20</f>
        <v>122.15199999999868</v>
      </c>
      <c r="L20" s="74">
        <v>7.84</v>
      </c>
      <c r="M20" s="71">
        <f>Submetering!Y20</f>
        <v>124</v>
      </c>
      <c r="N20" s="104">
        <f>Submetering!Z20</f>
        <v>214</v>
      </c>
    </row>
    <row r="21" spans="1:14" x14ac:dyDescent="0.25">
      <c r="A21" s="110" t="s">
        <v>80</v>
      </c>
      <c r="B21" s="72">
        <f t="shared" si="0"/>
        <v>20</v>
      </c>
      <c r="C21" s="73">
        <v>12</v>
      </c>
      <c r="D21" s="72">
        <v>2021</v>
      </c>
      <c r="E21" s="71">
        <f>Submetering!E21+Submetering!F21+Submetering!G21+Submetering!H21+Submetering!I21+Submetering!J21+Submetering!K21</f>
        <v>31763</v>
      </c>
      <c r="F21" s="74">
        <v>0.2</v>
      </c>
      <c r="G21" s="71">
        <f>Submetering!P21</f>
        <v>751</v>
      </c>
      <c r="H21" s="74">
        <v>6.47</v>
      </c>
      <c r="I21" s="71">
        <f>Submetering!T21-Submetering!T21*15%-Submetering!X21</f>
        <v>19430.489399994178</v>
      </c>
      <c r="J21" s="70">
        <v>0.21</v>
      </c>
      <c r="K21" s="71">
        <f>Submetering!N21-Submetering!O21</f>
        <v>111.00200000000086</v>
      </c>
      <c r="L21" s="74">
        <v>7.84</v>
      </c>
      <c r="M21" s="71">
        <f>Submetering!Y21</f>
        <v>125</v>
      </c>
      <c r="N21" s="104">
        <f>Submetering!Z21</f>
        <v>220</v>
      </c>
    </row>
    <row r="22" spans="1:14" x14ac:dyDescent="0.25">
      <c r="A22" s="110" t="s">
        <v>80</v>
      </c>
      <c r="B22" s="72">
        <f t="shared" si="0"/>
        <v>21</v>
      </c>
      <c r="C22" s="73">
        <v>12</v>
      </c>
      <c r="D22" s="72">
        <v>2021</v>
      </c>
      <c r="E22" s="71">
        <f>Submetering!E22+Submetering!F22+Submetering!G22+Submetering!H22+Submetering!I22+Submetering!J22+Submetering!K22</f>
        <v>31384</v>
      </c>
      <c r="F22" s="74">
        <v>0.2</v>
      </c>
      <c r="G22" s="71">
        <f>Submetering!P22</f>
        <v>752</v>
      </c>
      <c r="H22" s="74">
        <v>6.47</v>
      </c>
      <c r="I22" s="71">
        <f>Submetering!T22-Submetering!T22*15%-Submetering!X22</f>
        <v>19967.533600001458</v>
      </c>
      <c r="J22" s="70">
        <v>0.21</v>
      </c>
      <c r="K22" s="71">
        <f>Submetering!N22-Submetering!O22</f>
        <v>162.28699999999708</v>
      </c>
      <c r="L22" s="74">
        <v>7.84</v>
      </c>
      <c r="M22" s="71">
        <f>Submetering!Y22</f>
        <v>114</v>
      </c>
      <c r="N22" s="104">
        <f>Submetering!Z22</f>
        <v>202</v>
      </c>
    </row>
    <row r="23" spans="1:14" x14ac:dyDescent="0.25">
      <c r="A23" s="110" t="s">
        <v>80</v>
      </c>
      <c r="B23" s="72">
        <f t="shared" si="0"/>
        <v>22</v>
      </c>
      <c r="C23" s="73">
        <v>12</v>
      </c>
      <c r="D23" s="72">
        <v>2021</v>
      </c>
      <c r="E23" s="71">
        <f>Submetering!E23+Submetering!F23+Submetering!G23+Submetering!H23+Submetering!I23+Submetering!J23+Submetering!K23</f>
        <v>30255</v>
      </c>
      <c r="F23" s="74">
        <v>0.2</v>
      </c>
      <c r="G23" s="71">
        <f>Submetering!P23</f>
        <v>788</v>
      </c>
      <c r="H23" s="74">
        <v>6.47</v>
      </c>
      <c r="I23" s="71">
        <f>Submetering!T23-Submetering!T23*15%-Submetering!X23</f>
        <v>20767.615599998542</v>
      </c>
      <c r="J23" s="70">
        <v>0.21</v>
      </c>
      <c r="K23" s="71">
        <f>Submetering!N23-Submetering!O23</f>
        <v>136.29899999999998</v>
      </c>
      <c r="L23" s="74">
        <v>7.84</v>
      </c>
      <c r="M23" s="71">
        <f>Submetering!Y23</f>
        <v>112</v>
      </c>
      <c r="N23" s="104">
        <f>Submetering!Z23</f>
        <v>211</v>
      </c>
    </row>
    <row r="24" spans="1:14" x14ac:dyDescent="0.25">
      <c r="A24" s="110" t="s">
        <v>80</v>
      </c>
      <c r="B24" s="72">
        <f t="shared" si="0"/>
        <v>23</v>
      </c>
      <c r="C24" s="73">
        <v>12</v>
      </c>
      <c r="D24" s="72">
        <v>2021</v>
      </c>
      <c r="E24" s="71">
        <f>Submetering!E24+Submetering!F24+Submetering!G24+Submetering!H24+Submetering!I24+Submetering!J24+Submetering!K24</f>
        <v>31621</v>
      </c>
      <c r="F24" s="74">
        <v>0.2</v>
      </c>
      <c r="G24" s="71">
        <f>Submetering!P24</f>
        <v>824</v>
      </c>
      <c r="H24" s="74">
        <v>6.47</v>
      </c>
      <c r="I24" s="71">
        <f>Submetering!T24-Submetering!T24*15%-Submetering!X24</f>
        <v>19319.04840000582</v>
      </c>
      <c r="J24" s="70">
        <v>0.21</v>
      </c>
      <c r="K24" s="71">
        <f>Submetering!N24-Submetering!O24</f>
        <v>145.03300000000127</v>
      </c>
      <c r="L24" s="74">
        <v>7.84</v>
      </c>
      <c r="M24" s="71">
        <f>Submetering!Y24</f>
        <v>115</v>
      </c>
      <c r="N24" s="104">
        <f>Submetering!Z24</f>
        <v>226</v>
      </c>
    </row>
    <row r="25" spans="1:14" x14ac:dyDescent="0.25">
      <c r="A25" s="110" t="s">
        <v>80</v>
      </c>
      <c r="B25" s="72">
        <f t="shared" si="0"/>
        <v>24</v>
      </c>
      <c r="C25" s="73">
        <v>12</v>
      </c>
      <c r="D25" s="72">
        <v>2021</v>
      </c>
      <c r="E25" s="71">
        <f>Submetering!E25+Submetering!F25+Submetering!G25+Submetering!H25+Submetering!I25+Submetering!J25+Submetering!K25</f>
        <v>31526</v>
      </c>
      <c r="F25" s="74">
        <v>0.2</v>
      </c>
      <c r="G25" s="71">
        <f>Submetering!P25</f>
        <v>802</v>
      </c>
      <c r="H25" s="74">
        <v>6.47</v>
      </c>
      <c r="I25" s="71">
        <f>Submetering!T25-Submetering!T25*15%-Submetering!X25</f>
        <v>20733.796199994176</v>
      </c>
      <c r="J25" s="70">
        <v>0.21</v>
      </c>
      <c r="K25" s="71">
        <f>Submetering!N25-Submetering!O25</f>
        <v>114.50000000000182</v>
      </c>
      <c r="L25" s="74">
        <v>7.84</v>
      </c>
      <c r="M25" s="71">
        <f>Submetering!Y25</f>
        <v>119</v>
      </c>
      <c r="N25" s="104">
        <f>Submetering!Z25</f>
        <v>230</v>
      </c>
    </row>
    <row r="26" spans="1:14" x14ac:dyDescent="0.25">
      <c r="A26" s="110" t="s">
        <v>80</v>
      </c>
      <c r="B26" s="72">
        <f>B25+1</f>
        <v>25</v>
      </c>
      <c r="C26" s="73">
        <v>12</v>
      </c>
      <c r="D26" s="72">
        <v>2021</v>
      </c>
      <c r="E26" s="71">
        <f>Submetering!E26+Submetering!F26+Submetering!G26+Submetering!H26+Submetering!I26+Submetering!J26+Submetering!K26</f>
        <v>32086</v>
      </c>
      <c r="F26" s="74">
        <v>0.2</v>
      </c>
      <c r="G26" s="71">
        <f>Submetering!P26</f>
        <v>878</v>
      </c>
      <c r="H26" s="74">
        <v>6.47</v>
      </c>
      <c r="I26" s="71">
        <f>Submetering!T26-Submetering!T26*15%-Submetering!X26</f>
        <v>21679.61100000437</v>
      </c>
      <c r="J26" s="70">
        <v>0.21</v>
      </c>
      <c r="K26" s="71">
        <f>Submetering!N26-Submetering!O26</f>
        <v>154.13500000000067</v>
      </c>
      <c r="L26" s="74">
        <v>7.84</v>
      </c>
      <c r="M26" s="71">
        <f>Submetering!Y26</f>
        <v>109</v>
      </c>
      <c r="N26" s="104">
        <f>Submetering!Z26</f>
        <v>194</v>
      </c>
    </row>
    <row r="27" spans="1:14" x14ac:dyDescent="0.25">
      <c r="A27" s="110" t="s">
        <v>80</v>
      </c>
      <c r="B27" s="72">
        <f t="shared" si="0"/>
        <v>26</v>
      </c>
      <c r="C27" s="73">
        <v>12</v>
      </c>
      <c r="D27" s="72">
        <v>2021</v>
      </c>
      <c r="E27" s="71">
        <f>Submetering!E27+Submetering!F27+Submetering!G27+Submetering!H27+Submetering!I27+Submetering!J27+Submetering!K27</f>
        <v>31261</v>
      </c>
      <c r="F27" s="74">
        <v>0.2</v>
      </c>
      <c r="G27" s="71">
        <f>Submetering!P27</f>
        <v>758</v>
      </c>
      <c r="H27" s="74">
        <v>6.47</v>
      </c>
      <c r="I27" s="71">
        <f>Submetering!T27-Submetering!T27*15%-Submetering!X27</f>
        <v>19127.264599995637</v>
      </c>
      <c r="J27" s="70">
        <v>0.21</v>
      </c>
      <c r="K27" s="71">
        <f>Submetering!N27-Submetering!O27</f>
        <v>163.8909999999978</v>
      </c>
      <c r="L27" s="74">
        <v>7.84</v>
      </c>
      <c r="M27" s="71">
        <f>Submetering!Y27</f>
        <v>133</v>
      </c>
      <c r="N27" s="104">
        <f>Submetering!Z27</f>
        <v>236</v>
      </c>
    </row>
    <row r="28" spans="1:14" x14ac:dyDescent="0.25">
      <c r="A28" s="110" t="s">
        <v>80</v>
      </c>
      <c r="B28" s="72">
        <f t="shared" si="0"/>
        <v>27</v>
      </c>
      <c r="C28" s="73">
        <v>12</v>
      </c>
      <c r="D28" s="72">
        <v>2021</v>
      </c>
      <c r="E28" s="71">
        <f>Submetering!E28+Submetering!F28+Submetering!G28+Submetering!H28+Submetering!I28+Submetering!J28+Submetering!K28</f>
        <v>31081</v>
      </c>
      <c r="F28" s="74">
        <v>0.2</v>
      </c>
      <c r="G28" s="71">
        <f>Submetering!P28</f>
        <v>793</v>
      </c>
      <c r="H28" s="74">
        <v>6.47</v>
      </c>
      <c r="I28" s="71">
        <f>Submetering!T28-Submetering!T28*15%-Submetering!X28</f>
        <v>17732.769400002908</v>
      </c>
      <c r="J28" s="70">
        <v>0.21</v>
      </c>
      <c r="K28" s="71">
        <f>Submetering!N28-Submetering!O28</f>
        <v>166.4280000000017</v>
      </c>
      <c r="L28" s="74">
        <v>7.84</v>
      </c>
      <c r="M28" s="71">
        <f>Submetering!Y28</f>
        <v>148</v>
      </c>
      <c r="N28" s="104">
        <f>Submetering!Z28</f>
        <v>273</v>
      </c>
    </row>
    <row r="29" spans="1:14" x14ac:dyDescent="0.25">
      <c r="A29" s="110" t="s">
        <v>80</v>
      </c>
      <c r="B29" s="72">
        <f t="shared" si="0"/>
        <v>28</v>
      </c>
      <c r="C29" s="73">
        <v>12</v>
      </c>
      <c r="D29" s="72">
        <v>2021</v>
      </c>
      <c r="E29" s="71">
        <f>Submetering!E29+Submetering!F29+Submetering!G29+Submetering!H29+Submetering!I29+Submetering!J29+Submetering!K29</f>
        <v>32405</v>
      </c>
      <c r="F29" s="74">
        <v>0.2</v>
      </c>
      <c r="G29" s="71">
        <f>Submetering!P29</f>
        <v>820</v>
      </c>
      <c r="H29" s="74">
        <v>6.47</v>
      </c>
      <c r="I29" s="71">
        <f>Submetering!T29-Submetering!T29*15%-Submetering!X29</f>
        <v>18464.50399999709</v>
      </c>
      <c r="J29" s="70">
        <v>0.21</v>
      </c>
      <c r="K29" s="71">
        <f>Submetering!N29-Submetering!O29</f>
        <v>179.96499999999924</v>
      </c>
      <c r="L29" s="74">
        <v>7.84</v>
      </c>
      <c r="M29" s="71">
        <f>Submetering!Y29</f>
        <v>148</v>
      </c>
      <c r="N29" s="104">
        <f>Submetering!Z29</f>
        <v>279</v>
      </c>
    </row>
    <row r="30" spans="1:14" x14ac:dyDescent="0.25">
      <c r="A30" s="110" t="s">
        <v>80</v>
      </c>
      <c r="B30" s="72">
        <f t="shared" si="0"/>
        <v>29</v>
      </c>
      <c r="C30" s="73">
        <v>12</v>
      </c>
      <c r="D30" s="72">
        <v>2021</v>
      </c>
      <c r="E30" s="71">
        <f>Submetering!E30+Submetering!F30+Submetering!G30+Submetering!H30+Submetering!I30+Submetering!J30+Submetering!K30</f>
        <v>31714</v>
      </c>
      <c r="F30" s="74">
        <v>0.2</v>
      </c>
      <c r="G30" s="71">
        <f>Submetering!P30</f>
        <v>841</v>
      </c>
      <c r="H30" s="74">
        <v>6.47</v>
      </c>
      <c r="I30" s="71">
        <f>Submetering!T30-Submetering!T30*15%-Submetering!X30</f>
        <v>17507.012000001458</v>
      </c>
      <c r="J30" s="70">
        <v>0.21</v>
      </c>
      <c r="K30" s="71">
        <f>Submetering!N30-Submetering!O30</f>
        <v>159.06000000000085</v>
      </c>
      <c r="L30" s="74">
        <v>7.84</v>
      </c>
      <c r="M30" s="71">
        <f>Submetering!Y30</f>
        <v>120</v>
      </c>
      <c r="N30" s="104">
        <f>Submetering!Z30</f>
        <v>231</v>
      </c>
    </row>
    <row r="31" spans="1:14" x14ac:dyDescent="0.25">
      <c r="A31" s="110" t="s">
        <v>80</v>
      </c>
      <c r="B31" s="72">
        <f t="shared" si="0"/>
        <v>30</v>
      </c>
      <c r="C31" s="73">
        <v>12</v>
      </c>
      <c r="D31" s="72">
        <v>2021</v>
      </c>
      <c r="E31" s="71">
        <f>Submetering!E31+Submetering!F31+Submetering!G31+Submetering!H31+Submetering!I31+Submetering!J31+Submetering!K31</f>
        <v>31474</v>
      </c>
      <c r="F31" s="74">
        <v>0.2</v>
      </c>
      <c r="G31" s="71">
        <f>Submetering!P31</f>
        <v>864</v>
      </c>
      <c r="H31" s="74">
        <v>6.47</v>
      </c>
      <c r="I31" s="71">
        <f>Submetering!T31-Submetering!T31*15%-Submetering!X31</f>
        <v>16745.863799998544</v>
      </c>
      <c r="J31" s="70">
        <v>0.21</v>
      </c>
      <c r="K31" s="71">
        <f>Submetering!N31-Submetering!O31</f>
        <v>159.02899999999681</v>
      </c>
      <c r="L31" s="74">
        <v>7.84</v>
      </c>
      <c r="M31" s="71">
        <f>Submetering!Y31</f>
        <v>101</v>
      </c>
      <c r="N31" s="104">
        <f>Submetering!Z31</f>
        <v>193</v>
      </c>
    </row>
    <row r="32" spans="1:14" x14ac:dyDescent="0.25">
      <c r="A32" s="110" t="s">
        <v>80</v>
      </c>
      <c r="B32" s="72">
        <f t="shared" si="0"/>
        <v>31</v>
      </c>
      <c r="C32" s="73">
        <v>12</v>
      </c>
      <c r="D32" s="72">
        <v>2021</v>
      </c>
      <c r="E32" s="71">
        <f>Submetering!E32+Submetering!F32+Submetering!G32+Submetering!H32+Submetering!I32+Submetering!J32+Submetering!K32</f>
        <v>31410</v>
      </c>
      <c r="F32" s="74">
        <v>0.2</v>
      </c>
      <c r="G32" s="71">
        <f>Submetering!P32</f>
        <v>893</v>
      </c>
      <c r="H32" s="74">
        <v>6.47</v>
      </c>
      <c r="I32" s="71">
        <f>Submetering!T32-Submetering!T32*15%-Submetering!X32</f>
        <v>17427.500800001457</v>
      </c>
      <c r="J32" s="70">
        <v>0.21</v>
      </c>
      <c r="K32" s="71">
        <f>Submetering!N32-Submetering!O32</f>
        <v>165.16800000000421</v>
      </c>
      <c r="L32" s="74">
        <v>7.84</v>
      </c>
      <c r="M32" s="71">
        <f>Submetering!Y32</f>
        <v>143</v>
      </c>
      <c r="N32" s="104">
        <f>Submetering!Z32</f>
        <v>277</v>
      </c>
    </row>
    <row r="33" spans="5:14" x14ac:dyDescent="0.25">
      <c r="E33" s="4">
        <f>SUM(E2:E32)</f>
        <v>1001290</v>
      </c>
      <c r="G33" s="4">
        <f>SUM(G2:G32)</f>
        <v>24329</v>
      </c>
      <c r="I33" s="4">
        <f>SUM(I2:I32)</f>
        <v>654915.24699999555</v>
      </c>
      <c r="K33" s="4">
        <f>SUM(K2:K32)</f>
        <v>4092.4449999999956</v>
      </c>
      <c r="M33" s="4">
        <f>SUM(M2:M32)</f>
        <v>4421</v>
      </c>
      <c r="N33" s="4">
        <f>SUM(N2:N32)</f>
        <v>7150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Y12" sqref="Y12:Y32"/>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12</v>
      </c>
      <c r="D2" s="99">
        <v>2021</v>
      </c>
      <c r="E2" s="101">
        <f>'FS-AD Daily '!B6</f>
        <v>6379</v>
      </c>
      <c r="F2" s="101">
        <f>'FS-AD Daily '!C6</f>
        <v>3057</v>
      </c>
      <c r="G2" s="101">
        <f>'FS-AD Daily '!D6</f>
        <v>906</v>
      </c>
      <c r="H2" s="101">
        <f>'FS-AD Daily '!E6</f>
        <v>7082</v>
      </c>
      <c r="I2" s="101">
        <f>'FS-AD Daily '!F6</f>
        <v>6139</v>
      </c>
      <c r="J2" s="101">
        <f>'FS-AD Daily '!G6</f>
        <v>3021</v>
      </c>
      <c r="K2" s="101">
        <f>'FS-AD Daily '!H6</f>
        <v>5348</v>
      </c>
      <c r="L2" s="101">
        <f>'FS-AD Daily '!I6</f>
        <v>2281</v>
      </c>
      <c r="M2" s="101">
        <f>'FS-AD Daily '!J6</f>
        <v>7077</v>
      </c>
      <c r="N2" s="101">
        <f>'FS-AD Daily '!T6</f>
        <v>154.53599999999278</v>
      </c>
      <c r="O2" s="101">
        <f>'FS-AD Daily '!R6</f>
        <v>96.61300000000017</v>
      </c>
      <c r="P2" s="101">
        <f>'FS-AD Daily '!Z6</f>
        <v>720</v>
      </c>
      <c r="Q2" s="101">
        <f>'FS-AD Daily '!V6</f>
        <v>191.10000000003492</v>
      </c>
      <c r="R2" s="101">
        <f>'FS-AD Daily '!W6</f>
        <v>154.07999999998719</v>
      </c>
      <c r="S2" s="101">
        <f>P2-Q2-R2</f>
        <v>374.81999999997788</v>
      </c>
      <c r="T2" s="101">
        <f>'FS-AD Daily '!AD6*3.516</f>
        <v>63418.091999999997</v>
      </c>
      <c r="U2" s="101">
        <f>('FS-AD Daily '!AF6)*1000</f>
        <v>30899.999999994179</v>
      </c>
      <c r="V2" s="101">
        <f>('FS-AD Daily '!AG6)*1000</f>
        <v>8199.9999999970896</v>
      </c>
      <c r="W2" s="101">
        <f>'FS-AD Daily '!AH6*1000</f>
        <v>9900.0000000014552</v>
      </c>
      <c r="X2" s="101">
        <f>('FS-AD Daily '!AK6)*1000</f>
        <v>27800.00000000291</v>
      </c>
      <c r="Y2" s="101">
        <v>153</v>
      </c>
      <c r="Z2" s="102">
        <v>290</v>
      </c>
    </row>
    <row r="3" spans="1:26" x14ac:dyDescent="0.25">
      <c r="A3" s="103" t="s">
        <v>80</v>
      </c>
      <c r="B3" s="69">
        <f>B2+1</f>
        <v>2</v>
      </c>
      <c r="C3" s="70">
        <v>12</v>
      </c>
      <c r="D3" s="69">
        <v>2021</v>
      </c>
      <c r="E3" s="71">
        <f>'FS-AD Daily '!B7</f>
        <v>6405</v>
      </c>
      <c r="F3" s="71">
        <f>'FS-AD Daily '!C7</f>
        <v>3638</v>
      </c>
      <c r="G3" s="71">
        <f>'FS-AD Daily '!D7</f>
        <v>1015</v>
      </c>
      <c r="H3" s="71">
        <f>'FS-AD Daily '!E7</f>
        <v>7076</v>
      </c>
      <c r="I3" s="71">
        <f>'FS-AD Daily '!F7</f>
        <v>6018</v>
      </c>
      <c r="J3" s="71">
        <f>'FS-AD Daily '!G7</f>
        <v>2988</v>
      </c>
      <c r="K3" s="71">
        <f>'FS-AD Daily '!H7</f>
        <v>5109</v>
      </c>
      <c r="L3" s="71">
        <f>'FS-AD Daily '!I7</f>
        <v>2241</v>
      </c>
      <c r="M3" s="71">
        <f>'FS-AD Daily '!J7</f>
        <v>8099</v>
      </c>
      <c r="N3" s="71">
        <f>'FS-AD Daily '!T7</f>
        <v>210.94499999999971</v>
      </c>
      <c r="O3" s="71">
        <f>'FS-AD Daily '!R7</f>
        <v>81.374999999999545</v>
      </c>
      <c r="P3" s="71">
        <f>'FS-AD Daily '!Z7</f>
        <v>775</v>
      </c>
      <c r="Q3" s="71">
        <f>'FS-AD Daily '!V7</f>
        <v>209.09999999997672</v>
      </c>
      <c r="R3" s="71">
        <f>'FS-AD Daily '!W7</f>
        <v>168.61000000001513</v>
      </c>
      <c r="S3" s="71">
        <f t="shared" ref="S3:S30" si="0">P3-Q3-R3</f>
        <v>397.29000000000815</v>
      </c>
      <c r="T3" s="71">
        <f>'FS-AD Daily '!AD7*3.516</f>
        <v>60162.275999999998</v>
      </c>
      <c r="U3" s="71">
        <f>('FS-AD Daily '!AF7)*1000</f>
        <v>28600.000000005821</v>
      </c>
      <c r="V3" s="71">
        <f>('FS-AD Daily '!AG7)*1000</f>
        <v>12200.000000004366</v>
      </c>
      <c r="W3" s="71">
        <f>'FS-AD Daily '!AH7*1000</f>
        <v>10099.999999998545</v>
      </c>
      <c r="X3" s="71">
        <f>('FS-AD Daily '!AK7)*1000</f>
        <v>26400.000000001455</v>
      </c>
      <c r="Y3" s="71">
        <v>175</v>
      </c>
      <c r="Z3" s="104">
        <v>341</v>
      </c>
    </row>
    <row r="4" spans="1:26" x14ac:dyDescent="0.25">
      <c r="A4" s="103" t="s">
        <v>80</v>
      </c>
      <c r="B4" s="69">
        <f t="shared" ref="B4:B32" si="1">B3+1</f>
        <v>3</v>
      </c>
      <c r="C4" s="70">
        <v>12</v>
      </c>
      <c r="D4" s="69">
        <v>2021</v>
      </c>
      <c r="E4" s="71">
        <f>'FS-AD Daily '!B8</f>
        <v>6800</v>
      </c>
      <c r="F4" s="71">
        <f>'FS-AD Daily '!C8</f>
        <v>4174</v>
      </c>
      <c r="G4" s="71">
        <f>'FS-AD Daily '!D8</f>
        <v>827</v>
      </c>
      <c r="H4" s="71">
        <f>'FS-AD Daily '!E8</f>
        <v>7271</v>
      </c>
      <c r="I4" s="71">
        <f>'FS-AD Daily '!F8</f>
        <v>6469</v>
      </c>
      <c r="J4" s="71">
        <f>'FS-AD Daily '!G8</f>
        <v>3245</v>
      </c>
      <c r="K4" s="71">
        <f>'FS-AD Daily '!H8</f>
        <v>5172</v>
      </c>
      <c r="L4" s="71">
        <f>'FS-AD Daily '!I8</f>
        <v>2306</v>
      </c>
      <c r="M4" s="71">
        <f>'FS-AD Daily '!J8</f>
        <v>6016</v>
      </c>
      <c r="N4" s="71">
        <f>'FS-AD Daily '!T8</f>
        <v>201.656000000001</v>
      </c>
      <c r="O4" s="71">
        <f>'FS-AD Daily '!R8</f>
        <v>90.745000000000118</v>
      </c>
      <c r="P4" s="71">
        <f>'FS-AD Daily '!Z8</f>
        <v>773</v>
      </c>
      <c r="Q4" s="71">
        <f>'FS-AD Daily '!V8</f>
        <v>216.5</v>
      </c>
      <c r="R4" s="71">
        <f>'FS-AD Daily '!W8</f>
        <v>121.69999999998254</v>
      </c>
      <c r="S4" s="71">
        <f t="shared" si="0"/>
        <v>434.80000000001746</v>
      </c>
      <c r="T4" s="71">
        <f>'FS-AD Daily '!AD8*3.516</f>
        <v>62852.016000000003</v>
      </c>
      <c r="U4" s="71">
        <f>('FS-AD Daily '!AF8)*1000</f>
        <v>31099.999999991269</v>
      </c>
      <c r="V4" s="71">
        <f>('FS-AD Daily '!AG8)*1000</f>
        <v>7799.9999999956344</v>
      </c>
      <c r="W4" s="71">
        <f>'FS-AD Daily '!AH8*1000</f>
        <v>9900.0000000014552</v>
      </c>
      <c r="X4" s="71">
        <f>('FS-AD Daily '!AK8)*1000</f>
        <v>26799.999999995634</v>
      </c>
      <c r="Y4" s="71">
        <v>178</v>
      </c>
      <c r="Z4" s="104">
        <v>281</v>
      </c>
    </row>
    <row r="5" spans="1:26" x14ac:dyDescent="0.25">
      <c r="A5" s="103" t="s">
        <v>80</v>
      </c>
      <c r="B5" s="69">
        <f t="shared" si="1"/>
        <v>4</v>
      </c>
      <c r="C5" s="70">
        <v>12</v>
      </c>
      <c r="D5" s="69">
        <v>2021</v>
      </c>
      <c r="E5" s="71">
        <f>'FS-AD Daily '!B9</f>
        <v>7534</v>
      </c>
      <c r="F5" s="71">
        <f>'FS-AD Daily '!C9</f>
        <v>3303</v>
      </c>
      <c r="G5" s="71">
        <f>'FS-AD Daily '!D9</f>
        <v>600</v>
      </c>
      <c r="H5" s="71">
        <f>'FS-AD Daily '!E9</f>
        <v>7193</v>
      </c>
      <c r="I5" s="71">
        <f>'FS-AD Daily '!F9</f>
        <v>6063</v>
      </c>
      <c r="J5" s="71">
        <f>'FS-AD Daily '!G9</f>
        <v>3061</v>
      </c>
      <c r="K5" s="71">
        <f>'FS-AD Daily '!H9</f>
        <v>5073</v>
      </c>
      <c r="L5" s="71">
        <f>'FS-AD Daily '!I9</f>
        <v>2284</v>
      </c>
      <c r="M5" s="71">
        <f>'FS-AD Daily '!J9</f>
        <v>6700</v>
      </c>
      <c r="N5" s="71">
        <f>'FS-AD Daily '!T9</f>
        <v>185.02000000000055</v>
      </c>
      <c r="O5" s="71">
        <f>'FS-AD Daily '!R9</f>
        <v>75.429000000000769</v>
      </c>
      <c r="P5" s="71">
        <f>'FS-AD Daily '!Z9</f>
        <v>751</v>
      </c>
      <c r="Q5" s="71">
        <f>'FS-AD Daily '!V9</f>
        <v>191.79999999998836</v>
      </c>
      <c r="R5" s="71">
        <f>'FS-AD Daily '!W9</f>
        <v>174.14000000001397</v>
      </c>
      <c r="S5" s="71">
        <f t="shared" si="0"/>
        <v>385.05999999999767</v>
      </c>
      <c r="T5" s="71">
        <f>'FS-AD Daily '!AD9*3.516</f>
        <v>56716.595999999998</v>
      </c>
      <c r="U5" s="71">
        <f>('FS-AD Daily '!AF9)*1000</f>
        <v>26800.00000000291</v>
      </c>
      <c r="V5" s="71">
        <f>('FS-AD Daily '!AG9)*1000</f>
        <v>9200.0000000043656</v>
      </c>
      <c r="W5" s="71">
        <f>'FS-AD Daily '!AH9*1000</f>
        <v>9500</v>
      </c>
      <c r="X5" s="71">
        <f>('FS-AD Daily '!AK9)*1000</f>
        <v>25500</v>
      </c>
      <c r="Y5" s="71">
        <v>154</v>
      </c>
      <c r="Z5" s="104">
        <v>220</v>
      </c>
    </row>
    <row r="6" spans="1:26" x14ac:dyDescent="0.25">
      <c r="A6" s="103" t="s">
        <v>80</v>
      </c>
      <c r="B6" s="69">
        <f t="shared" si="1"/>
        <v>5</v>
      </c>
      <c r="C6" s="70">
        <v>12</v>
      </c>
      <c r="D6" s="69">
        <v>2021</v>
      </c>
      <c r="E6" s="71">
        <f>'FS-AD Daily '!B10</f>
        <v>7276</v>
      </c>
      <c r="F6" s="71">
        <f>'FS-AD Daily '!C10</f>
        <v>3587</v>
      </c>
      <c r="G6" s="71">
        <f>'FS-AD Daily '!D10</f>
        <v>1193</v>
      </c>
      <c r="H6" s="71">
        <f>'FS-AD Daily '!E10</f>
        <v>7286</v>
      </c>
      <c r="I6" s="71">
        <f>'FS-AD Daily '!F10</f>
        <v>5957</v>
      </c>
      <c r="J6" s="71">
        <f>'FS-AD Daily '!G10</f>
        <v>3073</v>
      </c>
      <c r="K6" s="71">
        <f>'FS-AD Daily '!H10</f>
        <v>5006</v>
      </c>
      <c r="L6" s="71">
        <f>'FS-AD Daily '!I10</f>
        <v>2335</v>
      </c>
      <c r="M6" s="71">
        <f>'FS-AD Daily '!J10</f>
        <v>6878</v>
      </c>
      <c r="N6" s="71">
        <f>'FS-AD Daily '!T10</f>
        <v>195.69199999999893</v>
      </c>
      <c r="O6" s="71">
        <f>'FS-AD Daily '!R10</f>
        <v>74.401999999998679</v>
      </c>
      <c r="P6" s="71">
        <f>'FS-AD Daily '!Z10</f>
        <v>760</v>
      </c>
      <c r="Q6" s="71">
        <f>'FS-AD Daily '!V10</f>
        <v>189.60000000003492</v>
      </c>
      <c r="R6" s="71">
        <f>'FS-AD Daily '!W10</f>
        <v>173.16000000000349</v>
      </c>
      <c r="S6" s="71">
        <f t="shared" si="0"/>
        <v>397.23999999996158</v>
      </c>
      <c r="T6" s="71">
        <f>'FS-AD Daily '!AD10*3.516</f>
        <v>55264.487999999998</v>
      </c>
      <c r="U6" s="71">
        <f>('FS-AD Daily '!AF10)*1000</f>
        <v>26500</v>
      </c>
      <c r="V6" s="71">
        <f>('FS-AD Daily '!AG10)*1000</f>
        <v>10599.999999998545</v>
      </c>
      <c r="W6" s="71">
        <f>'FS-AD Daily '!AH10*1000</f>
        <v>9299.9999999992724</v>
      </c>
      <c r="X6" s="71">
        <f>('FS-AD Daily '!AK10)*1000</f>
        <v>25700.000000004366</v>
      </c>
      <c r="Y6" s="71">
        <v>166</v>
      </c>
      <c r="Z6" s="104">
        <v>234</v>
      </c>
    </row>
    <row r="7" spans="1:26" x14ac:dyDescent="0.25">
      <c r="A7" s="103" t="s">
        <v>80</v>
      </c>
      <c r="B7" s="69">
        <f t="shared" si="1"/>
        <v>6</v>
      </c>
      <c r="C7" s="70">
        <v>12</v>
      </c>
      <c r="D7" s="69">
        <v>2021</v>
      </c>
      <c r="E7" s="71">
        <f>'FS-AD Daily '!B11</f>
        <v>6965</v>
      </c>
      <c r="F7" s="71">
        <f>'FS-AD Daily '!C11</f>
        <v>3518</v>
      </c>
      <c r="G7" s="71">
        <f>'FS-AD Daily '!D11</f>
        <v>912</v>
      </c>
      <c r="H7" s="71">
        <f>'FS-AD Daily '!E11</f>
        <v>7496</v>
      </c>
      <c r="I7" s="71">
        <f>'FS-AD Daily '!F11</f>
        <v>6172</v>
      </c>
      <c r="J7" s="71">
        <f>'FS-AD Daily '!G11</f>
        <v>3102</v>
      </c>
      <c r="K7" s="71">
        <f>'FS-AD Daily '!H11</f>
        <v>5215</v>
      </c>
      <c r="L7" s="71">
        <f>'FS-AD Daily '!I11</f>
        <v>2443</v>
      </c>
      <c r="M7" s="71">
        <f>'FS-AD Daily '!J11</f>
        <v>6984</v>
      </c>
      <c r="N7" s="71">
        <f>'FS-AD Daily '!T11</f>
        <v>175.79800000000182</v>
      </c>
      <c r="O7" s="71">
        <f>'FS-AD Daily '!R11</f>
        <v>76.442000000000689</v>
      </c>
      <c r="P7" s="71">
        <f>'FS-AD Daily '!Z11</f>
        <v>757</v>
      </c>
      <c r="Q7" s="71">
        <f>'FS-AD Daily '!V11</f>
        <v>176.59999999997672</v>
      </c>
      <c r="R7" s="71">
        <f>'FS-AD Daily '!W11</f>
        <v>164.39999999999418</v>
      </c>
      <c r="S7" s="71">
        <f t="shared" si="0"/>
        <v>416.0000000000291</v>
      </c>
      <c r="T7" s="71">
        <f>'FS-AD Daily '!AD11*3.516</f>
        <v>55260.972000000002</v>
      </c>
      <c r="U7" s="71">
        <f>('FS-AD Daily '!AF11)*1000</f>
        <v>26800.00000000291</v>
      </c>
      <c r="V7" s="71">
        <f>('FS-AD Daily '!AG11)*1000</f>
        <v>11699.99999999709</v>
      </c>
      <c r="W7" s="71">
        <f>'FS-AD Daily '!AH11*1000</f>
        <v>9200.0000000007276</v>
      </c>
      <c r="X7" s="71">
        <f>('FS-AD Daily '!AK11)*1000</f>
        <v>25500</v>
      </c>
      <c r="Y7" s="71">
        <v>148</v>
      </c>
      <c r="Z7" s="104">
        <v>197</v>
      </c>
    </row>
    <row r="8" spans="1:26" x14ac:dyDescent="0.25">
      <c r="A8" s="103" t="s">
        <v>80</v>
      </c>
      <c r="B8" s="69">
        <f t="shared" si="1"/>
        <v>7</v>
      </c>
      <c r="C8" s="70">
        <v>12</v>
      </c>
      <c r="D8" s="69">
        <v>2021</v>
      </c>
      <c r="E8" s="71">
        <f>'FS-AD Daily '!B12</f>
        <v>7346</v>
      </c>
      <c r="F8" s="71">
        <f>'FS-AD Daily '!C12</f>
        <v>3725</v>
      </c>
      <c r="G8" s="71">
        <f>'FS-AD Daily '!D12</f>
        <v>933</v>
      </c>
      <c r="H8" s="71">
        <f>'FS-AD Daily '!E12</f>
        <v>7526</v>
      </c>
      <c r="I8" s="71">
        <f>'FS-AD Daily '!F12</f>
        <v>6197</v>
      </c>
      <c r="J8" s="71">
        <f>'FS-AD Daily '!G12</f>
        <v>3236</v>
      </c>
      <c r="K8" s="71">
        <f>'FS-AD Daily '!H12</f>
        <v>5256</v>
      </c>
      <c r="L8" s="71">
        <f>'FS-AD Daily '!I12</f>
        <v>2404</v>
      </c>
      <c r="M8" s="71">
        <f>'FS-AD Daily '!J12</f>
        <v>7082</v>
      </c>
      <c r="N8" s="71">
        <f>'FS-AD Daily '!T12</f>
        <v>193.49599999999896</v>
      </c>
      <c r="O8" s="71">
        <f>'FS-AD Daily '!R12</f>
        <v>78.807999999999993</v>
      </c>
      <c r="P8" s="71">
        <f>'FS-AD Daily '!Z12</f>
        <v>761</v>
      </c>
      <c r="Q8" s="71">
        <f>'FS-AD Daily '!V12</f>
        <v>185.59999999997672</v>
      </c>
      <c r="R8" s="71">
        <f>'FS-AD Daily '!W12</f>
        <v>172.14999999999418</v>
      </c>
      <c r="S8" s="71">
        <f t="shared" si="0"/>
        <v>403.2500000000291</v>
      </c>
      <c r="T8" s="71">
        <f>'FS-AD Daily '!AD12*3.516</f>
        <v>56948.652000000002</v>
      </c>
      <c r="U8" s="71">
        <f>('FS-AD Daily '!AF12)*1000</f>
        <v>27199.99999999709</v>
      </c>
      <c r="V8" s="71">
        <f>('FS-AD Daily '!AG12)*1000</f>
        <v>13400.000000001455</v>
      </c>
      <c r="W8" s="71">
        <f>'FS-AD Daily '!AH12*1000</f>
        <v>9099.9999999985448</v>
      </c>
      <c r="X8" s="71">
        <f>('FS-AD Daily '!AK12)*1000</f>
        <v>25599.999999998545</v>
      </c>
      <c r="Y8" s="71">
        <v>171</v>
      </c>
      <c r="Z8" s="104">
        <v>222</v>
      </c>
    </row>
    <row r="9" spans="1:26" x14ac:dyDescent="0.25">
      <c r="A9" s="103" t="s">
        <v>80</v>
      </c>
      <c r="B9" s="69">
        <f t="shared" si="1"/>
        <v>8</v>
      </c>
      <c r="C9" s="70">
        <v>12</v>
      </c>
      <c r="D9" s="69">
        <v>2021</v>
      </c>
      <c r="E9" s="71">
        <f>'FS-AD Daily '!B13</f>
        <v>6618</v>
      </c>
      <c r="F9" s="71">
        <f>'FS-AD Daily '!C13</f>
        <v>3597</v>
      </c>
      <c r="G9" s="71">
        <f>'FS-AD Daily '!D13</f>
        <v>888</v>
      </c>
      <c r="H9" s="71">
        <f>'FS-AD Daily '!E13</f>
        <v>7109</v>
      </c>
      <c r="I9" s="71">
        <f>'FS-AD Daily '!F13</f>
        <v>5950</v>
      </c>
      <c r="J9" s="71">
        <f>'FS-AD Daily '!G13</f>
        <v>2886</v>
      </c>
      <c r="K9" s="71">
        <f>'FS-AD Daily '!H13</f>
        <v>4925</v>
      </c>
      <c r="L9" s="71">
        <f>'FS-AD Daily '!I13</f>
        <v>2271</v>
      </c>
      <c r="M9" s="71">
        <f>'FS-AD Daily '!J13</f>
        <v>6837</v>
      </c>
      <c r="N9" s="71">
        <f>'FS-AD Daily '!T13</f>
        <v>192.08299999999963</v>
      </c>
      <c r="O9" s="71">
        <f>'FS-AD Daily '!R13</f>
        <v>79.340999999999667</v>
      </c>
      <c r="P9" s="71">
        <f>'FS-AD Daily '!Z13</f>
        <v>765</v>
      </c>
      <c r="Q9" s="71">
        <f>'FS-AD Daily '!V13</f>
        <v>194.40000000002328</v>
      </c>
      <c r="R9" s="71">
        <f>'FS-AD Daily '!W13</f>
        <v>174.82999999998719</v>
      </c>
      <c r="S9" s="71">
        <f t="shared" si="0"/>
        <v>395.76999999998952</v>
      </c>
      <c r="T9" s="71">
        <f>'FS-AD Daily '!AD13*3.516</f>
        <v>58935.192000000003</v>
      </c>
      <c r="U9" s="71">
        <f>('FS-AD Daily '!AF13)*1000</f>
        <v>28800.00000000291</v>
      </c>
      <c r="V9" s="71">
        <f>('FS-AD Daily '!AG13)*1000</f>
        <v>8599.9999999985448</v>
      </c>
      <c r="W9" s="71">
        <f>'FS-AD Daily '!AH13*1000</f>
        <v>9000</v>
      </c>
      <c r="X9" s="71">
        <f>('FS-AD Daily '!AK13)*1000</f>
        <v>25599.999999998545</v>
      </c>
      <c r="Y9" s="71">
        <v>171</v>
      </c>
      <c r="Z9" s="104">
        <v>235</v>
      </c>
    </row>
    <row r="10" spans="1:26" x14ac:dyDescent="0.25">
      <c r="A10" s="103" t="s">
        <v>80</v>
      </c>
      <c r="B10" s="69">
        <f t="shared" si="1"/>
        <v>9</v>
      </c>
      <c r="C10" s="70">
        <v>12</v>
      </c>
      <c r="D10" s="69">
        <v>2021</v>
      </c>
      <c r="E10" s="71">
        <f>'FS-AD Daily '!B14</f>
        <v>7695</v>
      </c>
      <c r="F10" s="71">
        <f>'FS-AD Daily '!C14</f>
        <v>4366</v>
      </c>
      <c r="G10" s="71">
        <f>'FS-AD Daily '!D14</f>
        <v>888</v>
      </c>
      <c r="H10" s="71">
        <f>'FS-AD Daily '!E14</f>
        <v>7522</v>
      </c>
      <c r="I10" s="71">
        <f>'FS-AD Daily '!F14</f>
        <v>6303</v>
      </c>
      <c r="J10" s="71">
        <f>'FS-AD Daily '!G14</f>
        <v>3019</v>
      </c>
      <c r="K10" s="71">
        <f>'FS-AD Daily '!H14</f>
        <v>4786</v>
      </c>
      <c r="L10" s="71">
        <f>'FS-AD Daily '!I14</f>
        <v>2349</v>
      </c>
      <c r="M10" s="71">
        <f>'FS-AD Daily '!J14</f>
        <v>7207</v>
      </c>
      <c r="N10" s="71">
        <f>'FS-AD Daily '!T14</f>
        <v>250.34600000000091</v>
      </c>
      <c r="O10" s="71">
        <f>'FS-AD Daily '!R14</f>
        <v>83.790999999999713</v>
      </c>
      <c r="P10" s="71">
        <f>'FS-AD Daily '!Z14</f>
        <v>813</v>
      </c>
      <c r="Q10" s="71">
        <f>'FS-AD Daily '!V14</f>
        <v>211.40000000002328</v>
      </c>
      <c r="R10" s="71">
        <f>'FS-AD Daily '!W14</f>
        <v>165.76000000000931</v>
      </c>
      <c r="S10" s="71">
        <f t="shared" si="0"/>
        <v>435.8399999999674</v>
      </c>
      <c r="T10" s="71">
        <f>'FS-AD Daily '!AD14*3.516</f>
        <v>54160.464</v>
      </c>
      <c r="U10" s="71">
        <f>('FS-AD Daily '!AF14)*1000</f>
        <v>28699.99999999709</v>
      </c>
      <c r="V10" s="71">
        <f>('FS-AD Daily '!AG14)*1000</f>
        <v>5600.0000000058208</v>
      </c>
      <c r="W10" s="71">
        <f>'FS-AD Daily '!AH14*1000</f>
        <v>9500</v>
      </c>
      <c r="X10" s="71">
        <f>('FS-AD Daily '!AK14)*1000</f>
        <v>24200.000000004366</v>
      </c>
      <c r="Y10" s="71">
        <v>148</v>
      </c>
      <c r="Z10" s="104">
        <v>203</v>
      </c>
    </row>
    <row r="11" spans="1:26" x14ac:dyDescent="0.25">
      <c r="A11" s="103" t="s">
        <v>80</v>
      </c>
      <c r="B11" s="69">
        <f t="shared" si="1"/>
        <v>10</v>
      </c>
      <c r="C11" s="70">
        <v>12</v>
      </c>
      <c r="D11" s="69">
        <v>2021</v>
      </c>
      <c r="E11" s="71">
        <f>'FS-AD Daily '!B15</f>
        <v>7285</v>
      </c>
      <c r="F11" s="71">
        <f>'FS-AD Daily '!C15</f>
        <v>4123</v>
      </c>
      <c r="G11" s="71">
        <f>'FS-AD Daily '!D15</f>
        <v>979</v>
      </c>
      <c r="H11" s="71">
        <f>'FS-AD Daily '!E15</f>
        <v>7592</v>
      </c>
      <c r="I11" s="71">
        <f>'FS-AD Daily '!F15</f>
        <v>6443</v>
      </c>
      <c r="J11" s="71">
        <f>'FS-AD Daily '!G15</f>
        <v>2931</v>
      </c>
      <c r="K11" s="71">
        <f>'FS-AD Daily '!H15</f>
        <v>5326</v>
      </c>
      <c r="L11" s="71">
        <f>'FS-AD Daily '!I15</f>
        <v>2350</v>
      </c>
      <c r="M11" s="71">
        <f>'FS-AD Daily '!J15</f>
        <v>7522</v>
      </c>
      <c r="N11" s="71">
        <f>'FS-AD Daily '!T15</f>
        <v>189.49599999999964</v>
      </c>
      <c r="O11" s="71">
        <f>'FS-AD Daily '!R15</f>
        <v>92.069000000001097</v>
      </c>
      <c r="P11" s="71">
        <f>'FS-AD Daily '!Z15</f>
        <v>776</v>
      </c>
      <c r="Q11" s="71">
        <f>'FS-AD Daily '!V15</f>
        <v>194.19999999995343</v>
      </c>
      <c r="R11" s="71">
        <f>'FS-AD Daily '!W15</f>
        <v>141.64000000001397</v>
      </c>
      <c r="S11" s="71">
        <f t="shared" si="0"/>
        <v>440.1600000000326</v>
      </c>
      <c r="T11" s="71">
        <f>'FS-AD Daily '!AD15*3.516</f>
        <v>57454.955999999998</v>
      </c>
      <c r="U11" s="71">
        <f>('FS-AD Daily '!AF15)*1000</f>
        <v>29800.00000000291</v>
      </c>
      <c r="V11" s="71">
        <f>('FS-AD Daily '!AG15)*1000</f>
        <v>11199.99999999709</v>
      </c>
      <c r="W11" s="71">
        <f>'FS-AD Daily '!AH15*1000</f>
        <v>9000</v>
      </c>
      <c r="X11" s="71">
        <f>('FS-AD Daily '!AK15)*1000</f>
        <v>25299.999999995634</v>
      </c>
      <c r="Y11" s="136">
        <v>152</v>
      </c>
      <c r="Z11" s="121">
        <v>214</v>
      </c>
    </row>
    <row r="12" spans="1:26" x14ac:dyDescent="0.25">
      <c r="A12" s="103" t="s">
        <v>80</v>
      </c>
      <c r="B12" s="69">
        <f t="shared" si="1"/>
        <v>11</v>
      </c>
      <c r="C12" s="70">
        <v>12</v>
      </c>
      <c r="D12" s="69">
        <v>2021</v>
      </c>
      <c r="E12" s="71">
        <f>'FS-AD Daily '!B16</f>
        <v>7329</v>
      </c>
      <c r="F12" s="71">
        <f>'FS-AD Daily '!C16</f>
        <v>3706</v>
      </c>
      <c r="G12" s="71">
        <f>'FS-AD Daily '!D16</f>
        <v>921</v>
      </c>
      <c r="H12" s="71">
        <f>'FS-AD Daily '!E16</f>
        <v>7386</v>
      </c>
      <c r="I12" s="71">
        <f>'FS-AD Daily '!F16</f>
        <v>6160</v>
      </c>
      <c r="J12" s="71">
        <f>'FS-AD Daily '!G16</f>
        <v>2820</v>
      </c>
      <c r="K12" s="71">
        <f>'FS-AD Daily '!H16</f>
        <v>5197</v>
      </c>
      <c r="L12" s="71">
        <f>'FS-AD Daily '!I16</f>
        <v>2387</v>
      </c>
      <c r="M12" s="71">
        <f>'FS-AD Daily '!J16</f>
        <v>7135</v>
      </c>
      <c r="N12" s="71">
        <f>'FS-AD Daily '!T16</f>
        <v>206.88199999999961</v>
      </c>
      <c r="O12" s="71">
        <f>'FS-AD Daily '!R16</f>
        <v>89.137999999998328</v>
      </c>
      <c r="P12" s="71">
        <f>'FS-AD Daily '!Z16</f>
        <v>728</v>
      </c>
      <c r="Q12" s="71">
        <f>'FS-AD Daily '!V16</f>
        <v>197.80000000004657</v>
      </c>
      <c r="R12" s="71">
        <f>'FS-AD Daily '!W16</f>
        <v>163.1699999999837</v>
      </c>
      <c r="S12" s="71">
        <f t="shared" si="0"/>
        <v>367.02999999996973</v>
      </c>
      <c r="T12" s="71">
        <f>'FS-AD Daily '!AD16*3.516</f>
        <v>58520.304000000004</v>
      </c>
      <c r="U12" s="71">
        <f>('FS-AD Daily '!AF16)*1000</f>
        <v>29300.00000000291</v>
      </c>
      <c r="V12" s="71">
        <f>('FS-AD Daily '!AG16)*1000</f>
        <v>13800.00000000291</v>
      </c>
      <c r="W12" s="71">
        <f>'FS-AD Daily '!AH16*1000</f>
        <v>9400.0000000014552</v>
      </c>
      <c r="X12" s="135">
        <f>('FS-AD Daily '!AK16)*1000</f>
        <v>25500</v>
      </c>
      <c r="Y12" s="137">
        <v>181</v>
      </c>
      <c r="Z12" s="137">
        <v>251</v>
      </c>
    </row>
    <row r="13" spans="1:26" x14ac:dyDescent="0.25">
      <c r="A13" s="103" t="s">
        <v>80</v>
      </c>
      <c r="B13" s="69">
        <f t="shared" si="1"/>
        <v>12</v>
      </c>
      <c r="C13" s="70">
        <v>12</v>
      </c>
      <c r="D13" s="69">
        <v>2021</v>
      </c>
      <c r="E13" s="71">
        <f>'FS-AD Daily '!B17</f>
        <v>8144</v>
      </c>
      <c r="F13" s="71">
        <f>'FS-AD Daily '!C17</f>
        <v>3787</v>
      </c>
      <c r="G13" s="71">
        <f>'FS-AD Daily '!D17</f>
        <v>898</v>
      </c>
      <c r="H13" s="71">
        <f>'FS-AD Daily '!E17</f>
        <v>7374</v>
      </c>
      <c r="I13" s="71">
        <f>'FS-AD Daily '!F17</f>
        <v>6010</v>
      </c>
      <c r="J13" s="71">
        <f>'FS-AD Daily '!G17</f>
        <v>2724</v>
      </c>
      <c r="K13" s="71">
        <f>'FS-AD Daily '!H17</f>
        <v>4181</v>
      </c>
      <c r="L13" s="71">
        <f>'FS-AD Daily '!I17</f>
        <v>2408</v>
      </c>
      <c r="M13" s="71">
        <f>'FS-AD Daily '!J17</f>
        <v>7081</v>
      </c>
      <c r="N13" s="71">
        <f>'FS-AD Daily '!T17</f>
        <v>229.27500000000077</v>
      </c>
      <c r="O13" s="71">
        <f>'FS-AD Daily '!R17</f>
        <v>82.343000000000075</v>
      </c>
      <c r="P13" s="71">
        <f>'FS-AD Daily '!Z17</f>
        <v>764</v>
      </c>
      <c r="Q13" s="71">
        <f>'FS-AD Daily '!V17</f>
        <v>205.39999999996508</v>
      </c>
      <c r="R13" s="71">
        <f>'FS-AD Daily '!W17</f>
        <v>168.0800000000163</v>
      </c>
      <c r="S13" s="71">
        <f t="shared" si="0"/>
        <v>390.52000000001863</v>
      </c>
      <c r="T13" s="71">
        <f>'FS-AD Daily '!AD17*3.516</f>
        <v>55292.616000000002</v>
      </c>
      <c r="U13" s="71">
        <f>('FS-AD Daily '!AF17)*1000</f>
        <v>27399.999999994179</v>
      </c>
      <c r="V13" s="71">
        <f>('FS-AD Daily '!AG17)*1000</f>
        <v>11500</v>
      </c>
      <c r="W13" s="71">
        <f>'FS-AD Daily '!AH17*1000</f>
        <v>9599.9999999985448</v>
      </c>
      <c r="X13" s="135">
        <f>('FS-AD Daily '!AK17)*1000</f>
        <v>25800.00000000291</v>
      </c>
      <c r="Y13" s="137">
        <v>183</v>
      </c>
      <c r="Z13" s="137">
        <v>252</v>
      </c>
    </row>
    <row r="14" spans="1:26" x14ac:dyDescent="0.25">
      <c r="A14" s="103" t="s">
        <v>80</v>
      </c>
      <c r="B14" s="69">
        <f t="shared" si="1"/>
        <v>13</v>
      </c>
      <c r="C14" s="70">
        <v>12</v>
      </c>
      <c r="D14" s="69">
        <v>2021</v>
      </c>
      <c r="E14" s="71">
        <f>'FS-AD Daily '!B18</f>
        <v>7236</v>
      </c>
      <c r="F14" s="71">
        <f>'FS-AD Daily '!C18</f>
        <v>3845</v>
      </c>
      <c r="G14" s="71">
        <f>'FS-AD Daily '!D18</f>
        <v>858</v>
      </c>
      <c r="H14" s="71">
        <f>'FS-AD Daily '!E18</f>
        <v>7124</v>
      </c>
      <c r="I14" s="71">
        <f>'FS-AD Daily '!F18</f>
        <v>5886</v>
      </c>
      <c r="J14" s="71">
        <f>'FS-AD Daily '!G18</f>
        <v>2818</v>
      </c>
      <c r="K14" s="71">
        <f>'FS-AD Daily '!H18</f>
        <v>3434</v>
      </c>
      <c r="L14" s="71">
        <f>'FS-AD Daily '!I18</f>
        <v>2274</v>
      </c>
      <c r="M14" s="71">
        <f>'FS-AD Daily '!J18</f>
        <v>6799</v>
      </c>
      <c r="N14" s="71">
        <f>'FS-AD Daily '!T18</f>
        <v>207.78299999999922</v>
      </c>
      <c r="O14" s="71">
        <f>'FS-AD Daily '!R18</f>
        <v>80.554000000000087</v>
      </c>
      <c r="P14" s="71">
        <f>'FS-AD Daily '!Z18</f>
        <v>766</v>
      </c>
      <c r="Q14" s="71">
        <f>'FS-AD Daily '!V18</f>
        <v>201.10000000003492</v>
      </c>
      <c r="R14" s="71">
        <f>'FS-AD Daily '!W18</f>
        <v>163.64999999999418</v>
      </c>
      <c r="S14" s="71">
        <f t="shared" si="0"/>
        <v>401.2499999999709</v>
      </c>
      <c r="T14" s="71">
        <f>'FS-AD Daily '!AD18*3.516</f>
        <v>52332.144</v>
      </c>
      <c r="U14" s="71">
        <f>('FS-AD Daily '!AF18)*1000</f>
        <v>27100.000000005821</v>
      </c>
      <c r="V14" s="71">
        <f>('FS-AD Daily '!AG18)*1000</f>
        <v>6799.9999999956344</v>
      </c>
      <c r="W14" s="71">
        <f>'FS-AD Daily '!AH18*1000</f>
        <v>9400.0000000014552</v>
      </c>
      <c r="X14" s="135">
        <f>('FS-AD Daily '!AK18)*1000</f>
        <v>23599.999999998545</v>
      </c>
      <c r="Y14" s="137">
        <v>149</v>
      </c>
      <c r="Z14" s="137">
        <v>202</v>
      </c>
    </row>
    <row r="15" spans="1:26" x14ac:dyDescent="0.25">
      <c r="A15" s="103" t="s">
        <v>80</v>
      </c>
      <c r="B15" s="69">
        <f t="shared" si="1"/>
        <v>14</v>
      </c>
      <c r="C15" s="70">
        <v>12</v>
      </c>
      <c r="D15" s="69">
        <v>2021</v>
      </c>
      <c r="E15" s="71">
        <f>'FS-AD Daily '!B19</f>
        <v>7417</v>
      </c>
      <c r="F15" s="71">
        <f>'FS-AD Daily '!C19</f>
        <v>4272</v>
      </c>
      <c r="G15" s="71">
        <f>'FS-AD Daily '!D19</f>
        <v>860</v>
      </c>
      <c r="H15" s="71">
        <f>'FS-AD Daily '!E19</f>
        <v>7278</v>
      </c>
      <c r="I15" s="71">
        <f>'FS-AD Daily '!F19</f>
        <v>6115</v>
      </c>
      <c r="J15" s="71">
        <f>'FS-AD Daily '!G19</f>
        <v>2853</v>
      </c>
      <c r="K15" s="71">
        <f>'FS-AD Daily '!H19</f>
        <v>3345</v>
      </c>
      <c r="L15" s="71">
        <f>'FS-AD Daily '!I19</f>
        <v>2286</v>
      </c>
      <c r="M15" s="71">
        <f>'FS-AD Daily '!J19</f>
        <v>6780</v>
      </c>
      <c r="N15" s="71">
        <f>'FS-AD Daily '!T19</f>
        <v>197.24299999999994</v>
      </c>
      <c r="O15" s="71">
        <f>'FS-AD Daily '!R19</f>
        <v>80.761000000000877</v>
      </c>
      <c r="P15" s="71">
        <f>'FS-AD Daily '!Z19</f>
        <v>738</v>
      </c>
      <c r="Q15" s="71">
        <f>'FS-AD Daily '!V19</f>
        <v>203.09999999997672</v>
      </c>
      <c r="R15" s="71">
        <f>'FS-AD Daily '!W19</f>
        <v>183.42999999999302</v>
      </c>
      <c r="S15" s="71">
        <f t="shared" si="0"/>
        <v>351.47000000003027</v>
      </c>
      <c r="T15" s="71">
        <f>'FS-AD Daily '!AD19*3.516</f>
        <v>49417.38</v>
      </c>
      <c r="U15" s="71">
        <f>('FS-AD Daily '!AF19)*1000</f>
        <v>26399.999999994179</v>
      </c>
      <c r="V15" s="71">
        <f>('FS-AD Daily '!AG19)*1000</f>
        <v>5599.9999999985448</v>
      </c>
      <c r="W15" s="71">
        <f>'FS-AD Daily '!AH19*1000</f>
        <v>9099.9999999985448</v>
      </c>
      <c r="X15" s="135">
        <f>('FS-AD Daily '!AK19)*1000</f>
        <v>22300.00000000291</v>
      </c>
      <c r="Y15" s="137">
        <v>151</v>
      </c>
      <c r="Z15" s="137">
        <v>203</v>
      </c>
    </row>
    <row r="16" spans="1:26" x14ac:dyDescent="0.25">
      <c r="A16" s="103" t="s">
        <v>80</v>
      </c>
      <c r="B16" s="69">
        <f t="shared" si="1"/>
        <v>15</v>
      </c>
      <c r="C16" s="70">
        <v>12</v>
      </c>
      <c r="D16" s="69">
        <v>2021</v>
      </c>
      <c r="E16" s="71">
        <f>'FS-AD Daily '!B20</f>
        <v>7226</v>
      </c>
      <c r="F16" s="71">
        <f>'FS-AD Daily '!C20</f>
        <v>4597</v>
      </c>
      <c r="G16" s="71">
        <f>'FS-AD Daily '!D20</f>
        <v>831</v>
      </c>
      <c r="H16" s="71">
        <f>'FS-AD Daily '!E20</f>
        <v>7449</v>
      </c>
      <c r="I16" s="71">
        <f>'FS-AD Daily '!F20</f>
        <v>6271</v>
      </c>
      <c r="J16" s="71">
        <f>'FS-AD Daily '!G20</f>
        <v>2949</v>
      </c>
      <c r="K16" s="71">
        <f>'FS-AD Daily '!H20</f>
        <v>3518</v>
      </c>
      <c r="L16" s="71">
        <f>'FS-AD Daily '!I20</f>
        <v>2357</v>
      </c>
      <c r="M16" s="71">
        <f>'FS-AD Daily '!J20</f>
        <v>7084</v>
      </c>
      <c r="N16" s="71">
        <f>'FS-AD Daily '!T20</f>
        <v>234.23000000000002</v>
      </c>
      <c r="O16" s="71">
        <f>'FS-AD Daily '!R20</f>
        <v>85.392000000000735</v>
      </c>
      <c r="P16" s="71">
        <f>'FS-AD Daily '!Z20</f>
        <v>780</v>
      </c>
      <c r="Q16" s="71">
        <f>'FS-AD Daily '!V20</f>
        <v>209.09999999997672</v>
      </c>
      <c r="R16" s="71">
        <f>'FS-AD Daily '!W20</f>
        <v>174.29999999998836</v>
      </c>
      <c r="S16" s="71">
        <f t="shared" si="0"/>
        <v>396.60000000003492</v>
      </c>
      <c r="T16" s="71">
        <f>'FS-AD Daily '!AD20*3.516</f>
        <v>50774.555999999997</v>
      </c>
      <c r="U16" s="71">
        <f>('FS-AD Daily '!AF20)*1000</f>
        <v>26500</v>
      </c>
      <c r="V16" s="71">
        <f>('FS-AD Daily '!AG20)*1000</f>
        <v>5300.0000000029104</v>
      </c>
      <c r="W16" s="71">
        <f>'FS-AD Daily '!AH20*1000</f>
        <v>9000</v>
      </c>
      <c r="X16" s="135">
        <f>('FS-AD Daily '!AK20)*1000</f>
        <v>22399.999999994179</v>
      </c>
      <c r="Y16" s="137">
        <v>154</v>
      </c>
      <c r="Z16" s="137">
        <v>217</v>
      </c>
    </row>
    <row r="17" spans="1:26" x14ac:dyDescent="0.25">
      <c r="A17" s="103" t="s">
        <v>80</v>
      </c>
      <c r="B17" s="69">
        <f t="shared" si="1"/>
        <v>16</v>
      </c>
      <c r="C17" s="70">
        <v>12</v>
      </c>
      <c r="D17" s="69">
        <v>2021</v>
      </c>
      <c r="E17" s="71">
        <f>'FS-AD Daily '!B21</f>
        <v>6882</v>
      </c>
      <c r="F17" s="71">
        <f>'FS-AD Daily '!C21</f>
        <v>4201</v>
      </c>
      <c r="G17" s="71">
        <f>'FS-AD Daily '!D21</f>
        <v>889</v>
      </c>
      <c r="H17" s="71">
        <f>'FS-AD Daily '!E21</f>
        <v>7291</v>
      </c>
      <c r="I17" s="71">
        <f>'FS-AD Daily '!F21</f>
        <v>6204</v>
      </c>
      <c r="J17" s="71">
        <f>'FS-AD Daily '!G21</f>
        <v>2985</v>
      </c>
      <c r="K17" s="71">
        <f>'FS-AD Daily '!H21</f>
        <v>3696</v>
      </c>
      <c r="L17" s="71">
        <f>'FS-AD Daily '!I21</f>
        <v>2290</v>
      </c>
      <c r="M17" s="71">
        <f>'FS-AD Daily '!J21</f>
        <v>7068</v>
      </c>
      <c r="N17" s="71">
        <f>'FS-AD Daily '!T21</f>
        <v>221.38999999999851</v>
      </c>
      <c r="O17" s="71">
        <f>'FS-AD Daily '!R21</f>
        <v>80.360999999998967</v>
      </c>
      <c r="P17" s="71">
        <f>'FS-AD Daily '!Z21</f>
        <v>826</v>
      </c>
      <c r="Q17" s="71">
        <f>'FS-AD Daily '!V21</f>
        <v>229.30000000004657</v>
      </c>
      <c r="R17" s="71">
        <f>'FS-AD Daily '!W21</f>
        <v>185.86000000001513</v>
      </c>
      <c r="S17" s="71">
        <f t="shared" si="0"/>
        <v>410.8399999999383</v>
      </c>
      <c r="T17" s="71">
        <f>'FS-AD Daily '!AD21*3.516</f>
        <v>51836.387999999999</v>
      </c>
      <c r="U17" s="71">
        <f>('FS-AD Daily '!AF21)*1000</f>
        <v>26600.000000005821</v>
      </c>
      <c r="V17" s="71">
        <f>('FS-AD Daily '!AG21)*1000</f>
        <v>9900.0000000014552</v>
      </c>
      <c r="W17" s="71">
        <f>'FS-AD Daily '!AH21*1000</f>
        <v>8900.0000000014552</v>
      </c>
      <c r="X17" s="135">
        <f>('FS-AD Daily '!AK21)*1000</f>
        <v>22200.000000004366</v>
      </c>
      <c r="Y17" s="137">
        <v>130</v>
      </c>
      <c r="Z17" s="137">
        <v>191</v>
      </c>
    </row>
    <row r="18" spans="1:26" x14ac:dyDescent="0.25">
      <c r="A18" s="103" t="s">
        <v>80</v>
      </c>
      <c r="B18" s="69">
        <f t="shared" si="1"/>
        <v>17</v>
      </c>
      <c r="C18" s="70">
        <v>12</v>
      </c>
      <c r="D18" s="69">
        <v>2021</v>
      </c>
      <c r="E18" s="71">
        <f>'FS-AD Daily '!B22</f>
        <v>6919</v>
      </c>
      <c r="F18" s="71">
        <f>'FS-AD Daily '!C22</f>
        <v>4493</v>
      </c>
      <c r="G18" s="71">
        <f>'FS-AD Daily '!D22</f>
        <v>933</v>
      </c>
      <c r="H18" s="71">
        <f>'FS-AD Daily '!E22</f>
        <v>7431</v>
      </c>
      <c r="I18" s="71">
        <f>'FS-AD Daily '!F22</f>
        <v>6547</v>
      </c>
      <c r="J18" s="71">
        <f>'FS-AD Daily '!G22</f>
        <v>2982</v>
      </c>
      <c r="K18" s="71">
        <f>'FS-AD Daily '!H22</f>
        <v>3746</v>
      </c>
      <c r="L18" s="71">
        <f>'FS-AD Daily '!I22</f>
        <v>2229</v>
      </c>
      <c r="M18" s="71">
        <f>'FS-AD Daily '!J22</f>
        <v>7256</v>
      </c>
      <c r="N18" s="71">
        <f>'FS-AD Daily '!T22</f>
        <v>198.40000000000146</v>
      </c>
      <c r="O18" s="71">
        <f>'FS-AD Daily '!R22</f>
        <v>86.863000000000284</v>
      </c>
      <c r="P18" s="71">
        <f>'FS-AD Daily '!Z22</f>
        <v>843</v>
      </c>
      <c r="Q18" s="71">
        <f>'FS-AD Daily '!V22</f>
        <v>223.29999999998836</v>
      </c>
      <c r="R18" s="71">
        <f>'FS-AD Daily '!W22</f>
        <v>179.57999999998719</v>
      </c>
      <c r="S18" s="71">
        <f t="shared" si="0"/>
        <v>440.12000000002445</v>
      </c>
      <c r="T18" s="71">
        <f>'FS-AD Daily '!AD22*3.516</f>
        <v>53091.6</v>
      </c>
      <c r="U18" s="71">
        <f>('FS-AD Daily '!AF22)*1000</f>
        <v>28199.99999999709</v>
      </c>
      <c r="V18" s="71">
        <f>('FS-AD Daily '!AG22)*1000</f>
        <v>9699.9999999970896</v>
      </c>
      <c r="W18" s="71">
        <f>'FS-AD Daily '!AH22*1000</f>
        <v>8699.9999999970896</v>
      </c>
      <c r="X18" s="135">
        <f>('FS-AD Daily '!AK22)*1000</f>
        <v>22500</v>
      </c>
      <c r="Y18" s="137">
        <v>133</v>
      </c>
      <c r="Z18" s="137">
        <v>214</v>
      </c>
    </row>
    <row r="19" spans="1:26" x14ac:dyDescent="0.25">
      <c r="A19" s="103" t="s">
        <v>80</v>
      </c>
      <c r="B19" s="69">
        <f t="shared" si="1"/>
        <v>18</v>
      </c>
      <c r="C19" s="70">
        <v>12</v>
      </c>
      <c r="D19" s="69">
        <v>2021</v>
      </c>
      <c r="E19" s="71">
        <f>'FS-AD Daily '!B23</f>
        <v>6628</v>
      </c>
      <c r="F19" s="71">
        <f>'FS-AD Daily '!C23</f>
        <v>4015</v>
      </c>
      <c r="G19" s="71">
        <f>'FS-AD Daily '!D23</f>
        <v>866</v>
      </c>
      <c r="H19" s="71">
        <f>'FS-AD Daily '!E23</f>
        <v>7084</v>
      </c>
      <c r="I19" s="71">
        <f>'FS-AD Daily '!F23</f>
        <v>5968</v>
      </c>
      <c r="J19" s="71">
        <f>'FS-AD Daily '!G23</f>
        <v>2810</v>
      </c>
      <c r="K19" s="71">
        <f>'FS-AD Daily '!H23</f>
        <v>3609</v>
      </c>
      <c r="L19" s="71">
        <f>'FS-AD Daily '!I23</f>
        <v>2130</v>
      </c>
      <c r="M19" s="71">
        <f>'FS-AD Daily '!J23</f>
        <v>6837</v>
      </c>
      <c r="N19" s="71">
        <f>'FS-AD Daily '!T23</f>
        <v>201.29899999999998</v>
      </c>
      <c r="O19" s="71">
        <f>'FS-AD Daily '!R23</f>
        <v>77.646999999999025</v>
      </c>
      <c r="P19" s="71">
        <f>'FS-AD Daily '!Z23</f>
        <v>705</v>
      </c>
      <c r="Q19" s="71">
        <f>'FS-AD Daily '!V23</f>
        <v>192.39999999996508</v>
      </c>
      <c r="R19" s="71">
        <f>'FS-AD Daily '!W23</f>
        <v>166.14000000001397</v>
      </c>
      <c r="S19" s="71">
        <f t="shared" si="0"/>
        <v>346.46000000002095</v>
      </c>
      <c r="T19" s="71">
        <f>'FS-AD Daily '!AD23*3.516</f>
        <v>47803.536</v>
      </c>
      <c r="U19" s="71">
        <f>('FS-AD Daily '!AF23)*1000</f>
        <v>24399.999999994179</v>
      </c>
      <c r="V19" s="71">
        <f>('FS-AD Daily '!AG23)*1000</f>
        <v>8500</v>
      </c>
      <c r="W19" s="71">
        <f>'FS-AD Daily '!AH23*1000</f>
        <v>7800.0000000029104</v>
      </c>
      <c r="X19" s="135">
        <f>('FS-AD Daily '!AK23)*1000</f>
        <v>21199.99999999709</v>
      </c>
      <c r="Y19" s="137">
        <v>113</v>
      </c>
      <c r="Z19" s="137">
        <v>197</v>
      </c>
    </row>
    <row r="20" spans="1:26" x14ac:dyDescent="0.25">
      <c r="A20" s="103" t="s">
        <v>80</v>
      </c>
      <c r="B20" s="69">
        <f t="shared" si="1"/>
        <v>19</v>
      </c>
      <c r="C20" s="70">
        <v>12</v>
      </c>
      <c r="D20" s="69">
        <v>2021</v>
      </c>
      <c r="E20" s="71">
        <f>'FS-AD Daily '!B24</f>
        <v>6488</v>
      </c>
      <c r="F20" s="71">
        <f>'FS-AD Daily '!C24</f>
        <v>4188</v>
      </c>
      <c r="G20" s="71">
        <f>'FS-AD Daily '!D24</f>
        <v>913</v>
      </c>
      <c r="H20" s="71">
        <f>'FS-AD Daily '!E24</f>
        <v>7036</v>
      </c>
      <c r="I20" s="71">
        <f>'FS-AD Daily '!F24</f>
        <v>6062</v>
      </c>
      <c r="J20" s="71">
        <f>'FS-AD Daily '!G24</f>
        <v>2810</v>
      </c>
      <c r="K20" s="71">
        <f>'FS-AD Daily '!H24</f>
        <v>3641</v>
      </c>
      <c r="L20" s="71">
        <f>'FS-AD Daily '!I24</f>
        <v>2243</v>
      </c>
      <c r="M20" s="71">
        <f>'FS-AD Daily '!J24</f>
        <v>7100</v>
      </c>
      <c r="N20" s="71">
        <f>'FS-AD Daily '!T24</f>
        <v>199.21900000000005</v>
      </c>
      <c r="O20" s="71">
        <f>'FS-AD Daily '!R24</f>
        <v>77.067000000001372</v>
      </c>
      <c r="P20" s="71">
        <f>'FS-AD Daily '!Z24</f>
        <v>764</v>
      </c>
      <c r="Q20" s="71">
        <f>'FS-AD Daily '!V24</f>
        <v>206.80000000004657</v>
      </c>
      <c r="R20" s="71">
        <f>'FS-AD Daily '!W24</f>
        <v>179.27999999999884</v>
      </c>
      <c r="S20" s="71">
        <f t="shared" si="0"/>
        <v>377.9199999999546</v>
      </c>
      <c r="T20" s="71">
        <f>'FS-AD Daily '!AD24*3.516</f>
        <v>48007.464</v>
      </c>
      <c r="U20" s="71">
        <f>('FS-AD Daily '!AF24)*1000</f>
        <v>24400.000000008731</v>
      </c>
      <c r="V20" s="71">
        <f>('FS-AD Daily '!AG24)*1000</f>
        <v>8700.0000000043656</v>
      </c>
      <c r="W20" s="71">
        <f>'FS-AD Daily '!AH24*1000</f>
        <v>8299.9999999992724</v>
      </c>
      <c r="X20" s="135">
        <f>('FS-AD Daily '!AK24)*1000</f>
        <v>21099.999999998545</v>
      </c>
      <c r="Y20" s="137">
        <v>124</v>
      </c>
      <c r="Z20" s="137">
        <v>214</v>
      </c>
    </row>
    <row r="21" spans="1:26" x14ac:dyDescent="0.25">
      <c r="A21" s="103" t="s">
        <v>80</v>
      </c>
      <c r="B21" s="69">
        <f t="shared" si="1"/>
        <v>20</v>
      </c>
      <c r="C21" s="70">
        <v>12</v>
      </c>
      <c r="D21" s="69">
        <v>2021</v>
      </c>
      <c r="E21" s="71">
        <f>'FS-AD Daily '!B25</f>
        <v>6191</v>
      </c>
      <c r="F21" s="71">
        <f>'FS-AD Daily '!C25</f>
        <v>3914</v>
      </c>
      <c r="G21" s="71">
        <f>'FS-AD Daily '!D25</f>
        <v>855</v>
      </c>
      <c r="H21" s="71">
        <f>'FS-AD Daily '!E25</f>
        <v>7484</v>
      </c>
      <c r="I21" s="71">
        <f>'FS-AD Daily '!F25</f>
        <v>6506</v>
      </c>
      <c r="J21" s="71">
        <f>'FS-AD Daily '!G25</f>
        <v>2987</v>
      </c>
      <c r="K21" s="71">
        <f>'FS-AD Daily '!H25</f>
        <v>3826</v>
      </c>
      <c r="L21" s="71">
        <f>'FS-AD Daily '!I25</f>
        <v>2248</v>
      </c>
      <c r="M21" s="71">
        <f>'FS-AD Daily '!J25</f>
        <v>6967</v>
      </c>
      <c r="N21" s="71">
        <f>'FS-AD Daily '!T25</f>
        <v>180.73399999999992</v>
      </c>
      <c r="O21" s="71">
        <f>'FS-AD Daily '!R25</f>
        <v>69.731999999999061</v>
      </c>
      <c r="P21" s="71">
        <f>'FS-AD Daily '!Z25</f>
        <v>751</v>
      </c>
      <c r="Q21" s="71">
        <f>'FS-AD Daily '!V25</f>
        <v>208</v>
      </c>
      <c r="R21" s="71">
        <f>'FS-AD Daily '!W25</f>
        <v>151.41000000000349</v>
      </c>
      <c r="S21" s="71">
        <f t="shared" si="0"/>
        <v>391.58999999999651</v>
      </c>
      <c r="T21" s="71">
        <f>'FS-AD Daily '!AD25*3.516</f>
        <v>48271.163999999997</v>
      </c>
      <c r="U21" s="71">
        <f>('FS-AD Daily '!AF25)*1000</f>
        <v>24599.999999991269</v>
      </c>
      <c r="V21" s="71">
        <f>('FS-AD Daily '!AG25)*1000</f>
        <v>7500</v>
      </c>
      <c r="W21" s="71">
        <f>'FS-AD Daily '!AH25*1000</f>
        <v>7700.0000000007276</v>
      </c>
      <c r="X21" s="135">
        <f>('FS-AD Daily '!AK25)*1000</f>
        <v>21600.000000005821</v>
      </c>
      <c r="Y21" s="137">
        <v>125</v>
      </c>
      <c r="Z21" s="137">
        <v>220</v>
      </c>
    </row>
    <row r="22" spans="1:26" x14ac:dyDescent="0.25">
      <c r="A22" s="103" t="s">
        <v>80</v>
      </c>
      <c r="B22" s="69">
        <f t="shared" si="1"/>
        <v>21</v>
      </c>
      <c r="C22" s="70">
        <v>12</v>
      </c>
      <c r="D22" s="69">
        <v>2021</v>
      </c>
      <c r="E22" s="71">
        <f>'FS-AD Daily '!B26</f>
        <v>6601</v>
      </c>
      <c r="F22" s="71">
        <f>'FS-AD Daily '!C26</f>
        <v>3925</v>
      </c>
      <c r="G22" s="71">
        <f>'FS-AD Daily '!D26</f>
        <v>888</v>
      </c>
      <c r="H22" s="71">
        <f>'FS-AD Daily '!E26</f>
        <v>7093</v>
      </c>
      <c r="I22" s="71">
        <f>'FS-AD Daily '!F26</f>
        <v>6237</v>
      </c>
      <c r="J22" s="71">
        <f>'FS-AD Daily '!G26</f>
        <v>2929</v>
      </c>
      <c r="K22" s="71">
        <f>'FS-AD Daily '!H26</f>
        <v>3711</v>
      </c>
      <c r="L22" s="71">
        <f>'FS-AD Daily '!I26</f>
        <v>2161</v>
      </c>
      <c r="M22" s="71">
        <f>'FS-AD Daily '!J26</f>
        <v>7135</v>
      </c>
      <c r="N22" s="71">
        <f>'FS-AD Daily '!T26</f>
        <v>224.75599999999804</v>
      </c>
      <c r="O22" s="71">
        <f>'FS-AD Daily '!R26</f>
        <v>62.46900000000096</v>
      </c>
      <c r="P22" s="71">
        <f>'FS-AD Daily '!Z26</f>
        <v>752</v>
      </c>
      <c r="Q22" s="71">
        <f>'FS-AD Daily '!V26</f>
        <v>210.69999999995343</v>
      </c>
      <c r="R22" s="71">
        <f>'FS-AD Daily '!W26</f>
        <v>179.75</v>
      </c>
      <c r="S22" s="71">
        <f t="shared" si="0"/>
        <v>361.55000000004657</v>
      </c>
      <c r="T22" s="71">
        <f>'FS-AD Daily '!AD26*3.516</f>
        <v>49491.216</v>
      </c>
      <c r="U22" s="71">
        <f>('FS-AD Daily '!AF26)*1000</f>
        <v>24400.000000008731</v>
      </c>
      <c r="V22" s="71">
        <f>('FS-AD Daily '!AG26)*1000</f>
        <v>7399.9999999941792</v>
      </c>
      <c r="W22" s="71">
        <f>'FS-AD Daily '!AH26*1000</f>
        <v>8399.9999999978172</v>
      </c>
      <c r="X22" s="135">
        <f>('FS-AD Daily '!AK26)*1000</f>
        <v>22099.999999998545</v>
      </c>
      <c r="Y22" s="137">
        <v>114</v>
      </c>
      <c r="Z22" s="137">
        <v>202</v>
      </c>
    </row>
    <row r="23" spans="1:26" x14ac:dyDescent="0.25">
      <c r="A23" s="103" t="s">
        <v>80</v>
      </c>
      <c r="B23" s="69">
        <f t="shared" si="1"/>
        <v>22</v>
      </c>
      <c r="C23" s="70">
        <v>12</v>
      </c>
      <c r="D23" s="69">
        <v>2021</v>
      </c>
      <c r="E23" s="71">
        <f>'FS-AD Daily '!B27</f>
        <v>6471</v>
      </c>
      <c r="F23" s="71">
        <f>'FS-AD Daily '!C27</f>
        <v>3720</v>
      </c>
      <c r="G23" s="71">
        <f>'FS-AD Daily '!D27</f>
        <v>879</v>
      </c>
      <c r="H23" s="71">
        <f>'FS-AD Daily '!E27</f>
        <v>7030</v>
      </c>
      <c r="I23" s="71">
        <f>'FS-AD Daily '!F27</f>
        <v>5846</v>
      </c>
      <c r="J23" s="71">
        <f>'FS-AD Daily '!G27</f>
        <v>2741</v>
      </c>
      <c r="K23" s="71">
        <f>'FS-AD Daily '!H27</f>
        <v>3568</v>
      </c>
      <c r="L23" s="71">
        <f>'FS-AD Daily '!I27</f>
        <v>2123</v>
      </c>
      <c r="M23" s="71">
        <f>'FS-AD Daily '!J27</f>
        <v>6941</v>
      </c>
      <c r="N23" s="71">
        <f>'FS-AD Daily '!T27</f>
        <v>210.09200000000055</v>
      </c>
      <c r="O23" s="71">
        <f>'FS-AD Daily '!R27</f>
        <v>73.793000000000575</v>
      </c>
      <c r="P23" s="71">
        <f>'FS-AD Daily '!Z27</f>
        <v>788</v>
      </c>
      <c r="Q23" s="71">
        <f>'FS-AD Daily '!V27</f>
        <v>221.40000000002328</v>
      </c>
      <c r="R23" s="71">
        <f>'FS-AD Daily '!W27</f>
        <v>182.11999999999534</v>
      </c>
      <c r="S23" s="71">
        <f t="shared" si="0"/>
        <v>384.47999999998137</v>
      </c>
      <c r="T23" s="71">
        <f>'FS-AD Daily '!AD27*3.516</f>
        <v>52550.135999999999</v>
      </c>
      <c r="U23" s="71">
        <f>('FS-AD Daily '!AF27)*1000</f>
        <v>26799.999999988358</v>
      </c>
      <c r="V23" s="71">
        <f>('FS-AD Daily '!AG27)*1000</f>
        <v>3200.0000000043656</v>
      </c>
      <c r="W23" s="71">
        <f>'FS-AD Daily '!AH27*1000</f>
        <v>8500</v>
      </c>
      <c r="X23" s="135">
        <f>('FS-AD Daily '!AK27)*1000</f>
        <v>23900.000000001455</v>
      </c>
      <c r="Y23" s="137">
        <v>112</v>
      </c>
      <c r="Z23" s="137">
        <v>211</v>
      </c>
    </row>
    <row r="24" spans="1:26" x14ac:dyDescent="0.25">
      <c r="A24" s="103" t="s">
        <v>80</v>
      </c>
      <c r="B24" s="69">
        <f t="shared" si="1"/>
        <v>23</v>
      </c>
      <c r="C24" s="70">
        <v>12</v>
      </c>
      <c r="D24" s="69">
        <v>2021</v>
      </c>
      <c r="E24" s="71">
        <f>'FS-AD Daily '!B28</f>
        <v>6984</v>
      </c>
      <c r="F24" s="71">
        <f>'FS-AD Daily '!C28</f>
        <v>3981</v>
      </c>
      <c r="G24" s="71">
        <f>'FS-AD Daily '!D28</f>
        <v>857</v>
      </c>
      <c r="H24" s="71">
        <f>'FS-AD Daily '!E28</f>
        <v>7104</v>
      </c>
      <c r="I24" s="71">
        <f>'FS-AD Daily '!F28</f>
        <v>6173</v>
      </c>
      <c r="J24" s="71">
        <f>'FS-AD Daily '!G28</f>
        <v>2813</v>
      </c>
      <c r="K24" s="71">
        <f>'FS-AD Daily '!H28</f>
        <v>3709</v>
      </c>
      <c r="L24" s="71">
        <f>'FS-AD Daily '!I28</f>
        <v>2287</v>
      </c>
      <c r="M24" s="71">
        <f>'FS-AD Daily '!J28</f>
        <v>7166</v>
      </c>
      <c r="N24" s="71">
        <f>'FS-AD Daily '!T28</f>
        <v>218.96000000000004</v>
      </c>
      <c r="O24" s="71">
        <f>'FS-AD Daily '!R28</f>
        <v>73.92699999999877</v>
      </c>
      <c r="P24" s="71">
        <f>'FS-AD Daily '!Z28</f>
        <v>824</v>
      </c>
      <c r="Q24" s="71">
        <f>'FS-AD Daily '!V28</f>
        <v>238</v>
      </c>
      <c r="R24" s="71">
        <f>'FS-AD Daily '!W28</f>
        <v>180.92999999999302</v>
      </c>
      <c r="S24" s="71">
        <f t="shared" si="0"/>
        <v>405.07000000000698</v>
      </c>
      <c r="T24" s="71">
        <f>'FS-AD Daily '!AD28*3.516</f>
        <v>50257.703999999998</v>
      </c>
      <c r="U24" s="71">
        <f>('FS-AD Daily '!AF28)*1000</f>
        <v>24800.00000000291</v>
      </c>
      <c r="V24" s="71">
        <f>('FS-AD Daily '!AG28)*1000</f>
        <v>1099.9999999985448</v>
      </c>
      <c r="W24" s="71">
        <f>'FS-AD Daily '!AH28*1000</f>
        <v>8299.9999999992724</v>
      </c>
      <c r="X24" s="135">
        <f>('FS-AD Daily '!AK28)*1000</f>
        <v>23399.999999994179</v>
      </c>
      <c r="Y24" s="137">
        <v>115</v>
      </c>
      <c r="Z24" s="137">
        <v>226</v>
      </c>
    </row>
    <row r="25" spans="1:26" x14ac:dyDescent="0.25">
      <c r="A25" s="103" t="s">
        <v>80</v>
      </c>
      <c r="B25" s="69">
        <f t="shared" si="1"/>
        <v>24</v>
      </c>
      <c r="C25" s="70">
        <v>12</v>
      </c>
      <c r="D25" s="69">
        <v>2021</v>
      </c>
      <c r="E25" s="71">
        <f>'FS-AD Daily '!B29</f>
        <v>6584</v>
      </c>
      <c r="F25" s="71">
        <f>'FS-AD Daily '!C29</f>
        <v>3860</v>
      </c>
      <c r="G25" s="71">
        <f>'FS-AD Daily '!D29</f>
        <v>936</v>
      </c>
      <c r="H25" s="71">
        <f>'FS-AD Daily '!E29</f>
        <v>7279</v>
      </c>
      <c r="I25" s="71">
        <f>'FS-AD Daily '!F29</f>
        <v>6240</v>
      </c>
      <c r="J25" s="71">
        <f>'FS-AD Daily '!G29</f>
        <v>2890</v>
      </c>
      <c r="K25" s="71">
        <f>'FS-AD Daily '!H29</f>
        <v>3737</v>
      </c>
      <c r="L25" s="71">
        <f>'FS-AD Daily '!I29</f>
        <v>2253</v>
      </c>
      <c r="M25" s="71">
        <f>'FS-AD Daily '!J29</f>
        <v>7475</v>
      </c>
      <c r="N25" s="71">
        <f>'FS-AD Daily '!T29</f>
        <v>190.88600000000224</v>
      </c>
      <c r="O25" s="71">
        <f>'FS-AD Daily '!R29</f>
        <v>76.386000000000422</v>
      </c>
      <c r="P25" s="71">
        <f>'FS-AD Daily '!Z29</f>
        <v>802</v>
      </c>
      <c r="Q25" s="71">
        <f>'FS-AD Daily '!V29</f>
        <v>229.5</v>
      </c>
      <c r="R25" s="71">
        <f>'FS-AD Daily '!W29</f>
        <v>180.32000000000698</v>
      </c>
      <c r="S25" s="71">
        <f t="shared" si="0"/>
        <v>392.17999999999302</v>
      </c>
      <c r="T25" s="71">
        <f>'FS-AD Daily '!AD29*3.516</f>
        <v>51569.171999999999</v>
      </c>
      <c r="U25" s="71">
        <f>('FS-AD Daily '!AF29)*1000</f>
        <v>26000</v>
      </c>
      <c r="V25" s="71">
        <f>('FS-AD Daily '!AG29)*1000</f>
        <v>5500</v>
      </c>
      <c r="W25" s="71">
        <f>'FS-AD Daily '!AH29*1000</f>
        <v>8200.0000000007276</v>
      </c>
      <c r="X25" s="135">
        <f>('FS-AD Daily '!AK29)*1000</f>
        <v>23100.000000005821</v>
      </c>
      <c r="Y25" s="137">
        <v>119</v>
      </c>
      <c r="Z25" s="137">
        <v>230</v>
      </c>
    </row>
    <row r="26" spans="1:26" x14ac:dyDescent="0.25">
      <c r="A26" s="103" t="s">
        <v>80</v>
      </c>
      <c r="B26" s="69">
        <f>B25+1</f>
        <v>25</v>
      </c>
      <c r="C26" s="70">
        <v>12</v>
      </c>
      <c r="D26" s="69">
        <v>2021</v>
      </c>
      <c r="E26" s="71">
        <f>'FS-AD Daily '!B30</f>
        <v>6484</v>
      </c>
      <c r="F26" s="71">
        <f>'FS-AD Daily '!C30</f>
        <v>4921</v>
      </c>
      <c r="G26" s="71">
        <f>'FS-AD Daily '!D30</f>
        <v>909</v>
      </c>
      <c r="H26" s="71">
        <f>'FS-AD Daily '!E30</f>
        <v>7185</v>
      </c>
      <c r="I26" s="71">
        <f>'FS-AD Daily '!F30</f>
        <v>6244</v>
      </c>
      <c r="J26" s="71">
        <f>'FS-AD Daily '!G30</f>
        <v>2746</v>
      </c>
      <c r="K26" s="71">
        <f>'FS-AD Daily '!H30</f>
        <v>3597</v>
      </c>
      <c r="L26" s="71">
        <f>'FS-AD Daily '!I30</f>
        <v>2197</v>
      </c>
      <c r="M26" s="71">
        <f>'FS-AD Daily '!J30</f>
        <v>7210</v>
      </c>
      <c r="N26" s="71">
        <f>'FS-AD Daily '!T30</f>
        <v>234.34999999999945</v>
      </c>
      <c r="O26" s="71">
        <f>'FS-AD Daily '!R30</f>
        <v>80.214999999998781</v>
      </c>
      <c r="P26" s="71">
        <f>'FS-AD Daily '!Z30</f>
        <v>878</v>
      </c>
      <c r="Q26" s="71">
        <f>'FS-AD Daily '!V30</f>
        <v>252.5</v>
      </c>
      <c r="R26" s="71">
        <f>'FS-AD Daily '!W30</f>
        <v>196.77999999999884</v>
      </c>
      <c r="S26" s="71">
        <f t="shared" si="0"/>
        <v>428.72000000000116</v>
      </c>
      <c r="T26" s="71">
        <f>'FS-AD Daily '!AD30*3.516</f>
        <v>54093.66</v>
      </c>
      <c r="U26" s="71">
        <f>('FS-AD Daily '!AF30)*1000</f>
        <v>28000</v>
      </c>
      <c r="V26" s="71">
        <f>('FS-AD Daily '!AG30)*1000</f>
        <v>2800.0000000029104</v>
      </c>
      <c r="W26" s="71">
        <f>'FS-AD Daily '!AH30*1000</f>
        <v>8400.0000000014552</v>
      </c>
      <c r="X26" s="135">
        <f>('FS-AD Daily '!AK30)*1000</f>
        <v>24299.999999995634</v>
      </c>
      <c r="Y26" s="137">
        <v>109</v>
      </c>
      <c r="Z26" s="137">
        <v>194</v>
      </c>
    </row>
    <row r="27" spans="1:26" x14ac:dyDescent="0.25">
      <c r="A27" s="103" t="s">
        <v>80</v>
      </c>
      <c r="B27" s="69">
        <f t="shared" si="1"/>
        <v>26</v>
      </c>
      <c r="C27" s="70">
        <v>12</v>
      </c>
      <c r="D27" s="69">
        <v>2021</v>
      </c>
      <c r="E27" s="71">
        <f>'FS-AD Daily '!B31</f>
        <v>6846</v>
      </c>
      <c r="F27" s="71">
        <f>'FS-AD Daily '!C31</f>
        <v>3977</v>
      </c>
      <c r="G27" s="71">
        <f>'FS-AD Daily '!D31</f>
        <v>879</v>
      </c>
      <c r="H27" s="71">
        <f>'FS-AD Daily '!E31</f>
        <v>7064</v>
      </c>
      <c r="I27" s="71">
        <f>'FS-AD Daily '!F31</f>
        <v>6009</v>
      </c>
      <c r="J27" s="71">
        <f>'FS-AD Daily '!G31</f>
        <v>2836</v>
      </c>
      <c r="K27" s="71">
        <f>'FS-AD Daily '!H31</f>
        <v>3650</v>
      </c>
      <c r="L27" s="71">
        <f>'FS-AD Daily '!I31</f>
        <v>2213</v>
      </c>
      <c r="M27" s="71">
        <f>'FS-AD Daily '!J31</f>
        <v>7161</v>
      </c>
      <c r="N27" s="71">
        <f>'FS-AD Daily '!T31</f>
        <v>227.80899999999929</v>
      </c>
      <c r="O27" s="71">
        <f>'FS-AD Daily '!R31</f>
        <v>63.918000000001484</v>
      </c>
      <c r="P27" s="71">
        <f>'FS-AD Daily '!Z31</f>
        <v>758</v>
      </c>
      <c r="Q27" s="71">
        <f>'FS-AD Daily '!V31</f>
        <v>199.90000000002328</v>
      </c>
      <c r="R27" s="71">
        <f>'FS-AD Daily '!W31</f>
        <v>184.39999999999418</v>
      </c>
      <c r="S27" s="71">
        <f t="shared" si="0"/>
        <v>373.69999999998254</v>
      </c>
      <c r="T27" s="71">
        <f>'FS-AD Daily '!AD31*3.516</f>
        <v>48032.076000000001</v>
      </c>
      <c r="U27" s="71">
        <f>('FS-AD Daily '!AF31)*1000</f>
        <v>23900.000000008731</v>
      </c>
      <c r="V27" s="71">
        <f>('FS-AD Daily '!AG31)*1000</f>
        <v>699.99999999708962</v>
      </c>
      <c r="W27" s="71">
        <f>'FS-AD Daily '!AH31*1000</f>
        <v>8000</v>
      </c>
      <c r="X27" s="135">
        <f>('FS-AD Daily '!AK31)*1000</f>
        <v>21700.000000004366</v>
      </c>
      <c r="Y27" s="137">
        <v>133</v>
      </c>
      <c r="Z27" s="137">
        <v>236</v>
      </c>
    </row>
    <row r="28" spans="1:26" x14ac:dyDescent="0.25">
      <c r="A28" s="103" t="s">
        <v>80</v>
      </c>
      <c r="B28" s="69">
        <f t="shared" si="1"/>
        <v>27</v>
      </c>
      <c r="C28" s="70">
        <v>12</v>
      </c>
      <c r="D28" s="69">
        <v>2021</v>
      </c>
      <c r="E28" s="71">
        <f>'FS-AD Daily '!B32</f>
        <v>6542</v>
      </c>
      <c r="F28" s="71">
        <f>'FS-AD Daily '!C32</f>
        <v>3940</v>
      </c>
      <c r="G28" s="71">
        <f>'FS-AD Daily '!D32</f>
        <v>870</v>
      </c>
      <c r="H28" s="71">
        <f>'FS-AD Daily '!E32</f>
        <v>7125</v>
      </c>
      <c r="I28" s="71">
        <f>'FS-AD Daily '!F32</f>
        <v>6005</v>
      </c>
      <c r="J28" s="71">
        <f>'FS-AD Daily '!G32</f>
        <v>2887</v>
      </c>
      <c r="K28" s="71">
        <f>'FS-AD Daily '!H32</f>
        <v>3712</v>
      </c>
      <c r="L28" s="71">
        <f>'FS-AD Daily '!I32</f>
        <v>2258</v>
      </c>
      <c r="M28" s="71">
        <f>'FS-AD Daily '!J32</f>
        <v>7182</v>
      </c>
      <c r="N28" s="71">
        <f>'FS-AD Daily '!T32</f>
        <v>225.65800000000127</v>
      </c>
      <c r="O28" s="71">
        <f>'FS-AD Daily '!R32</f>
        <v>59.229999999999563</v>
      </c>
      <c r="P28" s="71">
        <f>'FS-AD Daily '!Z32</f>
        <v>793</v>
      </c>
      <c r="Q28" s="71">
        <f>'FS-AD Daily '!V32</f>
        <v>223.89999999996508</v>
      </c>
      <c r="R28" s="71">
        <f>'FS-AD Daily '!W32</f>
        <v>198.5800000000163</v>
      </c>
      <c r="S28" s="71">
        <f t="shared" si="0"/>
        <v>370.52000000001863</v>
      </c>
      <c r="T28" s="71">
        <f>'FS-AD Daily '!AD32*3.516</f>
        <v>47567.964</v>
      </c>
      <c r="U28" s="71">
        <f>('FS-AD Daily '!AF32)*1000</f>
        <v>23199.99999999709</v>
      </c>
      <c r="V28" s="71">
        <f>('FS-AD Daily '!AG32)*1000</f>
        <v>699.99999999708962</v>
      </c>
      <c r="W28" s="71">
        <f>'FS-AD Daily '!AH32*1000</f>
        <v>8200.0000000007276</v>
      </c>
      <c r="X28" s="135">
        <f>('FS-AD Daily '!AK32)*1000</f>
        <v>22699.99999999709</v>
      </c>
      <c r="Y28" s="137">
        <v>148</v>
      </c>
      <c r="Z28" s="137">
        <v>273</v>
      </c>
    </row>
    <row r="29" spans="1:26" x14ac:dyDescent="0.25">
      <c r="A29" s="103" t="s">
        <v>80</v>
      </c>
      <c r="B29" s="69">
        <f t="shared" si="1"/>
        <v>28</v>
      </c>
      <c r="C29" s="70">
        <v>12</v>
      </c>
      <c r="D29" s="69">
        <v>2021</v>
      </c>
      <c r="E29" s="71">
        <f>'FS-AD Daily '!B33</f>
        <v>7313</v>
      </c>
      <c r="F29" s="71">
        <f>'FS-AD Daily '!C33</f>
        <v>4147</v>
      </c>
      <c r="G29" s="71">
        <f>'FS-AD Daily '!D33</f>
        <v>930</v>
      </c>
      <c r="H29" s="71">
        <f>'FS-AD Daily '!E33</f>
        <v>7139</v>
      </c>
      <c r="I29" s="71">
        <f>'FS-AD Daily '!F33</f>
        <v>6211</v>
      </c>
      <c r="J29" s="71">
        <f>'FS-AD Daily '!G33</f>
        <v>2909</v>
      </c>
      <c r="K29" s="71">
        <f>'FS-AD Daily '!H33</f>
        <v>3756</v>
      </c>
      <c r="L29" s="71">
        <f>'FS-AD Daily '!I33</f>
        <v>2257</v>
      </c>
      <c r="M29" s="71">
        <f>'FS-AD Daily '!J33</f>
        <v>7233</v>
      </c>
      <c r="N29" s="71">
        <f>'FS-AD Daily '!T33</f>
        <v>251.2009999999982</v>
      </c>
      <c r="O29" s="71">
        <f>'FS-AD Daily '!R33</f>
        <v>71.235999999998967</v>
      </c>
      <c r="P29" s="71">
        <f>'FS-AD Daily '!Z33</f>
        <v>820</v>
      </c>
      <c r="Q29" s="71">
        <f>'FS-AD Daily '!V33</f>
        <v>248.79999999998836</v>
      </c>
      <c r="R29" s="71">
        <f>'FS-AD Daily '!W33</f>
        <v>201.26999999998952</v>
      </c>
      <c r="S29" s="71">
        <f t="shared" si="0"/>
        <v>369.93000000002212</v>
      </c>
      <c r="T29" s="71">
        <f>'FS-AD Daily '!AD33*3.516</f>
        <v>47958.239999999998</v>
      </c>
      <c r="U29" s="71">
        <f>('FS-AD Daily '!AF33)*1000</f>
        <v>24000</v>
      </c>
      <c r="V29" s="71">
        <f>('FS-AD Daily '!AG33)*1000</f>
        <v>0</v>
      </c>
      <c r="W29" s="71">
        <f>'FS-AD Daily '!AH33*1000</f>
        <v>8199.9999999970896</v>
      </c>
      <c r="X29" s="135">
        <f>('FS-AD Daily '!AK33)*1000</f>
        <v>22300.00000000291</v>
      </c>
      <c r="Y29" s="137">
        <v>148</v>
      </c>
      <c r="Z29" s="137">
        <v>279</v>
      </c>
    </row>
    <row r="30" spans="1:26" x14ac:dyDescent="0.25">
      <c r="A30" s="103" t="s">
        <v>80</v>
      </c>
      <c r="B30" s="69">
        <f t="shared" si="1"/>
        <v>29</v>
      </c>
      <c r="C30" s="70">
        <v>12</v>
      </c>
      <c r="D30" s="69">
        <v>2021</v>
      </c>
      <c r="E30" s="71">
        <f>'FS-AD Daily '!B34</f>
        <v>6645</v>
      </c>
      <c r="F30" s="71">
        <f>'FS-AD Daily '!C34</f>
        <v>4091</v>
      </c>
      <c r="G30" s="71">
        <f>'FS-AD Daily '!D34</f>
        <v>955</v>
      </c>
      <c r="H30" s="71">
        <f>'FS-AD Daily '!E34</f>
        <v>7254</v>
      </c>
      <c r="I30" s="71">
        <f>'FS-AD Daily '!F34</f>
        <v>6213</v>
      </c>
      <c r="J30" s="71">
        <f>'FS-AD Daily '!G34</f>
        <v>2819</v>
      </c>
      <c r="K30" s="71">
        <f>'FS-AD Daily '!H34</f>
        <v>3737</v>
      </c>
      <c r="L30" s="71">
        <f>'FS-AD Daily '!I34</f>
        <v>2248</v>
      </c>
      <c r="M30" s="71">
        <f>'FS-AD Daily '!J34</f>
        <v>7277</v>
      </c>
      <c r="N30" s="71">
        <f>'FS-AD Daily '!T34</f>
        <v>230.69500000000062</v>
      </c>
      <c r="O30" s="71">
        <f>'FS-AD Daily '!R34</f>
        <v>71.634999999999764</v>
      </c>
      <c r="P30" s="71">
        <f>'FS-AD Daily '!Z34</f>
        <v>841</v>
      </c>
      <c r="Q30" s="71">
        <f>'FS-AD Daily '!V34</f>
        <v>249.40000000002328</v>
      </c>
      <c r="R30" s="71">
        <f>'FS-AD Daily '!W34</f>
        <v>201.60000000000582</v>
      </c>
      <c r="S30" s="71">
        <f t="shared" si="0"/>
        <v>389.9999999999709</v>
      </c>
      <c r="T30" s="71">
        <f>'FS-AD Daily '!AD34*3.516</f>
        <v>47184.72</v>
      </c>
      <c r="U30" s="71">
        <f>('FS-AD Daily '!AF34)*1000</f>
        <v>24399.999999994179</v>
      </c>
      <c r="V30" s="71">
        <f>('FS-AD Daily '!AG34)*1000</f>
        <v>200.00000000436557</v>
      </c>
      <c r="W30" s="71">
        <f>'FS-AD Daily '!AH34*1000</f>
        <v>8100.0000000021828</v>
      </c>
      <c r="X30" s="135">
        <f>('FS-AD Daily '!AK34)*1000</f>
        <v>22599.999999998545</v>
      </c>
      <c r="Y30" s="137">
        <v>120</v>
      </c>
      <c r="Z30" s="137">
        <v>231</v>
      </c>
    </row>
    <row r="31" spans="1:26" x14ac:dyDescent="0.25">
      <c r="A31" s="103" t="s">
        <v>80</v>
      </c>
      <c r="B31" s="69">
        <f t="shared" si="1"/>
        <v>30</v>
      </c>
      <c r="C31" s="70">
        <v>12</v>
      </c>
      <c r="D31" s="69">
        <v>2021</v>
      </c>
      <c r="E31" s="71">
        <f>'FS-AD Daily '!B35</f>
        <v>6166</v>
      </c>
      <c r="F31" s="71">
        <f>'FS-AD Daily '!C35</f>
        <v>4306</v>
      </c>
      <c r="G31" s="71">
        <f>'FS-AD Daily '!D35</f>
        <v>933</v>
      </c>
      <c r="H31" s="71">
        <f>'FS-AD Daily '!E35</f>
        <v>7066</v>
      </c>
      <c r="I31" s="71">
        <f>'FS-AD Daily '!F35</f>
        <v>6409</v>
      </c>
      <c r="J31" s="71">
        <f>'FS-AD Daily '!G35</f>
        <v>2855</v>
      </c>
      <c r="K31" s="71">
        <f>'FS-AD Daily '!H35</f>
        <v>3739</v>
      </c>
      <c r="L31" s="71">
        <f>'FS-AD Daily '!I35</f>
        <v>2290</v>
      </c>
      <c r="M31" s="71">
        <f>'FS-AD Daily '!J35</f>
        <v>7362</v>
      </c>
      <c r="N31" s="71">
        <f>'FS-AD Daily '!T35</f>
        <v>238.15999999999804</v>
      </c>
      <c r="O31" s="71">
        <f>'FS-AD Daily '!R35</f>
        <v>79.131000000001222</v>
      </c>
      <c r="P31" s="71">
        <f>'FS-AD Daily '!Z35</f>
        <v>864</v>
      </c>
      <c r="Q31" s="71">
        <f>'FS-AD Daily '!V35</f>
        <v>240.90000000002328</v>
      </c>
      <c r="R31" s="71">
        <f>'FS-AD Daily '!W35</f>
        <v>199.57000000000698</v>
      </c>
      <c r="S31" s="71">
        <f t="shared" ref="S31:S32" si="2">P31-Q31-R31</f>
        <v>423.52999999996973</v>
      </c>
      <c r="T31" s="71">
        <f>'FS-AD Daily '!AD35*3.516</f>
        <v>47230.428</v>
      </c>
      <c r="U31" s="71">
        <f>('FS-AD Daily '!AF35)*1000</f>
        <v>25600.000000005821</v>
      </c>
      <c r="V31" s="71">
        <f>('FS-AD Daily '!AG35)*1000</f>
        <v>5599.9999999985448</v>
      </c>
      <c r="W31" s="71">
        <f>'FS-AD Daily '!AH35*1000</f>
        <v>6700.0000000007276</v>
      </c>
      <c r="X31" s="135">
        <f>('FS-AD Daily '!AK35)*1000</f>
        <v>23400.000000001455</v>
      </c>
      <c r="Y31" s="137">
        <v>101</v>
      </c>
      <c r="Z31" s="137">
        <v>193</v>
      </c>
    </row>
    <row r="32" spans="1:26" ht="15.75" thickBot="1" x14ac:dyDescent="0.3">
      <c r="A32" s="103" t="s">
        <v>80</v>
      </c>
      <c r="B32" s="69">
        <f t="shared" si="1"/>
        <v>31</v>
      </c>
      <c r="C32" s="70">
        <v>12</v>
      </c>
      <c r="D32" s="105">
        <v>2021</v>
      </c>
      <c r="E32" s="71">
        <f>'FS-AD Daily '!B36</f>
        <v>6351</v>
      </c>
      <c r="F32" s="71">
        <f>'FS-AD Daily '!C36</f>
        <v>4168</v>
      </c>
      <c r="G32" s="71">
        <f>'FS-AD Daily '!D36</f>
        <v>950</v>
      </c>
      <c r="H32" s="71">
        <f>'FS-AD Daily '!E36</f>
        <v>6977</v>
      </c>
      <c r="I32" s="71">
        <f>'FS-AD Daily '!F36</f>
        <v>6424</v>
      </c>
      <c r="J32" s="71">
        <f>'FS-AD Daily '!G36</f>
        <v>2872</v>
      </c>
      <c r="K32" s="71">
        <f>'FS-AD Daily '!H36</f>
        <v>3668</v>
      </c>
      <c r="L32" s="71">
        <f>'FS-AD Daily '!I36</f>
        <v>2259</v>
      </c>
      <c r="M32" s="71">
        <f>'FS-AD Daily '!J36</f>
        <v>7377</v>
      </c>
      <c r="N32" s="71">
        <f>'FS-AD Daily '!T36</f>
        <v>230.61200000000372</v>
      </c>
      <c r="O32" s="71">
        <f>'FS-AD Daily '!R36</f>
        <v>65.443999999999505</v>
      </c>
      <c r="P32" s="71">
        <f>'FS-AD Daily '!Z36</f>
        <v>893</v>
      </c>
      <c r="Q32" s="71">
        <f>'FS-AD Daily '!V36</f>
        <v>257.79999999998836</v>
      </c>
      <c r="R32" s="71">
        <f>'FS-AD Daily '!W36</f>
        <v>200.02999999999884</v>
      </c>
      <c r="S32" s="71">
        <f t="shared" si="2"/>
        <v>435.17000000001281</v>
      </c>
      <c r="T32" s="71">
        <f>'FS-AD Daily '!AD36*3.516</f>
        <v>48267.648000000001</v>
      </c>
      <c r="U32" s="71">
        <f>('FS-AD Daily '!AF36)*1000</f>
        <v>25899.999999994179</v>
      </c>
      <c r="V32" s="71">
        <f>('FS-AD Daily '!AG36)*1000</f>
        <v>5300.0000000029104</v>
      </c>
      <c r="W32" s="71">
        <f>'FS-AD Daily '!AH36*1000</f>
        <v>7199.9999999970896</v>
      </c>
      <c r="X32" s="135">
        <f>('FS-AD Daily '!AK36)*1000</f>
        <v>23599.999999998545</v>
      </c>
      <c r="Y32" s="137">
        <v>143</v>
      </c>
      <c r="Z32" s="137">
        <v>277</v>
      </c>
    </row>
    <row r="33" spans="9:26" x14ac:dyDescent="0.25">
      <c r="I33" s="4">
        <f t="shared" ref="I33:W33" si="3">SUM(I2:I32)</f>
        <v>191451</v>
      </c>
      <c r="J33" s="4">
        <f t="shared" si="3"/>
        <v>90597</v>
      </c>
      <c r="K33" s="4">
        <f t="shared" si="3"/>
        <v>129993</v>
      </c>
      <c r="L33" s="4">
        <f t="shared" si="3"/>
        <v>70662</v>
      </c>
      <c r="M33" s="4">
        <f t="shared" si="3"/>
        <v>220028</v>
      </c>
      <c r="N33" s="4">
        <f t="shared" si="3"/>
        <v>6508.7019999999948</v>
      </c>
      <c r="O33" s="4">
        <f t="shared" si="3"/>
        <v>2416.2569999999992</v>
      </c>
      <c r="P33" s="4">
        <f t="shared" si="3"/>
        <v>24329</v>
      </c>
      <c r="Q33" s="4">
        <f t="shared" si="3"/>
        <v>6609.4000000000233</v>
      </c>
      <c r="R33" s="4">
        <f t="shared" si="3"/>
        <v>5430.7200000000012</v>
      </c>
      <c r="S33" s="4">
        <f t="shared" si="3"/>
        <v>12288.879999999976</v>
      </c>
      <c r="T33" s="4">
        <f t="shared" si="3"/>
        <v>1640723.8199999998</v>
      </c>
      <c r="U33" s="4">
        <f t="shared" si="3"/>
        <v>827099.99999999127</v>
      </c>
      <c r="V33" s="4">
        <f t="shared" si="3"/>
        <v>218300.00000000291</v>
      </c>
      <c r="W33" s="4">
        <f t="shared" si="3"/>
        <v>270599.99999999854</v>
      </c>
      <c r="X33" s="4">
        <f>'FS-AD Daily '!U38</f>
        <v>32084.768799999965</v>
      </c>
      <c r="Y33" s="4">
        <f>SUM(Y2:Y32)</f>
        <v>4421</v>
      </c>
      <c r="Z33" s="4">
        <f>SUM(Z2:Z32)</f>
        <v>7150</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opLeftCell="T1" zoomScale="85" zoomScaleNormal="85" workbookViewId="0">
      <pane ySplit="5" topLeftCell="A7" activePane="bottomLeft" state="frozen"/>
      <selection pane="bottomLeft" activeCell="AN16" sqref="AN16:AN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24" t="s">
        <v>14</v>
      </c>
      <c r="C1" s="124"/>
      <c r="D1" s="124"/>
      <c r="E1" s="124"/>
      <c r="F1" s="124"/>
      <c r="G1" s="124"/>
      <c r="H1" s="124"/>
      <c r="I1" s="124"/>
      <c r="J1" s="124"/>
      <c r="K1" s="25" t="s">
        <v>15</v>
      </c>
      <c r="L1" s="26" t="s">
        <v>16</v>
      </c>
      <c r="M1" s="27" t="s">
        <v>17</v>
      </c>
      <c r="N1" s="28" t="s">
        <v>18</v>
      </c>
      <c r="O1" s="28" t="s">
        <v>19</v>
      </c>
      <c r="P1" s="65" t="s">
        <v>20</v>
      </c>
      <c r="Q1" s="30" t="s">
        <v>21</v>
      </c>
      <c r="R1" s="31" t="s">
        <v>22</v>
      </c>
      <c r="S1" s="29" t="s">
        <v>23</v>
      </c>
      <c r="T1" s="32" t="s">
        <v>24</v>
      </c>
      <c r="U1" s="33" t="s">
        <v>25</v>
      </c>
      <c r="V1" s="32" t="s">
        <v>26</v>
      </c>
      <c r="W1" s="32" t="s">
        <v>27</v>
      </c>
      <c r="X1" s="125" t="s">
        <v>28</v>
      </c>
      <c r="Y1" s="125"/>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26" t="s">
        <v>41</v>
      </c>
      <c r="L2" s="128" t="s">
        <v>42</v>
      </c>
      <c r="M2" s="10"/>
      <c r="N2" s="10"/>
      <c r="O2" s="10"/>
      <c r="P2" s="10"/>
      <c r="Q2" s="10"/>
      <c r="R2" s="10"/>
      <c r="S2" s="130"/>
      <c r="T2" s="47"/>
      <c r="U2" s="131"/>
      <c r="V2" s="45"/>
      <c r="W2" s="45"/>
      <c r="X2" s="22">
        <v>1</v>
      </c>
      <c r="Y2" s="22">
        <v>2</v>
      </c>
      <c r="Z2" s="23"/>
      <c r="AA2" s="128" t="s">
        <v>100</v>
      </c>
      <c r="AB2" s="43"/>
      <c r="AC2" s="126" t="s">
        <v>43</v>
      </c>
      <c r="AD2" s="133"/>
      <c r="AE2" s="131" t="s">
        <v>102</v>
      </c>
      <c r="AF2" s="45"/>
      <c r="AG2" s="45"/>
      <c r="AH2" s="45"/>
      <c r="AI2" s="44"/>
      <c r="AJ2" s="44"/>
      <c r="AK2" s="44"/>
      <c r="AL2" s="44"/>
      <c r="AM2" s="131" t="s">
        <v>102</v>
      </c>
      <c r="AN2" s="134"/>
      <c r="AO2" s="132"/>
    </row>
    <row r="3" spans="1:44" ht="15" customHeight="1" x14ac:dyDescent="0.25">
      <c r="A3" s="9"/>
      <c r="B3" s="11" t="s">
        <v>44</v>
      </c>
      <c r="C3" s="11" t="s">
        <v>45</v>
      </c>
      <c r="D3" s="11" t="s">
        <v>46</v>
      </c>
      <c r="E3" s="11" t="s">
        <v>47</v>
      </c>
      <c r="F3" s="11" t="s">
        <v>48</v>
      </c>
      <c r="G3" s="11" t="s">
        <v>49</v>
      </c>
      <c r="H3" s="11" t="s">
        <v>50</v>
      </c>
      <c r="I3" s="11" t="s">
        <v>51</v>
      </c>
      <c r="J3" s="11" t="s">
        <v>52</v>
      </c>
      <c r="K3" s="127"/>
      <c r="L3" s="129"/>
      <c r="M3" s="10"/>
      <c r="N3" s="10"/>
      <c r="O3" s="10"/>
      <c r="P3" s="10"/>
      <c r="Q3" s="10"/>
      <c r="R3" s="10"/>
      <c r="S3" s="130"/>
      <c r="T3" s="47"/>
      <c r="U3" s="131"/>
      <c r="V3" s="45"/>
      <c r="W3" s="45"/>
      <c r="X3" s="11"/>
      <c r="Y3" s="11"/>
      <c r="Z3" s="12"/>
      <c r="AA3" s="128"/>
      <c r="AB3" s="43"/>
      <c r="AC3" s="126"/>
      <c r="AD3" s="133"/>
      <c r="AE3" s="131"/>
      <c r="AF3" s="45"/>
      <c r="AG3" s="45"/>
      <c r="AH3" s="45"/>
      <c r="AI3" s="13"/>
      <c r="AJ3" s="44"/>
      <c r="AK3" s="44"/>
      <c r="AL3" s="44"/>
      <c r="AM3" s="131"/>
      <c r="AN3" s="134"/>
      <c r="AO3" s="132"/>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0"/>
      <c r="T4" s="47"/>
      <c r="U4" s="131"/>
      <c r="V4" s="45"/>
      <c r="W4" s="45"/>
      <c r="X4" s="52"/>
      <c r="Y4" s="87">
        <v>942684</v>
      </c>
      <c r="Z4" s="12"/>
      <c r="AA4" s="128"/>
      <c r="AB4" s="86">
        <v>10195316</v>
      </c>
      <c r="AC4" s="126"/>
      <c r="AD4" s="133"/>
      <c r="AE4" s="131"/>
      <c r="AF4" s="45"/>
      <c r="AG4" s="45"/>
      <c r="AH4" s="45"/>
      <c r="AI4" s="43">
        <v>49491.199999999997</v>
      </c>
      <c r="AJ4" s="43"/>
      <c r="AK4" s="43"/>
      <c r="AL4" s="43"/>
      <c r="AM4" s="131"/>
      <c r="AN4" s="134"/>
      <c r="AO4" s="132"/>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44531</v>
      </c>
      <c r="B6" s="86">
        <f>12981805-12975426</f>
        <v>6379</v>
      </c>
      <c r="C6" s="86">
        <f>8331277-8328220</f>
        <v>3057</v>
      </c>
      <c r="D6" s="86">
        <f>1644733-1643827</f>
        <v>906</v>
      </c>
      <c r="E6" s="86">
        <f>12422115-12415033</f>
        <v>7082</v>
      </c>
      <c r="F6" s="86">
        <f>12354822-12348683</f>
        <v>6139</v>
      </c>
      <c r="G6" s="86">
        <f>8764506-8761485</f>
        <v>3021</v>
      </c>
      <c r="H6" s="86">
        <f>9523541-9518193</f>
        <v>5348</v>
      </c>
      <c r="I6" s="86">
        <f>5552139-5549858</f>
        <v>2281</v>
      </c>
      <c r="J6" s="86">
        <f>12567810-12560733</f>
        <v>7077</v>
      </c>
      <c r="K6" s="63">
        <f>SUM(B6:H6)</f>
        <v>31932</v>
      </c>
      <c r="L6" s="40">
        <f>K6*0.2</f>
        <v>6386.4000000000005</v>
      </c>
      <c r="M6" s="83">
        <f>99868.544-99726.576</f>
        <v>141.96799999999348</v>
      </c>
      <c r="N6" s="83">
        <f>4609.752-4608.842</f>
        <v>0.91000000000076398</v>
      </c>
      <c r="O6" s="83">
        <f>10402.947-10401.325</f>
        <v>1.6219999999993888</v>
      </c>
      <c r="P6" s="82">
        <f>1110.305-1016.224</f>
        <v>94.081000000000017</v>
      </c>
      <c r="Q6" s="83">
        <f>26447.977-26435.409</f>
        <v>12.567999999999302</v>
      </c>
      <c r="R6" s="84">
        <f t="shared" ref="R6:R34" si="0">N6+O6+P6</f>
        <v>96.61300000000017</v>
      </c>
      <c r="S6" s="84">
        <f t="shared" ref="S6:S34" si="1">(N6+O6+P6)*7.84</f>
        <v>757.44592000000137</v>
      </c>
      <c r="T6" s="64">
        <f t="shared" ref="T6:T34" si="2">M6+Q6</f>
        <v>154.53599999999278</v>
      </c>
      <c r="U6" s="84">
        <f>T6*7.84</f>
        <v>1211.5622399999434</v>
      </c>
      <c r="V6" s="84">
        <f>384599.4-384408.3</f>
        <v>191.10000000003492</v>
      </c>
      <c r="W6" s="84">
        <f>137823.81-137669.73</f>
        <v>154.07999999998719</v>
      </c>
      <c r="X6" s="85" t="s">
        <v>63</v>
      </c>
      <c r="Y6" s="85">
        <v>943404</v>
      </c>
      <c r="Z6" s="61">
        <f>IF((Y6-Y5&lt;0), "0",Y6-Y4)</f>
        <v>720</v>
      </c>
      <c r="AA6" s="90">
        <f>Z6*6.47</f>
        <v>4658.3999999999996</v>
      </c>
      <c r="AB6" s="75">
        <v>10213353</v>
      </c>
      <c r="AC6" s="75">
        <f>AB4</f>
        <v>10195316</v>
      </c>
      <c r="AD6" s="41">
        <f t="shared" ref="AD6:AD34" si="3">IF((AB6-AC6&lt;0), "0",AB6-AC6)</f>
        <v>18037</v>
      </c>
      <c r="AE6" s="84">
        <f>AD6*0.332195</f>
        <v>5991.8012150000004</v>
      </c>
      <c r="AF6" s="84">
        <f>94949.5-94918.6</f>
        <v>30.899999999994179</v>
      </c>
      <c r="AG6" s="84">
        <f>50477.7-50469.5</f>
        <v>8.1999999999970896</v>
      </c>
      <c r="AH6" s="84">
        <f>29986.9-29977</f>
        <v>9.9000000000014552</v>
      </c>
      <c r="AI6" s="75">
        <f>AI4</f>
        <v>49491.199999999997</v>
      </c>
      <c r="AJ6" s="75">
        <v>49519</v>
      </c>
      <c r="AK6" s="59">
        <f>IF((AJ6-AI6)&lt;0, "0",AJ6-AI6)</f>
        <v>27.80000000000291</v>
      </c>
      <c r="AL6" s="120">
        <f t="shared" ref="AL6:AL34" si="4">AK6*(284.34513609)</f>
        <v>7904.7947833028275</v>
      </c>
      <c r="AM6" s="84">
        <f>AL6*0.332195</f>
        <v>2625.9333030392827</v>
      </c>
      <c r="AN6" s="101">
        <v>153</v>
      </c>
      <c r="AO6" s="77">
        <f t="shared" ref="AO6:AO36" si="5">L6+U6+AA6+AE6</f>
        <v>18248.163454999943</v>
      </c>
    </row>
    <row r="7" spans="1:44" x14ac:dyDescent="0.25">
      <c r="A7" s="79">
        <v>44532</v>
      </c>
      <c r="B7" s="86">
        <f>12988210-12981805</f>
        <v>6405</v>
      </c>
      <c r="C7" s="86">
        <f>8334915-8331277</f>
        <v>3638</v>
      </c>
      <c r="D7" s="86">
        <f>1645748-1644733</f>
        <v>1015</v>
      </c>
      <c r="E7" s="86">
        <f>12429191-12422115</f>
        <v>7076</v>
      </c>
      <c r="F7" s="86">
        <f>12360840-12354822</f>
        <v>6018</v>
      </c>
      <c r="G7" s="86">
        <f>8767494-8764506</f>
        <v>2988</v>
      </c>
      <c r="H7" s="86">
        <f>9528650-9523541</f>
        <v>5109</v>
      </c>
      <c r="I7" s="86">
        <f>5554380-5552139</f>
        <v>2241</v>
      </c>
      <c r="J7" s="86">
        <f>12575909-12567810</f>
        <v>8099</v>
      </c>
      <c r="K7" s="86">
        <f>SUM(B7:H7)</f>
        <v>32249</v>
      </c>
      <c r="L7" s="14">
        <f>K7*0.2</f>
        <v>6449.8</v>
      </c>
      <c r="M7" s="83">
        <f>100063.987-99868.544</f>
        <v>195.4429999999993</v>
      </c>
      <c r="N7" s="83">
        <f>4610.314-4609.752</f>
        <v>0.56199999999989814</v>
      </c>
      <c r="O7" s="83">
        <f>10404.294-10402.947</f>
        <v>1.3469999999997526</v>
      </c>
      <c r="P7" s="82">
        <f>1189.771-1110.305</f>
        <v>79.465999999999894</v>
      </c>
      <c r="Q7" s="83">
        <f>26463.479-26447.977</f>
        <v>15.502000000000407</v>
      </c>
      <c r="R7" s="83">
        <f t="shared" si="0"/>
        <v>81.374999999999545</v>
      </c>
      <c r="S7" s="83">
        <f>(N7+O7+P7)*7.84</f>
        <v>637.97999999999638</v>
      </c>
      <c r="T7" s="83">
        <f>M7+Q7</f>
        <v>210.94499999999971</v>
      </c>
      <c r="U7" s="83">
        <f>T7*7.84</f>
        <v>1653.8087999999977</v>
      </c>
      <c r="V7" s="83">
        <f>384808.5-384599.4</f>
        <v>209.09999999997672</v>
      </c>
      <c r="W7" s="83">
        <f>137992.42-137823.81</f>
        <v>168.61000000001513</v>
      </c>
      <c r="X7" s="86" t="s">
        <v>63</v>
      </c>
      <c r="Y7" s="86">
        <v>944179</v>
      </c>
      <c r="Z7" s="5">
        <f>IF((Y7-Y6&lt;0), "0",Y7-Y6)</f>
        <v>775</v>
      </c>
      <c r="AA7" s="14">
        <f t="shared" ref="AA7:AA34" si="6">Z7*6.47</f>
        <v>5014.25</v>
      </c>
      <c r="AB7" s="87">
        <v>10230464</v>
      </c>
      <c r="AC7" s="87">
        <f>AB6</f>
        <v>10213353</v>
      </c>
      <c r="AD7" s="5">
        <f t="shared" si="3"/>
        <v>17111</v>
      </c>
      <c r="AE7" s="83">
        <f>AD7*0.332195</f>
        <v>5684.1886450000002</v>
      </c>
      <c r="AF7" s="83">
        <f>94978.1-94949.5</f>
        <v>28.600000000005821</v>
      </c>
      <c r="AG7" s="83">
        <f>50489.9-50477.7</f>
        <v>12.200000000004366</v>
      </c>
      <c r="AH7" s="83">
        <f>29997-29986.9</f>
        <v>10.099999999998545</v>
      </c>
      <c r="AI7" s="87">
        <f>AJ6</f>
        <v>49519</v>
      </c>
      <c r="AJ7" s="86">
        <v>49545.4</v>
      </c>
      <c r="AK7" s="48">
        <f t="shared" ref="AK7:AK34" si="7">IF((AJ7-AI7)&lt;0, "0",AJ7-AI7)</f>
        <v>26.400000000001455</v>
      </c>
      <c r="AL7" s="89">
        <f t="shared" si="4"/>
        <v>7506.7115927764135</v>
      </c>
      <c r="AM7" s="83">
        <f>AL7*0.332195</f>
        <v>2493.6920575623608</v>
      </c>
      <c r="AN7" s="71">
        <v>175</v>
      </c>
      <c r="AO7" s="78">
        <f t="shared" si="5"/>
        <v>18802.047444999997</v>
      </c>
    </row>
    <row r="8" spans="1:44" x14ac:dyDescent="0.25">
      <c r="A8" s="79">
        <v>44533</v>
      </c>
      <c r="B8" s="86">
        <f>12995010-12988210</f>
        <v>6800</v>
      </c>
      <c r="C8" s="86">
        <f>8339089-8334915</f>
        <v>4174</v>
      </c>
      <c r="D8" s="86">
        <f>1646575-1645748</f>
        <v>827</v>
      </c>
      <c r="E8" s="86">
        <f>12436462-12429191</f>
        <v>7271</v>
      </c>
      <c r="F8" s="86">
        <f>12367309-12360840</f>
        <v>6469</v>
      </c>
      <c r="G8" s="86">
        <f>8770739-8767494</f>
        <v>3245</v>
      </c>
      <c r="H8" s="86">
        <f>9533822-9528650</f>
        <v>5172</v>
      </c>
      <c r="I8" s="86">
        <f>5556686-5554380</f>
        <v>2306</v>
      </c>
      <c r="J8" s="86">
        <f>12581925-12575909</f>
        <v>6016</v>
      </c>
      <c r="K8" s="86">
        <f>SUM(B8:H8)</f>
        <v>33958</v>
      </c>
      <c r="L8" s="14">
        <f t="shared" ref="L8:L34" si="8">K8*0.2</f>
        <v>6791.6</v>
      </c>
      <c r="M8" s="83">
        <f>255.156-63.987</f>
        <v>191.16900000000001</v>
      </c>
      <c r="N8" s="83">
        <f>4610.611-4610.314</f>
        <v>0.29699999999957072</v>
      </c>
      <c r="O8" s="83">
        <f>10405.341-10404.294</f>
        <v>1.0470000000004802</v>
      </c>
      <c r="P8" s="82">
        <f>1279.172-1189.771</f>
        <v>89.401000000000067</v>
      </c>
      <c r="Q8" s="83">
        <f>26473.966-26463.479</f>
        <v>10.48700000000099</v>
      </c>
      <c r="R8" s="83">
        <f t="shared" si="0"/>
        <v>90.745000000000118</v>
      </c>
      <c r="S8" s="83">
        <f>(N8+O8+P8)*7.84</f>
        <v>711.44080000000088</v>
      </c>
      <c r="T8" s="83">
        <f>M8+Q8</f>
        <v>201.656000000001</v>
      </c>
      <c r="U8" s="83">
        <f>T8*7.84</f>
        <v>1580.9830400000078</v>
      </c>
      <c r="V8" s="83">
        <f>385025-384808.5</f>
        <v>216.5</v>
      </c>
      <c r="W8" s="83">
        <f>138114.12-137992.42</f>
        <v>121.69999999998254</v>
      </c>
      <c r="X8" s="86" t="s">
        <v>63</v>
      </c>
      <c r="Y8" s="86">
        <v>944952</v>
      </c>
      <c r="Z8" s="5">
        <f t="shared" ref="Z8:Z34" si="9">IF((Y8-Y7&lt;0), "0",Y8-Y7)</f>
        <v>773</v>
      </c>
      <c r="AA8" s="14">
        <f t="shared" si="6"/>
        <v>5001.3099999999995</v>
      </c>
      <c r="AB8" s="87">
        <v>10248340</v>
      </c>
      <c r="AC8" s="87">
        <f t="shared" ref="AC8:AC34" si="10">AB7</f>
        <v>10230464</v>
      </c>
      <c r="AD8" s="5">
        <f t="shared" si="3"/>
        <v>17876</v>
      </c>
      <c r="AE8" s="83">
        <f t="shared" ref="AE8:AE36" si="11">AD8*0.332195</f>
        <v>5938.3178200000002</v>
      </c>
      <c r="AF8" s="83">
        <f>95009.2-94978.1</f>
        <v>31.099999999991269</v>
      </c>
      <c r="AG8" s="83">
        <f>50497.7-50489.9</f>
        <v>7.7999999999956344</v>
      </c>
      <c r="AH8" s="83">
        <f>30006.9-29997</f>
        <v>9.9000000000014552</v>
      </c>
      <c r="AI8" s="87">
        <f t="shared" ref="AI8:AI36" si="12">AJ7</f>
        <v>49545.4</v>
      </c>
      <c r="AJ8" s="86">
        <v>49572.2</v>
      </c>
      <c r="AK8" s="48">
        <f t="shared" si="7"/>
        <v>26.799999999995634</v>
      </c>
      <c r="AL8" s="89">
        <f t="shared" si="4"/>
        <v>7620.4496472107585</v>
      </c>
      <c r="AM8" s="83">
        <f t="shared" ref="AM8:AM34" si="13">AL8*0.332195</f>
        <v>2531.4752705551782</v>
      </c>
      <c r="AN8" s="71">
        <v>178</v>
      </c>
      <c r="AO8" s="78">
        <f t="shared" si="5"/>
        <v>19312.210860000007</v>
      </c>
    </row>
    <row r="9" spans="1:44" x14ac:dyDescent="0.25">
      <c r="A9" s="79">
        <v>44534</v>
      </c>
      <c r="B9" s="86">
        <f>13002544-12995010</f>
        <v>7534</v>
      </c>
      <c r="C9" s="86">
        <f>8342392-8339089</f>
        <v>3303</v>
      </c>
      <c r="D9" s="86">
        <f>1647175-1646575</f>
        <v>600</v>
      </c>
      <c r="E9" s="86">
        <f>12443655-12436462</f>
        <v>7193</v>
      </c>
      <c r="F9" s="86">
        <f>12373372-12367309</f>
        <v>6063</v>
      </c>
      <c r="G9" s="86">
        <f>8773800-8770739</f>
        <v>3061</v>
      </c>
      <c r="H9" s="86">
        <f>9538895-9533822</f>
        <v>5073</v>
      </c>
      <c r="I9" s="86">
        <f>5558970-5556686</f>
        <v>2284</v>
      </c>
      <c r="J9" s="122">
        <f>12588625-12581925</f>
        <v>6700</v>
      </c>
      <c r="K9" s="86">
        <f t="shared" ref="K9:K34" si="14">SUM(B9:H9)</f>
        <v>32827</v>
      </c>
      <c r="L9" s="14">
        <f t="shared" si="8"/>
        <v>6565.4000000000005</v>
      </c>
      <c r="M9" s="83">
        <f>426.084-255.156</f>
        <v>170.928</v>
      </c>
      <c r="N9" s="83">
        <f>4611.309-4610.611</f>
        <v>0.69800000000032014</v>
      </c>
      <c r="O9" s="83">
        <f>10406.933-10405.341</f>
        <v>1.592000000000553</v>
      </c>
      <c r="P9" s="82">
        <f>1352.311-1279.172</f>
        <v>73.138999999999896</v>
      </c>
      <c r="Q9" s="83">
        <f>26488.058-26473.966</f>
        <v>14.092000000000553</v>
      </c>
      <c r="R9" s="83">
        <f t="shared" si="0"/>
        <v>75.429000000000769</v>
      </c>
      <c r="S9" s="83">
        <f t="shared" si="1"/>
        <v>591.36336000000597</v>
      </c>
      <c r="T9" s="83">
        <f t="shared" si="2"/>
        <v>185.02000000000055</v>
      </c>
      <c r="U9" s="83">
        <f t="shared" ref="U9:U37" si="15">T9*7.84</f>
        <v>1450.5568000000044</v>
      </c>
      <c r="V9" s="83">
        <f>385216.8-385025</f>
        <v>191.79999999998836</v>
      </c>
      <c r="W9" s="83">
        <f>138288.26-138114.12</f>
        <v>174.14000000001397</v>
      </c>
      <c r="X9" s="86" t="s">
        <v>63</v>
      </c>
      <c r="Y9" s="86">
        <v>945703</v>
      </c>
      <c r="Z9" s="5">
        <f t="shared" si="9"/>
        <v>751</v>
      </c>
      <c r="AA9" s="14">
        <f t="shared" si="6"/>
        <v>4858.97</v>
      </c>
      <c r="AB9" s="87">
        <v>10264471</v>
      </c>
      <c r="AC9" s="87">
        <f t="shared" si="10"/>
        <v>10248340</v>
      </c>
      <c r="AD9" s="5">
        <f t="shared" si="3"/>
        <v>16131</v>
      </c>
      <c r="AE9" s="83">
        <f t="shared" si="11"/>
        <v>5358.6375450000005</v>
      </c>
      <c r="AF9" s="83">
        <f>95036-95009.2</f>
        <v>26.80000000000291</v>
      </c>
      <c r="AG9" s="83">
        <f>50506.9-50497.7</f>
        <v>9.2000000000043656</v>
      </c>
      <c r="AH9" s="83">
        <f>30016.4-30006.9</f>
        <v>9.5</v>
      </c>
      <c r="AI9" s="87">
        <f t="shared" si="12"/>
        <v>49572.2</v>
      </c>
      <c r="AJ9" s="86">
        <v>49597.7</v>
      </c>
      <c r="AK9" s="48">
        <f t="shared" si="7"/>
        <v>25.5</v>
      </c>
      <c r="AL9" s="89">
        <f t="shared" si="4"/>
        <v>7250.8009702949994</v>
      </c>
      <c r="AM9" s="83">
        <f t="shared" si="13"/>
        <v>2408.6798283271473</v>
      </c>
      <c r="AN9" s="71">
        <v>154</v>
      </c>
      <c r="AO9" s="78">
        <f t="shared" si="5"/>
        <v>18233.564345000006</v>
      </c>
    </row>
    <row r="10" spans="1:44" x14ac:dyDescent="0.25">
      <c r="A10" s="79">
        <v>44535</v>
      </c>
      <c r="B10" s="86">
        <f>13009820-13002544</f>
        <v>7276</v>
      </c>
      <c r="C10" s="86">
        <f>8345979-8342392</f>
        <v>3587</v>
      </c>
      <c r="D10" s="86">
        <f>1648368-1647175</f>
        <v>1193</v>
      </c>
      <c r="E10" s="86">
        <f>12450941-12443655</f>
        <v>7286</v>
      </c>
      <c r="F10" s="86">
        <f>12379329-12373372</f>
        <v>5957</v>
      </c>
      <c r="G10" s="86">
        <f>8776873-8773800</f>
        <v>3073</v>
      </c>
      <c r="H10" s="86">
        <f>9543901-9538895</f>
        <v>5006</v>
      </c>
      <c r="I10" s="86">
        <f>5561305-5558970</f>
        <v>2335</v>
      </c>
      <c r="J10" s="86">
        <f>12595503-12588625</f>
        <v>6878</v>
      </c>
      <c r="K10" s="86">
        <f t="shared" si="14"/>
        <v>33378</v>
      </c>
      <c r="L10" s="14">
        <f t="shared" si="8"/>
        <v>6675.6</v>
      </c>
      <c r="M10" s="83">
        <f>609.567-426.084</f>
        <v>183.483</v>
      </c>
      <c r="N10" s="83">
        <f>4612.396-4611.309</f>
        <v>1.0869999999995343</v>
      </c>
      <c r="O10" s="83">
        <f>10408.911-10406.933</f>
        <v>1.977999999999156</v>
      </c>
      <c r="P10" s="82">
        <f>1423.648-1352.311</f>
        <v>71.336999999999989</v>
      </c>
      <c r="Q10" s="83">
        <f>26500.267-26488.058</f>
        <v>12.208999999998923</v>
      </c>
      <c r="R10" s="83">
        <f t="shared" si="0"/>
        <v>74.401999999998679</v>
      </c>
      <c r="S10" s="83">
        <f t="shared" si="1"/>
        <v>583.31167999998968</v>
      </c>
      <c r="T10" s="83">
        <f t="shared" si="2"/>
        <v>195.69199999999893</v>
      </c>
      <c r="U10" s="83">
        <f t="shared" si="15"/>
        <v>1534.2252799999915</v>
      </c>
      <c r="V10" s="83">
        <f>385406.4-385216.8</f>
        <v>189.60000000003492</v>
      </c>
      <c r="W10" s="83">
        <f>138461.42-138288.26</f>
        <v>173.16000000000349</v>
      </c>
      <c r="X10" s="86" t="s">
        <v>63</v>
      </c>
      <c r="Y10" s="86">
        <v>946463</v>
      </c>
      <c r="Z10" s="5">
        <f t="shared" si="9"/>
        <v>760</v>
      </c>
      <c r="AA10" s="14">
        <f t="shared" si="6"/>
        <v>4917.2</v>
      </c>
      <c r="AB10" s="87">
        <v>10280189</v>
      </c>
      <c r="AC10" s="87">
        <f t="shared" si="10"/>
        <v>10264471</v>
      </c>
      <c r="AD10" s="5">
        <f t="shared" si="3"/>
        <v>15718</v>
      </c>
      <c r="AE10" s="83">
        <f t="shared" si="11"/>
        <v>5221.4410100000005</v>
      </c>
      <c r="AF10" s="83">
        <f>95062.5-95036</f>
        <v>26.5</v>
      </c>
      <c r="AG10" s="83">
        <f>50517.5-50506.9</f>
        <v>10.599999999998545</v>
      </c>
      <c r="AH10" s="83">
        <f>30025.7-30016.4</f>
        <v>9.2999999999992724</v>
      </c>
      <c r="AI10" s="87">
        <f t="shared" si="12"/>
        <v>49597.7</v>
      </c>
      <c r="AJ10" s="87">
        <v>49623.4</v>
      </c>
      <c r="AK10" s="48">
        <f t="shared" si="7"/>
        <v>25.700000000004366</v>
      </c>
      <c r="AL10" s="89">
        <f t="shared" si="4"/>
        <v>7307.669997514241</v>
      </c>
      <c r="AM10" s="83">
        <f t="shared" si="13"/>
        <v>2427.5714348242436</v>
      </c>
      <c r="AN10" s="71">
        <v>166</v>
      </c>
      <c r="AO10" s="78">
        <f t="shared" si="5"/>
        <v>18348.466289999989</v>
      </c>
    </row>
    <row r="11" spans="1:44" x14ac:dyDescent="0.25">
      <c r="A11" s="79">
        <v>44536</v>
      </c>
      <c r="B11" s="86">
        <f>13016785-13009820</f>
        <v>6965</v>
      </c>
      <c r="C11" s="86">
        <f>8349497-8345979</f>
        <v>3518</v>
      </c>
      <c r="D11" s="86">
        <f>1649280-1648368</f>
        <v>912</v>
      </c>
      <c r="E11" s="86">
        <f>12458437-12450941</f>
        <v>7496</v>
      </c>
      <c r="F11" s="86">
        <f>12385501-12379329</f>
        <v>6172</v>
      </c>
      <c r="G11" s="86">
        <f>8779975-8776873</f>
        <v>3102</v>
      </c>
      <c r="H11" s="86">
        <f>9549116-9543901</f>
        <v>5215</v>
      </c>
      <c r="I11" s="86">
        <f>5563748-5561305</f>
        <v>2443</v>
      </c>
      <c r="J11" s="86">
        <f>12602487-12595503</f>
        <v>6984</v>
      </c>
      <c r="K11" s="86">
        <f t="shared" si="14"/>
        <v>33380</v>
      </c>
      <c r="L11" s="14">
        <f t="shared" si="8"/>
        <v>6676</v>
      </c>
      <c r="M11" s="83">
        <f>772.588-609.567</f>
        <v>163.02099999999996</v>
      </c>
      <c r="N11" s="83">
        <f>4613.758-4612.396</f>
        <v>1.36200000000008</v>
      </c>
      <c r="O11" s="83">
        <f>10411.485-10408.911</f>
        <v>2.5740000000005239</v>
      </c>
      <c r="P11" s="82">
        <f>1496.154-1423.648</f>
        <v>72.506000000000085</v>
      </c>
      <c r="Q11" s="83">
        <f>26513.044-26500.267</f>
        <v>12.777000000001863</v>
      </c>
      <c r="R11" s="83">
        <f t="shared" si="0"/>
        <v>76.442000000000689</v>
      </c>
      <c r="S11" s="83">
        <f t="shared" si="1"/>
        <v>599.30528000000538</v>
      </c>
      <c r="T11" s="83">
        <f t="shared" si="2"/>
        <v>175.79800000000182</v>
      </c>
      <c r="U11" s="83">
        <f t="shared" si="15"/>
        <v>1378.2563200000143</v>
      </c>
      <c r="V11" s="83">
        <f>385583-385406.4</f>
        <v>176.59999999997672</v>
      </c>
      <c r="W11" s="83">
        <f>138625.82-138461.42</f>
        <v>164.39999999999418</v>
      </c>
      <c r="X11" s="86" t="s">
        <v>63</v>
      </c>
      <c r="Y11" s="86">
        <v>947220</v>
      </c>
      <c r="Z11" s="5">
        <f t="shared" si="9"/>
        <v>757</v>
      </c>
      <c r="AA11" s="14">
        <f t="shared" si="6"/>
        <v>4897.79</v>
      </c>
      <c r="AB11" s="87">
        <v>10295906</v>
      </c>
      <c r="AC11" s="86">
        <f t="shared" si="10"/>
        <v>10280189</v>
      </c>
      <c r="AD11" s="5">
        <f t="shared" si="3"/>
        <v>15717</v>
      </c>
      <c r="AE11" s="83">
        <f t="shared" si="11"/>
        <v>5221.1088150000005</v>
      </c>
      <c r="AF11" s="83">
        <f>95089.3-95062.5</f>
        <v>26.80000000000291</v>
      </c>
      <c r="AG11" s="83">
        <f>50529.2-50517.5</f>
        <v>11.69999999999709</v>
      </c>
      <c r="AH11" s="83">
        <f>30034.9-30025.7</f>
        <v>9.2000000000007276</v>
      </c>
      <c r="AI11" s="87">
        <f t="shared" si="12"/>
        <v>49623.4</v>
      </c>
      <c r="AJ11" s="87">
        <v>49648.9</v>
      </c>
      <c r="AK11" s="48">
        <f t="shared" si="7"/>
        <v>25.5</v>
      </c>
      <c r="AL11" s="89">
        <f t="shared" si="4"/>
        <v>7250.8009702949994</v>
      </c>
      <c r="AM11" s="83">
        <f t="shared" si="13"/>
        <v>2408.6798283271473</v>
      </c>
      <c r="AN11" s="71">
        <v>148</v>
      </c>
      <c r="AO11" s="78">
        <f t="shared" si="5"/>
        <v>18173.155135000015</v>
      </c>
    </row>
    <row r="12" spans="1:44" x14ac:dyDescent="0.25">
      <c r="A12" s="79">
        <v>44537</v>
      </c>
      <c r="B12" s="86">
        <f>13024131-13016785</f>
        <v>7346</v>
      </c>
      <c r="C12" s="86">
        <f>8353222-8349497</f>
        <v>3725</v>
      </c>
      <c r="D12" s="86">
        <f>1650213-1649280</f>
        <v>933</v>
      </c>
      <c r="E12" s="86">
        <f>12465963-12458437</f>
        <v>7526</v>
      </c>
      <c r="F12" s="86">
        <f>12391698-12385501</f>
        <v>6197</v>
      </c>
      <c r="G12" s="86">
        <f>8783211-8779975</f>
        <v>3236</v>
      </c>
      <c r="H12" s="86">
        <f>9554372-9549116</f>
        <v>5256</v>
      </c>
      <c r="I12" s="86">
        <f>5566152-5563748</f>
        <v>2404</v>
      </c>
      <c r="J12" s="86">
        <f>12609569-12602487</f>
        <v>7082</v>
      </c>
      <c r="K12" s="86">
        <f t="shared" si="14"/>
        <v>34219</v>
      </c>
      <c r="L12" s="14">
        <f t="shared" si="8"/>
        <v>6843.8</v>
      </c>
      <c r="M12" s="83">
        <f>950.107-772.588</f>
        <v>177.51900000000001</v>
      </c>
      <c r="N12" s="83">
        <f>4615.101-4613.758</f>
        <v>1.3429999999998472</v>
      </c>
      <c r="O12" s="83">
        <f>10414.316-10411.485</f>
        <v>2.831000000000131</v>
      </c>
      <c r="P12" s="82">
        <f>1570.788-1496.154</f>
        <v>74.634000000000015</v>
      </c>
      <c r="Q12" s="83">
        <f>26529.021-26513.044</f>
        <v>15.976999999998952</v>
      </c>
      <c r="R12" s="83">
        <f t="shared" si="0"/>
        <v>78.807999999999993</v>
      </c>
      <c r="S12" s="83">
        <f t="shared" si="1"/>
        <v>617.85471999999993</v>
      </c>
      <c r="T12" s="83">
        <f t="shared" si="2"/>
        <v>193.49599999999896</v>
      </c>
      <c r="U12" s="83">
        <f t="shared" si="15"/>
        <v>1517.0086399999918</v>
      </c>
      <c r="V12" s="83">
        <f>385768.6-385583</f>
        <v>185.59999999997672</v>
      </c>
      <c r="W12" s="83">
        <f>138797.97-138625.82</f>
        <v>172.14999999999418</v>
      </c>
      <c r="X12" s="86" t="s">
        <v>63</v>
      </c>
      <c r="Y12" s="86">
        <v>947981</v>
      </c>
      <c r="Z12" s="5">
        <f t="shared" si="9"/>
        <v>761</v>
      </c>
      <c r="AA12" s="14">
        <f t="shared" si="6"/>
        <v>4923.67</v>
      </c>
      <c r="AB12" s="87">
        <v>10312103</v>
      </c>
      <c r="AC12" s="86">
        <f t="shared" si="10"/>
        <v>10295906</v>
      </c>
      <c r="AD12" s="5">
        <f t="shared" si="3"/>
        <v>16197</v>
      </c>
      <c r="AE12" s="83">
        <f t="shared" si="11"/>
        <v>5380.5624150000003</v>
      </c>
      <c r="AF12" s="83">
        <f>95116.5-95089.3</f>
        <v>27.19999999999709</v>
      </c>
      <c r="AG12" s="83">
        <f>50542.6-50529.2</f>
        <v>13.400000000001455</v>
      </c>
      <c r="AH12" s="83">
        <f>30044-30034.9</f>
        <v>9.0999999999985448</v>
      </c>
      <c r="AI12" s="87">
        <f t="shared" si="12"/>
        <v>49648.9</v>
      </c>
      <c r="AJ12" s="87">
        <v>49674.5</v>
      </c>
      <c r="AK12" s="48">
        <f t="shared" si="7"/>
        <v>25.599999999998545</v>
      </c>
      <c r="AL12" s="89">
        <f t="shared" si="4"/>
        <v>7279.2354839035861</v>
      </c>
      <c r="AM12" s="83">
        <f t="shared" si="13"/>
        <v>2418.1256315753517</v>
      </c>
      <c r="AN12" s="71">
        <v>171</v>
      </c>
      <c r="AO12" s="78">
        <f t="shared" si="5"/>
        <v>18665.041054999994</v>
      </c>
    </row>
    <row r="13" spans="1:44" x14ac:dyDescent="0.25">
      <c r="A13" s="79">
        <v>44538</v>
      </c>
      <c r="B13" s="86">
        <f>13030749-13024131</f>
        <v>6618</v>
      </c>
      <c r="C13" s="86">
        <f>8356819-8353222</f>
        <v>3597</v>
      </c>
      <c r="D13" s="86">
        <f>1651101-1650213</f>
        <v>888</v>
      </c>
      <c r="E13" s="86">
        <f>12473072-12465963</f>
        <v>7109</v>
      </c>
      <c r="F13" s="86">
        <f>12397648-12391698</f>
        <v>5950</v>
      </c>
      <c r="G13" s="86">
        <f>8786097-8783211</f>
        <v>2886</v>
      </c>
      <c r="H13" s="86">
        <f>9559297-9554372</f>
        <v>4925</v>
      </c>
      <c r="I13" s="86">
        <f>5568423-5566152</f>
        <v>2271</v>
      </c>
      <c r="J13" s="86">
        <f>12616406-12609569</f>
        <v>6837</v>
      </c>
      <c r="K13" s="86">
        <f t="shared" si="14"/>
        <v>31973</v>
      </c>
      <c r="L13" s="14">
        <f t="shared" si="8"/>
        <v>6394.6</v>
      </c>
      <c r="M13" s="83">
        <f>1130.62-950.107</f>
        <v>180.51299999999992</v>
      </c>
      <c r="N13" s="83">
        <f>4616.308-4615.101</f>
        <v>1.2070000000003347</v>
      </c>
      <c r="O13" s="83">
        <f>10416.304-10414.316</f>
        <v>1.9879999999993743</v>
      </c>
      <c r="P13" s="82">
        <f>1646.934-1570.788</f>
        <v>76.145999999999958</v>
      </c>
      <c r="Q13" s="83">
        <f>26540.591-26529.021</f>
        <v>11.569999999999709</v>
      </c>
      <c r="R13" s="83">
        <f t="shared" si="0"/>
        <v>79.340999999999667</v>
      </c>
      <c r="S13" s="83">
        <f t="shared" si="1"/>
        <v>622.03343999999743</v>
      </c>
      <c r="T13" s="83">
        <f t="shared" si="2"/>
        <v>192.08299999999963</v>
      </c>
      <c r="U13" s="83">
        <f t="shared" si="15"/>
        <v>1505.9307199999971</v>
      </c>
      <c r="V13" s="83">
        <f>385963-385768.6</f>
        <v>194.40000000002328</v>
      </c>
      <c r="W13" s="83">
        <f>138972.8-138797.97</f>
        <v>174.82999999998719</v>
      </c>
      <c r="X13" s="86" t="s">
        <v>63</v>
      </c>
      <c r="Y13" s="86">
        <v>948746</v>
      </c>
      <c r="Z13" s="5">
        <f t="shared" si="9"/>
        <v>765</v>
      </c>
      <c r="AA13" s="14">
        <f t="shared" si="6"/>
        <v>4949.55</v>
      </c>
      <c r="AB13" s="87">
        <v>10328865</v>
      </c>
      <c r="AC13" s="86">
        <f t="shared" si="10"/>
        <v>10312103</v>
      </c>
      <c r="AD13" s="5">
        <f t="shared" si="3"/>
        <v>16762</v>
      </c>
      <c r="AE13" s="83">
        <f t="shared" si="11"/>
        <v>5568.2525900000001</v>
      </c>
      <c r="AF13" s="83">
        <f>95145.3-95116.5</f>
        <v>28.80000000000291</v>
      </c>
      <c r="AG13" s="83">
        <f>50551.2-50542.6</f>
        <v>8.5999999999985448</v>
      </c>
      <c r="AH13" s="83">
        <f>30053-30044</f>
        <v>9</v>
      </c>
      <c r="AI13" s="87">
        <f t="shared" si="12"/>
        <v>49674.5</v>
      </c>
      <c r="AJ13" s="87">
        <v>49700.1</v>
      </c>
      <c r="AK13" s="48">
        <f t="shared" si="7"/>
        <v>25.599999999998545</v>
      </c>
      <c r="AL13" s="89">
        <f t="shared" si="4"/>
        <v>7279.2354839035861</v>
      </c>
      <c r="AM13" s="83">
        <f t="shared" si="13"/>
        <v>2418.1256315753517</v>
      </c>
      <c r="AN13" s="71">
        <v>171</v>
      </c>
      <c r="AO13" s="78">
        <f t="shared" si="5"/>
        <v>18418.333309999998</v>
      </c>
    </row>
    <row r="14" spans="1:44" x14ac:dyDescent="0.25">
      <c r="A14" s="79">
        <v>44539</v>
      </c>
      <c r="B14" s="86">
        <f>13038444-13030749</f>
        <v>7695</v>
      </c>
      <c r="C14" s="86">
        <f>8361185-8356819</f>
        <v>4366</v>
      </c>
      <c r="D14" s="86">
        <f>1651989-1651101</f>
        <v>888</v>
      </c>
      <c r="E14" s="86">
        <f>12480594-12473072</f>
        <v>7522</v>
      </c>
      <c r="F14" s="86">
        <f>12403951-12397648</f>
        <v>6303</v>
      </c>
      <c r="G14" s="86">
        <f>8789116-8786097</f>
        <v>3019</v>
      </c>
      <c r="H14" s="86">
        <f>9564083-9559297</f>
        <v>4786</v>
      </c>
      <c r="I14" s="86">
        <f>5570772-5568423</f>
        <v>2349</v>
      </c>
      <c r="J14" s="86">
        <f>12623613-12616406</f>
        <v>7207</v>
      </c>
      <c r="K14" s="86">
        <f t="shared" si="14"/>
        <v>34579</v>
      </c>
      <c r="L14" s="14">
        <f t="shared" si="8"/>
        <v>6915.8</v>
      </c>
      <c r="M14" s="83">
        <f>1356.426-1130.62</f>
        <v>225.80600000000004</v>
      </c>
      <c r="N14" s="83">
        <f>4616.889-4616.308</f>
        <v>0.58100000000013097</v>
      </c>
      <c r="O14" s="83">
        <f>10418.641-10416.304</f>
        <v>2.3369999999995343</v>
      </c>
      <c r="P14" s="82">
        <f>1727.807-1646.934</f>
        <v>80.873000000000047</v>
      </c>
      <c r="Q14" s="83">
        <f>26565.131-26540.591</f>
        <v>24.540000000000873</v>
      </c>
      <c r="R14" s="83">
        <f>N14+O14+P14</f>
        <v>83.790999999999713</v>
      </c>
      <c r="S14" s="83">
        <f t="shared" si="1"/>
        <v>656.92143999999769</v>
      </c>
      <c r="T14" s="83">
        <f t="shared" si="2"/>
        <v>250.34600000000091</v>
      </c>
      <c r="U14" s="83">
        <f t="shared" si="15"/>
        <v>1962.712640000007</v>
      </c>
      <c r="V14" s="83">
        <f>386174.4-385963</f>
        <v>211.40000000002328</v>
      </c>
      <c r="W14" s="83">
        <f>139138.56-138972.8</f>
        <v>165.76000000000931</v>
      </c>
      <c r="X14" s="86" t="s">
        <v>63</v>
      </c>
      <c r="Y14" s="87">
        <v>949559</v>
      </c>
      <c r="Z14" s="5">
        <f>IF((Y14-Y13&lt;0), "0",Y14-Y13)</f>
        <v>813</v>
      </c>
      <c r="AA14" s="14">
        <f t="shared" si="6"/>
        <v>5260.11</v>
      </c>
      <c r="AB14" s="87">
        <v>10344269</v>
      </c>
      <c r="AC14" s="86">
        <f t="shared" si="10"/>
        <v>10328865</v>
      </c>
      <c r="AD14" s="5">
        <f t="shared" si="3"/>
        <v>15404</v>
      </c>
      <c r="AE14" s="83">
        <f t="shared" si="11"/>
        <v>5117.1317800000006</v>
      </c>
      <c r="AF14" s="83">
        <f>95174-95145.3</f>
        <v>28.69999999999709</v>
      </c>
      <c r="AG14" s="83">
        <f>50556.8-50551.2</f>
        <v>5.6000000000058208</v>
      </c>
      <c r="AH14" s="83">
        <f>30062.5-30053</f>
        <v>9.5</v>
      </c>
      <c r="AI14" s="87">
        <f t="shared" si="12"/>
        <v>49700.1</v>
      </c>
      <c r="AJ14" s="87">
        <v>49724.3</v>
      </c>
      <c r="AK14" s="48">
        <f t="shared" si="7"/>
        <v>24.200000000004366</v>
      </c>
      <c r="AL14" s="89">
        <f t="shared" si="4"/>
        <v>6881.1522933792412</v>
      </c>
      <c r="AM14" s="83">
        <f t="shared" si="13"/>
        <v>2285.8843860991174</v>
      </c>
      <c r="AN14" s="71">
        <v>148</v>
      </c>
      <c r="AO14" s="78">
        <f t="shared" si="5"/>
        <v>19255.754420000008</v>
      </c>
    </row>
    <row r="15" spans="1:44" x14ac:dyDescent="0.25">
      <c r="A15" s="79">
        <v>44540</v>
      </c>
      <c r="B15" s="86">
        <f>13045729-13038444</f>
        <v>7285</v>
      </c>
      <c r="C15" s="86">
        <f>8365308-8361185</f>
        <v>4123</v>
      </c>
      <c r="D15" s="86">
        <f>1652968-1651989</f>
        <v>979</v>
      </c>
      <c r="E15" s="86">
        <f>12488186-12480594</f>
        <v>7592</v>
      </c>
      <c r="F15" s="86">
        <f>12410394-12403951</f>
        <v>6443</v>
      </c>
      <c r="G15" s="86">
        <f>8792047-8789116</f>
        <v>2931</v>
      </c>
      <c r="H15" s="86">
        <f>9569409-9564083</f>
        <v>5326</v>
      </c>
      <c r="I15" s="86">
        <f>5573122-5570772</f>
        <v>2350</v>
      </c>
      <c r="J15" s="86">
        <f>12631135-12623613</f>
        <v>7522</v>
      </c>
      <c r="K15" s="86">
        <f t="shared" si="14"/>
        <v>34679</v>
      </c>
      <c r="L15" s="14">
        <f t="shared" si="8"/>
        <v>6935.8</v>
      </c>
      <c r="M15" s="83">
        <f>1535.245-1356.426</f>
        <v>178.81899999999996</v>
      </c>
      <c r="N15" s="83">
        <f>4617.291-4616.889</f>
        <v>0.40200000000004366</v>
      </c>
      <c r="O15" s="83">
        <f>10420.405-10418.641</f>
        <v>1.7640000000010332</v>
      </c>
      <c r="P15" s="82">
        <f>1817.71-1727.807</f>
        <v>89.90300000000002</v>
      </c>
      <c r="Q15" s="83">
        <f>26575.808-26565.131</f>
        <v>10.67699999999968</v>
      </c>
      <c r="R15" s="83">
        <f t="shared" si="0"/>
        <v>92.069000000001097</v>
      </c>
      <c r="S15" s="83">
        <f t="shared" si="1"/>
        <v>721.82096000000854</v>
      </c>
      <c r="T15" s="83">
        <f t="shared" si="2"/>
        <v>189.49599999999964</v>
      </c>
      <c r="U15" s="83">
        <f t="shared" si="15"/>
        <v>1485.6486399999972</v>
      </c>
      <c r="V15" s="83">
        <f>386368.6-386174.4</f>
        <v>194.19999999995343</v>
      </c>
      <c r="W15" s="83">
        <f>139280.2-139138.56</f>
        <v>141.64000000001397</v>
      </c>
      <c r="X15" s="86" t="s">
        <v>63</v>
      </c>
      <c r="Y15" s="87">
        <v>950335</v>
      </c>
      <c r="Z15" s="5">
        <f t="shared" si="9"/>
        <v>776</v>
      </c>
      <c r="AA15" s="14">
        <f t="shared" si="6"/>
        <v>5020.72</v>
      </c>
      <c r="AB15" s="87">
        <v>10360610</v>
      </c>
      <c r="AC15" s="86">
        <f t="shared" si="10"/>
        <v>10344269</v>
      </c>
      <c r="AD15" s="5">
        <f t="shared" si="3"/>
        <v>16341</v>
      </c>
      <c r="AE15" s="83">
        <f t="shared" si="11"/>
        <v>5428.3984950000004</v>
      </c>
      <c r="AF15" s="83">
        <f>95203.8-95174</f>
        <v>29.80000000000291</v>
      </c>
      <c r="AG15" s="83">
        <f>50568-50556.8</f>
        <v>11.19999999999709</v>
      </c>
      <c r="AH15" s="83">
        <f>30071.5-30062.5</f>
        <v>9</v>
      </c>
      <c r="AI15" s="87">
        <f t="shared" si="12"/>
        <v>49724.3</v>
      </c>
      <c r="AJ15" s="87">
        <v>49749.599999999999</v>
      </c>
      <c r="AK15" s="48">
        <f t="shared" si="7"/>
        <v>25.299999999995634</v>
      </c>
      <c r="AL15" s="89">
        <f t="shared" si="4"/>
        <v>7193.9319430757587</v>
      </c>
      <c r="AM15" s="83">
        <f t="shared" si="13"/>
        <v>2389.788221830052</v>
      </c>
      <c r="AN15" s="71">
        <v>152</v>
      </c>
      <c r="AO15" s="88">
        <f t="shared" si="5"/>
        <v>18870.567134999998</v>
      </c>
    </row>
    <row r="16" spans="1:44" x14ac:dyDescent="0.25">
      <c r="A16" s="79">
        <v>44541</v>
      </c>
      <c r="B16" s="86">
        <f>13053058-13045729</f>
        <v>7329</v>
      </c>
      <c r="C16" s="86">
        <f>8369014-8365308</f>
        <v>3706</v>
      </c>
      <c r="D16" s="86">
        <f>1653889-1652968</f>
        <v>921</v>
      </c>
      <c r="E16" s="86">
        <f>12495572-12488186</f>
        <v>7386</v>
      </c>
      <c r="F16" s="86">
        <f>12416554-12410394</f>
        <v>6160</v>
      </c>
      <c r="G16" s="86">
        <f>8794867-8792047</f>
        <v>2820</v>
      </c>
      <c r="H16" s="86">
        <f>9574606-9569409</f>
        <v>5197</v>
      </c>
      <c r="I16" s="86">
        <f>5575509-5573122</f>
        <v>2387</v>
      </c>
      <c r="J16" s="86">
        <f>12638270-12631135</f>
        <v>7135</v>
      </c>
      <c r="K16" s="86">
        <f t="shared" si="14"/>
        <v>33519</v>
      </c>
      <c r="L16" s="14">
        <f t="shared" si="8"/>
        <v>6703.8</v>
      </c>
      <c r="M16" s="83">
        <f>1718.755-1535.245</f>
        <v>183.51000000000022</v>
      </c>
      <c r="N16" s="83">
        <f>4617.949-4617.291</f>
        <v>0.65799999999944703</v>
      </c>
      <c r="O16" s="83">
        <f>10422.025-10420.405</f>
        <v>1.6199999999989814</v>
      </c>
      <c r="P16" s="82">
        <f>1904.57-1817.71</f>
        <v>86.8599999999999</v>
      </c>
      <c r="Q16" s="83">
        <f>26599.18-26575.808</f>
        <v>23.371999999999389</v>
      </c>
      <c r="R16" s="83">
        <f t="shared" si="0"/>
        <v>89.137999999998328</v>
      </c>
      <c r="S16" s="83">
        <f t="shared" si="1"/>
        <v>698.84191999998689</v>
      </c>
      <c r="T16" s="83">
        <f t="shared" si="2"/>
        <v>206.88199999999961</v>
      </c>
      <c r="U16" s="83">
        <f t="shared" si="15"/>
        <v>1621.9548799999968</v>
      </c>
      <c r="V16" s="83">
        <f>386566.4-386368.6</f>
        <v>197.80000000004657</v>
      </c>
      <c r="W16" s="83">
        <f>139443.37-139280.2</f>
        <v>163.1699999999837</v>
      </c>
      <c r="X16" s="86" t="s">
        <v>63</v>
      </c>
      <c r="Y16" s="87">
        <v>951063</v>
      </c>
      <c r="Z16" s="5">
        <f t="shared" si="9"/>
        <v>728</v>
      </c>
      <c r="AA16" s="14">
        <f t="shared" si="6"/>
        <v>4710.16</v>
      </c>
      <c r="AB16" s="87">
        <v>10377254</v>
      </c>
      <c r="AC16" s="86">
        <f t="shared" si="10"/>
        <v>10360610</v>
      </c>
      <c r="AD16" s="5">
        <f t="shared" si="3"/>
        <v>16644</v>
      </c>
      <c r="AE16" s="83">
        <f t="shared" si="11"/>
        <v>5529.0535800000007</v>
      </c>
      <c r="AF16" s="83">
        <f>95233.1-95203.8</f>
        <v>29.30000000000291</v>
      </c>
      <c r="AG16" s="83">
        <f>50581.8-50568</f>
        <v>13.80000000000291</v>
      </c>
      <c r="AH16" s="83">
        <f>30080.9-30071.5</f>
        <v>9.4000000000014552</v>
      </c>
      <c r="AI16" s="87">
        <f t="shared" si="12"/>
        <v>49749.599999999999</v>
      </c>
      <c r="AJ16" s="87">
        <v>49775.1</v>
      </c>
      <c r="AK16" s="48">
        <f t="shared" si="7"/>
        <v>25.5</v>
      </c>
      <c r="AL16" s="89">
        <f t="shared" si="4"/>
        <v>7250.8009702949994</v>
      </c>
      <c r="AM16" s="83">
        <f t="shared" si="13"/>
        <v>2408.6798283271473</v>
      </c>
      <c r="AN16" s="137">
        <v>181</v>
      </c>
      <c r="AO16" s="78">
        <f t="shared" si="5"/>
        <v>18564.968459999996</v>
      </c>
    </row>
    <row r="17" spans="1:41" x14ac:dyDescent="0.25">
      <c r="A17" s="79">
        <v>44542</v>
      </c>
      <c r="B17" s="86">
        <f>13061202-13053058</f>
        <v>8144</v>
      </c>
      <c r="C17" s="86">
        <f>8372801-8369014</f>
        <v>3787</v>
      </c>
      <c r="D17" s="86">
        <f>1654787-1653889</f>
        <v>898</v>
      </c>
      <c r="E17" s="86">
        <f>12502946-12495572</f>
        <v>7374</v>
      </c>
      <c r="F17" s="86">
        <f>12422564-12416554</f>
        <v>6010</v>
      </c>
      <c r="G17" s="86">
        <f>8797591-8794867</f>
        <v>2724</v>
      </c>
      <c r="H17" s="86">
        <f>9578787-9574606</f>
        <v>4181</v>
      </c>
      <c r="I17" s="86">
        <f>5577917-5575509</f>
        <v>2408</v>
      </c>
      <c r="J17" s="86">
        <f>12645351-12638270</f>
        <v>7081</v>
      </c>
      <c r="K17" s="86">
        <f t="shared" si="14"/>
        <v>33118</v>
      </c>
      <c r="L17" s="14">
        <f t="shared" si="8"/>
        <v>6623.6</v>
      </c>
      <c r="M17" s="83">
        <f>1933.418-1718.755</f>
        <v>214.66299999999978</v>
      </c>
      <c r="N17" s="83">
        <f>4618.644-4617.949</f>
        <v>0.69500000000061846</v>
      </c>
      <c r="O17" s="83">
        <f>10423.719-10422.025</f>
        <v>1.6939999999995052</v>
      </c>
      <c r="P17" s="82">
        <f>1984.524-1904.57</f>
        <v>79.953999999999951</v>
      </c>
      <c r="Q17" s="83">
        <f>26613.792-26599.18</f>
        <v>14.61200000000099</v>
      </c>
      <c r="R17" s="83">
        <f t="shared" si="0"/>
        <v>82.343000000000075</v>
      </c>
      <c r="S17" s="83">
        <f t="shared" si="1"/>
        <v>645.56912000000057</v>
      </c>
      <c r="T17" s="83">
        <f t="shared" si="2"/>
        <v>229.27500000000077</v>
      </c>
      <c r="U17" s="83">
        <f t="shared" si="15"/>
        <v>1797.516000000006</v>
      </c>
      <c r="V17" s="83">
        <f>386771.8-386566.4</f>
        <v>205.39999999996508</v>
      </c>
      <c r="W17" s="83">
        <f>139611.45-139443.37</f>
        <v>168.0800000000163</v>
      </c>
      <c r="X17" s="86" t="s">
        <v>63</v>
      </c>
      <c r="Y17" s="87">
        <v>951827</v>
      </c>
      <c r="Z17" s="5">
        <f t="shared" si="9"/>
        <v>764</v>
      </c>
      <c r="AA17" s="14">
        <f t="shared" si="6"/>
        <v>4943.08</v>
      </c>
      <c r="AB17" s="87">
        <v>10392980</v>
      </c>
      <c r="AC17" s="86">
        <f t="shared" si="10"/>
        <v>10377254</v>
      </c>
      <c r="AD17" s="5">
        <f t="shared" si="3"/>
        <v>15726</v>
      </c>
      <c r="AE17" s="83">
        <f t="shared" si="11"/>
        <v>5224.0985700000001</v>
      </c>
      <c r="AF17" s="83">
        <f>95260.5-95233.1</f>
        <v>27.399999999994179</v>
      </c>
      <c r="AG17" s="83">
        <f>50593.3-50581.8</f>
        <v>11.5</v>
      </c>
      <c r="AH17" s="83">
        <f>30090.5-30080.9</f>
        <v>9.5999999999985448</v>
      </c>
      <c r="AI17" s="87">
        <f t="shared" si="12"/>
        <v>49775.1</v>
      </c>
      <c r="AJ17" s="87">
        <v>49800.9</v>
      </c>
      <c r="AK17" s="48">
        <f t="shared" si="7"/>
        <v>25.80000000000291</v>
      </c>
      <c r="AL17" s="89">
        <f t="shared" si="4"/>
        <v>7336.1045111228268</v>
      </c>
      <c r="AM17" s="83">
        <f t="shared" si="13"/>
        <v>2437.0172380724475</v>
      </c>
      <c r="AN17" s="137">
        <v>183</v>
      </c>
      <c r="AO17" s="78">
        <f t="shared" si="5"/>
        <v>18588.294570000005</v>
      </c>
    </row>
    <row r="18" spans="1:41" x14ac:dyDescent="0.25">
      <c r="A18" s="79">
        <v>44543</v>
      </c>
      <c r="B18" s="86">
        <f>13068438-13061202</f>
        <v>7236</v>
      </c>
      <c r="C18" s="86">
        <f>8376646-8372801</f>
        <v>3845</v>
      </c>
      <c r="D18" s="86">
        <f>1655645-1654787</f>
        <v>858</v>
      </c>
      <c r="E18" s="86">
        <f>12510070-12502946</f>
        <v>7124</v>
      </c>
      <c r="F18" s="86">
        <f>12428450-12422564</f>
        <v>5886</v>
      </c>
      <c r="G18" s="86">
        <f>8800409-8797591</f>
        <v>2818</v>
      </c>
      <c r="H18" s="86">
        <f>9582221-9578787</f>
        <v>3434</v>
      </c>
      <c r="I18" s="86">
        <f>5580191-5577917</f>
        <v>2274</v>
      </c>
      <c r="J18" s="86">
        <f>12652150-12645351</f>
        <v>6799</v>
      </c>
      <c r="K18" s="86">
        <f t="shared" si="14"/>
        <v>31201</v>
      </c>
      <c r="L18" s="14">
        <f t="shared" si="8"/>
        <v>6240.2000000000007</v>
      </c>
      <c r="M18" s="83">
        <f>2125.99-1933.418</f>
        <v>192.57199999999989</v>
      </c>
      <c r="N18" s="83">
        <f>4619.317-4618.644</f>
        <v>0.67299999999977445</v>
      </c>
      <c r="O18" s="83">
        <f>10425.738-10423.719</f>
        <v>2.0190000000002328</v>
      </c>
      <c r="P18" s="82">
        <f>2062.386-1984.524</f>
        <v>77.86200000000008</v>
      </c>
      <c r="Q18" s="83">
        <f>26629.003-26613.792</f>
        <v>15.210999999999331</v>
      </c>
      <c r="R18" s="83">
        <f t="shared" si="0"/>
        <v>80.554000000000087</v>
      </c>
      <c r="S18" s="83">
        <f t="shared" si="1"/>
        <v>631.54336000000069</v>
      </c>
      <c r="T18" s="83">
        <f t="shared" si="2"/>
        <v>207.78299999999922</v>
      </c>
      <c r="U18" s="83">
        <f t="shared" si="15"/>
        <v>1629.0187199999939</v>
      </c>
      <c r="V18" s="83">
        <f>386972.9-386771.8</f>
        <v>201.10000000003492</v>
      </c>
      <c r="W18" s="83">
        <f>139775.1-139611.45</f>
        <v>163.64999999999418</v>
      </c>
      <c r="X18" s="86" t="s">
        <v>63</v>
      </c>
      <c r="Y18" s="87">
        <v>952593</v>
      </c>
      <c r="Z18" s="5">
        <f t="shared" si="9"/>
        <v>766</v>
      </c>
      <c r="AA18" s="14">
        <f t="shared" si="6"/>
        <v>4956.0199999999995</v>
      </c>
      <c r="AB18" s="87">
        <v>10407864</v>
      </c>
      <c r="AC18" s="86">
        <f t="shared" si="10"/>
        <v>10392980</v>
      </c>
      <c r="AD18" s="5">
        <f t="shared" si="3"/>
        <v>14884</v>
      </c>
      <c r="AE18" s="83">
        <f t="shared" si="11"/>
        <v>4944.3903799999998</v>
      </c>
      <c r="AF18" s="82">
        <f>95287.6-95260.5</f>
        <v>27.100000000005821</v>
      </c>
      <c r="AG18" s="82">
        <f>50600.1-50593.3</f>
        <v>6.7999999999956344</v>
      </c>
      <c r="AH18" s="82">
        <f>30099.9-30090.5</f>
        <v>9.4000000000014552</v>
      </c>
      <c r="AI18" s="87">
        <f t="shared" si="12"/>
        <v>49800.9</v>
      </c>
      <c r="AJ18" s="87">
        <v>49824.5</v>
      </c>
      <c r="AK18" s="48">
        <f t="shared" si="7"/>
        <v>23.599999999998545</v>
      </c>
      <c r="AL18" s="89">
        <f t="shared" si="4"/>
        <v>6710.5452117235855</v>
      </c>
      <c r="AM18" s="83">
        <f t="shared" si="13"/>
        <v>2229.2095666085165</v>
      </c>
      <c r="AN18" s="137">
        <v>149</v>
      </c>
      <c r="AO18" s="78">
        <f t="shared" si="5"/>
        <v>17769.629099999995</v>
      </c>
    </row>
    <row r="19" spans="1:41" x14ac:dyDescent="0.25">
      <c r="A19" s="79">
        <v>44544</v>
      </c>
      <c r="B19" s="86">
        <f>13075855-13068438</f>
        <v>7417</v>
      </c>
      <c r="C19" s="86">
        <f>8380918-8376646</f>
        <v>4272</v>
      </c>
      <c r="D19" s="86">
        <f>1656505-1655645</f>
        <v>860</v>
      </c>
      <c r="E19" s="86">
        <f>12517348-12510070</f>
        <v>7278</v>
      </c>
      <c r="F19" s="86">
        <f>12434565-12428450</f>
        <v>6115</v>
      </c>
      <c r="G19" s="86">
        <f>8803262-8800409</f>
        <v>2853</v>
      </c>
      <c r="H19" s="86">
        <f>9585566-9582221</f>
        <v>3345</v>
      </c>
      <c r="I19" s="86">
        <f>5582477-5580191</f>
        <v>2286</v>
      </c>
      <c r="J19" s="86">
        <f>12658930-12652150</f>
        <v>6780</v>
      </c>
      <c r="K19" s="86">
        <f t="shared" si="14"/>
        <v>32140</v>
      </c>
      <c r="L19" s="14">
        <f t="shared" si="8"/>
        <v>6428</v>
      </c>
      <c r="M19" s="83">
        <f>2311.287-2125.99</f>
        <v>185.29700000000003</v>
      </c>
      <c r="N19" s="83">
        <f>4620.033-4619.317</f>
        <v>0.71600000000034925</v>
      </c>
      <c r="O19" s="83">
        <f>10427.579-10425.738</f>
        <v>1.8410000000003492</v>
      </c>
      <c r="P19" s="82">
        <f>2140.59-2062.386</f>
        <v>78.204000000000178</v>
      </c>
      <c r="Q19" s="83">
        <f>26640.949-26629.003</f>
        <v>11.945999999999913</v>
      </c>
      <c r="R19" s="83">
        <f t="shared" si="0"/>
        <v>80.761000000000877</v>
      </c>
      <c r="S19" s="83">
        <f t="shared" si="1"/>
        <v>633.16624000000684</v>
      </c>
      <c r="T19" s="83">
        <f t="shared" si="2"/>
        <v>197.24299999999994</v>
      </c>
      <c r="U19" s="83">
        <f t="shared" si="15"/>
        <v>1546.3851199999995</v>
      </c>
      <c r="V19" s="83">
        <f>387176-386972.9</f>
        <v>203.09999999997672</v>
      </c>
      <c r="W19" s="83">
        <f>139958.53-139775.1</f>
        <v>183.42999999999302</v>
      </c>
      <c r="X19" s="86" t="s">
        <v>63</v>
      </c>
      <c r="Y19" s="87">
        <v>953331</v>
      </c>
      <c r="Z19" s="5">
        <f t="shared" si="9"/>
        <v>738</v>
      </c>
      <c r="AA19" s="14">
        <f t="shared" si="6"/>
        <v>4774.8599999999997</v>
      </c>
      <c r="AB19" s="87">
        <v>10421919</v>
      </c>
      <c r="AC19" s="86">
        <f t="shared" si="10"/>
        <v>10407864</v>
      </c>
      <c r="AD19" s="5">
        <f t="shared" si="3"/>
        <v>14055</v>
      </c>
      <c r="AE19" s="83">
        <f t="shared" si="11"/>
        <v>4669.0007249999999</v>
      </c>
      <c r="AF19" s="83">
        <f>95314-95287.6</f>
        <v>26.399999999994179</v>
      </c>
      <c r="AG19" s="83">
        <f>50605.7-50600.1</f>
        <v>5.5999999999985448</v>
      </c>
      <c r="AH19" s="83">
        <f>30109-30099.9</f>
        <v>9.0999999999985448</v>
      </c>
      <c r="AI19" s="87">
        <f t="shared" si="12"/>
        <v>49824.5</v>
      </c>
      <c r="AJ19" s="87">
        <v>49846.8</v>
      </c>
      <c r="AK19" s="48">
        <f t="shared" si="7"/>
        <v>22.30000000000291</v>
      </c>
      <c r="AL19" s="89">
        <f t="shared" si="4"/>
        <v>6340.8965348078273</v>
      </c>
      <c r="AM19" s="83">
        <f t="shared" si="13"/>
        <v>2106.4141243804861</v>
      </c>
      <c r="AN19" s="137">
        <v>151</v>
      </c>
      <c r="AO19" s="78">
        <f t="shared" si="5"/>
        <v>17418.245844999998</v>
      </c>
    </row>
    <row r="20" spans="1:41" x14ac:dyDescent="0.25">
      <c r="A20" s="79">
        <v>44545</v>
      </c>
      <c r="B20" s="86">
        <f>13083081-13075855</f>
        <v>7226</v>
      </c>
      <c r="C20" s="86">
        <f>8385515-8380918</f>
        <v>4597</v>
      </c>
      <c r="D20" s="86">
        <f>1657336-1656505</f>
        <v>831</v>
      </c>
      <c r="E20" s="86">
        <f>12524797-12517348</f>
        <v>7449</v>
      </c>
      <c r="F20" s="86">
        <f>12440836-12434565</f>
        <v>6271</v>
      </c>
      <c r="G20" s="86">
        <f>8806211-8803262</f>
        <v>2949</v>
      </c>
      <c r="H20" s="86">
        <f>9589084-9585566</f>
        <v>3518</v>
      </c>
      <c r="I20" s="86">
        <f>5584834-5582477</f>
        <v>2357</v>
      </c>
      <c r="J20" s="86">
        <f>12666014-12658930</f>
        <v>7084</v>
      </c>
      <c r="K20" s="86">
        <f t="shared" si="14"/>
        <v>32841</v>
      </c>
      <c r="L20" s="14">
        <f t="shared" si="8"/>
        <v>6568.2000000000007</v>
      </c>
      <c r="M20" s="83">
        <f>2532.642-2311.287</f>
        <v>221.35500000000002</v>
      </c>
      <c r="N20" s="83">
        <f>4621.384-4620.033</f>
        <v>1.350999999999658</v>
      </c>
      <c r="O20" s="83">
        <f>10430.647-10427.579</f>
        <v>3.0680000000011205</v>
      </c>
      <c r="P20" s="82">
        <f>2221.563-2140.59</f>
        <v>80.972999999999956</v>
      </c>
      <c r="Q20" s="83">
        <f>26653.824-26640.949</f>
        <v>12.875</v>
      </c>
      <c r="R20" s="83">
        <f t="shared" si="0"/>
        <v>85.392000000000735</v>
      </c>
      <c r="S20" s="83">
        <f t="shared" si="1"/>
        <v>669.47328000000573</v>
      </c>
      <c r="T20" s="83">
        <f t="shared" si="2"/>
        <v>234.23000000000002</v>
      </c>
      <c r="U20" s="83">
        <f t="shared" si="15"/>
        <v>1836.3632</v>
      </c>
      <c r="V20" s="83">
        <f>387385.1-387176</f>
        <v>209.09999999997672</v>
      </c>
      <c r="W20" s="83">
        <f>140132.83-139958.53</f>
        <v>174.29999999998836</v>
      </c>
      <c r="X20" s="86" t="s">
        <v>63</v>
      </c>
      <c r="Y20" s="87">
        <v>954111</v>
      </c>
      <c r="Z20" s="5">
        <f t="shared" si="9"/>
        <v>780</v>
      </c>
      <c r="AA20" s="14">
        <f t="shared" si="6"/>
        <v>5046.5999999999995</v>
      </c>
      <c r="AB20" s="87">
        <v>10436360</v>
      </c>
      <c r="AC20" s="86">
        <f t="shared" si="10"/>
        <v>10421919</v>
      </c>
      <c r="AD20" s="5">
        <f t="shared" si="3"/>
        <v>14441</v>
      </c>
      <c r="AE20" s="83">
        <f t="shared" si="11"/>
        <v>4797.2279950000002</v>
      </c>
      <c r="AF20" s="83">
        <f>95340.5-95314</f>
        <v>26.5</v>
      </c>
      <c r="AG20" s="83">
        <f>50611-50605.7</f>
        <v>5.3000000000029104</v>
      </c>
      <c r="AH20" s="83">
        <f>30118-30109</f>
        <v>9</v>
      </c>
      <c r="AI20" s="87">
        <f t="shared" si="12"/>
        <v>49846.8</v>
      </c>
      <c r="AJ20" s="87">
        <v>49869.2</v>
      </c>
      <c r="AK20" s="48">
        <f t="shared" si="7"/>
        <v>22.399999999994179</v>
      </c>
      <c r="AL20" s="89">
        <f t="shared" si="4"/>
        <v>6369.3310484143449</v>
      </c>
      <c r="AM20" s="83">
        <f t="shared" si="13"/>
        <v>2115.8599276280033</v>
      </c>
      <c r="AN20" s="137">
        <v>154</v>
      </c>
      <c r="AO20" s="78">
        <f t="shared" si="5"/>
        <v>18248.391195</v>
      </c>
    </row>
    <row r="21" spans="1:41" x14ac:dyDescent="0.25">
      <c r="A21" s="79">
        <v>44546</v>
      </c>
      <c r="B21" s="86">
        <f>13089963-13083081</f>
        <v>6882</v>
      </c>
      <c r="C21" s="86">
        <f>8389716-8385515</f>
        <v>4201</v>
      </c>
      <c r="D21" s="86">
        <f>1658225-1657336</f>
        <v>889</v>
      </c>
      <c r="E21" s="86">
        <f>12532088-12524797</f>
        <v>7291</v>
      </c>
      <c r="F21" s="86">
        <f>12447040-12440836</f>
        <v>6204</v>
      </c>
      <c r="G21" s="86">
        <f>8809196-8806211</f>
        <v>2985</v>
      </c>
      <c r="H21" s="86">
        <f>9592780-9589084</f>
        <v>3696</v>
      </c>
      <c r="I21" s="86">
        <f>5587124-5584834</f>
        <v>2290</v>
      </c>
      <c r="J21" s="86">
        <f>12673082-12666014</f>
        <v>7068</v>
      </c>
      <c r="K21" s="86">
        <f t="shared" si="14"/>
        <v>32148</v>
      </c>
      <c r="L21" s="14">
        <f t="shared" si="8"/>
        <v>6429.6</v>
      </c>
      <c r="M21" s="83">
        <f>2736.254-2532.642</f>
        <v>203.61200000000008</v>
      </c>
      <c r="N21" s="83">
        <f>4622.753-4621.384</f>
        <v>1.3689999999996871</v>
      </c>
      <c r="O21" s="83">
        <f>10433.519-10430.647</f>
        <v>2.8719999999993888</v>
      </c>
      <c r="P21" s="82">
        <f>2297.683-2221.563</f>
        <v>76.119999999999891</v>
      </c>
      <c r="Q21" s="83">
        <f>26671.602-26653.824</f>
        <v>17.777999999998428</v>
      </c>
      <c r="R21" s="83">
        <f t="shared" si="0"/>
        <v>80.360999999998967</v>
      </c>
      <c r="S21" s="83">
        <f t="shared" si="1"/>
        <v>630.03023999999186</v>
      </c>
      <c r="T21" s="83">
        <f t="shared" si="2"/>
        <v>221.38999999999851</v>
      </c>
      <c r="U21" s="83">
        <f t="shared" si="15"/>
        <v>1735.6975999999884</v>
      </c>
      <c r="V21" s="83">
        <f>387614.4-387385.1</f>
        <v>229.30000000004657</v>
      </c>
      <c r="W21" s="83">
        <f>140318.69-140132.83</f>
        <v>185.86000000001513</v>
      </c>
      <c r="X21" s="86" t="s">
        <v>63</v>
      </c>
      <c r="Y21" s="87">
        <v>954937</v>
      </c>
      <c r="Z21" s="5">
        <f t="shared" si="9"/>
        <v>826</v>
      </c>
      <c r="AA21" s="14">
        <f t="shared" si="6"/>
        <v>5344.2199999999993</v>
      </c>
      <c r="AB21" s="87">
        <v>10451103</v>
      </c>
      <c r="AC21" s="86">
        <f t="shared" si="10"/>
        <v>10436360</v>
      </c>
      <c r="AD21" s="5">
        <f t="shared" si="3"/>
        <v>14743</v>
      </c>
      <c r="AE21" s="83">
        <f t="shared" si="11"/>
        <v>4897.5508850000006</v>
      </c>
      <c r="AF21" s="83">
        <f>95367.1-95340.5</f>
        <v>26.600000000005821</v>
      </c>
      <c r="AG21" s="83">
        <f>50620.9-50611</f>
        <v>9.9000000000014552</v>
      </c>
      <c r="AH21" s="83">
        <f>30126.9-30118</f>
        <v>8.9000000000014552</v>
      </c>
      <c r="AI21" s="87">
        <f t="shared" si="12"/>
        <v>49869.2</v>
      </c>
      <c r="AJ21" s="87">
        <v>49891.4</v>
      </c>
      <c r="AK21" s="48">
        <f t="shared" si="7"/>
        <v>22.200000000004366</v>
      </c>
      <c r="AL21" s="89">
        <f t="shared" si="4"/>
        <v>6312.4620211992406</v>
      </c>
      <c r="AM21" s="83">
        <f t="shared" si="13"/>
        <v>2096.9683211322817</v>
      </c>
      <c r="AN21" s="137">
        <v>130</v>
      </c>
      <c r="AO21" s="78">
        <f t="shared" si="5"/>
        <v>18407.068484999989</v>
      </c>
    </row>
    <row r="22" spans="1:41" x14ac:dyDescent="0.25">
      <c r="A22" s="79">
        <v>44547</v>
      </c>
      <c r="B22" s="86">
        <f>13096882-13089963</f>
        <v>6919</v>
      </c>
      <c r="C22" s="86">
        <f>8394209-8389716</f>
        <v>4493</v>
      </c>
      <c r="D22" s="86">
        <f>1659158-1658225</f>
        <v>933</v>
      </c>
      <c r="E22" s="86">
        <f>12539519-12532088</f>
        <v>7431</v>
      </c>
      <c r="F22" s="86">
        <f>12453587-12447040</f>
        <v>6547</v>
      </c>
      <c r="G22" s="86">
        <f>8812178-8809196</f>
        <v>2982</v>
      </c>
      <c r="H22" s="86">
        <f>9596526-9592780</f>
        <v>3746</v>
      </c>
      <c r="I22" s="86">
        <f>5589353-5587124</f>
        <v>2229</v>
      </c>
      <c r="J22" s="86">
        <f>12680338-12673082</f>
        <v>7256</v>
      </c>
      <c r="K22" s="86">
        <f t="shared" si="14"/>
        <v>33051</v>
      </c>
      <c r="L22" s="14">
        <f t="shared" si="8"/>
        <v>6610.2000000000007</v>
      </c>
      <c r="M22" s="83">
        <f>2923.077-2736.254</f>
        <v>186.82300000000032</v>
      </c>
      <c r="N22" s="83">
        <f>4623.301-4622.753</f>
        <v>0.54800000000068394</v>
      </c>
      <c r="O22" s="83">
        <f>10435.526-10433.519</f>
        <v>2.0069999999996071</v>
      </c>
      <c r="P22" s="82">
        <f>2381.991-2297.683</f>
        <v>84.307999999999993</v>
      </c>
      <c r="Q22" s="83">
        <f>26683.179-26671.602</f>
        <v>11.577000000001135</v>
      </c>
      <c r="R22" s="83">
        <f t="shared" si="0"/>
        <v>86.863000000000284</v>
      </c>
      <c r="S22" s="83">
        <f t="shared" si="1"/>
        <v>681.00592000000222</v>
      </c>
      <c r="T22" s="83">
        <f t="shared" si="2"/>
        <v>198.40000000000146</v>
      </c>
      <c r="U22" s="83">
        <f t="shared" si="15"/>
        <v>1555.4560000000113</v>
      </c>
      <c r="V22" s="83">
        <f>387837.7-387614.4</f>
        <v>223.29999999998836</v>
      </c>
      <c r="W22" s="83">
        <f>140498.27-140318.69</f>
        <v>179.57999999998719</v>
      </c>
      <c r="X22" s="86" t="s">
        <v>63</v>
      </c>
      <c r="Y22" s="87">
        <v>955780</v>
      </c>
      <c r="Z22" s="5">
        <f t="shared" si="9"/>
        <v>843</v>
      </c>
      <c r="AA22" s="14">
        <f t="shared" si="6"/>
        <v>5454.21</v>
      </c>
      <c r="AB22" s="87">
        <v>10466203</v>
      </c>
      <c r="AC22" s="86">
        <f t="shared" si="10"/>
        <v>10451103</v>
      </c>
      <c r="AD22" s="5">
        <f t="shared" si="3"/>
        <v>15100</v>
      </c>
      <c r="AE22" s="83">
        <f t="shared" si="11"/>
        <v>5016.1445000000003</v>
      </c>
      <c r="AF22" s="83">
        <f>95395.3-95367.1</f>
        <v>28.19999999999709</v>
      </c>
      <c r="AG22" s="83">
        <f>50630.6-50620.9</f>
        <v>9.6999999999970896</v>
      </c>
      <c r="AH22" s="83">
        <f>30135.6-30126.9</f>
        <v>8.6999999999970896</v>
      </c>
      <c r="AI22" s="87">
        <f t="shared" si="12"/>
        <v>49891.4</v>
      </c>
      <c r="AJ22" s="87">
        <v>49913.9</v>
      </c>
      <c r="AK22" s="48">
        <f t="shared" si="7"/>
        <v>22.5</v>
      </c>
      <c r="AL22" s="89">
        <f t="shared" si="4"/>
        <v>6397.7655620249998</v>
      </c>
      <c r="AM22" s="83">
        <f t="shared" si="13"/>
        <v>2125.3057308768948</v>
      </c>
      <c r="AN22" s="137">
        <v>133</v>
      </c>
      <c r="AO22" s="78">
        <f t="shared" si="5"/>
        <v>18636.010500000011</v>
      </c>
    </row>
    <row r="23" spans="1:41" x14ac:dyDescent="0.25">
      <c r="A23" s="79">
        <v>44548</v>
      </c>
      <c r="B23" s="86">
        <f>13103510-13096882</f>
        <v>6628</v>
      </c>
      <c r="C23" s="86">
        <f>8398224-8394209</f>
        <v>4015</v>
      </c>
      <c r="D23" s="86">
        <f>1660024-1659158</f>
        <v>866</v>
      </c>
      <c r="E23" s="86">
        <f>12546603-12539519</f>
        <v>7084</v>
      </c>
      <c r="F23" s="86">
        <f>12459555-12453587</f>
        <v>5968</v>
      </c>
      <c r="G23" s="86">
        <f>8814988-8812178</f>
        <v>2810</v>
      </c>
      <c r="H23" s="86">
        <f>9600135-9596526</f>
        <v>3609</v>
      </c>
      <c r="I23" s="86">
        <f>5591483-5589353</f>
        <v>2130</v>
      </c>
      <c r="J23" s="86">
        <f>12687175-12680338</f>
        <v>6837</v>
      </c>
      <c r="K23" s="86">
        <f t="shared" si="14"/>
        <v>30980</v>
      </c>
      <c r="L23" s="14">
        <f t="shared" si="8"/>
        <v>6196</v>
      </c>
      <c r="M23" s="83">
        <f>3107.339-2923.077</f>
        <v>184.26199999999972</v>
      </c>
      <c r="N23" s="83">
        <f>4624.325-4623.301</f>
        <v>1.0239999999994325</v>
      </c>
      <c r="O23" s="83">
        <f>10437.944-10435.526</f>
        <v>2.4179999999996653</v>
      </c>
      <c r="P23" s="82">
        <f>2456.196-2381.991</f>
        <v>74.204999999999927</v>
      </c>
      <c r="Q23" s="83">
        <f>26700.216-26683.179</f>
        <v>17.037000000000262</v>
      </c>
      <c r="R23" s="83">
        <f t="shared" si="0"/>
        <v>77.646999999999025</v>
      </c>
      <c r="S23" s="83">
        <f t="shared" si="1"/>
        <v>608.75247999999237</v>
      </c>
      <c r="T23" s="83">
        <f t="shared" si="2"/>
        <v>201.29899999999998</v>
      </c>
      <c r="U23" s="83">
        <f t="shared" si="15"/>
        <v>1578.1841599999998</v>
      </c>
      <c r="V23" s="83">
        <f>388030.1-387837.7</f>
        <v>192.39999999996508</v>
      </c>
      <c r="W23" s="83">
        <f>140664.41-140498.27</f>
        <v>166.14000000001397</v>
      </c>
      <c r="X23" s="86" t="s">
        <v>63</v>
      </c>
      <c r="Y23" s="87">
        <v>956485</v>
      </c>
      <c r="Z23" s="5">
        <f t="shared" si="9"/>
        <v>705</v>
      </c>
      <c r="AA23" s="14">
        <f t="shared" si="6"/>
        <v>4561.3499999999995</v>
      </c>
      <c r="AB23" s="87">
        <v>10479799</v>
      </c>
      <c r="AC23" s="86">
        <f t="shared" si="10"/>
        <v>10466203</v>
      </c>
      <c r="AD23" s="5">
        <f t="shared" si="3"/>
        <v>13596</v>
      </c>
      <c r="AE23" s="83">
        <f t="shared" si="11"/>
        <v>4516.52322</v>
      </c>
      <c r="AF23" s="83">
        <f>95419.7-95395.3</f>
        <v>24.399999999994179</v>
      </c>
      <c r="AG23" s="83">
        <f>50639.1-50630.6</f>
        <v>8.5</v>
      </c>
      <c r="AH23" s="83">
        <f>30143.4-30135.6</f>
        <v>7.8000000000029104</v>
      </c>
      <c r="AI23" s="87">
        <f t="shared" si="12"/>
        <v>49913.9</v>
      </c>
      <c r="AJ23" s="87">
        <v>49935.1</v>
      </c>
      <c r="AK23" s="48">
        <f t="shared" si="7"/>
        <v>21.19999999999709</v>
      </c>
      <c r="AL23" s="89">
        <f t="shared" si="4"/>
        <v>6028.1168851071725</v>
      </c>
      <c r="AM23" s="83">
        <f t="shared" si="13"/>
        <v>2002.5102886481773</v>
      </c>
      <c r="AN23" s="137">
        <v>113</v>
      </c>
      <c r="AO23" s="78">
        <f t="shared" si="5"/>
        <v>16852.057379999998</v>
      </c>
    </row>
    <row r="24" spans="1:41" x14ac:dyDescent="0.25">
      <c r="A24" s="79">
        <v>44549</v>
      </c>
      <c r="B24" s="86">
        <f>13109998-13103510</f>
        <v>6488</v>
      </c>
      <c r="C24" s="86">
        <f>8402412-8398224</f>
        <v>4188</v>
      </c>
      <c r="D24" s="86">
        <f>1660937-1660024</f>
        <v>913</v>
      </c>
      <c r="E24" s="86">
        <f>12553639-12546603</f>
        <v>7036</v>
      </c>
      <c r="F24" s="86">
        <f>12465617-12459555</f>
        <v>6062</v>
      </c>
      <c r="G24" s="86">
        <f>8817798-8814988</f>
        <v>2810</v>
      </c>
      <c r="H24" s="86">
        <f>9603776-9600135</f>
        <v>3641</v>
      </c>
      <c r="I24" s="86">
        <f>5593726-5591483</f>
        <v>2243</v>
      </c>
      <c r="J24" s="86">
        <f>12694275-12687175</f>
        <v>7100</v>
      </c>
      <c r="K24" s="86">
        <f t="shared" si="14"/>
        <v>31138</v>
      </c>
      <c r="L24" s="14">
        <f t="shared" si="8"/>
        <v>6227.6</v>
      </c>
      <c r="M24" s="83">
        <f>3294.486-3107.339</f>
        <v>187.14699999999993</v>
      </c>
      <c r="N24" s="83">
        <f>4625.059-4624.325</f>
        <v>0.73400000000037835</v>
      </c>
      <c r="O24" s="83">
        <f>10439.921-10437.944</f>
        <v>1.9770000000007713</v>
      </c>
      <c r="P24" s="82">
        <f>2530.552-2456.196</f>
        <v>74.356000000000222</v>
      </c>
      <c r="Q24" s="83">
        <f>26712.288-26700.216</f>
        <v>12.072000000000116</v>
      </c>
      <c r="R24" s="83">
        <f t="shared" si="0"/>
        <v>77.067000000001372</v>
      </c>
      <c r="S24" s="83">
        <f t="shared" si="1"/>
        <v>604.2052800000107</v>
      </c>
      <c r="T24" s="83">
        <f t="shared" si="2"/>
        <v>199.21900000000005</v>
      </c>
      <c r="U24" s="83">
        <f t="shared" si="15"/>
        <v>1561.8769600000003</v>
      </c>
      <c r="V24" s="83">
        <f>388236.9-388030.1</f>
        <v>206.80000000004657</v>
      </c>
      <c r="W24" s="83">
        <f>140843.69-140664.41</f>
        <v>179.27999999999884</v>
      </c>
      <c r="X24" s="86" t="s">
        <v>63</v>
      </c>
      <c r="Y24" s="87">
        <v>957249</v>
      </c>
      <c r="Z24" s="5">
        <f t="shared" si="9"/>
        <v>764</v>
      </c>
      <c r="AA24" s="14">
        <f t="shared" si="6"/>
        <v>4943.08</v>
      </c>
      <c r="AB24" s="87">
        <v>10493453</v>
      </c>
      <c r="AC24" s="86">
        <f t="shared" si="10"/>
        <v>10479799</v>
      </c>
      <c r="AD24" s="5">
        <f t="shared" si="3"/>
        <v>13654</v>
      </c>
      <c r="AE24" s="83">
        <f t="shared" si="11"/>
        <v>4535.7905300000002</v>
      </c>
      <c r="AF24" s="83">
        <f>95444.1-95419.7</f>
        <v>24.400000000008731</v>
      </c>
      <c r="AG24" s="83">
        <f>50647.8-50639.1</f>
        <v>8.7000000000043656</v>
      </c>
      <c r="AH24" s="83">
        <f>30151.7-30143.4</f>
        <v>8.2999999999992724</v>
      </c>
      <c r="AI24" s="87">
        <f t="shared" si="12"/>
        <v>49935.1</v>
      </c>
      <c r="AJ24" s="87">
        <v>49956.2</v>
      </c>
      <c r="AK24" s="48">
        <f t="shared" si="7"/>
        <v>21.099999999998545</v>
      </c>
      <c r="AL24" s="89">
        <f t="shared" si="4"/>
        <v>5999.6823714985858</v>
      </c>
      <c r="AM24" s="83">
        <f t="shared" si="13"/>
        <v>1993.0644853999729</v>
      </c>
      <c r="AN24" s="137">
        <v>124</v>
      </c>
      <c r="AO24" s="78">
        <f t="shared" si="5"/>
        <v>17268.34749</v>
      </c>
    </row>
    <row r="25" spans="1:41" x14ac:dyDescent="0.25">
      <c r="A25" s="79">
        <v>44550</v>
      </c>
      <c r="B25" s="86">
        <f>13116189-13109998</f>
        <v>6191</v>
      </c>
      <c r="C25" s="86">
        <f>8406326-8402412</f>
        <v>3914</v>
      </c>
      <c r="D25" s="86">
        <f>1661792-1660937</f>
        <v>855</v>
      </c>
      <c r="E25" s="86">
        <f>12561123-12553639</f>
        <v>7484</v>
      </c>
      <c r="F25" s="86">
        <f>12472123-12465617</f>
        <v>6506</v>
      </c>
      <c r="G25" s="86">
        <f>8820785-8817798</f>
        <v>2987</v>
      </c>
      <c r="H25" s="86">
        <f>9607602-9603776</f>
        <v>3826</v>
      </c>
      <c r="I25" s="86">
        <f>5595974-5593726</f>
        <v>2248</v>
      </c>
      <c r="J25" s="86">
        <f>12701242-12694275</f>
        <v>6967</v>
      </c>
      <c r="K25" s="86">
        <f t="shared" si="14"/>
        <v>31763</v>
      </c>
      <c r="L25" s="14">
        <f t="shared" si="8"/>
        <v>6352.6</v>
      </c>
      <c r="M25" s="83">
        <f>3462.489-3294.486</f>
        <v>168.00300000000016</v>
      </c>
      <c r="N25" s="83">
        <f>4625.793-4625.059</f>
        <v>0.73399999999946886</v>
      </c>
      <c r="O25" s="83">
        <f>10441.741-10439.921</f>
        <v>1.819999999999709</v>
      </c>
      <c r="P25" s="82">
        <f>2597.73-2530.552</f>
        <v>67.177999999999884</v>
      </c>
      <c r="Q25" s="83">
        <f>26725.019-26712.288</f>
        <v>12.730999999999767</v>
      </c>
      <c r="R25" s="83">
        <f t="shared" si="0"/>
        <v>69.731999999999061</v>
      </c>
      <c r="S25" s="83">
        <f t="shared" si="1"/>
        <v>546.69887999999264</v>
      </c>
      <c r="T25" s="83">
        <f t="shared" si="2"/>
        <v>180.73399999999992</v>
      </c>
      <c r="U25" s="83">
        <f t="shared" si="15"/>
        <v>1416.9545599999994</v>
      </c>
      <c r="V25" s="83">
        <f>388444.9-388236.9</f>
        <v>208</v>
      </c>
      <c r="W25" s="83">
        <f>140995.1-140843.69</f>
        <v>151.41000000000349</v>
      </c>
      <c r="X25" s="86" t="s">
        <v>63</v>
      </c>
      <c r="Y25" s="87">
        <v>958000</v>
      </c>
      <c r="Z25" s="5">
        <f t="shared" si="9"/>
        <v>751</v>
      </c>
      <c r="AA25" s="14">
        <f t="shared" si="6"/>
        <v>4858.97</v>
      </c>
      <c r="AB25" s="87">
        <v>10507182</v>
      </c>
      <c r="AC25" s="86">
        <f t="shared" si="10"/>
        <v>10493453</v>
      </c>
      <c r="AD25" s="5">
        <f t="shared" si="3"/>
        <v>13729</v>
      </c>
      <c r="AE25" s="83">
        <f t="shared" si="11"/>
        <v>4560.7051550000006</v>
      </c>
      <c r="AF25" s="83">
        <f>95468.7-95444.1</f>
        <v>24.599999999991269</v>
      </c>
      <c r="AG25" s="83">
        <f>50655.3-50647.8</f>
        <v>7.5</v>
      </c>
      <c r="AH25" s="83">
        <f>30159.4-30151.7</f>
        <v>7.7000000000007276</v>
      </c>
      <c r="AI25" s="87">
        <f t="shared" si="12"/>
        <v>49956.2</v>
      </c>
      <c r="AJ25" s="87">
        <v>49977.8</v>
      </c>
      <c r="AK25" s="48">
        <f t="shared" si="7"/>
        <v>21.600000000005821</v>
      </c>
      <c r="AL25" s="89">
        <f t="shared" si="4"/>
        <v>6141.8549395456548</v>
      </c>
      <c r="AM25" s="83">
        <f t="shared" si="13"/>
        <v>2040.2935016423689</v>
      </c>
      <c r="AN25" s="137">
        <v>125</v>
      </c>
      <c r="AO25" s="78">
        <f t="shared" si="5"/>
        <v>17189.229715000001</v>
      </c>
    </row>
    <row r="26" spans="1:41" x14ac:dyDescent="0.25">
      <c r="A26" s="79">
        <v>44551</v>
      </c>
      <c r="B26" s="86">
        <f>13122790-13116189</f>
        <v>6601</v>
      </c>
      <c r="C26" s="86">
        <f>8410251-8406326</f>
        <v>3925</v>
      </c>
      <c r="D26" s="86">
        <f>1662680-1661792</f>
        <v>888</v>
      </c>
      <c r="E26" s="86">
        <f>12568216-12561123</f>
        <v>7093</v>
      </c>
      <c r="F26" s="86">
        <f>12478360-12472123</f>
        <v>6237</v>
      </c>
      <c r="G26" s="86">
        <f>8823714-8820785</f>
        <v>2929</v>
      </c>
      <c r="H26" s="86">
        <f>9611313-9607602</f>
        <v>3711</v>
      </c>
      <c r="I26" s="86">
        <f>5598135-5595974</f>
        <v>2161</v>
      </c>
      <c r="J26" s="86">
        <f>12708377-12701242</f>
        <v>7135</v>
      </c>
      <c r="K26" s="86">
        <f t="shared" si="14"/>
        <v>31384</v>
      </c>
      <c r="L26" s="14">
        <f t="shared" si="8"/>
        <v>6276.8</v>
      </c>
      <c r="M26" s="83">
        <f>3675.29-3462.489</f>
        <v>212.80099999999993</v>
      </c>
      <c r="N26" s="83">
        <f>4626.428-4625.793</f>
        <v>0.63500000000021828</v>
      </c>
      <c r="O26" s="83">
        <f>10443.566-10441.741</f>
        <v>1.8250000000007276</v>
      </c>
      <c r="P26" s="82">
        <f>2657.739-2597.73</f>
        <v>60.009000000000015</v>
      </c>
      <c r="Q26" s="83">
        <f>26736.974-26725.019</f>
        <v>11.954999999998108</v>
      </c>
      <c r="R26" s="83">
        <f t="shared" si="0"/>
        <v>62.46900000000096</v>
      </c>
      <c r="S26" s="83">
        <f t="shared" si="1"/>
        <v>489.7569600000075</v>
      </c>
      <c r="T26" s="83">
        <f t="shared" si="2"/>
        <v>224.75599999999804</v>
      </c>
      <c r="U26" s="83">
        <f t="shared" si="15"/>
        <v>1762.0870399999847</v>
      </c>
      <c r="V26" s="83">
        <f>388655.6-388444.9</f>
        <v>210.69999999995343</v>
      </c>
      <c r="W26" s="83">
        <f>141174.85-140995.1</f>
        <v>179.75</v>
      </c>
      <c r="X26" s="86" t="s">
        <v>63</v>
      </c>
      <c r="Y26" s="87">
        <v>958752</v>
      </c>
      <c r="Z26" s="5">
        <f t="shared" si="9"/>
        <v>752</v>
      </c>
      <c r="AA26" s="14">
        <f t="shared" si="6"/>
        <v>4865.4399999999996</v>
      </c>
      <c r="AB26" s="87">
        <v>10521258</v>
      </c>
      <c r="AC26" s="86">
        <f t="shared" si="10"/>
        <v>10507182</v>
      </c>
      <c r="AD26" s="5">
        <f t="shared" si="3"/>
        <v>14076</v>
      </c>
      <c r="AE26" s="83">
        <f t="shared" si="11"/>
        <v>4675.9768199999999</v>
      </c>
      <c r="AF26" s="83">
        <f>95493.1-95468.7</f>
        <v>24.400000000008731</v>
      </c>
      <c r="AG26" s="83">
        <f>50662.7-50655.3</f>
        <v>7.3999999999941792</v>
      </c>
      <c r="AH26" s="83">
        <f>30167.8-30159.4</f>
        <v>8.3999999999978172</v>
      </c>
      <c r="AI26" s="87">
        <f t="shared" si="12"/>
        <v>49977.8</v>
      </c>
      <c r="AJ26" s="87">
        <v>49999.9</v>
      </c>
      <c r="AK26" s="48">
        <f t="shared" si="7"/>
        <v>22.099999999998545</v>
      </c>
      <c r="AL26" s="89">
        <f t="shared" si="4"/>
        <v>6284.0275075885856</v>
      </c>
      <c r="AM26" s="83">
        <f t="shared" si="13"/>
        <v>2087.5225178833903</v>
      </c>
      <c r="AN26" s="137">
        <v>114</v>
      </c>
      <c r="AO26" s="78">
        <f t="shared" si="5"/>
        <v>17580.303859999985</v>
      </c>
    </row>
    <row r="27" spans="1:41" x14ac:dyDescent="0.25">
      <c r="A27" s="79">
        <v>44552</v>
      </c>
      <c r="B27" s="86">
        <f>13129261-13122790</f>
        <v>6471</v>
      </c>
      <c r="C27" s="86">
        <f>8413971-8410251</f>
        <v>3720</v>
      </c>
      <c r="D27" s="86">
        <f>1663559-1662680</f>
        <v>879</v>
      </c>
      <c r="E27" s="86">
        <f>12575246-12568216</f>
        <v>7030</v>
      </c>
      <c r="F27" s="86">
        <f>12484206-12478360</f>
        <v>5846</v>
      </c>
      <c r="G27" s="86">
        <f>8826455-8823714</f>
        <v>2741</v>
      </c>
      <c r="H27" s="86">
        <f>9614881-9611313</f>
        <v>3568</v>
      </c>
      <c r="I27" s="86">
        <f>5600258-5598135</f>
        <v>2123</v>
      </c>
      <c r="J27" s="86">
        <f>12715318-12708377</f>
        <v>6941</v>
      </c>
      <c r="K27" s="86">
        <f t="shared" si="14"/>
        <v>30255</v>
      </c>
      <c r="L27" s="14">
        <f t="shared" si="8"/>
        <v>6051</v>
      </c>
      <c r="M27" s="83">
        <f>3862.452-3675.29</f>
        <v>187.16200000000026</v>
      </c>
      <c r="N27" s="83">
        <f>4627.194-4626.428</f>
        <v>0.76600000000053114</v>
      </c>
      <c r="O27" s="83">
        <f>10445.87-10443.566</f>
        <v>2.3040000000000873</v>
      </c>
      <c r="P27" s="82">
        <f>2728.462-2657.739</f>
        <v>70.722999999999956</v>
      </c>
      <c r="Q27" s="83">
        <f>26759.904-26736.974</f>
        <v>22.930000000000291</v>
      </c>
      <c r="R27" s="83">
        <f t="shared" si="0"/>
        <v>73.793000000000575</v>
      </c>
      <c r="S27" s="83">
        <f t="shared" si="1"/>
        <v>578.53712000000451</v>
      </c>
      <c r="T27" s="83">
        <f t="shared" si="2"/>
        <v>210.09200000000055</v>
      </c>
      <c r="U27" s="83">
        <f t="shared" si="15"/>
        <v>1647.1212800000044</v>
      </c>
      <c r="V27" s="83">
        <f>388877-388655.6</f>
        <v>221.40000000002328</v>
      </c>
      <c r="W27" s="83">
        <f>141356.97-141174.85</f>
        <v>182.11999999999534</v>
      </c>
      <c r="X27" s="86" t="s">
        <v>63</v>
      </c>
      <c r="Y27" s="87">
        <v>959540</v>
      </c>
      <c r="Z27" s="5">
        <f t="shared" si="9"/>
        <v>788</v>
      </c>
      <c r="AA27" s="14">
        <f t="shared" si="6"/>
        <v>5098.3599999999997</v>
      </c>
      <c r="AB27" s="87">
        <v>10536204</v>
      </c>
      <c r="AC27" s="86">
        <f t="shared" si="10"/>
        <v>10521258</v>
      </c>
      <c r="AD27" s="5">
        <f t="shared" si="3"/>
        <v>14946</v>
      </c>
      <c r="AE27" s="83">
        <f t="shared" si="11"/>
        <v>4964.9864699999998</v>
      </c>
      <c r="AF27" s="83">
        <f>95519.9-95493.1</f>
        <v>26.799999999988358</v>
      </c>
      <c r="AG27" s="83">
        <f>50665.9-50662.7</f>
        <v>3.2000000000043656</v>
      </c>
      <c r="AH27" s="83">
        <f>30176.3-30167.8</f>
        <v>8.5</v>
      </c>
      <c r="AI27" s="87">
        <f t="shared" si="12"/>
        <v>49999.9</v>
      </c>
      <c r="AJ27" s="87">
        <v>50023.8</v>
      </c>
      <c r="AK27" s="48">
        <f t="shared" si="7"/>
        <v>23.900000000001455</v>
      </c>
      <c r="AL27" s="89">
        <f t="shared" si="4"/>
        <v>6795.8487525514138</v>
      </c>
      <c r="AM27" s="83">
        <f t="shared" si="13"/>
        <v>2257.5469763538172</v>
      </c>
      <c r="AN27" s="137">
        <v>112</v>
      </c>
      <c r="AO27" s="78">
        <f t="shared" si="5"/>
        <v>17761.467750000003</v>
      </c>
    </row>
    <row r="28" spans="1:41" x14ac:dyDescent="0.25">
      <c r="A28" s="79">
        <v>44553</v>
      </c>
      <c r="B28" s="86">
        <f>13136245-13129261</f>
        <v>6984</v>
      </c>
      <c r="C28" s="86">
        <f>8417952-8413971</f>
        <v>3981</v>
      </c>
      <c r="D28" s="86">
        <f>1664416-1663559</f>
        <v>857</v>
      </c>
      <c r="E28" s="86">
        <f>12582350-12575246</f>
        <v>7104</v>
      </c>
      <c r="F28" s="86">
        <f>12490379-12484206</f>
        <v>6173</v>
      </c>
      <c r="G28" s="86">
        <f>8829268-8826455</f>
        <v>2813</v>
      </c>
      <c r="H28" s="86">
        <f>9618590-9614881</f>
        <v>3709</v>
      </c>
      <c r="I28" s="86">
        <f>5602545-5600258</f>
        <v>2287</v>
      </c>
      <c r="J28" s="86">
        <f>12722484-12715318</f>
        <v>7166</v>
      </c>
      <c r="K28" s="86">
        <f t="shared" si="14"/>
        <v>31621</v>
      </c>
      <c r="L28" s="14">
        <f t="shared" si="8"/>
        <v>6324.2000000000007</v>
      </c>
      <c r="M28" s="83">
        <f>4063.108-3862.452</f>
        <v>200.65599999999995</v>
      </c>
      <c r="N28" s="83">
        <f>4627.987-4627.194</f>
        <v>0.79299999999966531</v>
      </c>
      <c r="O28" s="83">
        <f>10447.795-10445.87</f>
        <v>1.9249999999992724</v>
      </c>
      <c r="P28" s="82">
        <f>2799.671-2728.462</f>
        <v>71.208999999999833</v>
      </c>
      <c r="Q28" s="83">
        <f>26778.208-26759.904</f>
        <v>18.304000000000087</v>
      </c>
      <c r="R28" s="83">
        <f t="shared" si="0"/>
        <v>73.92699999999877</v>
      </c>
      <c r="S28" s="83">
        <f t="shared" si="1"/>
        <v>579.58767999999031</v>
      </c>
      <c r="T28" s="83">
        <f t="shared" si="2"/>
        <v>218.96000000000004</v>
      </c>
      <c r="U28" s="83">
        <f t="shared" si="15"/>
        <v>1716.6464000000003</v>
      </c>
      <c r="V28" s="83">
        <f>389115-388877</f>
        <v>238</v>
      </c>
      <c r="W28" s="83">
        <f>141537.9-141356.97</f>
        <v>180.92999999999302</v>
      </c>
      <c r="X28" s="86" t="s">
        <v>63</v>
      </c>
      <c r="Y28" s="87">
        <v>960364</v>
      </c>
      <c r="Z28" s="5">
        <f t="shared" si="9"/>
        <v>824</v>
      </c>
      <c r="AA28" s="14">
        <f t="shared" si="6"/>
        <v>5331.28</v>
      </c>
      <c r="AB28" s="87">
        <v>10550498</v>
      </c>
      <c r="AC28" s="86">
        <f t="shared" si="10"/>
        <v>10536204</v>
      </c>
      <c r="AD28" s="5">
        <f t="shared" si="3"/>
        <v>14294</v>
      </c>
      <c r="AE28" s="83">
        <f t="shared" si="11"/>
        <v>4748.3953300000003</v>
      </c>
      <c r="AF28" s="83">
        <f>95544.7-95519.9</f>
        <v>24.80000000000291</v>
      </c>
      <c r="AG28" s="83">
        <f>50667-50665.9</f>
        <v>1.0999999999985448</v>
      </c>
      <c r="AH28" s="83">
        <f>30184.6-30176.3</f>
        <v>8.2999999999992724</v>
      </c>
      <c r="AI28" s="87">
        <f t="shared" si="12"/>
        <v>50023.8</v>
      </c>
      <c r="AJ28" s="87">
        <v>50047.199999999997</v>
      </c>
      <c r="AK28" s="48">
        <f t="shared" si="7"/>
        <v>23.399999999994179</v>
      </c>
      <c r="AL28" s="89">
        <f t="shared" si="4"/>
        <v>6653.6761845043447</v>
      </c>
      <c r="AM28" s="83">
        <f t="shared" si="13"/>
        <v>2210.3179601114211</v>
      </c>
      <c r="AN28" s="137">
        <v>115</v>
      </c>
      <c r="AO28" s="78">
        <f t="shared" si="5"/>
        <v>18120.52173</v>
      </c>
    </row>
    <row r="29" spans="1:41" x14ac:dyDescent="0.25">
      <c r="A29" s="79">
        <v>44554</v>
      </c>
      <c r="B29" s="86">
        <f>13142829-13136245</f>
        <v>6584</v>
      </c>
      <c r="C29" s="86">
        <f>8421812-8417952</f>
        <v>3860</v>
      </c>
      <c r="D29" s="86">
        <f>1665352-1664416</f>
        <v>936</v>
      </c>
      <c r="E29" s="86">
        <f>12589629-12582350</f>
        <v>7279</v>
      </c>
      <c r="F29" s="86">
        <f>12496619-12490379</f>
        <v>6240</v>
      </c>
      <c r="G29" s="86">
        <f>8832158-8829268</f>
        <v>2890</v>
      </c>
      <c r="H29" s="86">
        <f>9622327-9618590</f>
        <v>3737</v>
      </c>
      <c r="I29" s="86">
        <f>5604798-5602545</f>
        <v>2253</v>
      </c>
      <c r="J29" s="86">
        <f>12729959-12722484</f>
        <v>7475</v>
      </c>
      <c r="K29" s="86">
        <f t="shared" si="14"/>
        <v>31526</v>
      </c>
      <c r="L29" s="14">
        <f t="shared" si="8"/>
        <v>6305.2000000000007</v>
      </c>
      <c r="M29" s="83">
        <f>4242.877-4063.108</f>
        <v>179.76900000000023</v>
      </c>
      <c r="N29" s="83">
        <f>4628.988-4627.987</f>
        <v>1.0010000000002037</v>
      </c>
      <c r="O29" s="83">
        <f>10449.778-10447.795</f>
        <v>1.9830000000001746</v>
      </c>
      <c r="P29" s="82">
        <f>2873.073-2799.671</f>
        <v>73.402000000000044</v>
      </c>
      <c r="Q29" s="83">
        <f>26789.325-26778.208</f>
        <v>11.117000000002008</v>
      </c>
      <c r="R29" s="83">
        <f t="shared" si="0"/>
        <v>76.386000000000422</v>
      </c>
      <c r="S29" s="83">
        <f t="shared" si="1"/>
        <v>598.86624000000324</v>
      </c>
      <c r="T29" s="83">
        <f t="shared" si="2"/>
        <v>190.88600000000224</v>
      </c>
      <c r="U29" s="83">
        <f t="shared" si="15"/>
        <v>1496.5462400000176</v>
      </c>
      <c r="V29" s="83">
        <f>389344.5-389115</f>
        <v>229.5</v>
      </c>
      <c r="W29" s="83">
        <f>141718.22-141537.9</f>
        <v>180.32000000000698</v>
      </c>
      <c r="X29" s="86" t="s">
        <v>63</v>
      </c>
      <c r="Y29" s="87">
        <v>961166</v>
      </c>
      <c r="Z29" s="5">
        <f t="shared" si="9"/>
        <v>802</v>
      </c>
      <c r="AA29" s="14">
        <f t="shared" si="6"/>
        <v>5188.9399999999996</v>
      </c>
      <c r="AB29" s="87">
        <v>10565165</v>
      </c>
      <c r="AC29" s="86">
        <f t="shared" si="10"/>
        <v>10550498</v>
      </c>
      <c r="AD29" s="5">
        <f t="shared" si="3"/>
        <v>14667</v>
      </c>
      <c r="AE29" s="83">
        <f t="shared" si="11"/>
        <v>4872.3040650000003</v>
      </c>
      <c r="AF29" s="83">
        <f>95570.7-95544.7</f>
        <v>26</v>
      </c>
      <c r="AG29" s="83">
        <f>50672.5-50667</f>
        <v>5.5</v>
      </c>
      <c r="AH29" s="83">
        <f>30192.8-30184.6</f>
        <v>8.2000000000007276</v>
      </c>
      <c r="AI29" s="87">
        <f t="shared" si="12"/>
        <v>50047.199999999997</v>
      </c>
      <c r="AJ29" s="87">
        <v>50070.3</v>
      </c>
      <c r="AK29" s="48">
        <f t="shared" si="7"/>
        <v>23.100000000005821</v>
      </c>
      <c r="AL29" s="89">
        <f t="shared" si="4"/>
        <v>6568.3726436806546</v>
      </c>
      <c r="AM29" s="83">
        <f t="shared" si="13"/>
        <v>2181.9805503674952</v>
      </c>
      <c r="AN29" s="137">
        <v>119</v>
      </c>
      <c r="AO29" s="78">
        <f t="shared" si="5"/>
        <v>17862.990305000018</v>
      </c>
    </row>
    <row r="30" spans="1:41" x14ac:dyDescent="0.25">
      <c r="A30" s="79">
        <v>44555</v>
      </c>
      <c r="B30" s="86">
        <f>13149313-13142829</f>
        <v>6484</v>
      </c>
      <c r="C30" s="86">
        <f>8426733-8421812</f>
        <v>4921</v>
      </c>
      <c r="D30" s="86">
        <f>1666261-1665352</f>
        <v>909</v>
      </c>
      <c r="E30" s="86">
        <f>12596814-12589629</f>
        <v>7185</v>
      </c>
      <c r="F30" s="86">
        <f>12502863-12496619</f>
        <v>6244</v>
      </c>
      <c r="G30" s="86">
        <f>8834904-8832158</f>
        <v>2746</v>
      </c>
      <c r="H30" s="86">
        <f>9625924-9622327</f>
        <v>3597</v>
      </c>
      <c r="I30" s="86">
        <f>5606995-5604798</f>
        <v>2197</v>
      </c>
      <c r="J30" s="86">
        <f>12737169-12729959</f>
        <v>7210</v>
      </c>
      <c r="K30" s="86">
        <f t="shared" si="14"/>
        <v>32086</v>
      </c>
      <c r="L30" s="14">
        <f t="shared" si="8"/>
        <v>6417.2000000000007</v>
      </c>
      <c r="M30" s="83">
        <f>4464.87-4242.877</f>
        <v>221.99299999999948</v>
      </c>
      <c r="N30" s="83">
        <f>4629.465-4628.988</f>
        <v>0.47699999999986176</v>
      </c>
      <c r="O30" s="83">
        <f>10451.621-10449.778</f>
        <v>1.8429999999989377</v>
      </c>
      <c r="P30" s="82">
        <f>2950.968-2873.073</f>
        <v>77.894999999999982</v>
      </c>
      <c r="Q30" s="83">
        <f>26801.682-26789.325</f>
        <v>12.356999999999971</v>
      </c>
      <c r="R30" s="83">
        <f t="shared" si="0"/>
        <v>80.214999999998781</v>
      </c>
      <c r="S30" s="83">
        <f t="shared" si="1"/>
        <v>628.8855999999904</v>
      </c>
      <c r="T30" s="83">
        <f t="shared" si="2"/>
        <v>234.34999999999945</v>
      </c>
      <c r="U30" s="83">
        <f t="shared" si="15"/>
        <v>1837.3039999999958</v>
      </c>
      <c r="V30" s="83">
        <f>389597-389344.5</f>
        <v>252.5</v>
      </c>
      <c r="W30" s="83">
        <f>141915-141718.22</f>
        <v>196.77999999999884</v>
      </c>
      <c r="X30" s="86" t="s">
        <v>63</v>
      </c>
      <c r="Y30" s="87">
        <v>962044</v>
      </c>
      <c r="Z30" s="5">
        <f t="shared" si="9"/>
        <v>878</v>
      </c>
      <c r="AA30" s="14">
        <f t="shared" si="6"/>
        <v>5680.66</v>
      </c>
      <c r="AB30" s="87">
        <v>10580550</v>
      </c>
      <c r="AC30" s="86">
        <f t="shared" si="10"/>
        <v>10565165</v>
      </c>
      <c r="AD30" s="5">
        <f t="shared" si="3"/>
        <v>15385</v>
      </c>
      <c r="AE30" s="83">
        <f t="shared" si="11"/>
        <v>5110.8200750000005</v>
      </c>
      <c r="AF30" s="83">
        <f>95598.7-95570.7</f>
        <v>28</v>
      </c>
      <c r="AG30" s="83">
        <f>50675.3-50672.5</f>
        <v>2.8000000000029104</v>
      </c>
      <c r="AH30" s="83">
        <f>30201.2-30192.8</f>
        <v>8.4000000000014552</v>
      </c>
      <c r="AI30" s="87">
        <f t="shared" si="12"/>
        <v>50070.3</v>
      </c>
      <c r="AJ30" s="87">
        <v>50094.6</v>
      </c>
      <c r="AK30" s="48">
        <f t="shared" si="7"/>
        <v>24.299999999995634</v>
      </c>
      <c r="AL30" s="89">
        <f t="shared" si="4"/>
        <v>6909.5868069857579</v>
      </c>
      <c r="AM30" s="83">
        <f t="shared" si="13"/>
        <v>2295.3301893466341</v>
      </c>
      <c r="AN30" s="137">
        <v>109</v>
      </c>
      <c r="AO30" s="78">
        <f t="shared" si="5"/>
        <v>19045.984074999997</v>
      </c>
    </row>
    <row r="31" spans="1:41" x14ac:dyDescent="0.25">
      <c r="A31" s="79">
        <v>44556</v>
      </c>
      <c r="B31" s="86">
        <f>13156159-13149313</f>
        <v>6846</v>
      </c>
      <c r="C31" s="86">
        <f>8430710-8426733</f>
        <v>3977</v>
      </c>
      <c r="D31" s="86">
        <f>1667140-1666261</f>
        <v>879</v>
      </c>
      <c r="E31" s="86">
        <f>12603878-12596814</f>
        <v>7064</v>
      </c>
      <c r="F31" s="86">
        <f>12508872-12502863</f>
        <v>6009</v>
      </c>
      <c r="G31" s="86">
        <f>8837740-8834904</f>
        <v>2836</v>
      </c>
      <c r="H31" s="86">
        <f>9629574-9625924</f>
        <v>3650</v>
      </c>
      <c r="I31" s="86">
        <f>5609208-5606995</f>
        <v>2213</v>
      </c>
      <c r="J31" s="86">
        <f>12744330-12737169</f>
        <v>7161</v>
      </c>
      <c r="K31" s="86">
        <f t="shared" si="14"/>
        <v>31261</v>
      </c>
      <c r="L31" s="14">
        <f t="shared" si="8"/>
        <v>6252.2000000000007</v>
      </c>
      <c r="M31" s="83">
        <f>4677.149-4464.87</f>
        <v>212.27900000000045</v>
      </c>
      <c r="N31" s="83">
        <f>4630.329-4629.465</f>
        <v>0.86399999999957799</v>
      </c>
      <c r="O31" s="83">
        <f>10453.531-10451.621</f>
        <v>1.9100000000016735</v>
      </c>
      <c r="P31" s="83">
        <f>3012.112-2950.968</f>
        <v>61.144000000000233</v>
      </c>
      <c r="Q31" s="83">
        <f>26817.212-26801.682</f>
        <v>15.529999999998836</v>
      </c>
      <c r="R31" s="83">
        <f t="shared" si="0"/>
        <v>63.918000000001484</v>
      </c>
      <c r="S31" s="83">
        <f t="shared" si="1"/>
        <v>501.11712000001165</v>
      </c>
      <c r="T31" s="83">
        <f t="shared" si="2"/>
        <v>227.80899999999929</v>
      </c>
      <c r="U31" s="83">
        <f t="shared" si="15"/>
        <v>1786.0225599999944</v>
      </c>
      <c r="V31" s="123">
        <f>389796.9-389597</f>
        <v>199.90000000002328</v>
      </c>
      <c r="W31" s="123">
        <f>142099.4-141915</f>
        <v>184.39999999999418</v>
      </c>
      <c r="X31" s="86" t="s">
        <v>63</v>
      </c>
      <c r="Y31" s="87">
        <v>962802</v>
      </c>
      <c r="Z31" s="5">
        <f t="shared" si="9"/>
        <v>758</v>
      </c>
      <c r="AA31" s="14">
        <f t="shared" si="6"/>
        <v>4904.26</v>
      </c>
      <c r="AB31" s="87">
        <v>10594211</v>
      </c>
      <c r="AC31" s="86">
        <f t="shared" si="10"/>
        <v>10580550</v>
      </c>
      <c r="AD31" s="5">
        <f t="shared" si="3"/>
        <v>13661</v>
      </c>
      <c r="AE31" s="83">
        <f t="shared" si="11"/>
        <v>4538.1158949999999</v>
      </c>
      <c r="AF31" s="83">
        <f>95622.6-95598.7</f>
        <v>23.900000000008731</v>
      </c>
      <c r="AG31" s="83">
        <f>50676-50675.3</f>
        <v>0.69999999999708962</v>
      </c>
      <c r="AH31" s="83">
        <f>30209.2-30201.2</f>
        <v>8</v>
      </c>
      <c r="AI31" s="87">
        <f t="shared" si="12"/>
        <v>50094.6</v>
      </c>
      <c r="AJ31" s="87">
        <v>50116.3</v>
      </c>
      <c r="AK31" s="48">
        <f t="shared" si="7"/>
        <v>21.700000000004366</v>
      </c>
      <c r="AL31" s="89">
        <f t="shared" si="4"/>
        <v>6170.2894531542406</v>
      </c>
      <c r="AM31" s="83">
        <f t="shared" si="13"/>
        <v>2049.7393048905733</v>
      </c>
      <c r="AN31" s="137">
        <v>133</v>
      </c>
      <c r="AO31" s="78">
        <f t="shared" si="5"/>
        <v>17480.598454999996</v>
      </c>
    </row>
    <row r="32" spans="1:41" x14ac:dyDescent="0.25">
      <c r="A32" s="79">
        <v>44557</v>
      </c>
      <c r="B32" s="86">
        <f>13162701-13156159</f>
        <v>6542</v>
      </c>
      <c r="C32" s="86">
        <f>8434650-8430710</f>
        <v>3940</v>
      </c>
      <c r="D32" s="86">
        <f>1668010-1667140</f>
        <v>870</v>
      </c>
      <c r="E32" s="86">
        <f>12611003-12603878</f>
        <v>7125</v>
      </c>
      <c r="F32" s="86">
        <f>12514877-12508872</f>
        <v>6005</v>
      </c>
      <c r="G32" s="86">
        <f>8840627-8837740</f>
        <v>2887</v>
      </c>
      <c r="H32" s="86">
        <f>9633286-9629574</f>
        <v>3712</v>
      </c>
      <c r="I32" s="86">
        <f>5611466-5609208</f>
        <v>2258</v>
      </c>
      <c r="J32" s="86">
        <f>12751512-12744330</f>
        <v>7182</v>
      </c>
      <c r="K32" s="86">
        <f t="shared" si="14"/>
        <v>31081</v>
      </c>
      <c r="L32" s="14">
        <f t="shared" si="8"/>
        <v>6216.2000000000007</v>
      </c>
      <c r="M32" s="83">
        <f>4891.424-4677.149</f>
        <v>214.27499999999964</v>
      </c>
      <c r="N32" s="83">
        <f>4631.864-4630.329</f>
        <v>1.5349999999998545</v>
      </c>
      <c r="O32" s="83">
        <f>10456.37-10453.531</f>
        <v>2.8389999999999418</v>
      </c>
      <c r="P32" s="82">
        <f>3066.968-3012.112</f>
        <v>54.855999999999767</v>
      </c>
      <c r="Q32" s="83">
        <f>26828.595-26817.212</f>
        <v>11.38300000000163</v>
      </c>
      <c r="R32" s="83">
        <f t="shared" si="0"/>
        <v>59.229999999999563</v>
      </c>
      <c r="S32" s="83">
        <f t="shared" si="1"/>
        <v>464.3631999999966</v>
      </c>
      <c r="T32" s="83">
        <f t="shared" si="2"/>
        <v>225.65800000000127</v>
      </c>
      <c r="U32" s="83">
        <f t="shared" si="15"/>
        <v>1769.1587200000099</v>
      </c>
      <c r="V32" s="123">
        <f>390020.8-389796.9</f>
        <v>223.89999999996508</v>
      </c>
      <c r="W32" s="123">
        <f>142297.98-142099.4</f>
        <v>198.5800000000163</v>
      </c>
      <c r="X32" s="86" t="s">
        <v>63</v>
      </c>
      <c r="Y32" s="87">
        <v>963595</v>
      </c>
      <c r="Z32" s="5">
        <f t="shared" si="9"/>
        <v>793</v>
      </c>
      <c r="AA32" s="14">
        <f t="shared" si="6"/>
        <v>5130.71</v>
      </c>
      <c r="AB32" s="87">
        <v>10607740</v>
      </c>
      <c r="AC32" s="86">
        <f t="shared" si="10"/>
        <v>10594211</v>
      </c>
      <c r="AD32" s="5">
        <f t="shared" si="3"/>
        <v>13529</v>
      </c>
      <c r="AE32" s="83">
        <f t="shared" si="11"/>
        <v>4494.2661550000003</v>
      </c>
      <c r="AF32" s="83">
        <f>95645.8-95622.6</f>
        <v>23.19999999999709</v>
      </c>
      <c r="AG32" s="83">
        <f>50676.7-50676</f>
        <v>0.69999999999708962</v>
      </c>
      <c r="AH32" s="83">
        <f>30217.4-30209.2</f>
        <v>8.2000000000007276</v>
      </c>
      <c r="AI32" s="87">
        <f t="shared" si="12"/>
        <v>50116.3</v>
      </c>
      <c r="AJ32" s="87">
        <v>50139</v>
      </c>
      <c r="AK32" s="48">
        <f t="shared" si="7"/>
        <v>22.69999999999709</v>
      </c>
      <c r="AL32" s="89">
        <f t="shared" si="4"/>
        <v>6454.6345892421723</v>
      </c>
      <c r="AM32" s="83">
        <f t="shared" si="13"/>
        <v>2144.1973373733035</v>
      </c>
      <c r="AN32" s="137">
        <v>148</v>
      </c>
      <c r="AO32" s="78">
        <f t="shared" si="5"/>
        <v>17610.334875000011</v>
      </c>
    </row>
    <row r="33" spans="1:41" x14ac:dyDescent="0.25">
      <c r="A33" s="79">
        <v>44558</v>
      </c>
      <c r="B33" s="86">
        <f>13170014-13162701</f>
        <v>7313</v>
      </c>
      <c r="C33" s="86">
        <f>8438797-8434650</f>
        <v>4147</v>
      </c>
      <c r="D33" s="86">
        <f>1668940-1668010</f>
        <v>930</v>
      </c>
      <c r="E33" s="86">
        <f>12618142-12611003</f>
        <v>7139</v>
      </c>
      <c r="F33" s="86">
        <f>12521088-12514877</f>
        <v>6211</v>
      </c>
      <c r="G33" s="86">
        <f>8843536-8840627</f>
        <v>2909</v>
      </c>
      <c r="H33" s="86">
        <f>9637042-9633286</f>
        <v>3756</v>
      </c>
      <c r="I33" s="86">
        <f>5613723-5611466</f>
        <v>2257</v>
      </c>
      <c r="J33" s="86">
        <f>12758745-12751512</f>
        <v>7233</v>
      </c>
      <c r="K33" s="86">
        <f t="shared" si="14"/>
        <v>32405</v>
      </c>
      <c r="L33" s="14">
        <f t="shared" si="8"/>
        <v>6481</v>
      </c>
      <c r="M33" s="83">
        <f>5123.169-4891.424</f>
        <v>231.74499999999989</v>
      </c>
      <c r="N33" s="83">
        <f>4632.37-4631.864</f>
        <v>0.50600000000031287</v>
      </c>
      <c r="O33" s="83">
        <f>10458.023-10456.37</f>
        <v>1.6529999999984284</v>
      </c>
      <c r="P33" s="82">
        <f>3136.045-3066.968</f>
        <v>69.077000000000226</v>
      </c>
      <c r="Q33" s="83">
        <f>26848.051-26828.595</f>
        <v>19.455999999998312</v>
      </c>
      <c r="R33" s="83">
        <f t="shared" si="0"/>
        <v>71.235999999998967</v>
      </c>
      <c r="S33" s="83">
        <f t="shared" si="1"/>
        <v>558.4902399999919</v>
      </c>
      <c r="T33" s="83">
        <f t="shared" si="2"/>
        <v>251.2009999999982</v>
      </c>
      <c r="U33" s="83">
        <f t="shared" si="15"/>
        <v>1969.4158399999858</v>
      </c>
      <c r="V33" s="123">
        <f>390269.6-390020.8</f>
        <v>248.79999999998836</v>
      </c>
      <c r="W33" s="123">
        <f>142499.25-142297.98</f>
        <v>201.26999999998952</v>
      </c>
      <c r="X33" s="86" t="s">
        <v>63</v>
      </c>
      <c r="Y33" s="87">
        <v>964415</v>
      </c>
      <c r="Z33" s="5">
        <f t="shared" si="9"/>
        <v>820</v>
      </c>
      <c r="AA33" s="14">
        <f t="shared" si="6"/>
        <v>5305.4</v>
      </c>
      <c r="AB33" s="87">
        <v>10621380</v>
      </c>
      <c r="AC33" s="86">
        <f t="shared" si="10"/>
        <v>10607740</v>
      </c>
      <c r="AD33" s="5">
        <f t="shared" si="3"/>
        <v>13640</v>
      </c>
      <c r="AE33" s="83">
        <f t="shared" si="11"/>
        <v>4531.1397999999999</v>
      </c>
      <c r="AF33" s="83">
        <f>95669.8-95645.8</f>
        <v>24</v>
      </c>
      <c r="AG33" s="83">
        <f>50676.7-50676.7</f>
        <v>0</v>
      </c>
      <c r="AH33" s="83">
        <f>30225.6-30217.4</f>
        <v>8.1999999999970896</v>
      </c>
      <c r="AI33" s="87">
        <f t="shared" si="12"/>
        <v>50139</v>
      </c>
      <c r="AJ33" s="87">
        <v>50161.3</v>
      </c>
      <c r="AK33" s="48">
        <f t="shared" si="7"/>
        <v>22.30000000000291</v>
      </c>
      <c r="AL33" s="89">
        <f t="shared" si="4"/>
        <v>6340.8965348078273</v>
      </c>
      <c r="AM33" s="83">
        <f t="shared" si="13"/>
        <v>2106.4141243804861</v>
      </c>
      <c r="AN33" s="137">
        <v>148</v>
      </c>
      <c r="AO33" s="78">
        <f t="shared" si="5"/>
        <v>18286.955639999986</v>
      </c>
    </row>
    <row r="34" spans="1:41" x14ac:dyDescent="0.25">
      <c r="A34" s="79">
        <v>44559</v>
      </c>
      <c r="B34" s="86">
        <f>13176659-13170014</f>
        <v>6645</v>
      </c>
      <c r="C34" s="86">
        <f>8442888-8438797</f>
        <v>4091</v>
      </c>
      <c r="D34" s="86">
        <f>1669895-1668940</f>
        <v>955</v>
      </c>
      <c r="E34" s="86">
        <f>12625396-12618142</f>
        <v>7254</v>
      </c>
      <c r="F34" s="86">
        <f>12527301-12521088</f>
        <v>6213</v>
      </c>
      <c r="G34" s="86">
        <f>8846355-8843536</f>
        <v>2819</v>
      </c>
      <c r="H34" s="86">
        <f>9640779-9637042</f>
        <v>3737</v>
      </c>
      <c r="I34" s="86">
        <f>5615971-5613723</f>
        <v>2248</v>
      </c>
      <c r="J34" s="86">
        <f>12766022-12758745</f>
        <v>7277</v>
      </c>
      <c r="K34" s="86">
        <f t="shared" si="14"/>
        <v>31714</v>
      </c>
      <c r="L34" s="14">
        <f t="shared" si="8"/>
        <v>6342.8</v>
      </c>
      <c r="M34" s="83">
        <f>5340.988-5123.169</f>
        <v>217.81900000000041</v>
      </c>
      <c r="N34" s="83">
        <f>4633.107-4632.37</f>
        <v>0.73700000000008004</v>
      </c>
      <c r="O34" s="83">
        <f>10459.987-10458.023</f>
        <v>1.9639999999999418</v>
      </c>
      <c r="P34" s="82">
        <f>3204.979-3136.045</f>
        <v>68.933999999999742</v>
      </c>
      <c r="Q34" s="83">
        <f>26860.927-26848.051</f>
        <v>12.876000000000204</v>
      </c>
      <c r="R34" s="83">
        <f t="shared" si="0"/>
        <v>71.634999999999764</v>
      </c>
      <c r="S34" s="83">
        <f t="shared" si="1"/>
        <v>561.61839999999813</v>
      </c>
      <c r="T34" s="83">
        <f t="shared" si="2"/>
        <v>230.69500000000062</v>
      </c>
      <c r="U34" s="83">
        <f t="shared" si="15"/>
        <v>1808.6488000000047</v>
      </c>
      <c r="V34" s="123">
        <f>390519-390269.6</f>
        <v>249.40000000002328</v>
      </c>
      <c r="W34" s="123">
        <f>142700.85-142499.25</f>
        <v>201.60000000000582</v>
      </c>
      <c r="X34" s="86" t="s">
        <v>63</v>
      </c>
      <c r="Y34" s="87">
        <v>965256</v>
      </c>
      <c r="Z34" s="5">
        <f t="shared" si="9"/>
        <v>841</v>
      </c>
      <c r="AA34" s="14">
        <f t="shared" si="6"/>
        <v>5441.2699999999995</v>
      </c>
      <c r="AB34" s="87">
        <v>10634800</v>
      </c>
      <c r="AC34" s="86">
        <f t="shared" si="10"/>
        <v>10621380</v>
      </c>
      <c r="AD34" s="5">
        <f t="shared" si="3"/>
        <v>13420</v>
      </c>
      <c r="AE34" s="83">
        <f t="shared" si="11"/>
        <v>4458.0569000000005</v>
      </c>
      <c r="AF34" s="83">
        <f>95694.2-95669.8</f>
        <v>24.399999999994179</v>
      </c>
      <c r="AG34" s="83">
        <f>50676.9-50676.7</f>
        <v>0.20000000000436557</v>
      </c>
      <c r="AH34" s="83">
        <f>30233.7-30225.6</f>
        <v>8.1000000000021828</v>
      </c>
      <c r="AI34" s="87">
        <f t="shared" si="12"/>
        <v>50161.3</v>
      </c>
      <c r="AJ34" s="87">
        <v>50183.9</v>
      </c>
      <c r="AK34" s="48">
        <f t="shared" si="7"/>
        <v>22.599999999998545</v>
      </c>
      <c r="AL34" s="89">
        <f t="shared" si="4"/>
        <v>6426.2000756335856</v>
      </c>
      <c r="AM34" s="83">
        <f t="shared" si="13"/>
        <v>2134.7515341250992</v>
      </c>
      <c r="AN34" s="137">
        <v>120</v>
      </c>
      <c r="AO34" s="78">
        <f t="shared" si="5"/>
        <v>18050.775700000006</v>
      </c>
    </row>
    <row r="35" spans="1:41" x14ac:dyDescent="0.25">
      <c r="A35" s="79">
        <v>44560</v>
      </c>
      <c r="B35" s="86">
        <f>13182825-13176659</f>
        <v>6166</v>
      </c>
      <c r="C35" s="86">
        <f>8447194-8442888</f>
        <v>4306</v>
      </c>
      <c r="D35" s="86">
        <f>1670828-1669895</f>
        <v>933</v>
      </c>
      <c r="E35" s="86">
        <f>12632462-12625396</f>
        <v>7066</v>
      </c>
      <c r="F35" s="86">
        <f>12533710-12527301</f>
        <v>6409</v>
      </c>
      <c r="G35" s="86">
        <f>8849210-8846355</f>
        <v>2855</v>
      </c>
      <c r="H35" s="86">
        <f>9644518-9640779</f>
        <v>3739</v>
      </c>
      <c r="I35" s="86">
        <f>5618261-5615971</f>
        <v>2290</v>
      </c>
      <c r="J35" s="86">
        <f>12773384-12766022</f>
        <v>7362</v>
      </c>
      <c r="K35" s="86">
        <f t="shared" ref="K35:K36" si="16">SUM(B35:H35)</f>
        <v>31474</v>
      </c>
      <c r="L35" s="14">
        <f t="shared" ref="L35:L36" si="17">K35*0.2</f>
        <v>6294.8</v>
      </c>
      <c r="M35" s="83">
        <f>5566.155-5340.988</f>
        <v>225.16699999999946</v>
      </c>
      <c r="N35" s="83">
        <f>4634.961-4633.107</f>
        <v>1.8540000000002692</v>
      </c>
      <c r="O35" s="83">
        <f>10462.821-10459.987</f>
        <v>2.8340000000007421</v>
      </c>
      <c r="P35" s="82">
        <f>3279.422-3204.979</f>
        <v>74.443000000000211</v>
      </c>
      <c r="Q35" s="83">
        <f>26873.92-26860.927</f>
        <v>12.992999999998574</v>
      </c>
      <c r="R35" s="83">
        <f t="shared" ref="R35:R36" si="18">N35+O35+P35</f>
        <v>79.131000000001222</v>
      </c>
      <c r="S35" s="83">
        <f t="shared" ref="S35:S36" si="19">(N35+O35+P35)*7.84</f>
        <v>620.38704000000962</v>
      </c>
      <c r="T35" s="83">
        <f t="shared" ref="T35:T36" si="20">M35+Q35</f>
        <v>238.15999999999804</v>
      </c>
      <c r="U35" s="83">
        <f t="shared" ref="U35:U36" si="21">T35*7.84</f>
        <v>1867.1743999999846</v>
      </c>
      <c r="V35" s="123">
        <f>390759.9-390519</f>
        <v>240.90000000002328</v>
      </c>
      <c r="W35" s="123">
        <f>142900.42-142700.85</f>
        <v>199.57000000000698</v>
      </c>
      <c r="X35" s="86" t="s">
        <v>63</v>
      </c>
      <c r="Y35" s="87">
        <v>966120</v>
      </c>
      <c r="Z35" s="5">
        <f t="shared" ref="Z35:Z36" si="22">IF((Y35-Y34&lt;0), "0",Y35-Y34)</f>
        <v>864</v>
      </c>
      <c r="AA35" s="14">
        <f t="shared" ref="AA35:AA36" si="23">Z35*6.47</f>
        <v>5590.08</v>
      </c>
      <c r="AB35" s="87">
        <v>10648233</v>
      </c>
      <c r="AC35" s="86">
        <f t="shared" ref="AC35:AC36" si="24">AB34</f>
        <v>10634800</v>
      </c>
      <c r="AD35" s="5">
        <f t="shared" ref="AD35:AD36" si="25">IF((AB35-AC35&lt;0), "0",AB35-AC35)</f>
        <v>13433</v>
      </c>
      <c r="AE35" s="83">
        <f t="shared" si="11"/>
        <v>4462.3754349999999</v>
      </c>
      <c r="AF35" s="83">
        <f>95719.8-95694.2</f>
        <v>25.600000000005821</v>
      </c>
      <c r="AG35" s="83">
        <f>50682.5-50676.9</f>
        <v>5.5999999999985448</v>
      </c>
      <c r="AH35" s="83">
        <f>30240.4-30233.7</f>
        <v>6.7000000000007276</v>
      </c>
      <c r="AI35" s="87">
        <f t="shared" si="12"/>
        <v>50183.9</v>
      </c>
      <c r="AJ35" s="87">
        <v>50207.3</v>
      </c>
      <c r="AK35" s="48">
        <f t="shared" ref="AK35:AK36" si="26">IF((AJ35-AI35)&lt;0, "0",AJ35-AI35)</f>
        <v>23.400000000001455</v>
      </c>
      <c r="AL35" s="89">
        <f t="shared" ref="AL35:AL36" si="27">AK35*(284.34513609)</f>
        <v>6653.6761845064129</v>
      </c>
      <c r="AM35" s="83">
        <f t="shared" ref="AM35:AM36" si="28">AL35*0.332195</f>
        <v>2210.3179601121078</v>
      </c>
      <c r="AN35" s="137">
        <v>101</v>
      </c>
      <c r="AO35" s="78">
        <f t="shared" si="5"/>
        <v>18214.429834999984</v>
      </c>
    </row>
    <row r="36" spans="1:41" x14ac:dyDescent="0.25">
      <c r="A36" s="79">
        <v>44561</v>
      </c>
      <c r="B36" s="86">
        <f>13189176-13182825</f>
        <v>6351</v>
      </c>
      <c r="C36" s="86">
        <f>8451362-8447194</f>
        <v>4168</v>
      </c>
      <c r="D36" s="86">
        <f>1671778-1670828</f>
        <v>950</v>
      </c>
      <c r="E36" s="86">
        <f>12639439-12632462</f>
        <v>6977</v>
      </c>
      <c r="F36" s="86">
        <f>12540134-12533710</f>
        <v>6424</v>
      </c>
      <c r="G36" s="86">
        <f>8852082-8849210</f>
        <v>2872</v>
      </c>
      <c r="H36" s="86">
        <f>9648186-9644518</f>
        <v>3668</v>
      </c>
      <c r="I36" s="86">
        <f>5620520-5618261</f>
        <v>2259</v>
      </c>
      <c r="J36" s="86">
        <f>12780761-12773384</f>
        <v>7377</v>
      </c>
      <c r="K36" s="86">
        <f t="shared" si="16"/>
        <v>31410</v>
      </c>
      <c r="L36" s="14">
        <f t="shared" si="17"/>
        <v>6282</v>
      </c>
      <c r="M36" s="83">
        <f>5784.234-5566.155</f>
        <v>218.07900000000063</v>
      </c>
      <c r="N36" s="83">
        <f>4635.995-4634.961</f>
        <v>1.0339999999996508</v>
      </c>
      <c r="O36" s="83">
        <f>10465.481-10462.821</f>
        <v>2.6599999999998545</v>
      </c>
      <c r="P36" s="82">
        <f>3341.172-3279.422</f>
        <v>61.75</v>
      </c>
      <c r="Q36" s="83">
        <f>26886.453-26873.92</f>
        <v>12.533000000003085</v>
      </c>
      <c r="R36" s="83">
        <f t="shared" si="18"/>
        <v>65.443999999999505</v>
      </c>
      <c r="S36" s="83">
        <f t="shared" si="19"/>
        <v>513.08095999999614</v>
      </c>
      <c r="T36" s="83">
        <f t="shared" si="20"/>
        <v>230.61200000000372</v>
      </c>
      <c r="U36" s="83">
        <f t="shared" si="21"/>
        <v>1807.9980800000292</v>
      </c>
      <c r="V36" s="123">
        <f>391017.7-390759.9</f>
        <v>257.79999999998836</v>
      </c>
      <c r="W36" s="123">
        <f>143100.45-142900.42</f>
        <v>200.02999999999884</v>
      </c>
      <c r="X36" s="86" t="s">
        <v>63</v>
      </c>
      <c r="Y36" s="87">
        <v>967013</v>
      </c>
      <c r="Z36" s="5">
        <f t="shared" si="22"/>
        <v>893</v>
      </c>
      <c r="AA36" s="14">
        <f t="shared" si="23"/>
        <v>5777.71</v>
      </c>
      <c r="AB36" s="87">
        <v>10661961</v>
      </c>
      <c r="AC36" s="86">
        <f t="shared" si="24"/>
        <v>10648233</v>
      </c>
      <c r="AD36" s="5">
        <f t="shared" si="25"/>
        <v>13728</v>
      </c>
      <c r="AE36" s="83">
        <f t="shared" si="11"/>
        <v>4560.3729600000006</v>
      </c>
      <c r="AF36" s="83">
        <f>95745.7-95719.8</f>
        <v>25.899999999994179</v>
      </c>
      <c r="AG36" s="83">
        <f>50687.8-50682.5</f>
        <v>5.3000000000029104</v>
      </c>
      <c r="AH36" s="83">
        <f>30247.6-30240.4</f>
        <v>7.1999999999970896</v>
      </c>
      <c r="AI36" s="87">
        <f t="shared" si="12"/>
        <v>50207.3</v>
      </c>
      <c r="AJ36" s="87">
        <v>50230.9</v>
      </c>
      <c r="AK36" s="48">
        <f t="shared" si="26"/>
        <v>23.599999999998545</v>
      </c>
      <c r="AL36" s="89">
        <f t="shared" si="27"/>
        <v>6710.5452117235855</v>
      </c>
      <c r="AM36" s="83">
        <f t="shared" si="28"/>
        <v>2229.2095666085165</v>
      </c>
      <c r="AN36" s="137">
        <v>143</v>
      </c>
      <c r="AO36" s="78">
        <f t="shared" si="5"/>
        <v>18428.08104000003</v>
      </c>
    </row>
    <row r="37" spans="1:41" x14ac:dyDescent="0.25">
      <c r="A37" s="76"/>
      <c r="D37" s="6">
        <f>SUM(D6:D36)</f>
        <v>27951</v>
      </c>
      <c r="E37" s="6" t="s">
        <v>93</v>
      </c>
      <c r="G37" s="6">
        <f t="shared" ref="G37:L37" si="29">SUM(G6:G36)</f>
        <v>90597</v>
      </c>
      <c r="H37" s="6">
        <f t="shared" si="29"/>
        <v>129993</v>
      </c>
      <c r="I37" s="6">
        <f t="shared" si="29"/>
        <v>70662</v>
      </c>
      <c r="J37" s="6">
        <f t="shared" si="29"/>
        <v>220028</v>
      </c>
      <c r="K37" s="6">
        <f t="shared" si="29"/>
        <v>1001290</v>
      </c>
      <c r="L37" s="15">
        <f t="shared" si="29"/>
        <v>200258.00000000006</v>
      </c>
      <c r="R37" s="16">
        <f>SUM(R6:R36)</f>
        <v>2416.2569999999992</v>
      </c>
      <c r="T37" s="16">
        <f>SUM(T6:T36)</f>
        <v>6508.7019999999948</v>
      </c>
      <c r="U37" s="16">
        <f t="shared" si="15"/>
        <v>51028.223679999959</v>
      </c>
      <c r="Z37" s="17">
        <f>SUM(Z6:Z36)</f>
        <v>24329</v>
      </c>
      <c r="AA37" s="17">
        <f>SUM(AA6:AA36)</f>
        <v>157408.62999999998</v>
      </c>
      <c r="AD37" s="17">
        <f>SUM(AD6:AD36)</f>
        <v>466645</v>
      </c>
      <c r="AE37" s="16">
        <f>AD37*0.334569</f>
        <v>156124.95100500001</v>
      </c>
      <c r="AF37" s="16">
        <f>SUM(AF6:AF36)</f>
        <v>827.09999999999127</v>
      </c>
      <c r="AG37" s="16">
        <f>SUM(AG6:AG36)</f>
        <v>218.30000000000291</v>
      </c>
      <c r="AH37" s="16">
        <f>SUM(AH6:AH36)</f>
        <v>270.59999999999854</v>
      </c>
      <c r="AK37" s="42">
        <f>SUM(AK6:AK36)</f>
        <v>739.70000000000437</v>
      </c>
      <c r="AL37" s="42">
        <f>SUM(AL6:AL36)</f>
        <v>210330.09716577426</v>
      </c>
      <c r="AM37" s="42">
        <f>SUM(AM6:AM36)</f>
        <v>69870.60662798438</v>
      </c>
      <c r="AN37" s="42">
        <f>SUM(AN6:AN36)</f>
        <v>4421</v>
      </c>
      <c r="AO37" s="42">
        <f>SUM(AO6:AO36)</f>
        <v>563711.98945500003</v>
      </c>
    </row>
    <row r="38" spans="1:41" x14ac:dyDescent="0.25">
      <c r="D38" s="6" t="e">
        <f>#REF!*24</f>
        <v>#REF!</v>
      </c>
      <c r="E38" s="6" t="s">
        <v>1</v>
      </c>
      <c r="R38" s="16">
        <v>7.84</v>
      </c>
      <c r="T38" s="16" t="s">
        <v>99</v>
      </c>
      <c r="U38" s="16">
        <f>U37-R39</f>
        <v>32084.768799999965</v>
      </c>
    </row>
    <row r="39" spans="1:41" x14ac:dyDescent="0.25">
      <c r="D39" s="6" t="e">
        <f>D38*31</f>
        <v>#REF!</v>
      </c>
      <c r="E39" s="6" t="s">
        <v>2</v>
      </c>
      <c r="F39" s="6" t="s">
        <v>94</v>
      </c>
      <c r="G39" s="6" t="e">
        <f>D39*0.2</f>
        <v>#REF!</v>
      </c>
      <c r="R39" s="16">
        <f>R37*R38</f>
        <v>18943.454879999994</v>
      </c>
      <c r="U39" s="16">
        <f>U38/R38</f>
        <v>4092.4449999999956</v>
      </c>
    </row>
    <row r="40" spans="1:41" x14ac:dyDescent="0.25">
      <c r="D40" s="15" t="e">
        <f>D39*0.2</f>
        <v>#REF!</v>
      </c>
    </row>
    <row r="41" spans="1:41" x14ac:dyDescent="0.25">
      <c r="E41" s="68" t="s">
        <v>98</v>
      </c>
    </row>
    <row r="42" spans="1:41" x14ac:dyDescent="0.25">
      <c r="AD42" s="6">
        <f>G42*0.2</f>
        <v>0</v>
      </c>
    </row>
  </sheetData>
  <mergeCells count="13">
    <mergeCell ref="AO2:AO4"/>
    <mergeCell ref="AA2:AA4"/>
    <mergeCell ref="AC2:AC4"/>
    <mergeCell ref="AD2:AD4"/>
    <mergeCell ref="AE2:AE4"/>
    <mergeCell ref="AM2:AM4"/>
    <mergeCell ref="AN2:AN4"/>
    <mergeCell ref="B1:J1"/>
    <mergeCell ref="X1:Y1"/>
    <mergeCell ref="K2:K3"/>
    <mergeCell ref="L2:L3"/>
    <mergeCell ref="S2:S4"/>
    <mergeCell ref="U2:U4"/>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8AABCC40F5CFC45BBCE981A278A7C4E" ma:contentTypeVersion="4" ma:contentTypeDescription="Create a new document." ma:contentTypeScope="" ma:versionID="b91eb22a3c415965adaa06a4ede6a68f">
  <xsd:schema xmlns:xsd="http://www.w3.org/2001/XMLSchema" xmlns:xs="http://www.w3.org/2001/XMLSchema" xmlns:p="http://schemas.microsoft.com/office/2006/metadata/properties" xmlns:ns2="999013b5-db2e-47f1-85a9-df7f954d7a13" xmlns:ns3="a21bcabd-71d1-4587-a317-3c23b4e73213" targetNamespace="http://schemas.microsoft.com/office/2006/metadata/properties" ma:root="true" ma:fieldsID="b499ca2ea6e613fe67e5797409ceb1a7" ns2:_="" ns3:_="">
    <xsd:import namespace="999013b5-db2e-47f1-85a9-df7f954d7a13"/>
    <xsd:import namespace="a21bcabd-71d1-4587-a317-3c23b4e7321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9013b5-db2e-47f1-85a9-df7f954d7a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21bcabd-71d1-4587-a317-3c23b4e7321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8C7322-DDD4-4103-9BFC-E4E0AA6EEC1D}">
  <ds:schemaRefs>
    <ds:schemaRef ds:uri="http://schemas.microsoft.com/sharepoint/v3/contenttype/forms"/>
  </ds:schemaRefs>
</ds:datastoreItem>
</file>

<file path=customXml/itemProps2.xml><?xml version="1.0" encoding="utf-8"?>
<ds:datastoreItem xmlns:ds="http://schemas.openxmlformats.org/officeDocument/2006/customXml" ds:itemID="{4EB0F865-9138-4E1D-8771-8D60B0AC9DE3}">
  <ds:schemaRefs>
    <ds:schemaRef ds:uri="999013b5-db2e-47f1-85a9-df7f954d7a13"/>
    <ds:schemaRef ds:uri="http://schemas.microsoft.com/office/2006/documentManagement/types"/>
    <ds:schemaRef ds:uri="http://purl.org/dc/terms/"/>
    <ds:schemaRef ds:uri="http://purl.org/dc/dcmitype/"/>
    <ds:schemaRef ds:uri="http://www.w3.org/XML/1998/namespace"/>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a21bcabd-71d1-4587-a317-3c23b4e73213"/>
  </ds:schemaRefs>
</ds:datastoreItem>
</file>

<file path=customXml/itemProps3.xml><?xml version="1.0" encoding="utf-8"?>
<ds:datastoreItem xmlns:ds="http://schemas.openxmlformats.org/officeDocument/2006/customXml" ds:itemID="{396C8D42-6205-48ED-A426-119B6942F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9013b5-db2e-47f1-85a9-df7f954d7a13"/>
    <ds:schemaRef ds:uri="a21bcabd-71d1-4587-a317-3c23b4e732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2022-01-03T07:51:38Z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0x010100B8AABCC40F5CFC45BBCE981A278A7C4E</vt:lpwstr>
  </property>
  <property fmtid="{D5CDD505-2E9C-101B-9397-08002B2CF9AE}" pid="3" name="Order">
    <vt:r8>13200</vt:r8>
  </property>
</Properties>
</file>