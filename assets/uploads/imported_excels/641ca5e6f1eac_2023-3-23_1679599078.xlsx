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N16" i="7" l="1"/>
  <c r="N17" i="7"/>
  <c r="N18" i="7"/>
  <c r="N19" i="7"/>
  <c r="N20" i="7"/>
  <c r="N21" i="7"/>
  <c r="AR14" i="7" l="1"/>
  <c r="AR15" i="7"/>
  <c r="AR16" i="7"/>
  <c r="AR17" i="7"/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<sst xmlns="http://schemas.openxmlformats.org/spreadsheetml/2006/main" count="315" uniqueCount="148">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</sst>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16.483499999999999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13900.000000000802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117.69999999999709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13499.999999998625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114.30000000000291</v>
      </c>
      <c r="J15" s="11">
        <f t="shared" si="2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13000.000000001568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116.69999999999709</v>
      </c>
      <c r="J16" s="11">
        <f t="shared" si="2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12999.999999999865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99.200000000000728</v>
      </c>
      <c r="J17" s="11">
        <f t="shared" si="2"/>
        <v>10.487297712684205</v>
      </c>
      <c r="K17" s="13">
        <f>'FS Desroches Daily'!CN19</f>
        <v>27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13599.999999999138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101.90000000000146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13399.999999999376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125</v>
      </c>
      <c r="J19" s="11">
        <f t="shared" si="2"/>
        <v>10.487297712684205</v>
      </c>
      <c r="K19" s="13">
        <f>'FS Desroches Daily'!CN21</f>
        <v>31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11900.000000000577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105.79999999999927</v>
      </c>
      <c r="J20" s="11">
        <f t="shared" si="2"/>
        <v>10.487297712684205</v>
      </c>
      <c r="K20" s="13">
        <f>'FS Desroches Daily'!CN22</f>
        <v>43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12299.999999999947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97</v>
      </c>
      <c r="J21" s="11">
        <f t="shared" si="2"/>
        <v>10.487297712684205</v>
      </c>
      <c r="K21" s="13">
        <f>'FS Desroches Daily'!CN23</f>
        <v>43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13500.0000000004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97</v>
      </c>
      <c r="J22" s="11">
        <f t="shared" si="2"/>
        <v>10.487297712684205</v>
      </c>
      <c r="K22" s="13">
        <f>'FS Desroches Daily'!CN24</f>
        <v>41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13400.000000000049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104</v>
      </c>
      <c r="J23" s="11">
        <f t="shared" si="2"/>
        <v>10.487297712684205</v>
      </c>
      <c r="K23" s="13">
        <f>'FS Desroches Daily'!CN25</f>
        <v>41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3099.9999999998809</v>
      </c>
      <c r="F14" s="32">
        <f>'FS Desroches Daily'!F16</f>
        <v>3600.0000000004916</v>
      </c>
      <c r="G14" s="31">
        <f>'FS Desroches Daily'!H16</f>
        <v>4100.0000000002146</v>
      </c>
      <c r="H14" s="32">
        <f>'FS Desroches Daily'!J16</f>
        <v>1900.0000000000127</v>
      </c>
      <c r="I14" s="31">
        <f>'FS Desroches Daily'!L16</f>
        <v>2400.0000000006239</v>
      </c>
      <c r="J14" s="32">
        <f>'FS Desroches Daily'!N16</f>
        <v>2200.0000000002019</v>
      </c>
      <c r="K14" s="13">
        <f>'FS Desroches Daily'!P16</f>
        <v>63</v>
      </c>
      <c r="L14" s="31">
        <f>'FS Desroches Daily'!R16</f>
        <v>12</v>
      </c>
      <c r="M14" s="31">
        <f>'FS Desroches Daily'!T16</f>
        <v>1400.0000000000909</v>
      </c>
      <c r="N14" s="31">
        <f>'FS Desroches Daily'!V16</f>
        <v>563.5</v>
      </c>
      <c r="O14" s="31">
        <f>'FS Desroches Daily'!X16</f>
        <v>389.99999999998636</v>
      </c>
      <c r="P14" s="31">
        <f>'FS Desroches Daily'!Z16</f>
        <v>3200.0000000005357</v>
      </c>
      <c r="Q14" s="31">
        <f>'FS Desroches Daily'!AB16</f>
        <v>509.99999999999091</v>
      </c>
      <c r="R14" s="31">
        <f>'FS Desroches Daily'!AD16</f>
        <v>480.00000000001819</v>
      </c>
      <c r="S14" s="31">
        <f>'FS Desroches Daily'!AF16</f>
        <v>1019.9999999999818</v>
      </c>
      <c r="T14" s="31">
        <f>'FS Desroches Daily'!AH16</f>
        <v>46</v>
      </c>
      <c r="U14" s="35">
        <f>'FS Desroches Daily'!AJ16</f>
        <v>799.99999999991189</v>
      </c>
      <c r="V14" s="35">
        <f>'FS Desroches Daily'!AL16</f>
        <v>330.00000000004093</v>
      </c>
      <c r="W14" s="35">
        <f>'FS Desroches Daily'!AN16</f>
        <v>350.00000000002274</v>
      </c>
      <c r="X14" s="35">
        <f>'FS Desroches Daily'!AP16</f>
        <v>160.00000000002501</v>
      </c>
      <c r="Y14" s="35">
        <f>'FS Desroches Daily'!AR16</f>
        <v>239.99999999995225</v>
      </c>
      <c r="Z14" s="35">
        <f>'FS Desroches Daily'!AT16</f>
        <v>120.00000000000455</v>
      </c>
      <c r="AA14" s="35">
        <f>'FS Desroches Daily'!AT16</f>
        <v>120.00000000000455</v>
      </c>
      <c r="AB14" s="35">
        <f>'FS Desroches Daily'!AV16</f>
        <v>150.00000000003411</v>
      </c>
      <c r="AC14" s="35">
        <f>'FS Desroches Daily'!AZ16</f>
        <v>210.00000000003638</v>
      </c>
      <c r="AD14" s="35">
        <f>'FS Desroches Daily'!BB16</f>
        <v>139.99999999998636</v>
      </c>
      <c r="AE14" s="35">
        <f>'FS Desroches Daily'!BD16</f>
        <v>100.00000000002274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40.000000000020464</v>
      </c>
      <c r="AI14" s="32">
        <f>'FS Desroches Daily'!BL16</f>
        <v>80.000000000040927</v>
      </c>
      <c r="AJ14" s="32">
        <f>'FS Desroches Daily'!BN16</f>
        <v>60.000000000002274</v>
      </c>
      <c r="AK14" s="32">
        <f>'FS Desroches Daily'!BP16</f>
        <v>60.000000000002274</v>
      </c>
      <c r="AL14" s="32">
        <f>'FS Desroches Daily'!BR16</f>
        <v>50</v>
      </c>
      <c r="AM14" s="32">
        <f>'FS Desroches Daily'!BT16</f>
        <v>69.999999999993179</v>
      </c>
      <c r="AN14" s="32">
        <f>'FS Desroches Daily'!BV16</f>
        <v>54</v>
      </c>
      <c r="AO14" s="32">
        <f>'FS Desroches Daily'!BX16</f>
        <v>60.000000000002274</v>
      </c>
      <c r="AP14" s="32">
        <f>'FS Desroches Daily'!BZ16</f>
        <v>63</v>
      </c>
      <c r="AQ14" s="31">
        <f>'FS Desroches Daily'!CB16</f>
        <v>53.399999999994179</v>
      </c>
      <c r="AR14" s="31">
        <f>'FS Desroches Daily'!CD16</f>
        <v>10.099999999998545</v>
      </c>
      <c r="AS14" s="31">
        <f>'FS Desroches Daily'!CF16</f>
        <v>8.6000000000003638</v>
      </c>
      <c r="AT14" s="31">
        <f>'FS Desroches Daily'!CH16</f>
        <v>35.5</v>
      </c>
      <c r="AU14" s="31">
        <f>'FS Desroches Daily'!CJ16</f>
        <v>332</v>
      </c>
      <c r="AV14" s="31">
        <f>'FS Desroches Daily'!CL16</f>
        <v>1000</v>
      </c>
      <c r="AW14" s="31">
        <f>'FS Desroches Daily'!CM16</f>
        <v>117.69999999999709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2800.0000000001355</v>
      </c>
      <c r="F15" s="32">
        <f>'FS Desroches Daily'!F17</f>
        <v>3699.9999999993706</v>
      </c>
      <c r="G15" s="31">
        <f>'FS Desroches Daily'!H17</f>
        <v>4099.9999999993261</v>
      </c>
      <c r="H15" s="32">
        <f>'FS Desroches Daily'!J17</f>
        <v>1900.0000000000127</v>
      </c>
      <c r="I15" s="31">
        <f>'FS Desroches Daily'!L17</f>
        <v>2499.9999999995025</v>
      </c>
      <c r="J15" s="32">
        <f>'FS Desroches Daily'!N17</f>
        <v>1999.9999999997797</v>
      </c>
      <c r="K15" s="13">
        <f>'FS Desroches Daily'!P17</f>
        <v>63</v>
      </c>
      <c r="L15" s="31">
        <f>'FS Desroches Daily'!R17</f>
        <v>7</v>
      </c>
      <c r="M15" s="31">
        <f>'FS Desroches Daily'!T17</f>
        <v>1599.9999999999091</v>
      </c>
      <c r="N15" s="31">
        <f>'FS Desroches Daily'!V17</f>
        <v>595.69999999995343</v>
      </c>
      <c r="O15" s="31">
        <f>'FS Desroches Daily'!X17</f>
        <v>400.00000000009095</v>
      </c>
      <c r="P15" s="31">
        <f>'FS Desroches Daily'!Z17</f>
        <v>3199.9999999996476</v>
      </c>
      <c r="Q15" s="31">
        <f>'FS Desroches Daily'!AB17</f>
        <v>309.99999999994543</v>
      </c>
      <c r="R15" s="31">
        <f>'FS Desroches Daily'!AD17</f>
        <v>539.99999999996362</v>
      </c>
      <c r="S15" s="31">
        <f>'FS Desroches Daily'!AF17</f>
        <v>1129.9999999999955</v>
      </c>
      <c r="T15" s="31">
        <f>'FS Desroches Daily'!AH17</f>
        <v>46</v>
      </c>
      <c r="U15" s="35">
        <f>'FS Desroches Daily'!AJ17</f>
        <v>700.00000000014495</v>
      </c>
      <c r="V15" s="35">
        <f>'FS Desroches Daily'!AL17</f>
        <v>329.99999999998408</v>
      </c>
      <c r="W15" s="35">
        <f>'FS Desroches Daily'!AN17</f>
        <v>339.99999999997499</v>
      </c>
      <c r="X15" s="35">
        <f>'FS Desroches Daily'!AP17</f>
        <v>100.00000000002274</v>
      </c>
      <c r="Y15" s="35">
        <f>'FS Desroches Daily'!AR17</f>
        <v>180.00000000000682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99.999999999965894</v>
      </c>
      <c r="AC15" s="35">
        <f>'FS Desroches Daily'!AZ17</f>
        <v>179.99999999994998</v>
      </c>
      <c r="AD15" s="35">
        <f>'FS Desroches Daily'!BB17</f>
        <v>129.99999999999545</v>
      </c>
      <c r="AE15" s="35">
        <f>'FS Desroches Daily'!BD17</f>
        <v>129.99999999999545</v>
      </c>
      <c r="AF15" s="31">
        <f>'FS Desroches Daily'!BF17</f>
        <v>42</v>
      </c>
      <c r="AG15" s="32">
        <f>'FS Desroches Daily'!BH17</f>
        <v>60.000000000002274</v>
      </c>
      <c r="AH15" s="32">
        <f>'FS Desroches Daily'!BJ17</f>
        <v>49.999999999954525</v>
      </c>
      <c r="AI15" s="32">
        <f>'FS Desroches Daily'!BL17</f>
        <v>69.999999999993179</v>
      </c>
      <c r="AJ15" s="32">
        <f>'FS Desroches Daily'!BN17</f>
        <v>60.000000000002274</v>
      </c>
      <c r="AK15" s="32">
        <f>'FS Desroches Daily'!BP17</f>
        <v>60.000000000002274</v>
      </c>
      <c r="AL15" s="32">
        <f>'FS Desroches Daily'!BR17</f>
        <v>57</v>
      </c>
      <c r="AM15" s="32">
        <f>'FS Desroches Daily'!BT17</f>
        <v>60.000000000002274</v>
      </c>
      <c r="AN15" s="32">
        <f>'FS Desroches Daily'!BV17</f>
        <v>49</v>
      </c>
      <c r="AO15" s="32">
        <f>'FS Desroches Daily'!BX17</f>
        <v>70.000000000050022</v>
      </c>
      <c r="AP15" s="32">
        <f>'FS Desroches Daily'!BZ17</f>
        <v>62</v>
      </c>
      <c r="AQ15" s="31">
        <f>'FS Desroches Daily'!CB17</f>
        <v>61.399999999994179</v>
      </c>
      <c r="AR15" s="31">
        <f>'FS Desroches Daily'!CD17</f>
        <v>22.400000000001455</v>
      </c>
      <c r="AS15" s="31">
        <f>'FS Desroches Daily'!CF17</f>
        <v>1.3999999999996362</v>
      </c>
      <c r="AT15" s="31">
        <f>'FS Desroches Daily'!CH17</f>
        <v>27.700000000011642</v>
      </c>
      <c r="AU15" s="31">
        <f>'FS Desroches Daily'!CJ17</f>
        <v>352</v>
      </c>
      <c r="AV15" s="31">
        <f>'FS Desroches Daily'!CL17</f>
        <v>1000</v>
      </c>
      <c r="AW15" s="31">
        <f>'FS Desroches Daily'!CM17</f>
        <v>114.30000000000291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2899.9999999999027</v>
      </c>
      <c r="F16" s="32">
        <f>'FS Desroches Daily'!F18</f>
        <v>3500.0000000007249</v>
      </c>
      <c r="G16" s="31">
        <f>'FS Desroches Daily'!H18</f>
        <v>3500.0000000007249</v>
      </c>
      <c r="H16" s="32">
        <f>'FS Desroches Daily'!J18</f>
        <v>1900.0000000000127</v>
      </c>
      <c r="I16" s="31">
        <f>'FS Desroches Daily'!L18</f>
        <v>2399.9999999997358</v>
      </c>
      <c r="J16" s="32">
        <f>'FS Desroches Daily'!N18</f>
        <v>2200.0000000002019</v>
      </c>
      <c r="K16" s="13">
        <f>'FS Desroches Daily'!P18</f>
        <v>61</v>
      </c>
      <c r="L16" s="31">
        <f>'FS Desroches Daily'!R18</f>
        <v>8</v>
      </c>
      <c r="M16" s="31">
        <f>'FS Desroches Daily'!T18</f>
        <v>1299.9999999999545</v>
      </c>
      <c r="N16" s="31">
        <f>'FS Desroches Daily'!V18</f>
        <v>444.90000000002328</v>
      </c>
      <c r="O16" s="31">
        <f>'FS Desroches Daily'!X18</f>
        <v>419.99999999995907</v>
      </c>
      <c r="P16" s="31">
        <f>'FS Desroches Daily'!Z18</f>
        <v>3199.9999999996476</v>
      </c>
      <c r="Q16" s="31">
        <f>'FS Desroches Daily'!AB18</f>
        <v>470.00000000002728</v>
      </c>
      <c r="R16" s="31">
        <f>'FS Desroches Daily'!AD18</f>
        <v>470.00000000002728</v>
      </c>
      <c r="S16" s="31">
        <f>'FS Desroches Daily'!AF18</f>
        <v>1070.00000000005</v>
      </c>
      <c r="T16" s="31">
        <f>'FS Desroches Daily'!AH18</f>
        <v>43</v>
      </c>
      <c r="U16" s="35">
        <f>'FS Desroches Daily'!AJ18</f>
        <v>799.99999999991189</v>
      </c>
      <c r="V16" s="35">
        <f>'FS Desroches Daily'!AL18</f>
        <v>350.00000000002274</v>
      </c>
      <c r="W16" s="35">
        <f>'FS Desroches Daily'!AN18</f>
        <v>350.00000000002274</v>
      </c>
      <c r="X16" s="35">
        <f>'FS Desroches Daily'!AP18</f>
        <v>119.9999999999477</v>
      </c>
      <c r="Y16" s="35">
        <f>'FS Desroches Daily'!AR18</f>
        <v>170.00000000001592</v>
      </c>
      <c r="Z16" s="35">
        <f>'FS Desroches Daily'!AT18</f>
        <v>149.99999999997726</v>
      </c>
      <c r="AA16" s="35">
        <f>'FS Desroches Daily'!AT18</f>
        <v>149.99999999997726</v>
      </c>
      <c r="AB16" s="35">
        <f>'FS Desroches Daily'!AV18</f>
        <v>90.000000000031832</v>
      </c>
      <c r="AC16" s="35">
        <f>'FS Desroches Daily'!AZ18</f>
        <v>200.00000000004547</v>
      </c>
      <c r="AD16" s="35">
        <f>'FS Desroches Daily'!BB18</f>
        <v>110.00000000001364</v>
      </c>
      <c r="AE16" s="35">
        <f>'FS Desroches Daily'!BD18</f>
        <v>209.99999999997954</v>
      </c>
      <c r="AF16" s="31">
        <f>'FS Desroches Daily'!BF18</f>
        <v>39</v>
      </c>
      <c r="AG16" s="32">
        <f>'FS Desroches Daily'!BH18</f>
        <v>60.000000000002274</v>
      </c>
      <c r="AH16" s="32">
        <f>'FS Desroches Daily'!BJ18</f>
        <v>40.000000000020464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79.999999999984084</v>
      </c>
      <c r="AL16" s="32">
        <f>'FS Desroches Daily'!BR18</f>
        <v>51</v>
      </c>
      <c r="AM16" s="32">
        <f>'FS Desroches Daily'!BT18</f>
        <v>70.0000000000216</v>
      </c>
      <c r="AN16" s="32">
        <f>'FS Desroches Daily'!BV18</f>
        <v>51</v>
      </c>
      <c r="AO16" s="32">
        <f>'FS Desroches Daily'!BX18</f>
        <v>59.99999999994543</v>
      </c>
      <c r="AP16" s="32">
        <f>'FS Desroches Daily'!BZ18</f>
        <v>64</v>
      </c>
      <c r="AQ16" s="31">
        <f>'FS Desroches Daily'!CB18</f>
        <v>61.700000000011642</v>
      </c>
      <c r="AR16" s="31">
        <f>'FS Desroches Daily'!CD18</f>
        <v>10.599999999998545</v>
      </c>
      <c r="AS16" s="31">
        <f>'FS Desroches Daily'!CF18</f>
        <v>5.6000000000003638</v>
      </c>
      <c r="AT16" s="31">
        <f>'FS Desroches Daily'!CH18</f>
        <v>32.299999999988358</v>
      </c>
      <c r="AU16" s="31">
        <f>'FS Desroches Daily'!CJ18</f>
        <v>289</v>
      </c>
      <c r="AV16" s="31">
        <f>'FS Desroches Daily'!CL18</f>
        <v>1000</v>
      </c>
      <c r="AW16" s="31">
        <f>'FS Desroches Daily'!CM18</f>
        <v>116.69999999999709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3000.0000000001137</v>
      </c>
      <c r="F17" s="32">
        <f>'FS Desroches Daily'!F19</f>
        <v>3400.0000000000696</v>
      </c>
      <c r="G17" s="31">
        <f>'FS Desroches Daily'!H19</f>
        <v>3899.9999999997926</v>
      </c>
      <c r="H17" s="32">
        <f>'FS Desroches Daily'!J19</f>
        <v>1900.0000000000127</v>
      </c>
      <c r="I17" s="31">
        <f>'FS Desroches Daily'!L19</f>
        <v>2500.0000000003906</v>
      </c>
      <c r="J17" s="32">
        <f>'FS Desroches Daily'!N19</f>
        <v>1900.0000000000127</v>
      </c>
      <c r="K17" s="13">
        <f>'FS Desroches Daily'!P19</f>
        <v>54</v>
      </c>
      <c r="L17" s="31">
        <f>'FS Desroches Daily'!R19</f>
        <v>7</v>
      </c>
      <c r="M17" s="31">
        <f>'FS Desroches Daily'!T19</f>
        <v>1400.0000000000909</v>
      </c>
      <c r="N17" s="31">
        <f>'FS Desroches Daily'!V19</f>
        <v>470.30000000004657</v>
      </c>
      <c r="O17" s="31">
        <f>'FS Desroches Daily'!X19</f>
        <v>370.00000000000455</v>
      </c>
      <c r="P17" s="31">
        <f>'FS Desroches Daily'!Z19</f>
        <v>3000.0000000001137</v>
      </c>
      <c r="Q17" s="31">
        <f>'FS Desroches Daily'!AB19</f>
        <v>329.99999999992724</v>
      </c>
      <c r="R17" s="31">
        <f>'FS Desroches Daily'!AD19</f>
        <v>449.99999999993179</v>
      </c>
      <c r="S17" s="31">
        <f>'FS Desroches Daily'!AF19</f>
        <v>1000</v>
      </c>
      <c r="T17" s="31">
        <f>'FS Desroches Daily'!AH19</f>
        <v>48</v>
      </c>
      <c r="U17" s="35">
        <f>'FS Desroches Daily'!AJ19</f>
        <v>999.99999999988984</v>
      </c>
      <c r="V17" s="35">
        <f>'FS Desroches Daily'!AL19</f>
        <v>289.99999999996362</v>
      </c>
      <c r="W17" s="35">
        <f>'FS Desroches Daily'!AN19</f>
        <v>339.99999999997499</v>
      </c>
      <c r="X17" s="35">
        <f>'FS Desroches Daily'!AP19</f>
        <v>110.00000000001364</v>
      </c>
      <c r="Y17" s="35">
        <f>'FS Desroches Daily'!AR19</f>
        <v>129.99999999999545</v>
      </c>
      <c r="Z17" s="35">
        <f>'FS Desroches Daily'!AU20</f>
        <v>390.74</v>
      </c>
      <c r="AA17" s="35">
        <f>'FS Desroches Daily'!AU20</f>
        <v>390.74</v>
      </c>
      <c r="AB17" s="35">
        <f>'FS Desroches Daily'!AV19</f>
        <v>69.999999999993179</v>
      </c>
      <c r="AC17" s="35">
        <f>'FS Desroches Daily'!AZ19</f>
        <v>159.99999999996817</v>
      </c>
      <c r="AD17" s="35">
        <f>'FS Desroches Daily'!BB19</f>
        <v>69.999999999993179</v>
      </c>
      <c r="AE17" s="35">
        <f>'FS Desroches Daily'!BD19</f>
        <v>129.99999999999545</v>
      </c>
      <c r="AF17" s="31">
        <f>'FS Desroches Daily'!BF19</f>
        <v>47</v>
      </c>
      <c r="AG17" s="32">
        <f>'FS Desroches Daily'!BH19</f>
        <v>49.999999999954525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50.000000000011369</v>
      </c>
      <c r="AL17" s="32">
        <f>'FS Desroches Daily'!BR19</f>
        <v>52</v>
      </c>
      <c r="AM17" s="32">
        <f>'FS Desroches Daily'!BT19</f>
        <v>79.999999999984084</v>
      </c>
      <c r="AN17" s="32">
        <f>'FS Desroches Daily'!BV19</f>
        <v>42</v>
      </c>
      <c r="AO17" s="32">
        <f>'FS Desroches Daily'!BX19</f>
        <v>70.000000000050022</v>
      </c>
      <c r="AP17" s="32">
        <f>'FS Desroches Daily'!BZ19</f>
        <v>62</v>
      </c>
      <c r="AQ17" s="31">
        <f>'FS Desroches Daily'!CB19</f>
        <v>49.299999999988358</v>
      </c>
      <c r="AR17" s="31">
        <f>'FS Desroches Daily'!CD19</f>
        <v>21.700000000000728</v>
      </c>
      <c r="AS17" s="31">
        <f>'FS Desroches Daily'!CF19</f>
        <v>4</v>
      </c>
      <c r="AT17" s="31">
        <f>'FS Desroches Daily'!CH19</f>
        <v>32.30000000000291</v>
      </c>
      <c r="AU17" s="31">
        <f>'FS Desroches Daily'!CJ19</f>
        <v>342</v>
      </c>
      <c r="AV17" s="31">
        <f>'FS Desroches Daily'!CL19</f>
        <v>1100.0000000001364</v>
      </c>
      <c r="AW17" s="31">
        <f>'FS Desroches Daily'!CM19</f>
        <v>99.200000000000728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27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3899.9999999997926</v>
      </c>
      <c r="H18" s="32">
        <f>'FS Desroches Daily'!J20</f>
        <v>2099.9999999999909</v>
      </c>
      <c r="I18" s="31">
        <f>'FS Desroches Daily'!L20</f>
        <v>2500.0000000003906</v>
      </c>
      <c r="J18" s="32">
        <f>'FS Desroches Daily'!N20</f>
        <v>2199.9999999997576</v>
      </c>
      <c r="K18" s="13">
        <f>'FS Desroches Daily'!P20</f>
        <v>59</v>
      </c>
      <c r="L18" s="31">
        <f>'FS Desroches Daily'!R20</f>
        <v>9</v>
      </c>
      <c r="M18" s="31">
        <f>'FS Desroches Daily'!T20</f>
        <v>1200.0000000000455</v>
      </c>
      <c r="N18" s="31">
        <f>'FS Desroches Daily'!V20</f>
        <v>564</v>
      </c>
      <c r="O18" s="31">
        <f>'FS Desroches Daily'!X20</f>
        <v>429.99999999994998</v>
      </c>
      <c r="P18" s="31">
        <f>'FS Desroches Daily'!Z20</f>
        <v>3099.9999999998809</v>
      </c>
      <c r="Q18" s="31">
        <f>'FS Desroches Daily'!AB20</f>
        <v>470.00000000002728</v>
      </c>
      <c r="R18" s="31">
        <f>'FS Desroches Daily'!AD20</f>
        <v>509.99999999999091</v>
      </c>
      <c r="S18" s="31">
        <f>'FS Desroches Daily'!AF20</f>
        <v>1100.0000000000227</v>
      </c>
      <c r="T18" s="31">
        <f>'FS Desroches Daily'!AH20</f>
        <v>34</v>
      </c>
      <c r="U18" s="35">
        <f>'FS Desroches Daily'!AJ20</f>
        <v>900.0000000001229</v>
      </c>
      <c r="V18" s="35">
        <f>'FS Desroches Daily'!AL20</f>
        <v>319.99999999999318</v>
      </c>
      <c r="W18" s="35">
        <f>'FS Desroches Daily'!AN20</f>
        <v>329.99999999998408</v>
      </c>
      <c r="X18" s="35">
        <f>'FS Desroches Daily'!AP20</f>
        <v>230.00000000001819</v>
      </c>
      <c r="Y18" s="35">
        <f>'FS Desroches Daily'!AR20</f>
        <v>160.00000000002501</v>
      </c>
      <c r="Z18" s="35">
        <f>'FS Desroches Daily'!AT20</f>
        <v>180.00000000000682</v>
      </c>
      <c r="AA18" s="35">
        <f>'FS Desroches Daily'!AT20</f>
        <v>180.00000000000682</v>
      </c>
      <c r="AB18" s="35">
        <f>'FS Desroches Daily'!AV20</f>
        <v>60.000000000002274</v>
      </c>
      <c r="AC18" s="35">
        <f>'FS Desroches Daily'!AZ20</f>
        <v>180.00000000000682</v>
      </c>
      <c r="AD18" s="35">
        <f>'FS Desroches Daily'!BB20</f>
        <v>69.999999999993179</v>
      </c>
      <c r="AE18" s="35">
        <f>'FS Desroches Daily'!BD20</f>
        <v>100.00000000002274</v>
      </c>
      <c r="AF18" s="31">
        <f>'FS Desroches Daily'!BF20</f>
        <v>43</v>
      </c>
      <c r="AG18" s="32">
        <f>'FS Desroches Daily'!BH20</f>
        <v>60.000000000002274</v>
      </c>
      <c r="AH18" s="32">
        <f>'FS Desroches Daily'!BJ20</f>
        <v>50.000000000011369</v>
      </c>
      <c r="AI18" s="32">
        <f>'FS Desroches Daily'!BL20</f>
        <v>79.999999999984084</v>
      </c>
      <c r="AJ18" s="32">
        <f>'FS Desroches Daily'!BN20</f>
        <v>60.000000000002274</v>
      </c>
      <c r="AK18" s="32">
        <f>'FS Desroches Daily'!BP20</f>
        <v>69.999999999993179</v>
      </c>
      <c r="AL18" s="32">
        <f>'FS Desroches Daily'!BR20</f>
        <v>52</v>
      </c>
      <c r="AM18" s="32">
        <f>'FS Desroches Daily'!BT20</f>
        <v>80.000000000012506</v>
      </c>
      <c r="AN18" s="32">
        <f>'FS Desroches Daily'!BV20</f>
        <v>54</v>
      </c>
      <c r="AO18" s="32">
        <f>'FS Desroches Daily'!BX20</f>
        <v>69.999999999993179</v>
      </c>
      <c r="AP18" s="32">
        <f>'FS Desroches Daily'!BZ20</f>
        <v>69</v>
      </c>
      <c r="AQ18" s="31">
        <f>'FS Desroches Daily'!CB20</f>
        <v>66.100000000005821</v>
      </c>
      <c r="AR18" s="31">
        <f>'FS Desroches Daily'!CD20</f>
        <v>12.700000000000728</v>
      </c>
      <c r="AS18" s="31">
        <f>'FS Desroches Daily'!CF20</f>
        <v>4.5</v>
      </c>
      <c r="AT18" s="31">
        <f>'FS Desroches Daily'!CH20</f>
        <v>27</v>
      </c>
      <c r="AU18" s="31">
        <f>'FS Desroches Daily'!CJ20</f>
        <v>334</v>
      </c>
      <c r="AV18" s="31">
        <f>'FS Desroches Daily'!CL20</f>
        <v>1099.9999999999091</v>
      </c>
      <c r="AW18" s="31">
        <f>'FS Desroches Daily'!CM20</f>
        <v>101.90000000000146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2900.0000000003465</v>
      </c>
      <c r="F19" s="32">
        <f>'FS Desroches Daily'!F21</f>
        <v>3699.9999999993706</v>
      </c>
      <c r="G19" s="31">
        <f>'FS Desroches Daily'!H21</f>
        <v>3899.9999999997926</v>
      </c>
      <c r="H19" s="32">
        <f>'FS Desroches Daily'!J21</f>
        <v>1900.0000000000127</v>
      </c>
      <c r="I19" s="31">
        <f>'FS Desroches Daily'!L21</f>
        <v>2499.9999999995025</v>
      </c>
      <c r="J19" s="32">
        <f>'FS Desroches Daily'!N21</f>
        <v>2099.9999999999909</v>
      </c>
      <c r="K19" s="13">
        <f>'FS Desroches Daily'!P21</f>
        <v>38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617.29999999993015</v>
      </c>
      <c r="O19" s="31">
        <f>'FS Desroches Daily'!X21</f>
        <v>540.00000000007731</v>
      </c>
      <c r="P19" s="31">
        <f>'FS Desroches Daily'!Z21</f>
        <v>3600.0000000004916</v>
      </c>
      <c r="Q19" s="31">
        <f>'FS Desroches Daily'!AB21</f>
        <v>480.00000000001819</v>
      </c>
      <c r="R19" s="31">
        <f>'FS Desroches Daily'!AD21</f>
        <v>500</v>
      </c>
      <c r="S19" s="31">
        <f>'FS Desroches Daily'!AF21</f>
        <v>1099.9999999999091</v>
      </c>
      <c r="T19" s="31">
        <f>'FS Desroches Daily'!AH21</f>
        <v>91</v>
      </c>
      <c r="U19" s="35">
        <f>'FS Desroches Daily'!AJ21</f>
        <v>999.99999999988984</v>
      </c>
      <c r="V19" s="35">
        <f>'FS Desroches Daily'!AL21</f>
        <v>250</v>
      </c>
      <c r="W19" s="35">
        <f>'FS Desroches Daily'!AN21</f>
        <v>360.00000000001364</v>
      </c>
      <c r="X19" s="35">
        <f>'FS Desroches Daily'!AP21</f>
        <v>300.00000000001137</v>
      </c>
      <c r="Y19" s="35">
        <f>'FS Desroches Daily'!AR21</f>
        <v>169.99999999995907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89.999999999974989</v>
      </c>
      <c r="AC19" s="35">
        <f>'FS Desroches Daily'!AZ21</f>
        <v>160.00000000002501</v>
      </c>
      <c r="AD19" s="35">
        <f>'FS Desroches Daily'!BB21</f>
        <v>100.00000000002274</v>
      </c>
      <c r="AE19" s="35">
        <f>'FS Desroches Daily'!BD21</f>
        <v>120.00000000000455</v>
      </c>
      <c r="AF19" s="31">
        <f>'FS Desroches Daily'!BF21</f>
        <v>47</v>
      </c>
      <c r="AG19" s="32">
        <f>'FS Desroches Daily'!BH21</f>
        <v>60.000000000002274</v>
      </c>
      <c r="AH19" s="32">
        <f>'FS Desroches Daily'!BJ21</f>
        <v>39.99999999996362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60.000000000002274</v>
      </c>
      <c r="AL19" s="32">
        <f>'FS Desroches Daily'!BR21</f>
        <v>51</v>
      </c>
      <c r="AM19" s="32">
        <f>'FS Desroches Daily'!BT21</f>
        <v>60.000000000002274</v>
      </c>
      <c r="AN19" s="32">
        <f>'FS Desroches Daily'!BV21</f>
        <v>39</v>
      </c>
      <c r="AO19" s="32">
        <f>'FS Desroches Daily'!BX21</f>
        <v>60.000000000002274</v>
      </c>
      <c r="AP19" s="32">
        <f>'FS Desroches Daily'!BZ21</f>
        <v>62</v>
      </c>
      <c r="AQ19" s="31">
        <f>'FS Desroches Daily'!CB21</f>
        <v>90.80000000000291</v>
      </c>
      <c r="AR19" s="31">
        <f>'FS Desroches Daily'!CD21</f>
        <v>13.599999999998545</v>
      </c>
      <c r="AS19" s="31">
        <f>'FS Desroches Daily'!CF21</f>
        <v>4.8000000000010914</v>
      </c>
      <c r="AT19" s="31">
        <f>'FS Desroches Daily'!CH21</f>
        <v>36.400000000008731</v>
      </c>
      <c r="AU19" s="31">
        <f>'FS Desroches Daily'!CJ21</f>
        <v>325</v>
      </c>
      <c r="AV19" s="31">
        <f>'FS Desroches Daily'!CL21</f>
        <v>1100.0000000001364</v>
      </c>
      <c r="AW19" s="31">
        <f>'FS Desroches Daily'!CM21</f>
        <v>125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31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2499.9999999999468</v>
      </c>
      <c r="F20" s="32">
        <f>'FS Desroches Daily'!F22</f>
        <v>3300.0000000003029</v>
      </c>
      <c r="G20" s="31">
        <f>'FS Desroches Daily'!H22</f>
        <v>3800.0000000000255</v>
      </c>
      <c r="H20" s="32">
        <f>'FS Desroches Daily'!J22</f>
        <v>1700.0000000000348</v>
      </c>
      <c r="I20" s="31">
        <f>'FS Desroches Daily'!L22</f>
        <v>2200.0000000002019</v>
      </c>
      <c r="J20" s="32">
        <f>'FS Desroches Daily'!N22</f>
        <v>1600.0000000002678</v>
      </c>
      <c r="K20" s="13">
        <f>'FS Desroches Daily'!P22</f>
        <v>46</v>
      </c>
      <c r="L20" s="31">
        <f>'FS Desroches Daily'!R22</f>
        <v>4</v>
      </c>
      <c r="M20" s="31">
        <f>'FS Desroches Daily'!T22</f>
        <v>1299.9999999999545</v>
      </c>
      <c r="N20" s="31">
        <f>'FS Desroches Daily'!V22</f>
        <v>474.59999999997672</v>
      </c>
      <c r="O20" s="31">
        <f>'FS Desroches Daily'!X22</f>
        <v>329.99999999992724</v>
      </c>
      <c r="P20" s="31">
        <f>'FS Desroches Daily'!Z22</f>
        <v>2699.9999999999245</v>
      </c>
      <c r="Q20" s="31">
        <f>'FS Desroches Daily'!AB22</f>
        <v>259.99999999999091</v>
      </c>
      <c r="R20" s="31">
        <f>'FS Desroches Daily'!AD22</f>
        <v>310.00000000005912</v>
      </c>
      <c r="S20" s="31">
        <f>'FS Desroches Daily'!AF22</f>
        <v>800.00000000006821</v>
      </c>
      <c r="T20" s="31">
        <f>'FS Desroches Daily'!AH22</f>
        <v>38</v>
      </c>
      <c r="U20" s="35">
        <f>'FS Desroches Daily'!AJ22</f>
        <v>800.00000000013392</v>
      </c>
      <c r="V20" s="35">
        <f>'FS Desroches Daily'!AL22</f>
        <v>140.0000000000432</v>
      </c>
      <c r="W20" s="35">
        <f>'FS Desroches Daily'!AN22</f>
        <v>150.00000000003411</v>
      </c>
      <c r="X20" s="35">
        <f>'FS Desroches Daily'!AP22</f>
        <v>209.99999999997954</v>
      </c>
      <c r="Y20" s="35">
        <f>'FS Desroches Daily'!AR22</f>
        <v>160.00000000002501</v>
      </c>
      <c r="Z20" s="35">
        <f>'FS Desroches Daily'!AT22</f>
        <v>79.999999999984084</v>
      </c>
      <c r="AA20" s="35">
        <f>'FS Desroches Daily'!AT22</f>
        <v>79.999999999984084</v>
      </c>
      <c r="AB20" s="35">
        <f>'FS Desroches Daily'!AV22</f>
        <v>69.999999999993179</v>
      </c>
      <c r="AC20" s="35">
        <f>'FS Desroches Daily'!AZ22</f>
        <v>79.999999999984084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37</v>
      </c>
      <c r="AG20" s="32">
        <f>'FS Desroches Daily'!BH22</f>
        <v>40.000000000020464</v>
      </c>
      <c r="AH20" s="32">
        <f>'FS Desroches Daily'!BJ22</f>
        <v>40.000000000020464</v>
      </c>
      <c r="AI20" s="32">
        <f>'FS Desroches Daily'!BL22</f>
        <v>60.000000000002274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35</v>
      </c>
      <c r="AO20" s="32">
        <f>'FS Desroches Daily'!BX22</f>
        <v>39.99999999996362</v>
      </c>
      <c r="AP20" s="32">
        <f>'FS Desroches Daily'!BZ22</f>
        <v>50</v>
      </c>
      <c r="AQ20" s="31">
        <f>'FS Desroches Daily'!CB22</f>
        <v>71.69999999999709</v>
      </c>
      <c r="AR20" s="31">
        <f>'FS Desroches Daily'!CD22</f>
        <v>8.2999999999992724</v>
      </c>
      <c r="AS20" s="31">
        <f>'FS Desroches Daily'!CF22</f>
        <v>2.2999999999992724</v>
      </c>
      <c r="AT20" s="31">
        <f>'FS Desroches Daily'!CH22</f>
        <v>38.299999999988358</v>
      </c>
      <c r="AU20" s="31">
        <f>'FS Desroches Daily'!CJ22</f>
        <v>310</v>
      </c>
      <c r="AV20" s="31">
        <f>'FS Desroches Daily'!CL22</f>
        <v>1000</v>
      </c>
      <c r="AW20" s="31">
        <f>'FS Desroches Daily'!CM22</f>
        <v>105.79999999999927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43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2599.9999999997135</v>
      </c>
      <c r="F21" s="32">
        <f>'FS Desroches Daily'!F23</f>
        <v>3400.0000000000696</v>
      </c>
      <c r="G21" s="31">
        <f>'FS Desroches Daily'!H23</f>
        <v>3700.0000000002588</v>
      </c>
      <c r="H21" s="32">
        <f>'FS Desroches Daily'!J23</f>
        <v>1900.0000000000127</v>
      </c>
      <c r="I21" s="31">
        <f>'FS Desroches Daily'!L23</f>
        <v>2399.9999999997358</v>
      </c>
      <c r="J21" s="32">
        <f>'FS Desroches Daily'!N23</f>
        <v>1799.9999999998017</v>
      </c>
      <c r="K21" s="13">
        <f>'FS Desroches Daily'!P23</f>
        <v>69</v>
      </c>
      <c r="L21" s="31">
        <f>'FS Desroches Daily'!R23</f>
        <v>9</v>
      </c>
      <c r="M21" s="31">
        <f>'FS Desroches Daily'!T23</f>
        <v>1099.9999999999091</v>
      </c>
      <c r="N21" s="31">
        <f>'FS Desroches Daily'!V23</f>
        <v>407.30000000004657</v>
      </c>
      <c r="O21" s="31">
        <f>'FS Desroches Daily'!X23</f>
        <v>340.00000000003183</v>
      </c>
      <c r="P21" s="31">
        <f>'FS Desroches Daily'!Z23</f>
        <v>2900.0000000003465</v>
      </c>
      <c r="Q21" s="31">
        <f>'FS Desroches Daily'!AB23</f>
        <v>450.00000000004547</v>
      </c>
      <c r="R21" s="31">
        <f>'FS Desroches Daily'!AD23</f>
        <v>360.00000000001364</v>
      </c>
      <c r="S21" s="31">
        <f>'FS Desroches Daily'!AF23</f>
        <v>899.99999999997726</v>
      </c>
      <c r="T21" s="31">
        <f>'FS Desroches Daily'!AH23</f>
        <v>38</v>
      </c>
      <c r="U21" s="35">
        <f>'FS Desroches Daily'!AJ23</f>
        <v>799.99999999991189</v>
      </c>
      <c r="V21" s="35">
        <f>'FS Desroches Daily'!AL23</f>
        <v>199.99999999998863</v>
      </c>
      <c r="W21" s="35">
        <f>'FS Desroches Daily'!AN23</f>
        <v>139.99999999998636</v>
      </c>
      <c r="X21" s="35">
        <f>'FS Desroches Daily'!AP23</f>
        <v>280.00000000002956</v>
      </c>
      <c r="Y21" s="35">
        <f>'FS Desroches Daily'!AR23</f>
        <v>170.00000000001592</v>
      </c>
      <c r="Z21" s="35">
        <f>'FS Desroches Daily'!AT23</f>
        <v>110.00000000001364</v>
      </c>
      <c r="AA21" s="35">
        <f>'FS Desroches Daily'!AT23</f>
        <v>110.00000000001364</v>
      </c>
      <c r="AB21" s="35">
        <f>'FS Desroches Daily'!AV23</f>
        <v>60.000000000002274</v>
      </c>
      <c r="AC21" s="35">
        <f>'FS Desroches Daily'!AZ23</f>
        <v>129.99999999999545</v>
      </c>
      <c r="AD21" s="35">
        <f>'FS Desroches Daily'!BB23</f>
        <v>99.999999999965894</v>
      </c>
      <c r="AE21" s="35">
        <f>'FS Desroches Daily'!BD23</f>
        <v>89.999999999974989</v>
      </c>
      <c r="AF21" s="31">
        <f>'FS Desroches Daily'!BF23</f>
        <v>38</v>
      </c>
      <c r="AG21" s="32">
        <f>'FS Desroches Daily'!BH23</f>
        <v>50.000000000011369</v>
      </c>
      <c r="AH21" s="32">
        <f>'FS Desroches Daily'!BJ23</f>
        <v>39.99999999996362</v>
      </c>
      <c r="AI21" s="32">
        <f>'FS Desroches Daily'!BL23</f>
        <v>60.000000000002274</v>
      </c>
      <c r="AJ21" s="32">
        <f>'FS Desroches Daily'!BN23</f>
        <v>50.000000000011369</v>
      </c>
      <c r="AK21" s="32">
        <f>'FS Desroches Daily'!BP23</f>
        <v>60.000000000002274</v>
      </c>
      <c r="AL21" s="32">
        <f>'FS Desroches Daily'!BR23</f>
        <v>48</v>
      </c>
      <c r="AM21" s="32">
        <f>'FS Desroches Daily'!BT23</f>
        <v>60.000000000002274</v>
      </c>
      <c r="AN21" s="32">
        <f>'FS Desroches Daily'!BV23</f>
        <v>39</v>
      </c>
      <c r="AO21" s="32">
        <f>'FS Desroches Daily'!BX23</f>
        <v>60.000000000002274</v>
      </c>
      <c r="AP21" s="32">
        <f>'FS Desroches Daily'!BZ23</f>
        <v>56</v>
      </c>
      <c r="AQ21" s="31">
        <f>'FS Desroches Daily'!CB23</f>
        <v>61.100000000005821</v>
      </c>
      <c r="AR21" s="31">
        <f>'FS Desroches Daily'!CD23</f>
        <v>19.700000000000728</v>
      </c>
      <c r="AS21" s="31">
        <f>'FS Desroches Daily'!CF23</f>
        <v>3.5</v>
      </c>
      <c r="AT21" s="31">
        <f>'FS Desroches Daily'!CH23</f>
        <v>33.600000000005821</v>
      </c>
      <c r="AU21" s="31">
        <f>'FS Desroches Daily'!CJ23</f>
        <v>324</v>
      </c>
      <c r="AV21" s="31">
        <f>'FS Desroches Daily'!CL23</f>
        <v>1099.9999999999091</v>
      </c>
      <c r="AW21" s="31">
        <f>'FS Desroches Daily'!CM23</f>
        <v>97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43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2800.0000000001355</v>
      </c>
      <c r="F22" s="32">
        <f>'FS Desroches Daily'!F24</f>
        <v>3599.9999999996035</v>
      </c>
      <c r="G22" s="31">
        <f>'FS Desroches Daily'!H24</f>
        <v>4100.0000000002146</v>
      </c>
      <c r="H22" s="32">
        <f>'FS Desroches Daily'!J24</f>
        <v>1800.0000000002458</v>
      </c>
      <c r="I22" s="31">
        <f>'FS Desroches Daily'!L24</f>
        <v>2399.9999999997358</v>
      </c>
      <c r="J22" s="32">
        <f>'FS Desroches Daily'!N24</f>
        <v>2200.0000000002019</v>
      </c>
      <c r="K22" s="13">
        <f>'FS Desroches Daily'!P24</f>
        <v>57</v>
      </c>
      <c r="L22" s="31">
        <f>'FS Desroches Daily'!R24</f>
        <v>7</v>
      </c>
      <c r="M22" s="31">
        <f>'FS Desroches Daily'!T24</f>
        <v>1500</v>
      </c>
      <c r="N22" s="31">
        <f>'FS Desroches Daily'!V24</f>
        <v>635.80000000004657</v>
      </c>
      <c r="O22" s="31">
        <f>'FS Desroches Daily'!X24</f>
        <v>350.00000000002274</v>
      </c>
      <c r="P22" s="31">
        <f>'FS Desroches Daily'!Z24</f>
        <v>3299.9999999994143</v>
      </c>
      <c r="Q22" s="31">
        <f>'FS Desroches Daily'!AB24</f>
        <v>309.99999999994543</v>
      </c>
      <c r="R22" s="31">
        <f>'FS Desroches Daily'!AD24</f>
        <v>469.9999999999136</v>
      </c>
      <c r="S22" s="31">
        <f>'FS Desroches Daily'!AF24</f>
        <v>1100.0000000000227</v>
      </c>
      <c r="T22" s="31">
        <f>'FS Desroches Daily'!AH24</f>
        <v>34</v>
      </c>
      <c r="U22" s="35">
        <f>'FS Desroches Daily'!AJ24</f>
        <v>900.0000000001229</v>
      </c>
      <c r="V22" s="35">
        <f>'FS Desroches Daily'!AL24</f>
        <v>209.99999999997954</v>
      </c>
      <c r="W22" s="35">
        <f>'FS Desroches Daily'!AN24</f>
        <v>149.99999999997726</v>
      </c>
      <c r="X22" s="35">
        <f>'FS Desroches Daily'!AP24</f>
        <v>339.99999999997499</v>
      </c>
      <c r="Y22" s="35">
        <f>'FS Desroches Daily'!AR24</f>
        <v>209.99999999997954</v>
      </c>
      <c r="Z22" s="35">
        <f>'FS Desroches Daily'!AT24</f>
        <v>129.99999999999545</v>
      </c>
      <c r="AA22" s="35">
        <f>'FS Desroches Daily'!AT24</f>
        <v>129.99999999999545</v>
      </c>
      <c r="AB22" s="35">
        <f>'FS Desroches Daily'!AV24</f>
        <v>80.000000000040927</v>
      </c>
      <c r="AC22" s="35">
        <f>'FS Desroches Daily'!AZ24</f>
        <v>129.99999999999545</v>
      </c>
      <c r="AD22" s="35">
        <f>'FS Desroches Daily'!BB24</f>
        <v>150.00000000003411</v>
      </c>
      <c r="AE22" s="35">
        <f>'FS Desroches Daily'!BD24</f>
        <v>90.000000000031832</v>
      </c>
      <c r="AF22" s="31">
        <f>'FS Desroches Daily'!BF24</f>
        <v>46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69.999999999993179</v>
      </c>
      <c r="AJ22" s="32">
        <f>'FS Desroches Daily'!BN24</f>
        <v>49.999999999982947</v>
      </c>
      <c r="AK22" s="32">
        <f>'FS Desroches Daily'!BP24</f>
        <v>60.000000000002274</v>
      </c>
      <c r="AL22" s="32">
        <f>'FS Desroches Daily'!BR24</f>
        <v>48</v>
      </c>
      <c r="AM22" s="32">
        <f>'FS Desroches Daily'!BT24</f>
        <v>60.000000000002274</v>
      </c>
      <c r="AN22" s="32">
        <f>'FS Desroches Daily'!BV24</f>
        <v>47</v>
      </c>
      <c r="AO22" s="32">
        <f>'FS Desroches Daily'!BX24</f>
        <v>50.000000000011369</v>
      </c>
      <c r="AP22" s="32">
        <f>'FS Desroches Daily'!BZ24</f>
        <v>56</v>
      </c>
      <c r="AQ22" s="31">
        <f>'FS Desroches Daily'!CB24</f>
        <v>57.5</v>
      </c>
      <c r="AR22" s="31">
        <f>'FS Desroches Daily'!CD24</f>
        <v>14.5</v>
      </c>
      <c r="AS22" s="31">
        <f>'FS Desroches Daily'!CF24</f>
        <v>2</v>
      </c>
      <c r="AT22" s="31">
        <f>'FS Desroches Daily'!CH24</f>
        <v>30.399999999994179</v>
      </c>
      <c r="AU22" s="31">
        <f>'FS Desroches Daily'!CJ24</f>
        <v>344</v>
      </c>
      <c r="AV22" s="31">
        <f>'FS Desroches Daily'!CL24</f>
        <v>1000</v>
      </c>
      <c r="AW22" s="31">
        <f>'FS Desroches Daily'!CM24</f>
        <v>97</v>
      </c>
      <c r="AX22" s="31">
        <f>IF(LPG!F29-LPG!F28&lt;0,"0",(LPG!F29-LPG!F28)*1.8315)</f>
        <v>0</v>
      </c>
      <c r="AY22" s="31">
        <f>IF(LPG!H29-LPG!H28&lt;0,"0",(LPG!H29-LPG!H28)*1.8315)</f>
        <v>7.3259999999999996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41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3099.9999999998809</v>
      </c>
      <c r="F23" s="32">
        <f>'FS Desroches Daily'!F25</f>
        <v>3500.0000000007249</v>
      </c>
      <c r="G23" s="31">
        <f>'FS Desroches Daily'!H25</f>
        <v>3899.9999999997926</v>
      </c>
      <c r="H23" s="32">
        <f>'FS Desroches Daily'!J25</f>
        <v>2199.9999999997576</v>
      </c>
      <c r="I23" s="31">
        <f>'FS Desroches Daily'!L25</f>
        <v>2400.0000000006239</v>
      </c>
      <c r="J23" s="32">
        <f>'FS Desroches Daily'!N25</f>
        <v>1799.9999999998017</v>
      </c>
      <c r="K23" s="13">
        <f>'FS Desroches Daily'!P25</f>
        <v>64</v>
      </c>
      <c r="L23" s="31">
        <f>'FS Desroches Daily'!R25</f>
        <v>8</v>
      </c>
      <c r="M23" s="31">
        <f>'FS Desroches Daily'!T25</f>
        <v>1500</v>
      </c>
      <c r="N23" s="31">
        <f>'FS Desroches Daily'!V25</f>
        <v>587.39999999990687</v>
      </c>
      <c r="O23" s="31">
        <f>'FS Desroches Daily'!X25</f>
        <v>419.99999999995907</v>
      </c>
      <c r="P23" s="31">
        <f>'FS Desroches Daily'!Z25</f>
        <v>3300.0000000003029</v>
      </c>
      <c r="Q23" s="31">
        <f>'FS Desroches Daily'!AB25</f>
        <v>470.00000000002728</v>
      </c>
      <c r="R23" s="31">
        <f>'FS Desroches Daily'!AD25</f>
        <v>520.0000000000955</v>
      </c>
      <c r="S23" s="31">
        <f>'FS Desroches Daily'!AF25</f>
        <v>1000</v>
      </c>
      <c r="T23" s="31">
        <f>'FS Desroches Daily'!AH25</f>
        <v>45</v>
      </c>
      <c r="U23" s="35">
        <f>'FS Desroches Daily'!AJ25</f>
        <v>899.99999999990087</v>
      </c>
      <c r="V23" s="35">
        <f>'FS Desroches Daily'!AL25</f>
        <v>220.00000000002728</v>
      </c>
      <c r="W23" s="35">
        <f>'FS Desroches Daily'!AN25</f>
        <v>180.00000000000682</v>
      </c>
      <c r="X23" s="35">
        <f>'FS Desroches Daily'!AP25</f>
        <v>389.99999999998636</v>
      </c>
      <c r="Y23" s="35">
        <f>'FS Desroches Daily'!AR25</f>
        <v>240.00000000000909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259.99999999999091</v>
      </c>
      <c r="AC23" s="35">
        <f>'FS Desroches Daily'!AZ25</f>
        <v>129.99999999999545</v>
      </c>
      <c r="AD23" s="35">
        <f>'FS Desroches Daily'!BB25</f>
        <v>199.99999999998863</v>
      </c>
      <c r="AE23" s="35">
        <f>'FS Desroches Daily'!BD25</f>
        <v>159.99999999996817</v>
      </c>
      <c r="AF23" s="31">
        <f>'FS Desroches Daily'!BF25</f>
        <v>47</v>
      </c>
      <c r="AG23" s="32">
        <f>'FS Desroches Daily'!BH25</f>
        <v>60.000000000002274</v>
      </c>
      <c r="AH23" s="32">
        <f>'FS Desroches Daily'!BJ25</f>
        <v>40.000000000020464</v>
      </c>
      <c r="AI23" s="32">
        <f>'FS Desroches Daily'!BL25</f>
        <v>80.000000000040927</v>
      </c>
      <c r="AJ23" s="32">
        <f>'FS Desroches Daily'!BN25</f>
        <v>60.000000000002274</v>
      </c>
      <c r="AK23" s="32">
        <f>'FS Desroches Daily'!BP25</f>
        <v>69.999999999993179</v>
      </c>
      <c r="AL23" s="32">
        <f>'FS Desroches Daily'!BR25</f>
        <v>48</v>
      </c>
      <c r="AM23" s="32">
        <f>'FS Desroches Daily'!BT25</f>
        <v>69.999999999993179</v>
      </c>
      <c r="AN23" s="32">
        <f>'FS Desroches Daily'!BV25</f>
        <v>44</v>
      </c>
      <c r="AO23" s="32">
        <f>'FS Desroches Daily'!BX25</f>
        <v>60.000000000002274</v>
      </c>
      <c r="AP23" s="32">
        <f>'FS Desroches Daily'!BZ25</f>
        <v>55</v>
      </c>
      <c r="AQ23" s="31">
        <f>'FS Desroches Daily'!CB25</f>
        <v>53.69999999999709</v>
      </c>
      <c r="AR23" s="31">
        <f>'FS Desroches Daily'!CD25</f>
        <v>18.5</v>
      </c>
      <c r="AS23" s="31">
        <f>'FS Desroches Daily'!CF25</f>
        <v>2</v>
      </c>
      <c r="AT23" s="31">
        <f>'FS Desroches Daily'!CH25</f>
        <v>32.80000000000291</v>
      </c>
      <c r="AU23" s="31">
        <f>'FS Desroches Daily'!CJ25</f>
        <v>560</v>
      </c>
      <c r="AV23" s="31">
        <f>'FS Desroches Daily'!CL25</f>
        <v>1099.9999999999091</v>
      </c>
      <c r="AW23" s="31">
        <f>'FS Desroches Daily'!CM25</f>
        <v>104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41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e">
        <f>'FS Desroches Daily'!T26</f>
        <v>#VALUE!</v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59699.999999999884</v>
      </c>
      <c r="F33" s="17">
        <f t="shared" ref="F33:BC33" si="0">SUM(F2:F32)</f>
        <v>78300.000000000524</v>
      </c>
      <c r="G33" s="17">
        <f t="shared" si="0"/>
        <v>85799.999999999913</v>
      </c>
      <c r="H33" s="17">
        <f t="shared" si="0"/>
        <v>40799.999999999956</v>
      </c>
      <c r="I33" s="17">
        <f t="shared" si="0"/>
        <v>55700.000000000313</v>
      </c>
      <c r="J33" s="17">
        <f t="shared" si="0"/>
        <v>42499.999999999993</v>
      </c>
      <c r="K33" s="17">
        <f t="shared" si="0"/>
        <v>1157</v>
      </c>
      <c r="L33" s="17">
        <f t="shared" si="0"/>
        <v>158</v>
      </c>
      <c r="M33" s="17" t="e">
        <f t="shared" si="0"/>
        <v>#VALUE!</v>
      </c>
      <c r="N33" s="17">
        <f t="shared" si="0"/>
        <v>11977.29999999993</v>
      </c>
      <c r="O33" s="17">
        <f t="shared" si="0"/>
        <v>9060.0000000000582</v>
      </c>
      <c r="P33" s="17">
        <f t="shared" si="0"/>
        <v>69499.999999999694</v>
      </c>
      <c r="Q33" s="17">
        <f t="shared" si="0"/>
        <v>8399.9999999999782</v>
      </c>
      <c r="R33" s="17">
        <f t="shared" si="0"/>
        <v>10080.00000000004</v>
      </c>
      <c r="S33" s="17">
        <f t="shared" si="0"/>
        <v>21629.999999999996</v>
      </c>
      <c r="T33" s="17">
        <f t="shared" si="0"/>
        <v>1004</v>
      </c>
      <c r="U33" s="35">
        <f t="shared" si="0"/>
        <v>17800.000000000044</v>
      </c>
      <c r="V33" s="35">
        <f t="shared" si="0"/>
        <v>6190</v>
      </c>
      <c r="W33" s="35">
        <f t="shared" si="0"/>
        <v>5069.9999999999945</v>
      </c>
      <c r="X33" s="35">
        <f t="shared" si="0"/>
        <v>4189.9999999999982</v>
      </c>
      <c r="Y33" s="35">
        <f t="shared" si="0"/>
        <v>4060.0000000000023</v>
      </c>
      <c r="Z33" s="35">
        <f t="shared" si="0"/>
        <v>2630.7400000000089</v>
      </c>
      <c r="AA33" s="35">
        <f t="shared" si="0"/>
        <v>2630.7400000000089</v>
      </c>
      <c r="AB33" s="35">
        <f t="shared" si="0"/>
        <v>2460.0000000000364</v>
      </c>
      <c r="AC33" s="35">
        <f t="shared" si="0"/>
        <v>3339.999999999975</v>
      </c>
      <c r="AD33" s="35">
        <f t="shared" si="0"/>
        <v>2329.9999999999841</v>
      </c>
      <c r="AE33" s="35">
        <f t="shared" si="0"/>
        <v>2359.9999999999568</v>
      </c>
      <c r="AF33" s="17">
        <f t="shared" si="0"/>
        <v>942</v>
      </c>
      <c r="AG33" s="32">
        <f t="shared" si="0"/>
        <v>1160.000000000025</v>
      </c>
      <c r="AH33" s="32">
        <f t="shared" si="0"/>
        <v>939.99999999999773</v>
      </c>
      <c r="AI33" s="32">
        <f t="shared" si="0"/>
        <v>1450.0000000000455</v>
      </c>
      <c r="AJ33" s="32">
        <f t="shared" si="0"/>
        <v>1159.9999999999966</v>
      </c>
      <c r="AK33" s="32">
        <f t="shared" si="0"/>
        <v>1280.0000000000296</v>
      </c>
      <c r="AL33" s="32">
        <f t="shared" si="0"/>
        <v>1050</v>
      </c>
      <c r="AM33" s="32">
        <f t="shared" si="0"/>
        <v>1389.9999999999864</v>
      </c>
      <c r="AN33" s="32">
        <f t="shared" si="0"/>
        <v>987</v>
      </c>
      <c r="AO33" s="32">
        <f t="shared" si="0"/>
        <v>1280.0000000000011</v>
      </c>
      <c r="AP33" s="32">
        <f t="shared" si="0"/>
        <v>1312</v>
      </c>
      <c r="AQ33" s="17">
        <f t="shared" si="0"/>
        <v>1430</v>
      </c>
      <c r="AR33" s="17">
        <f t="shared" si="0"/>
        <v>326.5</v>
      </c>
      <c r="AS33" s="17">
        <f t="shared" si="0"/>
        <v>74.899999999999636</v>
      </c>
      <c r="AT33" s="17">
        <f t="shared" si="0"/>
        <v>898.69999999999709</v>
      </c>
      <c r="AU33" s="17">
        <f t="shared" si="0"/>
        <v>7488</v>
      </c>
      <c r="AV33" s="17">
        <f t="shared" si="0"/>
        <v>22199.999999999818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109.88999999999999</v>
      </c>
      <c r="BC33" s="17">
        <f t="shared" si="0"/>
        <v>805</v>
      </c>
    </row>
    <row r="35" spans="5:55" x14ac:dyDescent="0.25">
      <c r="E35" s="38">
        <f>E33/E37</f>
        <v>0.20017569860312845</v>
      </c>
      <c r="G35" s="29" t="e">
        <f>G33-M36</f>
        <v>#VALUE!</v>
      </c>
      <c r="AE35" s="35">
        <f>SUM(U33:AE33)</f>
        <v>53061.48000000001</v>
      </c>
      <c r="AG35" s="32">
        <f>SUM(AG33:AP33)</f>
        <v>12009.000000000082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298238.00000000029</v>
      </c>
      <c r="G37" s="37" t="e">
        <f>M36/E37</f>
        <v>#VALUE!</v>
      </c>
      <c r="M37" s="35">
        <f>AE35</f>
        <v>53061.48000000001</v>
      </c>
    </row>
    <row r="38" spans="5:55" x14ac:dyDescent="0.25">
      <c r="L38" s="27">
        <f>M38/E37</f>
        <v>4.02664985682578E-2</v>
      </c>
      <c r="M38" s="29">
        <f>AG35</f>
        <v>12009.000000000082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Y1" zoomScale="82" zoomScaleNormal="82" workbookViewId="0">
      <pane ySplit="1" topLeftCell="A17" activePane="bottomLeft" state="frozen"/>
      <selection pane="bottomLeft" activeCell="BI30" sqref="BI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>
        <v>3.9634</v>
      </c>
      <c r="D16" s="64">
        <f t="shared" si="0"/>
        <v>3099.9999999998809</v>
      </c>
      <c r="E16" s="58">
        <v>5.2678000000000003</v>
      </c>
      <c r="F16" s="64">
        <f t="shared" si="1"/>
        <v>3600.0000000004916</v>
      </c>
      <c r="G16" s="58">
        <v>5.3131000000000004</v>
      </c>
      <c r="H16" s="64">
        <f t="shared" si="2"/>
        <v>4100.0000000002146</v>
      </c>
      <c r="I16" s="58">
        <v>2.6166999999999998</v>
      </c>
      <c r="J16" s="64">
        <f>IF((I16-I15&lt;0), "0",(I16-I15)*1000000)</f>
        <v>1900.0000000000127</v>
      </c>
      <c r="K16" s="58">
        <v>4.0025000000000004</v>
      </c>
      <c r="L16" s="64">
        <f t="shared" si="4"/>
        <v>2400.0000000006239</v>
      </c>
      <c r="M16" s="58">
        <v>2.4279000000000002</v>
      </c>
      <c r="N16" s="64">
        <f t="shared" si="5"/>
        <v>2200.0000000002019</v>
      </c>
      <c r="O16" s="58">
        <v>30011</v>
      </c>
      <c r="P16" s="67">
        <f t="shared" si="6"/>
        <v>63</v>
      </c>
      <c r="Q16" s="58">
        <v>3788</v>
      </c>
      <c r="R16" s="67">
        <f t="shared" si="7"/>
        <v>12</v>
      </c>
      <c r="S16" s="58">
        <v>1727.2</v>
      </c>
      <c r="T16" s="67">
        <f t="shared" si="49"/>
        <v>1400.0000000000909</v>
      </c>
      <c r="U16" s="58">
        <v>680928.4</v>
      </c>
      <c r="V16" s="67">
        <f t="shared" si="8"/>
        <v>563.5</v>
      </c>
      <c r="W16" s="58">
        <v>610.42999999999995</v>
      </c>
      <c r="X16" s="65">
        <f t="shared" si="9"/>
        <v>389.99999999998636</v>
      </c>
      <c r="Y16" s="58">
        <v>4.6485000000000003</v>
      </c>
      <c r="Z16" s="65">
        <f t="shared" si="10"/>
        <v>3200.0000000005357</v>
      </c>
      <c r="AA16" s="58">
        <v>616.45000000000005</v>
      </c>
      <c r="AB16" s="65">
        <f t="shared" si="11"/>
        <v>509.99999999999091</v>
      </c>
      <c r="AC16" s="58">
        <v>624.70000000000005</v>
      </c>
      <c r="AD16" s="65">
        <f t="shared" si="12"/>
        <v>480.00000000001819</v>
      </c>
      <c r="AE16" s="58">
        <v>997.9</v>
      </c>
      <c r="AF16" s="65">
        <f t="shared" si="13"/>
        <v>1019.9999999999818</v>
      </c>
      <c r="AG16" s="58">
        <v>28632</v>
      </c>
      <c r="AH16" s="67">
        <f t="shared" si="14"/>
        <v>46</v>
      </c>
      <c r="AI16" s="58">
        <v>1.0609999999999999</v>
      </c>
      <c r="AJ16" s="65">
        <f t="shared" si="15"/>
        <v>799.99999999991189</v>
      </c>
      <c r="AK16" s="58">
        <v>351.42</v>
      </c>
      <c r="AL16" s="65">
        <f t="shared" si="16"/>
        <v>330.00000000004093</v>
      </c>
      <c r="AM16" s="58">
        <v>321.35000000000002</v>
      </c>
      <c r="AN16" s="65">
        <f t="shared" si="17"/>
        <v>350.00000000002274</v>
      </c>
      <c r="AO16" s="58">
        <v>308.81</v>
      </c>
      <c r="AP16" s="65">
        <f t="shared" si="18"/>
        <v>160.00000000002501</v>
      </c>
      <c r="AQ16" s="58">
        <v>362.78</v>
      </c>
      <c r="AR16" s="65">
        <f t="shared" si="19"/>
        <v>239.99999999995225</v>
      </c>
      <c r="AS16" s="58">
        <v>486.85</v>
      </c>
      <c r="AT16" s="65">
        <f t="shared" si="20"/>
        <v>120.00000000000455</v>
      </c>
      <c r="AU16" s="58">
        <v>390.42</v>
      </c>
      <c r="AV16" s="65">
        <f t="shared" si="21"/>
        <v>150.00000000003411</v>
      </c>
      <c r="AW16" s="58">
        <v>419.2</v>
      </c>
      <c r="AX16" s="65">
        <f t="shared" si="22"/>
        <v>219.99999999997044</v>
      </c>
      <c r="AY16" s="58">
        <v>453.85</v>
      </c>
      <c r="AZ16" s="65">
        <f t="shared" si="23"/>
        <v>210.00000000003638</v>
      </c>
      <c r="BA16" s="58">
        <v>470.5</v>
      </c>
      <c r="BB16" s="65">
        <f t="shared" si="24"/>
        <v>139.99999999998636</v>
      </c>
      <c r="BC16" s="58">
        <v>302.91000000000003</v>
      </c>
      <c r="BD16" s="65">
        <f t="shared" si="25"/>
        <v>100.00000000002274</v>
      </c>
      <c r="BE16" s="59">
        <v>63192</v>
      </c>
      <c r="BF16" s="67">
        <f t="shared" si="26"/>
        <v>43</v>
      </c>
      <c r="BG16" s="60">
        <v>259.86</v>
      </c>
      <c r="BH16" s="65">
        <f t="shared" si="27"/>
        <v>60.000000000002274</v>
      </c>
      <c r="BI16" s="60">
        <v>313.72000000000003</v>
      </c>
      <c r="BJ16" s="65">
        <f t="shared" si="28"/>
        <v>40.000000000020464</v>
      </c>
      <c r="BK16" s="60">
        <v>266.85000000000002</v>
      </c>
      <c r="BL16" s="65">
        <f t="shared" si="29"/>
        <v>80.000000000040927</v>
      </c>
      <c r="BM16" s="60">
        <v>249.85</v>
      </c>
      <c r="BN16" s="65">
        <f t="shared" si="30"/>
        <v>60.000000000002274</v>
      </c>
      <c r="BO16" s="60">
        <v>318.12</v>
      </c>
      <c r="BP16" s="65">
        <f t="shared" si="31"/>
        <v>60.000000000002274</v>
      </c>
      <c r="BQ16" s="60">
        <v>68075</v>
      </c>
      <c r="BR16" s="65">
        <f t="shared" si="32"/>
        <v>50</v>
      </c>
      <c r="BS16" s="60">
        <v>228.48</v>
      </c>
      <c r="BT16" s="65">
        <f t="shared" si="33"/>
        <v>69.999999999993179</v>
      </c>
      <c r="BU16" s="60">
        <v>65299</v>
      </c>
      <c r="BV16" s="65">
        <f t="shared" si="34"/>
        <v>54</v>
      </c>
      <c r="BW16" s="60">
        <v>256.39999999999998</v>
      </c>
      <c r="BX16" s="65">
        <f t="shared" si="35"/>
        <v>60.000000000002274</v>
      </c>
      <c r="BY16" s="60">
        <v>87792</v>
      </c>
      <c r="BZ16" s="67">
        <f t="shared" si="36"/>
        <v>63</v>
      </c>
      <c r="CA16" s="60">
        <v>65735.5</v>
      </c>
      <c r="CB16" s="67">
        <f t="shared" si="37"/>
        <v>53.399999999994179</v>
      </c>
      <c r="CC16" s="60">
        <v>19364</v>
      </c>
      <c r="CD16" s="67">
        <f t="shared" si="38"/>
        <v>10.099999999998545</v>
      </c>
      <c r="CE16" s="60">
        <v>9198.9</v>
      </c>
      <c r="CF16" s="67">
        <f t="shared" si="39"/>
        <v>8.6000000000003638</v>
      </c>
      <c r="CG16" s="60">
        <v>88572.9</v>
      </c>
      <c r="CH16" s="67">
        <f t="shared" si="40"/>
        <v>35.5</v>
      </c>
      <c r="CI16" s="60">
        <v>1137348</v>
      </c>
      <c r="CJ16" s="67">
        <f t="shared" si="41"/>
        <v>332</v>
      </c>
      <c r="CK16" s="60">
        <v>1266.0999999999999</v>
      </c>
      <c r="CL16" s="64">
        <f t="shared" si="42"/>
        <v>1000</v>
      </c>
      <c r="CM16" s="65">
        <f t="shared" si="43"/>
        <v>117.69999999999709</v>
      </c>
      <c r="CN16" s="62">
        <v>37</v>
      </c>
      <c r="CO16" s="62">
        <v>70</v>
      </c>
      <c r="CP16" s="68">
        <v>56933</v>
      </c>
      <c r="CQ16" s="67">
        <f t="shared" si="44"/>
        <v>99</v>
      </c>
      <c r="CR16" s="68">
        <v>28925.1</v>
      </c>
      <c r="CS16" s="67">
        <f t="shared" si="45"/>
        <v>18.69999999999709</v>
      </c>
      <c r="CT16" s="75">
        <v>13795</v>
      </c>
      <c r="CU16" s="67">
        <f t="shared" si="46"/>
        <v>10</v>
      </c>
      <c r="CV16" s="68">
        <v>32954</v>
      </c>
      <c r="CW16" s="67">
        <f t="shared" si="47"/>
        <v>13</v>
      </c>
      <c r="CX16" s="58">
        <v>6363.6</v>
      </c>
      <c r="CY16" s="67">
        <f t="shared" si="48"/>
        <v>13.400000000000546</v>
      </c>
    </row>
    <row r="17" spans="1:103" ht="25.5" customHeight="1" thickBot="1" x14ac:dyDescent="0.45">
      <c r="A17" s="63">
        <v>44999</v>
      </c>
      <c r="B17" s="44"/>
      <c r="C17" s="58">
        <v>3.9662000000000002</v>
      </c>
      <c r="D17" s="64">
        <f t="shared" si="0"/>
        <v>2800.0000000001355</v>
      </c>
      <c r="E17" s="58">
        <v>5.2714999999999996</v>
      </c>
      <c r="F17" s="64">
        <f t="shared" si="1"/>
        <v>3699.9999999993706</v>
      </c>
      <c r="G17" s="58">
        <v>5.3171999999999997</v>
      </c>
      <c r="H17" s="64">
        <f t="shared" si="2"/>
        <v>4099.9999999993261</v>
      </c>
      <c r="I17" s="58">
        <v>2.6185999999999998</v>
      </c>
      <c r="J17" s="64">
        <f t="shared" si="3"/>
        <v>1900.0000000000127</v>
      </c>
      <c r="K17" s="58">
        <v>4.0049999999999999</v>
      </c>
      <c r="L17" s="64">
        <f t="shared" si="4"/>
        <v>2499.9999999995025</v>
      </c>
      <c r="M17" s="58">
        <v>2.4298999999999999</v>
      </c>
      <c r="N17" s="64">
        <f t="shared" si="5"/>
        <v>1999.9999999997797</v>
      </c>
      <c r="O17" s="58">
        <v>30074</v>
      </c>
      <c r="P17" s="67">
        <f t="shared" si="6"/>
        <v>63</v>
      </c>
      <c r="Q17" s="58">
        <v>3795</v>
      </c>
      <c r="R17" s="67">
        <f t="shared" si="7"/>
        <v>7</v>
      </c>
      <c r="S17" s="58">
        <v>1728.8</v>
      </c>
      <c r="T17" s="67">
        <f t="shared" si="49"/>
        <v>1599.9999999999091</v>
      </c>
      <c r="U17" s="58">
        <v>681524.1</v>
      </c>
      <c r="V17" s="67">
        <f t="shared" si="8"/>
        <v>595.69999999995343</v>
      </c>
      <c r="W17" s="58">
        <v>610.83000000000004</v>
      </c>
      <c r="X17" s="65">
        <f t="shared" si="9"/>
        <v>400.00000000009095</v>
      </c>
      <c r="Y17" s="58">
        <v>4.6516999999999999</v>
      </c>
      <c r="Z17" s="65">
        <f t="shared" si="10"/>
        <v>3199.9999999996476</v>
      </c>
      <c r="AA17" s="58">
        <v>616.76</v>
      </c>
      <c r="AB17" s="65">
        <f t="shared" si="11"/>
        <v>309.99999999994543</v>
      </c>
      <c r="AC17" s="58">
        <v>625.24</v>
      </c>
      <c r="AD17" s="65">
        <f t="shared" si="12"/>
        <v>539.99999999996362</v>
      </c>
      <c r="AE17" s="58">
        <v>999.03</v>
      </c>
      <c r="AF17" s="65">
        <f t="shared" si="13"/>
        <v>1129.9999999999955</v>
      </c>
      <c r="AG17" s="58">
        <v>28678</v>
      </c>
      <c r="AH17" s="67">
        <f t="shared" si="14"/>
        <v>46</v>
      </c>
      <c r="AI17" s="58">
        <v>1.0617000000000001</v>
      </c>
      <c r="AJ17" s="65">
        <f t="shared" si="15"/>
        <v>700.00000000014495</v>
      </c>
      <c r="AK17" s="58">
        <v>351.75</v>
      </c>
      <c r="AL17" s="65">
        <f t="shared" si="16"/>
        <v>329.99999999998408</v>
      </c>
      <c r="AM17" s="58">
        <v>321.69</v>
      </c>
      <c r="AN17" s="65">
        <f t="shared" si="17"/>
        <v>339.99999999997499</v>
      </c>
      <c r="AO17" s="58">
        <v>308.91000000000003</v>
      </c>
      <c r="AP17" s="65">
        <f t="shared" si="18"/>
        <v>100.00000000002274</v>
      </c>
      <c r="AQ17" s="58">
        <v>362.96</v>
      </c>
      <c r="AR17" s="65">
        <f t="shared" si="19"/>
        <v>180.00000000000682</v>
      </c>
      <c r="AS17" s="58">
        <v>486.97</v>
      </c>
      <c r="AT17" s="65">
        <f t="shared" si="20"/>
        <v>120.00000000000455</v>
      </c>
      <c r="AU17" s="58">
        <v>390.52</v>
      </c>
      <c r="AV17" s="65">
        <f t="shared" si="21"/>
        <v>99.999999999965894</v>
      </c>
      <c r="AW17" s="58">
        <v>419.41</v>
      </c>
      <c r="AX17" s="65">
        <f t="shared" si="22"/>
        <v>210.00000000003638</v>
      </c>
      <c r="AY17" s="58">
        <v>454.03</v>
      </c>
      <c r="AZ17" s="65">
        <f t="shared" si="23"/>
        <v>179.99999999994998</v>
      </c>
      <c r="BA17" s="58">
        <v>470.63</v>
      </c>
      <c r="BB17" s="65">
        <f t="shared" si="24"/>
        <v>129.99999999999545</v>
      </c>
      <c r="BC17" s="58">
        <v>303.04000000000002</v>
      </c>
      <c r="BD17" s="65">
        <f t="shared" si="25"/>
        <v>129.99999999999545</v>
      </c>
      <c r="BE17" s="59">
        <v>63234</v>
      </c>
      <c r="BF17" s="67">
        <f t="shared" si="26"/>
        <v>42</v>
      </c>
      <c r="BG17" s="60">
        <v>259.92</v>
      </c>
      <c r="BH17" s="65">
        <f t="shared" si="27"/>
        <v>60.000000000002274</v>
      </c>
      <c r="BI17" s="60">
        <v>313.77</v>
      </c>
      <c r="BJ17" s="65">
        <f t="shared" si="28"/>
        <v>49.999999999954525</v>
      </c>
      <c r="BK17" s="60">
        <v>266.92</v>
      </c>
      <c r="BL17" s="65">
        <f t="shared" si="29"/>
        <v>69.999999999993179</v>
      </c>
      <c r="BM17" s="60">
        <v>249.91</v>
      </c>
      <c r="BN17" s="65">
        <f t="shared" si="30"/>
        <v>60.000000000002274</v>
      </c>
      <c r="BO17" s="60">
        <v>318.18</v>
      </c>
      <c r="BP17" s="65">
        <f t="shared" si="31"/>
        <v>60.000000000002274</v>
      </c>
      <c r="BQ17" s="60">
        <v>68132</v>
      </c>
      <c r="BR17" s="65">
        <f t="shared" si="32"/>
        <v>57</v>
      </c>
      <c r="BS17" s="60">
        <v>228.54</v>
      </c>
      <c r="BT17" s="65">
        <f t="shared" si="33"/>
        <v>60.000000000002274</v>
      </c>
      <c r="BU17" s="60">
        <v>65348</v>
      </c>
      <c r="BV17" s="65">
        <f t="shared" si="34"/>
        <v>49</v>
      </c>
      <c r="BW17" s="60">
        <v>256.47000000000003</v>
      </c>
      <c r="BX17" s="65">
        <f t="shared" si="35"/>
        <v>70.000000000050022</v>
      </c>
      <c r="BY17" s="60">
        <v>87854</v>
      </c>
      <c r="BZ17" s="67">
        <f t="shared" si="36"/>
        <v>62</v>
      </c>
      <c r="CA17" s="60">
        <v>65796.899999999994</v>
      </c>
      <c r="CB17" s="67">
        <f t="shared" si="37"/>
        <v>61.399999999994179</v>
      </c>
      <c r="CC17" s="60">
        <v>19386.400000000001</v>
      </c>
      <c r="CD17" s="67">
        <f t="shared" si="38"/>
        <v>22.400000000001455</v>
      </c>
      <c r="CE17" s="60">
        <v>9200.2999999999993</v>
      </c>
      <c r="CF17" s="67">
        <f t="shared" si="39"/>
        <v>1.3999999999996362</v>
      </c>
      <c r="CG17" s="60">
        <v>88600.6</v>
      </c>
      <c r="CH17" s="67">
        <f t="shared" si="40"/>
        <v>27.700000000011642</v>
      </c>
      <c r="CI17" s="60">
        <v>1137700</v>
      </c>
      <c r="CJ17" s="67">
        <f t="shared" si="41"/>
        <v>352</v>
      </c>
      <c r="CK17" s="60">
        <v>1267.0999999999999</v>
      </c>
      <c r="CL17" s="64">
        <f t="shared" si="42"/>
        <v>1000</v>
      </c>
      <c r="CM17" s="65">
        <f t="shared" si="43"/>
        <v>114.30000000000291</v>
      </c>
      <c r="CN17" s="62">
        <v>34</v>
      </c>
      <c r="CO17" s="62">
        <v>66</v>
      </c>
      <c r="CP17" s="68">
        <v>57031</v>
      </c>
      <c r="CQ17" s="67">
        <f t="shared" si="44"/>
        <v>98</v>
      </c>
      <c r="CR17" s="68">
        <v>28941.4</v>
      </c>
      <c r="CS17" s="67">
        <f t="shared" si="45"/>
        <v>16.30000000000291</v>
      </c>
      <c r="CT17" s="75">
        <v>13804</v>
      </c>
      <c r="CU17" s="67">
        <f t="shared" si="46"/>
        <v>9</v>
      </c>
      <c r="CV17" s="68">
        <v>32968</v>
      </c>
      <c r="CW17" s="67">
        <f t="shared" si="47"/>
        <v>14</v>
      </c>
      <c r="CX17" s="58">
        <v>6376.8</v>
      </c>
      <c r="CY17" s="67">
        <f t="shared" si="48"/>
        <v>13.199999999999818</v>
      </c>
    </row>
    <row r="18" spans="1:103" ht="25.5" customHeight="1" thickBot="1" x14ac:dyDescent="0.45">
      <c r="A18" s="63">
        <v>45000</v>
      </c>
      <c r="B18" s="44"/>
      <c r="C18" s="58">
        <v>3.9691000000000001</v>
      </c>
      <c r="D18" s="64">
        <f t="shared" si="0"/>
        <v>2899.9999999999027</v>
      </c>
      <c r="E18" s="58">
        <v>5.2750000000000004</v>
      </c>
      <c r="F18" s="64">
        <f t="shared" si="1"/>
        <v>3500.0000000007249</v>
      </c>
      <c r="G18" s="58">
        <v>5.3207000000000004</v>
      </c>
      <c r="H18" s="64">
        <f t="shared" si="2"/>
        <v>3500.0000000007249</v>
      </c>
      <c r="I18" s="58">
        <v>2.6204999999999998</v>
      </c>
      <c r="J18" s="64">
        <f t="shared" si="3"/>
        <v>1900.0000000000127</v>
      </c>
      <c r="K18" s="58">
        <v>4.0073999999999996</v>
      </c>
      <c r="L18" s="64">
        <f t="shared" si="4"/>
        <v>2399.9999999997358</v>
      </c>
      <c r="M18" s="58">
        <v>2.4321000000000002</v>
      </c>
      <c r="N18" s="64">
        <f t="shared" si="5"/>
        <v>2200.0000000002019</v>
      </c>
      <c r="O18" s="58">
        <v>30135</v>
      </c>
      <c r="P18" s="67">
        <f t="shared" si="6"/>
        <v>61</v>
      </c>
      <c r="Q18" s="58">
        <v>3803</v>
      </c>
      <c r="R18" s="67">
        <f t="shared" si="7"/>
        <v>8</v>
      </c>
      <c r="S18" s="58">
        <v>1730.1</v>
      </c>
      <c r="T18" s="67">
        <f t="shared" si="49"/>
        <v>1299.9999999999545</v>
      </c>
      <c r="U18" s="58">
        <v>681969</v>
      </c>
      <c r="V18" s="67">
        <f t="shared" si="8"/>
        <v>444.90000000002328</v>
      </c>
      <c r="W18" s="58">
        <v>611.25</v>
      </c>
      <c r="X18" s="65">
        <f t="shared" si="9"/>
        <v>419.99999999995907</v>
      </c>
      <c r="Y18" s="58">
        <v>4.6548999999999996</v>
      </c>
      <c r="Z18" s="65">
        <f t="shared" si="10"/>
        <v>3199.9999999996476</v>
      </c>
      <c r="AA18" s="58">
        <v>617.23</v>
      </c>
      <c r="AB18" s="65">
        <f t="shared" si="11"/>
        <v>470.00000000002728</v>
      </c>
      <c r="AC18" s="58">
        <v>625.71</v>
      </c>
      <c r="AD18" s="65">
        <f t="shared" si="12"/>
        <v>470.00000000002728</v>
      </c>
      <c r="AE18" s="58">
        <v>1000.1</v>
      </c>
      <c r="AF18" s="65">
        <f t="shared" si="13"/>
        <v>1070.00000000005</v>
      </c>
      <c r="AG18" s="58">
        <v>28721</v>
      </c>
      <c r="AH18" s="67">
        <f t="shared" si="14"/>
        <v>43</v>
      </c>
      <c r="AI18" s="58">
        <v>1.0625</v>
      </c>
      <c r="AJ18" s="65">
        <f t="shared" si="15"/>
        <v>799.99999999991189</v>
      </c>
      <c r="AK18" s="58">
        <v>352.1</v>
      </c>
      <c r="AL18" s="65">
        <f t="shared" si="16"/>
        <v>350.00000000002274</v>
      </c>
      <c r="AM18" s="58">
        <v>322.04000000000002</v>
      </c>
      <c r="AN18" s="65">
        <f t="shared" si="17"/>
        <v>350.00000000002274</v>
      </c>
      <c r="AO18" s="58">
        <v>309.02999999999997</v>
      </c>
      <c r="AP18" s="65">
        <f t="shared" si="18"/>
        <v>119.9999999999477</v>
      </c>
      <c r="AQ18" s="58">
        <v>363.13</v>
      </c>
      <c r="AR18" s="65">
        <f t="shared" si="19"/>
        <v>170.00000000001592</v>
      </c>
      <c r="AS18" s="58">
        <v>487.12</v>
      </c>
      <c r="AT18" s="65">
        <f t="shared" si="20"/>
        <v>149.99999999997726</v>
      </c>
      <c r="AU18" s="58">
        <v>390.61</v>
      </c>
      <c r="AV18" s="65">
        <f t="shared" si="21"/>
        <v>90.000000000031832</v>
      </c>
      <c r="AW18" s="58">
        <v>419.61</v>
      </c>
      <c r="AX18" s="65">
        <f t="shared" si="22"/>
        <v>199.99999999998863</v>
      </c>
      <c r="AY18" s="58">
        <v>454.23</v>
      </c>
      <c r="AZ18" s="65">
        <f t="shared" si="23"/>
        <v>200.00000000004547</v>
      </c>
      <c r="BA18" s="58">
        <v>470.74</v>
      </c>
      <c r="BB18" s="65">
        <f t="shared" si="24"/>
        <v>110.00000000001364</v>
      </c>
      <c r="BC18" s="58">
        <v>303.25</v>
      </c>
      <c r="BD18" s="65">
        <f t="shared" si="25"/>
        <v>209.99999999997954</v>
      </c>
      <c r="BE18" s="59">
        <v>63273</v>
      </c>
      <c r="BF18" s="67">
        <f t="shared" si="26"/>
        <v>39</v>
      </c>
      <c r="BG18" s="60">
        <v>259.98</v>
      </c>
      <c r="BH18" s="65">
        <f t="shared" si="27"/>
        <v>60.000000000002274</v>
      </c>
      <c r="BI18" s="60">
        <v>313.81</v>
      </c>
      <c r="BJ18" s="65">
        <f t="shared" si="28"/>
        <v>40.000000000020464</v>
      </c>
      <c r="BK18" s="60">
        <v>267</v>
      </c>
      <c r="BL18" s="65">
        <f t="shared" si="29"/>
        <v>79.999999999984084</v>
      </c>
      <c r="BM18" s="60">
        <v>249.96</v>
      </c>
      <c r="BN18" s="65">
        <f t="shared" si="30"/>
        <v>50.000000000011369</v>
      </c>
      <c r="BO18" s="60">
        <v>318.26</v>
      </c>
      <c r="BP18" s="65">
        <f t="shared" si="31"/>
        <v>79.999999999984084</v>
      </c>
      <c r="BQ18" s="60">
        <v>68183</v>
      </c>
      <c r="BR18" s="65">
        <f t="shared" si="32"/>
        <v>51</v>
      </c>
      <c r="BS18" s="60">
        <v>228.61</v>
      </c>
      <c r="BT18" s="65">
        <f t="shared" si="33"/>
        <v>70.0000000000216</v>
      </c>
      <c r="BU18" s="60">
        <v>65399</v>
      </c>
      <c r="BV18" s="65">
        <f t="shared" si="34"/>
        <v>51</v>
      </c>
      <c r="BW18" s="60">
        <v>256.52999999999997</v>
      </c>
      <c r="BX18" s="65">
        <f t="shared" si="35"/>
        <v>59.99999999994543</v>
      </c>
      <c r="BY18" s="60">
        <v>87918</v>
      </c>
      <c r="BZ18" s="67">
        <f t="shared" si="36"/>
        <v>64</v>
      </c>
      <c r="CA18" s="60">
        <v>65858.600000000006</v>
      </c>
      <c r="CB18" s="67">
        <f t="shared" si="37"/>
        <v>61.700000000011642</v>
      </c>
      <c r="CC18" s="60">
        <v>19397</v>
      </c>
      <c r="CD18" s="67">
        <f t="shared" si="38"/>
        <v>10.599999999998545</v>
      </c>
      <c r="CE18" s="60">
        <v>9205.9</v>
      </c>
      <c r="CF18" s="67">
        <f t="shared" si="39"/>
        <v>5.6000000000003638</v>
      </c>
      <c r="CG18" s="60">
        <v>88632.9</v>
      </c>
      <c r="CH18" s="67">
        <f t="shared" si="40"/>
        <v>32.299999999988358</v>
      </c>
      <c r="CI18" s="60">
        <v>1137989</v>
      </c>
      <c r="CJ18" s="67">
        <f t="shared" si="41"/>
        <v>289</v>
      </c>
      <c r="CK18" s="60">
        <v>1268.0999999999999</v>
      </c>
      <c r="CL18" s="64">
        <f t="shared" si="42"/>
        <v>1000</v>
      </c>
      <c r="CM18" s="65">
        <f t="shared" si="43"/>
        <v>116.69999999999709</v>
      </c>
      <c r="CN18" s="62">
        <v>34</v>
      </c>
      <c r="CO18" s="62">
        <v>66</v>
      </c>
      <c r="CP18" s="68">
        <v>57138</v>
      </c>
      <c r="CQ18" s="67">
        <f t="shared" si="44"/>
        <v>107</v>
      </c>
      <c r="CR18" s="68">
        <v>28951.1</v>
      </c>
      <c r="CS18" s="67">
        <f t="shared" si="45"/>
        <v>9.6999999999970896</v>
      </c>
      <c r="CT18" s="75">
        <v>13814</v>
      </c>
      <c r="CU18" s="67">
        <f t="shared" si="46"/>
        <v>10</v>
      </c>
      <c r="CV18" s="68">
        <v>32982</v>
      </c>
      <c r="CW18" s="67">
        <f t="shared" si="47"/>
        <v>14</v>
      </c>
      <c r="CX18" s="58">
        <v>6389.3</v>
      </c>
      <c r="CY18" s="67">
        <f t="shared" si="48"/>
        <v>12.5</v>
      </c>
    </row>
    <row r="19" spans="1:103" ht="25.5" customHeight="1" thickBot="1" x14ac:dyDescent="0.45">
      <c r="A19" s="63">
        <v>45001</v>
      </c>
      <c r="B19" s="44"/>
      <c r="C19" s="58">
        <v>3.9721000000000002</v>
      </c>
      <c r="D19" s="64">
        <f t="shared" si="0"/>
        <v>3000.0000000001137</v>
      </c>
      <c r="E19" s="58">
        <v>5.2784000000000004</v>
      </c>
      <c r="F19" s="64">
        <f t="shared" si="1"/>
        <v>3400.0000000000696</v>
      </c>
      <c r="G19" s="58">
        <v>5.3246000000000002</v>
      </c>
      <c r="H19" s="64">
        <f t="shared" si="2"/>
        <v>3899.9999999997926</v>
      </c>
      <c r="I19" s="58">
        <v>2.6223999999999998</v>
      </c>
      <c r="J19" s="64">
        <f t="shared" si="3"/>
        <v>1900.0000000000127</v>
      </c>
      <c r="K19" s="58">
        <v>4.0099</v>
      </c>
      <c r="L19" s="64">
        <f t="shared" si="4"/>
        <v>2500.0000000003906</v>
      </c>
      <c r="M19" s="58">
        <v>2.4340000000000002</v>
      </c>
      <c r="N19" s="64">
        <f t="shared" si="5"/>
        <v>1900.0000000000127</v>
      </c>
      <c r="O19" s="58">
        <v>30189</v>
      </c>
      <c r="P19" s="67">
        <f t="shared" si="6"/>
        <v>54</v>
      </c>
      <c r="Q19" s="58">
        <v>3810</v>
      </c>
      <c r="R19" s="67">
        <f t="shared" si="7"/>
        <v>7</v>
      </c>
      <c r="S19" s="58">
        <v>1731.5</v>
      </c>
      <c r="T19" s="67">
        <f t="shared" si="49"/>
        <v>1400.0000000000909</v>
      </c>
      <c r="U19" s="58">
        <v>682439.3</v>
      </c>
      <c r="V19" s="67">
        <f t="shared" si="8"/>
        <v>470.30000000004657</v>
      </c>
      <c r="W19" s="58">
        <v>611.62</v>
      </c>
      <c r="X19" s="65">
        <f t="shared" si="9"/>
        <v>370.00000000000455</v>
      </c>
      <c r="Y19" s="58">
        <v>4.6578999999999997</v>
      </c>
      <c r="Z19" s="65">
        <f t="shared" si="10"/>
        <v>3000.0000000001137</v>
      </c>
      <c r="AA19" s="58">
        <v>617.55999999999995</v>
      </c>
      <c r="AB19" s="65">
        <f t="shared" si="11"/>
        <v>329.99999999992724</v>
      </c>
      <c r="AC19" s="58">
        <v>626.16</v>
      </c>
      <c r="AD19" s="65">
        <f t="shared" si="12"/>
        <v>449.99999999993179</v>
      </c>
      <c r="AE19" s="58">
        <v>1001.1</v>
      </c>
      <c r="AF19" s="65">
        <f t="shared" si="13"/>
        <v>1000</v>
      </c>
      <c r="AG19" s="58">
        <v>28769</v>
      </c>
      <c r="AH19" s="67">
        <f t="shared" si="14"/>
        <v>48</v>
      </c>
      <c r="AI19" s="58">
        <v>1.0634999999999999</v>
      </c>
      <c r="AJ19" s="65">
        <f t="shared" si="15"/>
        <v>999.99999999988984</v>
      </c>
      <c r="AK19" s="58">
        <v>352.39</v>
      </c>
      <c r="AL19" s="65">
        <f t="shared" si="16"/>
        <v>289.99999999996362</v>
      </c>
      <c r="AM19" s="58">
        <v>322.38</v>
      </c>
      <c r="AN19" s="65">
        <f t="shared" si="17"/>
        <v>339.99999999997499</v>
      </c>
      <c r="AO19" s="58">
        <v>309.14</v>
      </c>
      <c r="AP19" s="65">
        <f t="shared" si="18"/>
        <v>110.00000000001364</v>
      </c>
      <c r="AQ19" s="58">
        <v>363.26</v>
      </c>
      <c r="AR19" s="65">
        <f t="shared" si="19"/>
        <v>129.99999999999545</v>
      </c>
      <c r="AS19" s="58">
        <v>487.19</v>
      </c>
      <c r="AT19" s="65">
        <f t="shared" si="20"/>
        <v>69.999999999993179</v>
      </c>
      <c r="AU19" s="58">
        <v>390.68</v>
      </c>
      <c r="AV19" s="65">
        <f t="shared" si="21"/>
        <v>69.999999999993179</v>
      </c>
      <c r="AW19" s="58">
        <v>419.87</v>
      </c>
      <c r="AX19" s="65">
        <f t="shared" si="22"/>
        <v>259.99999999999091</v>
      </c>
      <c r="AY19" s="58">
        <v>454.39</v>
      </c>
      <c r="AZ19" s="65">
        <f t="shared" si="23"/>
        <v>159.99999999996817</v>
      </c>
      <c r="BA19" s="58">
        <v>470.81</v>
      </c>
      <c r="BB19" s="65">
        <f t="shared" si="24"/>
        <v>69.999999999993179</v>
      </c>
      <c r="BC19" s="58">
        <v>303.38</v>
      </c>
      <c r="BD19" s="65">
        <f t="shared" si="25"/>
        <v>129.99999999999545</v>
      </c>
      <c r="BE19" s="59">
        <v>63320</v>
      </c>
      <c r="BF19" s="67">
        <f t="shared" si="26"/>
        <v>47</v>
      </c>
      <c r="BG19" s="60">
        <v>260.02999999999997</v>
      </c>
      <c r="BH19" s="65">
        <f t="shared" si="27"/>
        <v>49.999999999954525</v>
      </c>
      <c r="BI19" s="60">
        <v>313.86</v>
      </c>
      <c r="BJ19" s="65">
        <f t="shared" si="28"/>
        <v>50.000000000011369</v>
      </c>
      <c r="BK19" s="60">
        <v>267.06</v>
      </c>
      <c r="BL19" s="65">
        <f t="shared" si="29"/>
        <v>60.000000000002274</v>
      </c>
      <c r="BM19" s="60">
        <v>250.01</v>
      </c>
      <c r="BN19" s="65">
        <f t="shared" si="30"/>
        <v>49.999999999982947</v>
      </c>
      <c r="BO19" s="60">
        <v>318.31</v>
      </c>
      <c r="BP19" s="65">
        <f t="shared" si="31"/>
        <v>50.000000000011369</v>
      </c>
      <c r="BQ19" s="60">
        <v>68235</v>
      </c>
      <c r="BR19" s="65">
        <f t="shared" si="32"/>
        <v>52</v>
      </c>
      <c r="BS19" s="60">
        <v>228.69</v>
      </c>
      <c r="BT19" s="65">
        <f t="shared" si="33"/>
        <v>79.999999999984084</v>
      </c>
      <c r="BU19" s="60">
        <v>65441</v>
      </c>
      <c r="BV19" s="65">
        <f t="shared" si="34"/>
        <v>42</v>
      </c>
      <c r="BW19" s="60">
        <v>256.60000000000002</v>
      </c>
      <c r="BX19" s="65">
        <f t="shared" si="35"/>
        <v>70.000000000050022</v>
      </c>
      <c r="BY19" s="60">
        <v>87980</v>
      </c>
      <c r="BZ19" s="67">
        <f t="shared" si="36"/>
        <v>62</v>
      </c>
      <c r="CA19" s="60">
        <v>65907.899999999994</v>
      </c>
      <c r="CB19" s="67">
        <f t="shared" si="37"/>
        <v>49.299999999988358</v>
      </c>
      <c r="CC19" s="60">
        <v>19418.7</v>
      </c>
      <c r="CD19" s="67">
        <f t="shared" si="38"/>
        <v>21.700000000000728</v>
      </c>
      <c r="CE19" s="60">
        <v>9209.9</v>
      </c>
      <c r="CF19" s="67">
        <f t="shared" si="39"/>
        <v>4</v>
      </c>
      <c r="CG19" s="60">
        <v>88665.2</v>
      </c>
      <c r="CH19" s="67">
        <f t="shared" si="40"/>
        <v>32.30000000000291</v>
      </c>
      <c r="CI19" s="60">
        <v>1138331</v>
      </c>
      <c r="CJ19" s="67">
        <f t="shared" si="41"/>
        <v>342</v>
      </c>
      <c r="CK19" s="60">
        <v>1269.2</v>
      </c>
      <c r="CL19" s="64">
        <f t="shared" si="42"/>
        <v>1100.0000000001364</v>
      </c>
      <c r="CM19" s="65">
        <f t="shared" si="43"/>
        <v>99.200000000000728</v>
      </c>
      <c r="CN19" s="62">
        <v>27</v>
      </c>
      <c r="CO19" s="62">
        <v>54</v>
      </c>
      <c r="CP19" s="68">
        <v>57225</v>
      </c>
      <c r="CQ19" s="67">
        <f t="shared" si="44"/>
        <v>87</v>
      </c>
      <c r="CR19" s="68">
        <v>28963.3</v>
      </c>
      <c r="CS19" s="67">
        <f t="shared" si="45"/>
        <v>12.200000000000728</v>
      </c>
      <c r="CT19" s="75">
        <v>13824</v>
      </c>
      <c r="CU19" s="67">
        <f t="shared" si="46"/>
        <v>10</v>
      </c>
      <c r="CV19" s="68">
        <v>32998</v>
      </c>
      <c r="CW19" s="67">
        <f t="shared" si="47"/>
        <v>16</v>
      </c>
      <c r="CX19" s="58">
        <v>6402.7</v>
      </c>
      <c r="CY19" s="67">
        <f t="shared" si="48"/>
        <v>13.399999999999636</v>
      </c>
    </row>
    <row r="20" spans="1:103" ht="25.5" customHeight="1" thickBot="1" x14ac:dyDescent="0.45">
      <c r="A20" s="63">
        <v>45002</v>
      </c>
      <c r="B20" s="44"/>
      <c r="C20" s="58">
        <v>3.9750999999999999</v>
      </c>
      <c r="D20" s="64">
        <f t="shared" si="0"/>
        <v>2999.9999999996694</v>
      </c>
      <c r="E20" s="58">
        <v>5.2819000000000003</v>
      </c>
      <c r="F20" s="64">
        <f t="shared" si="1"/>
        <v>3499.9999999998367</v>
      </c>
      <c r="G20" s="58">
        <v>5.3285</v>
      </c>
      <c r="H20" s="64">
        <f t="shared" si="2"/>
        <v>3899.9999999997926</v>
      </c>
      <c r="I20" s="58">
        <v>2.6244999999999998</v>
      </c>
      <c r="J20" s="64">
        <f t="shared" si="3"/>
        <v>2099.9999999999909</v>
      </c>
      <c r="K20" s="58">
        <v>4.0124000000000004</v>
      </c>
      <c r="L20" s="64">
        <f t="shared" si="4"/>
        <v>2500.0000000003906</v>
      </c>
      <c r="M20" s="58">
        <v>2.4361999999999999</v>
      </c>
      <c r="N20" s="64">
        <f t="shared" si="5"/>
        <v>2199.9999999997576</v>
      </c>
      <c r="O20" s="58">
        <v>30248</v>
      </c>
      <c r="P20" s="67">
        <f t="shared" si="6"/>
        <v>59</v>
      </c>
      <c r="Q20" s="58">
        <v>3819</v>
      </c>
      <c r="R20" s="67">
        <f t="shared" si="7"/>
        <v>9</v>
      </c>
      <c r="S20" s="58">
        <v>1732.7</v>
      </c>
      <c r="T20" s="67">
        <f t="shared" si="49"/>
        <v>1200.0000000000455</v>
      </c>
      <c r="U20" s="58">
        <v>683003.3</v>
      </c>
      <c r="V20" s="67">
        <f t="shared" si="8"/>
        <v>564</v>
      </c>
      <c r="W20" s="58">
        <v>612.04999999999995</v>
      </c>
      <c r="X20" s="65">
        <f t="shared" si="9"/>
        <v>429.99999999994998</v>
      </c>
      <c r="Y20" s="58">
        <v>4.6609999999999996</v>
      </c>
      <c r="Z20" s="65">
        <f t="shared" si="10"/>
        <v>3099.9999999998809</v>
      </c>
      <c r="AA20" s="58">
        <v>618.03</v>
      </c>
      <c r="AB20" s="65">
        <f t="shared" si="11"/>
        <v>470.00000000002728</v>
      </c>
      <c r="AC20" s="58">
        <v>626.66999999999996</v>
      </c>
      <c r="AD20" s="65">
        <f t="shared" si="12"/>
        <v>509.99999999999091</v>
      </c>
      <c r="AE20" s="58">
        <v>1002.2</v>
      </c>
      <c r="AF20" s="65">
        <f t="shared" si="13"/>
        <v>1100.0000000000227</v>
      </c>
      <c r="AG20" s="58">
        <v>28803</v>
      </c>
      <c r="AH20" s="67">
        <f t="shared" si="14"/>
        <v>34</v>
      </c>
      <c r="AI20" s="58">
        <v>1.0644</v>
      </c>
      <c r="AJ20" s="65">
        <f t="shared" si="15"/>
        <v>900.0000000001229</v>
      </c>
      <c r="AK20" s="58">
        <v>352.71</v>
      </c>
      <c r="AL20" s="65">
        <f t="shared" si="16"/>
        <v>319.99999999999318</v>
      </c>
      <c r="AM20" s="58">
        <v>322.70999999999998</v>
      </c>
      <c r="AN20" s="65">
        <f t="shared" si="17"/>
        <v>329.99999999998408</v>
      </c>
      <c r="AO20" s="58">
        <v>309.37</v>
      </c>
      <c r="AP20" s="65">
        <f t="shared" si="18"/>
        <v>230.00000000001819</v>
      </c>
      <c r="AQ20" s="58">
        <v>363.42</v>
      </c>
      <c r="AR20" s="65">
        <f t="shared" si="19"/>
        <v>160.00000000002501</v>
      </c>
      <c r="AS20" s="58">
        <v>487.37</v>
      </c>
      <c r="AT20" s="65">
        <f t="shared" si="20"/>
        <v>180.00000000000682</v>
      </c>
      <c r="AU20" s="58">
        <v>390.74</v>
      </c>
      <c r="AV20" s="65">
        <f t="shared" si="21"/>
        <v>60.000000000002274</v>
      </c>
      <c r="AW20" s="58">
        <v>420.11</v>
      </c>
      <c r="AX20" s="65">
        <f t="shared" si="22"/>
        <v>240.00000000000909</v>
      </c>
      <c r="AY20" s="58">
        <v>454.57</v>
      </c>
      <c r="AZ20" s="65">
        <f t="shared" si="23"/>
        <v>180.00000000000682</v>
      </c>
      <c r="BA20" s="58">
        <v>470.88</v>
      </c>
      <c r="BB20" s="65">
        <f t="shared" si="24"/>
        <v>69.999999999993179</v>
      </c>
      <c r="BC20" s="58">
        <v>303.48</v>
      </c>
      <c r="BD20" s="65">
        <f t="shared" si="25"/>
        <v>100.00000000002274</v>
      </c>
      <c r="BE20" s="59">
        <v>63363</v>
      </c>
      <c r="BF20" s="67">
        <f t="shared" si="26"/>
        <v>43</v>
      </c>
      <c r="BG20" s="60">
        <v>260.08999999999997</v>
      </c>
      <c r="BH20" s="65">
        <f t="shared" si="27"/>
        <v>60.000000000002274</v>
      </c>
      <c r="BI20" s="60">
        <v>313.91000000000003</v>
      </c>
      <c r="BJ20" s="65">
        <f t="shared" si="28"/>
        <v>50.000000000011369</v>
      </c>
      <c r="BK20" s="60">
        <v>267.14</v>
      </c>
      <c r="BL20" s="65">
        <f t="shared" si="29"/>
        <v>79.999999999984084</v>
      </c>
      <c r="BM20" s="60">
        <v>250.07</v>
      </c>
      <c r="BN20" s="65">
        <f t="shared" si="30"/>
        <v>60.000000000002274</v>
      </c>
      <c r="BO20" s="60">
        <v>318.38</v>
      </c>
      <c r="BP20" s="65">
        <f t="shared" si="31"/>
        <v>69.999999999993179</v>
      </c>
      <c r="BQ20" s="60">
        <v>68287</v>
      </c>
      <c r="BR20" s="65">
        <f t="shared" si="32"/>
        <v>52</v>
      </c>
      <c r="BS20" s="60">
        <v>228.77</v>
      </c>
      <c r="BT20" s="65">
        <f t="shared" si="33"/>
        <v>80.000000000012506</v>
      </c>
      <c r="BU20" s="60">
        <v>65495</v>
      </c>
      <c r="BV20" s="65">
        <f t="shared" si="34"/>
        <v>54</v>
      </c>
      <c r="BW20" s="60">
        <v>256.67</v>
      </c>
      <c r="BX20" s="65">
        <f t="shared" si="35"/>
        <v>69.999999999993179</v>
      </c>
      <c r="BY20" s="60">
        <v>88049</v>
      </c>
      <c r="BZ20" s="67">
        <f t="shared" si="36"/>
        <v>69</v>
      </c>
      <c r="CA20" s="60">
        <v>65974</v>
      </c>
      <c r="CB20" s="67">
        <f t="shared" si="37"/>
        <v>66.100000000005821</v>
      </c>
      <c r="CC20" s="60">
        <v>19431.400000000001</v>
      </c>
      <c r="CD20" s="67">
        <f t="shared" si="38"/>
        <v>12.700000000000728</v>
      </c>
      <c r="CE20" s="60">
        <v>9214.4</v>
      </c>
      <c r="CF20" s="67">
        <f t="shared" si="39"/>
        <v>4.5</v>
      </c>
      <c r="CG20" s="60">
        <v>88692.2</v>
      </c>
      <c r="CH20" s="67">
        <f t="shared" si="40"/>
        <v>27</v>
      </c>
      <c r="CI20" s="60">
        <v>1138665</v>
      </c>
      <c r="CJ20" s="67">
        <f t="shared" si="41"/>
        <v>334</v>
      </c>
      <c r="CK20" s="60">
        <v>1270.3</v>
      </c>
      <c r="CL20" s="64">
        <f t="shared" si="42"/>
        <v>1099.9999999999091</v>
      </c>
      <c r="CM20" s="65">
        <f t="shared" si="43"/>
        <v>101.90000000000146</v>
      </c>
      <c r="CN20" s="62">
        <v>28</v>
      </c>
      <c r="CO20" s="62">
        <v>56</v>
      </c>
      <c r="CP20" s="68">
        <v>57313</v>
      </c>
      <c r="CQ20" s="67">
        <f t="shared" si="44"/>
        <v>88</v>
      </c>
      <c r="CR20" s="68">
        <v>28977.200000000001</v>
      </c>
      <c r="CS20" s="67">
        <f t="shared" si="45"/>
        <v>13.900000000001455</v>
      </c>
      <c r="CT20" s="75">
        <v>13833</v>
      </c>
      <c r="CU20" s="67">
        <f t="shared" si="46"/>
        <v>9</v>
      </c>
      <c r="CV20" s="68">
        <v>33010</v>
      </c>
      <c r="CW20" s="67">
        <f t="shared" si="47"/>
        <v>12</v>
      </c>
      <c r="CX20" s="58">
        <v>6415.9</v>
      </c>
      <c r="CY20" s="67">
        <f t="shared" si="48"/>
        <v>13.199999999999818</v>
      </c>
    </row>
    <row r="21" spans="1:103" ht="25.5" customHeight="1" thickBot="1" x14ac:dyDescent="0.45">
      <c r="A21" s="63">
        <v>45003</v>
      </c>
      <c r="B21" s="44"/>
      <c r="C21" s="58">
        <v>3.9780000000000002</v>
      </c>
      <c r="D21" s="64">
        <f t="shared" si="0"/>
        <v>2900.0000000003465</v>
      </c>
      <c r="E21" s="58">
        <v>5.2855999999999996</v>
      </c>
      <c r="F21" s="64">
        <f t="shared" si="1"/>
        <v>3699.9999999993706</v>
      </c>
      <c r="G21" s="58">
        <v>5.3323999999999998</v>
      </c>
      <c r="H21" s="64">
        <f t="shared" si="2"/>
        <v>3899.9999999997926</v>
      </c>
      <c r="I21" s="58">
        <v>2.6263999999999998</v>
      </c>
      <c r="J21" s="64">
        <f t="shared" si="3"/>
        <v>1900.0000000000127</v>
      </c>
      <c r="K21" s="58">
        <v>4.0148999999999999</v>
      </c>
      <c r="L21" s="64">
        <f t="shared" si="4"/>
        <v>2499.9999999995025</v>
      </c>
      <c r="M21" s="58">
        <v>2.4382999999999999</v>
      </c>
      <c r="N21" s="64">
        <f t="shared" si="5"/>
        <v>2099.9999999999909</v>
      </c>
      <c r="O21" s="58">
        <v>30286</v>
      </c>
      <c r="P21" s="67">
        <f t="shared" si="6"/>
        <v>38</v>
      </c>
      <c r="Q21" s="58">
        <v>3824</v>
      </c>
      <c r="R21" s="67">
        <f t="shared" si="7"/>
        <v>5</v>
      </c>
      <c r="S21" s="58">
        <v>1734.2</v>
      </c>
      <c r="T21" s="67">
        <f t="shared" si="49"/>
        <v>1500</v>
      </c>
      <c r="U21" s="58">
        <v>683620.6</v>
      </c>
      <c r="V21" s="67">
        <f t="shared" si="8"/>
        <v>617.29999999993015</v>
      </c>
      <c r="W21" s="58">
        <v>612.59</v>
      </c>
      <c r="X21" s="65">
        <f t="shared" si="9"/>
        <v>540.00000000007731</v>
      </c>
      <c r="Y21" s="58">
        <v>4.6646000000000001</v>
      </c>
      <c r="Z21" s="65">
        <f t="shared" si="10"/>
        <v>3600.0000000004916</v>
      </c>
      <c r="AA21" s="58">
        <v>618.51</v>
      </c>
      <c r="AB21" s="65">
        <f t="shared" si="11"/>
        <v>480.00000000001819</v>
      </c>
      <c r="AC21" s="58">
        <v>627.16999999999996</v>
      </c>
      <c r="AD21" s="65">
        <f t="shared" si="12"/>
        <v>500</v>
      </c>
      <c r="AE21" s="58">
        <v>1003.3</v>
      </c>
      <c r="AF21" s="65">
        <f t="shared" si="13"/>
        <v>1099.9999999999091</v>
      </c>
      <c r="AG21" s="58">
        <v>28894</v>
      </c>
      <c r="AH21" s="67">
        <f t="shared" si="14"/>
        <v>91</v>
      </c>
      <c r="AI21" s="58">
        <v>1.0653999999999999</v>
      </c>
      <c r="AJ21" s="65">
        <f t="shared" si="15"/>
        <v>999.99999999988984</v>
      </c>
      <c r="AK21" s="58">
        <v>352.96</v>
      </c>
      <c r="AL21" s="65">
        <f t="shared" si="16"/>
        <v>250</v>
      </c>
      <c r="AM21" s="58">
        <v>323.07</v>
      </c>
      <c r="AN21" s="65">
        <f t="shared" si="17"/>
        <v>360.00000000001364</v>
      </c>
      <c r="AO21" s="58">
        <v>309.67</v>
      </c>
      <c r="AP21" s="65">
        <f t="shared" si="18"/>
        <v>300.00000000001137</v>
      </c>
      <c r="AQ21" s="58">
        <v>363.59</v>
      </c>
      <c r="AR21" s="65">
        <f t="shared" si="19"/>
        <v>169.99999999995907</v>
      </c>
      <c r="AS21" s="58">
        <v>487.51</v>
      </c>
      <c r="AT21" s="65">
        <f t="shared" si="20"/>
        <v>139.99999999998636</v>
      </c>
      <c r="AU21" s="58">
        <v>390.83</v>
      </c>
      <c r="AV21" s="65">
        <f t="shared" si="21"/>
        <v>89.999999999974989</v>
      </c>
      <c r="AW21" s="58">
        <v>420.37</v>
      </c>
      <c r="AX21" s="65">
        <f t="shared" si="22"/>
        <v>259.99999999999091</v>
      </c>
      <c r="AY21" s="58">
        <v>454.73</v>
      </c>
      <c r="AZ21" s="65">
        <f t="shared" si="23"/>
        <v>160.00000000002501</v>
      </c>
      <c r="BA21" s="58">
        <v>470.98</v>
      </c>
      <c r="BB21" s="65">
        <f t="shared" si="24"/>
        <v>100.00000000002274</v>
      </c>
      <c r="BC21" s="58">
        <v>303.60000000000002</v>
      </c>
      <c r="BD21" s="65">
        <f t="shared" si="25"/>
        <v>120.00000000000455</v>
      </c>
      <c r="BE21" s="59">
        <v>63410</v>
      </c>
      <c r="BF21" s="67">
        <f t="shared" si="26"/>
        <v>47</v>
      </c>
      <c r="BG21" s="60">
        <v>260.14999999999998</v>
      </c>
      <c r="BH21" s="65">
        <f t="shared" si="27"/>
        <v>60.000000000002274</v>
      </c>
      <c r="BI21" s="60">
        <v>313.95</v>
      </c>
      <c r="BJ21" s="65">
        <f t="shared" si="28"/>
        <v>39.99999999996362</v>
      </c>
      <c r="BK21" s="60">
        <v>267.2</v>
      </c>
      <c r="BL21" s="65">
        <f t="shared" si="29"/>
        <v>60.000000000002274</v>
      </c>
      <c r="BM21" s="60">
        <v>250.12</v>
      </c>
      <c r="BN21" s="65">
        <f t="shared" si="30"/>
        <v>50.000000000011369</v>
      </c>
      <c r="BO21" s="60">
        <v>318.44</v>
      </c>
      <c r="BP21" s="65">
        <f t="shared" si="31"/>
        <v>60.000000000002274</v>
      </c>
      <c r="BQ21" s="60">
        <v>68338</v>
      </c>
      <c r="BR21" s="65">
        <f t="shared" si="32"/>
        <v>51</v>
      </c>
      <c r="BS21" s="60">
        <v>228.83</v>
      </c>
      <c r="BT21" s="65">
        <f t="shared" si="33"/>
        <v>60.000000000002274</v>
      </c>
      <c r="BU21" s="60">
        <v>65534</v>
      </c>
      <c r="BV21" s="65">
        <f t="shared" si="34"/>
        <v>39</v>
      </c>
      <c r="BW21" s="60">
        <v>256.73</v>
      </c>
      <c r="BX21" s="65">
        <f t="shared" si="35"/>
        <v>60.000000000002274</v>
      </c>
      <c r="BY21" s="60">
        <v>88111</v>
      </c>
      <c r="BZ21" s="67">
        <f t="shared" si="36"/>
        <v>62</v>
      </c>
      <c r="CA21" s="60">
        <v>66064.800000000003</v>
      </c>
      <c r="CB21" s="67">
        <f t="shared" si="37"/>
        <v>90.80000000000291</v>
      </c>
      <c r="CC21" s="60">
        <v>19445</v>
      </c>
      <c r="CD21" s="67">
        <f t="shared" si="38"/>
        <v>13.599999999998545</v>
      </c>
      <c r="CE21" s="60">
        <v>9219.2000000000007</v>
      </c>
      <c r="CF21" s="67">
        <f t="shared" si="39"/>
        <v>4.8000000000010914</v>
      </c>
      <c r="CG21" s="60">
        <v>88728.6</v>
      </c>
      <c r="CH21" s="67">
        <f t="shared" si="40"/>
        <v>36.400000000008731</v>
      </c>
      <c r="CI21" s="60">
        <v>1138990</v>
      </c>
      <c r="CJ21" s="67">
        <f t="shared" si="41"/>
        <v>325</v>
      </c>
      <c r="CK21" s="60">
        <v>1271.4000000000001</v>
      </c>
      <c r="CL21" s="64">
        <f t="shared" si="42"/>
        <v>1100.0000000001364</v>
      </c>
      <c r="CM21" s="65">
        <f t="shared" si="43"/>
        <v>125</v>
      </c>
      <c r="CN21" s="62">
        <v>31</v>
      </c>
      <c r="CO21" s="62">
        <v>61</v>
      </c>
      <c r="CP21" s="68">
        <v>57416</v>
      </c>
      <c r="CQ21" s="67">
        <f t="shared" si="44"/>
        <v>103</v>
      </c>
      <c r="CR21" s="68">
        <v>28999.200000000001</v>
      </c>
      <c r="CS21" s="67">
        <f t="shared" si="45"/>
        <v>22</v>
      </c>
      <c r="CT21" s="75">
        <v>13844</v>
      </c>
      <c r="CU21" s="67">
        <f t="shared" si="46"/>
        <v>11</v>
      </c>
      <c r="CV21" s="68">
        <v>33027</v>
      </c>
      <c r="CW21" s="67">
        <f t="shared" si="47"/>
        <v>17</v>
      </c>
      <c r="CX21" s="58">
        <v>6428.4</v>
      </c>
      <c r="CY21" s="67">
        <f t="shared" si="48"/>
        <v>12.5</v>
      </c>
    </row>
    <row r="22" spans="1:103" ht="25.5" customHeight="1" thickBot="1" x14ac:dyDescent="0.45">
      <c r="A22" s="63">
        <v>45004</v>
      </c>
      <c r="B22" s="44"/>
      <c r="C22" s="58">
        <v>3.9805000000000001</v>
      </c>
      <c r="D22" s="64">
        <f t="shared" si="0"/>
        <v>2499.9999999999468</v>
      </c>
      <c r="E22" s="58">
        <v>5.2888999999999999</v>
      </c>
      <c r="F22" s="64">
        <f t="shared" si="1"/>
        <v>3300.0000000003029</v>
      </c>
      <c r="G22" s="58">
        <v>5.3361999999999998</v>
      </c>
      <c r="H22" s="64">
        <f t="shared" si="2"/>
        <v>3800.0000000000255</v>
      </c>
      <c r="I22" s="58">
        <v>2.6280999999999999</v>
      </c>
      <c r="J22" s="64">
        <f t="shared" si="3"/>
        <v>1700.0000000000348</v>
      </c>
      <c r="K22" s="58">
        <v>4.0171000000000001</v>
      </c>
      <c r="L22" s="64">
        <f t="shared" si="4"/>
        <v>2200.0000000002019</v>
      </c>
      <c r="M22" s="58">
        <v>2.4399000000000002</v>
      </c>
      <c r="N22" s="64">
        <f t="shared" si="5"/>
        <v>1600.0000000002678</v>
      </c>
      <c r="O22" s="58">
        <v>30332</v>
      </c>
      <c r="P22" s="67">
        <f t="shared" si="6"/>
        <v>46</v>
      </c>
      <c r="Q22" s="58">
        <v>3828</v>
      </c>
      <c r="R22" s="67">
        <f t="shared" si="7"/>
        <v>4</v>
      </c>
      <c r="S22" s="58">
        <v>1735.5</v>
      </c>
      <c r="T22" s="67">
        <f t="shared" si="49"/>
        <v>1299.9999999999545</v>
      </c>
      <c r="U22" s="58">
        <v>684095.2</v>
      </c>
      <c r="V22" s="67">
        <f t="shared" si="8"/>
        <v>474.59999999997672</v>
      </c>
      <c r="W22" s="58">
        <v>612.91999999999996</v>
      </c>
      <c r="X22" s="65">
        <f t="shared" si="9"/>
        <v>329.99999999992724</v>
      </c>
      <c r="Y22" s="58">
        <v>4.6673</v>
      </c>
      <c r="Z22" s="65">
        <f t="shared" si="10"/>
        <v>2699.9999999999245</v>
      </c>
      <c r="AA22" s="58">
        <v>618.77</v>
      </c>
      <c r="AB22" s="65">
        <f t="shared" si="11"/>
        <v>259.99999999999091</v>
      </c>
      <c r="AC22" s="58">
        <v>627.48</v>
      </c>
      <c r="AD22" s="65">
        <f t="shared" si="12"/>
        <v>310.00000000005912</v>
      </c>
      <c r="AE22" s="58">
        <v>1004.1</v>
      </c>
      <c r="AF22" s="65">
        <f t="shared" si="13"/>
        <v>800.00000000006821</v>
      </c>
      <c r="AG22" s="58">
        <v>28932</v>
      </c>
      <c r="AH22" s="67">
        <f t="shared" si="14"/>
        <v>38</v>
      </c>
      <c r="AI22" s="58">
        <v>1.0662</v>
      </c>
      <c r="AJ22" s="65">
        <f t="shared" si="15"/>
        <v>800.00000000013392</v>
      </c>
      <c r="AK22" s="58">
        <v>353.1</v>
      </c>
      <c r="AL22" s="65">
        <f t="shared" si="16"/>
        <v>140.0000000000432</v>
      </c>
      <c r="AM22" s="58">
        <v>323.22000000000003</v>
      </c>
      <c r="AN22" s="65">
        <f t="shared" si="17"/>
        <v>150.00000000003411</v>
      </c>
      <c r="AO22" s="58">
        <v>309.88</v>
      </c>
      <c r="AP22" s="65">
        <f t="shared" si="18"/>
        <v>209.99999999997954</v>
      </c>
      <c r="AQ22" s="58">
        <v>363.75</v>
      </c>
      <c r="AR22" s="65">
        <f t="shared" si="19"/>
        <v>160.00000000002501</v>
      </c>
      <c r="AS22" s="58">
        <v>487.59</v>
      </c>
      <c r="AT22" s="65">
        <f t="shared" si="20"/>
        <v>79.999999999984084</v>
      </c>
      <c r="AU22" s="58">
        <v>390.9</v>
      </c>
      <c r="AV22" s="65">
        <f t="shared" si="21"/>
        <v>69.999999999993179</v>
      </c>
      <c r="AW22" s="58">
        <v>420.52</v>
      </c>
      <c r="AX22" s="65">
        <f t="shared" si="22"/>
        <v>149.99999999997726</v>
      </c>
      <c r="AY22" s="58">
        <v>454.81</v>
      </c>
      <c r="AZ22" s="65">
        <f t="shared" si="23"/>
        <v>79.999999999984084</v>
      </c>
      <c r="BA22" s="58">
        <v>471.05</v>
      </c>
      <c r="BB22" s="65">
        <f t="shared" si="24"/>
        <v>69.999999999993179</v>
      </c>
      <c r="BC22" s="58">
        <v>303.68</v>
      </c>
      <c r="BD22" s="65">
        <f t="shared" si="25"/>
        <v>79.999999999984084</v>
      </c>
      <c r="BE22" s="59">
        <v>63447</v>
      </c>
      <c r="BF22" s="67">
        <f t="shared" si="26"/>
        <v>37</v>
      </c>
      <c r="BG22" s="60">
        <v>260.19</v>
      </c>
      <c r="BH22" s="65">
        <f t="shared" si="27"/>
        <v>40.000000000020464</v>
      </c>
      <c r="BI22" s="60">
        <v>313.99</v>
      </c>
      <c r="BJ22" s="65">
        <f t="shared" si="28"/>
        <v>40.000000000020464</v>
      </c>
      <c r="BK22" s="60">
        <v>267.26</v>
      </c>
      <c r="BL22" s="65">
        <f t="shared" si="29"/>
        <v>60.000000000002274</v>
      </c>
      <c r="BM22" s="60">
        <v>250.16</v>
      </c>
      <c r="BN22" s="65">
        <f t="shared" si="30"/>
        <v>39.999999999992042</v>
      </c>
      <c r="BO22" s="60">
        <v>318.49</v>
      </c>
      <c r="BP22" s="65">
        <f t="shared" si="31"/>
        <v>50.000000000011369</v>
      </c>
      <c r="BQ22" s="60">
        <v>68376</v>
      </c>
      <c r="BR22" s="65">
        <f t="shared" si="32"/>
        <v>38</v>
      </c>
      <c r="BS22" s="60">
        <v>228.88</v>
      </c>
      <c r="BT22" s="65">
        <f t="shared" si="33"/>
        <v>49.999999999982947</v>
      </c>
      <c r="BU22" s="60">
        <v>65569</v>
      </c>
      <c r="BV22" s="65">
        <f t="shared" si="34"/>
        <v>35</v>
      </c>
      <c r="BW22" s="60">
        <v>256.77</v>
      </c>
      <c r="BX22" s="65">
        <f t="shared" si="35"/>
        <v>39.99999999996362</v>
      </c>
      <c r="BY22" s="60">
        <v>88161</v>
      </c>
      <c r="BZ22" s="67">
        <f t="shared" si="36"/>
        <v>50</v>
      </c>
      <c r="CA22" s="60">
        <v>66136.5</v>
      </c>
      <c r="CB22" s="67">
        <f t="shared" si="37"/>
        <v>71.69999999999709</v>
      </c>
      <c r="CC22" s="60">
        <v>19453.3</v>
      </c>
      <c r="CD22" s="67">
        <f t="shared" si="38"/>
        <v>8.2999999999992724</v>
      </c>
      <c r="CE22" s="60">
        <v>9221.5</v>
      </c>
      <c r="CF22" s="67">
        <f t="shared" si="39"/>
        <v>2.2999999999992724</v>
      </c>
      <c r="CG22" s="60">
        <v>88766.9</v>
      </c>
      <c r="CH22" s="67">
        <f t="shared" si="40"/>
        <v>38.299999999988358</v>
      </c>
      <c r="CI22" s="60">
        <v>1139300</v>
      </c>
      <c r="CJ22" s="67">
        <f t="shared" si="41"/>
        <v>310</v>
      </c>
      <c r="CK22" s="60">
        <v>1272.4000000000001</v>
      </c>
      <c r="CL22" s="64">
        <f t="shared" si="42"/>
        <v>1000</v>
      </c>
      <c r="CM22" s="65">
        <f t="shared" si="43"/>
        <v>105.79999999999927</v>
      </c>
      <c r="CN22" s="62">
        <v>43</v>
      </c>
      <c r="CO22" s="62">
        <v>75</v>
      </c>
      <c r="CP22" s="68">
        <v>57498</v>
      </c>
      <c r="CQ22" s="67">
        <f t="shared" si="44"/>
        <v>82</v>
      </c>
      <c r="CR22" s="68">
        <v>29023</v>
      </c>
      <c r="CS22" s="67">
        <f t="shared" si="45"/>
        <v>23.799999999999272</v>
      </c>
      <c r="CT22" s="75">
        <v>13854</v>
      </c>
      <c r="CU22" s="67">
        <f t="shared" si="46"/>
        <v>10</v>
      </c>
      <c r="CV22" s="68">
        <v>33040</v>
      </c>
      <c r="CW22" s="67">
        <f t="shared" si="47"/>
        <v>13</v>
      </c>
      <c r="CX22" s="58">
        <v>6439.3</v>
      </c>
      <c r="CY22" s="67">
        <f t="shared" si="48"/>
        <v>10.900000000000546</v>
      </c>
    </row>
    <row r="23" spans="1:103" ht="25.5" customHeight="1" thickBot="1" x14ac:dyDescent="0.45">
      <c r="A23" s="63">
        <v>45005</v>
      </c>
      <c r="B23" s="44"/>
      <c r="C23" s="58">
        <v>3.9830999999999999</v>
      </c>
      <c r="D23" s="64">
        <f t="shared" si="0"/>
        <v>2599.9999999997135</v>
      </c>
      <c r="E23" s="58">
        <v>5.2923</v>
      </c>
      <c r="F23" s="64">
        <f t="shared" si="1"/>
        <v>3400.0000000000696</v>
      </c>
      <c r="G23" s="58">
        <v>5.3399000000000001</v>
      </c>
      <c r="H23" s="64">
        <f t="shared" si="2"/>
        <v>3700.0000000002588</v>
      </c>
      <c r="I23" s="58">
        <v>2.63</v>
      </c>
      <c r="J23" s="64">
        <f t="shared" si="3"/>
        <v>1900.0000000000127</v>
      </c>
      <c r="K23" s="58">
        <v>4.0194999999999999</v>
      </c>
      <c r="L23" s="64">
        <f t="shared" si="4"/>
        <v>2399.9999999997358</v>
      </c>
      <c r="M23" s="58">
        <v>2.4417</v>
      </c>
      <c r="N23" s="64">
        <f t="shared" si="5"/>
        <v>1799.9999999998017</v>
      </c>
      <c r="O23" s="58">
        <v>30401</v>
      </c>
      <c r="P23" s="67">
        <f t="shared" si="6"/>
        <v>69</v>
      </c>
      <c r="Q23" s="58">
        <v>3837</v>
      </c>
      <c r="R23" s="67">
        <f t="shared" si="7"/>
        <v>9</v>
      </c>
      <c r="S23" s="58">
        <v>1736.6</v>
      </c>
      <c r="T23" s="67">
        <f t="shared" si="49"/>
        <v>1099.9999999999091</v>
      </c>
      <c r="U23" s="58">
        <v>684502.5</v>
      </c>
      <c r="V23" s="67">
        <f t="shared" si="8"/>
        <v>407.30000000004657</v>
      </c>
      <c r="W23" s="58">
        <v>613.26</v>
      </c>
      <c r="X23" s="65">
        <f t="shared" si="9"/>
        <v>340.00000000003183</v>
      </c>
      <c r="Y23" s="58">
        <v>4.6702000000000004</v>
      </c>
      <c r="Z23" s="65">
        <f t="shared" si="10"/>
        <v>2900.0000000003465</v>
      </c>
      <c r="AA23" s="58">
        <v>619.22</v>
      </c>
      <c r="AB23" s="65">
        <f t="shared" si="11"/>
        <v>450.00000000004547</v>
      </c>
      <c r="AC23" s="58">
        <v>627.84</v>
      </c>
      <c r="AD23" s="65">
        <f t="shared" si="12"/>
        <v>360.00000000001364</v>
      </c>
      <c r="AE23" s="58">
        <v>1005</v>
      </c>
      <c r="AF23" s="65">
        <f t="shared" si="13"/>
        <v>899.99999999997726</v>
      </c>
      <c r="AG23" s="58">
        <v>28970</v>
      </c>
      <c r="AH23" s="67">
        <f t="shared" si="14"/>
        <v>38</v>
      </c>
      <c r="AI23" s="58">
        <v>1.0669999999999999</v>
      </c>
      <c r="AJ23" s="65">
        <f t="shared" si="15"/>
        <v>799.99999999991189</v>
      </c>
      <c r="AK23" s="58">
        <v>353.3</v>
      </c>
      <c r="AL23" s="65">
        <f t="shared" si="16"/>
        <v>199.99999999998863</v>
      </c>
      <c r="AM23" s="58">
        <v>323.36</v>
      </c>
      <c r="AN23" s="65">
        <f t="shared" si="17"/>
        <v>139.99999999998636</v>
      </c>
      <c r="AO23" s="58">
        <v>310.16000000000003</v>
      </c>
      <c r="AP23" s="65">
        <f t="shared" si="18"/>
        <v>280.00000000002956</v>
      </c>
      <c r="AQ23" s="58">
        <v>363.92</v>
      </c>
      <c r="AR23" s="65">
        <f t="shared" si="19"/>
        <v>170.00000000001592</v>
      </c>
      <c r="AS23" s="58">
        <v>487.7</v>
      </c>
      <c r="AT23" s="65">
        <f t="shared" si="20"/>
        <v>110.00000000001364</v>
      </c>
      <c r="AU23" s="58">
        <v>390.96</v>
      </c>
      <c r="AV23" s="65">
        <f t="shared" si="21"/>
        <v>60.000000000002274</v>
      </c>
      <c r="AW23" s="58">
        <v>420.67</v>
      </c>
      <c r="AX23" s="65">
        <f t="shared" si="22"/>
        <v>150.00000000003411</v>
      </c>
      <c r="AY23" s="58">
        <v>454.94</v>
      </c>
      <c r="AZ23" s="65">
        <f t="shared" si="23"/>
        <v>129.99999999999545</v>
      </c>
      <c r="BA23" s="58">
        <v>471.15</v>
      </c>
      <c r="BB23" s="65">
        <f t="shared" si="24"/>
        <v>99.999999999965894</v>
      </c>
      <c r="BC23" s="58">
        <v>303.77</v>
      </c>
      <c r="BD23" s="65">
        <f t="shared" si="25"/>
        <v>89.999999999974989</v>
      </c>
      <c r="BE23" s="59">
        <v>63485</v>
      </c>
      <c r="BF23" s="67">
        <f t="shared" si="26"/>
        <v>38</v>
      </c>
      <c r="BG23" s="60">
        <v>260.24</v>
      </c>
      <c r="BH23" s="65">
        <f t="shared" si="27"/>
        <v>50.000000000011369</v>
      </c>
      <c r="BI23" s="60">
        <v>314.02999999999997</v>
      </c>
      <c r="BJ23" s="65">
        <f t="shared" si="28"/>
        <v>39.99999999996362</v>
      </c>
      <c r="BK23" s="60">
        <v>267.32</v>
      </c>
      <c r="BL23" s="65">
        <f t="shared" si="29"/>
        <v>60.000000000002274</v>
      </c>
      <c r="BM23" s="60">
        <v>250.21</v>
      </c>
      <c r="BN23" s="65">
        <f t="shared" si="30"/>
        <v>50.000000000011369</v>
      </c>
      <c r="BO23" s="60">
        <v>318.55</v>
      </c>
      <c r="BP23" s="65">
        <f t="shared" si="31"/>
        <v>60.000000000002274</v>
      </c>
      <c r="BQ23" s="60">
        <v>68424</v>
      </c>
      <c r="BR23" s="65">
        <f t="shared" si="32"/>
        <v>48</v>
      </c>
      <c r="BS23" s="60">
        <v>228.94</v>
      </c>
      <c r="BT23" s="65">
        <f t="shared" si="33"/>
        <v>60.000000000002274</v>
      </c>
      <c r="BU23" s="60">
        <v>65608</v>
      </c>
      <c r="BV23" s="65">
        <f t="shared" si="34"/>
        <v>39</v>
      </c>
      <c r="BW23" s="60">
        <v>256.83</v>
      </c>
      <c r="BX23" s="65">
        <f t="shared" si="35"/>
        <v>60.000000000002274</v>
      </c>
      <c r="BY23" s="60">
        <v>88217</v>
      </c>
      <c r="BZ23" s="67">
        <f t="shared" si="36"/>
        <v>56</v>
      </c>
      <c r="CA23" s="60">
        <v>66197.600000000006</v>
      </c>
      <c r="CB23" s="67">
        <f t="shared" si="37"/>
        <v>61.100000000005821</v>
      </c>
      <c r="CC23" s="60">
        <v>19473</v>
      </c>
      <c r="CD23" s="67">
        <f t="shared" si="38"/>
        <v>19.700000000000728</v>
      </c>
      <c r="CE23" s="60">
        <v>9225</v>
      </c>
      <c r="CF23" s="67">
        <f t="shared" si="39"/>
        <v>3.5</v>
      </c>
      <c r="CG23" s="60">
        <v>88800.5</v>
      </c>
      <c r="CH23" s="67">
        <f t="shared" si="40"/>
        <v>33.600000000005821</v>
      </c>
      <c r="CI23" s="60">
        <v>1139624</v>
      </c>
      <c r="CJ23" s="67">
        <f t="shared" si="41"/>
        <v>324</v>
      </c>
      <c r="CK23" s="60">
        <v>1273.5</v>
      </c>
      <c r="CL23" s="64">
        <f t="shared" si="42"/>
        <v>1099.9999999999091</v>
      </c>
      <c r="CM23" s="65">
        <f>CQ23+CS23</f>
        <v>97</v>
      </c>
      <c r="CN23" s="62">
        <v>43</v>
      </c>
      <c r="CO23" s="62">
        <v>75</v>
      </c>
      <c r="CP23" s="68">
        <v>57588</v>
      </c>
      <c r="CQ23" s="67">
        <f t="shared" si="44"/>
        <v>90</v>
      </c>
      <c r="CR23" s="68">
        <v>29030</v>
      </c>
      <c r="CS23" s="67">
        <f t="shared" si="45"/>
        <v>7</v>
      </c>
      <c r="CT23" s="75">
        <v>13863</v>
      </c>
      <c r="CU23" s="67">
        <f t="shared" si="46"/>
        <v>9</v>
      </c>
      <c r="CV23" s="68">
        <v>33054</v>
      </c>
      <c r="CW23" s="67">
        <f t="shared" si="47"/>
        <v>14</v>
      </c>
      <c r="CX23" s="58">
        <v>6451.2</v>
      </c>
      <c r="CY23" s="67">
        <f t="shared" si="48"/>
        <v>11.899999999999636</v>
      </c>
    </row>
    <row r="24" spans="1:103" ht="25.5" customHeight="1" thickBot="1" x14ac:dyDescent="0.45">
      <c r="A24" s="63">
        <v>45006</v>
      </c>
      <c r="B24" s="44"/>
      <c r="C24" s="58">
        <v>3.9859</v>
      </c>
      <c r="D24" s="64">
        <f t="shared" si="0"/>
        <v>2800.0000000001355</v>
      </c>
      <c r="E24" s="58">
        <v>5.2958999999999996</v>
      </c>
      <c r="F24" s="64">
        <f t="shared" si="1"/>
        <v>3599.9999999996035</v>
      </c>
      <c r="G24" s="58">
        <v>5.3440000000000003</v>
      </c>
      <c r="H24" s="64">
        <f t="shared" si="2"/>
        <v>4100.0000000002146</v>
      </c>
      <c r="I24" s="58">
        <v>2.6318000000000001</v>
      </c>
      <c r="J24" s="64">
        <f t="shared" si="3"/>
        <v>1800.0000000002458</v>
      </c>
      <c r="K24" s="58">
        <v>4.0218999999999996</v>
      </c>
      <c r="L24" s="64">
        <f t="shared" si="4"/>
        <v>2399.9999999997358</v>
      </c>
      <c r="M24" s="58">
        <v>2.4439000000000002</v>
      </c>
      <c r="N24" s="64">
        <f t="shared" si="5"/>
        <v>2200.0000000002019</v>
      </c>
      <c r="O24" s="58">
        <v>30458</v>
      </c>
      <c r="P24" s="67">
        <f t="shared" si="6"/>
        <v>57</v>
      </c>
      <c r="Q24" s="58">
        <v>3844</v>
      </c>
      <c r="R24" s="67">
        <f t="shared" si="7"/>
        <v>7</v>
      </c>
      <c r="S24" s="58">
        <v>1738.1</v>
      </c>
      <c r="T24" s="67">
        <f t="shared" si="49"/>
        <v>1500</v>
      </c>
      <c r="U24" s="58">
        <v>685138.3</v>
      </c>
      <c r="V24" s="67">
        <f t="shared" si="8"/>
        <v>635.80000000004657</v>
      </c>
      <c r="W24" s="58">
        <v>613.61</v>
      </c>
      <c r="X24" s="65">
        <f t="shared" si="9"/>
        <v>350.00000000002274</v>
      </c>
      <c r="Y24" s="58">
        <v>4.6734999999999998</v>
      </c>
      <c r="Z24" s="65">
        <f t="shared" si="10"/>
        <v>3299.9999999994143</v>
      </c>
      <c r="AA24" s="58">
        <v>619.53</v>
      </c>
      <c r="AB24" s="65">
        <f t="shared" si="11"/>
        <v>309.99999999994543</v>
      </c>
      <c r="AC24" s="58">
        <v>628.30999999999995</v>
      </c>
      <c r="AD24" s="65">
        <f t="shared" si="12"/>
        <v>469.9999999999136</v>
      </c>
      <c r="AE24" s="58">
        <v>1006.1</v>
      </c>
      <c r="AF24" s="65">
        <f t="shared" si="13"/>
        <v>1100.0000000000227</v>
      </c>
      <c r="AG24" s="58">
        <v>29004</v>
      </c>
      <c r="AH24" s="67">
        <f t="shared" si="14"/>
        <v>34</v>
      </c>
      <c r="AI24" s="58">
        <v>1.0679000000000001</v>
      </c>
      <c r="AJ24" s="65">
        <f t="shared" si="15"/>
        <v>900.0000000001229</v>
      </c>
      <c r="AK24" s="58">
        <v>353.51</v>
      </c>
      <c r="AL24" s="65">
        <f t="shared" si="16"/>
        <v>209.99999999997954</v>
      </c>
      <c r="AM24" s="58">
        <v>323.51</v>
      </c>
      <c r="AN24" s="65">
        <f t="shared" si="17"/>
        <v>149.99999999997726</v>
      </c>
      <c r="AO24" s="58">
        <v>310.5</v>
      </c>
      <c r="AP24" s="65">
        <f t="shared" si="18"/>
        <v>339.99999999997499</v>
      </c>
      <c r="AQ24" s="58">
        <v>364.13</v>
      </c>
      <c r="AR24" s="65">
        <f t="shared" si="19"/>
        <v>209.99999999997954</v>
      </c>
      <c r="AS24" s="58">
        <v>487.83</v>
      </c>
      <c r="AT24" s="65">
        <f t="shared" si="20"/>
        <v>129.99999999999545</v>
      </c>
      <c r="AU24" s="58">
        <v>391.04</v>
      </c>
      <c r="AV24" s="65">
        <f t="shared" si="21"/>
        <v>80.000000000040927</v>
      </c>
      <c r="AW24" s="58">
        <v>420.85</v>
      </c>
      <c r="AX24" s="65">
        <f t="shared" si="22"/>
        <v>180.00000000000682</v>
      </c>
      <c r="AY24" s="58">
        <v>455.07</v>
      </c>
      <c r="AZ24" s="65">
        <f t="shared" si="23"/>
        <v>129.99999999999545</v>
      </c>
      <c r="BA24" s="58">
        <v>471.3</v>
      </c>
      <c r="BB24" s="65">
        <f t="shared" si="24"/>
        <v>150.00000000003411</v>
      </c>
      <c r="BC24" s="58">
        <v>303.86</v>
      </c>
      <c r="BD24" s="65">
        <f t="shared" si="25"/>
        <v>90.000000000031832</v>
      </c>
      <c r="BE24" s="59">
        <v>63531</v>
      </c>
      <c r="BF24" s="67">
        <f t="shared" si="26"/>
        <v>46</v>
      </c>
      <c r="BG24" s="60">
        <v>260.29000000000002</v>
      </c>
      <c r="BH24" s="65">
        <f t="shared" si="27"/>
        <v>50.000000000011369</v>
      </c>
      <c r="BI24" s="60">
        <v>314.07</v>
      </c>
      <c r="BJ24" s="65">
        <f t="shared" si="28"/>
        <v>40.000000000020464</v>
      </c>
      <c r="BK24" s="60">
        <v>267.39</v>
      </c>
      <c r="BL24" s="65">
        <f t="shared" si="29"/>
        <v>69.999999999993179</v>
      </c>
      <c r="BM24" s="60">
        <v>250.26</v>
      </c>
      <c r="BN24" s="65">
        <f t="shared" si="30"/>
        <v>49.999999999982947</v>
      </c>
      <c r="BO24" s="60">
        <v>318.61</v>
      </c>
      <c r="BP24" s="65">
        <f t="shared" si="31"/>
        <v>60.000000000002274</v>
      </c>
      <c r="BQ24" s="60">
        <v>68472</v>
      </c>
      <c r="BR24" s="65">
        <f t="shared" si="32"/>
        <v>48</v>
      </c>
      <c r="BS24" s="60">
        <v>229</v>
      </c>
      <c r="BT24" s="65">
        <f t="shared" si="33"/>
        <v>60.000000000002274</v>
      </c>
      <c r="BU24" s="60">
        <v>65655</v>
      </c>
      <c r="BV24" s="65">
        <f t="shared" si="34"/>
        <v>47</v>
      </c>
      <c r="BW24" s="60">
        <v>256.88</v>
      </c>
      <c r="BX24" s="65">
        <f t="shared" si="35"/>
        <v>50.000000000011369</v>
      </c>
      <c r="BY24" s="60">
        <v>88273</v>
      </c>
      <c r="BZ24" s="67">
        <f t="shared" si="36"/>
        <v>56</v>
      </c>
      <c r="CA24" s="60">
        <v>66255.100000000006</v>
      </c>
      <c r="CB24" s="67">
        <f t="shared" si="37"/>
        <v>57.5</v>
      </c>
      <c r="CC24" s="60">
        <v>19487.5</v>
      </c>
      <c r="CD24" s="67">
        <f t="shared" si="38"/>
        <v>14.5</v>
      </c>
      <c r="CE24" s="60">
        <v>9227</v>
      </c>
      <c r="CF24" s="67">
        <f t="shared" si="39"/>
        <v>2</v>
      </c>
      <c r="CG24" s="60">
        <v>88830.9</v>
      </c>
      <c r="CH24" s="67">
        <f t="shared" si="40"/>
        <v>30.399999999994179</v>
      </c>
      <c r="CI24" s="60">
        <v>1139968</v>
      </c>
      <c r="CJ24" s="67">
        <f t="shared" si="41"/>
        <v>344</v>
      </c>
      <c r="CK24" s="60">
        <v>1274.5</v>
      </c>
      <c r="CL24" s="64">
        <f t="shared" si="42"/>
        <v>1000</v>
      </c>
      <c r="CM24" s="65">
        <f t="shared" si="43"/>
        <v>97</v>
      </c>
      <c r="CN24" s="62">
        <v>41</v>
      </c>
      <c r="CO24" s="62">
        <v>76</v>
      </c>
      <c r="CP24" s="68">
        <v>57672</v>
      </c>
      <c r="CQ24" s="67">
        <f t="shared" si="44"/>
        <v>84</v>
      </c>
      <c r="CR24" s="68">
        <v>29043</v>
      </c>
      <c r="CS24" s="67">
        <f t="shared" si="45"/>
        <v>13</v>
      </c>
      <c r="CT24" s="75">
        <v>13873</v>
      </c>
      <c r="CU24" s="67">
        <f t="shared" si="46"/>
        <v>10</v>
      </c>
      <c r="CV24" s="68">
        <v>33069</v>
      </c>
      <c r="CW24" s="67">
        <f t="shared" si="47"/>
        <v>15</v>
      </c>
      <c r="CX24" s="58">
        <v>6464.3</v>
      </c>
      <c r="CY24" s="67">
        <f t="shared" si="48"/>
        <v>13.100000000000364</v>
      </c>
    </row>
    <row r="25" spans="1:103" ht="25.5" customHeight="1" thickBot="1" x14ac:dyDescent="0.45">
      <c r="A25" s="63">
        <v>45007</v>
      </c>
      <c r="B25" s="44"/>
      <c r="C25" s="58">
        <v>3.9889999999999999</v>
      </c>
      <c r="D25" s="64">
        <f t="shared" si="0"/>
        <v>3099.9999999998809</v>
      </c>
      <c r="E25" s="58">
        <v>5.2994000000000003</v>
      </c>
      <c r="F25" s="64">
        <f t="shared" si="1"/>
        <v>3500.0000000007249</v>
      </c>
      <c r="G25" s="58">
        <v>5.3479000000000001</v>
      </c>
      <c r="H25" s="64">
        <f t="shared" si="2"/>
        <v>3899.9999999997926</v>
      </c>
      <c r="I25" s="58">
        <v>2.6339999999999999</v>
      </c>
      <c r="J25" s="64">
        <f t="shared" si="3"/>
        <v>2199.9999999997576</v>
      </c>
      <c r="K25" s="58">
        <v>4.0243000000000002</v>
      </c>
      <c r="L25" s="64">
        <f t="shared" si="4"/>
        <v>2400.0000000006239</v>
      </c>
      <c r="M25" s="58">
        <v>2.4457</v>
      </c>
      <c r="N25" s="64">
        <f t="shared" si="5"/>
        <v>1799.9999999998017</v>
      </c>
      <c r="O25" s="58">
        <v>30522</v>
      </c>
      <c r="P25" s="67">
        <f t="shared" si="6"/>
        <v>64</v>
      </c>
      <c r="Q25" s="58">
        <v>3852</v>
      </c>
      <c r="R25" s="67">
        <f t="shared" si="7"/>
        <v>8</v>
      </c>
      <c r="S25" s="58">
        <v>1739.6</v>
      </c>
      <c r="T25" s="67">
        <f t="shared" si="49"/>
        <v>1500</v>
      </c>
      <c r="U25" s="58">
        <v>685725.7</v>
      </c>
      <c r="V25" s="67">
        <f t="shared" si="8"/>
        <v>587.39999999990687</v>
      </c>
      <c r="W25" s="58">
        <v>614.03</v>
      </c>
      <c r="X25" s="65">
        <f t="shared" si="9"/>
        <v>419.99999999995907</v>
      </c>
      <c r="Y25" s="58">
        <v>4.6768000000000001</v>
      </c>
      <c r="Z25" s="65">
        <f t="shared" si="10"/>
        <v>3300.0000000003029</v>
      </c>
      <c r="AA25" s="58">
        <v>620</v>
      </c>
      <c r="AB25" s="65">
        <f t="shared" si="11"/>
        <v>470.00000000002728</v>
      </c>
      <c r="AC25" s="58">
        <v>628.83000000000004</v>
      </c>
      <c r="AD25" s="65">
        <f t="shared" si="12"/>
        <v>520.0000000000955</v>
      </c>
      <c r="AE25" s="58">
        <v>1007.1</v>
      </c>
      <c r="AF25" s="65">
        <f t="shared" si="13"/>
        <v>1000</v>
      </c>
      <c r="AG25" s="58">
        <v>29049</v>
      </c>
      <c r="AH25" s="67">
        <f t="shared" si="14"/>
        <v>45</v>
      </c>
      <c r="AI25" s="58">
        <v>1.0688</v>
      </c>
      <c r="AJ25" s="65">
        <f t="shared" si="15"/>
        <v>899.99999999990087</v>
      </c>
      <c r="AK25" s="58">
        <v>353.73</v>
      </c>
      <c r="AL25" s="65">
        <f t="shared" si="16"/>
        <v>220.00000000002728</v>
      </c>
      <c r="AM25" s="58">
        <v>323.69</v>
      </c>
      <c r="AN25" s="65">
        <f t="shared" si="17"/>
        <v>180.00000000000682</v>
      </c>
      <c r="AO25" s="58">
        <v>310.89</v>
      </c>
      <c r="AP25" s="65">
        <f t="shared" si="18"/>
        <v>389.99999999998636</v>
      </c>
      <c r="AQ25" s="58">
        <v>364.37</v>
      </c>
      <c r="AR25" s="65">
        <f t="shared" si="19"/>
        <v>240.00000000000909</v>
      </c>
      <c r="AS25" s="58">
        <v>487.98</v>
      </c>
      <c r="AT25" s="65">
        <f t="shared" si="20"/>
        <v>150.00000000003411</v>
      </c>
      <c r="AU25" s="58">
        <v>391.3</v>
      </c>
      <c r="AV25" s="65">
        <f t="shared" si="21"/>
        <v>259.99999999999091</v>
      </c>
      <c r="AW25" s="58">
        <v>421.1</v>
      </c>
      <c r="AX25" s="65">
        <f t="shared" si="22"/>
        <v>250</v>
      </c>
      <c r="AY25" s="58">
        <v>455.2</v>
      </c>
      <c r="AZ25" s="65">
        <f t="shared" si="23"/>
        <v>129.99999999999545</v>
      </c>
      <c r="BA25" s="58">
        <v>471.5</v>
      </c>
      <c r="BB25" s="65">
        <f t="shared" si="24"/>
        <v>199.99999999998863</v>
      </c>
      <c r="BC25" s="58">
        <v>304.02</v>
      </c>
      <c r="BD25" s="65">
        <f t="shared" si="25"/>
        <v>159.99999999996817</v>
      </c>
      <c r="BE25" s="59">
        <v>63578</v>
      </c>
      <c r="BF25" s="67">
        <f t="shared" si="26"/>
        <v>47</v>
      </c>
      <c r="BG25" s="60">
        <v>260.35000000000002</v>
      </c>
      <c r="BH25" s="65">
        <f t="shared" si="27"/>
        <v>60.000000000002274</v>
      </c>
      <c r="BI25" s="60">
        <v>314.11</v>
      </c>
      <c r="BJ25" s="65">
        <f t="shared" si="28"/>
        <v>40.000000000020464</v>
      </c>
      <c r="BK25" s="60">
        <v>267.47000000000003</v>
      </c>
      <c r="BL25" s="65">
        <f t="shared" si="29"/>
        <v>80.000000000040927</v>
      </c>
      <c r="BM25" s="60">
        <v>250.32</v>
      </c>
      <c r="BN25" s="65">
        <f t="shared" si="30"/>
        <v>60.000000000002274</v>
      </c>
      <c r="BO25" s="60">
        <v>318.68</v>
      </c>
      <c r="BP25" s="65">
        <f t="shared" si="31"/>
        <v>69.999999999993179</v>
      </c>
      <c r="BQ25" s="60">
        <v>68520</v>
      </c>
      <c r="BR25" s="65">
        <f t="shared" si="32"/>
        <v>48</v>
      </c>
      <c r="BS25" s="60">
        <v>229.07</v>
      </c>
      <c r="BT25" s="65">
        <f t="shared" si="33"/>
        <v>69.999999999993179</v>
      </c>
      <c r="BU25" s="60">
        <v>65699</v>
      </c>
      <c r="BV25" s="65">
        <f t="shared" si="34"/>
        <v>44</v>
      </c>
      <c r="BW25" s="60">
        <v>256.94</v>
      </c>
      <c r="BX25" s="65">
        <f t="shared" si="35"/>
        <v>60.000000000002274</v>
      </c>
      <c r="BY25" s="60">
        <v>88328</v>
      </c>
      <c r="BZ25" s="67">
        <f t="shared" si="36"/>
        <v>55</v>
      </c>
      <c r="CA25" s="60">
        <v>66308.800000000003</v>
      </c>
      <c r="CB25" s="67">
        <f t="shared" si="37"/>
        <v>53.69999999999709</v>
      </c>
      <c r="CC25" s="60">
        <v>19506</v>
      </c>
      <c r="CD25" s="67">
        <f t="shared" si="38"/>
        <v>18.5</v>
      </c>
      <c r="CE25" s="60">
        <v>9229</v>
      </c>
      <c r="CF25" s="67">
        <f t="shared" si="39"/>
        <v>2</v>
      </c>
      <c r="CG25" s="60">
        <v>88863.7</v>
      </c>
      <c r="CH25" s="67">
        <f t="shared" si="40"/>
        <v>32.80000000000291</v>
      </c>
      <c r="CI25" s="60">
        <v>1140528</v>
      </c>
      <c r="CJ25" s="67">
        <f t="shared" si="41"/>
        <v>560</v>
      </c>
      <c r="CK25" s="60">
        <v>1275.5999999999999</v>
      </c>
      <c r="CL25" s="64">
        <f t="shared" si="42"/>
        <v>1099.9999999999091</v>
      </c>
      <c r="CM25" s="65">
        <f t="shared" si="43"/>
        <v>104</v>
      </c>
      <c r="CN25" s="62">
        <v>41</v>
      </c>
      <c r="CO25" s="62">
        <v>76</v>
      </c>
      <c r="CP25" s="68">
        <v>57760</v>
      </c>
      <c r="CQ25" s="67">
        <f t="shared" si="44"/>
        <v>88</v>
      </c>
      <c r="CR25" s="68">
        <v>29059</v>
      </c>
      <c r="CS25" s="67">
        <f t="shared" si="45"/>
        <v>16</v>
      </c>
      <c r="CT25" s="75">
        <v>13883</v>
      </c>
      <c r="CU25" s="67">
        <f t="shared" si="46"/>
        <v>10</v>
      </c>
      <c r="CV25" s="68">
        <v>33084</v>
      </c>
      <c r="CW25" s="67">
        <f t="shared" si="47"/>
        <v>15</v>
      </c>
      <c r="CX25" s="58">
        <v>6477.8</v>
      </c>
      <c r="CY25" s="67">
        <f t="shared" si="48"/>
        <v>13.5</v>
      </c>
    </row>
    <row r="26" spans="1:103" ht="25.5" customHeight="1" thickBot="1" x14ac:dyDescent="0.45">
      <c r="A26" s="63">
        <v>45008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"/>
        <v>0</v>
      </c>
      <c r="M26" s="58"/>
      <c r="N26" s="64" t="str">
        <f t="shared" si="5"/>
        <v/>
      </c>
      <c r="O26" s="58"/>
      <c r="P26" s="67" t="str">
        <f t="shared" si="6"/>
        <v/>
      </c>
      <c r="Q26" s="58"/>
      <c r="R26" s="67" t="str">
        <f t="shared" si="7"/>
        <v/>
      </c>
      <c r="S26" s="58"/>
      <c r="T26" s="67" t="e">
        <f t="shared" si="49"/>
        <v>#VALUE!</v>
      </c>
      <c r="U26" s="58"/>
      <c r="V26" s="67" t="str">
        <f t="shared" si="8"/>
        <v/>
      </c>
      <c r="W26" s="58"/>
      <c r="X26" s="65" t="str">
        <f t="shared" si="9"/>
        <v/>
      </c>
      <c r="Y26" s="58"/>
      <c r="Z26" s="65" t="str">
        <f t="shared" si="10"/>
        <v/>
      </c>
      <c r="AA26" s="58"/>
      <c r="AB26" s="65" t="str">
        <f t="shared" si="11"/>
        <v/>
      </c>
      <c r="AC26" s="58"/>
      <c r="AD26" s="65" t="str">
        <f t="shared" si="12"/>
        <v/>
      </c>
      <c r="AE26" s="58"/>
      <c r="AF26" s="65" t="str">
        <f t="shared" si="13"/>
        <v/>
      </c>
      <c r="AG26" s="58"/>
      <c r="AH26" s="67" t="str">
        <f t="shared" si="14"/>
        <v/>
      </c>
      <c r="AI26" s="58"/>
      <c r="AJ26" s="65" t="str">
        <f t="shared" si="15"/>
        <v/>
      </c>
      <c r="AK26" s="58"/>
      <c r="AL26" s="65" t="str">
        <f t="shared" si="16"/>
        <v/>
      </c>
      <c r="AM26" s="58"/>
      <c r="AN26" s="65" t="str">
        <f t="shared" si="17"/>
        <v/>
      </c>
      <c r="AO26" s="58"/>
      <c r="AP26" s="65" t="str">
        <f t="shared" si="18"/>
        <v/>
      </c>
      <c r="AQ26" s="58"/>
      <c r="AR26" s="65" t="str">
        <f t="shared" si="19"/>
        <v/>
      </c>
      <c r="AS26" s="58"/>
      <c r="AT26" s="65" t="str">
        <f t="shared" si="20"/>
        <v/>
      </c>
      <c r="AU26" s="58"/>
      <c r="AV26" s="65" t="str">
        <f t="shared" si="21"/>
        <v/>
      </c>
      <c r="AW26" s="58"/>
      <c r="AX26" s="65" t="str">
        <f t="shared" si="22"/>
        <v/>
      </c>
      <c r="AY26" s="58"/>
      <c r="AZ26" s="65" t="str">
        <f t="shared" si="23"/>
        <v/>
      </c>
      <c r="BA26" s="58"/>
      <c r="BB26" s="65" t="str">
        <f t="shared" si="24"/>
        <v/>
      </c>
      <c r="BC26" s="58"/>
      <c r="BD26" s="65" t="str">
        <f t="shared" si="25"/>
        <v/>
      </c>
      <c r="BE26" s="59"/>
      <c r="BF26" s="67" t="str">
        <f t="shared" si="26"/>
        <v/>
      </c>
      <c r="BG26" s="60"/>
      <c r="BH26" s="65" t="str">
        <f t="shared" si="27"/>
        <v/>
      </c>
      <c r="BI26" s="60"/>
      <c r="BJ26" s="65" t="str">
        <f t="shared" si="28"/>
        <v/>
      </c>
      <c r="BK26" s="60"/>
      <c r="BL26" s="65" t="str">
        <f t="shared" si="29"/>
        <v/>
      </c>
      <c r="BM26" s="60"/>
      <c r="BN26" s="65" t="str">
        <f t="shared" si="30"/>
        <v/>
      </c>
      <c r="BO26" s="60"/>
      <c r="BP26" s="65" t="str">
        <f t="shared" si="31"/>
        <v/>
      </c>
      <c r="BQ26" s="60"/>
      <c r="BR26" s="65" t="str">
        <f t="shared" si="32"/>
        <v/>
      </c>
      <c r="BS26" s="60"/>
      <c r="BT26" s="65" t="str">
        <f t="shared" si="33"/>
        <v/>
      </c>
      <c r="BU26" s="60"/>
      <c r="BV26" s="65" t="str">
        <f t="shared" si="34"/>
        <v/>
      </c>
      <c r="BW26" s="60"/>
      <c r="BX26" s="65" t="str">
        <f t="shared" si="35"/>
        <v/>
      </c>
      <c r="BY26" s="60"/>
      <c r="BZ26" s="67" t="str">
        <f t="shared" si="36"/>
        <v/>
      </c>
      <c r="CA26" s="60"/>
      <c r="CB26" s="67" t="str">
        <f t="shared" si="37"/>
        <v/>
      </c>
      <c r="CC26" s="60"/>
      <c r="CD26" s="67" t="str">
        <f t="shared" si="38"/>
        <v/>
      </c>
      <c r="CE26" s="60"/>
      <c r="CF26" s="67" t="str">
        <f t="shared" si="39"/>
        <v/>
      </c>
      <c r="CG26" s="60"/>
      <c r="CH26" s="67" t="str">
        <f t="shared" si="40"/>
        <v/>
      </c>
      <c r="CI26" s="60"/>
      <c r="CJ26" s="67" t="str">
        <f t="shared" si="41"/>
        <v/>
      </c>
      <c r="CK26" s="60"/>
      <c r="CL26" s="64" t="str">
        <f t="shared" si="42"/>
        <v/>
      </c>
      <c r="CM26" s="65" t="e">
        <f t="shared" si="43"/>
        <v>#VALUE!</v>
      </c>
      <c r="CN26" s="62"/>
      <c r="CO26" s="62"/>
      <c r="CP26" s="68"/>
      <c r="CQ26" s="67" t="str">
        <f t="shared" si="44"/>
        <v/>
      </c>
      <c r="CR26" s="68"/>
      <c r="CS26" s="67" t="str">
        <f t="shared" si="45"/>
        <v/>
      </c>
      <c r="CT26" s="75"/>
      <c r="CU26" s="67" t="str">
        <f t="shared" si="46"/>
        <v/>
      </c>
      <c r="CV26" s="68"/>
      <c r="CW26" s="67" t="str">
        <f t="shared" si="47"/>
        <v/>
      </c>
      <c r="CX26" s="58"/>
      <c r="CY26" s="67" t="str">
        <f t="shared" si="48"/>
        <v/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S29" sqref="S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>
        <v>37</v>
      </c>
      <c r="D20" s="40">
        <v>70</v>
      </c>
      <c r="E20" s="41">
        <v>85</v>
      </c>
      <c r="F20" s="41">
        <v>6834</v>
      </c>
      <c r="G20" s="41">
        <v>0</v>
      </c>
      <c r="H20" s="41">
        <v>1463</v>
      </c>
      <c r="I20" s="41">
        <v>0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32</v>
      </c>
      <c r="Q20" s="39">
        <v>5925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44999</v>
      </c>
      <c r="B21" s="40"/>
      <c r="C21" s="40">
        <v>34</v>
      </c>
      <c r="D21" s="40">
        <v>66</v>
      </c>
      <c r="E21" s="41">
        <v>75</v>
      </c>
      <c r="F21" s="41">
        <v>6834</v>
      </c>
      <c r="G21" s="41">
        <v>0</v>
      </c>
      <c r="H21" s="41">
        <v>1466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30</v>
      </c>
      <c r="Q21" s="39">
        <v>5928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45000</v>
      </c>
      <c r="B22" s="40"/>
      <c r="C22" s="40">
        <v>34</v>
      </c>
      <c r="D22" s="40">
        <v>66</v>
      </c>
      <c r="E22" s="41">
        <v>60</v>
      </c>
      <c r="F22" s="41">
        <v>6834</v>
      </c>
      <c r="G22" s="41">
        <v>0</v>
      </c>
      <c r="H22" s="41">
        <v>1469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28</v>
      </c>
      <c r="Q22" s="39">
        <v>5930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45001</v>
      </c>
      <c r="B23" s="40"/>
      <c r="C23" s="40">
        <v>27</v>
      </c>
      <c r="D23" s="40">
        <v>54</v>
      </c>
      <c r="E23" s="41">
        <v>45</v>
      </c>
      <c r="F23" s="41">
        <v>6834</v>
      </c>
      <c r="G23" s="41">
        <v>0</v>
      </c>
      <c r="H23" s="41">
        <v>1472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5933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45002</v>
      </c>
      <c r="B24" s="40"/>
      <c r="C24" s="40">
        <v>28</v>
      </c>
      <c r="D24" s="40">
        <v>56</v>
      </c>
      <c r="E24" s="41">
        <v>35</v>
      </c>
      <c r="F24" s="41">
        <v>6834</v>
      </c>
      <c r="G24" s="41">
        <v>0</v>
      </c>
      <c r="H24" s="41">
        <v>1475</v>
      </c>
      <c r="I24" s="41">
        <v>0</v>
      </c>
      <c r="J24" s="41">
        <v>2212</v>
      </c>
      <c r="K24" s="42">
        <v>85</v>
      </c>
      <c r="L24" s="42">
        <v>51</v>
      </c>
      <c r="M24" s="42">
        <v>1914</v>
      </c>
      <c r="N24" s="39">
        <v>85</v>
      </c>
      <c r="O24" s="39">
        <v>85</v>
      </c>
      <c r="P24" s="39">
        <v>20</v>
      </c>
      <c r="Q24" s="39">
        <v>5935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45003</v>
      </c>
      <c r="B25" s="40"/>
      <c r="C25" s="40">
        <v>31</v>
      </c>
      <c r="D25" s="40">
        <v>61</v>
      </c>
      <c r="E25" s="41">
        <v>20</v>
      </c>
      <c r="F25" s="41">
        <v>6834</v>
      </c>
      <c r="G25" s="41">
        <v>0</v>
      </c>
      <c r="H25" s="41">
        <v>1478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85</v>
      </c>
      <c r="P25" s="39">
        <v>20</v>
      </c>
      <c r="Q25" s="39">
        <v>5937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45004</v>
      </c>
      <c r="B26" s="40"/>
      <c r="C26" s="40">
        <v>43</v>
      </c>
      <c r="D26" s="40">
        <v>75</v>
      </c>
      <c r="E26" s="41">
        <v>10</v>
      </c>
      <c r="F26" s="41">
        <v>6834</v>
      </c>
      <c r="G26" s="41">
        <v>80</v>
      </c>
      <c r="H26" s="41">
        <v>1481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85</v>
      </c>
      <c r="P26" s="39">
        <v>20</v>
      </c>
      <c r="Q26" s="39">
        <v>5939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45005</v>
      </c>
      <c r="B27" s="40"/>
      <c r="C27" s="40">
        <v>43</v>
      </c>
      <c r="D27" s="40">
        <v>75</v>
      </c>
      <c r="E27" s="41">
        <v>5</v>
      </c>
      <c r="F27" s="41">
        <v>6834</v>
      </c>
      <c r="G27" s="41">
        <v>85</v>
      </c>
      <c r="H27" s="41">
        <v>1483</v>
      </c>
      <c r="I27" s="41">
        <v>0</v>
      </c>
      <c r="J27" s="41">
        <v>2212</v>
      </c>
      <c r="K27" s="42">
        <v>85</v>
      </c>
      <c r="L27" s="42">
        <v>50</v>
      </c>
      <c r="M27" s="42">
        <v>1914</v>
      </c>
      <c r="N27" s="39">
        <v>85</v>
      </c>
      <c r="O27" s="39">
        <v>85</v>
      </c>
      <c r="P27" s="39">
        <v>15</v>
      </c>
      <c r="Q27" s="39">
        <v>5942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45006</v>
      </c>
      <c r="B28" s="40"/>
      <c r="C28" s="40">
        <v>41</v>
      </c>
      <c r="D28" s="40">
        <v>76</v>
      </c>
      <c r="E28" s="41">
        <v>5</v>
      </c>
      <c r="F28" s="41">
        <v>6834</v>
      </c>
      <c r="G28" s="41">
        <v>75</v>
      </c>
      <c r="H28" s="41">
        <v>1486</v>
      </c>
      <c r="I28" s="41">
        <v>0</v>
      </c>
      <c r="J28" s="41">
        <v>2212</v>
      </c>
      <c r="K28" s="42">
        <v>85</v>
      </c>
      <c r="L28" s="42">
        <v>50</v>
      </c>
      <c r="M28" s="42">
        <v>1914</v>
      </c>
      <c r="N28" s="39">
        <v>85</v>
      </c>
      <c r="O28" s="39">
        <v>85</v>
      </c>
      <c r="P28" s="39">
        <v>12</v>
      </c>
      <c r="Q28" s="39">
        <v>5945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45007</v>
      </c>
      <c r="B29" s="40"/>
      <c r="C29" s="40">
        <v>41</v>
      </c>
      <c r="D29" s="40">
        <v>76</v>
      </c>
      <c r="E29" s="41">
        <v>5</v>
      </c>
      <c r="F29" s="41">
        <v>6834</v>
      </c>
      <c r="G29" s="41">
        <v>60</v>
      </c>
      <c r="H29" s="41">
        <v>1490</v>
      </c>
      <c r="I29" s="41">
        <v>0</v>
      </c>
      <c r="J29" s="41">
        <v>2212</v>
      </c>
      <c r="K29" s="42">
        <v>85</v>
      </c>
      <c r="L29" s="42">
        <v>45</v>
      </c>
      <c r="M29" s="42">
        <v>1914</v>
      </c>
      <c r="N29" s="39">
        <v>85</v>
      </c>
      <c r="O29" s="39">
        <v>85</v>
      </c>
      <c r="P29" s="39">
        <v>10</v>
      </c>
      <c r="Q29" s="39">
        <v>5947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-233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2023-03-23T18:21:53Z</dcterms:modified>
</cp:coreProperties>
</file>