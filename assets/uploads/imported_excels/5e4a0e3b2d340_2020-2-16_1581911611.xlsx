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230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AF20" i="7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<sst xmlns="http://schemas.openxmlformats.org/spreadsheetml/2006/main" count="296" uniqueCount="138">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</sst>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Submetering!E6+Submetering!F6+Submetering!G6+Submetering!H6-Submetering!AV6</f>
        <v>10610.000000000291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Submetering!E7+Submetering!F7+Submetering!G7+Submetering!H7-Submetering!AV7</f>
        <v>9749.9999999995543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Submetering!E8+Submetering!F8+Submetering!G8+Submetering!H8-Submetering!AV8</f>
        <v>9470.0000000000127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Submetering!E9+Submetering!F9+Submetering!G9+Submetering!H9-Submetering!AV9</f>
        <v>10000.000000000176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2020</v>
      </c>
      <c r="E10" s="12">
        <f>Submetering!E10+Submetering!F10+Submetering!G10+Submetering!H10-Submetering!AV10</f>
        <v>10030.000000000338</v>
      </c>
      <c r="F10" s="11">
        <f t="shared" si="1"/>
        <v>0.58765030286592534</v>
      </c>
      <c r="G10" s="12">
        <f>(Submetering!AX10+Submetering!AY10+Submetering!AZ10+Submetering!BA10+Submetering!BB10)</f>
        <v>25.640999999999998</v>
      </c>
      <c r="H10" s="11">
        <f t="shared" si="2"/>
        <v>0.99</v>
      </c>
      <c r="I10" s="12">
        <f>'FS Desroches Daily'!CM12</f>
        <v>75.5</v>
      </c>
      <c r="J10" s="11">
        <f t="shared" si="3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Submetering!E11+Submetering!F11+Submetering!G11+Submetering!H11-Submetering!AV11</f>
        <v>10779.999999999472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78.599999999999994</v>
      </c>
      <c r="J11" s="11">
        <f t="shared" si="3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Submetering!E12+Submetering!F12+Submetering!G12+Submetering!H12-Submetering!AV12</f>
        <v>11189.999999999985</v>
      </c>
      <c r="F12" s="11">
        <f t="shared" si="1"/>
        <v>0.58765030286592534</v>
      </c>
      <c r="G12" s="12">
        <f>(Submetering!AX12+Submetering!AY12+Submetering!AZ12+Submetering!BA12+Submetering!BB12)</f>
        <v>21.977999999999998</v>
      </c>
      <c r="H12" s="11">
        <f t="shared" si="2"/>
        <v>0.99</v>
      </c>
      <c r="I12" s="12">
        <f>'FS Desroches Daily'!CM14</f>
        <v>85.9</v>
      </c>
      <c r="J12" s="11">
        <f t="shared" si="3"/>
        <v>10.487297712684205</v>
      </c>
      <c r="K12" s="13">
        <f>'FS Desroches Daily'!CN14</f>
        <v>57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Submetering!E13+Submetering!F13+Submetering!G13+Submetering!H13-Submetering!AV13</f>
        <v>11599.999999999778</v>
      </c>
      <c r="F13" s="11">
        <f t="shared" si="1"/>
        <v>0.58765030286592534</v>
      </c>
      <c r="G13" s="12">
        <f>(Submetering!AX13+Submetering!AY13+Submetering!AZ13+Submetering!BA13+Submetering!BB13)</f>
        <v>29.303999999999998</v>
      </c>
      <c r="H13" s="11">
        <f t="shared" si="2"/>
        <v>0.99</v>
      </c>
      <c r="I13" s="12">
        <f>'FS Desroches Daily'!CM15</f>
        <v>105</v>
      </c>
      <c r="J13" s="11">
        <f t="shared" si="3"/>
        <v>10.487297712684205</v>
      </c>
      <c r="K13" s="13">
        <f>'FS Desroches Daily'!CN15</f>
        <v>82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2020</v>
      </c>
      <c r="E14" s="12">
        <f>Submetering!E14+Submetering!F14+Submetering!G14+Submetering!H14-Submetering!AV14</f>
        <v>11849.999999999944</v>
      </c>
      <c r="F14" s="11">
        <f t="shared" si="1"/>
        <v>0.58765030286592534</v>
      </c>
      <c r="G14" s="12">
        <f>(Submetering!AX14+Submetering!AY14+Submetering!AZ14+Submetering!BA14+Submetering!BB14)</f>
        <v>27.472499999999997</v>
      </c>
      <c r="H14" s="11">
        <f t="shared" si="2"/>
        <v>0.99</v>
      </c>
      <c r="I14" s="12">
        <f>'FS Desroches Daily'!CM16</f>
        <v>110.8</v>
      </c>
      <c r="J14" s="11">
        <f t="shared" si="3"/>
        <v>10.487297712684205</v>
      </c>
      <c r="K14" s="13">
        <f>'FS Desroches Daily'!CN16</f>
        <v>61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Submetering!E15+Submetering!F15+Submetering!G15+Submetering!H15-Submetering!AV15</f>
        <v>10990.000000000598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110</v>
      </c>
      <c r="J15" s="11">
        <f t="shared" si="3"/>
        <v>10.487297712684205</v>
      </c>
      <c r="K15" s="13">
        <f>'FS Desroches Daily'!CN17</f>
        <v>61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2020</v>
      </c>
      <c r="E16" s="12">
        <f>Submetering!E16+Submetering!F16+Submetering!G16+Submetering!H16-Submetering!AV16</f>
        <v>11310.000000000178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96</v>
      </c>
      <c r="J16" s="11">
        <f t="shared" si="3"/>
        <v>10.487297712684205</v>
      </c>
      <c r="K16" s="13">
        <f>'FS Desroches Daily'!CN18</f>
        <v>66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Submetering!E17+Submetering!F17+Submetering!G17+Submetering!H17-Submetering!AV17</f>
        <v>12849.999999999834</v>
      </c>
      <c r="F17" s="11">
        <f t="shared" si="1"/>
        <v>0.58765030286592534</v>
      </c>
      <c r="G17" s="12">
        <f>(Submetering!AX17+Submetering!AY17+Submetering!AZ17+Submetering!BA17+Submetering!BB17)</f>
        <v>38.461499999999994</v>
      </c>
      <c r="H17" s="11">
        <f t="shared" si="2"/>
        <v>0.99</v>
      </c>
      <c r="I17" s="12">
        <f>'FS Desroches Daily'!CM19</f>
        <v>100.7</v>
      </c>
      <c r="J17" s="11">
        <f t="shared" si="3"/>
        <v>10.487297712684205</v>
      </c>
      <c r="K17" s="13">
        <f>'FS Desroches Daily'!CN19</f>
        <v>62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2020</v>
      </c>
      <c r="E18" s="12" t="e">
        <f>Submetering!E18+Submetering!F18+Submetering!G18+Submetering!H18-Submetering!AV18</f>
        <v>#VALUE!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2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2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B1" workbookViewId="0">
      <selection activeCell="AV7" sqref="AV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409.99999999996817</v>
      </c>
      <c r="P7" s="35">
        <f>'FS Desroches Daily'!Z9</f>
        <v>3400.0000000000696</v>
      </c>
      <c r="Q7" s="35">
        <f>'FS Desroches Daily'!AB9</f>
        <v>580.00000000004093</v>
      </c>
      <c r="R7" s="35">
        <f>'FS Desroches Daily'!AD9</f>
        <v>370.00000000000455</v>
      </c>
      <c r="S7" s="35">
        <f>'FS Desroches Daily'!AF9</f>
        <v>820.00000000005002</v>
      </c>
      <c r="T7" s="35">
        <f>'FS Desroches Daily'!AH9</f>
        <v>1.5</v>
      </c>
      <c r="U7" s="39">
        <f>'FS Desroches Daily'!AJ9</f>
        <v>480.00000000001819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179.99999999994998</v>
      </c>
      <c r="AA7" s="39">
        <f>'FS Desroches Daily'!AT9</f>
        <v>179.99999999994998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>
        <f>'FS Desroches Daily'!T11</f>
        <v>1249</v>
      </c>
      <c r="N9" s="35">
        <f>'FS Desroches Daily'!V11</f>
        <v>574</v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0.19999999999998863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2</v>
      </c>
      <c r="D10" s="31">
        <v>2020</v>
      </c>
      <c r="E10" s="35">
        <f>'FS Desroches Daily'!D12</f>
        <v>2299.9999999999686</v>
      </c>
      <c r="F10" s="36">
        <f>'FS Desroches Daily'!F12</f>
        <v>3700.0000000002588</v>
      </c>
      <c r="G10" s="35">
        <f>'FS Desroches Daily'!H12</f>
        <v>3000.0000000001137</v>
      </c>
      <c r="H10" s="36">
        <f>'FS Desroches Daily'!J12</f>
        <v>1600.0000000000459</v>
      </c>
      <c r="I10" s="35">
        <f>'FS Desroches Daily'!L12</f>
        <v>2000.0000000000018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1200</v>
      </c>
      <c r="N10" s="35">
        <f>'FS Desroches Daily'!V12</f>
        <v>412</v>
      </c>
      <c r="O10" s="35">
        <f>'FS Desroches Daily'!X12</f>
        <v>480.00000000001819</v>
      </c>
      <c r="P10" s="35">
        <f>'FS Desroches Daily'!Z12</f>
        <v>3299.9999999998586</v>
      </c>
      <c r="Q10" s="35">
        <f>'FS Desroches Daily'!AB12</f>
        <v>550.00000000001137</v>
      </c>
      <c r="R10" s="35">
        <f>'FS Desroches Daily'!AD12</f>
        <v>560.00000000000227</v>
      </c>
      <c r="S10" s="35">
        <f>'FS Desroches Daily'!AF12</f>
        <v>1049.9999999999545</v>
      </c>
      <c r="T10" s="35">
        <f>'FS Desroches Daily'!AH12</f>
        <v>1.7000000000000455</v>
      </c>
      <c r="U10" s="39">
        <f>'FS Desroches Daily'!AJ12</f>
        <v>430.00000000000682</v>
      </c>
      <c r="V10" s="39">
        <f>'FS Desroches Daily'!AL12</f>
        <v>0.28000000000000114</v>
      </c>
      <c r="W10" s="39">
        <f>'FS Desroches Daily'!AN12</f>
        <v>0.24000000000000909</v>
      </c>
      <c r="X10" s="39">
        <f>'FS Desroches Daily'!AP12</f>
        <v>0.20999999999999375</v>
      </c>
      <c r="Y10" s="39">
        <f>'FS Desroches Daily'!AR12</f>
        <v>170.00000000001592</v>
      </c>
      <c r="Z10" s="39">
        <f>'FS Desroches Daily'!AT12</f>
        <v>220.00000000002728</v>
      </c>
      <c r="AA10" s="39">
        <f>'FS Desroches Daily'!AT12</f>
        <v>220.00000000002728</v>
      </c>
      <c r="AB10" s="39">
        <f>'FS Desroches Daily'!AV12</f>
        <v>199.99999999998863</v>
      </c>
      <c r="AC10" s="39">
        <f>'FS Desroches Daily'!AZ12</f>
        <v>189.99999999999773</v>
      </c>
      <c r="AD10" s="39">
        <f>'FS Desroches Daily'!BB12</f>
        <v>60.000000000002274</v>
      </c>
      <c r="AE10" s="39">
        <f>'FS Desroches Daily'!BD12</f>
        <v>0</v>
      </c>
      <c r="AF10" s="35">
        <f>'FS Desroches Daily'!BF12</f>
        <v>46</v>
      </c>
      <c r="AG10" s="36">
        <f>'FS Desroches Daily'!BH12</f>
        <v>50.000000000011369</v>
      </c>
      <c r="AH10" s="36">
        <f>'FS Desroches Daily'!BJ12</f>
        <v>49.999999999954525</v>
      </c>
      <c r="AI10" s="36">
        <f>'FS Desroches Daily'!BL12</f>
        <v>60.000000000002274</v>
      </c>
      <c r="AJ10" s="36">
        <f>'FS Desroches Daily'!BN12</f>
        <v>60.000000000002274</v>
      </c>
      <c r="AK10" s="36">
        <f>'FS Desroches Daily'!BP12</f>
        <v>49.999999999954525</v>
      </c>
      <c r="AL10" s="36">
        <f>'FS Desroches Daily'!BR12</f>
        <v>47</v>
      </c>
      <c r="AM10" s="36">
        <f>'FS Desroches Daily'!BT12</f>
        <v>50.000000000011369</v>
      </c>
      <c r="AN10" s="36">
        <f>'FS Desroches Daily'!BV12</f>
        <v>49</v>
      </c>
      <c r="AO10" s="36">
        <f>'FS Desroches Daily'!BX12</f>
        <v>59.999999999973852</v>
      </c>
      <c r="AP10" s="36">
        <f>'FS Desroches Daily'!BZ12</f>
        <v>76</v>
      </c>
      <c r="AQ10" s="35">
        <f>'FS Desroches Daily'!CB12</f>
        <v>33.600000000002183</v>
      </c>
      <c r="AR10" s="35">
        <f>'FS Desroches Daily'!CD12</f>
        <v>8.1000000000003638</v>
      </c>
      <c r="AS10" s="35">
        <f>'FS Desroches Daily'!CF12</f>
        <v>9.9000000000005457</v>
      </c>
      <c r="AT10" s="35">
        <f>'FS Desroches Daily'!CH12</f>
        <v>65.5</v>
      </c>
      <c r="AU10" s="35">
        <f>'FS Desroches Daily'!CJ12</f>
        <v>301</v>
      </c>
      <c r="AV10" s="35">
        <f>'FS Desroches Daily'!CL12</f>
        <v>570.00000000005002</v>
      </c>
      <c r="AW10" s="35">
        <f>'FS Desroches Daily'!CM12</f>
        <v>75.5</v>
      </c>
      <c r="AX10" s="35">
        <f>IF(LPG!F17-LPG!F16&lt;0,"0",(LPG!F17-LPG!F16)*1.8315)</f>
        <v>12.820499999999999</v>
      </c>
      <c r="AY10" s="35">
        <f>IF(LPG!H17-LPG!H16&lt;0,"0",(LPG!H17-LPG!H16)*1.8315)</f>
        <v>1.8314999999999999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42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2699.9999999999245</v>
      </c>
      <c r="F11" s="36">
        <f>'FS Desroches Daily'!F13</f>
        <v>3899.9999999997926</v>
      </c>
      <c r="G11" s="35">
        <f>'FS Desroches Daily'!H13</f>
        <v>2999.9999999996694</v>
      </c>
      <c r="H11" s="36">
        <f>'FS Desroches Daily'!J13</f>
        <v>1600.0000000000459</v>
      </c>
      <c r="I11" s="35">
        <f>'FS Desroches Daily'!L13</f>
        <v>2099.9999999999909</v>
      </c>
      <c r="J11" s="36">
        <f>'FS Desroches Daily'!N13</f>
        <v>2000.0000000000018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1124</v>
      </c>
      <c r="N11" s="35">
        <f>'FS Desroches Daily'!V13</f>
        <v>459</v>
      </c>
      <c r="O11" s="35">
        <f>'FS Desroches Daily'!X13</f>
        <v>449.99999999998863</v>
      </c>
      <c r="P11" s="35">
        <f>'FS Desroches Daily'!Z13</f>
        <v>3600.0000000000477</v>
      </c>
      <c r="Q11" s="35">
        <f>'FS Desroches Daily'!AB13</f>
        <v>620.00000000000455</v>
      </c>
      <c r="R11" s="35">
        <f>'FS Desroches Daily'!AD13</f>
        <v>439.99999999999773</v>
      </c>
      <c r="S11" s="35">
        <f>'FS Desroches Daily'!AF13</f>
        <v>1000</v>
      </c>
      <c r="T11" s="35">
        <f>'FS Desroches Daily'!AH13</f>
        <v>1.8999999999998636</v>
      </c>
      <c r="U11" s="39">
        <f>'FS Desroches Daily'!AJ13</f>
        <v>199.99999999998863</v>
      </c>
      <c r="V11" s="39">
        <f>'FS Desroches Daily'!AL13</f>
        <v>0.31999999999999318</v>
      </c>
      <c r="W11" s="39">
        <f>'FS Desroches Daily'!AN13</f>
        <v>0.31000000000000227</v>
      </c>
      <c r="X11" s="39">
        <f>'FS Desroches Daily'!AP13</f>
        <v>0.25999999999999091</v>
      </c>
      <c r="Y11" s="39">
        <f>'FS Desroches Daily'!AR13</f>
        <v>250</v>
      </c>
      <c r="Z11" s="39">
        <f>'FS Desroches Daily'!AT13</f>
        <v>349.99999999996589</v>
      </c>
      <c r="AA11" s="39">
        <f>'FS Desroches Daily'!AT13</f>
        <v>349.99999999996589</v>
      </c>
      <c r="AB11" s="39">
        <f>'FS Desroches Daily'!AV13</f>
        <v>280.00000000000114</v>
      </c>
      <c r="AC11" s="39">
        <f>'FS Desroches Daily'!AZ13</f>
        <v>310.00000000000227</v>
      </c>
      <c r="AD11" s="39">
        <f>'FS Desroches Daily'!BB13</f>
        <v>60.000000000002274</v>
      </c>
      <c r="AE11" s="39">
        <f>'FS Desroches Daily'!BD13</f>
        <v>9.9999999999909051</v>
      </c>
      <c r="AF11" s="35">
        <f>'FS Desroches Daily'!BF13</f>
        <v>73</v>
      </c>
      <c r="AG11" s="36">
        <f>'FS Desroches Daily'!BH13</f>
        <v>30.000000000001137</v>
      </c>
      <c r="AH11" s="36">
        <f>'FS Desroches Daily'!BJ13</f>
        <v>40.000000000020464</v>
      </c>
      <c r="AI11" s="36">
        <f>'FS Desroches Daily'!BL13</f>
        <v>30.000000000001137</v>
      </c>
      <c r="AJ11" s="36">
        <f>'FS Desroches Daily'!BN13</f>
        <v>30.000000000001137</v>
      </c>
      <c r="AK11" s="36">
        <f>'FS Desroches Daily'!BP13</f>
        <v>30.000000000029559</v>
      </c>
      <c r="AL11" s="36">
        <f>'FS Desroches Daily'!BR13</f>
        <v>35</v>
      </c>
      <c r="AM11" s="36">
        <f>'FS Desroches Daily'!BT13</f>
        <v>49.999999999982947</v>
      </c>
      <c r="AN11" s="36">
        <f>'FS Desroches Daily'!BV13</f>
        <v>36</v>
      </c>
      <c r="AO11" s="36">
        <f>'FS Desroches Daily'!BX13</f>
        <v>40.000000000020464</v>
      </c>
      <c r="AP11" s="36">
        <f>'FS Desroches Daily'!BZ13</f>
        <v>55</v>
      </c>
      <c r="AQ11" s="35">
        <f>'FS Desroches Daily'!CB13</f>
        <v>30.799999999999272</v>
      </c>
      <c r="AR11" s="35">
        <f>'FS Desroches Daily'!CD13</f>
        <v>7.7000000000007276</v>
      </c>
      <c r="AS11" s="35">
        <f>'FS Desroches Daily'!CF13</f>
        <v>11.899999999999636</v>
      </c>
      <c r="AT11" s="35">
        <f>'FS Desroches Daily'!CH13</f>
        <v>161.40000000000146</v>
      </c>
      <c r="AU11" s="35">
        <f>'FS Desroches Daily'!CJ13</f>
        <v>299</v>
      </c>
      <c r="AV11" s="35">
        <f>'FS Desroches Daily'!CL13</f>
        <v>419.99999999995907</v>
      </c>
      <c r="AW11" s="35">
        <f>'FS Desroches Daily'!CM13</f>
        <v>78.599999999999994</v>
      </c>
      <c r="AX11" s="35">
        <f>IF(LPG!F18-LPG!F17&lt;0,"0",(LPG!F18-LPG!F17)*1.8315)</f>
        <v>16.483499999999999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5.4944999999999995</v>
      </c>
      <c r="BB11" s="35">
        <f>IF(LPG!Q18-LPG!Q17&lt;0,"0",(LPG!Q18-LPG!Q17)*1.8315)</f>
        <v>5.4944999999999995</v>
      </c>
      <c r="BC11" s="13">
        <f>'FS Desroches Daily'!CN13</f>
        <v>51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3200.0000000000919</v>
      </c>
      <c r="F12" s="36">
        <f>'FS Desroches Daily'!F14</f>
        <v>3600.0000000000477</v>
      </c>
      <c r="G12" s="35">
        <f>'FS Desroches Daily'!H14</f>
        <v>3400.0000000000696</v>
      </c>
      <c r="H12" s="36">
        <f>'FS Desroches Daily'!J14</f>
        <v>1699.9999999998129</v>
      </c>
      <c r="I12" s="35">
        <f>'FS Desroches Daily'!L14</f>
        <v>2099.9999999999909</v>
      </c>
      <c r="J12" s="36">
        <f>'FS Desroches Daily'!N14</f>
        <v>2099.9999999999909</v>
      </c>
      <c r="K12" s="13">
        <f>'FS Desroches Daily'!P14</f>
        <v>20</v>
      </c>
      <c r="L12" s="35">
        <f>'FS Desroches Daily'!R14</f>
        <v>9</v>
      </c>
      <c r="M12" s="35">
        <f>'FS Desroches Daily'!T14</f>
        <v>1121</v>
      </c>
      <c r="N12" s="35">
        <f>'FS Desroches Daily'!V14</f>
        <v>468</v>
      </c>
      <c r="O12" s="35">
        <f>'FS Desroches Daily'!X14</f>
        <v>410.00000000002501</v>
      </c>
      <c r="P12" s="35">
        <f>'FS Desroches Daily'!Z14</f>
        <v>3099.9999999998809</v>
      </c>
      <c r="Q12" s="35">
        <f>'FS Desroches Daily'!AB14</f>
        <v>519.99999999998181</v>
      </c>
      <c r="R12" s="35">
        <f>'FS Desroches Daily'!AD14</f>
        <v>470.00000000002728</v>
      </c>
      <c r="S12" s="35">
        <f>'FS Desroches Daily'!AF14</f>
        <v>960.00000000003638</v>
      </c>
      <c r="T12" s="35">
        <f>'FS Desroches Daily'!AH14</f>
        <v>1.7999999999999545</v>
      </c>
      <c r="U12" s="39">
        <f>'FS Desroches Daily'!AJ14</f>
        <v>389.99999999998636</v>
      </c>
      <c r="V12" s="39">
        <f>'FS Desroches Daily'!AL14</f>
        <v>0.28000000000000114</v>
      </c>
      <c r="W12" s="39">
        <f>'FS Desroches Daily'!AN14</f>
        <v>0.26999999999998181</v>
      </c>
      <c r="X12" s="39">
        <f>'FS Desroches Daily'!AP14</f>
        <v>0.23000000000001819</v>
      </c>
      <c r="Y12" s="39">
        <f>'FS Desroches Daily'!AR14</f>
        <v>229.99999999998977</v>
      </c>
      <c r="Z12" s="39">
        <f>'FS Desroches Daily'!AT14</f>
        <v>270.00000000003865</v>
      </c>
      <c r="AA12" s="39">
        <f>'FS Desroches Daily'!AT14</f>
        <v>270.00000000003865</v>
      </c>
      <c r="AB12" s="39">
        <f>'FS Desroches Daily'!AV14</f>
        <v>320.0000000000216</v>
      </c>
      <c r="AC12" s="39">
        <f>'FS Desroches Daily'!AZ14</f>
        <v>240.00000000000909</v>
      </c>
      <c r="AD12" s="39">
        <f>'FS Desroches Daily'!BB14</f>
        <v>189.99999999999773</v>
      </c>
      <c r="AE12" s="39">
        <f>'FS Desroches Daily'!BD14</f>
        <v>10.000000000019327</v>
      </c>
      <c r="AF12" s="35">
        <f>'FS Desroches Daily'!BF14</f>
        <v>71</v>
      </c>
      <c r="AG12" s="36">
        <f>'FS Desroches Daily'!BH14</f>
        <v>50.000000000011369</v>
      </c>
      <c r="AH12" s="36">
        <f>'FS Desroches Daily'!BJ14</f>
        <v>50.000000000011369</v>
      </c>
      <c r="AI12" s="36">
        <f>'FS Desroches Daily'!BL14</f>
        <v>60.000000000002274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56</v>
      </c>
      <c r="AM12" s="36">
        <f>'FS Desroches Daily'!BT14</f>
        <v>60.000000000002274</v>
      </c>
      <c r="AN12" s="36">
        <f>'FS Desroches Daily'!BV14</f>
        <v>53</v>
      </c>
      <c r="AO12" s="36">
        <f>'FS Desroches Daily'!BX14</f>
        <v>60.000000000002274</v>
      </c>
      <c r="AP12" s="36">
        <f>'FS Desroches Daily'!BZ14</f>
        <v>64</v>
      </c>
      <c r="AQ12" s="35">
        <f>'FS Desroches Daily'!CB14</f>
        <v>31.799999999999272</v>
      </c>
      <c r="AR12" s="35">
        <f>'FS Desroches Daily'!CD14</f>
        <v>11.5</v>
      </c>
      <c r="AS12" s="35">
        <f>'FS Desroches Daily'!CF14</f>
        <v>0.9000000000005457</v>
      </c>
      <c r="AT12" s="35">
        <f>'FS Desroches Daily'!CH14</f>
        <v>97</v>
      </c>
      <c r="AU12" s="35">
        <f>'FS Desroches Daily'!CJ14</f>
        <v>329</v>
      </c>
      <c r="AV12" s="35">
        <f>'FS Desroches Daily'!CL14</f>
        <v>710.00000000003638</v>
      </c>
      <c r="AW12" s="35">
        <f>'FS Desroches Daily'!CM14</f>
        <v>85.9</v>
      </c>
      <c r="AX12" s="35">
        <f>IF(LPG!F19-LPG!F18&lt;0,"0",(LPG!F19-LPG!F18)*1.8315)</f>
        <v>12.820499999999999</v>
      </c>
      <c r="AY12" s="35">
        <f>IF(LPG!H19-LPG!H18&lt;0,"0",(LPG!H19-LPG!H18)*1.8315)</f>
        <v>1.8314999999999999</v>
      </c>
      <c r="AZ12" s="35">
        <f>IF(LPG!J19-LPG!J18&lt;0,"0",(LPG!J19-LPG!J18)*1.8315)</f>
        <v>0</v>
      </c>
      <c r="BA12" s="35">
        <f>IF(LPG!M19-LPG!M18&lt;0,"0",(LPG!M19-LPG!M18)*1.8315)</f>
        <v>3.6629999999999998</v>
      </c>
      <c r="BB12" s="35">
        <f>IF(LPG!Q19-LPG!Q18&lt;0,"0",(LPG!Q19-LPG!Q18)*1.8315)</f>
        <v>3.6629999999999998</v>
      </c>
      <c r="BC12" s="13">
        <f>'FS Desroches Daily'!CN14</f>
        <v>57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3200.0000000000919</v>
      </c>
      <c r="F13" s="36">
        <f>'FS Desroches Daily'!F15</f>
        <v>3899.9999999997926</v>
      </c>
      <c r="G13" s="35">
        <f>'FS Desroches Daily'!H15</f>
        <v>3299.9999999998586</v>
      </c>
      <c r="H13" s="36">
        <f>'FS Desroches Daily'!J15</f>
        <v>1700.0000000000348</v>
      </c>
      <c r="I13" s="35">
        <f>'FS Desroches Daily'!L15</f>
        <v>2400.0000000001796</v>
      </c>
      <c r="J13" s="36">
        <f>'FS Desroches Daily'!N15</f>
        <v>2199.9999999999795</v>
      </c>
      <c r="K13" s="13">
        <f>'FS Desroches Daily'!P15</f>
        <v>19</v>
      </c>
      <c r="L13" s="35">
        <f>'FS Desroches Daily'!R15</f>
        <v>9</v>
      </c>
      <c r="M13" s="35">
        <f>'FS Desroches Daily'!T15</f>
        <v>1384</v>
      </c>
      <c r="N13" s="35">
        <f>'FS Desroches Daily'!V15</f>
        <v>588</v>
      </c>
      <c r="O13" s="35">
        <f>'FS Desroches Daily'!X15</f>
        <v>420.00000000001592</v>
      </c>
      <c r="P13" s="35">
        <f>'FS Desroches Daily'!Z15</f>
        <v>3400.0000000000696</v>
      </c>
      <c r="Q13" s="35">
        <f>'FS Desroches Daily'!AB15</f>
        <v>530.00000000002956</v>
      </c>
      <c r="R13" s="35">
        <f>'FS Desroches Daily'!AD15</f>
        <v>430.00000000000682</v>
      </c>
      <c r="S13" s="35">
        <f>'FS Desroches Daily'!AF15</f>
        <v>939.99999999999773</v>
      </c>
      <c r="T13" s="35">
        <f>'FS Desroches Daily'!AH15</f>
        <v>2.1000000000001364</v>
      </c>
      <c r="U13" s="39">
        <f>'FS Desroches Daily'!AJ15</f>
        <v>379.99999999999545</v>
      </c>
      <c r="V13" s="39">
        <f>'FS Desroches Daily'!AL15</f>
        <v>0.29000000000002046</v>
      </c>
      <c r="W13" s="39">
        <f>'FS Desroches Daily'!AN15</f>
        <v>0.26000000000001933</v>
      </c>
      <c r="X13" s="39">
        <f>'FS Desroches Daily'!AP15</f>
        <v>0.22999999999998977</v>
      </c>
      <c r="Y13" s="39">
        <f>'FS Desroches Daily'!AR15</f>
        <v>210.00000000000796</v>
      </c>
      <c r="Z13" s="39">
        <f>'FS Desroches Daily'!AT15</f>
        <v>229.99999999996135</v>
      </c>
      <c r="AA13" s="39">
        <f>'FS Desroches Daily'!AT15</f>
        <v>229.99999999996135</v>
      </c>
      <c r="AB13" s="39">
        <f>'FS Desroches Daily'!AV15</f>
        <v>239.99999999998067</v>
      </c>
      <c r="AC13" s="39">
        <f>'FS Desroches Daily'!AZ15</f>
        <v>189.99999999999773</v>
      </c>
      <c r="AD13" s="39">
        <f>'FS Desroches Daily'!BB15</f>
        <v>329.99999999998408</v>
      </c>
      <c r="AE13" s="39">
        <f>'FS Desroches Daily'!BD15</f>
        <v>9.9999999999909051</v>
      </c>
      <c r="AF13" s="35">
        <f>'FS Desroches Daily'!BF15</f>
        <v>65</v>
      </c>
      <c r="AG13" s="36">
        <f>'FS Desroches Daily'!BH15</f>
        <v>30.000000000001137</v>
      </c>
      <c r="AH13" s="36">
        <f>'FS Desroches Daily'!BJ15</f>
        <v>29.999999999972715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39.99999999996362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30.000000000001137</v>
      </c>
      <c r="AP13" s="36">
        <f>'FS Desroches Daily'!BZ15</f>
        <v>61</v>
      </c>
      <c r="AQ13" s="35">
        <f>'FS Desroches Daily'!CB15</f>
        <v>35.799999999999272</v>
      </c>
      <c r="AR13" s="35">
        <f>'FS Desroches Daily'!CD15</f>
        <v>10.399999999999636</v>
      </c>
      <c r="AS13" s="35">
        <f>'FS Desroches Daily'!CF15</f>
        <v>7.0999999999994543</v>
      </c>
      <c r="AT13" s="35">
        <f>'FS Desroches Daily'!CH15</f>
        <v>45</v>
      </c>
      <c r="AU13" s="35">
        <f>'FS Desroches Daily'!CJ15</f>
        <v>307</v>
      </c>
      <c r="AV13" s="35">
        <f>'FS Desroches Daily'!CL15</f>
        <v>500</v>
      </c>
      <c r="AW13" s="35">
        <f>'FS Desroches Daily'!CM15</f>
        <v>105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0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82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>
        <f>'FS Desroches Daily'!D16</f>
        <v>3199.9999999998695</v>
      </c>
      <c r="F14" s="36">
        <f>'FS Desroches Daily'!F16</f>
        <v>4000.0000000000036</v>
      </c>
      <c r="G14" s="35">
        <f>'FS Desroches Daily'!H16</f>
        <v>3600.0000000000477</v>
      </c>
      <c r="H14" s="36">
        <f>'FS Desroches Daily'!J16</f>
        <v>1800.0000000000239</v>
      </c>
      <c r="I14" s="35">
        <f>'FS Desroches Daily'!L16</f>
        <v>2299.9999999999686</v>
      </c>
      <c r="J14" s="36">
        <f>'FS Desroches Daily'!N16</f>
        <v>2099.9999999999909</v>
      </c>
      <c r="K14" s="13">
        <f>'FS Desroches Daily'!P16</f>
        <v>19</v>
      </c>
      <c r="L14" s="35">
        <f>'FS Desroches Daily'!R16</f>
        <v>10</v>
      </c>
      <c r="M14" s="35">
        <f>'FS Desroches Daily'!T16</f>
        <v>1275</v>
      </c>
      <c r="N14" s="35">
        <f>'FS Desroches Daily'!V16</f>
        <v>530</v>
      </c>
      <c r="O14" s="35">
        <f>'FS Desroches Daily'!X16</f>
        <v>469.99999999997044</v>
      </c>
      <c r="P14" s="35">
        <f>'FS Desroches Daily'!Z16</f>
        <v>3499.9999999998367</v>
      </c>
      <c r="Q14" s="35">
        <f>'FS Desroches Daily'!AB16</f>
        <v>549.99999999995453</v>
      </c>
      <c r="R14" s="35">
        <f>'FS Desroches Daily'!AD16</f>
        <v>489.99999999995225</v>
      </c>
      <c r="S14" s="35">
        <f>'FS Desroches Daily'!AF16</f>
        <v>980.00000000001819</v>
      </c>
      <c r="T14" s="35">
        <f>'FS Desroches Daily'!AH16</f>
        <v>2.0999999999999091</v>
      </c>
      <c r="U14" s="39">
        <f>'FS Desroches Daily'!AJ16</f>
        <v>490.00000000000909</v>
      </c>
      <c r="V14" s="39">
        <f>'FS Desroches Daily'!AL16</f>
        <v>0.28999999999999204</v>
      </c>
      <c r="W14" s="39">
        <f>'FS Desroches Daily'!AN16</f>
        <v>0.25999999999999091</v>
      </c>
      <c r="X14" s="39">
        <f>'FS Desroches Daily'!AP16</f>
        <v>0.22999999999998977</v>
      </c>
      <c r="Y14" s="39">
        <f>'FS Desroches Daily'!AR16</f>
        <v>239.99999999998067</v>
      </c>
      <c r="Z14" s="39">
        <f>'FS Desroches Daily'!AT16</f>
        <v>290.00000000002046</v>
      </c>
      <c r="AA14" s="39">
        <f>'FS Desroches Daily'!AT16</f>
        <v>290.00000000002046</v>
      </c>
      <c r="AB14" s="39">
        <f>'FS Desroches Daily'!AV16</f>
        <v>290.00000000002046</v>
      </c>
      <c r="AC14" s="39">
        <f>'FS Desroches Daily'!AZ16</f>
        <v>189.99999999999773</v>
      </c>
      <c r="AD14" s="39">
        <f>'FS Desroches Daily'!BB16</f>
        <v>250</v>
      </c>
      <c r="AE14" s="39">
        <f>'FS Desroches Daily'!BD16</f>
        <v>9.9999999999909051</v>
      </c>
      <c r="AF14" s="35">
        <f>'FS Desroches Daily'!BF16</f>
        <v>71</v>
      </c>
      <c r="AG14" s="36">
        <f>'FS Desroches Daily'!BH16</f>
        <v>19.99999999998181</v>
      </c>
      <c r="AH14" s="36">
        <f>'FS Desroches Daily'!BJ16</f>
        <v>40.000000000020464</v>
      </c>
      <c r="AI14" s="36">
        <f>'FS Desroches Daily'!BL16</f>
        <v>50.000000000011369</v>
      </c>
      <c r="AJ14" s="36">
        <f>'FS Desroches Daily'!BN16</f>
        <v>39.999999999992042</v>
      </c>
      <c r="AK14" s="36">
        <f>'FS Desroches Daily'!BP16</f>
        <v>50.000000000011369</v>
      </c>
      <c r="AL14" s="36">
        <f>'FS Desroches Daily'!BR16</f>
        <v>42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39.999999999992042</v>
      </c>
      <c r="AP14" s="36">
        <f>'FS Desroches Daily'!BZ16</f>
        <v>60</v>
      </c>
      <c r="AQ14" s="35">
        <f>'FS Desroches Daily'!CB16</f>
        <v>39.700000000000728</v>
      </c>
      <c r="AR14" s="35">
        <f>'FS Desroches Daily'!CD16</f>
        <v>14.5</v>
      </c>
      <c r="AS14" s="35">
        <f>'FS Desroches Daily'!CF16</f>
        <v>0.1999999999998181</v>
      </c>
      <c r="AT14" s="35">
        <f>'FS Desroches Daily'!CH16</f>
        <v>115.29999999999563</v>
      </c>
      <c r="AU14" s="35">
        <f>'FS Desroches Daily'!CJ16</f>
        <v>312</v>
      </c>
      <c r="AV14" s="35">
        <f>'FS Desroches Daily'!CL16</f>
        <v>750</v>
      </c>
      <c r="AW14" s="35">
        <f>'FS Desroches Daily'!CM16</f>
        <v>110.8</v>
      </c>
      <c r="AX14" s="35">
        <f>IF(LPG!F21-LPG!F20&lt;0,"0",(LPG!F21-LPG!F20)*1.8315)</f>
        <v>12.820499999999999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3.6629999999999998</v>
      </c>
      <c r="BB14" s="35">
        <f>IF(LPG!Q21-LPG!Q20&lt;0,"0",(LPG!Q21-LPG!Q20)*1.8315)</f>
        <v>5.4944999999999995</v>
      </c>
      <c r="BC14" s="13">
        <f>'FS Desroches Daily'!CN16</f>
        <v>61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2900.0000000001246</v>
      </c>
      <c r="F15" s="36">
        <f>'FS Desroches Daily'!F17</f>
        <v>3600.0000000000477</v>
      </c>
      <c r="G15" s="35">
        <f>'FS Desroches Daily'!H17</f>
        <v>3500.0000000002806</v>
      </c>
      <c r="H15" s="36">
        <f>'FS Desroches Daily'!J17</f>
        <v>1600.0000000000459</v>
      </c>
      <c r="I15" s="35">
        <f>'FS Desroches Daily'!L17</f>
        <v>2299.9999999999686</v>
      </c>
      <c r="J15" s="36">
        <f>'FS Desroches Daily'!N17</f>
        <v>2100.0000000002128</v>
      </c>
      <c r="K15" s="13">
        <f>'FS Desroches Daily'!P17</f>
        <v>19</v>
      </c>
      <c r="L15" s="35">
        <f>'FS Desroches Daily'!R17</f>
        <v>8</v>
      </c>
      <c r="M15" s="35">
        <f>'FS Desroches Daily'!T17</f>
        <v>1375</v>
      </c>
      <c r="N15" s="35">
        <f>'FS Desroches Daily'!V17</f>
        <v>563</v>
      </c>
      <c r="O15" s="35">
        <f>'FS Desroches Daily'!X17</f>
        <v>439.99999999999773</v>
      </c>
      <c r="P15" s="35">
        <f>'FS Desroches Daily'!Z17</f>
        <v>3200.0000000000919</v>
      </c>
      <c r="Q15" s="35">
        <f>'FS Desroches Daily'!AB17</f>
        <v>530.00000000002956</v>
      </c>
      <c r="R15" s="35">
        <f>'FS Desroches Daily'!AD17</f>
        <v>520.00000000003865</v>
      </c>
      <c r="S15" s="35">
        <f>'FS Desroches Daily'!AF17</f>
        <v>889.99999999998636</v>
      </c>
      <c r="T15" s="35">
        <f>'FS Desroches Daily'!AH17</f>
        <v>2</v>
      </c>
      <c r="U15" s="39">
        <f>'FS Desroches Daily'!AJ17</f>
        <v>519.99999999998181</v>
      </c>
      <c r="V15" s="39">
        <f>'FS Desroches Daily'!AL17</f>
        <v>0.27000000000001023</v>
      </c>
      <c r="W15" s="39">
        <f>'FS Desroches Daily'!AN17</f>
        <v>0.21999999999999886</v>
      </c>
      <c r="X15" s="39">
        <f>'FS Desroches Daily'!AP17</f>
        <v>0.18999999999999773</v>
      </c>
      <c r="Y15" s="39">
        <f>'FS Desroches Daily'!AR17</f>
        <v>180.00000000000682</v>
      </c>
      <c r="Z15" s="39">
        <f>'FS Desroches Daily'!AT17</f>
        <v>250</v>
      </c>
      <c r="AA15" s="39">
        <f>'FS Desroches Daily'!AT17</f>
        <v>250</v>
      </c>
      <c r="AB15" s="39">
        <f>'FS Desroches Daily'!AV17</f>
        <v>229.99999999998977</v>
      </c>
      <c r="AC15" s="39">
        <f>'FS Desroches Daily'!AZ17</f>
        <v>180.00000000000682</v>
      </c>
      <c r="AD15" s="39">
        <f>'FS Desroches Daily'!BB17</f>
        <v>230.00000000001819</v>
      </c>
      <c r="AE15" s="39">
        <f>'FS Desroches Daily'!BD17</f>
        <v>20.000000000010232</v>
      </c>
      <c r="AF15" s="35">
        <f>'FS Desroches Daily'!BF17</f>
        <v>51</v>
      </c>
      <c r="AG15" s="36">
        <f>'FS Desroches Daily'!BH17</f>
        <v>30.000000000001137</v>
      </c>
      <c r="AH15" s="36">
        <f>'FS Desroches Daily'!BJ17</f>
        <v>50.000000000011369</v>
      </c>
      <c r="AI15" s="36">
        <f>'FS Desroches Daily'!BL17</f>
        <v>49.999999999982947</v>
      </c>
      <c r="AJ15" s="36">
        <f>'FS Desroches Daily'!BN17</f>
        <v>50.000000000011369</v>
      </c>
      <c r="AK15" s="36">
        <f>'FS Desroches Daily'!BP17</f>
        <v>40.000000000020464</v>
      </c>
      <c r="AL15" s="36">
        <f>'FS Desroches Daily'!BR17</f>
        <v>38</v>
      </c>
      <c r="AM15" s="36">
        <f>'FS Desroches Daily'!BT17</f>
        <v>50.000000000011369</v>
      </c>
      <c r="AN15" s="36">
        <f>'FS Desroches Daily'!BV17</f>
        <v>44</v>
      </c>
      <c r="AO15" s="36">
        <f>'FS Desroches Daily'!BX17</f>
        <v>39.999999999992042</v>
      </c>
      <c r="AP15" s="36">
        <f>'FS Desroches Daily'!BZ17</f>
        <v>72</v>
      </c>
      <c r="AQ15" s="35">
        <f>'FS Desroches Daily'!CB17</f>
        <v>39.700000000000728</v>
      </c>
      <c r="AR15" s="35">
        <f>'FS Desroches Daily'!CD17</f>
        <v>10.899999999999636</v>
      </c>
      <c r="AS15" s="35">
        <f>'FS Desroches Daily'!CF17</f>
        <v>12.200000000000728</v>
      </c>
      <c r="AT15" s="35">
        <f>'FS Desroches Daily'!CH17</f>
        <v>50.700000000004366</v>
      </c>
      <c r="AU15" s="35">
        <f>'FS Desroches Daily'!CJ17</f>
        <v>298</v>
      </c>
      <c r="AV15" s="35">
        <f>'FS Desroches Daily'!CL17</f>
        <v>609.99999999989996</v>
      </c>
      <c r="AW15" s="35">
        <f>'FS Desroches Daily'!CM17</f>
        <v>110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7.3259999999999996</v>
      </c>
      <c r="BB15" s="35">
        <f>IF(LPG!Q22-LPG!Q21&lt;0,"0",(LPG!Q22-LPG!Q21)*1.8315)</f>
        <v>5.4944999999999995</v>
      </c>
      <c r="BC15" s="13">
        <f>'FS Desroches Daily'!CN17</f>
        <v>61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>
        <f>'FS Desroches Daily'!D18</f>
        <v>3199.9999999998695</v>
      </c>
      <c r="F16" s="36">
        <f>'FS Desroches Daily'!F18</f>
        <v>3700.0000000002588</v>
      </c>
      <c r="G16" s="35">
        <f>'FS Desroches Daily'!H18</f>
        <v>3600.0000000000477</v>
      </c>
      <c r="H16" s="36">
        <f>'FS Desroches Daily'!J18</f>
        <v>1500.0000000000568</v>
      </c>
      <c r="I16" s="35">
        <f>'FS Desroches Daily'!L18</f>
        <v>2399.9999999999577</v>
      </c>
      <c r="J16" s="36">
        <f>'FS Desroches Daily'!N18</f>
        <v>1899.9999999997908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1080</v>
      </c>
      <c r="N16" s="35">
        <f>'FS Desroches Daily'!V18</f>
        <v>596</v>
      </c>
      <c r="O16" s="35">
        <f>'FS Desroches Daily'!X18</f>
        <v>430.00000000000682</v>
      </c>
      <c r="P16" s="35">
        <f>'FS Desroches Daily'!Z18</f>
        <v>3299.9999999998586</v>
      </c>
      <c r="Q16" s="35">
        <f>'FS Desroches Daily'!AB18</f>
        <v>519.99999999998181</v>
      </c>
      <c r="R16" s="35">
        <f>'FS Desroches Daily'!AD18</f>
        <v>479.99999999996135</v>
      </c>
      <c r="S16" s="35">
        <f>'FS Desroches Daily'!AF18</f>
        <v>870.00000000000455</v>
      </c>
      <c r="T16" s="35">
        <f>'FS Desroches Daily'!AH18</f>
        <v>2.2000000000000455</v>
      </c>
      <c r="U16" s="39">
        <f>'FS Desroches Daily'!AJ18</f>
        <v>590.00000000003183</v>
      </c>
      <c r="V16" s="39">
        <f>'FS Desroches Daily'!AL18</f>
        <v>0.28999999999999204</v>
      </c>
      <c r="W16" s="39">
        <f>'FS Desroches Daily'!AN18</f>
        <v>0.24000000000000909</v>
      </c>
      <c r="X16" s="39">
        <f>'FS Desroches Daily'!AP18</f>
        <v>0.22000000000002728</v>
      </c>
      <c r="Y16" s="39">
        <f>'FS Desroches Daily'!AR18</f>
        <v>210.00000000000796</v>
      </c>
      <c r="Z16" s="39">
        <f>'FS Desroches Daily'!AT18</f>
        <v>259.99999999999091</v>
      </c>
      <c r="AA16" s="39">
        <f>'FS Desroches Daily'!AT18</f>
        <v>259.99999999999091</v>
      </c>
      <c r="AB16" s="39">
        <f>'FS Desroches Daily'!AV18</f>
        <v>259.99999999999091</v>
      </c>
      <c r="AC16" s="39">
        <f>'FS Desroches Daily'!AZ18</f>
        <v>180.00000000000682</v>
      </c>
      <c r="AD16" s="39">
        <f>'FS Desroches Daily'!BB18</f>
        <v>259.99999999999091</v>
      </c>
      <c r="AE16" s="39">
        <f>'FS Desroches Daily'!BD18</f>
        <v>19.99999999998181</v>
      </c>
      <c r="AF16" s="35">
        <f>'FS Desroches Daily'!BF18</f>
        <v>86</v>
      </c>
      <c r="AG16" s="36">
        <f>'FS Desroches Daily'!BH18</f>
        <v>50.000000000011369</v>
      </c>
      <c r="AH16" s="36">
        <f>'FS Desroches Daily'!BJ18</f>
        <v>39.99999999996362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60.000000000002274</v>
      </c>
      <c r="AL16" s="36">
        <f>'FS Desroches Daily'!BR18</f>
        <v>47</v>
      </c>
      <c r="AM16" s="36">
        <f>'FS Desroches Daily'!BT18</f>
        <v>30.000000000001137</v>
      </c>
      <c r="AN16" s="36">
        <f>'FS Desroches Daily'!BV18</f>
        <v>49</v>
      </c>
      <c r="AO16" s="36">
        <f>'FS Desroches Daily'!BX18</f>
        <v>39.999999999992042</v>
      </c>
      <c r="AP16" s="36">
        <f>'FS Desroches Daily'!BZ18</f>
        <v>69</v>
      </c>
      <c r="AQ16" s="35">
        <f>'FS Desroches Daily'!CB18</f>
        <v>46.900000000001455</v>
      </c>
      <c r="AR16" s="35">
        <f>'FS Desroches Daily'!CD18</f>
        <v>11.100000000000364</v>
      </c>
      <c r="AS16" s="35">
        <f>'FS Desroches Daily'!CF18</f>
        <v>7.3999999999996362</v>
      </c>
      <c r="AT16" s="35">
        <f>'FS Desroches Daily'!CH18</f>
        <v>148.79999999999563</v>
      </c>
      <c r="AU16" s="35">
        <f>'FS Desroches Daily'!CJ18</f>
        <v>306</v>
      </c>
      <c r="AV16" s="35">
        <f>'FS Desroches Daily'!CL18</f>
        <v>690.00000000005457</v>
      </c>
      <c r="AW16" s="35">
        <f>'FS Desroches Daily'!CM18</f>
        <v>96</v>
      </c>
      <c r="AX16" s="35">
        <f>IF(LPG!F23-LPG!F22&lt;0,"0",(LPG!F23-LPG!F22)*1.8315)</f>
        <v>14.651999999999999</v>
      </c>
      <c r="AY16" s="35">
        <f>IF(LPG!H23-LPG!H22&lt;0,"0",(LPG!H23-LPG!H22)*1.8315)</f>
        <v>3.6629999999999998</v>
      </c>
      <c r="AZ16" s="35">
        <f>IF(LPG!J23-LPG!J22&lt;0,"0",(LPG!J23-LPG!J22)*1.8315)</f>
        <v>0</v>
      </c>
      <c r="BA16" s="35">
        <f>IF(LPG!M23-LPG!M22&lt;0,"0",(LPG!M23-LPG!M22)*1.8315)</f>
        <v>3.6629999999999998</v>
      </c>
      <c r="BB16" s="35">
        <f>IF(LPG!Q23-LPG!Q22&lt;0,"0",(LPG!Q23-LPG!Q22)*1.8315)</f>
        <v>3.6629999999999998</v>
      </c>
      <c r="BC16" s="13">
        <f>'FS Desroches Daily'!CN18</f>
        <v>66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3900.0000000000146</v>
      </c>
      <c r="F17" s="36">
        <f>'FS Desroches Daily'!F19</f>
        <v>4199.9999999999818</v>
      </c>
      <c r="G17" s="35">
        <f>'FS Desroches Daily'!H19</f>
        <v>3699.9999999998145</v>
      </c>
      <c r="H17" s="36">
        <f>'FS Desroches Daily'!J19</f>
        <v>1800.0000000000239</v>
      </c>
      <c r="I17" s="35">
        <f>'FS Desroches Daily'!L19</f>
        <v>2599.9999999999359</v>
      </c>
      <c r="J17" s="36">
        <f>'FS Desroches Daily'!N19</f>
        <v>2200.0000000002019</v>
      </c>
      <c r="K17" s="13">
        <f>'FS Desroches Daily'!P19</f>
        <v>19</v>
      </c>
      <c r="L17" s="35">
        <f>'FS Desroches Daily'!R19</f>
        <v>10</v>
      </c>
      <c r="M17" s="35">
        <f>'FS Desroches Daily'!T19</f>
        <v>2018</v>
      </c>
      <c r="N17" s="35">
        <f>'FS Desroches Daily'!V19</f>
        <v>546</v>
      </c>
      <c r="O17" s="35">
        <f>'FS Desroches Daily'!X19</f>
        <v>480.00000000001819</v>
      </c>
      <c r="P17" s="35">
        <f>'FS Desroches Daily'!Z19</f>
        <v>3800.0000000000255</v>
      </c>
      <c r="Q17" s="35">
        <f>'FS Desroches Daily'!AB19</f>
        <v>590.00000000003183</v>
      </c>
      <c r="R17" s="35">
        <f>'FS Desroches Daily'!AD19</f>
        <v>560.00000000000227</v>
      </c>
      <c r="S17" s="35">
        <f>'FS Desroches Daily'!AF19</f>
        <v>959.99999999997954</v>
      </c>
      <c r="T17" s="35">
        <f>'FS Desroches Daily'!AH19</f>
        <v>2</v>
      </c>
      <c r="U17" s="39">
        <f>'FS Desroches Daily'!AJ19</f>
        <v>709.99999999997954</v>
      </c>
      <c r="V17" s="39">
        <f>'FS Desroches Daily'!AL19</f>
        <v>0.25999999999999091</v>
      </c>
      <c r="W17" s="39">
        <f>'FS Desroches Daily'!AN19</f>
        <v>0.28999999999999204</v>
      </c>
      <c r="X17" s="39">
        <f>'FS Desroches Daily'!AP19</f>
        <v>0.31999999999999318</v>
      </c>
      <c r="Y17" s="39">
        <f>'FS Desroches Daily'!AR19</f>
        <v>310.00000000000227</v>
      </c>
      <c r="Z17" s="39">
        <f>'FS Desroches Daily'!AT19</f>
        <v>259.99999999999091</v>
      </c>
      <c r="AA17" s="39">
        <f>'FS Desroches Daily'!AT19</f>
        <v>259.99999999999091</v>
      </c>
      <c r="AB17" s="39">
        <f>'FS Desroches Daily'!AV19</f>
        <v>290.00000000002046</v>
      </c>
      <c r="AC17" s="39">
        <f>'FS Desroches Daily'!AZ19</f>
        <v>259.99999999999091</v>
      </c>
      <c r="AD17" s="39">
        <f>'FS Desroches Daily'!BB19</f>
        <v>280.00000000002956</v>
      </c>
      <c r="AE17" s="39">
        <f>'FS Desroches Daily'!BD19</f>
        <v>0</v>
      </c>
      <c r="AF17" s="35">
        <f>'FS Desroches Daily'!BF19</f>
        <v>69</v>
      </c>
      <c r="AG17" s="36">
        <f>'FS Desroches Daily'!BH19</f>
        <v>19.99999999998181</v>
      </c>
      <c r="AH17" s="36">
        <f>'FS Desroches Daily'!BJ19</f>
        <v>40.000000000020464</v>
      </c>
      <c r="AI17" s="36">
        <f>'FS Desroches Daily'!BL19</f>
        <v>50.000000000011369</v>
      </c>
      <c r="AJ17" s="36">
        <f>'FS Desroches Daily'!BN19</f>
        <v>40.000000000020464</v>
      </c>
      <c r="AK17" s="36">
        <f>'FS Desroches Daily'!BP19</f>
        <v>29.999999999972715</v>
      </c>
      <c r="AL17" s="36">
        <f>'FS Desroches Daily'!BR19</f>
        <v>41</v>
      </c>
      <c r="AM17" s="36">
        <f>'FS Desroches Daily'!BT19</f>
        <v>49.999999999982947</v>
      </c>
      <c r="AN17" s="36">
        <f>'FS Desroches Daily'!BV19</f>
        <v>41</v>
      </c>
      <c r="AO17" s="36">
        <f>'FS Desroches Daily'!BX19</f>
        <v>50.000000000011369</v>
      </c>
      <c r="AP17" s="36">
        <f>'FS Desroches Daily'!BZ19</f>
        <v>71</v>
      </c>
      <c r="AQ17" s="35">
        <f>'FS Desroches Daily'!CB19</f>
        <v>45.399999999997817</v>
      </c>
      <c r="AR17" s="35">
        <f>'FS Desroches Daily'!CD19</f>
        <v>12.299999999999272</v>
      </c>
      <c r="AS17" s="35">
        <f>'FS Desroches Daily'!CF19</f>
        <v>9.3999999999996362</v>
      </c>
      <c r="AT17" s="35">
        <f>'FS Desroches Daily'!CH19</f>
        <v>93.30000000000291</v>
      </c>
      <c r="AU17" s="35">
        <f>'FS Desroches Daily'!CJ19</f>
        <v>298</v>
      </c>
      <c r="AV17" s="35">
        <f>'FS Desroches Daily'!CL19</f>
        <v>750</v>
      </c>
      <c r="AW17" s="35">
        <f>'FS Desroches Daily'!CM19</f>
        <v>100.7</v>
      </c>
      <c r="AX17" s="35">
        <f>IF(LPG!F24-LPG!F23&lt;0,"0",(LPG!F24-LPG!F23)*1.8315)</f>
        <v>16.483499999999999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9.1574999999999989</v>
      </c>
      <c r="BB17" s="35">
        <f>IF(LPG!Q24-LPG!Q23&lt;0,"0",(LPG!Q24-LPG!Q23)*1.8315)</f>
        <v>7.3259999999999996</v>
      </c>
      <c r="BC17" s="13">
        <f>'FS Desroches Daily'!CN19</f>
        <v>62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 t="str">
        <f>'FS Desroches Daily'!D20</f>
        <v>0</v>
      </c>
      <c r="F18" s="36" t="str">
        <f>'FS Desroches Daily'!F20</f>
        <v>0</v>
      </c>
      <c r="G18" s="35" t="str">
        <f>'FS Desroches Daily'!H20</f>
        <v>0</v>
      </c>
      <c r="H18" s="36" t="str">
        <f>'FS Desroches Daily'!J20</f>
        <v>0</v>
      </c>
      <c r="I18" s="35" t="str">
        <f>'FS Desroches Daily'!L20</f>
        <v>0</v>
      </c>
      <c r="J18" s="36" t="str">
        <f>'FS Desroches Daily'!N20</f>
        <v/>
      </c>
      <c r="K18" s="13" t="str">
        <f>'FS Desroches Daily'!P20</f>
        <v/>
      </c>
      <c r="L18" s="35" t="str">
        <f>'FS Desroches Daily'!R20</f>
        <v/>
      </c>
      <c r="M18" s="35" t="str">
        <f>'FS Desroches Daily'!T20</f>
        <v/>
      </c>
      <c r="N18" s="35" t="str">
        <f>'FS Desroches Daily'!V20</f>
        <v/>
      </c>
      <c r="O18" s="35" t="str">
        <f>'FS Desroches Daily'!X20</f>
        <v/>
      </c>
      <c r="P18" s="35" t="str">
        <f>'FS Desroches Daily'!Z20</f>
        <v/>
      </c>
      <c r="Q18" s="35" t="str">
        <f>'FS Desroches Daily'!AB20</f>
        <v/>
      </c>
      <c r="R18" s="35" t="str">
        <f>'FS Desroches Daily'!AD20</f>
        <v/>
      </c>
      <c r="S18" s="35" t="str">
        <f>'FS Desroches Daily'!AF20</f>
        <v/>
      </c>
      <c r="T18" s="35" t="str">
        <f>'FS Desroches Daily'!AH20</f>
        <v/>
      </c>
      <c r="U18" s="39" t="str">
        <f>'FS Desroches Daily'!AJ20</f>
        <v/>
      </c>
      <c r="V18" s="39" t="str">
        <f>'FS Desroches Daily'!AL20</f>
        <v/>
      </c>
      <c r="W18" s="39" t="str">
        <f>'FS Desroches Daily'!AN20</f>
        <v/>
      </c>
      <c r="X18" s="39" t="str">
        <f>'FS Desroches Daily'!AP20</f>
        <v/>
      </c>
      <c r="Y18" s="39" t="str">
        <f>'FS Desroches Daily'!AR20</f>
        <v/>
      </c>
      <c r="Z18" s="39" t="str">
        <f>'FS Desroches Daily'!AT20</f>
        <v/>
      </c>
      <c r="AA18" s="39" t="str">
        <f>'FS Desroches Daily'!AT20</f>
        <v/>
      </c>
      <c r="AB18" s="39" t="str">
        <f>'FS Desroches Daily'!AV20</f>
        <v/>
      </c>
      <c r="AC18" s="39" t="str">
        <f>'FS Desroches Daily'!AZ20</f>
        <v/>
      </c>
      <c r="AD18" s="39" t="str">
        <f>'FS Desroches Daily'!BB20</f>
        <v/>
      </c>
      <c r="AE18" s="39" t="str">
        <f>'FS Desroches Daily'!BD20</f>
        <v/>
      </c>
      <c r="AF18" s="35" t="str">
        <f>'FS Desroches Daily'!BF20</f>
        <v/>
      </c>
      <c r="AG18" s="36" t="str">
        <f>'FS Desroches Daily'!BH20</f>
        <v/>
      </c>
      <c r="AH18" s="36" t="str">
        <f>'FS Desroches Daily'!BJ20</f>
        <v/>
      </c>
      <c r="AI18" s="36" t="str">
        <f>'FS Desroches Daily'!BL20</f>
        <v/>
      </c>
      <c r="AJ18" s="36" t="str">
        <f>'FS Desroches Daily'!BN20</f>
        <v/>
      </c>
      <c r="AK18" s="36" t="str">
        <f>'FS Desroches Daily'!BP20</f>
        <v/>
      </c>
      <c r="AL18" s="36" t="str">
        <f>'FS Desroches Daily'!BR20</f>
        <v/>
      </c>
      <c r="AM18" s="36" t="str">
        <f>'FS Desroches Daily'!BT20</f>
        <v/>
      </c>
      <c r="AN18" s="36" t="str">
        <f>'FS Desroches Daily'!BV20</f>
        <v/>
      </c>
      <c r="AO18" s="36" t="str">
        <f>'FS Desroches Daily'!BX20</f>
        <v/>
      </c>
      <c r="AP18" s="36" t="str">
        <f>'FS Desroches Daily'!BZ20</f>
        <v/>
      </c>
      <c r="AQ18" s="35" t="str">
        <f>'FS Desroches Daily'!CB20</f>
        <v/>
      </c>
      <c r="AR18" s="35" t="str">
        <f>'FS Desroches Daily'!CD20</f>
        <v/>
      </c>
      <c r="AS18" s="35" t="str">
        <f>'FS Desroches Daily'!CF20</f>
        <v/>
      </c>
      <c r="AT18" s="35" t="str">
        <f>'FS Desroches Daily'!CH20</f>
        <v/>
      </c>
      <c r="AU18" s="35" t="str">
        <f>'FS Desroches Daily'!CJ20</f>
        <v/>
      </c>
      <c r="AV18" s="35" t="str">
        <f>'FS Desroches Daily'!CL20</f>
        <v/>
      </c>
      <c r="AW18" s="35">
        <f>'FS Desroches Daily'!CM20</f>
        <v>0</v>
      </c>
      <c r="AX18" s="35" t="str">
        <f>IF(LPG!F25-LPG!F24&lt;0,"0",(LPG!F25-LPG!F24)*1.8315)</f>
        <v>0</v>
      </c>
      <c r="AY18" s="35" t="str">
        <f>IF(LPG!H25-LPG!H24&lt;0,"0",(LPG!H25-LPG!H24)*1.8315)</f>
        <v>0</v>
      </c>
      <c r="AZ18" s="35" t="str">
        <f>IF(LPG!J25-LPG!J24&lt;0,"0",(LPG!J25-LPG!J24)*1.8315)</f>
        <v>0</v>
      </c>
      <c r="BA18" s="35" t="str">
        <f>IF(LPG!M25-LPG!M24&lt;0,"0",(LPG!M25-LPG!M24)*1.8315)</f>
        <v>0</v>
      </c>
      <c r="BB18" s="35" t="str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2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2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2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40100.000000000022</v>
      </c>
      <c r="F33" s="17">
        <f t="shared" ref="F33:BC33" si="1">SUM(F2:F32)</f>
        <v>59000.00000000016</v>
      </c>
      <c r="G33" s="17">
        <f t="shared" si="1"/>
        <v>50399.999999999782</v>
      </c>
      <c r="H33" s="17">
        <f t="shared" si="1"/>
        <v>24700.000000000171</v>
      </c>
      <c r="I33" s="17">
        <f t="shared" si="1"/>
        <v>34499.999999999978</v>
      </c>
      <c r="J33" s="17">
        <f t="shared" si="1"/>
        <v>30900.000000000153</v>
      </c>
      <c r="K33" s="17">
        <f t="shared" si="1"/>
        <v>297</v>
      </c>
      <c r="L33" s="17">
        <f t="shared" si="1"/>
        <v>129</v>
      </c>
      <c r="M33" s="17">
        <f t="shared" si="1"/>
        <v>19059</v>
      </c>
      <c r="N33" s="17">
        <f t="shared" si="1"/>
        <v>7347</v>
      </c>
      <c r="O33" s="17">
        <f t="shared" si="1"/>
        <v>6950.0000000000473</v>
      </c>
      <c r="P33" s="17">
        <f t="shared" si="1"/>
        <v>52499.999999999782</v>
      </c>
      <c r="Q33" s="17">
        <f t="shared" si="1"/>
        <v>8150.0000000000337</v>
      </c>
      <c r="R33" s="17">
        <f t="shared" si="1"/>
        <v>6919.99999999996</v>
      </c>
      <c r="S33" s="17">
        <f t="shared" si="1"/>
        <v>14029.999999999973</v>
      </c>
      <c r="T33" s="17">
        <f t="shared" si="1"/>
        <v>29.400000000000091</v>
      </c>
      <c r="U33" s="39">
        <f t="shared" si="1"/>
        <v>7199.9999999999891</v>
      </c>
      <c r="V33" s="39">
        <f t="shared" si="1"/>
        <v>4.0799999999999983</v>
      </c>
      <c r="W33" s="39">
        <f t="shared" si="1"/>
        <v>3.4499999999999886</v>
      </c>
      <c r="X33" s="39">
        <f t="shared" si="1"/>
        <v>2.980000000000004</v>
      </c>
      <c r="Y33" s="39">
        <f t="shared" si="1"/>
        <v>2749.9999999999995</v>
      </c>
      <c r="Z33" s="39">
        <f t="shared" si="1"/>
        <v>3819.9999999999932</v>
      </c>
      <c r="AA33" s="39">
        <f t="shared" si="1"/>
        <v>3819.9999999999932</v>
      </c>
      <c r="AB33" s="39">
        <f t="shared" si="1"/>
        <v>3230.0000000000177</v>
      </c>
      <c r="AC33" s="39">
        <f t="shared" si="1"/>
        <v>2490.0000000000091</v>
      </c>
      <c r="AD33" s="39">
        <f t="shared" si="1"/>
        <v>2140.0000000000432</v>
      </c>
      <c r="AE33" s="39">
        <f t="shared" si="1"/>
        <v>179.9999999999784</v>
      </c>
      <c r="AF33" s="17">
        <f t="shared" si="1"/>
        <v>995</v>
      </c>
      <c r="AG33" s="36">
        <f t="shared" si="1"/>
        <v>500</v>
      </c>
      <c r="AH33" s="36">
        <f t="shared" si="1"/>
        <v>599.99999999996589</v>
      </c>
      <c r="AI33" s="36">
        <f t="shared" si="1"/>
        <v>689.99999999999773</v>
      </c>
      <c r="AJ33" s="36">
        <f t="shared" si="1"/>
        <v>630.00000000002387</v>
      </c>
      <c r="AK33" s="36">
        <f t="shared" si="1"/>
        <v>649.99999999997726</v>
      </c>
      <c r="AL33" s="36">
        <f t="shared" si="1"/>
        <v>619</v>
      </c>
      <c r="AM33" s="36">
        <f t="shared" si="1"/>
        <v>669.99999999998749</v>
      </c>
      <c r="AN33" s="36">
        <f t="shared" si="1"/>
        <v>620</v>
      </c>
      <c r="AO33" s="36">
        <f t="shared" si="1"/>
        <v>629.99999999999545</v>
      </c>
      <c r="AP33" s="36">
        <f t="shared" si="1"/>
        <v>930</v>
      </c>
      <c r="AQ33" s="17">
        <f t="shared" si="1"/>
        <v>603.70000000000073</v>
      </c>
      <c r="AR33" s="17">
        <f t="shared" si="1"/>
        <v>169.89999999999964</v>
      </c>
      <c r="AS33" s="17">
        <f t="shared" si="1"/>
        <v>156</v>
      </c>
      <c r="AT33" s="17">
        <f t="shared" si="1"/>
        <v>1286.8000000000029</v>
      </c>
      <c r="AU33" s="17">
        <f t="shared" si="1"/>
        <v>4691</v>
      </c>
      <c r="AV33" s="17">
        <f t="shared" si="1"/>
        <v>8899.9999999999782</v>
      </c>
      <c r="AW33" s="17">
        <f t="shared" si="1"/>
        <v>1356.8</v>
      </c>
      <c r="AX33" s="17">
        <f t="shared" si="1"/>
        <v>230.76899999999998</v>
      </c>
      <c r="AY33" s="17">
        <f t="shared" si="1"/>
        <v>54.944999999999979</v>
      </c>
      <c r="AZ33" s="17">
        <f t="shared" si="1"/>
        <v>5.4944999999999995</v>
      </c>
      <c r="BA33" s="17">
        <f t="shared" si="1"/>
        <v>71.428499999999985</v>
      </c>
      <c r="BB33" s="17">
        <f t="shared" si="1"/>
        <v>75.091499999999982</v>
      </c>
      <c r="BC33" s="17">
        <f t="shared" si="1"/>
        <v>760</v>
      </c>
    </row>
    <row r="35" spans="5:55" x14ac:dyDescent="0.25">
      <c r="E35" s="42">
        <f>E33/E37</f>
        <v>0.20434370509279531</v>
      </c>
      <c r="G35" s="33">
        <f>G33-M36</f>
        <v>23993.999999999782</v>
      </c>
      <c r="AE35" s="39">
        <f>SUM(U33:AE33)</f>
        <v>25640.510000000024</v>
      </c>
      <c r="AG35" s="36">
        <f>SUM(AG33:AP33)</f>
        <v>6538.9999999999472</v>
      </c>
    </row>
    <row r="36" spans="5:55" x14ac:dyDescent="0.25">
      <c r="G36" s="33">
        <f>G35-633*14</f>
        <v>15131.999999999782</v>
      </c>
      <c r="M36" s="33">
        <f>M33+N33</f>
        <v>26406</v>
      </c>
    </row>
    <row r="37" spans="5:55" x14ac:dyDescent="0.25">
      <c r="E37" s="17">
        <f>E33+F33+G33+H33+J33-633*14</f>
        <v>196238.00000000026</v>
      </c>
      <c r="G37" s="41">
        <f>M36/E37</f>
        <v>0.13456109418155487</v>
      </c>
      <c r="M37" s="39">
        <f>AE35</f>
        <v>25640.510000000024</v>
      </c>
    </row>
    <row r="38" spans="5:55" x14ac:dyDescent="0.25">
      <c r="L38" s="31">
        <f>M38/E37</f>
        <v>3.3321782733211396E-2</v>
      </c>
      <c r="M38" s="33">
        <f>AG35</f>
        <v>6538.9999999999472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2" activePane="bottomLeft" state="frozen"/>
      <selection pane="bottomLeft" activeCell="CH19" sqref="CH19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4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 t="shared" si="23"/>
        <v>409.99999999996817</v>
      </c>
      <c r="Y9" s="64">
        <v>2.181</v>
      </c>
      <c r="Z9" s="72">
        <f t="shared" si="24"/>
        <v>3400.0000000000696</v>
      </c>
      <c r="AA9" s="64">
        <v>295.35000000000002</v>
      </c>
      <c r="AB9" s="72">
        <f t="shared" si="25"/>
        <v>580.00000000004093</v>
      </c>
      <c r="AC9" s="64">
        <v>266.07</v>
      </c>
      <c r="AD9" s="72">
        <f t="shared" si="26"/>
        <v>370.00000000000455</v>
      </c>
      <c r="AE9" s="64">
        <v>401.1</v>
      </c>
      <c r="AF9" s="72">
        <f t="shared" si="27"/>
        <v>820.00000000005002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 t="shared" si="28"/>
        <v>480.00000000001819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f t="shared" si="30"/>
        <v>179.99999999994998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4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4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>
        <v>752141</v>
      </c>
      <c r="T11" s="71">
        <f t="shared" si="9"/>
        <v>1249</v>
      </c>
      <c r="U11" s="64">
        <v>304839</v>
      </c>
      <c r="V11" s="72">
        <f t="shared" si="10"/>
        <v>574</v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f t="shared" si="13"/>
        <v>0.19999999999998863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45">
      <c r="A12" s="70">
        <v>43870</v>
      </c>
      <c r="B12" s="48"/>
      <c r="C12" s="64">
        <v>1.478</v>
      </c>
      <c r="D12" s="71">
        <f t="shared" si="3"/>
        <v>2299.9999999999686</v>
      </c>
      <c r="E12" s="64">
        <v>2.4679000000000002</v>
      </c>
      <c r="F12" s="71">
        <f t="shared" si="4"/>
        <v>3700.0000000002588</v>
      </c>
      <c r="G12" s="64">
        <v>2.2785000000000002</v>
      </c>
      <c r="H12" s="71">
        <f t="shared" si="5"/>
        <v>3000.0000000001137</v>
      </c>
      <c r="I12" s="64">
        <v>1.07</v>
      </c>
      <c r="J12" s="71">
        <f t="shared" si="43"/>
        <v>1600.0000000000459</v>
      </c>
      <c r="K12" s="64">
        <v>1.6397999999999999</v>
      </c>
      <c r="L12" s="71">
        <f t="shared" si="0"/>
        <v>2000.0000000000018</v>
      </c>
      <c r="M12" s="64">
        <v>1.0388999999999999</v>
      </c>
      <c r="N12" s="71">
        <f t="shared" si="6"/>
        <v>2199.9999999999795</v>
      </c>
      <c r="O12" s="64">
        <v>11625</v>
      </c>
      <c r="P12" s="72">
        <f t="shared" si="7"/>
        <v>19</v>
      </c>
      <c r="Q12" s="64">
        <v>4649</v>
      </c>
      <c r="R12" s="72">
        <f t="shared" si="8"/>
        <v>9</v>
      </c>
      <c r="S12" s="64">
        <v>753341</v>
      </c>
      <c r="T12" s="72">
        <f t="shared" ref="T12:T34" si="44">IF((S12-S11&lt;0), "",S12-S11)</f>
        <v>1200</v>
      </c>
      <c r="U12" s="64">
        <v>305251</v>
      </c>
      <c r="V12" s="72">
        <f t="shared" si="10"/>
        <v>412</v>
      </c>
      <c r="W12" s="64">
        <v>297.51</v>
      </c>
      <c r="X12" s="72">
        <f t="shared" si="23"/>
        <v>480.00000000001819</v>
      </c>
      <c r="Y12" s="64">
        <v>2.1909000000000001</v>
      </c>
      <c r="Z12" s="72">
        <f t="shared" si="24"/>
        <v>3299.9999999998586</v>
      </c>
      <c r="AA12" s="64">
        <v>296.74</v>
      </c>
      <c r="AB12" s="72">
        <f t="shared" si="25"/>
        <v>550.00000000001137</v>
      </c>
      <c r="AC12" s="64">
        <v>267.51</v>
      </c>
      <c r="AD12" s="72">
        <f t="shared" si="26"/>
        <v>560.00000000000227</v>
      </c>
      <c r="AE12" s="64">
        <v>404.03</v>
      </c>
      <c r="AF12" s="72">
        <f t="shared" si="27"/>
        <v>1049.9999999999545</v>
      </c>
      <c r="AG12" s="64">
        <v>1061.9000000000001</v>
      </c>
      <c r="AH12" s="72">
        <f t="shared" si="11"/>
        <v>1.7000000000000455</v>
      </c>
      <c r="AI12" s="64">
        <v>369.35</v>
      </c>
      <c r="AJ12" s="72">
        <f t="shared" si="28"/>
        <v>430.00000000000682</v>
      </c>
      <c r="AK12" s="64">
        <v>128.1</v>
      </c>
      <c r="AL12" s="72">
        <f t="shared" si="12"/>
        <v>0.28000000000000114</v>
      </c>
      <c r="AM12" s="64">
        <v>129.93</v>
      </c>
      <c r="AN12" s="72">
        <f t="shared" si="13"/>
        <v>0.24000000000000909</v>
      </c>
      <c r="AO12" s="64">
        <v>127.75</v>
      </c>
      <c r="AP12" s="72">
        <f t="shared" si="14"/>
        <v>0.20999999999999375</v>
      </c>
      <c r="AQ12" s="64">
        <v>201.55</v>
      </c>
      <c r="AR12" s="72">
        <f t="shared" si="29"/>
        <v>170.00000000001592</v>
      </c>
      <c r="AS12" s="64">
        <v>325.42</v>
      </c>
      <c r="AT12" s="72">
        <f t="shared" si="30"/>
        <v>220.00000000002728</v>
      </c>
      <c r="AU12" s="64">
        <v>250.42</v>
      </c>
      <c r="AV12" s="72">
        <f t="shared" si="31"/>
        <v>199.99999999998863</v>
      </c>
      <c r="AW12" s="64">
        <v>278.91000000000003</v>
      </c>
      <c r="AX12" s="72">
        <f t="shared" si="32"/>
        <v>140.0000000000432</v>
      </c>
      <c r="AY12" s="64">
        <v>330.75</v>
      </c>
      <c r="AZ12" s="72">
        <f t="shared" si="33"/>
        <v>189.99999999999773</v>
      </c>
      <c r="BA12" s="64">
        <v>351.12</v>
      </c>
      <c r="BB12" s="72">
        <f t="shared" si="34"/>
        <v>60.000000000002274</v>
      </c>
      <c r="BC12" s="64">
        <v>202.09</v>
      </c>
      <c r="BD12" s="72">
        <f t="shared" si="35"/>
        <v>0</v>
      </c>
      <c r="BE12" s="66">
        <v>24524</v>
      </c>
      <c r="BF12" s="72">
        <f t="shared" si="15"/>
        <v>46</v>
      </c>
      <c r="BG12" s="67">
        <v>220.75</v>
      </c>
      <c r="BH12" s="72">
        <f t="shared" si="36"/>
        <v>50.000000000011369</v>
      </c>
      <c r="BI12" s="67">
        <v>277.52999999999997</v>
      </c>
      <c r="BJ12" s="72">
        <f t="shared" si="37"/>
        <v>49.999999999954525</v>
      </c>
      <c r="BK12" s="67">
        <v>225.53</v>
      </c>
      <c r="BL12" s="72">
        <f t="shared" si="38"/>
        <v>60.000000000002274</v>
      </c>
      <c r="BM12" s="67">
        <v>208.31</v>
      </c>
      <c r="BN12" s="72">
        <f t="shared" si="39"/>
        <v>60.000000000002274</v>
      </c>
      <c r="BO12" s="67">
        <v>272.20999999999998</v>
      </c>
      <c r="BP12" s="72">
        <f t="shared" si="40"/>
        <v>49.999999999954525</v>
      </c>
      <c r="BQ12" s="67">
        <v>35186</v>
      </c>
      <c r="BR12" s="72">
        <f t="shared" si="16"/>
        <v>47</v>
      </c>
      <c r="BS12" s="67">
        <v>189.52</v>
      </c>
      <c r="BT12" s="72">
        <f t="shared" si="41"/>
        <v>50.000000000011369</v>
      </c>
      <c r="BU12" s="67">
        <v>26061</v>
      </c>
      <c r="BV12" s="72">
        <f t="shared" si="1"/>
        <v>49</v>
      </c>
      <c r="BW12" s="67">
        <v>218.92</v>
      </c>
      <c r="BX12" s="72">
        <f t="shared" si="42"/>
        <v>59.999999999973852</v>
      </c>
      <c r="BY12" s="67">
        <v>42850</v>
      </c>
      <c r="BZ12" s="72">
        <f t="shared" si="17"/>
        <v>76</v>
      </c>
      <c r="CA12" s="67">
        <v>25637.7</v>
      </c>
      <c r="CB12" s="72">
        <f t="shared" si="18"/>
        <v>33.600000000002183</v>
      </c>
      <c r="CC12" s="67">
        <v>10697.4</v>
      </c>
      <c r="CD12" s="72">
        <f t="shared" si="19"/>
        <v>8.1000000000003638</v>
      </c>
      <c r="CE12" s="67">
        <v>5187.8</v>
      </c>
      <c r="CF12" s="72">
        <f t="shared" si="20"/>
        <v>9.9000000000005457</v>
      </c>
      <c r="CG12" s="67">
        <v>38833.4</v>
      </c>
      <c r="CH12" s="72">
        <f t="shared" si="21"/>
        <v>65.5</v>
      </c>
      <c r="CI12" s="67">
        <v>826933</v>
      </c>
      <c r="CJ12" s="72">
        <f t="shared" si="2"/>
        <v>301</v>
      </c>
      <c r="CK12" s="67">
        <v>512.44000000000005</v>
      </c>
      <c r="CL12" s="71">
        <f t="shared" si="22"/>
        <v>570.00000000005002</v>
      </c>
      <c r="CM12" s="72">
        <v>75.5</v>
      </c>
      <c r="CN12" s="69">
        <v>42</v>
      </c>
      <c r="CO12" s="69">
        <v>86</v>
      </c>
    </row>
    <row r="13" spans="1:93" ht="25.5" customHeight="1" thickBot="1" x14ac:dyDescent="0.45">
      <c r="A13" s="70">
        <v>43871</v>
      </c>
      <c r="B13" s="48"/>
      <c r="C13" s="64">
        <v>1.4806999999999999</v>
      </c>
      <c r="D13" s="71">
        <f t="shared" si="3"/>
        <v>2699.9999999999245</v>
      </c>
      <c r="E13" s="64">
        <v>2.4718</v>
      </c>
      <c r="F13" s="71">
        <f t="shared" si="4"/>
        <v>3899.9999999997926</v>
      </c>
      <c r="G13" s="64">
        <v>2.2814999999999999</v>
      </c>
      <c r="H13" s="71">
        <f t="shared" si="5"/>
        <v>2999.9999999996694</v>
      </c>
      <c r="I13" s="64">
        <v>1.0716000000000001</v>
      </c>
      <c r="J13" s="71">
        <f t="shared" si="43"/>
        <v>1600.0000000000459</v>
      </c>
      <c r="K13" s="64">
        <v>1.6418999999999999</v>
      </c>
      <c r="L13" s="71">
        <f t="shared" si="0"/>
        <v>2099.9999999999909</v>
      </c>
      <c r="M13" s="64">
        <v>1.0408999999999999</v>
      </c>
      <c r="N13" s="71">
        <f t="shared" si="6"/>
        <v>2000.0000000000018</v>
      </c>
      <c r="O13" s="64">
        <v>11645</v>
      </c>
      <c r="P13" s="72">
        <f t="shared" si="7"/>
        <v>20</v>
      </c>
      <c r="Q13" s="64">
        <v>4658</v>
      </c>
      <c r="R13" s="72">
        <f t="shared" si="8"/>
        <v>9</v>
      </c>
      <c r="S13" s="64">
        <v>754465</v>
      </c>
      <c r="T13" s="72">
        <f t="shared" si="44"/>
        <v>1124</v>
      </c>
      <c r="U13" s="64">
        <v>305710</v>
      </c>
      <c r="V13" s="72">
        <f t="shared" si="10"/>
        <v>459</v>
      </c>
      <c r="W13" s="64">
        <v>297.95999999999998</v>
      </c>
      <c r="X13" s="72">
        <f t="shared" si="23"/>
        <v>449.99999999998863</v>
      </c>
      <c r="Y13" s="64">
        <v>2.1945000000000001</v>
      </c>
      <c r="Z13" s="72">
        <f t="shared" si="24"/>
        <v>3600.0000000000477</v>
      </c>
      <c r="AA13" s="64">
        <v>297.36</v>
      </c>
      <c r="AB13" s="72">
        <f t="shared" si="25"/>
        <v>620.00000000000455</v>
      </c>
      <c r="AC13" s="64">
        <v>267.95</v>
      </c>
      <c r="AD13" s="72">
        <f t="shared" si="26"/>
        <v>439.99999999999773</v>
      </c>
      <c r="AE13" s="64">
        <v>405.03</v>
      </c>
      <c r="AF13" s="72">
        <f t="shared" si="27"/>
        <v>1000</v>
      </c>
      <c r="AG13" s="64">
        <v>1063.8</v>
      </c>
      <c r="AH13" s="72">
        <f t="shared" si="11"/>
        <v>1.8999999999998636</v>
      </c>
      <c r="AI13" s="64">
        <v>369.55</v>
      </c>
      <c r="AJ13" s="72">
        <f t="shared" si="28"/>
        <v>199.99999999998863</v>
      </c>
      <c r="AK13" s="64">
        <v>128.41999999999999</v>
      </c>
      <c r="AL13" s="72">
        <f t="shared" si="12"/>
        <v>0.31999999999999318</v>
      </c>
      <c r="AM13" s="64">
        <v>130.24</v>
      </c>
      <c r="AN13" s="72">
        <f t="shared" si="13"/>
        <v>0.31000000000000227</v>
      </c>
      <c r="AO13" s="64">
        <v>128.01</v>
      </c>
      <c r="AP13" s="72">
        <f t="shared" si="14"/>
        <v>0.25999999999999091</v>
      </c>
      <c r="AQ13" s="64">
        <v>201.8</v>
      </c>
      <c r="AR13" s="72">
        <f t="shared" si="29"/>
        <v>250</v>
      </c>
      <c r="AS13" s="64">
        <v>325.77</v>
      </c>
      <c r="AT13" s="72">
        <f t="shared" si="30"/>
        <v>349.99999999996589</v>
      </c>
      <c r="AU13" s="64">
        <v>250.7</v>
      </c>
      <c r="AV13" s="72">
        <f t="shared" si="31"/>
        <v>280.00000000000114</v>
      </c>
      <c r="AW13" s="64">
        <v>279.07</v>
      </c>
      <c r="AX13" s="72">
        <f t="shared" si="32"/>
        <v>159.99999999996817</v>
      </c>
      <c r="AY13" s="64">
        <v>331.06</v>
      </c>
      <c r="AZ13" s="72">
        <f t="shared" si="33"/>
        <v>310.00000000000227</v>
      </c>
      <c r="BA13" s="64">
        <v>351.18</v>
      </c>
      <c r="BB13" s="72">
        <f t="shared" si="34"/>
        <v>60.000000000002274</v>
      </c>
      <c r="BC13" s="64">
        <v>202.1</v>
      </c>
      <c r="BD13" s="72">
        <f t="shared" si="35"/>
        <v>9.9999999999909051</v>
      </c>
      <c r="BE13" s="66">
        <v>24597</v>
      </c>
      <c r="BF13" s="72">
        <f t="shared" si="15"/>
        <v>73</v>
      </c>
      <c r="BG13" s="67">
        <v>220.78</v>
      </c>
      <c r="BH13" s="72">
        <f t="shared" si="36"/>
        <v>30.000000000001137</v>
      </c>
      <c r="BI13" s="67">
        <v>277.57</v>
      </c>
      <c r="BJ13" s="72">
        <f t="shared" si="37"/>
        <v>40.000000000020464</v>
      </c>
      <c r="BK13" s="67">
        <v>225.56</v>
      </c>
      <c r="BL13" s="72">
        <f t="shared" si="38"/>
        <v>30.000000000001137</v>
      </c>
      <c r="BM13" s="67">
        <v>208.34</v>
      </c>
      <c r="BN13" s="72">
        <f t="shared" si="39"/>
        <v>30.000000000001137</v>
      </c>
      <c r="BO13" s="67">
        <v>272.24</v>
      </c>
      <c r="BP13" s="72">
        <f t="shared" si="40"/>
        <v>30.000000000029559</v>
      </c>
      <c r="BQ13" s="67">
        <v>35221</v>
      </c>
      <c r="BR13" s="72">
        <f t="shared" si="16"/>
        <v>35</v>
      </c>
      <c r="BS13" s="67">
        <v>189.57</v>
      </c>
      <c r="BT13" s="72">
        <f t="shared" si="41"/>
        <v>49.999999999982947</v>
      </c>
      <c r="BU13" s="67">
        <v>26097</v>
      </c>
      <c r="BV13" s="72">
        <f t="shared" si="1"/>
        <v>36</v>
      </c>
      <c r="BW13" s="67">
        <v>218.96</v>
      </c>
      <c r="BX13" s="72">
        <f t="shared" si="42"/>
        <v>40.000000000020464</v>
      </c>
      <c r="BY13" s="67">
        <v>42905</v>
      </c>
      <c r="BZ13" s="72">
        <f t="shared" si="17"/>
        <v>55</v>
      </c>
      <c r="CA13" s="67">
        <v>25668.5</v>
      </c>
      <c r="CB13" s="72">
        <f t="shared" si="18"/>
        <v>30.799999999999272</v>
      </c>
      <c r="CC13" s="67">
        <v>10705.1</v>
      </c>
      <c r="CD13" s="72">
        <f t="shared" si="19"/>
        <v>7.7000000000007276</v>
      </c>
      <c r="CE13" s="67">
        <v>5199.7</v>
      </c>
      <c r="CF13" s="72">
        <f t="shared" si="20"/>
        <v>11.899999999999636</v>
      </c>
      <c r="CG13" s="67">
        <v>38994.800000000003</v>
      </c>
      <c r="CH13" s="72">
        <f t="shared" si="21"/>
        <v>161.40000000000146</v>
      </c>
      <c r="CI13" s="67">
        <v>827232</v>
      </c>
      <c r="CJ13" s="72">
        <f t="shared" si="2"/>
        <v>299</v>
      </c>
      <c r="CK13" s="67">
        <v>512.86</v>
      </c>
      <c r="CL13" s="71">
        <f t="shared" si="22"/>
        <v>419.99999999995907</v>
      </c>
      <c r="CM13" s="72">
        <v>78.599999999999994</v>
      </c>
      <c r="CN13" s="69">
        <v>51</v>
      </c>
      <c r="CO13" s="69">
        <v>94</v>
      </c>
    </row>
    <row r="14" spans="1:93" ht="25.5" customHeight="1" thickBot="1" x14ac:dyDescent="0.45">
      <c r="A14" s="70">
        <v>43872</v>
      </c>
      <c r="B14" s="48"/>
      <c r="C14" s="64">
        <v>1.4839</v>
      </c>
      <c r="D14" s="71">
        <f t="shared" si="3"/>
        <v>3200.0000000000919</v>
      </c>
      <c r="E14" s="64">
        <v>2.4754</v>
      </c>
      <c r="F14" s="71">
        <f t="shared" si="4"/>
        <v>3600.0000000000477</v>
      </c>
      <c r="G14" s="64">
        <v>2.2848999999999999</v>
      </c>
      <c r="H14" s="71">
        <f t="shared" si="5"/>
        <v>3400.0000000000696</v>
      </c>
      <c r="I14" s="64">
        <v>1.0732999999999999</v>
      </c>
      <c r="J14" s="71">
        <f t="shared" si="43"/>
        <v>1699.9999999998129</v>
      </c>
      <c r="K14" s="64">
        <v>1.6439999999999999</v>
      </c>
      <c r="L14" s="71">
        <f t="shared" si="0"/>
        <v>2099.9999999999909</v>
      </c>
      <c r="M14" s="64">
        <v>1.0429999999999999</v>
      </c>
      <c r="N14" s="71">
        <f t="shared" si="6"/>
        <v>2099.9999999999909</v>
      </c>
      <c r="O14" s="64">
        <v>11665</v>
      </c>
      <c r="P14" s="72">
        <f t="shared" si="7"/>
        <v>20</v>
      </c>
      <c r="Q14" s="64">
        <v>4667</v>
      </c>
      <c r="R14" s="72">
        <f t="shared" si="8"/>
        <v>9</v>
      </c>
      <c r="S14" s="64">
        <v>755586</v>
      </c>
      <c r="T14" s="72">
        <f t="shared" si="44"/>
        <v>1121</v>
      </c>
      <c r="U14" s="64">
        <v>306178</v>
      </c>
      <c r="V14" s="72">
        <f t="shared" si="10"/>
        <v>468</v>
      </c>
      <c r="W14" s="64">
        <v>298.37</v>
      </c>
      <c r="X14" s="72">
        <f>IF((W14-W13&lt;0), "",(W14-W13)*1000)</f>
        <v>410.00000000002501</v>
      </c>
      <c r="Y14" s="64">
        <v>2.1976</v>
      </c>
      <c r="Z14" s="72">
        <f t="shared" si="24"/>
        <v>3099.9999999998809</v>
      </c>
      <c r="AA14" s="64">
        <v>297.88</v>
      </c>
      <c r="AB14" s="72">
        <f t="shared" si="25"/>
        <v>519.99999999998181</v>
      </c>
      <c r="AC14" s="64">
        <v>268.42</v>
      </c>
      <c r="AD14" s="72">
        <f t="shared" si="26"/>
        <v>470.00000000002728</v>
      </c>
      <c r="AE14" s="64">
        <v>405.99</v>
      </c>
      <c r="AF14" s="72">
        <f t="shared" si="27"/>
        <v>960.00000000003638</v>
      </c>
      <c r="AG14" s="64">
        <v>1065.5999999999999</v>
      </c>
      <c r="AH14" s="72">
        <f t="shared" si="11"/>
        <v>1.7999999999999545</v>
      </c>
      <c r="AI14" s="64">
        <v>369.94</v>
      </c>
      <c r="AJ14" s="72">
        <f t="shared" si="28"/>
        <v>389.99999999998636</v>
      </c>
      <c r="AK14" s="64">
        <v>128.69999999999999</v>
      </c>
      <c r="AL14" s="72">
        <f t="shared" si="12"/>
        <v>0.28000000000000114</v>
      </c>
      <c r="AM14" s="64">
        <v>130.51</v>
      </c>
      <c r="AN14" s="72">
        <f t="shared" si="13"/>
        <v>0.26999999999998181</v>
      </c>
      <c r="AO14" s="64">
        <v>128.24</v>
      </c>
      <c r="AP14" s="72">
        <f t="shared" si="14"/>
        <v>0.23000000000001819</v>
      </c>
      <c r="AQ14" s="64">
        <v>202.03</v>
      </c>
      <c r="AR14" s="72">
        <f t="shared" si="29"/>
        <v>229.99999999998977</v>
      </c>
      <c r="AS14" s="64">
        <v>326.04000000000002</v>
      </c>
      <c r="AT14" s="72">
        <f t="shared" si="30"/>
        <v>270.00000000003865</v>
      </c>
      <c r="AU14" s="64">
        <v>251.02</v>
      </c>
      <c r="AV14" s="72">
        <f t="shared" si="31"/>
        <v>320.0000000000216</v>
      </c>
      <c r="AW14" s="64">
        <v>279.32</v>
      </c>
      <c r="AX14" s="72">
        <f t="shared" si="32"/>
        <v>250</v>
      </c>
      <c r="AY14" s="64">
        <v>331.3</v>
      </c>
      <c r="AZ14" s="72">
        <f t="shared" si="33"/>
        <v>240.00000000000909</v>
      </c>
      <c r="BA14" s="64">
        <v>351.37</v>
      </c>
      <c r="BB14" s="72">
        <f t="shared" si="34"/>
        <v>189.99999999999773</v>
      </c>
      <c r="BC14" s="64">
        <v>202.11</v>
      </c>
      <c r="BD14" s="72">
        <f t="shared" si="35"/>
        <v>10.000000000019327</v>
      </c>
      <c r="BE14" s="66">
        <v>24668</v>
      </c>
      <c r="BF14" s="72">
        <f t="shared" si="15"/>
        <v>71</v>
      </c>
      <c r="BG14" s="67">
        <v>220.83</v>
      </c>
      <c r="BH14" s="72">
        <f t="shared" si="36"/>
        <v>50.000000000011369</v>
      </c>
      <c r="BI14" s="67">
        <v>277.62</v>
      </c>
      <c r="BJ14" s="72">
        <f t="shared" si="37"/>
        <v>50.000000000011369</v>
      </c>
      <c r="BK14" s="67">
        <v>225.62</v>
      </c>
      <c r="BL14" s="72">
        <f t="shared" si="38"/>
        <v>60.000000000002274</v>
      </c>
      <c r="BM14" s="67">
        <v>208.4</v>
      </c>
      <c r="BN14" s="72">
        <f t="shared" si="39"/>
        <v>60.000000000002274</v>
      </c>
      <c r="BO14" s="67">
        <v>272.3</v>
      </c>
      <c r="BP14" s="72">
        <f t="shared" si="40"/>
        <v>60.000000000002274</v>
      </c>
      <c r="BQ14" s="67">
        <v>35277</v>
      </c>
      <c r="BR14" s="72">
        <f t="shared" si="16"/>
        <v>56</v>
      </c>
      <c r="BS14" s="67">
        <v>189.63</v>
      </c>
      <c r="BT14" s="72">
        <f t="shared" si="41"/>
        <v>60.000000000002274</v>
      </c>
      <c r="BU14" s="67">
        <v>26150</v>
      </c>
      <c r="BV14" s="72">
        <f t="shared" si="1"/>
        <v>53</v>
      </c>
      <c r="BW14" s="67">
        <v>219.02</v>
      </c>
      <c r="BX14" s="72">
        <f t="shared" si="42"/>
        <v>60.000000000002274</v>
      </c>
      <c r="BY14" s="67">
        <v>42969</v>
      </c>
      <c r="BZ14" s="72">
        <f t="shared" si="17"/>
        <v>64</v>
      </c>
      <c r="CA14" s="67">
        <v>25700.3</v>
      </c>
      <c r="CB14" s="72">
        <f t="shared" si="18"/>
        <v>31.799999999999272</v>
      </c>
      <c r="CC14" s="67">
        <v>10716.6</v>
      </c>
      <c r="CD14" s="72">
        <f t="shared" si="19"/>
        <v>11.5</v>
      </c>
      <c r="CE14" s="67">
        <v>5200.6000000000004</v>
      </c>
      <c r="CF14" s="72">
        <f t="shared" si="20"/>
        <v>0.9000000000005457</v>
      </c>
      <c r="CG14" s="67">
        <v>39091.800000000003</v>
      </c>
      <c r="CH14" s="72">
        <f t="shared" si="21"/>
        <v>97</v>
      </c>
      <c r="CI14" s="67">
        <v>827561</v>
      </c>
      <c r="CJ14" s="72">
        <f t="shared" si="2"/>
        <v>329</v>
      </c>
      <c r="CK14" s="67">
        <v>513.57000000000005</v>
      </c>
      <c r="CL14" s="71">
        <f t="shared" si="22"/>
        <v>710.00000000003638</v>
      </c>
      <c r="CM14" s="72">
        <v>85.9</v>
      </c>
      <c r="CN14" s="69">
        <v>57</v>
      </c>
      <c r="CO14" s="69">
        <v>114</v>
      </c>
    </row>
    <row r="15" spans="1:93" ht="25.5" customHeight="1" thickBot="1" x14ac:dyDescent="0.45">
      <c r="A15" s="70">
        <v>43873</v>
      </c>
      <c r="B15" s="48"/>
      <c r="C15" s="64">
        <v>1.4871000000000001</v>
      </c>
      <c r="D15" s="71">
        <f t="shared" si="3"/>
        <v>3200.0000000000919</v>
      </c>
      <c r="E15" s="64">
        <v>2.4792999999999998</v>
      </c>
      <c r="F15" s="71">
        <f t="shared" si="4"/>
        <v>3899.9999999997926</v>
      </c>
      <c r="G15" s="64">
        <v>2.2881999999999998</v>
      </c>
      <c r="H15" s="71">
        <f t="shared" si="5"/>
        <v>3299.9999999998586</v>
      </c>
      <c r="I15" s="64">
        <v>1.075</v>
      </c>
      <c r="J15" s="71">
        <f t="shared" si="43"/>
        <v>1700.0000000000348</v>
      </c>
      <c r="K15" s="64">
        <v>1.6464000000000001</v>
      </c>
      <c r="L15" s="71">
        <f t="shared" si="0"/>
        <v>2400.0000000001796</v>
      </c>
      <c r="M15" s="64">
        <v>1.0451999999999999</v>
      </c>
      <c r="N15" s="71">
        <f t="shared" si="6"/>
        <v>2199.9999999999795</v>
      </c>
      <c r="O15" s="64">
        <v>11684</v>
      </c>
      <c r="P15" s="72">
        <f t="shared" si="7"/>
        <v>19</v>
      </c>
      <c r="Q15" s="64">
        <v>4676</v>
      </c>
      <c r="R15" s="72">
        <f t="shared" si="8"/>
        <v>9</v>
      </c>
      <c r="S15" s="64">
        <v>756970</v>
      </c>
      <c r="T15" s="72">
        <f t="shared" si="44"/>
        <v>1384</v>
      </c>
      <c r="U15" s="64">
        <v>306766</v>
      </c>
      <c r="V15" s="72">
        <f t="shared" si="10"/>
        <v>588</v>
      </c>
      <c r="W15" s="64">
        <v>298.79000000000002</v>
      </c>
      <c r="X15" s="72">
        <f t="shared" si="23"/>
        <v>420.00000000001592</v>
      </c>
      <c r="Y15" s="64">
        <v>2.2010000000000001</v>
      </c>
      <c r="Z15" s="72">
        <f t="shared" si="24"/>
        <v>3400.0000000000696</v>
      </c>
      <c r="AA15" s="64">
        <v>298.41000000000003</v>
      </c>
      <c r="AB15" s="72">
        <f t="shared" si="25"/>
        <v>530.00000000002956</v>
      </c>
      <c r="AC15" s="64">
        <v>268.85000000000002</v>
      </c>
      <c r="AD15" s="72">
        <f t="shared" si="26"/>
        <v>430.00000000000682</v>
      </c>
      <c r="AE15" s="64">
        <v>406.93</v>
      </c>
      <c r="AF15" s="72">
        <f t="shared" si="27"/>
        <v>939.99999999999773</v>
      </c>
      <c r="AG15" s="64">
        <v>1067.7</v>
      </c>
      <c r="AH15" s="72">
        <f t="shared" si="11"/>
        <v>2.1000000000001364</v>
      </c>
      <c r="AI15" s="64">
        <v>370.32</v>
      </c>
      <c r="AJ15" s="72">
        <f t="shared" si="28"/>
        <v>379.99999999999545</v>
      </c>
      <c r="AK15" s="64">
        <v>128.99</v>
      </c>
      <c r="AL15" s="72">
        <f t="shared" si="12"/>
        <v>0.29000000000002046</v>
      </c>
      <c r="AM15" s="64">
        <v>130.77000000000001</v>
      </c>
      <c r="AN15" s="72">
        <f t="shared" si="13"/>
        <v>0.26000000000001933</v>
      </c>
      <c r="AO15" s="64">
        <v>128.47</v>
      </c>
      <c r="AP15" s="72">
        <f t="shared" si="14"/>
        <v>0.22999999999998977</v>
      </c>
      <c r="AQ15" s="64">
        <v>202.24</v>
      </c>
      <c r="AR15" s="72">
        <f t="shared" si="29"/>
        <v>210.00000000000796</v>
      </c>
      <c r="AS15" s="64">
        <v>326.27</v>
      </c>
      <c r="AT15" s="72">
        <f t="shared" si="30"/>
        <v>229.99999999996135</v>
      </c>
      <c r="AU15" s="64">
        <v>251.26</v>
      </c>
      <c r="AV15" s="72">
        <f t="shared" si="31"/>
        <v>239.99999999998067</v>
      </c>
      <c r="AW15" s="64">
        <v>279.61</v>
      </c>
      <c r="AX15" s="72">
        <f t="shared" si="32"/>
        <v>290.00000000002046</v>
      </c>
      <c r="AY15" s="64">
        <v>331.49</v>
      </c>
      <c r="AZ15" s="72">
        <f t="shared" si="33"/>
        <v>189.99999999999773</v>
      </c>
      <c r="BA15" s="64">
        <v>351.7</v>
      </c>
      <c r="BB15" s="72">
        <f t="shared" si="34"/>
        <v>329.99999999998408</v>
      </c>
      <c r="BC15" s="64">
        <v>202.12</v>
      </c>
      <c r="BD15" s="72">
        <f t="shared" si="35"/>
        <v>9.9999999999909051</v>
      </c>
      <c r="BE15" s="66">
        <v>24733</v>
      </c>
      <c r="BF15" s="72">
        <f t="shared" si="15"/>
        <v>65</v>
      </c>
      <c r="BG15" s="67">
        <v>220.86</v>
      </c>
      <c r="BH15" s="72">
        <f t="shared" si="36"/>
        <v>30.000000000001137</v>
      </c>
      <c r="BI15" s="67">
        <v>277.64999999999998</v>
      </c>
      <c r="BJ15" s="72">
        <f t="shared" si="37"/>
        <v>29.999999999972715</v>
      </c>
      <c r="BK15" s="67">
        <v>225.66</v>
      </c>
      <c r="BL15" s="72">
        <f t="shared" si="38"/>
        <v>39.999999999992042</v>
      </c>
      <c r="BM15" s="67">
        <v>208.44</v>
      </c>
      <c r="BN15" s="72">
        <f t="shared" si="39"/>
        <v>39.999999999992042</v>
      </c>
      <c r="BO15" s="67">
        <v>272.33999999999997</v>
      </c>
      <c r="BP15" s="72">
        <f t="shared" si="40"/>
        <v>39.99999999996362</v>
      </c>
      <c r="BQ15" s="67">
        <v>35313</v>
      </c>
      <c r="BR15" s="72">
        <f t="shared" si="16"/>
        <v>36</v>
      </c>
      <c r="BS15" s="67">
        <v>189.67</v>
      </c>
      <c r="BT15" s="72">
        <f t="shared" si="41"/>
        <v>39.999999999992042</v>
      </c>
      <c r="BU15" s="67">
        <v>26186</v>
      </c>
      <c r="BV15" s="72">
        <f t="shared" si="1"/>
        <v>36</v>
      </c>
      <c r="BW15" s="67">
        <v>219.05</v>
      </c>
      <c r="BX15" s="72">
        <f t="shared" si="42"/>
        <v>30.000000000001137</v>
      </c>
      <c r="BY15" s="67">
        <v>43030</v>
      </c>
      <c r="BZ15" s="72">
        <f t="shared" si="17"/>
        <v>61</v>
      </c>
      <c r="CA15" s="67">
        <v>25736.1</v>
      </c>
      <c r="CB15" s="72">
        <f t="shared" si="18"/>
        <v>35.799999999999272</v>
      </c>
      <c r="CC15" s="67">
        <v>10727</v>
      </c>
      <c r="CD15" s="72">
        <f t="shared" si="19"/>
        <v>10.399999999999636</v>
      </c>
      <c r="CE15" s="67">
        <v>5207.7</v>
      </c>
      <c r="CF15" s="72">
        <f t="shared" si="20"/>
        <v>7.0999999999994543</v>
      </c>
      <c r="CG15" s="67">
        <v>39136.800000000003</v>
      </c>
      <c r="CH15" s="72">
        <f t="shared" si="21"/>
        <v>45</v>
      </c>
      <c r="CI15" s="67">
        <v>827868</v>
      </c>
      <c r="CJ15" s="72">
        <f t="shared" si="2"/>
        <v>307</v>
      </c>
      <c r="CK15" s="67">
        <v>514.07000000000005</v>
      </c>
      <c r="CL15" s="71">
        <f t="shared" si="22"/>
        <v>500</v>
      </c>
      <c r="CM15" s="72">
        <v>105</v>
      </c>
      <c r="CN15" s="69">
        <v>82</v>
      </c>
      <c r="CO15" s="69">
        <v>119</v>
      </c>
    </row>
    <row r="16" spans="1:93" ht="25.5" customHeight="1" thickBot="1" x14ac:dyDescent="0.45">
      <c r="A16" s="70">
        <v>43874</v>
      </c>
      <c r="B16" s="48"/>
      <c r="C16" s="64">
        <v>1.4903</v>
      </c>
      <c r="D16" s="71">
        <f t="shared" si="3"/>
        <v>3199.9999999998695</v>
      </c>
      <c r="E16" s="64">
        <v>2.4832999999999998</v>
      </c>
      <c r="F16" s="71">
        <f t="shared" si="4"/>
        <v>4000.0000000000036</v>
      </c>
      <c r="G16" s="64">
        <v>2.2917999999999998</v>
      </c>
      <c r="H16" s="71">
        <f t="shared" si="5"/>
        <v>3600.0000000000477</v>
      </c>
      <c r="I16" s="64">
        <v>1.0768</v>
      </c>
      <c r="J16" s="71">
        <f t="shared" si="43"/>
        <v>1800.0000000000239</v>
      </c>
      <c r="K16" s="64">
        <v>1.6487000000000001</v>
      </c>
      <c r="L16" s="71">
        <f t="shared" si="0"/>
        <v>2299.9999999999686</v>
      </c>
      <c r="M16" s="64">
        <v>1.0472999999999999</v>
      </c>
      <c r="N16" s="71">
        <f t="shared" si="6"/>
        <v>2099.9999999999909</v>
      </c>
      <c r="O16" s="64">
        <v>11703</v>
      </c>
      <c r="P16" s="72">
        <f t="shared" si="7"/>
        <v>19</v>
      </c>
      <c r="Q16" s="64">
        <v>4686</v>
      </c>
      <c r="R16" s="72">
        <f t="shared" si="8"/>
        <v>10</v>
      </c>
      <c r="S16" s="64">
        <v>758245</v>
      </c>
      <c r="T16" s="72">
        <f t="shared" si="44"/>
        <v>1275</v>
      </c>
      <c r="U16" s="64">
        <v>307296</v>
      </c>
      <c r="V16" s="72">
        <f t="shared" si="10"/>
        <v>530</v>
      </c>
      <c r="W16" s="64">
        <v>299.26</v>
      </c>
      <c r="X16" s="72">
        <f t="shared" si="23"/>
        <v>469.99999999997044</v>
      </c>
      <c r="Y16" s="64">
        <v>2.2044999999999999</v>
      </c>
      <c r="Z16" s="72">
        <f t="shared" si="24"/>
        <v>3499.9999999998367</v>
      </c>
      <c r="AA16" s="64">
        <v>298.95999999999998</v>
      </c>
      <c r="AB16" s="72">
        <f t="shared" si="25"/>
        <v>549.99999999995453</v>
      </c>
      <c r="AC16" s="64">
        <v>269.33999999999997</v>
      </c>
      <c r="AD16" s="72">
        <f t="shared" si="26"/>
        <v>489.99999999995225</v>
      </c>
      <c r="AE16" s="64">
        <v>407.91</v>
      </c>
      <c r="AF16" s="72">
        <f t="shared" si="27"/>
        <v>980.00000000001819</v>
      </c>
      <c r="AG16" s="64">
        <v>1069.8</v>
      </c>
      <c r="AH16" s="72">
        <f t="shared" si="11"/>
        <v>2.0999999999999091</v>
      </c>
      <c r="AI16" s="64">
        <v>370.81</v>
      </c>
      <c r="AJ16" s="72">
        <f t="shared" si="28"/>
        <v>490.00000000000909</v>
      </c>
      <c r="AK16" s="64">
        <v>129.28</v>
      </c>
      <c r="AL16" s="72">
        <f t="shared" si="12"/>
        <v>0.28999999999999204</v>
      </c>
      <c r="AM16" s="64">
        <v>131.03</v>
      </c>
      <c r="AN16" s="72">
        <f t="shared" si="13"/>
        <v>0.25999999999999091</v>
      </c>
      <c r="AO16" s="64">
        <v>128.69999999999999</v>
      </c>
      <c r="AP16" s="72">
        <f t="shared" si="14"/>
        <v>0.22999999999998977</v>
      </c>
      <c r="AQ16" s="64">
        <v>202.48</v>
      </c>
      <c r="AR16" s="72">
        <f t="shared" si="29"/>
        <v>239.99999999998067</v>
      </c>
      <c r="AS16" s="64">
        <v>326.56</v>
      </c>
      <c r="AT16" s="72">
        <f t="shared" si="30"/>
        <v>290.00000000002046</v>
      </c>
      <c r="AU16" s="64">
        <v>251.55</v>
      </c>
      <c r="AV16" s="72">
        <f t="shared" si="31"/>
        <v>290.00000000002046</v>
      </c>
      <c r="AW16" s="64">
        <v>279.86</v>
      </c>
      <c r="AX16" s="72">
        <f t="shared" si="32"/>
        <v>250</v>
      </c>
      <c r="AY16" s="64">
        <v>331.68</v>
      </c>
      <c r="AZ16" s="72">
        <f t="shared" si="33"/>
        <v>189.99999999999773</v>
      </c>
      <c r="BA16" s="64">
        <v>351.95</v>
      </c>
      <c r="BB16" s="72">
        <f t="shared" si="34"/>
        <v>250</v>
      </c>
      <c r="BC16" s="64">
        <v>202.13</v>
      </c>
      <c r="BD16" s="72">
        <f t="shared" si="35"/>
        <v>9.9999999999909051</v>
      </c>
      <c r="BE16" s="66">
        <v>24804</v>
      </c>
      <c r="BF16" s="72">
        <f t="shared" si="15"/>
        <v>71</v>
      </c>
      <c r="BG16" s="67">
        <v>220.88</v>
      </c>
      <c r="BH16" s="72">
        <f t="shared" si="36"/>
        <v>19.99999999998181</v>
      </c>
      <c r="BI16" s="67">
        <v>277.69</v>
      </c>
      <c r="BJ16" s="72">
        <f t="shared" si="37"/>
        <v>40.000000000020464</v>
      </c>
      <c r="BK16" s="67">
        <v>225.71</v>
      </c>
      <c r="BL16" s="72">
        <f t="shared" si="38"/>
        <v>50.000000000011369</v>
      </c>
      <c r="BM16" s="67">
        <v>208.48</v>
      </c>
      <c r="BN16" s="72">
        <f t="shared" si="39"/>
        <v>39.999999999992042</v>
      </c>
      <c r="BO16" s="67">
        <v>272.39</v>
      </c>
      <c r="BP16" s="72">
        <f t="shared" si="40"/>
        <v>50.000000000011369</v>
      </c>
      <c r="BQ16" s="67">
        <v>35355</v>
      </c>
      <c r="BR16" s="72">
        <f t="shared" si="16"/>
        <v>42</v>
      </c>
      <c r="BS16" s="67">
        <v>189.72</v>
      </c>
      <c r="BT16" s="72">
        <f t="shared" si="41"/>
        <v>50.000000000011369</v>
      </c>
      <c r="BU16" s="67">
        <v>26225</v>
      </c>
      <c r="BV16" s="72">
        <f t="shared" si="1"/>
        <v>39</v>
      </c>
      <c r="BW16" s="67">
        <v>219.09</v>
      </c>
      <c r="BX16" s="72">
        <f t="shared" si="42"/>
        <v>39.999999999992042</v>
      </c>
      <c r="BY16" s="67">
        <v>43090</v>
      </c>
      <c r="BZ16" s="72">
        <f t="shared" si="17"/>
        <v>60</v>
      </c>
      <c r="CA16" s="67">
        <v>25775.8</v>
      </c>
      <c r="CB16" s="72">
        <f t="shared" si="18"/>
        <v>39.700000000000728</v>
      </c>
      <c r="CC16" s="67">
        <v>10741.5</v>
      </c>
      <c r="CD16" s="72">
        <f t="shared" si="19"/>
        <v>14.5</v>
      </c>
      <c r="CE16" s="67">
        <v>5207.8999999999996</v>
      </c>
      <c r="CF16" s="72">
        <f t="shared" si="20"/>
        <v>0.1999999999998181</v>
      </c>
      <c r="CG16" s="67">
        <v>39252.1</v>
      </c>
      <c r="CH16" s="72">
        <f t="shared" si="21"/>
        <v>115.29999999999563</v>
      </c>
      <c r="CI16" s="67">
        <v>828180</v>
      </c>
      <c r="CJ16" s="72">
        <f t="shared" si="2"/>
        <v>312</v>
      </c>
      <c r="CK16" s="67">
        <v>514.82000000000005</v>
      </c>
      <c r="CL16" s="71">
        <f t="shared" si="22"/>
        <v>750</v>
      </c>
      <c r="CM16" s="72">
        <v>110.8</v>
      </c>
      <c r="CN16" s="69">
        <v>61</v>
      </c>
      <c r="CO16" s="69">
        <v>119</v>
      </c>
    </row>
    <row r="17" spans="1:93" ht="25.5" customHeight="1" thickBot="1" x14ac:dyDescent="0.45">
      <c r="A17" s="70">
        <v>43875</v>
      </c>
      <c r="B17" s="48"/>
      <c r="C17" s="64">
        <v>1.4932000000000001</v>
      </c>
      <c r="D17" s="71">
        <f t="shared" si="3"/>
        <v>2900.0000000001246</v>
      </c>
      <c r="E17" s="64">
        <v>2.4868999999999999</v>
      </c>
      <c r="F17" s="71">
        <f t="shared" si="4"/>
        <v>3600.0000000000477</v>
      </c>
      <c r="G17" s="64">
        <v>2.2953000000000001</v>
      </c>
      <c r="H17" s="71">
        <f t="shared" si="5"/>
        <v>3500.0000000002806</v>
      </c>
      <c r="I17" s="64">
        <v>1.0784</v>
      </c>
      <c r="J17" s="71">
        <f t="shared" si="43"/>
        <v>1600.0000000000459</v>
      </c>
      <c r="K17" s="64">
        <v>1.651</v>
      </c>
      <c r="L17" s="71">
        <f t="shared" si="0"/>
        <v>2299.9999999999686</v>
      </c>
      <c r="M17" s="64">
        <v>1.0494000000000001</v>
      </c>
      <c r="N17" s="71">
        <f t="shared" si="6"/>
        <v>2100.0000000002128</v>
      </c>
      <c r="O17" s="64">
        <v>11722</v>
      </c>
      <c r="P17" s="72">
        <f t="shared" si="7"/>
        <v>19</v>
      </c>
      <c r="Q17" s="64">
        <v>4694</v>
      </c>
      <c r="R17" s="72">
        <f t="shared" si="8"/>
        <v>8</v>
      </c>
      <c r="S17" s="64">
        <v>759620</v>
      </c>
      <c r="T17" s="72">
        <f t="shared" si="44"/>
        <v>1375</v>
      </c>
      <c r="U17" s="64">
        <v>307859</v>
      </c>
      <c r="V17" s="72">
        <f t="shared" si="10"/>
        <v>563</v>
      </c>
      <c r="W17" s="64">
        <v>299.7</v>
      </c>
      <c r="X17" s="72">
        <f t="shared" si="23"/>
        <v>439.99999999999773</v>
      </c>
      <c r="Y17" s="64">
        <v>2.2077</v>
      </c>
      <c r="Z17" s="72">
        <f t="shared" si="24"/>
        <v>3200.0000000000919</v>
      </c>
      <c r="AA17" s="64">
        <v>299.49</v>
      </c>
      <c r="AB17" s="72">
        <f t="shared" si="25"/>
        <v>530.00000000002956</v>
      </c>
      <c r="AC17" s="64">
        <v>269.86</v>
      </c>
      <c r="AD17" s="72">
        <f t="shared" si="26"/>
        <v>520.00000000003865</v>
      </c>
      <c r="AE17" s="64">
        <v>408.8</v>
      </c>
      <c r="AF17" s="72">
        <f t="shared" si="27"/>
        <v>889.99999999998636</v>
      </c>
      <c r="AG17" s="64">
        <v>1071.8</v>
      </c>
      <c r="AH17" s="72">
        <f t="shared" si="11"/>
        <v>2</v>
      </c>
      <c r="AI17" s="64">
        <v>371.33</v>
      </c>
      <c r="AJ17" s="72">
        <f t="shared" si="28"/>
        <v>519.99999999998181</v>
      </c>
      <c r="AK17" s="64">
        <v>129.55000000000001</v>
      </c>
      <c r="AL17" s="72">
        <f t="shared" si="12"/>
        <v>0.27000000000001023</v>
      </c>
      <c r="AM17" s="64">
        <v>131.25</v>
      </c>
      <c r="AN17" s="72">
        <f t="shared" si="13"/>
        <v>0.21999999999999886</v>
      </c>
      <c r="AO17" s="64">
        <v>128.88999999999999</v>
      </c>
      <c r="AP17" s="72">
        <f t="shared" si="14"/>
        <v>0.18999999999999773</v>
      </c>
      <c r="AQ17" s="64">
        <v>202.66</v>
      </c>
      <c r="AR17" s="72">
        <f t="shared" si="29"/>
        <v>180.00000000000682</v>
      </c>
      <c r="AS17" s="64">
        <v>326.81</v>
      </c>
      <c r="AT17" s="72">
        <f t="shared" si="30"/>
        <v>250</v>
      </c>
      <c r="AU17" s="64">
        <v>251.78</v>
      </c>
      <c r="AV17" s="72">
        <f t="shared" si="31"/>
        <v>229.99999999998977</v>
      </c>
      <c r="AW17" s="64">
        <v>280.11</v>
      </c>
      <c r="AX17" s="72">
        <f t="shared" si="32"/>
        <v>250</v>
      </c>
      <c r="AY17" s="64">
        <v>331.86</v>
      </c>
      <c r="AZ17" s="72">
        <f t="shared" si="33"/>
        <v>180.00000000000682</v>
      </c>
      <c r="BA17" s="64">
        <v>352.18</v>
      </c>
      <c r="BB17" s="72">
        <f t="shared" si="34"/>
        <v>230.00000000001819</v>
      </c>
      <c r="BC17" s="64">
        <v>202.15</v>
      </c>
      <c r="BD17" s="72">
        <f t="shared" si="35"/>
        <v>20.000000000010232</v>
      </c>
      <c r="BE17" s="66">
        <v>24855</v>
      </c>
      <c r="BF17" s="72">
        <f t="shared" si="15"/>
        <v>51</v>
      </c>
      <c r="BG17" s="67">
        <v>220.91</v>
      </c>
      <c r="BH17" s="72">
        <f t="shared" si="36"/>
        <v>30.000000000001137</v>
      </c>
      <c r="BI17" s="67">
        <v>277.74</v>
      </c>
      <c r="BJ17" s="72">
        <f t="shared" si="37"/>
        <v>50.000000000011369</v>
      </c>
      <c r="BK17" s="67">
        <v>225.76</v>
      </c>
      <c r="BL17" s="72">
        <f t="shared" si="38"/>
        <v>49.999999999982947</v>
      </c>
      <c r="BM17" s="67">
        <v>208.53</v>
      </c>
      <c r="BN17" s="72">
        <f t="shared" si="39"/>
        <v>50.000000000011369</v>
      </c>
      <c r="BO17" s="67">
        <v>272.43</v>
      </c>
      <c r="BP17" s="72">
        <f t="shared" si="40"/>
        <v>40.000000000020464</v>
      </c>
      <c r="BQ17" s="67">
        <v>35393</v>
      </c>
      <c r="BR17" s="72">
        <f t="shared" si="16"/>
        <v>38</v>
      </c>
      <c r="BS17" s="67">
        <v>189.77</v>
      </c>
      <c r="BT17" s="72">
        <f t="shared" si="41"/>
        <v>50.000000000011369</v>
      </c>
      <c r="BU17" s="67">
        <v>26269</v>
      </c>
      <c r="BV17" s="72">
        <f t="shared" si="1"/>
        <v>44</v>
      </c>
      <c r="BW17" s="67">
        <v>219.13</v>
      </c>
      <c r="BX17" s="72">
        <f t="shared" si="42"/>
        <v>39.999999999992042</v>
      </c>
      <c r="BY17" s="67">
        <v>43162</v>
      </c>
      <c r="BZ17" s="72">
        <f t="shared" si="17"/>
        <v>72</v>
      </c>
      <c r="CA17" s="67">
        <v>25815.5</v>
      </c>
      <c r="CB17" s="72">
        <f t="shared" si="18"/>
        <v>39.700000000000728</v>
      </c>
      <c r="CC17" s="67">
        <v>10752.4</v>
      </c>
      <c r="CD17" s="72">
        <f t="shared" si="19"/>
        <v>10.899999999999636</v>
      </c>
      <c r="CE17" s="67">
        <v>5220.1000000000004</v>
      </c>
      <c r="CF17" s="72">
        <f t="shared" si="20"/>
        <v>12.200000000000728</v>
      </c>
      <c r="CG17" s="67">
        <v>39302.800000000003</v>
      </c>
      <c r="CH17" s="72">
        <f t="shared" si="21"/>
        <v>50.700000000004366</v>
      </c>
      <c r="CI17" s="67">
        <v>828478</v>
      </c>
      <c r="CJ17" s="72">
        <f t="shared" si="2"/>
        <v>298</v>
      </c>
      <c r="CK17" s="67">
        <v>515.42999999999995</v>
      </c>
      <c r="CL17" s="71">
        <f t="shared" si="22"/>
        <v>609.99999999989996</v>
      </c>
      <c r="CM17" s="72">
        <v>110</v>
      </c>
      <c r="CN17" s="69">
        <v>61</v>
      </c>
      <c r="CO17" s="69">
        <v>127</v>
      </c>
    </row>
    <row r="18" spans="1:93" ht="25.5" customHeight="1" thickBot="1" x14ac:dyDescent="0.45">
      <c r="A18" s="70">
        <v>43876</v>
      </c>
      <c r="B18" s="48"/>
      <c r="C18" s="64">
        <v>1.4964</v>
      </c>
      <c r="D18" s="71">
        <f t="shared" si="3"/>
        <v>3199.9999999998695</v>
      </c>
      <c r="E18" s="64">
        <v>2.4906000000000001</v>
      </c>
      <c r="F18" s="71">
        <f t="shared" si="4"/>
        <v>3700.0000000002588</v>
      </c>
      <c r="G18" s="64">
        <v>2.2989000000000002</v>
      </c>
      <c r="H18" s="71">
        <f t="shared" si="5"/>
        <v>3600.0000000000477</v>
      </c>
      <c r="I18" s="64">
        <v>1.0799000000000001</v>
      </c>
      <c r="J18" s="71">
        <f t="shared" si="43"/>
        <v>1500.0000000000568</v>
      </c>
      <c r="K18" s="64">
        <v>1.6534</v>
      </c>
      <c r="L18" s="71">
        <f t="shared" si="0"/>
        <v>2399.9999999999577</v>
      </c>
      <c r="M18" s="64">
        <v>1.0512999999999999</v>
      </c>
      <c r="N18" s="71">
        <f t="shared" si="6"/>
        <v>1899.9999999997908</v>
      </c>
      <c r="O18" s="64">
        <v>11741</v>
      </c>
      <c r="P18" s="72">
        <f t="shared" si="7"/>
        <v>19</v>
      </c>
      <c r="Q18" s="64">
        <v>4702</v>
      </c>
      <c r="R18" s="72">
        <f t="shared" si="8"/>
        <v>8</v>
      </c>
      <c r="S18" s="64">
        <v>760700</v>
      </c>
      <c r="T18" s="72">
        <f t="shared" si="44"/>
        <v>1080</v>
      </c>
      <c r="U18" s="64">
        <v>308455</v>
      </c>
      <c r="V18" s="72">
        <f t="shared" si="10"/>
        <v>596</v>
      </c>
      <c r="W18" s="64">
        <v>300.13</v>
      </c>
      <c r="X18" s="72">
        <f t="shared" si="23"/>
        <v>430.00000000000682</v>
      </c>
      <c r="Y18" s="64">
        <v>2.2109999999999999</v>
      </c>
      <c r="Z18" s="72">
        <f t="shared" si="24"/>
        <v>3299.9999999998586</v>
      </c>
      <c r="AA18" s="64">
        <v>300.01</v>
      </c>
      <c r="AB18" s="72">
        <f t="shared" si="25"/>
        <v>519.99999999998181</v>
      </c>
      <c r="AC18" s="64">
        <v>270.33999999999997</v>
      </c>
      <c r="AD18" s="72">
        <f t="shared" si="26"/>
        <v>479.99999999996135</v>
      </c>
      <c r="AE18" s="64">
        <v>409.67</v>
      </c>
      <c r="AF18" s="72">
        <f t="shared" si="27"/>
        <v>870.00000000000455</v>
      </c>
      <c r="AG18" s="64">
        <v>1074</v>
      </c>
      <c r="AH18" s="72">
        <f t="shared" si="11"/>
        <v>2.2000000000000455</v>
      </c>
      <c r="AI18" s="64">
        <v>371.92</v>
      </c>
      <c r="AJ18" s="72">
        <f t="shared" si="28"/>
        <v>590.00000000003183</v>
      </c>
      <c r="AK18" s="64">
        <v>129.84</v>
      </c>
      <c r="AL18" s="72">
        <f t="shared" si="12"/>
        <v>0.28999999999999204</v>
      </c>
      <c r="AM18" s="64">
        <v>131.49</v>
      </c>
      <c r="AN18" s="72">
        <f t="shared" si="13"/>
        <v>0.24000000000000909</v>
      </c>
      <c r="AO18" s="64">
        <v>129.11000000000001</v>
      </c>
      <c r="AP18" s="72">
        <f t="shared" si="14"/>
        <v>0.22000000000002728</v>
      </c>
      <c r="AQ18" s="64">
        <v>202.87</v>
      </c>
      <c r="AR18" s="72">
        <f t="shared" si="29"/>
        <v>210.00000000000796</v>
      </c>
      <c r="AS18" s="64">
        <v>327.07</v>
      </c>
      <c r="AT18" s="72">
        <f t="shared" si="30"/>
        <v>259.99999999999091</v>
      </c>
      <c r="AU18" s="64">
        <v>252.04</v>
      </c>
      <c r="AV18" s="72">
        <f t="shared" si="31"/>
        <v>259.99999999999091</v>
      </c>
      <c r="AW18" s="64">
        <v>280.35000000000002</v>
      </c>
      <c r="AX18" s="72">
        <f t="shared" si="32"/>
        <v>240.00000000000909</v>
      </c>
      <c r="AY18" s="64">
        <v>332.04</v>
      </c>
      <c r="AZ18" s="72">
        <f t="shared" si="33"/>
        <v>180.00000000000682</v>
      </c>
      <c r="BA18" s="64">
        <v>352.44</v>
      </c>
      <c r="BB18" s="72">
        <f t="shared" si="34"/>
        <v>259.99999999999091</v>
      </c>
      <c r="BC18" s="64">
        <v>202.17</v>
      </c>
      <c r="BD18" s="72">
        <f t="shared" si="35"/>
        <v>19.99999999998181</v>
      </c>
      <c r="BE18" s="66">
        <v>24941</v>
      </c>
      <c r="BF18" s="72">
        <f t="shared" si="15"/>
        <v>86</v>
      </c>
      <c r="BG18" s="67">
        <v>220.96</v>
      </c>
      <c r="BH18" s="72">
        <f t="shared" si="36"/>
        <v>50.000000000011369</v>
      </c>
      <c r="BI18" s="67">
        <v>277.77999999999997</v>
      </c>
      <c r="BJ18" s="72">
        <f t="shared" si="37"/>
        <v>39.99999999996362</v>
      </c>
      <c r="BK18" s="67">
        <v>225.82</v>
      </c>
      <c r="BL18" s="72">
        <f t="shared" si="38"/>
        <v>60.000000000002274</v>
      </c>
      <c r="BM18" s="67">
        <v>208.57</v>
      </c>
      <c r="BN18" s="72">
        <f t="shared" si="39"/>
        <v>39.999999999992042</v>
      </c>
      <c r="BO18" s="67">
        <v>272.49</v>
      </c>
      <c r="BP18" s="72">
        <f t="shared" si="40"/>
        <v>60.000000000002274</v>
      </c>
      <c r="BQ18" s="67">
        <v>35440</v>
      </c>
      <c r="BR18" s="72">
        <f t="shared" si="16"/>
        <v>47</v>
      </c>
      <c r="BS18" s="67">
        <v>189.8</v>
      </c>
      <c r="BT18" s="72">
        <f t="shared" si="41"/>
        <v>30.000000000001137</v>
      </c>
      <c r="BU18" s="67">
        <v>26318</v>
      </c>
      <c r="BV18" s="72">
        <f t="shared" si="1"/>
        <v>49</v>
      </c>
      <c r="BW18" s="67">
        <v>219.17</v>
      </c>
      <c r="BX18" s="72">
        <f t="shared" si="42"/>
        <v>39.999999999992042</v>
      </c>
      <c r="BY18" s="67">
        <v>43231</v>
      </c>
      <c r="BZ18" s="72">
        <f t="shared" si="17"/>
        <v>69</v>
      </c>
      <c r="CA18" s="67">
        <v>25862.400000000001</v>
      </c>
      <c r="CB18" s="72">
        <f t="shared" si="18"/>
        <v>46.900000000001455</v>
      </c>
      <c r="CC18" s="67">
        <v>10763.5</v>
      </c>
      <c r="CD18" s="72">
        <f t="shared" si="19"/>
        <v>11.100000000000364</v>
      </c>
      <c r="CE18" s="67">
        <v>5227.5</v>
      </c>
      <c r="CF18" s="72">
        <f t="shared" si="20"/>
        <v>7.3999999999996362</v>
      </c>
      <c r="CG18" s="67">
        <v>39451.599999999999</v>
      </c>
      <c r="CH18" s="72">
        <f t="shared" si="21"/>
        <v>148.79999999999563</v>
      </c>
      <c r="CI18" s="67">
        <v>828784</v>
      </c>
      <c r="CJ18" s="72">
        <f t="shared" si="2"/>
        <v>306</v>
      </c>
      <c r="CK18" s="67">
        <v>516.12</v>
      </c>
      <c r="CL18" s="71">
        <f t="shared" si="22"/>
        <v>690.00000000005457</v>
      </c>
      <c r="CM18" s="72">
        <v>96</v>
      </c>
      <c r="CN18" s="69">
        <v>66</v>
      </c>
      <c r="CO18" s="69">
        <v>135</v>
      </c>
    </row>
    <row r="19" spans="1:93" ht="25.5" customHeight="1" thickBot="1" x14ac:dyDescent="0.45">
      <c r="A19" s="70">
        <v>43877</v>
      </c>
      <c r="B19" s="48"/>
      <c r="C19" s="64">
        <v>1.5003</v>
      </c>
      <c r="D19" s="71">
        <f t="shared" si="3"/>
        <v>3900.0000000000146</v>
      </c>
      <c r="E19" s="64">
        <v>2.4948000000000001</v>
      </c>
      <c r="F19" s="71">
        <f t="shared" si="4"/>
        <v>4199.9999999999818</v>
      </c>
      <c r="G19" s="64">
        <v>2.3026</v>
      </c>
      <c r="H19" s="71">
        <f t="shared" si="5"/>
        <v>3699.9999999998145</v>
      </c>
      <c r="I19" s="64">
        <v>1.0817000000000001</v>
      </c>
      <c r="J19" s="71">
        <f t="shared" si="43"/>
        <v>1800.0000000000239</v>
      </c>
      <c r="K19" s="64">
        <v>1.6559999999999999</v>
      </c>
      <c r="L19" s="71">
        <f t="shared" si="0"/>
        <v>2599.9999999999359</v>
      </c>
      <c r="M19" s="64">
        <v>1.0535000000000001</v>
      </c>
      <c r="N19" s="71">
        <f t="shared" si="6"/>
        <v>2200.0000000002019</v>
      </c>
      <c r="O19" s="64">
        <v>11760</v>
      </c>
      <c r="P19" s="72">
        <f t="shared" si="7"/>
        <v>19</v>
      </c>
      <c r="Q19" s="64">
        <v>4712</v>
      </c>
      <c r="R19" s="72">
        <f t="shared" si="8"/>
        <v>10</v>
      </c>
      <c r="S19" s="64">
        <v>762718</v>
      </c>
      <c r="T19" s="72">
        <f t="shared" si="44"/>
        <v>2018</v>
      </c>
      <c r="U19" s="64">
        <v>309001</v>
      </c>
      <c r="V19" s="72">
        <f t="shared" si="10"/>
        <v>546</v>
      </c>
      <c r="W19" s="64">
        <v>300.61</v>
      </c>
      <c r="X19" s="72">
        <f t="shared" si="23"/>
        <v>480.00000000001819</v>
      </c>
      <c r="Y19" s="64">
        <v>2.2147999999999999</v>
      </c>
      <c r="Z19" s="72">
        <f t="shared" si="24"/>
        <v>3800.0000000000255</v>
      </c>
      <c r="AA19" s="64">
        <v>300.60000000000002</v>
      </c>
      <c r="AB19" s="72">
        <f t="shared" si="25"/>
        <v>590.00000000003183</v>
      </c>
      <c r="AC19" s="64">
        <v>270.89999999999998</v>
      </c>
      <c r="AD19" s="72">
        <f t="shared" si="26"/>
        <v>560.00000000000227</v>
      </c>
      <c r="AE19" s="64">
        <v>410.63</v>
      </c>
      <c r="AF19" s="72">
        <f t="shared" si="27"/>
        <v>959.99999999997954</v>
      </c>
      <c r="AG19" s="64">
        <v>1076</v>
      </c>
      <c r="AH19" s="72">
        <f t="shared" si="11"/>
        <v>2</v>
      </c>
      <c r="AI19" s="64">
        <v>372.63</v>
      </c>
      <c r="AJ19" s="72">
        <f t="shared" si="28"/>
        <v>709.99999999997954</v>
      </c>
      <c r="AK19" s="64">
        <v>130.1</v>
      </c>
      <c r="AL19" s="72">
        <f t="shared" si="12"/>
        <v>0.25999999999999091</v>
      </c>
      <c r="AM19" s="64">
        <v>131.78</v>
      </c>
      <c r="AN19" s="72">
        <f t="shared" si="13"/>
        <v>0.28999999999999204</v>
      </c>
      <c r="AO19" s="64">
        <v>129.43</v>
      </c>
      <c r="AP19" s="72">
        <f t="shared" si="14"/>
        <v>0.31999999999999318</v>
      </c>
      <c r="AQ19" s="64">
        <v>203.18</v>
      </c>
      <c r="AR19" s="72">
        <f t="shared" si="29"/>
        <v>310.00000000000227</v>
      </c>
      <c r="AS19" s="64">
        <v>327.33</v>
      </c>
      <c r="AT19" s="72">
        <f t="shared" si="30"/>
        <v>259.99999999999091</v>
      </c>
      <c r="AU19" s="64">
        <v>252.33</v>
      </c>
      <c r="AV19" s="72">
        <f t="shared" si="31"/>
        <v>290.00000000002046</v>
      </c>
      <c r="AW19" s="64">
        <v>280.64999999999998</v>
      </c>
      <c r="AX19" s="72">
        <f t="shared" si="32"/>
        <v>299.99999999995453</v>
      </c>
      <c r="AY19" s="64">
        <v>332.3</v>
      </c>
      <c r="AZ19" s="72">
        <f t="shared" si="33"/>
        <v>259.99999999999091</v>
      </c>
      <c r="BA19" s="64">
        <v>352.72</v>
      </c>
      <c r="BB19" s="72">
        <f t="shared" si="34"/>
        <v>280.00000000002956</v>
      </c>
      <c r="BC19" s="64">
        <v>202.17</v>
      </c>
      <c r="BD19" s="72">
        <f t="shared" si="35"/>
        <v>0</v>
      </c>
      <c r="BE19" s="66">
        <v>25010</v>
      </c>
      <c r="BF19" s="72">
        <f t="shared" si="15"/>
        <v>69</v>
      </c>
      <c r="BG19" s="67">
        <v>220.98</v>
      </c>
      <c r="BH19" s="72">
        <f t="shared" si="36"/>
        <v>19.99999999998181</v>
      </c>
      <c r="BI19" s="67">
        <v>277.82</v>
      </c>
      <c r="BJ19" s="72">
        <f t="shared" si="37"/>
        <v>40.000000000020464</v>
      </c>
      <c r="BK19" s="67">
        <v>225.87</v>
      </c>
      <c r="BL19" s="72">
        <f t="shared" si="38"/>
        <v>50.000000000011369</v>
      </c>
      <c r="BM19" s="67">
        <v>208.61</v>
      </c>
      <c r="BN19" s="72">
        <f t="shared" si="39"/>
        <v>40.000000000020464</v>
      </c>
      <c r="BO19" s="67">
        <v>272.52</v>
      </c>
      <c r="BP19" s="72">
        <f t="shared" si="40"/>
        <v>29.999999999972715</v>
      </c>
      <c r="BQ19" s="67">
        <v>35481</v>
      </c>
      <c r="BR19" s="72">
        <f t="shared" si="16"/>
        <v>41</v>
      </c>
      <c r="BS19" s="67">
        <v>189.85</v>
      </c>
      <c r="BT19" s="72">
        <f t="shared" si="41"/>
        <v>49.999999999982947</v>
      </c>
      <c r="BU19" s="67">
        <v>26359</v>
      </c>
      <c r="BV19" s="72">
        <f t="shared" si="1"/>
        <v>41</v>
      </c>
      <c r="BW19" s="67">
        <v>219.22</v>
      </c>
      <c r="BX19" s="72">
        <f t="shared" si="42"/>
        <v>50.000000000011369</v>
      </c>
      <c r="BY19" s="67">
        <v>43302</v>
      </c>
      <c r="BZ19" s="72">
        <f t="shared" si="17"/>
        <v>71</v>
      </c>
      <c r="CA19" s="67">
        <v>25907.8</v>
      </c>
      <c r="CB19" s="72">
        <f t="shared" si="18"/>
        <v>45.399999999997817</v>
      </c>
      <c r="CC19" s="67">
        <v>10775.8</v>
      </c>
      <c r="CD19" s="72">
        <f t="shared" si="19"/>
        <v>12.299999999999272</v>
      </c>
      <c r="CE19" s="67">
        <v>5236.8999999999996</v>
      </c>
      <c r="CF19" s="72">
        <f t="shared" si="20"/>
        <v>9.3999999999996362</v>
      </c>
      <c r="CG19" s="67">
        <v>39544.9</v>
      </c>
      <c r="CH19" s="72">
        <f t="shared" si="21"/>
        <v>93.30000000000291</v>
      </c>
      <c r="CI19" s="67">
        <v>829082</v>
      </c>
      <c r="CJ19" s="72">
        <f t="shared" si="2"/>
        <v>298</v>
      </c>
      <c r="CK19" s="67">
        <v>516.87</v>
      </c>
      <c r="CL19" s="71">
        <f t="shared" si="22"/>
        <v>750</v>
      </c>
      <c r="CM19" s="72">
        <v>100.7</v>
      </c>
      <c r="CN19" s="69">
        <v>62</v>
      </c>
      <c r="CO19" s="69">
        <v>126</v>
      </c>
    </row>
    <row r="20" spans="1:93" ht="25.5" customHeight="1" thickBot="1" x14ac:dyDescent="0.45">
      <c r="A20" s="70">
        <v>43878</v>
      </c>
      <c r="B20" s="48"/>
      <c r="C20" s="64"/>
      <c r="D20" s="71" t="str">
        <f t="shared" si="3"/>
        <v>0</v>
      </c>
      <c r="E20" s="64"/>
      <c r="F20" s="71" t="str">
        <f t="shared" si="4"/>
        <v>0</v>
      </c>
      <c r="G20" s="64"/>
      <c r="H20" s="71" t="str">
        <f t="shared" si="5"/>
        <v>0</v>
      </c>
      <c r="I20" s="64"/>
      <c r="J20" s="71" t="str">
        <f t="shared" si="43"/>
        <v>0</v>
      </c>
      <c r="K20" s="64"/>
      <c r="L20" s="71" t="str">
        <f t="shared" si="0"/>
        <v>0</v>
      </c>
      <c r="M20" s="64"/>
      <c r="N20" s="71" t="str">
        <f t="shared" si="6"/>
        <v/>
      </c>
      <c r="O20" s="64"/>
      <c r="P20" s="72" t="str">
        <f t="shared" si="7"/>
        <v/>
      </c>
      <c r="Q20" s="64"/>
      <c r="R20" s="72" t="str">
        <f t="shared" si="8"/>
        <v/>
      </c>
      <c r="S20" s="64"/>
      <c r="T20" s="72" t="str">
        <f t="shared" si="44"/>
        <v/>
      </c>
      <c r="U20" s="64"/>
      <c r="V20" s="72" t="str">
        <f t="shared" si="10"/>
        <v/>
      </c>
      <c r="W20" s="64"/>
      <c r="X20" s="72" t="str">
        <f t="shared" si="23"/>
        <v/>
      </c>
      <c r="Y20" s="64"/>
      <c r="Z20" s="72" t="str">
        <f t="shared" si="24"/>
        <v/>
      </c>
      <c r="AA20" s="64"/>
      <c r="AB20" s="72" t="str">
        <f t="shared" si="25"/>
        <v/>
      </c>
      <c r="AC20" s="64"/>
      <c r="AD20" s="72" t="str">
        <f t="shared" si="26"/>
        <v/>
      </c>
      <c r="AE20" s="64"/>
      <c r="AF20" s="72" t="str">
        <f>IF((AE20-AE19&lt;0), "",(AE20-AE19)*10000)</f>
        <v/>
      </c>
      <c r="AG20" s="64"/>
      <c r="AH20" s="72" t="str">
        <f t="shared" si="11"/>
        <v/>
      </c>
      <c r="AI20" s="64"/>
      <c r="AJ20" s="72" t="str">
        <f t="shared" si="28"/>
        <v/>
      </c>
      <c r="AK20" s="64"/>
      <c r="AL20" s="72" t="str">
        <f t="shared" si="12"/>
        <v/>
      </c>
      <c r="AM20" s="64"/>
      <c r="AN20" s="72" t="str">
        <f t="shared" si="13"/>
        <v/>
      </c>
      <c r="AO20" s="64"/>
      <c r="AP20" s="72" t="str">
        <f t="shared" si="14"/>
        <v/>
      </c>
      <c r="AQ20" s="64"/>
      <c r="AR20" s="72" t="str">
        <f t="shared" si="29"/>
        <v/>
      </c>
      <c r="AS20" s="64"/>
      <c r="AT20" s="72" t="str">
        <f t="shared" si="30"/>
        <v/>
      </c>
      <c r="AU20" s="64"/>
      <c r="AV20" s="72" t="str">
        <f t="shared" si="31"/>
        <v/>
      </c>
      <c r="AW20" s="64"/>
      <c r="AX20" s="72" t="str">
        <f t="shared" si="32"/>
        <v/>
      </c>
      <c r="AY20" s="64"/>
      <c r="AZ20" s="72" t="str">
        <f t="shared" si="33"/>
        <v/>
      </c>
      <c r="BA20" s="64"/>
      <c r="BB20" s="72" t="str">
        <f t="shared" si="34"/>
        <v/>
      </c>
      <c r="BC20" s="64"/>
      <c r="BD20" s="72" t="str">
        <f t="shared" si="35"/>
        <v/>
      </c>
      <c r="BE20" s="66"/>
      <c r="BF20" s="72" t="str">
        <f t="shared" si="15"/>
        <v/>
      </c>
      <c r="BG20" s="67"/>
      <c r="BH20" s="72" t="str">
        <f t="shared" si="36"/>
        <v/>
      </c>
      <c r="BI20" s="67"/>
      <c r="BJ20" s="72" t="str">
        <f t="shared" si="37"/>
        <v/>
      </c>
      <c r="BK20" s="67"/>
      <c r="BL20" s="72" t="str">
        <f t="shared" si="38"/>
        <v/>
      </c>
      <c r="BM20" s="67"/>
      <c r="BN20" s="72" t="str">
        <f t="shared" si="39"/>
        <v/>
      </c>
      <c r="BO20" s="67"/>
      <c r="BP20" s="72" t="str">
        <f t="shared" si="40"/>
        <v/>
      </c>
      <c r="BQ20" s="67"/>
      <c r="BR20" s="72" t="str">
        <f t="shared" si="16"/>
        <v/>
      </c>
      <c r="BS20" s="67"/>
      <c r="BT20" s="72" t="str">
        <f t="shared" si="41"/>
        <v/>
      </c>
      <c r="BU20" s="67"/>
      <c r="BV20" s="72" t="str">
        <f t="shared" si="1"/>
        <v/>
      </c>
      <c r="BW20" s="67"/>
      <c r="BX20" s="72" t="str">
        <f t="shared" si="42"/>
        <v/>
      </c>
      <c r="BY20" s="67"/>
      <c r="BZ20" s="72" t="str">
        <f t="shared" si="17"/>
        <v/>
      </c>
      <c r="CA20" s="67"/>
      <c r="CB20" s="72" t="str">
        <f t="shared" si="18"/>
        <v/>
      </c>
      <c r="CC20" s="67"/>
      <c r="CD20" s="72" t="str">
        <f t="shared" si="19"/>
        <v/>
      </c>
      <c r="CE20" s="67"/>
      <c r="CF20" s="72" t="str">
        <f t="shared" si="20"/>
        <v/>
      </c>
      <c r="CG20" s="67"/>
      <c r="CH20" s="72" t="str">
        <f t="shared" si="21"/>
        <v/>
      </c>
      <c r="CI20" s="67"/>
      <c r="CJ20" s="72" t="str">
        <f t="shared" si="2"/>
        <v/>
      </c>
      <c r="CK20" s="67"/>
      <c r="CL20" s="71" t="str">
        <f t="shared" si="22"/>
        <v/>
      </c>
      <c r="CM20" s="72"/>
      <c r="CN20" s="69"/>
      <c r="CO20" s="69"/>
    </row>
    <row r="21" spans="1:93" ht="25.5" customHeight="1" thickBot="1" x14ac:dyDescent="0.45">
      <c r="A21" s="70">
        <v>43879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7"/>
      <c r="BJ21" s="72">
        <f t="shared" si="37"/>
        <v>0</v>
      </c>
      <c r="BK21" s="67"/>
      <c r="BL21" s="72">
        <f t="shared" si="38"/>
        <v>0</v>
      </c>
      <c r="BM21" s="67"/>
      <c r="BN21" s="72">
        <f t="shared" si="39"/>
        <v>0</v>
      </c>
      <c r="BO21" s="67"/>
      <c r="BP21" s="72">
        <f t="shared" si="40"/>
        <v>0</v>
      </c>
      <c r="BQ21" s="67"/>
      <c r="BR21" s="72">
        <f t="shared" si="16"/>
        <v>0</v>
      </c>
      <c r="BS21" s="67"/>
      <c r="BT21" s="72">
        <f t="shared" si="41"/>
        <v>0</v>
      </c>
      <c r="BU21" s="67"/>
      <c r="BV21" s="72">
        <f t="shared" si="1"/>
        <v>0</v>
      </c>
      <c r="BW21" s="67"/>
      <c r="BX21" s="72">
        <f t="shared" si="42"/>
        <v>0</v>
      </c>
      <c r="BY21" s="67"/>
      <c r="BZ21" s="72">
        <f t="shared" si="17"/>
        <v>0</v>
      </c>
      <c r="CA21" s="67"/>
      <c r="CB21" s="72">
        <f t="shared" si="18"/>
        <v>0</v>
      </c>
      <c r="CC21" s="67"/>
      <c r="CD21" s="72">
        <f t="shared" si="19"/>
        <v>0</v>
      </c>
      <c r="CE21" s="67"/>
      <c r="CF21" s="72">
        <f t="shared" si="20"/>
        <v>0</v>
      </c>
      <c r="CG21" s="67"/>
      <c r="CH21" s="72">
        <f t="shared" si="21"/>
        <v>0</v>
      </c>
      <c r="CI21" s="67"/>
      <c r="CJ21" s="72">
        <f t="shared" si="2"/>
        <v>0</v>
      </c>
      <c r="CK21" s="67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43880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7"/>
      <c r="BJ22" s="72">
        <f t="shared" si="37"/>
        <v>0</v>
      </c>
      <c r="BK22" s="67"/>
      <c r="BL22" s="72">
        <f t="shared" si="38"/>
        <v>0</v>
      </c>
      <c r="BM22" s="67"/>
      <c r="BN22" s="72">
        <f t="shared" si="39"/>
        <v>0</v>
      </c>
      <c r="BO22" s="67"/>
      <c r="BP22" s="72">
        <f t="shared" si="40"/>
        <v>0</v>
      </c>
      <c r="BQ22" s="67"/>
      <c r="BR22" s="72">
        <f t="shared" si="16"/>
        <v>0</v>
      </c>
      <c r="BS22" s="67"/>
      <c r="BT22" s="72">
        <f t="shared" si="41"/>
        <v>0</v>
      </c>
      <c r="BU22" s="67"/>
      <c r="BV22" s="72">
        <f t="shared" si="1"/>
        <v>0</v>
      </c>
      <c r="BW22" s="67"/>
      <c r="BX22" s="72">
        <f t="shared" si="42"/>
        <v>0</v>
      </c>
      <c r="BY22" s="67"/>
      <c r="BZ22" s="72">
        <f t="shared" si="17"/>
        <v>0</v>
      </c>
      <c r="CA22" s="67"/>
      <c r="CB22" s="72">
        <f t="shared" si="18"/>
        <v>0</v>
      </c>
      <c r="CC22" s="67"/>
      <c r="CD22" s="72">
        <f t="shared" si="19"/>
        <v>0</v>
      </c>
      <c r="CE22" s="67"/>
      <c r="CF22" s="72">
        <f t="shared" si="20"/>
        <v>0</v>
      </c>
      <c r="CG22" s="67"/>
      <c r="CH22" s="72">
        <f t="shared" si="21"/>
        <v>0</v>
      </c>
      <c r="CI22" s="67"/>
      <c r="CJ22" s="72">
        <f t="shared" si="2"/>
        <v>0</v>
      </c>
      <c r="CK22" s="67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43881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43882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43883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43884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43885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43886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43887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43888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43889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297</v>
      </c>
      <c r="R35" s="76">
        <f>SUM(R4:R33)</f>
        <v>129</v>
      </c>
      <c r="AX35" s="72">
        <f t="shared" si="32"/>
        <v>0</v>
      </c>
      <c r="BF35" s="76">
        <f>SUM(BF4:BF33)</f>
        <v>995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7" zoomScaleNormal="100" workbookViewId="0">
      <selection activeCell="Q25" sqref="Q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80</v>
      </c>
      <c r="H12" s="45">
        <v>1273</v>
      </c>
      <c r="I12" s="45">
        <v>85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70</v>
      </c>
      <c r="H13" s="45">
        <v>1275</v>
      </c>
      <c r="I13" s="45">
        <v>85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25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60</v>
      </c>
      <c r="H14" s="45">
        <v>1278</v>
      </c>
      <c r="I14" s="45">
        <v>85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25">
      <c r="A15" s="27">
        <v>43868</v>
      </c>
      <c r="B15" s="44">
        <v>37</v>
      </c>
      <c r="C15" s="44">
        <v>31</v>
      </c>
      <c r="D15" s="44">
        <v>68</v>
      </c>
      <c r="E15" s="45">
        <v>0</v>
      </c>
      <c r="F15" s="45">
        <v>4421</v>
      </c>
      <c r="G15" s="45">
        <v>45</v>
      </c>
      <c r="H15" s="45">
        <v>1280</v>
      </c>
      <c r="I15" s="45">
        <v>85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25">
      <c r="A16" s="27">
        <v>43869</v>
      </c>
      <c r="B16" s="44">
        <v>42</v>
      </c>
      <c r="C16" s="44">
        <v>31</v>
      </c>
      <c r="D16" s="44">
        <v>66</v>
      </c>
      <c r="E16" s="45">
        <v>0</v>
      </c>
      <c r="F16" s="45">
        <v>4429</v>
      </c>
      <c r="G16" s="45">
        <v>35</v>
      </c>
      <c r="H16" s="45">
        <v>1282</v>
      </c>
      <c r="I16" s="45">
        <v>85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25">
      <c r="A17" s="27">
        <v>43870</v>
      </c>
      <c r="B17" s="44">
        <v>56</v>
      </c>
      <c r="C17" s="44">
        <v>42</v>
      </c>
      <c r="D17" s="44">
        <v>86</v>
      </c>
      <c r="E17" s="45">
        <v>0</v>
      </c>
      <c r="F17" s="45">
        <v>4436</v>
      </c>
      <c r="G17" s="45">
        <v>20</v>
      </c>
      <c r="H17" s="45">
        <v>1283</v>
      </c>
      <c r="I17" s="45">
        <v>85</v>
      </c>
      <c r="J17" s="45">
        <v>257</v>
      </c>
      <c r="K17" s="46">
        <v>5</v>
      </c>
      <c r="L17" s="46">
        <v>85</v>
      </c>
      <c r="M17" s="46">
        <v>1043</v>
      </c>
      <c r="N17" s="43">
        <v>85</v>
      </c>
      <c r="O17" s="43">
        <v>0</v>
      </c>
      <c r="P17" s="43">
        <v>70</v>
      </c>
      <c r="Q17" s="43">
        <v>2133</v>
      </c>
    </row>
    <row r="18" spans="1:17" x14ac:dyDescent="0.25">
      <c r="A18" s="27">
        <v>43871</v>
      </c>
      <c r="B18" s="44">
        <v>70</v>
      </c>
      <c r="C18" s="44">
        <v>51</v>
      </c>
      <c r="D18" s="44">
        <v>94</v>
      </c>
      <c r="E18" s="45">
        <v>0</v>
      </c>
      <c r="F18" s="45">
        <v>4445</v>
      </c>
      <c r="G18" s="45">
        <v>15</v>
      </c>
      <c r="H18" s="45">
        <v>1285</v>
      </c>
      <c r="I18" s="45">
        <v>85</v>
      </c>
      <c r="J18" s="45">
        <v>257</v>
      </c>
      <c r="K18" s="46">
        <v>0</v>
      </c>
      <c r="L18" s="46">
        <v>85</v>
      </c>
      <c r="M18" s="46">
        <v>1046</v>
      </c>
      <c r="N18" s="43">
        <v>85</v>
      </c>
      <c r="O18" s="43">
        <v>0</v>
      </c>
      <c r="P18" s="43">
        <v>65</v>
      </c>
      <c r="Q18" s="43">
        <v>2136</v>
      </c>
    </row>
    <row r="19" spans="1:17" x14ac:dyDescent="0.25">
      <c r="A19" s="27">
        <v>43872</v>
      </c>
      <c r="B19" s="44">
        <v>79</v>
      </c>
      <c r="C19" s="44">
        <v>57</v>
      </c>
      <c r="D19" s="44">
        <v>114</v>
      </c>
      <c r="E19" s="45">
        <v>0</v>
      </c>
      <c r="F19" s="45">
        <v>4452</v>
      </c>
      <c r="G19" s="45">
        <v>5</v>
      </c>
      <c r="H19" s="45">
        <v>1286</v>
      </c>
      <c r="I19" s="45">
        <v>85</v>
      </c>
      <c r="J19" s="45">
        <v>257</v>
      </c>
      <c r="K19" s="46">
        <v>0</v>
      </c>
      <c r="L19" s="46">
        <v>85</v>
      </c>
      <c r="M19" s="46">
        <v>1048</v>
      </c>
      <c r="N19" s="43">
        <v>85</v>
      </c>
      <c r="O19" s="43">
        <v>0</v>
      </c>
      <c r="P19" s="43">
        <v>65</v>
      </c>
      <c r="Q19" s="43">
        <v>2138</v>
      </c>
    </row>
    <row r="20" spans="1:17" x14ac:dyDescent="0.25">
      <c r="A20" s="27">
        <v>43873</v>
      </c>
      <c r="B20" s="44">
        <v>82</v>
      </c>
      <c r="C20" s="44">
        <v>60</v>
      </c>
      <c r="D20" s="44">
        <v>119</v>
      </c>
      <c r="E20" s="45">
        <v>0</v>
      </c>
      <c r="F20" s="45">
        <v>4460</v>
      </c>
      <c r="G20" s="45">
        <v>0</v>
      </c>
      <c r="H20" s="45">
        <v>1288</v>
      </c>
      <c r="I20" s="45">
        <v>85</v>
      </c>
      <c r="J20" s="45">
        <v>257</v>
      </c>
      <c r="K20" s="46">
        <v>0</v>
      </c>
      <c r="L20" s="46">
        <v>85</v>
      </c>
      <c r="M20" s="46">
        <v>1052</v>
      </c>
      <c r="N20" s="43">
        <v>85</v>
      </c>
      <c r="O20" s="43">
        <v>0</v>
      </c>
      <c r="P20" s="43">
        <v>60</v>
      </c>
      <c r="Q20" s="43">
        <v>2140</v>
      </c>
    </row>
    <row r="21" spans="1:17" x14ac:dyDescent="0.25">
      <c r="A21" s="27">
        <v>43874</v>
      </c>
      <c r="B21" s="44">
        <v>85</v>
      </c>
      <c r="C21" s="44">
        <v>61</v>
      </c>
      <c r="D21" s="44">
        <v>119</v>
      </c>
      <c r="E21" s="45">
        <v>0</v>
      </c>
      <c r="F21" s="45">
        <v>4467</v>
      </c>
      <c r="G21" s="45">
        <v>0</v>
      </c>
      <c r="H21" s="45">
        <v>1290</v>
      </c>
      <c r="I21" s="45">
        <v>85</v>
      </c>
      <c r="J21" s="45">
        <v>258</v>
      </c>
      <c r="K21" s="46">
        <v>0</v>
      </c>
      <c r="L21" s="46">
        <v>80</v>
      </c>
      <c r="M21" s="46">
        <v>1054</v>
      </c>
      <c r="N21" s="43">
        <v>85</v>
      </c>
      <c r="O21" s="43">
        <v>0</v>
      </c>
      <c r="P21" s="43">
        <v>55</v>
      </c>
      <c r="Q21" s="43">
        <v>2143</v>
      </c>
    </row>
    <row r="22" spans="1:17" x14ac:dyDescent="0.25">
      <c r="A22" s="27">
        <v>43875</v>
      </c>
      <c r="B22" s="44">
        <v>82</v>
      </c>
      <c r="C22" s="44">
        <v>61</v>
      </c>
      <c r="D22" s="44">
        <v>127</v>
      </c>
      <c r="E22" s="45">
        <v>0</v>
      </c>
      <c r="F22" s="45">
        <v>4476</v>
      </c>
      <c r="G22" s="45">
        <v>0</v>
      </c>
      <c r="H22" s="45">
        <v>1292</v>
      </c>
      <c r="I22" s="45">
        <v>65</v>
      </c>
      <c r="J22" s="45">
        <v>259</v>
      </c>
      <c r="K22" s="46">
        <v>0</v>
      </c>
      <c r="L22" s="46">
        <v>80</v>
      </c>
      <c r="M22" s="46">
        <v>1058</v>
      </c>
      <c r="N22" s="43">
        <v>85</v>
      </c>
      <c r="O22" s="43">
        <v>0</v>
      </c>
      <c r="P22" s="43">
        <v>55</v>
      </c>
      <c r="Q22" s="43">
        <v>2146</v>
      </c>
    </row>
    <row r="23" spans="1:17" x14ac:dyDescent="0.25">
      <c r="A23" s="27">
        <v>43876</v>
      </c>
      <c r="B23" s="44">
        <v>86</v>
      </c>
      <c r="C23" s="44">
        <v>66</v>
      </c>
      <c r="D23" s="44">
        <v>135</v>
      </c>
      <c r="E23" s="45">
        <v>0</v>
      </c>
      <c r="F23" s="45">
        <v>4484</v>
      </c>
      <c r="G23" s="45">
        <v>0</v>
      </c>
      <c r="H23" s="45">
        <v>1294</v>
      </c>
      <c r="I23" s="45">
        <v>60</v>
      </c>
      <c r="J23" s="45">
        <v>259</v>
      </c>
      <c r="K23" s="46">
        <v>0</v>
      </c>
      <c r="L23" s="46">
        <v>80</v>
      </c>
      <c r="M23" s="46">
        <v>1060</v>
      </c>
      <c r="N23" s="43">
        <v>85</v>
      </c>
      <c r="O23" s="43">
        <v>0</v>
      </c>
      <c r="P23" s="43">
        <v>50</v>
      </c>
      <c r="Q23" s="43">
        <v>2148</v>
      </c>
    </row>
    <row r="24" spans="1:17" x14ac:dyDescent="0.25">
      <c r="A24" s="27">
        <v>43877</v>
      </c>
      <c r="B24" s="44">
        <v>80</v>
      </c>
      <c r="C24" s="44">
        <v>62</v>
      </c>
      <c r="D24" s="44">
        <v>126</v>
      </c>
      <c r="E24" s="45">
        <v>0</v>
      </c>
      <c r="F24" s="45">
        <v>4493</v>
      </c>
      <c r="G24" s="45">
        <v>80</v>
      </c>
      <c r="H24" s="45">
        <v>1296</v>
      </c>
      <c r="I24" s="45">
        <v>50</v>
      </c>
      <c r="J24" s="45">
        <v>260</v>
      </c>
      <c r="K24" s="46">
        <v>0</v>
      </c>
      <c r="L24" s="46">
        <v>70</v>
      </c>
      <c r="M24" s="46">
        <v>1065</v>
      </c>
      <c r="N24" s="43">
        <v>80</v>
      </c>
      <c r="O24" s="43">
        <v>0</v>
      </c>
      <c r="P24" s="43">
        <v>50</v>
      </c>
      <c r="Q24" s="43">
        <v>2152</v>
      </c>
    </row>
    <row r="25" spans="1:17" x14ac:dyDescent="0.25">
      <c r="A25" s="27">
        <v>43878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43879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43880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43881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43882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43883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43884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43885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43886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43887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43888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2020-02-17T03:45:52Z</dcterms:modified>
</cp:coreProperties>
</file>