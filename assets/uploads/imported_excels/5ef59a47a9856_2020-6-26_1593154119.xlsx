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J23" i="6"/>
  <c r="J24" i="6"/>
  <c r="J25" i="6"/>
  <c r="J26" i="6"/>
  <c r="J27" i="6"/>
  <c r="E27" i="3" s="1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6" i="3" l="1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<sst xmlns="http://schemas.openxmlformats.org/spreadsheetml/2006/main" count="296" uniqueCount="138">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</sst>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3199.9999999992901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9.6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3860.000000000251</v>
      </c>
      <c r="F23" s="11">
        <f t="shared" si="1"/>
        <v>0.58765030286592534</v>
      </c>
      <c r="G23" s="12">
        <f>(Submetering!AX23+Submetering!AY23+Submetering!AZ23+Submetering!BA23+Submetering!BB23)</f>
        <v>3.6629999999999998</v>
      </c>
      <c r="H23" s="11">
        <f t="shared" si="2"/>
        <v>0.99</v>
      </c>
      <c r="I23" s="12">
        <f>'FS Desroches Daily'!CM25</f>
        <v>27.5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3459.9999999999595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27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3680.0000000005111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4029.9999999999209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31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 t="e">
        <f>Submetering!E27+Submetering!F27+Submetering!G27+Submetering!H27+Submetering!J27-Submetering!AV27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7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3.0000000000001137E-2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2.0000000000010232E-2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3.0000000000001137E-2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3.0000000000001137E-2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600.00000000015598</v>
      </c>
      <c r="F22" s="33">
        <f>'FS Desroches Daily'!F24</f>
        <v>499.99999999972289</v>
      </c>
      <c r="G22" s="32">
        <f>'FS Desroches Daily'!H24</f>
        <v>1299.9999999996348</v>
      </c>
      <c r="H22" s="33">
        <f>'FS Desroches Daily'!J24</f>
        <v>799.99999999991189</v>
      </c>
      <c r="I22" s="32">
        <f>'FS Desroches Daily'!L24</f>
        <v>1800.0000000000239</v>
      </c>
      <c r="J22" s="33">
        <f>'FS Desroches Daily'!N24</f>
        <v>399.99999999995595</v>
      </c>
      <c r="K22" s="13">
        <f>'FS Desroches Daily'!P24</f>
        <v>1</v>
      </c>
      <c r="L22" s="32">
        <f>'FS Desroches Daily'!R24</f>
        <v>3</v>
      </c>
      <c r="M22" s="32">
        <f>'FS Desroches Daily'!T24</f>
        <v>69.400000000023283</v>
      </c>
      <c r="N22" s="32">
        <f>'FS Desroches Daily'!V24</f>
        <v>42</v>
      </c>
      <c r="O22" s="32">
        <f>'FS Desroches Daily'!X24</f>
        <v>79.999999999984084</v>
      </c>
      <c r="P22" s="32">
        <f>'FS Desroches Daily'!Z24</f>
        <v>300.000000000189</v>
      </c>
      <c r="Q22" s="32">
        <f>'FS Desroches Daily'!AB24</f>
        <v>60.000000000002274</v>
      </c>
      <c r="R22" s="32">
        <f>'FS Desroches Daily'!AD24</f>
        <v>110.00000000001364</v>
      </c>
      <c r="S22" s="32">
        <f>'FS Desroches Daily'!AF24</f>
        <v>120.00000000000455</v>
      </c>
      <c r="T22" s="32">
        <f>'FS Desroches Daily'!AH24</f>
        <v>1</v>
      </c>
      <c r="U22" s="36">
        <f>'FS Desroches Daily'!AJ24</f>
        <v>219.99999999997044</v>
      </c>
      <c r="V22" s="36">
        <f>'FS Desroches Daily'!AL24</f>
        <v>3.0000000000001137E-2</v>
      </c>
      <c r="W22" s="36">
        <f>'FS Desroches Daily'!AN24</f>
        <v>3.0000000000001137E-2</v>
      </c>
      <c r="X22" s="36">
        <f>'FS Desroches Daily'!AP24</f>
        <v>2.0000000000010232E-2</v>
      </c>
      <c r="Y22" s="36">
        <f>'FS Desroches Daily'!AR24</f>
        <v>19.99999999998181</v>
      </c>
      <c r="Z22" s="36">
        <f>'FS Desroches Daily'!AT24</f>
        <v>30.000000000029559</v>
      </c>
      <c r="AA22" s="36">
        <f>'FS Desroches Daily'!AT24</f>
        <v>30.000000000029559</v>
      </c>
      <c r="AB22" s="36">
        <f>'FS Desroches Daily'!AV24</f>
        <v>19.99999999998181</v>
      </c>
      <c r="AC22" s="36">
        <f>'FS Desroches Daily'!AZ24</f>
        <v>19.99999999998181</v>
      </c>
      <c r="AD22" s="36">
        <f>'FS Desroches Daily'!BB24</f>
        <v>10.000000000047748</v>
      </c>
      <c r="AE22" s="36">
        <f>'FS Desroches Daily'!BD24</f>
        <v>10.000000000019327</v>
      </c>
      <c r="AF22" s="32">
        <f>'FS Desroches Daily'!BF24</f>
        <v>37</v>
      </c>
      <c r="AG22" s="33">
        <f>'FS Desroches Daily'!BH24</f>
        <v>9.9999999999909051</v>
      </c>
      <c r="AH22" s="33">
        <f>'FS Desroches Daily'!BJ24</f>
        <v>29.999999999972715</v>
      </c>
      <c r="AI22" s="33">
        <f>'FS Desroches Daily'!BL24</f>
        <v>9.9999999999909051</v>
      </c>
      <c r="AJ22" s="33">
        <f>'FS Desroches Daily'!BN24</f>
        <v>19.99999999998181</v>
      </c>
      <c r="AK22" s="33">
        <f>'FS Desroches Daily'!BP24</f>
        <v>30.000000000029559</v>
      </c>
      <c r="AL22" s="33">
        <f>'FS Desroches Daily'!BR24</f>
        <v>11</v>
      </c>
      <c r="AM22" s="33">
        <f>'FS Desroches Daily'!BT24</f>
        <v>20.000000000010232</v>
      </c>
      <c r="AN22" s="33">
        <f>'FS Desroches Daily'!BV24</f>
        <v>20</v>
      </c>
      <c r="AO22" s="33">
        <f>'FS Desroches Daily'!BX24</f>
        <v>20.000000000010232</v>
      </c>
      <c r="AP22" s="33">
        <f>'FS Desroches Daily'!BZ24</f>
        <v>20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46</v>
      </c>
      <c r="AU22" s="32">
        <f>'FS Desroches Daily'!CJ24</f>
        <v>179</v>
      </c>
      <c r="AV22" s="32">
        <f>'FS Desroches Daily'!CL24</f>
        <v>400.00000000009095</v>
      </c>
      <c r="AW22" s="32">
        <f>'FS Desroches Daily'!CM24</f>
        <v>9.6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699.99999999992292</v>
      </c>
      <c r="F23" s="33">
        <f>'FS Desroches Daily'!F25</f>
        <v>700.00000000014495</v>
      </c>
      <c r="G23" s="32">
        <f>'FS Desroches Daily'!H25</f>
        <v>1500.0000000000568</v>
      </c>
      <c r="H23" s="33">
        <f>'FS Desroches Daily'!J25</f>
        <v>900.0000000001229</v>
      </c>
      <c r="I23" s="32">
        <f>'FS Desroches Daily'!L25</f>
        <v>2000.0000000000018</v>
      </c>
      <c r="J23" s="33">
        <f>'FS Desroches Daily'!N25</f>
        <v>499.99999999994492</v>
      </c>
      <c r="K23" s="13">
        <f>'FS Desroches Daily'!P25</f>
        <v>1</v>
      </c>
      <c r="L23" s="32">
        <f>'FS Desroches Daily'!R25</f>
        <v>5</v>
      </c>
      <c r="M23" s="32">
        <f>'FS Desroches Daily'!T25</f>
        <v>139.59999999997672</v>
      </c>
      <c r="N23" s="32">
        <f>'FS Desroches Daily'!V25</f>
        <v>100.79999999998836</v>
      </c>
      <c r="O23" s="32">
        <f>'FS Desroches Daily'!X25</f>
        <v>129.99999999999545</v>
      </c>
      <c r="P23" s="32">
        <f>'FS Desroches Daily'!Z25</f>
        <v>499.99999999972289</v>
      </c>
      <c r="Q23" s="32">
        <f>'FS Desroches Daily'!AB25</f>
        <v>69.999999999993179</v>
      </c>
      <c r="R23" s="32">
        <f>'FS Desroches Daily'!AD25</f>
        <v>100.00000000002274</v>
      </c>
      <c r="S23" s="32">
        <f>'FS Desroches Daily'!AF25</f>
        <v>170.00000000001592</v>
      </c>
      <c r="T23" s="32">
        <f>'FS Desroches Daily'!AH25</f>
        <v>1.1999999999998181</v>
      </c>
      <c r="U23" s="36">
        <f>'FS Desroches Daily'!AJ25</f>
        <v>199.99999999998863</v>
      </c>
      <c r="V23" s="36">
        <f>'FS Desroches Daily'!AL25</f>
        <v>3.9999999999992042E-2</v>
      </c>
      <c r="W23" s="36">
        <f>'FS Desroches Daily'!AN25</f>
        <v>3.9999999999992042E-2</v>
      </c>
      <c r="X23" s="36">
        <f>'FS Desroches Daily'!AP25</f>
        <v>1.999999999998181E-2</v>
      </c>
      <c r="Y23" s="36">
        <f>'FS Desroches Daily'!AR25</f>
        <v>50.000000000011369</v>
      </c>
      <c r="Z23" s="36">
        <f>'FS Desroches Daily'!AT25</f>
        <v>29.999999999972715</v>
      </c>
      <c r="AA23" s="36">
        <f>'FS Desroches Daily'!AT25</f>
        <v>29.999999999972715</v>
      </c>
      <c r="AB23" s="36">
        <f>'FS Desroches Daily'!AV25</f>
        <v>10.000000000047748</v>
      </c>
      <c r="AC23" s="36">
        <f>'FS Desroches Daily'!AZ25</f>
        <v>40.000000000020464</v>
      </c>
      <c r="AD23" s="36">
        <f>'FS Desroches Daily'!BB25</f>
        <v>29.999999999972715</v>
      </c>
      <c r="AE23" s="36">
        <f>'FS Desroches Daily'!BD25</f>
        <v>19.99999999998181</v>
      </c>
      <c r="AF23" s="32">
        <f>'FS Desroches Daily'!BF25</f>
        <v>18</v>
      </c>
      <c r="AG23" s="33">
        <f>'FS Desroches Daily'!BH25</f>
        <v>20.000000000010232</v>
      </c>
      <c r="AH23" s="33">
        <f>'FS Desroches Daily'!BJ25</f>
        <v>30.000000000029559</v>
      </c>
      <c r="AI23" s="33">
        <f>'FS Desroches Daily'!BL25</f>
        <v>9.9999999999909051</v>
      </c>
      <c r="AJ23" s="33">
        <f>'FS Desroches Daily'!BN25</f>
        <v>30.000000000001137</v>
      </c>
      <c r="AK23" s="33">
        <f>'FS Desroches Daily'!BP25</f>
        <v>39.99999999996362</v>
      </c>
      <c r="AL23" s="33">
        <f>'FS Desroches Daily'!BR25</f>
        <v>11</v>
      </c>
      <c r="AM23" s="33">
        <f>'FS Desroches Daily'!BT25</f>
        <v>9.9999999999909051</v>
      </c>
      <c r="AN23" s="33">
        <f>'FS Desroches Daily'!BV25</f>
        <v>9</v>
      </c>
      <c r="AO23" s="33">
        <f>'FS Desroches Daily'!BX25</f>
        <v>19.99999999998181</v>
      </c>
      <c r="AP23" s="33">
        <f>'FS Desroches Daily'!BZ25</f>
        <v>23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40.80000000000291</v>
      </c>
      <c r="AU23" s="32">
        <f>'FS Desroches Daily'!CJ25</f>
        <v>193</v>
      </c>
      <c r="AV23" s="32">
        <f>'FS Desroches Daily'!CL25</f>
        <v>439.99999999994088</v>
      </c>
      <c r="AW23" s="32">
        <f>'FS Desroches Daily'!CM25</f>
        <v>27.5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699.99999999992292</v>
      </c>
      <c r="F24" s="33">
        <f>'FS Desroches Daily'!F26</f>
        <v>499.99999999972289</v>
      </c>
      <c r="G24" s="32">
        <f>'FS Desroches Daily'!H26</f>
        <v>1600.0000000002678</v>
      </c>
      <c r="H24" s="33">
        <f>'FS Desroches Daily'!J26</f>
        <v>699.99999999992292</v>
      </c>
      <c r="I24" s="32">
        <f>'FS Desroches Daily'!L26</f>
        <v>1800.0000000000239</v>
      </c>
      <c r="J24" s="33">
        <f>'FS Desroches Daily'!N26</f>
        <v>400.00000000017798</v>
      </c>
      <c r="K24" s="13">
        <f>'FS Desroches Daily'!P26</f>
        <v>0</v>
      </c>
      <c r="L24" s="32">
        <f>'FS Desroches Daily'!R26</f>
        <v>2</v>
      </c>
      <c r="M24" s="32">
        <f>'FS Desroches Daily'!T26</f>
        <v>196.90000000002328</v>
      </c>
      <c r="N24" s="32">
        <f>'FS Desroches Daily'!V26</f>
        <v>101.10000000003492</v>
      </c>
      <c r="O24" s="32">
        <f>'FS Desroches Daily'!X26</f>
        <v>69.999999999993179</v>
      </c>
      <c r="P24" s="32">
        <f>'FS Desroches Daily'!Z26</f>
        <v>199.99999999997797</v>
      </c>
      <c r="Q24" s="32">
        <f>'FS Desroches Daily'!AB26</f>
        <v>50.000000000011369</v>
      </c>
      <c r="R24" s="32">
        <f>'FS Desroches Daily'!AD26</f>
        <v>120.00000000000455</v>
      </c>
      <c r="S24" s="32">
        <f>'FS Desroches Daily'!AF26</f>
        <v>159.99999999996817</v>
      </c>
      <c r="T24" s="32">
        <f>'FS Desroches Daily'!AH26</f>
        <v>0.90000000000009095</v>
      </c>
      <c r="U24" s="36">
        <f>'FS Desroches Daily'!AJ26</f>
        <v>280.00000000002956</v>
      </c>
      <c r="V24" s="36">
        <f>'FS Desroches Daily'!AL26</f>
        <v>3.9999999999992042E-2</v>
      </c>
      <c r="W24" s="36">
        <f>'FS Desroches Daily'!AN26</f>
        <v>3.0000000000001137E-2</v>
      </c>
      <c r="X24" s="36">
        <f>'FS Desroches Daily'!AP26</f>
        <v>3.0000000000001137E-2</v>
      </c>
      <c r="Y24" s="36">
        <f>'FS Desroches Daily'!AR26</f>
        <v>50.000000000011369</v>
      </c>
      <c r="Z24" s="36">
        <f>'FS Desroches Daily'!AT26</f>
        <v>30.000000000029559</v>
      </c>
      <c r="AA24" s="36">
        <f>'FS Desroches Daily'!AT26</f>
        <v>30.000000000029559</v>
      </c>
      <c r="AB24" s="36">
        <f>'FS Desroches Daily'!AV26</f>
        <v>29.999999999972715</v>
      </c>
      <c r="AC24" s="36">
        <f>'FS Desroches Daily'!AZ26</f>
        <v>19.99999999998181</v>
      </c>
      <c r="AD24" s="36">
        <f>'FS Desroches Daily'!BB26</f>
        <v>9.9999999999909051</v>
      </c>
      <c r="AE24" s="36">
        <f>'FS Desroches Daily'!BD26</f>
        <v>20.000000000010232</v>
      </c>
      <c r="AF24" s="32">
        <f>'FS Desroches Daily'!BF26</f>
        <v>24</v>
      </c>
      <c r="AG24" s="33">
        <f>'FS Desroches Daily'!BH26</f>
        <v>9.9999999999909051</v>
      </c>
      <c r="AH24" s="33">
        <f>'FS Desroches Daily'!BJ26</f>
        <v>19.99999999998181</v>
      </c>
      <c r="AI24" s="33">
        <f>'FS Desroches Daily'!BL26</f>
        <v>10.000000000019327</v>
      </c>
      <c r="AJ24" s="33">
        <f>'FS Desroches Daily'!BN26</f>
        <v>20.000000000010232</v>
      </c>
      <c r="AK24" s="33">
        <f>'FS Desroches Daily'!BP26</f>
        <v>19.99999999998181</v>
      </c>
      <c r="AL24" s="33">
        <f>'FS Desroches Daily'!BR26</f>
        <v>7</v>
      </c>
      <c r="AM24" s="33">
        <f>'FS Desroches Daily'!BT26</f>
        <v>0</v>
      </c>
      <c r="AN24" s="33">
        <f>'FS Desroches Daily'!BV26</f>
        <v>6</v>
      </c>
      <c r="AO24" s="33">
        <f>'FS Desroches Daily'!BX26</f>
        <v>10.000000000019327</v>
      </c>
      <c r="AP24" s="33">
        <f>'FS Desroches Daily'!BZ26</f>
        <v>8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43.19999999999709</v>
      </c>
      <c r="AU24" s="32">
        <f>'FS Desroches Daily'!CJ26</f>
        <v>187</v>
      </c>
      <c r="AV24" s="32">
        <f>'FS Desroches Daily'!CL26</f>
        <v>440.00000000005457</v>
      </c>
      <c r="AW24" s="32">
        <f>'FS Desroches Daily'!CM26</f>
        <v>27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600.00000000015598</v>
      </c>
      <c r="F25" s="33">
        <f>'FS Desroches Daily'!F27</f>
        <v>600.00000000037801</v>
      </c>
      <c r="G25" s="32">
        <f>'FS Desroches Daily'!H27</f>
        <v>1500.0000000000568</v>
      </c>
      <c r="H25" s="33">
        <f>'FS Desroches Daily'!J27</f>
        <v>799.99999999991189</v>
      </c>
      <c r="I25" s="32">
        <f>'FS Desroches Daily'!L27</f>
        <v>1700.0000000000348</v>
      </c>
      <c r="J25" s="33">
        <f>'FS Desroches Daily'!N27</f>
        <v>499.99999999994492</v>
      </c>
      <c r="K25" s="13">
        <f>'FS Desroches Daily'!P27</f>
        <v>1</v>
      </c>
      <c r="L25" s="32">
        <f>'FS Desroches Daily'!R27</f>
        <v>3</v>
      </c>
      <c r="M25" s="32">
        <f>'FS Desroches Daily'!T27</f>
        <v>245.59999999997672</v>
      </c>
      <c r="N25" s="32">
        <f>'FS Desroches Daily'!V27</f>
        <v>150.09999999997672</v>
      </c>
      <c r="O25" s="32">
        <f>'FS Desroches Daily'!X27</f>
        <v>60.000000000002274</v>
      </c>
      <c r="P25" s="32">
        <f>'FS Desroches Daily'!Z27</f>
        <v>599.99999999993395</v>
      </c>
      <c r="Q25" s="32">
        <f>'FS Desroches Daily'!AB27</f>
        <v>69.999999999993179</v>
      </c>
      <c r="R25" s="32">
        <f>'FS Desroches Daily'!AD27</f>
        <v>89.999999999974989</v>
      </c>
      <c r="S25" s="32">
        <f>'FS Desroches Daily'!AF27</f>
        <v>250</v>
      </c>
      <c r="T25" s="32">
        <f>'FS Desroches Daily'!AH27</f>
        <v>0.90000000000009095</v>
      </c>
      <c r="U25" s="36">
        <f>'FS Desroches Daily'!AJ27</f>
        <v>269.99999999998181</v>
      </c>
      <c r="V25" s="36">
        <f>'FS Desroches Daily'!AL27</f>
        <v>3.9999999999992042E-2</v>
      </c>
      <c r="W25" s="36">
        <f>'FS Desroches Daily'!AN27</f>
        <v>3.9999999999992042E-2</v>
      </c>
      <c r="X25" s="36">
        <f>'FS Desroches Daily'!AP27</f>
        <v>3.0000000000001137E-2</v>
      </c>
      <c r="Y25" s="36">
        <f>'FS Desroches Daily'!AR27</f>
        <v>30.000000000001137</v>
      </c>
      <c r="Z25" s="36">
        <f>'FS Desroches Daily'!AT27</f>
        <v>19.99999999998181</v>
      </c>
      <c r="AA25" s="36">
        <f>'FS Desroches Daily'!AT27</f>
        <v>19.99999999998181</v>
      </c>
      <c r="AB25" s="36">
        <f>'FS Desroches Daily'!AV27</f>
        <v>9.9999999999909051</v>
      </c>
      <c r="AC25" s="36">
        <f>'FS Desroches Daily'!AZ27</f>
        <v>9.9999999999909051</v>
      </c>
      <c r="AD25" s="36">
        <f>'FS Desroches Daily'!BB27</f>
        <v>19.99999999998181</v>
      </c>
      <c r="AE25" s="36">
        <f>'FS Desroches Daily'!BD27</f>
        <v>9.9999999999909051</v>
      </c>
      <c r="AF25" s="32">
        <f>'FS Desroches Daily'!BF27</f>
        <v>22</v>
      </c>
      <c r="AG25" s="33">
        <f>'FS Desroches Daily'!BH27</f>
        <v>20.000000000010232</v>
      </c>
      <c r="AH25" s="33">
        <f>'FS Desroches Daily'!BJ27</f>
        <v>30.000000000029559</v>
      </c>
      <c r="AI25" s="33">
        <f>'FS Desroches Daily'!BL27</f>
        <v>19.99999999998181</v>
      </c>
      <c r="AJ25" s="33">
        <f>'FS Desroches Daily'!BN27</f>
        <v>20.000000000010232</v>
      </c>
      <c r="AK25" s="33">
        <f>'FS Desroches Daily'!BP27</f>
        <v>30.000000000029559</v>
      </c>
      <c r="AL25" s="33">
        <f>'FS Desroches Daily'!BR27</f>
        <v>9</v>
      </c>
      <c r="AM25" s="33">
        <f>'FS Desroches Daily'!BT27</f>
        <v>9.9999999999909051</v>
      </c>
      <c r="AN25" s="33">
        <f>'FS Desroches Daily'!BV27</f>
        <v>6</v>
      </c>
      <c r="AO25" s="33">
        <f>'FS Desroches Daily'!BX27</f>
        <v>9.9999999999909051</v>
      </c>
      <c r="AP25" s="33">
        <f>'FS Desroches Daily'!BZ27</f>
        <v>18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40.099999999998545</v>
      </c>
      <c r="AU25" s="32">
        <f>'FS Desroches Daily'!CJ27</f>
        <v>187</v>
      </c>
      <c r="AV25" s="32">
        <f>'FS Desroches Daily'!CL27</f>
        <v>319.99999999993634</v>
      </c>
      <c r="AW25" s="32">
        <f>'FS Desroches Daily'!CM27</f>
        <v>23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799.99999999991189</v>
      </c>
      <c r="F26" s="33">
        <f>'FS Desroches Daily'!F28</f>
        <v>599.99999999993395</v>
      </c>
      <c r="G26" s="32">
        <f>'FS Desroches Daily'!H28</f>
        <v>1700.0000000000348</v>
      </c>
      <c r="H26" s="33">
        <f>'FS Desroches Daily'!J28</f>
        <v>900.0000000001229</v>
      </c>
      <c r="I26" s="32">
        <f>'FS Desroches Daily'!L28</f>
        <v>1900.0000000000127</v>
      </c>
      <c r="J26" s="33">
        <f>'FS Desroches Daily'!N28</f>
        <v>499.99999999994492</v>
      </c>
      <c r="K26" s="13">
        <f>'FS Desroches Daily'!P28</f>
        <v>0</v>
      </c>
      <c r="L26" s="32">
        <f>'FS Desroches Daily'!R28</f>
        <v>4</v>
      </c>
      <c r="M26" s="32">
        <f>'FS Desroches Daily'!T28</f>
        <v>204.80000000004657</v>
      </c>
      <c r="N26" s="32">
        <f>'FS Desroches Daily'!V28</f>
        <v>91.099999999976717</v>
      </c>
      <c r="O26" s="32">
        <f>'FS Desroches Daily'!X28</f>
        <v>79.999999999984084</v>
      </c>
      <c r="P26" s="32">
        <f>'FS Desroches Daily'!Z28</f>
        <v>399.99999999995595</v>
      </c>
      <c r="Q26" s="32">
        <f>'FS Desroches Daily'!AB28</f>
        <v>60.000000000002274</v>
      </c>
      <c r="R26" s="32">
        <f>'FS Desroches Daily'!AD28</f>
        <v>89.999999999974989</v>
      </c>
      <c r="S26" s="32">
        <f>'FS Desroches Daily'!AF28</f>
        <v>189.99999999999773</v>
      </c>
      <c r="T26" s="32">
        <f>'FS Desroches Daily'!AH28</f>
        <v>1.2999999999999545</v>
      </c>
      <c r="U26" s="36">
        <f>'FS Desroches Daily'!AJ28</f>
        <v>270.00000000003865</v>
      </c>
      <c r="V26" s="36">
        <f>'FS Desroches Daily'!AL28</f>
        <v>5.0000000000011369E-2</v>
      </c>
      <c r="W26" s="36">
        <f>'FS Desroches Daily'!AN28</f>
        <v>6.0000000000002274E-2</v>
      </c>
      <c r="X26" s="36">
        <f>'FS Desroches Daily'!AP28</f>
        <v>5.0000000000011369E-2</v>
      </c>
      <c r="Y26" s="36">
        <f>'FS Desroches Daily'!AR28</f>
        <v>49.999999999982947</v>
      </c>
      <c r="Z26" s="36">
        <f>'FS Desroches Daily'!AT28</f>
        <v>40.000000000020464</v>
      </c>
      <c r="AA26" s="36">
        <f>'FS Desroches Daily'!AT28</f>
        <v>40.000000000020464</v>
      </c>
      <c r="AB26" s="36">
        <f>'FS Desroches Daily'!AV28</f>
        <v>20.000000000038654</v>
      </c>
      <c r="AC26" s="36">
        <f>'FS Desroches Daily'!AZ28</f>
        <v>19.99999999998181</v>
      </c>
      <c r="AD26" s="36">
        <f>'FS Desroches Daily'!BB28</f>
        <v>10.000000000047748</v>
      </c>
      <c r="AE26" s="36">
        <f>'FS Desroches Daily'!BD28</f>
        <v>9.9999999999909051</v>
      </c>
      <c r="AF26" s="32">
        <f>'FS Desroches Daily'!BF28</f>
        <v>24</v>
      </c>
      <c r="AG26" s="33">
        <f>'FS Desroches Daily'!BH28</f>
        <v>9.9999999999909051</v>
      </c>
      <c r="AH26" s="33">
        <f>'FS Desroches Daily'!BJ28</f>
        <v>29.999999999972715</v>
      </c>
      <c r="AI26" s="33">
        <f>'FS Desroches Daily'!BL28</f>
        <v>10.000000000019327</v>
      </c>
      <c r="AJ26" s="33">
        <f>'FS Desroches Daily'!BN28</f>
        <v>19.99999999998181</v>
      </c>
      <c r="AK26" s="33">
        <f>'FS Desroches Daily'!BP28</f>
        <v>29.999999999972715</v>
      </c>
      <c r="AL26" s="33">
        <f>'FS Desroches Daily'!BR28</f>
        <v>9</v>
      </c>
      <c r="AM26" s="33">
        <f>'FS Desroches Daily'!BT28</f>
        <v>0</v>
      </c>
      <c r="AN26" s="33">
        <f>'FS Desroches Daily'!BV28</f>
        <v>7</v>
      </c>
      <c r="AO26" s="33">
        <f>'FS Desroches Daily'!BX28</f>
        <v>20.000000000010232</v>
      </c>
      <c r="AP26" s="33">
        <f>'FS Desroches Daily'!BZ28</f>
        <v>15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42.200000000004366</v>
      </c>
      <c r="AU26" s="32">
        <f>'FS Desroches Daily'!CJ28</f>
        <v>203</v>
      </c>
      <c r="AV26" s="32">
        <f>'FS Desroches Daily'!CL28</f>
        <v>470.00000000002728</v>
      </c>
      <c r="AW26" s="32">
        <f>'FS Desroches Daily'!CM28</f>
        <v>31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 t="str">
        <f>'FS Desroches Daily'!D29</f>
        <v>0</v>
      </c>
      <c r="F27" s="33" t="str">
        <f>'FS Desroches Daily'!F29</f>
        <v>0</v>
      </c>
      <c r="G27" s="32" t="str">
        <f>'FS Desroches Daily'!H29</f>
        <v>0</v>
      </c>
      <c r="H27" s="33" t="str">
        <f>'FS Desroches Daily'!J29</f>
        <v>0</v>
      </c>
      <c r="I27" s="32" t="str">
        <f>'FS Desroches Daily'!L29</f>
        <v>0</v>
      </c>
      <c r="J27" s="33" t="str">
        <f>'FS Desroches Daily'!N29</f>
        <v/>
      </c>
      <c r="K27" s="13" t="str">
        <f>'FS Desroches Daily'!P29</f>
        <v/>
      </c>
      <c r="L27" s="32" t="str">
        <f>'FS Desroches Daily'!R29</f>
        <v/>
      </c>
      <c r="M27" s="32" t="str">
        <f>'FS Desroches Daily'!T29</f>
        <v/>
      </c>
      <c r="N27" s="32" t="str">
        <f>'FS Desroches Daily'!V29</f>
        <v/>
      </c>
      <c r="O27" s="32" t="str">
        <f>'FS Desroches Daily'!X29</f>
        <v/>
      </c>
      <c r="P27" s="32" t="str">
        <f>'FS Desroches Daily'!Z29</f>
        <v/>
      </c>
      <c r="Q27" s="32" t="str">
        <f>'FS Desroches Daily'!AB29</f>
        <v/>
      </c>
      <c r="R27" s="32" t="str">
        <f>'FS Desroches Daily'!AD29</f>
        <v/>
      </c>
      <c r="S27" s="32" t="str">
        <f>'FS Desroches Daily'!AF29</f>
        <v/>
      </c>
      <c r="T27" s="32" t="str">
        <f>'FS Desroches Daily'!AH29</f>
        <v/>
      </c>
      <c r="U27" s="36" t="str">
        <f>'FS Desroches Daily'!AJ29</f>
        <v/>
      </c>
      <c r="V27" s="36" t="str">
        <f>'FS Desroches Daily'!AL29</f>
        <v/>
      </c>
      <c r="W27" s="36" t="str">
        <f>'FS Desroches Daily'!AN29</f>
        <v/>
      </c>
      <c r="X27" s="36" t="str">
        <f>'FS Desroches Daily'!AP29</f>
        <v/>
      </c>
      <c r="Y27" s="36" t="str">
        <f>'FS Desroches Daily'!AR29</f>
        <v/>
      </c>
      <c r="Z27" s="36" t="str">
        <f>'FS Desroches Daily'!AT29</f>
        <v/>
      </c>
      <c r="AA27" s="36" t="str">
        <f>'FS Desroches Daily'!AT29</f>
        <v/>
      </c>
      <c r="AB27" s="36" t="str">
        <f>'FS Desroches Daily'!AV29</f>
        <v/>
      </c>
      <c r="AC27" s="36" t="str">
        <f>'FS Desroches Daily'!AZ29</f>
        <v/>
      </c>
      <c r="AD27" s="36" t="str">
        <f>'FS Desroches Daily'!BB29</f>
        <v/>
      </c>
      <c r="AE27" s="36" t="str">
        <f>'FS Desroches Daily'!BD29</f>
        <v/>
      </c>
      <c r="AF27" s="32" t="str">
        <f>'FS Desroches Daily'!BF29</f>
        <v/>
      </c>
      <c r="AG27" s="33" t="str">
        <f>'FS Desroches Daily'!BH29</f>
        <v/>
      </c>
      <c r="AH27" s="33" t="str">
        <f>'FS Desroches Daily'!BJ29</f>
        <v/>
      </c>
      <c r="AI27" s="33" t="str">
        <f>'FS Desroches Daily'!BL29</f>
        <v/>
      </c>
      <c r="AJ27" s="33" t="str">
        <f>'FS Desroches Daily'!BN29</f>
        <v/>
      </c>
      <c r="AK27" s="33" t="str">
        <f>'FS Desroches Daily'!BP29</f>
        <v/>
      </c>
      <c r="AL27" s="33" t="str">
        <f>'FS Desroches Daily'!BR29</f>
        <v/>
      </c>
      <c r="AM27" s="33" t="str">
        <f>'FS Desroches Daily'!BT29</f>
        <v/>
      </c>
      <c r="AN27" s="33" t="str">
        <f>'FS Desroches Daily'!BV29</f>
        <v/>
      </c>
      <c r="AO27" s="33" t="str">
        <f>'FS Desroches Daily'!BX29</f>
        <v/>
      </c>
      <c r="AP27" s="33" t="str">
        <f>'FS Desroches Daily'!BZ29</f>
        <v/>
      </c>
      <c r="AQ27" s="32" t="str">
        <f>'FS Desroches Daily'!CB29</f>
        <v/>
      </c>
      <c r="AR27" s="32" t="str">
        <f>'FS Desroches Daily'!CD29</f>
        <v/>
      </c>
      <c r="AS27" s="32" t="str">
        <f>'FS Desroches Daily'!CF29</f>
        <v/>
      </c>
      <c r="AT27" s="32" t="str">
        <f>'FS Desroches Daily'!CH29</f>
        <v/>
      </c>
      <c r="AU27" s="32" t="str">
        <f>'FS Desroches Daily'!CJ29</f>
        <v/>
      </c>
      <c r="AV27" s="32" t="str">
        <f>'FS Desroches Daily'!CL29</f>
        <v/>
      </c>
      <c r="AW27" s="32">
        <f>'FS Desroches Daily'!CM29</f>
        <v>0</v>
      </c>
      <c r="AX27" s="32" t="str">
        <f>IF(LPG!F34-LPG!F33&lt;0,"0",(LPG!F34-LPG!F33)*1.8315)</f>
        <v>0</v>
      </c>
      <c r="AY27" s="32" t="str">
        <f>IF(LPG!H34-LPG!H33&lt;0,"0",(LPG!H34-LPG!H33)*1.8315)</f>
        <v>0</v>
      </c>
      <c r="AZ27" s="32" t="str">
        <f>IF(LPG!J34-LPG!J33&lt;0,"0",(LPG!J34-LPG!J33)*1.8315)</f>
        <v>0</v>
      </c>
      <c r="BA27" s="32" t="str">
        <f>IF(LPG!M34-LPG!M33&lt;0,"0",(LPG!M34-LPG!M33)*1.8315)</f>
        <v>0</v>
      </c>
      <c r="BB27" s="32" t="str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16499.999999999967</v>
      </c>
      <c r="F33" s="17">
        <f t="shared" ref="F33:BC33" si="1">SUM(F2:F32)</f>
        <v>14299.999999999984</v>
      </c>
      <c r="G33" s="17">
        <f t="shared" si="1"/>
        <v>39700.000000000306</v>
      </c>
      <c r="H33" s="17">
        <f t="shared" si="1"/>
        <v>23700.000000000058</v>
      </c>
      <c r="I33" s="17">
        <f t="shared" si="1"/>
        <v>47300.000000000124</v>
      </c>
      <c r="J33" s="17">
        <f t="shared" si="1"/>
        <v>11500.000000000069</v>
      </c>
      <c r="K33" s="17">
        <f t="shared" si="1"/>
        <v>17</v>
      </c>
      <c r="L33" s="17">
        <f t="shared" si="1"/>
        <v>96</v>
      </c>
      <c r="M33" s="17">
        <f t="shared" si="1"/>
        <v>4266.3000000000466</v>
      </c>
      <c r="N33" s="17">
        <f t="shared" si="1"/>
        <v>2463.0999999999767</v>
      </c>
      <c r="O33" s="17">
        <f t="shared" si="1"/>
        <v>1909.9999999999682</v>
      </c>
      <c r="P33" s="17">
        <f t="shared" si="1"/>
        <v>9999.9999999997908</v>
      </c>
      <c r="Q33" s="17">
        <f t="shared" si="1"/>
        <v>1689.9999999999977</v>
      </c>
      <c r="R33" s="17">
        <f t="shared" si="1"/>
        <v>2919.9999999999591</v>
      </c>
      <c r="S33" s="17">
        <f t="shared" si="1"/>
        <v>4120.0000000000045</v>
      </c>
      <c r="T33" s="17">
        <f t="shared" si="1"/>
        <v>29.900000000000091</v>
      </c>
      <c r="U33" s="36">
        <f t="shared" si="1"/>
        <v>5240.0000000000091</v>
      </c>
      <c r="V33" s="36">
        <f t="shared" si="1"/>
        <v>360.61000000001349</v>
      </c>
      <c r="W33" s="36">
        <f t="shared" si="1"/>
        <v>350.50999999999391</v>
      </c>
      <c r="X33" s="36">
        <f t="shared" si="1"/>
        <v>310.43000000000194</v>
      </c>
      <c r="Y33" s="36">
        <f t="shared" si="1"/>
        <v>870.00000000000455</v>
      </c>
      <c r="Z33" s="36">
        <f t="shared" si="1"/>
        <v>1045.7500000000296</v>
      </c>
      <c r="AA33" s="36">
        <f t="shared" si="1"/>
        <v>1045.7500000000296</v>
      </c>
      <c r="AB33" s="36">
        <f t="shared" si="1"/>
        <v>480.00000000001819</v>
      </c>
      <c r="AC33" s="36">
        <f t="shared" si="1"/>
        <v>620.00000000000455</v>
      </c>
      <c r="AD33" s="36">
        <f t="shared" si="1"/>
        <v>450.00000000004547</v>
      </c>
      <c r="AE33" s="36">
        <f t="shared" si="1"/>
        <v>359.99999999998522</v>
      </c>
      <c r="AF33" s="17">
        <f t="shared" si="1"/>
        <v>620</v>
      </c>
      <c r="AG33" s="33">
        <f t="shared" si="1"/>
        <v>539.99999999999204</v>
      </c>
      <c r="AH33" s="33">
        <f t="shared" si="1"/>
        <v>699.99999999998863</v>
      </c>
      <c r="AI33" s="33">
        <f t="shared" si="1"/>
        <v>540.00000000002046</v>
      </c>
      <c r="AJ33" s="33">
        <f t="shared" si="1"/>
        <v>639.99999999998636</v>
      </c>
      <c r="AK33" s="33">
        <f t="shared" si="1"/>
        <v>939.99999999999773</v>
      </c>
      <c r="AL33" s="33">
        <f t="shared" si="1"/>
        <v>255</v>
      </c>
      <c r="AM33" s="33">
        <f t="shared" si="1"/>
        <v>259.99999999999091</v>
      </c>
      <c r="AN33" s="33">
        <f t="shared" si="1"/>
        <v>446</v>
      </c>
      <c r="AO33" s="33">
        <f t="shared" si="1"/>
        <v>650.00000000000568</v>
      </c>
      <c r="AP33" s="33">
        <f t="shared" si="1"/>
        <v>600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1351.9000000000015</v>
      </c>
      <c r="AU33" s="17">
        <f t="shared" si="1"/>
        <v>4973</v>
      </c>
      <c r="AV33" s="17">
        <f t="shared" si="1"/>
        <v>9840.0000000000327</v>
      </c>
      <c r="AW33" s="17">
        <f t="shared" si="1"/>
        <v>683.6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173.99249999999995</v>
      </c>
      <c r="BC33" s="17">
        <f t="shared" si="1"/>
        <v>0</v>
      </c>
    </row>
    <row r="35" spans="5:55" x14ac:dyDescent="0.25">
      <c r="E35" s="39">
        <f>E33/E37</f>
        <v>0.17038765773766393</v>
      </c>
      <c r="G35" s="30">
        <f>G33-M36</f>
        <v>32970.600000000282</v>
      </c>
      <c r="AE35" s="36">
        <f>SUM(U33:AE33)</f>
        <v>11133.050000000136</v>
      </c>
      <c r="AG35" s="33">
        <f>SUM(AG33:AP33)</f>
        <v>5570.9999999999818</v>
      </c>
    </row>
    <row r="36" spans="5:55" x14ac:dyDescent="0.25">
      <c r="G36" s="30">
        <f>G35-633*14</f>
        <v>24108.600000000282</v>
      </c>
      <c r="M36" s="30">
        <f>M33+N33</f>
        <v>6729.4000000000233</v>
      </c>
    </row>
    <row r="37" spans="5:55" x14ac:dyDescent="0.25">
      <c r="E37" s="17">
        <f>E33+F33+G33+H33+J33-633*14</f>
        <v>96838.000000000393</v>
      </c>
      <c r="G37" s="38">
        <f>M36/E37</f>
        <v>6.949131539271769E-2</v>
      </c>
      <c r="M37" s="36">
        <f>AE35</f>
        <v>11133.050000000136</v>
      </c>
    </row>
    <row r="38" spans="5:55" x14ac:dyDescent="0.25">
      <c r="L38" s="28">
        <f>M38/E37</f>
        <v>5.7529069167062095E-2</v>
      </c>
      <c r="M38" s="30">
        <f>AG35</f>
        <v>5570.9999999999818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AH1" zoomScale="60" zoomScaleNormal="60" workbookViewId="0">
      <pane ySplit="1" topLeftCell="A2" activePane="bottomLeft" state="frozen"/>
      <selection pane="bottomLeft" activeCell="BG29" sqref="BG29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>
        <f>IF((O5-O4&lt;0), "",O5-O4)</f>
        <v>0</v>
      </c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147.01</v>
      </c>
      <c r="AP20" s="67">
        <f t="shared" si="45"/>
        <v>3.0000000000001137E-2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>
        <f t="shared" si="42"/>
        <v>0</v>
      </c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147.03</v>
      </c>
      <c r="AP21" s="67">
        <f t="shared" si="45"/>
        <v>2.0000000000010232E-2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147.06</v>
      </c>
      <c r="AP22" s="67">
        <f t="shared" si="45"/>
        <v>3.0000000000001137E-2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147.09</v>
      </c>
      <c r="AP23" s="67">
        <f t="shared" si="45"/>
        <v>3.0000000000001137E-2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>
        <v>1.7231000000000001</v>
      </c>
      <c r="D24" s="66">
        <f t="shared" si="0"/>
        <v>600.00000000015598</v>
      </c>
      <c r="E24" s="60">
        <v>2.7223999999999999</v>
      </c>
      <c r="F24" s="66">
        <f t="shared" si="1"/>
        <v>499.99999999972289</v>
      </c>
      <c r="G24" s="60">
        <v>2.5844999999999998</v>
      </c>
      <c r="H24" s="66">
        <f t="shared" si="2"/>
        <v>1299.9999999996348</v>
      </c>
      <c r="I24" s="60">
        <v>1.2505999999999999</v>
      </c>
      <c r="J24" s="66">
        <f t="shared" si="3"/>
        <v>799.99999999991189</v>
      </c>
      <c r="K24" s="60">
        <v>1.9397</v>
      </c>
      <c r="L24" s="66">
        <f t="shared" si="4"/>
        <v>1800.0000000000239</v>
      </c>
      <c r="M24" s="60">
        <v>1.21</v>
      </c>
      <c r="N24" s="66">
        <f t="shared" si="5"/>
        <v>399.99999999995595</v>
      </c>
      <c r="O24" s="60">
        <v>12591</v>
      </c>
      <c r="P24" s="69">
        <f t="shared" si="42"/>
        <v>1</v>
      </c>
      <c r="Q24" s="60">
        <v>5504</v>
      </c>
      <c r="R24" s="69">
        <f t="shared" si="6"/>
        <v>3</v>
      </c>
      <c r="S24" s="60">
        <v>834317.4</v>
      </c>
      <c r="T24" s="69">
        <f t="shared" si="7"/>
        <v>69.400000000023283</v>
      </c>
      <c r="U24" s="60">
        <v>339884</v>
      </c>
      <c r="V24" s="69">
        <f t="shared" si="8"/>
        <v>42</v>
      </c>
      <c r="W24" s="60">
        <v>333.74</v>
      </c>
      <c r="X24" s="67">
        <f t="shared" si="9"/>
        <v>79.999999999984084</v>
      </c>
      <c r="Y24" s="60">
        <v>2.3995000000000002</v>
      </c>
      <c r="Z24" s="67">
        <f t="shared" si="10"/>
        <v>300.000000000189</v>
      </c>
      <c r="AA24" s="60">
        <v>328.18</v>
      </c>
      <c r="AB24" s="67">
        <f t="shared" si="11"/>
        <v>60.000000000002274</v>
      </c>
      <c r="AC24" s="60">
        <v>310.63</v>
      </c>
      <c r="AD24" s="67">
        <f t="shared" si="12"/>
        <v>110.00000000001364</v>
      </c>
      <c r="AE24" s="60">
        <v>486</v>
      </c>
      <c r="AF24" s="67">
        <f t="shared" si="13"/>
        <v>120.00000000000455</v>
      </c>
      <c r="AG24" s="60">
        <v>1258.9000000000001</v>
      </c>
      <c r="AH24" s="69">
        <f t="shared" si="14"/>
        <v>1</v>
      </c>
      <c r="AI24" s="60">
        <v>421.7</v>
      </c>
      <c r="AJ24" s="67">
        <f t="shared" si="15"/>
        <v>219.99999999997044</v>
      </c>
      <c r="AK24" s="60">
        <v>151.02000000000001</v>
      </c>
      <c r="AL24" s="67">
        <f t="shared" si="43"/>
        <v>3.0000000000001137E-2</v>
      </c>
      <c r="AM24" s="60">
        <v>150.56</v>
      </c>
      <c r="AN24" s="67">
        <f t="shared" si="44"/>
        <v>3.0000000000001137E-2</v>
      </c>
      <c r="AO24" s="60">
        <v>147.11000000000001</v>
      </c>
      <c r="AP24" s="67">
        <f t="shared" si="45"/>
        <v>2.0000000000010232E-2</v>
      </c>
      <c r="AQ24" s="60">
        <v>218.23</v>
      </c>
      <c r="AR24" s="67">
        <f t="shared" si="16"/>
        <v>19.99999999998181</v>
      </c>
      <c r="AS24" s="60">
        <v>344.61</v>
      </c>
      <c r="AT24" s="67">
        <f t="shared" si="17"/>
        <v>30.000000000029559</v>
      </c>
      <c r="AU24" s="60">
        <v>265.83999999999997</v>
      </c>
      <c r="AV24" s="67">
        <f t="shared" si="18"/>
        <v>19.99999999998181</v>
      </c>
      <c r="AW24" s="60">
        <v>293.41000000000003</v>
      </c>
      <c r="AX24" s="67">
        <f t="shared" si="19"/>
        <v>20.000000000038654</v>
      </c>
      <c r="AY24" s="60">
        <v>344.62</v>
      </c>
      <c r="AZ24" s="67">
        <f t="shared" si="20"/>
        <v>19.99999999998181</v>
      </c>
      <c r="BA24" s="60">
        <v>364.47</v>
      </c>
      <c r="BB24" s="67">
        <f t="shared" si="21"/>
        <v>10.000000000047748</v>
      </c>
      <c r="BC24" s="60">
        <v>231.11</v>
      </c>
      <c r="BD24" s="67">
        <f t="shared" si="22"/>
        <v>10.000000000019327</v>
      </c>
      <c r="BE24" s="61">
        <v>29389</v>
      </c>
      <c r="BF24" s="69">
        <f t="shared" si="38"/>
        <v>37</v>
      </c>
      <c r="BG24" s="62">
        <v>225</v>
      </c>
      <c r="BH24" s="67">
        <f t="shared" si="23"/>
        <v>9.9999999999909051</v>
      </c>
      <c r="BI24" s="62">
        <v>282.64</v>
      </c>
      <c r="BJ24" s="67">
        <f t="shared" si="39"/>
        <v>29.999999999972715</v>
      </c>
      <c r="BK24" s="62">
        <v>230.53</v>
      </c>
      <c r="BL24" s="67">
        <f t="shared" si="24"/>
        <v>9.9999999999909051</v>
      </c>
      <c r="BM24" s="62">
        <v>213.7</v>
      </c>
      <c r="BN24" s="67">
        <f t="shared" si="25"/>
        <v>19.99999999998181</v>
      </c>
      <c r="BO24" s="62">
        <v>278.47000000000003</v>
      </c>
      <c r="BP24" s="67">
        <f t="shared" si="26"/>
        <v>30.000000000029559</v>
      </c>
      <c r="BQ24" s="62">
        <v>38895</v>
      </c>
      <c r="BR24" s="67">
        <f t="shared" si="27"/>
        <v>11</v>
      </c>
      <c r="BS24" s="62">
        <v>193.4</v>
      </c>
      <c r="BT24" s="67">
        <f t="shared" si="41"/>
        <v>20.000000000010232</v>
      </c>
      <c r="BU24" s="62">
        <v>30139</v>
      </c>
      <c r="BV24" s="67">
        <f t="shared" si="29"/>
        <v>20</v>
      </c>
      <c r="BW24" s="62">
        <v>223.93</v>
      </c>
      <c r="BX24" s="67">
        <f t="shared" si="30"/>
        <v>20.000000000010232</v>
      </c>
      <c r="BY24" s="62">
        <v>49001</v>
      </c>
      <c r="BZ24" s="69">
        <f t="shared" si="31"/>
        <v>20</v>
      </c>
      <c r="CA24" s="62">
        <v>27508.400000000001</v>
      </c>
      <c r="CB24" s="69">
        <f t="shared" si="32"/>
        <v>0</v>
      </c>
      <c r="CC24" s="62">
        <v>11251.4</v>
      </c>
      <c r="CD24" s="69">
        <f t="shared" si="33"/>
        <v>0</v>
      </c>
      <c r="CE24" s="62">
        <v>5488.9</v>
      </c>
      <c r="CF24" s="69">
        <f t="shared" si="34"/>
        <v>0</v>
      </c>
      <c r="CG24" s="62">
        <v>46599.5</v>
      </c>
      <c r="CH24" s="69">
        <f t="shared" si="35"/>
        <v>46</v>
      </c>
      <c r="CI24" s="62">
        <v>860598</v>
      </c>
      <c r="CJ24" s="69">
        <f t="shared" si="36"/>
        <v>179</v>
      </c>
      <c r="CK24" s="62">
        <v>575.20000000000005</v>
      </c>
      <c r="CL24" s="66">
        <f t="shared" si="37"/>
        <v>400.00000000009095</v>
      </c>
      <c r="CM24" s="67">
        <v>9.6</v>
      </c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>
        <v>1.7238</v>
      </c>
      <c r="D25" s="66">
        <f t="shared" si="0"/>
        <v>699.99999999992292</v>
      </c>
      <c r="E25" s="60">
        <v>2.7231000000000001</v>
      </c>
      <c r="F25" s="66">
        <f t="shared" si="1"/>
        <v>700.00000000014495</v>
      </c>
      <c r="G25" s="60">
        <v>2.5859999999999999</v>
      </c>
      <c r="H25" s="66">
        <f t="shared" si="2"/>
        <v>1500.0000000000568</v>
      </c>
      <c r="I25" s="60">
        <v>1.2515000000000001</v>
      </c>
      <c r="J25" s="66">
        <f t="shared" si="3"/>
        <v>900.0000000001229</v>
      </c>
      <c r="K25" s="60">
        <v>1.9417</v>
      </c>
      <c r="L25" s="66">
        <f t="shared" si="4"/>
        <v>2000.0000000000018</v>
      </c>
      <c r="M25" s="60">
        <v>1.2104999999999999</v>
      </c>
      <c r="N25" s="66">
        <f t="shared" si="5"/>
        <v>499.99999999994492</v>
      </c>
      <c r="O25" s="60">
        <v>12592</v>
      </c>
      <c r="P25" s="69">
        <f t="shared" si="42"/>
        <v>1</v>
      </c>
      <c r="Q25" s="60">
        <v>5509</v>
      </c>
      <c r="R25" s="69">
        <f t="shared" si="6"/>
        <v>5</v>
      </c>
      <c r="S25" s="60">
        <v>834457</v>
      </c>
      <c r="T25" s="69">
        <f t="shared" si="7"/>
        <v>139.59999999997672</v>
      </c>
      <c r="U25" s="60">
        <v>339984.8</v>
      </c>
      <c r="V25" s="69">
        <f t="shared" si="8"/>
        <v>100.79999999998836</v>
      </c>
      <c r="W25" s="60">
        <v>333.87</v>
      </c>
      <c r="X25" s="67">
        <f t="shared" si="9"/>
        <v>129.99999999999545</v>
      </c>
      <c r="Y25" s="60">
        <v>2.4</v>
      </c>
      <c r="Z25" s="67">
        <f t="shared" si="10"/>
        <v>499.99999999972289</v>
      </c>
      <c r="AA25" s="60">
        <v>328.25</v>
      </c>
      <c r="AB25" s="67">
        <f t="shared" si="11"/>
        <v>69.999999999993179</v>
      </c>
      <c r="AC25" s="60">
        <v>310.73</v>
      </c>
      <c r="AD25" s="67">
        <f t="shared" si="12"/>
        <v>100.00000000002274</v>
      </c>
      <c r="AE25" s="60">
        <v>486.17</v>
      </c>
      <c r="AF25" s="67">
        <f t="shared" si="13"/>
        <v>170.00000000001592</v>
      </c>
      <c r="AG25" s="60">
        <v>1260.0999999999999</v>
      </c>
      <c r="AH25" s="69">
        <f t="shared" si="14"/>
        <v>1.1999999999998181</v>
      </c>
      <c r="AI25" s="60">
        <v>421.9</v>
      </c>
      <c r="AJ25" s="67">
        <f t="shared" si="15"/>
        <v>199.99999999998863</v>
      </c>
      <c r="AK25" s="60">
        <v>151.06</v>
      </c>
      <c r="AL25" s="67">
        <f t="shared" si="43"/>
        <v>3.9999999999992042E-2</v>
      </c>
      <c r="AM25" s="60">
        <v>150.6</v>
      </c>
      <c r="AN25" s="67">
        <f t="shared" si="44"/>
        <v>3.9999999999992042E-2</v>
      </c>
      <c r="AO25" s="60">
        <v>147.13</v>
      </c>
      <c r="AP25" s="67">
        <f t="shared" si="45"/>
        <v>1.999999999998181E-2</v>
      </c>
      <c r="AQ25" s="60">
        <v>218.28</v>
      </c>
      <c r="AR25" s="67">
        <f t="shared" si="16"/>
        <v>50.000000000011369</v>
      </c>
      <c r="AS25" s="60">
        <v>344.64</v>
      </c>
      <c r="AT25" s="67">
        <f t="shared" si="17"/>
        <v>29.999999999972715</v>
      </c>
      <c r="AU25" s="60">
        <v>265.85000000000002</v>
      </c>
      <c r="AV25" s="67">
        <f t="shared" si="18"/>
        <v>10.000000000047748</v>
      </c>
      <c r="AW25" s="60">
        <v>293.42</v>
      </c>
      <c r="AX25" s="67">
        <f t="shared" si="19"/>
        <v>9.9999999999909051</v>
      </c>
      <c r="AY25" s="60">
        <v>344.66</v>
      </c>
      <c r="AZ25" s="67">
        <f t="shared" si="20"/>
        <v>40.000000000020464</v>
      </c>
      <c r="BA25" s="60">
        <v>364.5</v>
      </c>
      <c r="BB25" s="67">
        <f t="shared" si="21"/>
        <v>29.999999999972715</v>
      </c>
      <c r="BC25" s="60">
        <v>231.13</v>
      </c>
      <c r="BD25" s="67">
        <f t="shared" si="22"/>
        <v>19.99999999998181</v>
      </c>
      <c r="BE25" s="61">
        <v>29407</v>
      </c>
      <c r="BF25" s="69">
        <f t="shared" si="38"/>
        <v>18</v>
      </c>
      <c r="BG25" s="62">
        <v>225.02</v>
      </c>
      <c r="BH25" s="67">
        <f t="shared" si="23"/>
        <v>20.000000000010232</v>
      </c>
      <c r="BI25" s="62">
        <v>282.67</v>
      </c>
      <c r="BJ25" s="67">
        <f t="shared" si="39"/>
        <v>30.000000000029559</v>
      </c>
      <c r="BK25" s="62">
        <v>230.54</v>
      </c>
      <c r="BL25" s="67">
        <f t="shared" si="24"/>
        <v>9.9999999999909051</v>
      </c>
      <c r="BM25" s="62">
        <v>213.73</v>
      </c>
      <c r="BN25" s="67">
        <f t="shared" si="25"/>
        <v>30.000000000001137</v>
      </c>
      <c r="BO25" s="62">
        <v>278.51</v>
      </c>
      <c r="BP25" s="67">
        <f t="shared" si="26"/>
        <v>39.99999999996362</v>
      </c>
      <c r="BQ25" s="62">
        <v>38906</v>
      </c>
      <c r="BR25" s="67">
        <f t="shared" si="27"/>
        <v>11</v>
      </c>
      <c r="BS25" s="62">
        <v>193.41</v>
      </c>
      <c r="BT25" s="67">
        <f t="shared" si="41"/>
        <v>9.9999999999909051</v>
      </c>
      <c r="BU25" s="62">
        <v>30148</v>
      </c>
      <c r="BV25" s="67">
        <f t="shared" si="29"/>
        <v>9</v>
      </c>
      <c r="BW25" s="62">
        <v>223.95</v>
      </c>
      <c r="BX25" s="67">
        <f t="shared" si="30"/>
        <v>19.99999999998181</v>
      </c>
      <c r="BY25" s="62">
        <v>49024</v>
      </c>
      <c r="BZ25" s="69">
        <f t="shared" si="31"/>
        <v>23</v>
      </c>
      <c r="CA25" s="62">
        <v>27508.400000000001</v>
      </c>
      <c r="CB25" s="69">
        <f t="shared" si="32"/>
        <v>0</v>
      </c>
      <c r="CC25" s="62">
        <v>11251.4</v>
      </c>
      <c r="CD25" s="69">
        <f t="shared" si="33"/>
        <v>0</v>
      </c>
      <c r="CE25" s="62">
        <v>5488.9</v>
      </c>
      <c r="CF25" s="69">
        <f t="shared" si="34"/>
        <v>0</v>
      </c>
      <c r="CG25" s="62">
        <v>46640.3</v>
      </c>
      <c r="CH25" s="69">
        <f t="shared" si="35"/>
        <v>40.80000000000291</v>
      </c>
      <c r="CI25" s="62">
        <v>860791</v>
      </c>
      <c r="CJ25" s="69">
        <f t="shared" si="36"/>
        <v>193</v>
      </c>
      <c r="CK25" s="62">
        <v>575.64</v>
      </c>
      <c r="CL25" s="66">
        <f t="shared" si="37"/>
        <v>439.99999999994088</v>
      </c>
      <c r="CM25" s="67">
        <v>27.5</v>
      </c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>
        <v>1.7244999999999999</v>
      </c>
      <c r="D26" s="66">
        <f t="shared" si="0"/>
        <v>699.99999999992292</v>
      </c>
      <c r="E26" s="60">
        <v>2.7235999999999998</v>
      </c>
      <c r="F26" s="66">
        <f t="shared" si="1"/>
        <v>499.99999999972289</v>
      </c>
      <c r="G26" s="60">
        <v>2.5876000000000001</v>
      </c>
      <c r="H26" s="66">
        <f t="shared" si="2"/>
        <v>1600.0000000002678</v>
      </c>
      <c r="I26" s="60">
        <v>1.2522</v>
      </c>
      <c r="J26" s="66">
        <f t="shared" si="3"/>
        <v>699.99999999992292</v>
      </c>
      <c r="K26" s="60">
        <v>1.9435</v>
      </c>
      <c r="L26" s="66">
        <f t="shared" si="4"/>
        <v>1800.0000000000239</v>
      </c>
      <c r="M26" s="60">
        <v>1.2109000000000001</v>
      </c>
      <c r="N26" s="66">
        <f t="shared" si="5"/>
        <v>400.00000000017798</v>
      </c>
      <c r="O26" s="60">
        <v>12592</v>
      </c>
      <c r="P26" s="69">
        <f t="shared" si="42"/>
        <v>0</v>
      </c>
      <c r="Q26" s="60">
        <v>5511</v>
      </c>
      <c r="R26" s="69">
        <f t="shared" si="6"/>
        <v>2</v>
      </c>
      <c r="S26" s="60">
        <v>834653.9</v>
      </c>
      <c r="T26" s="69">
        <f t="shared" si="7"/>
        <v>196.90000000002328</v>
      </c>
      <c r="U26" s="60">
        <v>340085.9</v>
      </c>
      <c r="V26" s="69">
        <f t="shared" si="8"/>
        <v>101.10000000003492</v>
      </c>
      <c r="W26" s="60">
        <v>333.94</v>
      </c>
      <c r="X26" s="67">
        <f t="shared" si="9"/>
        <v>69.999999999993179</v>
      </c>
      <c r="Y26" s="60">
        <v>2.4001999999999999</v>
      </c>
      <c r="Z26" s="67">
        <f t="shared" si="10"/>
        <v>199.99999999997797</v>
      </c>
      <c r="AA26" s="60">
        <v>328.3</v>
      </c>
      <c r="AB26" s="67">
        <f t="shared" si="11"/>
        <v>50.000000000011369</v>
      </c>
      <c r="AC26" s="60">
        <v>310.85000000000002</v>
      </c>
      <c r="AD26" s="67">
        <f t="shared" si="12"/>
        <v>120.00000000000455</v>
      </c>
      <c r="AE26" s="60">
        <v>486.33</v>
      </c>
      <c r="AF26" s="67">
        <f t="shared" si="13"/>
        <v>159.99999999996817</v>
      </c>
      <c r="AG26" s="60">
        <v>1261</v>
      </c>
      <c r="AH26" s="69">
        <f t="shared" si="14"/>
        <v>0.90000000000009095</v>
      </c>
      <c r="AI26" s="60">
        <v>422.18</v>
      </c>
      <c r="AJ26" s="67">
        <f t="shared" si="15"/>
        <v>280.00000000002956</v>
      </c>
      <c r="AK26" s="60">
        <v>151.1</v>
      </c>
      <c r="AL26" s="67">
        <f t="shared" si="43"/>
        <v>3.9999999999992042E-2</v>
      </c>
      <c r="AM26" s="60">
        <v>150.63</v>
      </c>
      <c r="AN26" s="67">
        <f t="shared" si="44"/>
        <v>3.0000000000001137E-2</v>
      </c>
      <c r="AO26" s="60">
        <v>147.16</v>
      </c>
      <c r="AP26" s="67">
        <f t="shared" si="45"/>
        <v>3.0000000000001137E-2</v>
      </c>
      <c r="AQ26" s="60">
        <v>218.33</v>
      </c>
      <c r="AR26" s="67">
        <f t="shared" si="16"/>
        <v>50.000000000011369</v>
      </c>
      <c r="AS26" s="60">
        <v>344.67</v>
      </c>
      <c r="AT26" s="67">
        <f t="shared" si="17"/>
        <v>30.000000000029559</v>
      </c>
      <c r="AU26" s="60">
        <v>265.88</v>
      </c>
      <c r="AV26" s="67">
        <f t="shared" si="18"/>
        <v>29.999999999972715</v>
      </c>
      <c r="AW26" s="60">
        <v>293.45</v>
      </c>
      <c r="AX26" s="67">
        <f t="shared" si="19"/>
        <v>29.999999999972715</v>
      </c>
      <c r="AY26" s="60">
        <v>344.68</v>
      </c>
      <c r="AZ26" s="67">
        <f t="shared" si="20"/>
        <v>19.99999999998181</v>
      </c>
      <c r="BA26" s="60">
        <v>364.51</v>
      </c>
      <c r="BB26" s="67">
        <f t="shared" si="21"/>
        <v>9.9999999999909051</v>
      </c>
      <c r="BC26" s="60">
        <v>231.15</v>
      </c>
      <c r="BD26" s="67">
        <f t="shared" si="22"/>
        <v>20.000000000010232</v>
      </c>
      <c r="BE26" s="61">
        <v>29431</v>
      </c>
      <c r="BF26" s="69">
        <f t="shared" si="38"/>
        <v>24</v>
      </c>
      <c r="BG26" s="62">
        <v>225.03</v>
      </c>
      <c r="BH26" s="67">
        <f t="shared" si="23"/>
        <v>9.9999999999909051</v>
      </c>
      <c r="BI26" s="62">
        <v>282.69</v>
      </c>
      <c r="BJ26" s="67">
        <f t="shared" si="39"/>
        <v>19.99999999998181</v>
      </c>
      <c r="BK26" s="62">
        <v>230.55</v>
      </c>
      <c r="BL26" s="67">
        <f t="shared" si="24"/>
        <v>10.000000000019327</v>
      </c>
      <c r="BM26" s="62">
        <v>213.75</v>
      </c>
      <c r="BN26" s="67">
        <f t="shared" si="25"/>
        <v>20.000000000010232</v>
      </c>
      <c r="BO26" s="62">
        <v>278.52999999999997</v>
      </c>
      <c r="BP26" s="67">
        <f t="shared" si="26"/>
        <v>19.99999999998181</v>
      </c>
      <c r="BQ26" s="62">
        <v>38913</v>
      </c>
      <c r="BR26" s="67">
        <f t="shared" si="27"/>
        <v>7</v>
      </c>
      <c r="BS26" s="62">
        <v>193.41</v>
      </c>
      <c r="BT26" s="67">
        <f t="shared" si="41"/>
        <v>0</v>
      </c>
      <c r="BU26" s="62">
        <v>30154</v>
      </c>
      <c r="BV26" s="67">
        <f t="shared" si="29"/>
        <v>6</v>
      </c>
      <c r="BW26" s="62">
        <v>223.96</v>
      </c>
      <c r="BX26" s="67">
        <f t="shared" si="30"/>
        <v>10.000000000019327</v>
      </c>
      <c r="BY26" s="62">
        <v>49032</v>
      </c>
      <c r="BZ26" s="69">
        <f t="shared" si="31"/>
        <v>8</v>
      </c>
      <c r="CA26" s="62">
        <v>27508.400000000001</v>
      </c>
      <c r="CB26" s="69">
        <f t="shared" si="32"/>
        <v>0</v>
      </c>
      <c r="CC26" s="62">
        <v>11251.4</v>
      </c>
      <c r="CD26" s="69">
        <f t="shared" si="33"/>
        <v>0</v>
      </c>
      <c r="CE26" s="62">
        <v>5488.9</v>
      </c>
      <c r="CF26" s="69">
        <f t="shared" si="34"/>
        <v>0</v>
      </c>
      <c r="CG26" s="62">
        <v>46683.5</v>
      </c>
      <c r="CH26" s="69">
        <f t="shared" si="35"/>
        <v>43.19999999999709</v>
      </c>
      <c r="CI26" s="62">
        <v>860978</v>
      </c>
      <c r="CJ26" s="69">
        <f t="shared" si="36"/>
        <v>187</v>
      </c>
      <c r="CK26" s="62">
        <v>576.08000000000004</v>
      </c>
      <c r="CL26" s="66">
        <f t="shared" si="37"/>
        <v>440.00000000005457</v>
      </c>
      <c r="CM26" s="67">
        <v>27</v>
      </c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>
        <v>1.7251000000000001</v>
      </c>
      <c r="D27" s="66">
        <f t="shared" si="0"/>
        <v>600.00000000015598</v>
      </c>
      <c r="E27" s="60">
        <v>2.7242000000000002</v>
      </c>
      <c r="F27" s="66">
        <f t="shared" si="1"/>
        <v>600.00000000037801</v>
      </c>
      <c r="G27" s="60">
        <v>2.5891000000000002</v>
      </c>
      <c r="H27" s="66">
        <f t="shared" si="2"/>
        <v>1500.0000000000568</v>
      </c>
      <c r="I27" s="60">
        <v>1.2529999999999999</v>
      </c>
      <c r="J27" s="66">
        <f t="shared" si="3"/>
        <v>799.99999999991189</v>
      </c>
      <c r="K27" s="60">
        <v>1.9452</v>
      </c>
      <c r="L27" s="66">
        <f t="shared" si="4"/>
        <v>1700.0000000000348</v>
      </c>
      <c r="M27" s="60">
        <v>1.2114</v>
      </c>
      <c r="N27" s="66">
        <f t="shared" si="5"/>
        <v>499.99999999994492</v>
      </c>
      <c r="O27" s="60">
        <v>12593</v>
      </c>
      <c r="P27" s="69">
        <f t="shared" si="42"/>
        <v>1</v>
      </c>
      <c r="Q27" s="60">
        <v>5514</v>
      </c>
      <c r="R27" s="69">
        <f t="shared" si="6"/>
        <v>3</v>
      </c>
      <c r="S27" s="60">
        <v>834899.5</v>
      </c>
      <c r="T27" s="69">
        <f t="shared" si="7"/>
        <v>245.59999999997672</v>
      </c>
      <c r="U27" s="60">
        <v>340236</v>
      </c>
      <c r="V27" s="69">
        <f t="shared" si="8"/>
        <v>150.09999999997672</v>
      </c>
      <c r="W27" s="60">
        <v>334</v>
      </c>
      <c r="X27" s="67">
        <f t="shared" si="9"/>
        <v>60.000000000002274</v>
      </c>
      <c r="Y27" s="60">
        <v>2.4007999999999998</v>
      </c>
      <c r="Z27" s="67">
        <f t="shared" si="10"/>
        <v>599.99999999993395</v>
      </c>
      <c r="AA27" s="60">
        <v>328.37</v>
      </c>
      <c r="AB27" s="67">
        <f t="shared" si="11"/>
        <v>69.999999999993179</v>
      </c>
      <c r="AC27" s="60">
        <v>310.94</v>
      </c>
      <c r="AD27" s="67">
        <f t="shared" si="12"/>
        <v>89.999999999974989</v>
      </c>
      <c r="AE27" s="60">
        <v>486.58</v>
      </c>
      <c r="AF27" s="67">
        <f t="shared" si="13"/>
        <v>250</v>
      </c>
      <c r="AG27" s="60">
        <v>1261.9000000000001</v>
      </c>
      <c r="AH27" s="69">
        <f t="shared" si="14"/>
        <v>0.90000000000009095</v>
      </c>
      <c r="AI27" s="60">
        <v>422.45</v>
      </c>
      <c r="AJ27" s="67">
        <f t="shared" si="15"/>
        <v>269.99999999998181</v>
      </c>
      <c r="AK27" s="60">
        <v>151.13999999999999</v>
      </c>
      <c r="AL27" s="67">
        <f t="shared" si="43"/>
        <v>3.9999999999992042E-2</v>
      </c>
      <c r="AM27" s="60">
        <v>150.66999999999999</v>
      </c>
      <c r="AN27" s="67">
        <f t="shared" si="44"/>
        <v>3.9999999999992042E-2</v>
      </c>
      <c r="AO27" s="60">
        <v>147.19</v>
      </c>
      <c r="AP27" s="67">
        <f t="shared" si="45"/>
        <v>3.0000000000001137E-2</v>
      </c>
      <c r="AQ27" s="60">
        <v>218.36</v>
      </c>
      <c r="AR27" s="67">
        <f t="shared" si="16"/>
        <v>30.000000000001137</v>
      </c>
      <c r="AS27" s="60">
        <v>344.69</v>
      </c>
      <c r="AT27" s="67">
        <f t="shared" si="17"/>
        <v>19.99999999998181</v>
      </c>
      <c r="AU27" s="60">
        <v>265.89</v>
      </c>
      <c r="AV27" s="67">
        <f t="shared" si="18"/>
        <v>9.9999999999909051</v>
      </c>
      <c r="AW27" s="60">
        <v>293.45999999999998</v>
      </c>
      <c r="AX27" s="67">
        <f t="shared" si="19"/>
        <v>9.9999999999909051</v>
      </c>
      <c r="AY27" s="60">
        <v>344.69</v>
      </c>
      <c r="AZ27" s="67">
        <f t="shared" si="20"/>
        <v>9.9999999999909051</v>
      </c>
      <c r="BA27" s="60">
        <v>364.53</v>
      </c>
      <c r="BB27" s="67">
        <f t="shared" si="21"/>
        <v>19.99999999998181</v>
      </c>
      <c r="BC27" s="60">
        <v>231.16</v>
      </c>
      <c r="BD27" s="67">
        <f t="shared" si="22"/>
        <v>9.9999999999909051</v>
      </c>
      <c r="BE27" s="61">
        <v>29453</v>
      </c>
      <c r="BF27" s="69">
        <f t="shared" si="38"/>
        <v>22</v>
      </c>
      <c r="BG27" s="62">
        <v>225.05</v>
      </c>
      <c r="BH27" s="67">
        <f t="shared" si="23"/>
        <v>20.000000000010232</v>
      </c>
      <c r="BI27" s="62">
        <v>282.72000000000003</v>
      </c>
      <c r="BJ27" s="67">
        <f t="shared" si="39"/>
        <v>30.000000000029559</v>
      </c>
      <c r="BK27" s="62">
        <v>230.57</v>
      </c>
      <c r="BL27" s="67">
        <f t="shared" si="24"/>
        <v>19.99999999998181</v>
      </c>
      <c r="BM27" s="62">
        <v>213.77</v>
      </c>
      <c r="BN27" s="67">
        <f t="shared" si="25"/>
        <v>20.000000000010232</v>
      </c>
      <c r="BO27" s="62">
        <v>278.56</v>
      </c>
      <c r="BP27" s="67">
        <f t="shared" si="26"/>
        <v>30.000000000029559</v>
      </c>
      <c r="BQ27" s="62">
        <v>38922</v>
      </c>
      <c r="BR27" s="67">
        <f t="shared" si="27"/>
        <v>9</v>
      </c>
      <c r="BS27" s="62">
        <v>193.42</v>
      </c>
      <c r="BT27" s="67">
        <f t="shared" si="41"/>
        <v>9.9999999999909051</v>
      </c>
      <c r="BU27" s="62">
        <v>30160</v>
      </c>
      <c r="BV27" s="67">
        <f t="shared" si="29"/>
        <v>6</v>
      </c>
      <c r="BW27" s="62">
        <v>223.97</v>
      </c>
      <c r="BX27" s="67">
        <f t="shared" si="30"/>
        <v>9.9999999999909051</v>
      </c>
      <c r="BY27" s="62">
        <v>49050</v>
      </c>
      <c r="BZ27" s="69">
        <f t="shared" si="31"/>
        <v>18</v>
      </c>
      <c r="CA27" s="62">
        <v>27508.400000000001</v>
      </c>
      <c r="CB27" s="69">
        <f t="shared" si="32"/>
        <v>0</v>
      </c>
      <c r="CC27" s="62">
        <v>11251.4</v>
      </c>
      <c r="CD27" s="69">
        <f t="shared" si="33"/>
        <v>0</v>
      </c>
      <c r="CE27" s="62">
        <v>5488.9</v>
      </c>
      <c r="CF27" s="69">
        <f t="shared" si="34"/>
        <v>0</v>
      </c>
      <c r="CG27" s="62">
        <v>46723.6</v>
      </c>
      <c r="CH27" s="69">
        <f t="shared" si="35"/>
        <v>40.099999999998545</v>
      </c>
      <c r="CI27" s="62">
        <v>861165</v>
      </c>
      <c r="CJ27" s="69">
        <f t="shared" si="36"/>
        <v>187</v>
      </c>
      <c r="CK27" s="62">
        <v>576.4</v>
      </c>
      <c r="CL27" s="66">
        <f t="shared" si="37"/>
        <v>319.99999999993634</v>
      </c>
      <c r="CM27" s="67">
        <v>23</v>
      </c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>
        <v>1.7259</v>
      </c>
      <c r="D28" s="66">
        <f t="shared" si="0"/>
        <v>799.99999999991189</v>
      </c>
      <c r="E28" s="60">
        <v>2.7248000000000001</v>
      </c>
      <c r="F28" s="66">
        <f t="shared" si="1"/>
        <v>599.99999999993395</v>
      </c>
      <c r="G28" s="60">
        <v>2.5908000000000002</v>
      </c>
      <c r="H28" s="66">
        <f t="shared" si="2"/>
        <v>1700.0000000000348</v>
      </c>
      <c r="I28" s="60">
        <v>1.2539</v>
      </c>
      <c r="J28" s="66">
        <f t="shared" si="3"/>
        <v>900.0000000001229</v>
      </c>
      <c r="K28" s="60">
        <v>1.9471000000000001</v>
      </c>
      <c r="L28" s="66">
        <f t="shared" si="4"/>
        <v>1900.0000000000127</v>
      </c>
      <c r="M28" s="60">
        <v>1.2119</v>
      </c>
      <c r="N28" s="66">
        <f t="shared" si="5"/>
        <v>499.99999999994492</v>
      </c>
      <c r="O28" s="60">
        <v>12593</v>
      </c>
      <c r="P28" s="69">
        <f t="shared" si="42"/>
        <v>0</v>
      </c>
      <c r="Q28" s="60">
        <v>5518</v>
      </c>
      <c r="R28" s="69">
        <f t="shared" si="6"/>
        <v>4</v>
      </c>
      <c r="S28" s="60">
        <v>835104.3</v>
      </c>
      <c r="T28" s="69">
        <f t="shared" si="7"/>
        <v>204.80000000004657</v>
      </c>
      <c r="U28" s="60">
        <v>340327.1</v>
      </c>
      <c r="V28" s="69">
        <f t="shared" si="8"/>
        <v>91.099999999976717</v>
      </c>
      <c r="W28" s="60">
        <v>334.08</v>
      </c>
      <c r="X28" s="67">
        <f t="shared" si="9"/>
        <v>79.999999999984084</v>
      </c>
      <c r="Y28" s="60">
        <v>2.4011999999999998</v>
      </c>
      <c r="Z28" s="67">
        <f t="shared" si="10"/>
        <v>399.99999999995595</v>
      </c>
      <c r="AA28" s="60">
        <v>328.43</v>
      </c>
      <c r="AB28" s="67">
        <f t="shared" si="11"/>
        <v>60.000000000002274</v>
      </c>
      <c r="AC28" s="60">
        <v>311.02999999999997</v>
      </c>
      <c r="AD28" s="67">
        <f t="shared" si="12"/>
        <v>89.999999999974989</v>
      </c>
      <c r="AE28" s="60">
        <v>486.77</v>
      </c>
      <c r="AF28" s="67">
        <f t="shared" si="13"/>
        <v>189.99999999999773</v>
      </c>
      <c r="AG28" s="60">
        <v>1263.2</v>
      </c>
      <c r="AH28" s="69">
        <f t="shared" si="14"/>
        <v>1.2999999999999545</v>
      </c>
      <c r="AI28" s="60">
        <v>422.72</v>
      </c>
      <c r="AJ28" s="67">
        <f t="shared" si="15"/>
        <v>270.00000000003865</v>
      </c>
      <c r="AK28" s="60">
        <v>151.19</v>
      </c>
      <c r="AL28" s="67">
        <f t="shared" si="43"/>
        <v>5.0000000000011369E-2</v>
      </c>
      <c r="AM28" s="60">
        <v>150.72999999999999</v>
      </c>
      <c r="AN28" s="67">
        <f t="shared" si="44"/>
        <v>6.0000000000002274E-2</v>
      </c>
      <c r="AO28" s="60">
        <v>147.24</v>
      </c>
      <c r="AP28" s="67">
        <f t="shared" si="45"/>
        <v>5.0000000000011369E-2</v>
      </c>
      <c r="AQ28" s="60">
        <v>218.41</v>
      </c>
      <c r="AR28" s="67">
        <f t="shared" si="16"/>
        <v>49.999999999982947</v>
      </c>
      <c r="AS28" s="60">
        <v>344.73</v>
      </c>
      <c r="AT28" s="67">
        <f t="shared" si="17"/>
        <v>40.000000000020464</v>
      </c>
      <c r="AU28" s="60">
        <v>265.91000000000003</v>
      </c>
      <c r="AV28" s="67">
        <f t="shared" si="18"/>
        <v>20.000000000038654</v>
      </c>
      <c r="AW28" s="60">
        <v>293.48</v>
      </c>
      <c r="AX28" s="67">
        <f t="shared" si="19"/>
        <v>20.000000000038654</v>
      </c>
      <c r="AY28" s="60">
        <v>344.71</v>
      </c>
      <c r="AZ28" s="67">
        <f t="shared" si="20"/>
        <v>19.99999999998181</v>
      </c>
      <c r="BA28" s="60">
        <v>364.54</v>
      </c>
      <c r="BB28" s="67">
        <f t="shared" si="21"/>
        <v>10.000000000047748</v>
      </c>
      <c r="BC28" s="60">
        <v>231.17</v>
      </c>
      <c r="BD28" s="67">
        <f t="shared" si="22"/>
        <v>9.9999999999909051</v>
      </c>
      <c r="BE28" s="61">
        <v>29477</v>
      </c>
      <c r="BF28" s="69">
        <f t="shared" si="38"/>
        <v>24</v>
      </c>
      <c r="BG28" s="62">
        <v>225.06</v>
      </c>
      <c r="BH28" s="67">
        <f t="shared" si="23"/>
        <v>9.9999999999909051</v>
      </c>
      <c r="BI28" s="62">
        <v>282.75</v>
      </c>
      <c r="BJ28" s="67">
        <f t="shared" si="39"/>
        <v>29.999999999972715</v>
      </c>
      <c r="BK28" s="62">
        <v>230.58</v>
      </c>
      <c r="BL28" s="67">
        <f t="shared" si="24"/>
        <v>10.000000000019327</v>
      </c>
      <c r="BM28" s="62">
        <v>213.79</v>
      </c>
      <c r="BN28" s="67">
        <f t="shared" si="25"/>
        <v>19.99999999998181</v>
      </c>
      <c r="BO28" s="62">
        <v>278.58999999999997</v>
      </c>
      <c r="BP28" s="67">
        <f t="shared" si="26"/>
        <v>29.999999999972715</v>
      </c>
      <c r="BQ28" s="62">
        <v>38931</v>
      </c>
      <c r="BR28" s="67">
        <f t="shared" si="27"/>
        <v>9</v>
      </c>
      <c r="BS28" s="62">
        <v>193.42</v>
      </c>
      <c r="BT28" s="67">
        <f t="shared" si="41"/>
        <v>0</v>
      </c>
      <c r="BU28" s="62">
        <v>30167</v>
      </c>
      <c r="BV28" s="67">
        <f t="shared" si="29"/>
        <v>7</v>
      </c>
      <c r="BW28" s="62">
        <v>223.99</v>
      </c>
      <c r="BX28" s="67">
        <f t="shared" si="30"/>
        <v>20.000000000010232</v>
      </c>
      <c r="BY28" s="62">
        <v>49065</v>
      </c>
      <c r="BZ28" s="69">
        <f t="shared" si="31"/>
        <v>15</v>
      </c>
      <c r="CA28" s="62">
        <v>27508.400000000001</v>
      </c>
      <c r="CB28" s="69">
        <f t="shared" si="32"/>
        <v>0</v>
      </c>
      <c r="CC28" s="62">
        <v>11251.4</v>
      </c>
      <c r="CD28" s="69">
        <f t="shared" si="33"/>
        <v>0</v>
      </c>
      <c r="CE28" s="62">
        <v>5488.9</v>
      </c>
      <c r="CF28" s="69">
        <f t="shared" si="34"/>
        <v>0</v>
      </c>
      <c r="CG28" s="62">
        <v>46765.8</v>
      </c>
      <c r="CH28" s="69">
        <f t="shared" si="35"/>
        <v>42.200000000004366</v>
      </c>
      <c r="CI28" s="62">
        <v>861368</v>
      </c>
      <c r="CJ28" s="69">
        <f t="shared" si="36"/>
        <v>203</v>
      </c>
      <c r="CK28" s="62">
        <v>576.87</v>
      </c>
      <c r="CL28" s="66">
        <f t="shared" si="37"/>
        <v>470.00000000002728</v>
      </c>
      <c r="CM28" s="67">
        <v>31</v>
      </c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 t="str">
        <f t="shared" si="0"/>
        <v>0</v>
      </c>
      <c r="E29" s="60"/>
      <c r="F29" s="66" t="str">
        <f t="shared" si="1"/>
        <v>0</v>
      </c>
      <c r="G29" s="60"/>
      <c r="H29" s="66" t="str">
        <f t="shared" si="2"/>
        <v>0</v>
      </c>
      <c r="I29" s="60"/>
      <c r="J29" s="66" t="str">
        <f t="shared" si="3"/>
        <v>0</v>
      </c>
      <c r="K29" s="60"/>
      <c r="L29" s="66" t="str">
        <f t="shared" si="4"/>
        <v>0</v>
      </c>
      <c r="M29" s="60"/>
      <c r="N29" s="66" t="str">
        <f t="shared" si="5"/>
        <v/>
      </c>
      <c r="O29" s="60"/>
      <c r="P29" s="69" t="str">
        <f t="shared" si="42"/>
        <v/>
      </c>
      <c r="Q29" s="60"/>
      <c r="R29" s="69" t="str">
        <f t="shared" si="6"/>
        <v/>
      </c>
      <c r="S29" s="60"/>
      <c r="T29" s="69" t="str">
        <f t="shared" si="7"/>
        <v/>
      </c>
      <c r="U29" s="60"/>
      <c r="V29" s="69" t="str">
        <f t="shared" si="8"/>
        <v/>
      </c>
      <c r="W29" s="60"/>
      <c r="X29" s="67" t="str">
        <f t="shared" si="9"/>
        <v/>
      </c>
      <c r="Y29" s="60"/>
      <c r="Z29" s="67" t="str">
        <f t="shared" si="10"/>
        <v/>
      </c>
      <c r="AA29" s="60"/>
      <c r="AB29" s="67" t="str">
        <f t="shared" si="11"/>
        <v/>
      </c>
      <c r="AC29" s="60"/>
      <c r="AD29" s="67" t="str">
        <f t="shared" si="12"/>
        <v/>
      </c>
      <c r="AE29" s="60"/>
      <c r="AF29" s="67" t="str">
        <f t="shared" si="13"/>
        <v/>
      </c>
      <c r="AG29" s="60"/>
      <c r="AH29" s="69" t="str">
        <f t="shared" si="14"/>
        <v/>
      </c>
      <c r="AI29" s="60"/>
      <c r="AJ29" s="67" t="str">
        <f t="shared" si="15"/>
        <v/>
      </c>
      <c r="AK29" s="60"/>
      <c r="AL29" s="67" t="str">
        <f t="shared" si="43"/>
        <v/>
      </c>
      <c r="AM29" s="60"/>
      <c r="AN29" s="67" t="str">
        <f t="shared" si="44"/>
        <v/>
      </c>
      <c r="AO29" s="60"/>
      <c r="AP29" s="67" t="str">
        <f t="shared" si="45"/>
        <v/>
      </c>
      <c r="AQ29" s="60"/>
      <c r="AR29" s="67" t="str">
        <f t="shared" si="16"/>
        <v/>
      </c>
      <c r="AS29" s="60"/>
      <c r="AT29" s="67" t="str">
        <f t="shared" si="17"/>
        <v/>
      </c>
      <c r="AU29" s="60"/>
      <c r="AV29" s="67" t="str">
        <f t="shared" si="18"/>
        <v/>
      </c>
      <c r="AW29" s="60"/>
      <c r="AX29" s="67" t="str">
        <f t="shared" si="19"/>
        <v/>
      </c>
      <c r="AY29" s="60"/>
      <c r="AZ29" s="67" t="str">
        <f t="shared" si="20"/>
        <v/>
      </c>
      <c r="BA29" s="60"/>
      <c r="BB29" s="67" t="str">
        <f t="shared" si="21"/>
        <v/>
      </c>
      <c r="BC29" s="60"/>
      <c r="BD29" s="67" t="str">
        <f t="shared" si="22"/>
        <v/>
      </c>
      <c r="BE29" s="61"/>
      <c r="BF29" s="69" t="str">
        <f t="shared" si="38"/>
        <v/>
      </c>
      <c r="BG29" s="62"/>
      <c r="BH29" s="67" t="str">
        <f t="shared" si="23"/>
        <v/>
      </c>
      <c r="BI29" s="62"/>
      <c r="BJ29" s="67" t="str">
        <f t="shared" si="39"/>
        <v/>
      </c>
      <c r="BK29" s="62"/>
      <c r="BL29" s="67" t="str">
        <f t="shared" si="24"/>
        <v/>
      </c>
      <c r="BM29" s="62"/>
      <c r="BN29" s="67" t="str">
        <f t="shared" si="25"/>
        <v/>
      </c>
      <c r="BO29" s="62"/>
      <c r="BP29" s="67" t="str">
        <f t="shared" si="26"/>
        <v/>
      </c>
      <c r="BQ29" s="62"/>
      <c r="BR29" s="67" t="str">
        <f t="shared" si="27"/>
        <v/>
      </c>
      <c r="BS29" s="62"/>
      <c r="BT29" s="67" t="str">
        <f t="shared" si="41"/>
        <v/>
      </c>
      <c r="BU29" s="62"/>
      <c r="BV29" s="67" t="str">
        <f t="shared" si="29"/>
        <v/>
      </c>
      <c r="BW29" s="62"/>
      <c r="BX29" s="67" t="str">
        <f t="shared" si="30"/>
        <v/>
      </c>
      <c r="BY29" s="62"/>
      <c r="BZ29" s="69" t="str">
        <f t="shared" si="31"/>
        <v/>
      </c>
      <c r="CA29" s="62"/>
      <c r="CB29" s="69" t="str">
        <f t="shared" si="32"/>
        <v/>
      </c>
      <c r="CC29" s="62"/>
      <c r="CD29" s="69" t="str">
        <f t="shared" si="33"/>
        <v/>
      </c>
      <c r="CE29" s="62"/>
      <c r="CF29" s="69" t="str">
        <f t="shared" si="34"/>
        <v/>
      </c>
      <c r="CG29" s="62"/>
      <c r="CH29" s="69" t="str">
        <f t="shared" si="35"/>
        <v/>
      </c>
      <c r="CI29" s="62"/>
      <c r="CJ29" s="69" t="str">
        <f t="shared" si="36"/>
        <v/>
      </c>
      <c r="CK29" s="62"/>
      <c r="CL29" s="66" t="str">
        <f t="shared" si="37"/>
        <v/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Q33" sqref="Q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13</v>
      </c>
      <c r="O29" s="40">
        <v>0</v>
      </c>
      <c r="P29" s="40">
        <v>85</v>
      </c>
      <c r="Q29" s="40">
        <v>2596</v>
      </c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10</v>
      </c>
      <c r="O30" s="40">
        <v>0</v>
      </c>
      <c r="P30" s="40">
        <v>85</v>
      </c>
      <c r="Q30" s="40">
        <v>2598</v>
      </c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7</v>
      </c>
      <c r="O31" s="40">
        <v>0</v>
      </c>
      <c r="P31" s="40">
        <v>85</v>
      </c>
      <c r="Q31" s="40">
        <v>2602</v>
      </c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5</v>
      </c>
      <c r="O32" s="40">
        <v>0</v>
      </c>
      <c r="P32" s="40">
        <v>85</v>
      </c>
      <c r="Q32" s="40">
        <v>2606</v>
      </c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2</v>
      </c>
      <c r="O33" s="40">
        <v>0</v>
      </c>
      <c r="P33" s="40">
        <v>85</v>
      </c>
      <c r="Q33" s="40">
        <v>2609</v>
      </c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2020-06-26T06:47:23Z</dcterms:modified>
</cp:coreProperties>
</file>