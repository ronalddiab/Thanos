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19" i="3" l="1"/>
  <c r="K213" i="4"/>
  <c r="K212" i="4"/>
  <c r="K188" i="4"/>
  <c r="E181" i="1"/>
  <c r="E203" i="1"/>
  <c r="E228" i="1"/>
  <c r="F228" i="1" s="1"/>
  <c r="E229" i="1"/>
  <c r="E230" i="1"/>
  <c r="E232" i="1"/>
  <c r="E233" i="1"/>
  <c r="E234" i="1"/>
  <c r="F234" i="1" s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F279" i="1"/>
  <c r="E67" i="1"/>
  <c r="F67" i="1" s="1"/>
  <c r="E205" i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F281" i="1" s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E212" i="1"/>
  <c r="E216" i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E219" i="1"/>
  <c r="E224" i="1"/>
  <c r="E241" i="1"/>
  <c r="F241" i="1" s="1"/>
  <c r="E118" i="1"/>
  <c r="E177" i="1"/>
  <c r="E218" i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<sst xmlns="http://schemas.openxmlformats.org/spreadsheetml/2006/main" count="607" uniqueCount="77">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</sst>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90" workbookViewId="0">
      <selection activeCell="R215" sqref="R21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0.75</v>
      </c>
      <c r="G214" s="4">
        <f>'Gas Water'!M216</f>
        <v>1288</v>
      </c>
      <c r="H214" s="153">
        <v>1.85</v>
      </c>
      <c r="I214" s="2">
        <f>'Gas Water'!L216</f>
        <v>243</v>
      </c>
      <c r="J214" s="153">
        <v>12.93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0.75</v>
      </c>
      <c r="G215" s="4">
        <f>'Gas Water'!M217</f>
        <v>1305</v>
      </c>
      <c r="H215" s="153">
        <v>1.85</v>
      </c>
      <c r="I215" s="2">
        <f>'Gas Water'!L217</f>
        <v>291</v>
      </c>
      <c r="J215" s="153">
        <v>12.93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0.75</v>
      </c>
      <c r="G216" s="4">
        <f>'Gas Water'!M218</f>
        <v>1316</v>
      </c>
      <c r="H216" s="153">
        <v>1.85</v>
      </c>
      <c r="I216" s="2">
        <f>'Gas Water'!L218</f>
        <v>282</v>
      </c>
      <c r="J216" s="153">
        <v>12.93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0.75</v>
      </c>
      <c r="G217" s="4">
        <f>'Gas Water'!M219</f>
        <v>1492</v>
      </c>
      <c r="H217" s="153">
        <v>1.85</v>
      </c>
      <c r="I217" s="2">
        <f>'Gas Water'!L219</f>
        <v>274</v>
      </c>
      <c r="J217" s="153">
        <v>12.93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0.75</v>
      </c>
      <c r="G218" s="4">
        <f>'Gas Water'!M220</f>
        <v>1403</v>
      </c>
      <c r="H218" s="153">
        <v>1.85</v>
      </c>
      <c r="I218" s="2">
        <f>'Gas Water'!L220</f>
        <v>302</v>
      </c>
      <c r="J218" s="153">
        <v>12.93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0.75</v>
      </c>
      <c r="G219" s="4">
        <f>'Gas Water'!M221</f>
        <v>1424</v>
      </c>
      <c r="H219" s="153">
        <v>1.85</v>
      </c>
      <c r="I219" s="2">
        <f>'Gas Water'!L221</f>
        <v>292</v>
      </c>
      <c r="J219" s="153">
        <v>12.93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0.75</v>
      </c>
      <c r="G220" s="4">
        <f>'Gas Water'!M222</f>
        <v>1481</v>
      </c>
      <c r="H220" s="153">
        <v>1.85</v>
      </c>
      <c r="I220" s="2">
        <f>'Gas Water'!L222</f>
        <v>265</v>
      </c>
      <c r="J220" s="153">
        <v>12.93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0.75</v>
      </c>
      <c r="G221" s="4">
        <f>'Gas Water'!M223</f>
        <v>1553</v>
      </c>
      <c r="H221" s="153">
        <v>1.85</v>
      </c>
      <c r="I221" s="2">
        <f>'Gas Water'!L223</f>
        <v>266</v>
      </c>
      <c r="J221" s="153">
        <v>12.93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3">
        <v>0.75</v>
      </c>
      <c r="G222" s="4" t="str">
        <f>'Gas Water'!M224</f>
        <v/>
      </c>
      <c r="H222" s="153">
        <v>1.85</v>
      </c>
      <c r="I222" s="2" t="str">
        <f>'Gas Water'!L224</f>
        <v/>
      </c>
      <c r="J222" s="153">
        <v>12.93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3">
        <v>0.75</v>
      </c>
      <c r="G223" s="4" t="str">
        <f>'Gas Water'!M225</f>
        <v/>
      </c>
      <c r="H223" s="153">
        <v>1.85</v>
      </c>
      <c r="I223" s="2" t="str">
        <f>'Gas Water'!L225</f>
        <v/>
      </c>
      <c r="J223" s="153">
        <v>12.93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3">
        <v>0.75</v>
      </c>
      <c r="G224" s="4" t="str">
        <f>'Gas Water'!M226</f>
        <v/>
      </c>
      <c r="H224" s="153">
        <v>1.85</v>
      </c>
      <c r="I224" s="2" t="str">
        <f>'Gas Water'!L226</f>
        <v/>
      </c>
      <c r="J224" s="153">
        <v>12.93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3">
        <v>0.75</v>
      </c>
      <c r="G225" s="4" t="str">
        <f>'Gas Water'!M227</f>
        <v/>
      </c>
      <c r="H225" s="153">
        <v>1.85</v>
      </c>
      <c r="I225" s="2" t="str">
        <f>'Gas Water'!L227</f>
        <v/>
      </c>
      <c r="J225" s="153">
        <v>12.93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3">
        <v>0.75</v>
      </c>
      <c r="G226" s="4" t="str">
        <f>'Gas Water'!M228</f>
        <v/>
      </c>
      <c r="H226" s="153">
        <v>1.85</v>
      </c>
      <c r="I226" s="2" t="str">
        <f>'Gas Water'!L228</f>
        <v/>
      </c>
      <c r="J226" s="153">
        <v>12.93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3">
        <v>0.75</v>
      </c>
      <c r="G227" s="4" t="str">
        <f>'Gas Water'!M229</f>
        <v/>
      </c>
      <c r="H227" s="153">
        <v>1.85</v>
      </c>
      <c r="I227" s="2" t="str">
        <f>'Gas Water'!L229</f>
        <v/>
      </c>
      <c r="J227" s="153">
        <v>12.93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3" t="e">
        <f>('Electricity '!I229*0.55+'Gas Water'!H230*1.88)/(Total!E228)</f>
        <v>#VALUE!</v>
      </c>
      <c r="G228" s="4" t="str">
        <f>'Gas Water'!M230</f>
        <v/>
      </c>
      <c r="H228" s="153">
        <v>1.88</v>
      </c>
      <c r="I228" s="2" t="str">
        <f>'Gas Water'!L230</f>
        <v/>
      </c>
      <c r="J228" s="153">
        <v>12.93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3" t="e">
        <f>('Electricity '!I230*0.55+'Gas Water'!H231*1.88)/(Total!E229)</f>
        <v>#VALUE!</v>
      </c>
      <c r="G229" s="4" t="str">
        <f>'Gas Water'!M231</f>
        <v/>
      </c>
      <c r="H229" s="153">
        <v>1.88</v>
      </c>
      <c r="I229" s="2" t="str">
        <f>'Gas Water'!L231</f>
        <v/>
      </c>
      <c r="J229" s="153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3" t="e">
        <f>('Electricity '!I231*0.55+'Gas Water'!H232*1.88)/(Total!E230)</f>
        <v>#VALUE!</v>
      </c>
      <c r="G230" s="4" t="str">
        <f>'Gas Water'!M232</f>
        <v/>
      </c>
      <c r="H230" s="153">
        <v>1.88</v>
      </c>
      <c r="I230" s="2" t="str">
        <f>'Gas Water'!L232</f>
        <v/>
      </c>
      <c r="J230" s="153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3" t="e">
        <f>('Electricity '!I232*0.55+'Gas Water'!H233*1.88)/(Total!E231)</f>
        <v>#VALUE!</v>
      </c>
      <c r="G231" s="4" t="str">
        <f>'Gas Water'!M233</f>
        <v/>
      </c>
      <c r="H231" s="153">
        <v>1.88</v>
      </c>
      <c r="I231" s="2" t="str">
        <f>'Gas Water'!L233</f>
        <v/>
      </c>
      <c r="J231" s="153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3" t="e">
        <f>('Electricity '!I233*0.55+'Gas Water'!H234*1.88)/(Total!E232)</f>
        <v>#VALUE!</v>
      </c>
      <c r="G232" s="4" t="str">
        <f>'Gas Water'!M234</f>
        <v/>
      </c>
      <c r="H232" s="153">
        <v>1.88</v>
      </c>
      <c r="I232" s="2" t="str">
        <f>'Gas Water'!L234</f>
        <v/>
      </c>
      <c r="J232" s="153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3" t="e">
        <f>('Electricity '!I234*0.55+'Gas Water'!H235*1.88)/(Total!E233)</f>
        <v>#VALUE!</v>
      </c>
      <c r="G233" s="4" t="str">
        <f>'Gas Water'!M235</f>
        <v/>
      </c>
      <c r="H233" s="153">
        <v>1.88</v>
      </c>
      <c r="I233" s="2" t="str">
        <f>'Gas Water'!L235</f>
        <v/>
      </c>
      <c r="J233" s="153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3" t="e">
        <f>('Electricity '!I235*0.55+'Gas Water'!H236*1.88)/(Total!E234)</f>
        <v>#VALUE!</v>
      </c>
      <c r="G234" s="4" t="str">
        <f>'Gas Water'!M236</f>
        <v/>
      </c>
      <c r="H234" s="153">
        <v>1.88</v>
      </c>
      <c r="I234" s="2" t="str">
        <f>'Gas Water'!L236</f>
        <v/>
      </c>
      <c r="J234" s="153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3" t="e">
        <f>('Electricity '!I236*0.55+'Gas Water'!H237*1.88)/(Total!E235)</f>
        <v>#VALUE!</v>
      </c>
      <c r="G235" s="4" t="str">
        <f>'Gas Water'!M237</f>
        <v/>
      </c>
      <c r="H235" s="153">
        <v>1.88</v>
      </c>
      <c r="I235" s="2" t="str">
        <f>'Gas Water'!L237</f>
        <v/>
      </c>
      <c r="J235" s="153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3" t="e">
        <f>('Electricity '!I237*0.55+'Gas Water'!H238*1.88)/(Total!E236)</f>
        <v>#VALUE!</v>
      </c>
      <c r="G236" s="4" t="str">
        <f>'Gas Water'!M238</f>
        <v/>
      </c>
      <c r="H236" s="153">
        <v>1.88</v>
      </c>
      <c r="I236" s="2" t="str">
        <f>'Gas Water'!L238</f>
        <v/>
      </c>
      <c r="J236" s="153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3" t="e">
        <f>('Electricity '!I238*0.55+'Gas Water'!H239*1.88)/(Total!E237)</f>
        <v>#VALUE!</v>
      </c>
      <c r="G237" s="4" t="str">
        <f>'Gas Water'!M239</f>
        <v/>
      </c>
      <c r="H237" s="153">
        <v>1.88</v>
      </c>
      <c r="I237" s="2" t="str">
        <f>'Gas Water'!L239</f>
        <v/>
      </c>
      <c r="J237" s="153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3" t="e">
        <f>('Electricity '!I239*0.55+'Gas Water'!H240*1.88)/(Total!E238)</f>
        <v>#VALUE!</v>
      </c>
      <c r="G238" s="4" t="str">
        <f>'Gas Water'!M240</f>
        <v/>
      </c>
      <c r="H238" s="153">
        <v>1.88</v>
      </c>
      <c r="I238" s="2" t="str">
        <f>'Gas Water'!L240</f>
        <v/>
      </c>
      <c r="J238" s="153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3" t="e">
        <f>('Electricity '!I240*0.55+'Gas Water'!H241*1.88)/(Total!E239)</f>
        <v>#VALUE!</v>
      </c>
      <c r="G239" s="4" t="str">
        <f>'Gas Water'!M241</f>
        <v/>
      </c>
      <c r="H239" s="153">
        <v>1.88</v>
      </c>
      <c r="I239" s="2" t="str">
        <f>'Gas Water'!L241</f>
        <v/>
      </c>
      <c r="J239" s="153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3" t="e">
        <f>('Electricity '!I241*0.55+'Gas Water'!H242*1.88)/(Total!E240)</f>
        <v>#VALUE!</v>
      </c>
      <c r="G240" s="4" t="str">
        <f>'Gas Water'!M242</f>
        <v/>
      </c>
      <c r="H240" s="153">
        <v>1.88</v>
      </c>
      <c r="I240" s="2" t="str">
        <f>'Gas Water'!L242</f>
        <v/>
      </c>
      <c r="J240" s="153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3" t="e">
        <f>('Electricity '!I242*0.55+'Gas Water'!H243*1.88)/(Total!E241)</f>
        <v>#VALUE!</v>
      </c>
      <c r="G241" s="4" t="str">
        <f>'Gas Water'!M243</f>
        <v/>
      </c>
      <c r="H241" s="153">
        <v>1.88</v>
      </c>
      <c r="I241" s="2" t="str">
        <f>'Gas Water'!L243</f>
        <v/>
      </c>
      <c r="J241" s="153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3" t="e">
        <f>('Electricity '!I243*0.55+'Gas Water'!H244*1.88)/(Total!E242)</f>
        <v>#VALUE!</v>
      </c>
      <c r="G242" s="4" t="str">
        <f>'Gas Water'!M244</f>
        <v/>
      </c>
      <c r="H242" s="153">
        <v>1.88</v>
      </c>
      <c r="I242" s="2" t="str">
        <f>'Gas Water'!L244</f>
        <v/>
      </c>
      <c r="J242" s="153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3" t="e">
        <f>('Electricity '!I244*0.55+'Gas Water'!H245*1.88)/(Total!E243)</f>
        <v>#VALUE!</v>
      </c>
      <c r="G243" s="4" t="str">
        <f>'Gas Water'!M245</f>
        <v/>
      </c>
      <c r="H243" s="153">
        <v>1.88</v>
      </c>
      <c r="I243" s="2" t="str">
        <f>'Gas Water'!L245</f>
        <v/>
      </c>
      <c r="J243" s="153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3" t="e">
        <f>('Electricity '!I245*0.55+'Gas Water'!H246*1.88)/(Total!E244)</f>
        <v>#VALUE!</v>
      </c>
      <c r="G244" s="4" t="str">
        <f>'Gas Water'!M246</f>
        <v/>
      </c>
      <c r="H244" s="153">
        <v>1.88</v>
      </c>
      <c r="I244" s="2" t="str">
        <f>'Gas Water'!L246</f>
        <v/>
      </c>
      <c r="J244" s="153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3" t="e">
        <f>('Electricity '!I246*0.55+'Gas Water'!H247*1.88)/(Total!E245)</f>
        <v>#VALUE!</v>
      </c>
      <c r="G245" s="4" t="str">
        <f>'Gas Water'!M247</f>
        <v/>
      </c>
      <c r="H245" s="153">
        <v>1.88</v>
      </c>
      <c r="I245" s="2" t="str">
        <f>'Gas Water'!L247</f>
        <v/>
      </c>
      <c r="J245" s="153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3" t="e">
        <f>('Electricity '!I247*0.55+'Gas Water'!H248*1.88)/(Total!E246)</f>
        <v>#VALUE!</v>
      </c>
      <c r="G246" s="4" t="str">
        <f>'Gas Water'!M248</f>
        <v/>
      </c>
      <c r="H246" s="153">
        <v>1.88</v>
      </c>
      <c r="I246" s="2" t="str">
        <f>'Gas Water'!L248</f>
        <v/>
      </c>
      <c r="J246" s="153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3" t="e">
        <f>('Electricity '!I248*0.55+'Gas Water'!H249*1.88)/(Total!E247)</f>
        <v>#VALUE!</v>
      </c>
      <c r="G247" s="4" t="str">
        <f>'Gas Water'!M249</f>
        <v/>
      </c>
      <c r="H247" s="153">
        <v>1.88</v>
      </c>
      <c r="I247" s="2" t="str">
        <f>'Gas Water'!L249</f>
        <v/>
      </c>
      <c r="J247" s="153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3" t="e">
        <f>('Electricity '!I249*0.55+'Gas Water'!H250*1.88)/(Total!E248)</f>
        <v>#VALUE!</v>
      </c>
      <c r="G248" s="4" t="str">
        <f>'Gas Water'!M250</f>
        <v/>
      </c>
      <c r="H248" s="153">
        <v>1.88</v>
      </c>
      <c r="I248" s="2" t="str">
        <f>'Gas Water'!L250</f>
        <v/>
      </c>
      <c r="J248" s="153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3" t="e">
        <f>('Electricity '!I250*0.55+'Gas Water'!H251*1.88)/(Total!E249)</f>
        <v>#VALUE!</v>
      </c>
      <c r="G249" s="4" t="str">
        <f>'Gas Water'!M251</f>
        <v/>
      </c>
      <c r="H249" s="153">
        <v>1.88</v>
      </c>
      <c r="I249" s="2" t="str">
        <f>'Gas Water'!L251</f>
        <v/>
      </c>
      <c r="J249" s="153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3" t="e">
        <f>('Electricity '!I251*0.55+'Gas Water'!H252*1.88)/(Total!E250)</f>
        <v>#VALUE!</v>
      </c>
      <c r="G250" s="4" t="str">
        <f>'Gas Water'!M252</f>
        <v/>
      </c>
      <c r="H250" s="153">
        <v>1.88</v>
      </c>
      <c r="I250" s="2" t="str">
        <f>'Gas Water'!L252</f>
        <v/>
      </c>
      <c r="J250" s="153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3" t="e">
        <f>('Electricity '!I252*0.55+'Gas Water'!H253*1.88)/(Total!E251)</f>
        <v>#VALUE!</v>
      </c>
      <c r="G251" s="4" t="str">
        <f>'Gas Water'!M253</f>
        <v/>
      </c>
      <c r="H251" s="153">
        <v>1.88</v>
      </c>
      <c r="I251" s="2" t="str">
        <f>'Gas Water'!L253</f>
        <v/>
      </c>
      <c r="J251" s="153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3" t="e">
        <f>('Electricity '!I253*0.55+'Gas Water'!H254*1.88)/(Total!E252)</f>
        <v>#VALUE!</v>
      </c>
      <c r="G252" s="4" t="str">
        <f>'Gas Water'!M254</f>
        <v/>
      </c>
      <c r="H252" s="153">
        <v>1.88</v>
      </c>
      <c r="I252" s="2" t="str">
        <f>'Gas Water'!L254</f>
        <v/>
      </c>
      <c r="J252" s="153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3" t="e">
        <f>('Electricity '!I254*0.55+'Gas Water'!H255*1.88)/(Total!E253)</f>
        <v>#VALUE!</v>
      </c>
      <c r="G253" s="4" t="str">
        <f>'Gas Water'!M255</f>
        <v/>
      </c>
      <c r="H253" s="153">
        <v>1.88</v>
      </c>
      <c r="I253" s="2" t="str">
        <f>'Gas Water'!L255</f>
        <v/>
      </c>
      <c r="J253" s="153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3" t="e">
        <f>('Electricity '!I255*0.55+'Gas Water'!H256*1.88)/(Total!E254)</f>
        <v>#VALUE!</v>
      </c>
      <c r="G254" s="4" t="str">
        <f>'Gas Water'!M256</f>
        <v/>
      </c>
      <c r="H254" s="153">
        <v>1.88</v>
      </c>
      <c r="I254" s="2" t="str">
        <f>'Gas Water'!L256</f>
        <v/>
      </c>
      <c r="J254" s="153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3" t="e">
        <f>('Electricity '!I256*0.55+'Gas Water'!H257*1.88)/(Total!E255)</f>
        <v>#VALUE!</v>
      </c>
      <c r="G255" s="4" t="str">
        <f>'Gas Water'!M257</f>
        <v/>
      </c>
      <c r="H255" s="153">
        <v>1.88</v>
      </c>
      <c r="I255" s="2" t="str">
        <f>'Gas Water'!L257</f>
        <v/>
      </c>
      <c r="J255" s="153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3" t="e">
        <f>('Electricity '!I257*0.55+'Gas Water'!H258*1.88)/(Total!E256)</f>
        <v>#VALUE!</v>
      </c>
      <c r="G256" s="4" t="str">
        <f>'Gas Water'!M258</f>
        <v/>
      </c>
      <c r="H256" s="153">
        <v>1.88</v>
      </c>
      <c r="I256" s="2" t="str">
        <f>'Gas Water'!L258</f>
        <v/>
      </c>
      <c r="J256" s="153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3" t="e">
        <f>('Electricity '!I258*0.55+'Gas Water'!H259*1.88)/(Total!E257)</f>
        <v>#VALUE!</v>
      </c>
      <c r="G257" s="4" t="str">
        <f>'Gas Water'!M259</f>
        <v/>
      </c>
      <c r="H257" s="153">
        <v>1.88</v>
      </c>
      <c r="I257" s="2" t="str">
        <f>'Gas Water'!L259</f>
        <v/>
      </c>
      <c r="J257" s="153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3" t="e">
        <f>('Electricity '!I259*0.55+'Gas Water'!H260*1.88)/(Total!E258)</f>
        <v>#VALUE!</v>
      </c>
      <c r="G258" s="4" t="str">
        <f>'Gas Water'!M260</f>
        <v/>
      </c>
      <c r="H258" s="153">
        <v>1.88</v>
      </c>
      <c r="I258" s="2" t="str">
        <f>'Gas Water'!L260</f>
        <v/>
      </c>
      <c r="J258" s="153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3" t="e">
        <f>('Electricity '!I260*0.55+'Gas Water'!H261*1.88)/(Total!E259)</f>
        <v>#VALUE!</v>
      </c>
      <c r="G259" s="4" t="str">
        <f>'Gas Water'!M261</f>
        <v/>
      </c>
      <c r="H259" s="153">
        <v>1.88</v>
      </c>
      <c r="I259" s="2" t="str">
        <f>'Gas Water'!L261</f>
        <v/>
      </c>
      <c r="J259" s="153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 t="e">
        <f>('Electricity '!I261*0.55+'Gas Water'!H262*1.88)/(Total!E260)</f>
        <v>#VALUE!</v>
      </c>
      <c r="G260" s="4" t="str">
        <f>'Gas Water'!M262</f>
        <v/>
      </c>
      <c r="H260" s="153">
        <v>1.88</v>
      </c>
      <c r="I260" s="2" t="str">
        <f>'Gas Water'!L262</f>
        <v/>
      </c>
      <c r="J260" s="153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 t="e">
        <f>('Electricity '!I262*0.55+'Gas Water'!H263*1.88)/(Total!E261)</f>
        <v>#VALUE!</v>
      </c>
      <c r="G261" s="4" t="str">
        <f>'Gas Water'!M263</f>
        <v/>
      </c>
      <c r="H261" s="153">
        <v>1.88</v>
      </c>
      <c r="I261" s="2" t="str">
        <f>'Gas Water'!L263</f>
        <v/>
      </c>
      <c r="J261" s="153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 t="e">
        <f>('Electricity '!I263*0.55+'Gas Water'!H264*1.88)/(Total!E262)</f>
        <v>#VALUE!</v>
      </c>
      <c r="G262" s="4" t="str">
        <f>'Gas Water'!M264</f>
        <v/>
      </c>
      <c r="H262" s="153">
        <v>1.88</v>
      </c>
      <c r="I262" s="2" t="str">
        <f>'Gas Water'!L264</f>
        <v/>
      </c>
      <c r="J262" s="153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 t="e">
        <f>('Electricity '!I264*0.55+'Gas Water'!H265*1.88)/(Total!E263)</f>
        <v>#VALUE!</v>
      </c>
      <c r="G263" s="4" t="str">
        <f>'Gas Water'!M265</f>
        <v/>
      </c>
      <c r="H263" s="153">
        <v>1.88</v>
      </c>
      <c r="I263" s="2" t="str">
        <f>'Gas Water'!L265</f>
        <v/>
      </c>
      <c r="J263" s="153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 t="e">
        <f>('Electricity '!I265*0.55+'Gas Water'!H266*1.88)/(Total!E264)</f>
        <v>#VALUE!</v>
      </c>
      <c r="G264" s="4" t="str">
        <f>'Gas Water'!M266</f>
        <v/>
      </c>
      <c r="H264" s="153">
        <v>1.88</v>
      </c>
      <c r="I264" s="2" t="str">
        <f>'Gas Water'!L266</f>
        <v/>
      </c>
      <c r="J264" s="153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 t="e">
        <f>('Electricity '!I266*0.55+'Gas Water'!H267*1.88)/(Total!E265)</f>
        <v>#VALUE!</v>
      </c>
      <c r="G265" s="4" t="str">
        <f>'Gas Water'!M267</f>
        <v/>
      </c>
      <c r="H265" s="153">
        <v>1.88</v>
      </c>
      <c r="I265" s="2" t="str">
        <f>'Gas Water'!L267</f>
        <v/>
      </c>
      <c r="J265" s="153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 t="e">
        <f>('Electricity '!I267*0.55+'Gas Water'!H268*1.88)/(Total!E266)</f>
        <v>#VALUE!</v>
      </c>
      <c r="G266" s="4" t="str">
        <f>'Gas Water'!M268</f>
        <v/>
      </c>
      <c r="H266" s="153">
        <v>1.88</v>
      </c>
      <c r="I266" s="2" t="str">
        <f>'Gas Water'!L268</f>
        <v/>
      </c>
      <c r="J266" s="153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 t="e">
        <f>('Electricity '!I268*0.55+'Gas Water'!H269*1.88)/(Total!E267)</f>
        <v>#VALUE!</v>
      </c>
      <c r="G267" s="4" t="str">
        <f>'Gas Water'!M269</f>
        <v/>
      </c>
      <c r="H267" s="153">
        <v>1.88</v>
      </c>
      <c r="I267" s="2" t="str">
        <f>'Gas Water'!L269</f>
        <v/>
      </c>
      <c r="J267" s="153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 t="e">
        <f>('Electricity '!I269*0.55+'Gas Water'!H270*1.88)/(Total!E268)</f>
        <v>#VALUE!</v>
      </c>
      <c r="G268" s="4" t="str">
        <f>'Gas Water'!M270</f>
        <v/>
      </c>
      <c r="H268" s="153">
        <v>1.88</v>
      </c>
      <c r="I268" s="2" t="str">
        <f>'Gas Water'!L270</f>
        <v/>
      </c>
      <c r="J268" s="153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 t="e">
        <f>('Electricity '!I270*0.55+'Gas Water'!H271*1.88)/(Total!E269)</f>
        <v>#VALUE!</v>
      </c>
      <c r="G269" s="4" t="str">
        <f>'Gas Water'!M271</f>
        <v/>
      </c>
      <c r="H269" s="153">
        <v>1.88</v>
      </c>
      <c r="I269" s="2" t="str">
        <f>'Gas Water'!L271</f>
        <v/>
      </c>
      <c r="J269" s="153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 t="e">
        <f>('Electricity '!I271*0.55+'Gas Water'!H272*1.88)/(Total!E270)</f>
        <v>#VALUE!</v>
      </c>
      <c r="G270" s="4" t="str">
        <f>'Gas Water'!M272</f>
        <v/>
      </c>
      <c r="H270" s="153">
        <v>1.88</v>
      </c>
      <c r="I270" s="2" t="str">
        <f>'Gas Water'!L272</f>
        <v/>
      </c>
      <c r="J270" s="153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 t="e">
        <f>('Electricity '!I272*0.55+'Gas Water'!H273*1.88)/(Total!E271)</f>
        <v>#VALUE!</v>
      </c>
      <c r="G271" s="4" t="str">
        <f>'Gas Water'!M273</f>
        <v/>
      </c>
      <c r="H271" s="153">
        <v>1.88</v>
      </c>
      <c r="I271" s="2" t="str">
        <f>'Gas Water'!L273</f>
        <v/>
      </c>
      <c r="J271" s="153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 t="e">
        <f>('Electricity '!I273*0.55+'Gas Water'!H274*1.88)/(Total!E272)</f>
        <v>#VALUE!</v>
      </c>
      <c r="G272" s="4" t="str">
        <f>'Gas Water'!M274</f>
        <v/>
      </c>
      <c r="H272" s="153">
        <v>1.88</v>
      </c>
      <c r="I272" s="2" t="str">
        <f>'Gas Water'!L274</f>
        <v/>
      </c>
      <c r="J272" s="153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 t="e">
        <f>('Electricity '!I274*0.55+'Gas Water'!H275*1.88)/(Total!E273)</f>
        <v>#VALUE!</v>
      </c>
      <c r="G273" s="4" t="str">
        <f>'Gas Water'!M275</f>
        <v/>
      </c>
      <c r="H273" s="153">
        <v>1.88</v>
      </c>
      <c r="I273" s="2" t="str">
        <f>'Gas Water'!L275</f>
        <v/>
      </c>
      <c r="J273" s="153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 t="e">
        <f>('Electricity '!I275*0.55+'Gas Water'!H276*1.88)/(Total!E274)</f>
        <v>#VALUE!</v>
      </c>
      <c r="G274" s="4" t="str">
        <f>'Gas Water'!M276</f>
        <v/>
      </c>
      <c r="H274" s="153">
        <v>1.88</v>
      </c>
      <c r="I274" s="2" t="str">
        <f>'Gas Water'!L276</f>
        <v/>
      </c>
      <c r="J274" s="153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90" workbookViewId="0">
      <selection activeCell="C223" sqref="C223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8" t="s">
        <v>21</v>
      </c>
      <c r="O237" s="198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9"/>
      <c r="O238" s="199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200"/>
      <c r="O239" s="200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1972</v>
      </c>
      <c r="O240" s="32">
        <f>SUM(M217:M247)</f>
        <v>9974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8" t="s">
        <v>23</v>
      </c>
      <c r="O241" s="198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200"/>
      <c r="O242" s="200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>
        <f>AVERAGE(L217:L247)</f>
        <v>281.71428571428572</v>
      </c>
      <c r="O243" s="32">
        <f>AVERAGE(M217:M247)</f>
        <v>1424.8571428571429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445368</v>
      </c>
      <c r="J371" s="40">
        <f t="shared" si="30"/>
        <v>36352</v>
      </c>
      <c r="K371" s="40">
        <f t="shared" si="30"/>
        <v>33528</v>
      </c>
      <c r="L371" s="40">
        <f t="shared" si="30"/>
        <v>37270</v>
      </c>
      <c r="M371" s="40">
        <f t="shared" si="30"/>
        <v>515248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99" workbookViewId="0">
      <selection activeCell="J221" sqref="J221:J222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22" si="23">IF(D160="","",+(E160-E159)*4140)</f>
        <v>24955.920000000082</v>
      </c>
      <c r="J160" s="59">
        <f t="shared" ref="J160:J222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/>
      <c r="E223" s="57"/>
      <c r="F223" s="58"/>
      <c r="G223" s="59"/>
      <c r="H223" s="59">
        <v>4140</v>
      </c>
      <c r="I223" s="59" t="str">
        <f t="shared" ref="I222:J259" si="31">IF(D223="","",+(D223-D222)*4140)</f>
        <v/>
      </c>
      <c r="J223" s="59" t="str">
        <f t="shared" si="31"/>
        <v/>
      </c>
      <c r="K223" s="60" t="str">
        <f t="shared" si="28"/>
        <v/>
      </c>
      <c r="L223" s="59" t="str">
        <f t="shared" si="29"/>
        <v/>
      </c>
      <c r="M223" s="60" t="str">
        <f t="shared" si="30"/>
        <v/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/>
      <c r="E224" s="57"/>
      <c r="F224" s="58"/>
      <c r="G224" s="59"/>
      <c r="H224" s="59">
        <v>4140</v>
      </c>
      <c r="I224" s="59" t="str">
        <f t="shared" si="31"/>
        <v/>
      </c>
      <c r="J224" s="59" t="str">
        <f t="shared" si="31"/>
        <v/>
      </c>
      <c r="K224" s="60" t="str">
        <f t="shared" si="28"/>
        <v/>
      </c>
      <c r="L224" s="59" t="str">
        <f t="shared" ref="L224:L260" si="32">IF(F224="","",+(F224-F223)*4140)</f>
        <v/>
      </c>
      <c r="M224" s="60" t="str">
        <f t="shared" si="30"/>
        <v/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/>
      <c r="E225" s="57"/>
      <c r="F225" s="58"/>
      <c r="G225" s="59"/>
      <c r="H225" s="59">
        <v>4140</v>
      </c>
      <c r="I225" s="59" t="str">
        <f t="shared" si="31"/>
        <v/>
      </c>
      <c r="J225" s="59" t="str">
        <f t="shared" si="31"/>
        <v/>
      </c>
      <c r="K225" s="60" t="str">
        <f t="shared" si="28"/>
        <v/>
      </c>
      <c r="L225" s="59" t="str">
        <f t="shared" si="32"/>
        <v/>
      </c>
      <c r="M225" s="60" t="str">
        <f t="shared" si="30"/>
        <v/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3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/>
      <c r="E226" s="57"/>
      <c r="F226" s="58"/>
      <c r="G226" s="59"/>
      <c r="H226" s="59">
        <v>4140</v>
      </c>
      <c r="I226" s="59" t="str">
        <f t="shared" si="31"/>
        <v/>
      </c>
      <c r="J226" s="59" t="str">
        <f t="shared" si="31"/>
        <v/>
      </c>
      <c r="K226" s="60" t="str">
        <f t="shared" si="28"/>
        <v/>
      </c>
      <c r="L226" s="59" t="str">
        <f t="shared" si="32"/>
        <v/>
      </c>
      <c r="M226" s="60" t="str">
        <f t="shared" si="30"/>
        <v/>
      </c>
      <c r="N226" s="61">
        <v>66068309</v>
      </c>
      <c r="O226" s="61">
        <f t="shared" si="26"/>
        <v>0</v>
      </c>
      <c r="P226" s="115"/>
      <c r="Q226" s="118"/>
      <c r="R226" s="20">
        <f t="shared" si="33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/>
      <c r="E227" s="57"/>
      <c r="F227" s="58"/>
      <c r="G227" s="59"/>
      <c r="H227" s="59">
        <v>4140</v>
      </c>
      <c r="I227" s="59" t="str">
        <f t="shared" si="31"/>
        <v/>
      </c>
      <c r="J227" s="59" t="str">
        <f t="shared" si="31"/>
        <v/>
      </c>
      <c r="K227" s="60" t="str">
        <f t="shared" si="28"/>
        <v/>
      </c>
      <c r="L227" s="59" t="str">
        <f t="shared" si="32"/>
        <v/>
      </c>
      <c r="M227" s="60" t="str">
        <f t="shared" si="30"/>
        <v/>
      </c>
      <c r="N227" s="61">
        <v>66068309</v>
      </c>
      <c r="O227" s="61">
        <f t="shared" si="26"/>
        <v>0</v>
      </c>
      <c r="P227" s="115"/>
      <c r="Q227" s="117"/>
      <c r="R227" s="20">
        <f t="shared" si="33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/>
      <c r="E228" s="57"/>
      <c r="F228" s="58"/>
      <c r="G228" s="59"/>
      <c r="H228" s="59">
        <v>4140</v>
      </c>
      <c r="I228" s="59" t="str">
        <f>IF(D228="","",+(D228-D227)*4140)</f>
        <v/>
      </c>
      <c r="J228" s="59" t="str">
        <f t="shared" si="31"/>
        <v/>
      </c>
      <c r="K228" s="60" t="str">
        <f t="shared" si="28"/>
        <v/>
      </c>
      <c r="L228" s="59" t="str">
        <f t="shared" si="32"/>
        <v/>
      </c>
      <c r="M228" s="60" t="str">
        <f t="shared" si="30"/>
        <v/>
      </c>
      <c r="N228" s="61">
        <v>66068309</v>
      </c>
      <c r="O228" s="61">
        <f t="shared" si="26"/>
        <v>0</v>
      </c>
      <c r="P228" s="115"/>
      <c r="Q228" s="117"/>
      <c r="R228" s="20">
        <f t="shared" si="33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/>
      <c r="E229" s="57"/>
      <c r="F229" s="58"/>
      <c r="G229" s="59"/>
      <c r="H229" s="59">
        <v>4140</v>
      </c>
      <c r="I229" s="59" t="str">
        <f t="shared" si="31"/>
        <v/>
      </c>
      <c r="J229" s="59" t="str">
        <f>IF(E229="","",+(E229-E228)*4140)</f>
        <v/>
      </c>
      <c r="K229" s="60" t="str">
        <f t="shared" si="28"/>
        <v/>
      </c>
      <c r="L229" s="59" t="str">
        <f t="shared" si="32"/>
        <v/>
      </c>
      <c r="M229" s="60" t="str">
        <f t="shared" si="30"/>
        <v/>
      </c>
      <c r="N229" s="61">
        <v>66068309</v>
      </c>
      <c r="O229" s="61">
        <f t="shared" si="26"/>
        <v>0</v>
      </c>
      <c r="P229" s="115"/>
      <c r="Q229" s="118"/>
      <c r="R229" s="20">
        <f t="shared" si="33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/>
      <c r="E230" s="57"/>
      <c r="F230" s="58"/>
      <c r="G230" s="59"/>
      <c r="H230" s="59">
        <v>4140</v>
      </c>
      <c r="I230" s="59" t="str">
        <f t="shared" si="31"/>
        <v/>
      </c>
      <c r="J230" s="59" t="str">
        <f>IF(E230="","",+(E230-E229)*4140)</f>
        <v/>
      </c>
      <c r="K230" s="60" t="str">
        <f t="shared" si="28"/>
        <v/>
      </c>
      <c r="L230" s="59" t="str">
        <f t="shared" si="32"/>
        <v/>
      </c>
      <c r="M230" s="60" t="str">
        <f t="shared" si="30"/>
        <v/>
      </c>
      <c r="N230" s="61">
        <v>66068309</v>
      </c>
      <c r="O230" s="61">
        <f t="shared" si="26"/>
        <v>0</v>
      </c>
      <c r="P230" s="115"/>
      <c r="Q230" s="118"/>
      <c r="R230" s="20">
        <f t="shared" si="33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/>
      <c r="E231" s="57"/>
      <c r="F231" s="58"/>
      <c r="G231" s="59"/>
      <c r="H231" s="59">
        <v>4140</v>
      </c>
      <c r="I231" s="59" t="str">
        <f t="shared" si="31"/>
        <v/>
      </c>
      <c r="J231" s="59" t="str">
        <f t="shared" si="31"/>
        <v/>
      </c>
      <c r="K231" s="60" t="str">
        <f t="shared" si="28"/>
        <v/>
      </c>
      <c r="L231" s="59" t="str">
        <f t="shared" si="32"/>
        <v/>
      </c>
      <c r="M231" s="60" t="str">
        <f t="shared" si="30"/>
        <v/>
      </c>
      <c r="N231" s="61">
        <v>66068309</v>
      </c>
      <c r="O231" s="61">
        <f t="shared" si="26"/>
        <v>0</v>
      </c>
      <c r="P231" s="115"/>
      <c r="Q231" s="118"/>
      <c r="R231" s="20">
        <f t="shared" si="33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/>
      <c r="E232" s="57"/>
      <c r="F232" s="58"/>
      <c r="G232" s="59"/>
      <c r="H232" s="59">
        <v>4140</v>
      </c>
      <c r="I232" s="59" t="str">
        <f t="shared" si="31"/>
        <v/>
      </c>
      <c r="J232" s="59" t="str">
        <f t="shared" si="31"/>
        <v/>
      </c>
      <c r="K232" s="60" t="str">
        <f t="shared" si="28"/>
        <v/>
      </c>
      <c r="L232" s="59" t="str">
        <f t="shared" si="32"/>
        <v/>
      </c>
      <c r="M232" s="60" t="str">
        <f t="shared" si="30"/>
        <v/>
      </c>
      <c r="N232" s="61">
        <v>66068309</v>
      </c>
      <c r="O232" s="61">
        <f t="shared" si="26"/>
        <v>0</v>
      </c>
      <c r="P232" s="115"/>
      <c r="Q232" s="116"/>
      <c r="R232" s="20">
        <f t="shared" si="33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/>
      <c r="E233" s="57"/>
      <c r="F233" s="58"/>
      <c r="G233" s="59"/>
      <c r="H233" s="59">
        <v>4140</v>
      </c>
      <c r="I233" s="59" t="str">
        <f t="shared" si="31"/>
        <v/>
      </c>
      <c r="J233" s="59" t="str">
        <f t="shared" si="31"/>
        <v/>
      </c>
      <c r="K233" s="60" t="str">
        <f t="shared" si="28"/>
        <v/>
      </c>
      <c r="L233" s="59" t="str">
        <f t="shared" si="32"/>
        <v/>
      </c>
      <c r="M233" s="60" t="str">
        <f t="shared" si="30"/>
        <v/>
      </c>
      <c r="N233" s="61">
        <v>66068309</v>
      </c>
      <c r="O233" s="61">
        <f t="shared" si="26"/>
        <v>0</v>
      </c>
      <c r="P233" s="119"/>
      <c r="Q233" s="120"/>
      <c r="R233" s="20">
        <f t="shared" si="33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/>
      <c r="E234" s="57"/>
      <c r="F234" s="58"/>
      <c r="G234" s="59"/>
      <c r="H234" s="59">
        <v>4140</v>
      </c>
      <c r="I234" s="59" t="str">
        <f t="shared" si="31"/>
        <v/>
      </c>
      <c r="J234" s="59" t="str">
        <f t="shared" si="31"/>
        <v/>
      </c>
      <c r="K234" s="60" t="str">
        <f t="shared" si="28"/>
        <v/>
      </c>
      <c r="L234" s="59" t="str">
        <f t="shared" si="32"/>
        <v/>
      </c>
      <c r="M234" s="60" t="str">
        <f t="shared" si="30"/>
        <v/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3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/>
      <c r="E235" s="57"/>
      <c r="F235" s="58"/>
      <c r="G235" s="59"/>
      <c r="H235" s="59">
        <v>4140</v>
      </c>
      <c r="I235" s="59" t="str">
        <f t="shared" si="31"/>
        <v/>
      </c>
      <c r="J235" s="59" t="str">
        <f t="shared" si="31"/>
        <v/>
      </c>
      <c r="K235" s="60" t="str">
        <f t="shared" si="28"/>
        <v/>
      </c>
      <c r="L235" s="59" t="str">
        <f>IF(F235="","",+(F235-F234)*4140)</f>
        <v/>
      </c>
      <c r="M235" s="60" t="str">
        <f t="shared" si="30"/>
        <v/>
      </c>
      <c r="N235" s="61">
        <v>66068309</v>
      </c>
      <c r="O235" s="61">
        <f t="shared" si="26"/>
        <v>0</v>
      </c>
      <c r="P235" s="204"/>
      <c r="Q235" s="205"/>
      <c r="R235" s="20">
        <f t="shared" si="33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/>
      <c r="E236" s="57"/>
      <c r="F236" s="58"/>
      <c r="G236" s="59"/>
      <c r="H236" s="59">
        <v>4140</v>
      </c>
      <c r="I236" s="59" t="str">
        <f t="shared" si="31"/>
        <v/>
      </c>
      <c r="J236" s="59" t="str">
        <f t="shared" si="31"/>
        <v/>
      </c>
      <c r="K236" s="60" t="str">
        <f t="shared" si="28"/>
        <v/>
      </c>
      <c r="L236" s="59" t="str">
        <f t="shared" si="32"/>
        <v/>
      </c>
      <c r="M236" s="60" t="str">
        <f t="shared" si="30"/>
        <v/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3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/>
      <c r="E237" s="57"/>
      <c r="F237" s="58"/>
      <c r="G237" s="59"/>
      <c r="H237" s="59">
        <v>4140</v>
      </c>
      <c r="I237" s="59" t="str">
        <f t="shared" si="31"/>
        <v/>
      </c>
      <c r="J237" s="59" t="str">
        <f t="shared" si="31"/>
        <v/>
      </c>
      <c r="K237" s="60" t="str">
        <f t="shared" si="28"/>
        <v/>
      </c>
      <c r="L237" s="59" t="str">
        <f t="shared" si="32"/>
        <v/>
      </c>
      <c r="M237" s="60" t="str">
        <f t="shared" si="30"/>
        <v/>
      </c>
      <c r="N237" s="61">
        <v>66068309</v>
      </c>
      <c r="O237" s="61">
        <f t="shared" si="26"/>
        <v>0</v>
      </c>
      <c r="P237" s="70">
        <f>IF(J216="",0,+SUM(J216:J246)/SUM(I216:I246))</f>
        <v>3.6407047330722017E-2</v>
      </c>
      <c r="Q237" s="70">
        <f>IF(L216="",0,+SUM(L216:L246)/SUM(I216:I246))</f>
        <v>3.6407047330722017E-2</v>
      </c>
      <c r="R237" s="20">
        <f t="shared" si="33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/>
      <c r="E238" s="57"/>
      <c r="F238" s="58"/>
      <c r="G238" s="59"/>
      <c r="H238" s="59">
        <v>4140</v>
      </c>
      <c r="I238" s="59" t="str">
        <f t="shared" si="31"/>
        <v/>
      </c>
      <c r="J238" s="59" t="str">
        <f t="shared" si="31"/>
        <v/>
      </c>
      <c r="K238" s="60" t="str">
        <f t="shared" si="28"/>
        <v/>
      </c>
      <c r="L238" s="59" t="str">
        <f t="shared" si="32"/>
        <v/>
      </c>
      <c r="M238" s="60" t="str">
        <f t="shared" si="30"/>
        <v/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3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/>
      <c r="E239" s="57"/>
      <c r="F239" s="58"/>
      <c r="G239" s="59"/>
      <c r="H239" s="59">
        <v>4140</v>
      </c>
      <c r="I239" s="59" t="str">
        <f t="shared" si="31"/>
        <v/>
      </c>
      <c r="J239" s="59" t="str">
        <f t="shared" si="31"/>
        <v/>
      </c>
      <c r="K239" s="60" t="str">
        <f t="shared" si="28"/>
        <v/>
      </c>
      <c r="L239" s="59" t="str">
        <f t="shared" si="32"/>
        <v/>
      </c>
      <c r="M239" s="60" t="str">
        <f t="shared" si="30"/>
        <v/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3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/>
      <c r="E240" s="57"/>
      <c r="F240" s="58"/>
      <c r="G240" s="59"/>
      <c r="H240" s="59">
        <v>4140</v>
      </c>
      <c r="I240" s="59" t="str">
        <f t="shared" si="31"/>
        <v/>
      </c>
      <c r="J240" s="59" t="str">
        <f t="shared" si="31"/>
        <v/>
      </c>
      <c r="K240" s="60" t="str">
        <f t="shared" si="28"/>
        <v/>
      </c>
      <c r="L240" s="59" t="str">
        <f t="shared" si="32"/>
        <v/>
      </c>
      <c r="M240" s="60" t="str">
        <f t="shared" si="30"/>
        <v/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3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/>
      <c r="E241" s="57"/>
      <c r="F241" s="58"/>
      <c r="G241" s="59"/>
      <c r="H241" s="59">
        <v>4140</v>
      </c>
      <c r="I241" s="59" t="str">
        <f t="shared" si="31"/>
        <v/>
      </c>
      <c r="J241" s="59" t="str">
        <f t="shared" si="31"/>
        <v/>
      </c>
      <c r="K241" s="60" t="str">
        <f t="shared" si="28"/>
        <v/>
      </c>
      <c r="L241" s="59" t="str">
        <f t="shared" si="32"/>
        <v/>
      </c>
      <c r="M241" s="60" t="str">
        <f t="shared" si="30"/>
        <v/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3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/>
      <c r="E242" s="57"/>
      <c r="F242" s="58"/>
      <c r="G242" s="59"/>
      <c r="H242" s="59">
        <v>4140</v>
      </c>
      <c r="I242" s="59" t="str">
        <f t="shared" si="31"/>
        <v/>
      </c>
      <c r="J242" s="59" t="str">
        <f t="shared" si="31"/>
        <v/>
      </c>
      <c r="K242" s="60" t="str">
        <f t="shared" si="28"/>
        <v/>
      </c>
      <c r="L242" s="59" t="str">
        <f t="shared" si="32"/>
        <v/>
      </c>
      <c r="M242" s="60" t="str">
        <f t="shared" si="30"/>
        <v/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3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/>
      <c r="E243" s="57"/>
      <c r="F243" s="58"/>
      <c r="G243" s="59"/>
      <c r="H243" s="59">
        <v>4140</v>
      </c>
      <c r="I243" s="59" t="str">
        <f t="shared" si="31"/>
        <v/>
      </c>
      <c r="J243" s="59" t="str">
        <f t="shared" si="31"/>
        <v/>
      </c>
      <c r="K243" s="60" t="str">
        <f t="shared" si="28"/>
        <v/>
      </c>
      <c r="L243" s="59" t="str">
        <f t="shared" si="32"/>
        <v/>
      </c>
      <c r="M243" s="60" t="str">
        <f t="shared" si="30"/>
        <v/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3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/>
      <c r="E244" s="57"/>
      <c r="F244" s="58"/>
      <c r="G244" s="59"/>
      <c r="H244" s="59">
        <v>4140</v>
      </c>
      <c r="I244" s="59" t="str">
        <f t="shared" si="31"/>
        <v/>
      </c>
      <c r="J244" s="59" t="str">
        <f t="shared" si="31"/>
        <v/>
      </c>
      <c r="K244" s="60" t="str">
        <f t="shared" si="28"/>
        <v/>
      </c>
      <c r="L244" s="59" t="str">
        <f t="shared" si="32"/>
        <v/>
      </c>
      <c r="M244" s="60" t="str">
        <f t="shared" si="30"/>
        <v/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3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/>
      <c r="E245" s="57"/>
      <c r="F245" s="58"/>
      <c r="G245" s="59"/>
      <c r="H245" s="59">
        <v>4140</v>
      </c>
      <c r="I245" s="59" t="str">
        <f t="shared" si="31"/>
        <v/>
      </c>
      <c r="J245" s="59" t="str">
        <f t="shared" si="31"/>
        <v/>
      </c>
      <c r="K245" s="60" t="str">
        <f t="shared" si="28"/>
        <v/>
      </c>
      <c r="L245" s="59" t="str">
        <f t="shared" si="32"/>
        <v/>
      </c>
      <c r="M245" s="60" t="str">
        <f t="shared" si="30"/>
        <v/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3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89"/>
      <c r="E246" s="89"/>
      <c r="F246" s="89"/>
      <c r="G246" s="90"/>
      <c r="H246" s="59">
        <v>4140</v>
      </c>
      <c r="I246" s="90" t="str">
        <f t="shared" si="31"/>
        <v/>
      </c>
      <c r="J246" s="90" t="str">
        <f t="shared" si="31"/>
        <v/>
      </c>
      <c r="K246" s="60" t="str">
        <f t="shared" si="28"/>
        <v/>
      </c>
      <c r="L246" s="90" t="str">
        <f t="shared" si="32"/>
        <v/>
      </c>
      <c r="M246" s="60" t="str">
        <f t="shared" si="30"/>
        <v/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3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/>
      <c r="E247" s="57"/>
      <c r="F247" s="58"/>
      <c r="G247" s="59"/>
      <c r="H247" s="59">
        <v>4140</v>
      </c>
      <c r="I247" s="59" t="str">
        <f>IF(D247="","",+(D247-D246)*4140)</f>
        <v/>
      </c>
      <c r="J247" s="59" t="str">
        <f>IF(E247="","",+(E247-E246)*4140)</f>
        <v/>
      </c>
      <c r="K247" s="60" t="str">
        <f t="shared" si="28"/>
        <v/>
      </c>
      <c r="L247" s="59" t="str">
        <f t="shared" si="32"/>
        <v/>
      </c>
      <c r="M247" s="60" t="str">
        <f t="shared" si="30"/>
        <v/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3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/>
      <c r="E248" s="57"/>
      <c r="F248" s="58"/>
      <c r="G248" s="59"/>
      <c r="H248" s="59">
        <v>4140</v>
      </c>
      <c r="I248" s="59" t="str">
        <f t="shared" si="31"/>
        <v/>
      </c>
      <c r="J248" s="59" t="str">
        <f t="shared" si="31"/>
        <v/>
      </c>
      <c r="K248" s="60" t="str">
        <f t="shared" si="28"/>
        <v/>
      </c>
      <c r="L248" s="59" t="str">
        <f t="shared" si="32"/>
        <v/>
      </c>
      <c r="M248" s="60" t="str">
        <f t="shared" si="30"/>
        <v/>
      </c>
      <c r="N248" s="61">
        <v>66068309</v>
      </c>
      <c r="O248" s="61">
        <f t="shared" si="26"/>
        <v>0</v>
      </c>
      <c r="P248" s="62"/>
      <c r="Q248" s="104"/>
      <c r="R248" s="20">
        <f t="shared" si="33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/>
      <c r="E249" s="57"/>
      <c r="F249" s="58"/>
      <c r="G249" s="59"/>
      <c r="H249" s="59">
        <v>4140</v>
      </c>
      <c r="I249" s="59" t="str">
        <f t="shared" si="31"/>
        <v/>
      </c>
      <c r="J249" s="59" t="str">
        <f t="shared" si="31"/>
        <v/>
      </c>
      <c r="K249" s="60" t="str">
        <f t="shared" si="28"/>
        <v/>
      </c>
      <c r="L249" s="59" t="str">
        <f t="shared" si="32"/>
        <v/>
      </c>
      <c r="M249" s="60" t="str">
        <f t="shared" si="30"/>
        <v/>
      </c>
      <c r="N249" s="61">
        <v>66068309</v>
      </c>
      <c r="O249" s="61">
        <f t="shared" si="26"/>
        <v>0</v>
      </c>
      <c r="P249" s="62"/>
      <c r="Q249" s="104"/>
      <c r="R249" s="20">
        <f t="shared" si="33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/>
      <c r="E250" s="57"/>
      <c r="F250" s="58"/>
      <c r="G250" s="59"/>
      <c r="H250" s="59">
        <v>4140</v>
      </c>
      <c r="I250" s="59" t="str">
        <f t="shared" si="31"/>
        <v/>
      </c>
      <c r="J250" s="59" t="str">
        <f t="shared" si="31"/>
        <v/>
      </c>
      <c r="K250" s="60" t="str">
        <f t="shared" si="28"/>
        <v/>
      </c>
      <c r="L250" s="59" t="str">
        <f t="shared" si="32"/>
        <v/>
      </c>
      <c r="M250" s="60" t="str">
        <f t="shared" si="30"/>
        <v/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/>
      <c r="E251" s="57"/>
      <c r="F251" s="58"/>
      <c r="G251" s="59"/>
      <c r="H251" s="59">
        <v>4140</v>
      </c>
      <c r="I251" s="59" t="str">
        <f t="shared" si="31"/>
        <v/>
      </c>
      <c r="J251" s="59" t="str">
        <f t="shared" si="31"/>
        <v/>
      </c>
      <c r="K251" s="60" t="str">
        <f t="shared" si="28"/>
        <v/>
      </c>
      <c r="L251" s="59" t="str">
        <f t="shared" si="32"/>
        <v/>
      </c>
      <c r="M251" s="60" t="str">
        <f t="shared" si="30"/>
        <v/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/>
      <c r="E252" s="57"/>
      <c r="F252" s="58"/>
      <c r="G252" s="59"/>
      <c r="H252" s="59">
        <v>4140</v>
      </c>
      <c r="I252" s="59" t="str">
        <f t="shared" si="31"/>
        <v/>
      </c>
      <c r="J252" s="59" t="str">
        <f t="shared" si="31"/>
        <v/>
      </c>
      <c r="K252" s="60" t="str">
        <f t="shared" si="28"/>
        <v/>
      </c>
      <c r="L252" s="59" t="str">
        <f t="shared" si="32"/>
        <v/>
      </c>
      <c r="M252" s="60" t="str">
        <f t="shared" si="30"/>
        <v/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/>
      <c r="E253" s="57"/>
      <c r="F253" s="58"/>
      <c r="G253" s="59"/>
      <c r="H253" s="59">
        <v>4140</v>
      </c>
      <c r="I253" s="59" t="str">
        <f t="shared" si="31"/>
        <v/>
      </c>
      <c r="J253" s="59" t="str">
        <f t="shared" si="31"/>
        <v/>
      </c>
      <c r="K253" s="60" t="str">
        <f t="shared" si="28"/>
        <v/>
      </c>
      <c r="L253" s="59" t="str">
        <f t="shared" si="32"/>
        <v/>
      </c>
      <c r="M253" s="60" t="str">
        <f t="shared" si="30"/>
        <v/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4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/>
      <c r="E254" s="57"/>
      <c r="F254" s="58"/>
      <c r="G254" s="59"/>
      <c r="H254" s="59">
        <v>4140</v>
      </c>
      <c r="I254" s="59" t="str">
        <f t="shared" si="31"/>
        <v/>
      </c>
      <c r="J254" s="59" t="str">
        <f t="shared" si="31"/>
        <v/>
      </c>
      <c r="K254" s="60" t="str">
        <f t="shared" si="28"/>
        <v/>
      </c>
      <c r="L254" s="59" t="str">
        <f t="shared" si="32"/>
        <v/>
      </c>
      <c r="M254" s="60" t="str">
        <f t="shared" si="30"/>
        <v/>
      </c>
      <c r="N254" s="61">
        <v>66068309</v>
      </c>
      <c r="O254" s="61">
        <f t="shared" si="26"/>
        <v>0</v>
      </c>
      <c r="P254" s="62"/>
      <c r="Q254" s="64"/>
      <c r="R254" s="20">
        <f t="shared" si="34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/>
      <c r="E255" s="57"/>
      <c r="F255" s="58"/>
      <c r="G255" s="59"/>
      <c r="H255" s="59">
        <v>4140</v>
      </c>
      <c r="I255" s="59" t="str">
        <f t="shared" si="31"/>
        <v/>
      </c>
      <c r="J255" s="59" t="str">
        <f t="shared" si="31"/>
        <v/>
      </c>
      <c r="K255" s="60" t="str">
        <f t="shared" si="28"/>
        <v/>
      </c>
      <c r="L255" s="59" t="str">
        <f t="shared" si="32"/>
        <v/>
      </c>
      <c r="M255" s="60" t="str">
        <f t="shared" si="30"/>
        <v/>
      </c>
      <c r="N255" s="61">
        <v>66068309</v>
      </c>
      <c r="O255" s="61">
        <f t="shared" si="26"/>
        <v>0</v>
      </c>
      <c r="P255" s="62"/>
      <c r="Q255" s="64"/>
      <c r="R255" s="20">
        <f t="shared" si="34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/>
      <c r="E256" s="57"/>
      <c r="F256" s="58"/>
      <c r="G256" s="59"/>
      <c r="H256" s="59">
        <v>4140</v>
      </c>
      <c r="I256" s="59" t="str">
        <f t="shared" si="31"/>
        <v/>
      </c>
      <c r="J256" s="59" t="str">
        <f t="shared" si="31"/>
        <v/>
      </c>
      <c r="K256" s="60" t="str">
        <f t="shared" si="28"/>
        <v/>
      </c>
      <c r="L256" s="59" t="str">
        <f t="shared" si="32"/>
        <v/>
      </c>
      <c r="M256" s="60" t="str">
        <f t="shared" si="30"/>
        <v/>
      </c>
      <c r="N256" s="61">
        <v>66068309</v>
      </c>
      <c r="O256" s="61">
        <f t="shared" si="26"/>
        <v>0</v>
      </c>
      <c r="P256" s="62"/>
      <c r="Q256" s="63"/>
      <c r="R256" s="20">
        <f t="shared" si="34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/>
      <c r="E257" s="57"/>
      <c r="F257" s="58"/>
      <c r="G257" s="59"/>
      <c r="H257" s="59">
        <v>4140</v>
      </c>
      <c r="I257" s="59" t="str">
        <f t="shared" si="31"/>
        <v/>
      </c>
      <c r="J257" s="59" t="str">
        <f t="shared" si="31"/>
        <v/>
      </c>
      <c r="K257" s="60" t="str">
        <f t="shared" si="28"/>
        <v/>
      </c>
      <c r="L257" s="59" t="str">
        <f>IF(F257="","",+(F257-F256)*4140)</f>
        <v/>
      </c>
      <c r="M257" s="60" t="str">
        <f t="shared" si="30"/>
        <v/>
      </c>
      <c r="N257" s="61">
        <v>66068309</v>
      </c>
      <c r="O257" s="61">
        <f t="shared" si="26"/>
        <v>0</v>
      </c>
      <c r="P257" s="62"/>
      <c r="Q257" s="63"/>
      <c r="R257" s="20">
        <f t="shared" si="34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/>
      <c r="E258" s="57"/>
      <c r="F258" s="58"/>
      <c r="G258" s="59"/>
      <c r="H258" s="59">
        <v>4140</v>
      </c>
      <c r="I258" s="59" t="str">
        <f t="shared" si="31"/>
        <v/>
      </c>
      <c r="J258" s="59" t="str">
        <f t="shared" si="31"/>
        <v/>
      </c>
      <c r="K258" s="60" t="str">
        <f t="shared" si="28"/>
        <v/>
      </c>
      <c r="L258" s="59" t="str">
        <f t="shared" si="32"/>
        <v/>
      </c>
      <c r="M258" s="60" t="str">
        <f t="shared" si="30"/>
        <v/>
      </c>
      <c r="N258" s="61">
        <v>66068309</v>
      </c>
      <c r="O258" s="61">
        <f t="shared" si="26"/>
        <v>0</v>
      </c>
      <c r="P258" s="62"/>
      <c r="Q258" s="64"/>
      <c r="R258" s="20">
        <f t="shared" si="34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/>
      <c r="E259" s="57"/>
      <c r="F259" s="58"/>
      <c r="G259" s="59"/>
      <c r="H259" s="59">
        <v>4140</v>
      </c>
      <c r="I259" s="59" t="str">
        <f t="shared" si="31"/>
        <v/>
      </c>
      <c r="J259" s="59" t="str">
        <f t="shared" si="31"/>
        <v/>
      </c>
      <c r="K259" s="60" t="str">
        <f t="shared" si="28"/>
        <v/>
      </c>
      <c r="L259" s="59" t="str">
        <f t="shared" si="32"/>
        <v/>
      </c>
      <c r="M259" s="60" t="str">
        <f t="shared" si="30"/>
        <v/>
      </c>
      <c r="N259" s="61">
        <v>66068309</v>
      </c>
      <c r="O259" s="61">
        <f t="shared" si="26"/>
        <v>0</v>
      </c>
      <c r="P259" s="62"/>
      <c r="Q259" s="64"/>
      <c r="R259" s="20">
        <f t="shared" si="34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/>
      <c r="E260" s="57"/>
      <c r="F260" s="58"/>
      <c r="G260" s="59"/>
      <c r="H260" s="59">
        <v>4140</v>
      </c>
      <c r="I260" s="59" t="str">
        <f>IF(D260="","",+(D260-D259)*4140)</f>
        <v/>
      </c>
      <c r="J260" s="59" t="str">
        <f t="shared" ref="J260:J323" si="35">IF(E260="","",+(E260-E259)*4140)</f>
        <v/>
      </c>
      <c r="K260" s="60" t="str">
        <f t="shared" si="28"/>
        <v/>
      </c>
      <c r="L260" s="59" t="str">
        <f t="shared" si="32"/>
        <v/>
      </c>
      <c r="M260" s="60" t="str">
        <f t="shared" si="30"/>
        <v/>
      </c>
      <c r="N260" s="61">
        <v>66068309</v>
      </c>
      <c r="O260" s="61">
        <f t="shared" si="26"/>
        <v>0</v>
      </c>
      <c r="P260" s="62"/>
      <c r="Q260" s="63"/>
      <c r="R260" s="20">
        <f t="shared" si="34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ref="I261:J324" si="36">IF(D261="","",+(D261-D260)*4140)</f>
        <v/>
      </c>
      <c r="J261" s="59" t="str">
        <f t="shared" si="35"/>
        <v/>
      </c>
      <c r="K261" s="60" t="str">
        <f t="shared" si="28"/>
        <v/>
      </c>
      <c r="L261" s="59" t="str">
        <f t="shared" ref="L261:L324" si="37">IF(F261="","",+(F261-F260)*4140)</f>
        <v/>
      </c>
      <c r="M261" s="60" t="str">
        <f t="shared" si="30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4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6"/>
        <v/>
      </c>
      <c r="J262" s="59" t="str">
        <f t="shared" si="35"/>
        <v/>
      </c>
      <c r="K262" s="60" t="str">
        <f t="shared" si="28"/>
        <v/>
      </c>
      <c r="L262" s="59" t="str">
        <f t="shared" si="37"/>
        <v/>
      </c>
      <c r="M262" s="60" t="str">
        <f t="shared" si="30"/>
        <v/>
      </c>
      <c r="N262" s="61">
        <v>66068309</v>
      </c>
      <c r="O262" s="61">
        <f t="shared" ref="O262:O314" si="38">IF(N262="","",N262-N261)</f>
        <v>0</v>
      </c>
      <c r="P262" s="62"/>
      <c r="Q262" s="63"/>
      <c r="R262" s="20">
        <f t="shared" si="34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6"/>
        <v/>
      </c>
      <c r="J263" s="59" t="str">
        <f t="shared" si="35"/>
        <v/>
      </c>
      <c r="K263" s="60" t="str">
        <f t="shared" si="28"/>
        <v/>
      </c>
      <c r="L263" s="59" t="str">
        <f t="shared" si="37"/>
        <v/>
      </c>
      <c r="M263" s="60" t="str">
        <f t="shared" si="30"/>
        <v/>
      </c>
      <c r="N263" s="61">
        <v>66068309</v>
      </c>
      <c r="O263" s="61">
        <f t="shared" si="38"/>
        <v>0</v>
      </c>
      <c r="P263" s="62"/>
      <c r="Q263" s="104"/>
      <c r="R263" s="20">
        <f t="shared" si="34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6"/>
        <v/>
      </c>
      <c r="J264" s="59" t="str">
        <f t="shared" si="35"/>
        <v/>
      </c>
      <c r="K264" s="60" t="str">
        <f t="shared" si="28"/>
        <v/>
      </c>
      <c r="L264" s="59" t="str">
        <f t="shared" si="37"/>
        <v/>
      </c>
      <c r="M264" s="60" t="str">
        <f t="shared" si="30"/>
        <v/>
      </c>
      <c r="N264" s="61">
        <v>66068309</v>
      </c>
      <c r="O264" s="61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6"/>
        <v/>
      </c>
      <c r="J265" s="59" t="str">
        <f t="shared" si="35"/>
        <v/>
      </c>
      <c r="K265" s="60" t="str">
        <f t="shared" si="28"/>
        <v/>
      </c>
      <c r="L265" s="59" t="str">
        <f t="shared" si="37"/>
        <v/>
      </c>
      <c r="M265" s="60" t="str">
        <f t="shared" si="30"/>
        <v/>
      </c>
      <c r="N265" s="61">
        <v>66068309</v>
      </c>
      <c r="O265" s="61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6"/>
        <v/>
      </c>
      <c r="J266" s="59" t="str">
        <f t="shared" si="35"/>
        <v/>
      </c>
      <c r="K266" s="60" t="str">
        <f t="shared" si="28"/>
        <v/>
      </c>
      <c r="L266" s="59" t="str">
        <f t="shared" si="37"/>
        <v/>
      </c>
      <c r="M266" s="60" t="str">
        <f t="shared" si="30"/>
        <v/>
      </c>
      <c r="N266" s="61">
        <v>66068309</v>
      </c>
      <c r="O266" s="61">
        <f t="shared" si="38"/>
        <v>0</v>
      </c>
      <c r="P266" s="69" t="s">
        <v>46</v>
      </c>
      <c r="Q266" s="69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6"/>
        <v/>
      </c>
      <c r="J267" s="59" t="str">
        <f t="shared" si="35"/>
        <v/>
      </c>
      <c r="K267" s="60" t="str">
        <f t="shared" si="28"/>
        <v/>
      </c>
      <c r="L267" s="59" t="str">
        <f t="shared" si="37"/>
        <v/>
      </c>
      <c r="M267" s="60" t="str">
        <f t="shared" si="30"/>
        <v/>
      </c>
      <c r="N267" s="61">
        <v>66068309</v>
      </c>
      <c r="O267" s="61">
        <f t="shared" si="38"/>
        <v>0</v>
      </c>
      <c r="P267" s="70">
        <f>IF(J247="",0,+SUM(J247:J276)/SUM(I247:I276))</f>
        <v>0</v>
      </c>
      <c r="Q267" s="70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6"/>
        <v/>
      </c>
      <c r="J268" s="59" t="str">
        <f t="shared" si="35"/>
        <v/>
      </c>
      <c r="K268" s="60" t="str">
        <f t="shared" si="28"/>
        <v/>
      </c>
      <c r="L268" s="59" t="str">
        <f t="shared" si="37"/>
        <v/>
      </c>
      <c r="M268" s="60" t="str">
        <f t="shared" si="30"/>
        <v/>
      </c>
      <c r="N268" s="61">
        <v>66068309</v>
      </c>
      <c r="O268" s="61">
        <f t="shared" si="38"/>
        <v>0</v>
      </c>
      <c r="P268" s="71">
        <f>IF(J247="",0,+(+(LOOKUP(9.99999999999999E+307,E247:E276)-E246))/(+(LOOKUP(9.99999999999999E+307,D247:D276)-D246)))</f>
        <v>0</v>
      </c>
      <c r="Q268" s="71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6"/>
        <v/>
      </c>
      <c r="J269" s="59" t="str">
        <f t="shared" si="35"/>
        <v/>
      </c>
      <c r="K269" s="60" t="str">
        <f t="shared" ref="K269:K332" si="40">IF(J269="","",+(J269/I269))</f>
        <v/>
      </c>
      <c r="L269" s="59" t="str">
        <f t="shared" si="37"/>
        <v/>
      </c>
      <c r="M269" s="60" t="str">
        <f t="shared" ref="M269:M332" si="41">IF(L269="","",(L269/I269))</f>
        <v/>
      </c>
      <c r="N269" s="61">
        <v>66068309</v>
      </c>
      <c r="O269" s="61">
        <f t="shared" si="38"/>
        <v>0</v>
      </c>
      <c r="P269" s="72" t="s">
        <v>48</v>
      </c>
      <c r="Q269" s="73" t="s">
        <v>49</v>
      </c>
      <c r="R269" s="20">
        <f t="shared" si="34"/>
        <v>1</v>
      </c>
      <c r="S269" s="20">
        <f t="shared" si="39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6"/>
        <v/>
      </c>
      <c r="J270" s="59" t="str">
        <f t="shared" si="35"/>
        <v/>
      </c>
      <c r="K270" s="60" t="str">
        <f t="shared" si="40"/>
        <v/>
      </c>
      <c r="L270" s="59" t="str">
        <f t="shared" si="37"/>
        <v/>
      </c>
      <c r="M270" s="60" t="str">
        <f t="shared" si="41"/>
        <v/>
      </c>
      <c r="N270" s="61">
        <v>66068309</v>
      </c>
      <c r="O270" s="61">
        <f t="shared" si="38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4"/>
        <v>1</v>
      </c>
      <c r="S270" s="20">
        <f t="shared" si="39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6"/>
        <v/>
      </c>
      <c r="J271" s="59" t="str">
        <f t="shared" si="35"/>
        <v/>
      </c>
      <c r="K271" s="60" t="str">
        <f t="shared" si="40"/>
        <v/>
      </c>
      <c r="L271" s="59" t="str">
        <f t="shared" si="37"/>
        <v/>
      </c>
      <c r="M271" s="60" t="str">
        <f t="shared" si="41"/>
        <v/>
      </c>
      <c r="N271" s="61">
        <v>66068309</v>
      </c>
      <c r="O271" s="61">
        <f t="shared" si="38"/>
        <v>0</v>
      </c>
      <c r="P271" s="76" t="s">
        <v>50</v>
      </c>
      <c r="Q271" s="77" t="s">
        <v>58</v>
      </c>
      <c r="R271" s="20">
        <f t="shared" si="34"/>
        <v>1</v>
      </c>
      <c r="S271" s="20">
        <f t="shared" si="39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6"/>
        <v/>
      </c>
      <c r="J272" s="59" t="str">
        <f t="shared" si="35"/>
        <v/>
      </c>
      <c r="K272" s="60" t="str">
        <f t="shared" si="40"/>
        <v/>
      </c>
      <c r="L272" s="59" t="str">
        <f t="shared" si="37"/>
        <v/>
      </c>
      <c r="M272" s="60" t="str">
        <f t="shared" si="41"/>
        <v/>
      </c>
      <c r="N272" s="61">
        <v>66068309</v>
      </c>
      <c r="O272" s="61">
        <f t="shared" si="38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6"/>
        <v/>
      </c>
      <c r="J273" s="59" t="str">
        <f t="shared" si="35"/>
        <v/>
      </c>
      <c r="K273" s="60" t="str">
        <f t="shared" si="40"/>
        <v/>
      </c>
      <c r="L273" s="59" t="str">
        <f t="shared" si="37"/>
        <v/>
      </c>
      <c r="M273" s="60" t="str">
        <f t="shared" si="41"/>
        <v/>
      </c>
      <c r="N273" s="61">
        <v>66068309</v>
      </c>
      <c r="O273" s="61">
        <f t="shared" si="38"/>
        <v>0</v>
      </c>
      <c r="P273" s="80" t="s">
        <v>52</v>
      </c>
      <c r="Q273" s="81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6"/>
        <v/>
      </c>
      <c r="J274" s="59" t="str">
        <f t="shared" si="35"/>
        <v/>
      </c>
      <c r="K274" s="60" t="str">
        <f t="shared" si="40"/>
        <v/>
      </c>
      <c r="L274" s="59" t="str">
        <f t="shared" si="37"/>
        <v/>
      </c>
      <c r="M274" s="60" t="str">
        <f t="shared" si="41"/>
        <v/>
      </c>
      <c r="N274" s="61">
        <v>66068309</v>
      </c>
      <c r="O274" s="61">
        <f t="shared" si="38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5"/>
        <v/>
      </c>
      <c r="K275" s="60" t="str">
        <f t="shared" si="40"/>
        <v/>
      </c>
      <c r="L275" s="59" t="str">
        <f t="shared" si="37"/>
        <v/>
      </c>
      <c r="M275" s="60" t="str">
        <f t="shared" si="41"/>
        <v/>
      </c>
      <c r="N275" s="61">
        <v>66068309</v>
      </c>
      <c r="O275" s="61">
        <f t="shared" si="38"/>
        <v>0</v>
      </c>
      <c r="P275" s="85" t="s">
        <v>54</v>
      </c>
      <c r="Q275" s="86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36"/>
        <v/>
      </c>
      <c r="J276" s="90" t="str">
        <f t="shared" si="35"/>
        <v/>
      </c>
      <c r="K276" s="60" t="str">
        <f t="shared" si="40"/>
        <v/>
      </c>
      <c r="L276" s="90" t="str">
        <f t="shared" si="37"/>
        <v/>
      </c>
      <c r="M276" s="60" t="str">
        <f t="shared" si="41"/>
        <v/>
      </c>
      <c r="N276" s="92">
        <v>66068309</v>
      </c>
      <c r="O276" s="93">
        <f t="shared" si="38"/>
        <v>0</v>
      </c>
      <c r="P276" s="127">
        <f>(P274+Q272*SUM(S247:S276)*Q277)</f>
        <v>0</v>
      </c>
      <c r="Q276" s="95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36"/>
        <v/>
      </c>
      <c r="J277" s="59" t="str">
        <f t="shared" si="35"/>
        <v/>
      </c>
      <c r="K277" s="60" t="str">
        <f t="shared" si="40"/>
        <v/>
      </c>
      <c r="L277" s="59" t="str">
        <f t="shared" si="37"/>
        <v/>
      </c>
      <c r="M277" s="60" t="str">
        <f t="shared" si="41"/>
        <v/>
      </c>
      <c r="N277" s="61">
        <v>66068309</v>
      </c>
      <c r="O277" s="61">
        <f t="shared" si="38"/>
        <v>0</v>
      </c>
      <c r="P277" s="96" t="s">
        <v>56</v>
      </c>
      <c r="Q277" s="97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36"/>
        <v/>
      </c>
      <c r="J278" s="59" t="str">
        <f t="shared" si="35"/>
        <v/>
      </c>
      <c r="K278" s="60" t="str">
        <f t="shared" si="40"/>
        <v/>
      </c>
      <c r="L278" s="59" t="str">
        <f t="shared" si="37"/>
        <v/>
      </c>
      <c r="M278" s="60" t="str">
        <f t="shared" si="41"/>
        <v/>
      </c>
      <c r="N278" s="61">
        <v>66068309</v>
      </c>
      <c r="O278" s="61">
        <f t="shared" si="38"/>
        <v>0</v>
      </c>
      <c r="P278" s="62"/>
      <c r="Q278" s="104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36"/>
        <v/>
      </c>
      <c r="J279" s="59" t="str">
        <f t="shared" si="35"/>
        <v/>
      </c>
      <c r="K279" s="60" t="str">
        <f t="shared" si="40"/>
        <v/>
      </c>
      <c r="L279" s="59" t="str">
        <f t="shared" si="37"/>
        <v/>
      </c>
      <c r="M279" s="60" t="str">
        <f t="shared" si="41"/>
        <v/>
      </c>
      <c r="N279" s="61">
        <v>66068309</v>
      </c>
      <c r="O279" s="61">
        <f t="shared" si="38"/>
        <v>0</v>
      </c>
      <c r="P279" s="100"/>
      <c r="Q279" s="101"/>
      <c r="R279" s="20">
        <f t="shared" si="34"/>
        <v>1</v>
      </c>
      <c r="S279" s="20">
        <f t="shared" si="39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36"/>
        <v/>
      </c>
      <c r="J280" s="59" t="str">
        <f t="shared" si="35"/>
        <v/>
      </c>
      <c r="K280" s="60" t="str">
        <f t="shared" si="40"/>
        <v/>
      </c>
      <c r="L280" s="59" t="str">
        <f t="shared" si="37"/>
        <v/>
      </c>
      <c r="M280" s="60" t="str">
        <f t="shared" si="41"/>
        <v/>
      </c>
      <c r="N280" s="61">
        <v>66068309</v>
      </c>
      <c r="O280" s="61">
        <f t="shared" si="38"/>
        <v>0</v>
      </c>
      <c r="P280" s="102"/>
      <c r="Q280" s="103"/>
      <c r="R280" s="20">
        <f t="shared" si="34"/>
        <v>1</v>
      </c>
      <c r="S280" s="20">
        <f t="shared" si="39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6"/>
        <v/>
      </c>
      <c r="J281" s="59" t="str">
        <f t="shared" si="35"/>
        <v/>
      </c>
      <c r="K281" s="60" t="str">
        <f t="shared" si="40"/>
        <v/>
      </c>
      <c r="L281" s="59" t="str">
        <f t="shared" si="37"/>
        <v/>
      </c>
      <c r="M281" s="60" t="str">
        <f t="shared" si="41"/>
        <v/>
      </c>
      <c r="N281" s="61">
        <v>66068309</v>
      </c>
      <c r="O281" s="61">
        <f t="shared" si="38"/>
        <v>0</v>
      </c>
      <c r="P281" s="102"/>
      <c r="Q281" s="101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6"/>
        <v/>
      </c>
      <c r="J282" s="59" t="str">
        <f t="shared" si="35"/>
        <v/>
      </c>
      <c r="K282" s="60" t="str">
        <f t="shared" si="40"/>
        <v/>
      </c>
      <c r="L282" s="59" t="str">
        <f t="shared" si="37"/>
        <v/>
      </c>
      <c r="M282" s="60" t="str">
        <f t="shared" si="41"/>
        <v/>
      </c>
      <c r="N282" s="61">
        <v>66068309</v>
      </c>
      <c r="O282" s="61">
        <f t="shared" si="38"/>
        <v>0</v>
      </c>
      <c r="P282" s="62"/>
      <c r="Q282" s="63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6"/>
        <v/>
      </c>
      <c r="J283" s="59" t="str">
        <f t="shared" si="35"/>
        <v/>
      </c>
      <c r="K283" s="60" t="str">
        <f t="shared" si="40"/>
        <v/>
      </c>
      <c r="L283" s="59" t="str">
        <f t="shared" si="37"/>
        <v/>
      </c>
      <c r="M283" s="60" t="str">
        <f t="shared" si="41"/>
        <v/>
      </c>
      <c r="N283" s="61">
        <v>66068309</v>
      </c>
      <c r="O283" s="61">
        <f t="shared" si="38"/>
        <v>0</v>
      </c>
      <c r="P283" s="62"/>
      <c r="Q283" s="64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6"/>
        <v/>
      </c>
      <c r="J284" s="59" t="str">
        <f t="shared" si="35"/>
        <v/>
      </c>
      <c r="K284" s="60" t="str">
        <f t="shared" si="40"/>
        <v/>
      </c>
      <c r="L284" s="59" t="str">
        <f t="shared" si="37"/>
        <v/>
      </c>
      <c r="M284" s="60" t="str">
        <f t="shared" si="41"/>
        <v/>
      </c>
      <c r="N284" s="61">
        <v>66068309</v>
      </c>
      <c r="O284" s="61">
        <f t="shared" si="38"/>
        <v>0</v>
      </c>
      <c r="P284" s="62"/>
      <c r="Q284" s="64"/>
      <c r="R284" s="20">
        <f t="shared" si="34"/>
        <v>1</v>
      </c>
      <c r="S284" s="20">
        <f t="shared" si="39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6"/>
        <v/>
      </c>
      <c r="J285" s="59" t="str">
        <f t="shared" si="35"/>
        <v/>
      </c>
      <c r="K285" s="60" t="str">
        <f t="shared" si="40"/>
        <v/>
      </c>
      <c r="L285" s="59" t="str">
        <f t="shared" si="37"/>
        <v/>
      </c>
      <c r="M285" s="60" t="str">
        <f t="shared" si="41"/>
        <v/>
      </c>
      <c r="N285" s="61">
        <v>66068309</v>
      </c>
      <c r="O285" s="61">
        <f t="shared" si="38"/>
        <v>0</v>
      </c>
      <c r="P285" s="62"/>
      <c r="Q285" s="64"/>
      <c r="R285" s="20">
        <f t="shared" si="34"/>
        <v>1</v>
      </c>
      <c r="S285" s="20">
        <f t="shared" si="39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6"/>
        <v/>
      </c>
      <c r="J286" s="59" t="str">
        <f t="shared" si="35"/>
        <v/>
      </c>
      <c r="K286" s="60" t="str">
        <f t="shared" si="40"/>
        <v/>
      </c>
      <c r="L286" s="59" t="str">
        <f t="shared" si="37"/>
        <v/>
      </c>
      <c r="M286" s="60" t="str">
        <f t="shared" si="41"/>
        <v/>
      </c>
      <c r="N286" s="61">
        <v>66068309</v>
      </c>
      <c r="O286" s="61">
        <f t="shared" si="38"/>
        <v>0</v>
      </c>
      <c r="P286" s="62"/>
      <c r="Q286" s="63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6"/>
        <v/>
      </c>
      <c r="J287" s="59" t="str">
        <f t="shared" si="35"/>
        <v/>
      </c>
      <c r="K287" s="60" t="str">
        <f t="shared" si="40"/>
        <v/>
      </c>
      <c r="L287" s="59" t="str">
        <f t="shared" si="37"/>
        <v/>
      </c>
      <c r="M287" s="60" t="str">
        <f t="shared" si="41"/>
        <v/>
      </c>
      <c r="N287" s="61">
        <v>66068309</v>
      </c>
      <c r="O287" s="61">
        <f t="shared" si="38"/>
        <v>0</v>
      </c>
      <c r="P287" s="62"/>
      <c r="Q287" s="63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6"/>
        <v/>
      </c>
      <c r="J288" s="59" t="str">
        <f t="shared" si="35"/>
        <v/>
      </c>
      <c r="K288" s="60" t="str">
        <f t="shared" si="40"/>
        <v/>
      </c>
      <c r="L288" s="59" t="str">
        <f t="shared" si="37"/>
        <v/>
      </c>
      <c r="M288" s="60" t="str">
        <f t="shared" si="41"/>
        <v/>
      </c>
      <c r="N288" s="61">
        <v>66068309</v>
      </c>
      <c r="O288" s="61">
        <f t="shared" si="38"/>
        <v>0</v>
      </c>
      <c r="P288" s="62"/>
      <c r="Q288" s="64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6"/>
        <v/>
      </c>
      <c r="J289" s="59" t="str">
        <f t="shared" si="35"/>
        <v/>
      </c>
      <c r="K289" s="60" t="str">
        <f t="shared" si="40"/>
        <v/>
      </c>
      <c r="L289" s="59" t="str">
        <f t="shared" si="37"/>
        <v/>
      </c>
      <c r="M289" s="60" t="str">
        <f t="shared" si="41"/>
        <v/>
      </c>
      <c r="N289" s="61">
        <v>66068309</v>
      </c>
      <c r="O289" s="61">
        <f t="shared" si="38"/>
        <v>0</v>
      </c>
      <c r="P289" s="62"/>
      <c r="Q289" s="64"/>
      <c r="R289" s="20">
        <f t="shared" si="34"/>
        <v>1</v>
      </c>
      <c r="S289" s="20">
        <f t="shared" si="39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6"/>
        <v/>
      </c>
      <c r="J290" s="59" t="str">
        <f t="shared" si="35"/>
        <v/>
      </c>
      <c r="K290" s="60" t="str">
        <f t="shared" si="40"/>
        <v/>
      </c>
      <c r="L290" s="59" t="str">
        <f t="shared" si="37"/>
        <v/>
      </c>
      <c r="M290" s="60" t="str">
        <f t="shared" si="41"/>
        <v/>
      </c>
      <c r="N290" s="61">
        <v>66068309</v>
      </c>
      <c r="O290" s="61">
        <f t="shared" si="38"/>
        <v>0</v>
      </c>
      <c r="P290" s="62"/>
      <c r="Q290" s="63"/>
      <c r="R290" s="20">
        <f t="shared" si="34"/>
        <v>1</v>
      </c>
      <c r="S290" s="20">
        <f t="shared" si="39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6"/>
        <v/>
      </c>
      <c r="J291" s="59" t="str">
        <f t="shared" si="35"/>
        <v/>
      </c>
      <c r="K291" s="60" t="str">
        <f t="shared" si="40"/>
        <v/>
      </c>
      <c r="L291" s="59" t="str">
        <f t="shared" si="37"/>
        <v/>
      </c>
      <c r="M291" s="60" t="str">
        <f t="shared" si="41"/>
        <v/>
      </c>
      <c r="N291" s="61">
        <v>66068309</v>
      </c>
      <c r="O291" s="61">
        <f t="shared" si="38"/>
        <v>0</v>
      </c>
      <c r="P291" s="62"/>
      <c r="Q291" s="63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6"/>
        <v/>
      </c>
      <c r="J292" s="59" t="str">
        <f t="shared" si="35"/>
        <v/>
      </c>
      <c r="K292" s="60" t="str">
        <f t="shared" si="40"/>
        <v/>
      </c>
      <c r="L292" s="59" t="str">
        <f t="shared" si="37"/>
        <v/>
      </c>
      <c r="M292" s="60" t="str">
        <f t="shared" si="41"/>
        <v/>
      </c>
      <c r="N292" s="61">
        <v>66068309</v>
      </c>
      <c r="O292" s="61">
        <f t="shared" si="38"/>
        <v>0</v>
      </c>
      <c r="P292" s="62"/>
      <c r="Q292" s="63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6"/>
        <v/>
      </c>
      <c r="J293" s="59" t="str">
        <f t="shared" si="35"/>
        <v/>
      </c>
      <c r="K293" s="60" t="str">
        <f t="shared" si="40"/>
        <v/>
      </c>
      <c r="L293" s="59" t="str">
        <f t="shared" si="37"/>
        <v/>
      </c>
      <c r="M293" s="60" t="str">
        <f t="shared" si="41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6"/>
        <v/>
      </c>
      <c r="J294" s="59" t="str">
        <f t="shared" si="35"/>
        <v/>
      </c>
      <c r="K294" s="60" t="str">
        <f t="shared" si="40"/>
        <v/>
      </c>
      <c r="L294" s="59" t="str">
        <f t="shared" si="37"/>
        <v/>
      </c>
      <c r="M294" s="60" t="str">
        <f t="shared" si="41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4"/>
        <v>1</v>
      </c>
      <c r="S294" s="20">
        <f t="shared" si="39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6"/>
        <v/>
      </c>
      <c r="J295" s="59" t="str">
        <f t="shared" si="35"/>
        <v/>
      </c>
      <c r="K295" s="60" t="str">
        <f t="shared" si="40"/>
        <v/>
      </c>
      <c r="L295" s="59" t="str">
        <f t="shared" si="37"/>
        <v/>
      </c>
      <c r="M295" s="60" t="str">
        <f t="shared" si="41"/>
        <v/>
      </c>
      <c r="N295" s="61">
        <v>66068309</v>
      </c>
      <c r="O295" s="61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6"/>
        <v/>
      </c>
      <c r="J296" s="59" t="str">
        <f t="shared" si="35"/>
        <v/>
      </c>
      <c r="K296" s="60" t="str">
        <f t="shared" si="40"/>
        <v/>
      </c>
      <c r="L296" s="59" t="str">
        <f t="shared" si="37"/>
        <v/>
      </c>
      <c r="M296" s="60" t="str">
        <f t="shared" si="41"/>
        <v/>
      </c>
      <c r="N296" s="61">
        <v>66068309</v>
      </c>
      <c r="O296" s="61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6"/>
        <v/>
      </c>
      <c r="J297" s="59" t="str">
        <f t="shared" si="35"/>
        <v/>
      </c>
      <c r="K297" s="60" t="str">
        <f t="shared" si="40"/>
        <v/>
      </c>
      <c r="L297" s="59" t="str">
        <f t="shared" si="37"/>
        <v/>
      </c>
      <c r="M297" s="60" t="str">
        <f t="shared" si="41"/>
        <v/>
      </c>
      <c r="N297" s="61">
        <v>66068309</v>
      </c>
      <c r="O297" s="61">
        <f t="shared" si="38"/>
        <v>0</v>
      </c>
      <c r="P297" s="69" t="s">
        <v>46</v>
      </c>
      <c r="Q297" s="69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6"/>
        <v/>
      </c>
      <c r="J298" s="59" t="str">
        <f t="shared" si="35"/>
        <v/>
      </c>
      <c r="K298" s="60" t="str">
        <f t="shared" si="40"/>
        <v/>
      </c>
      <c r="L298" s="59" t="str">
        <f t="shared" si="37"/>
        <v/>
      </c>
      <c r="M298" s="60" t="str">
        <f t="shared" si="41"/>
        <v/>
      </c>
      <c r="N298" s="61">
        <v>66068309</v>
      </c>
      <c r="O298" s="61">
        <f t="shared" si="38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6"/>
        <v/>
      </c>
      <c r="J299" s="59" t="str">
        <f t="shared" si="35"/>
        <v/>
      </c>
      <c r="K299" s="60" t="str">
        <f t="shared" si="40"/>
        <v/>
      </c>
      <c r="L299" s="59" t="str">
        <f t="shared" si="37"/>
        <v/>
      </c>
      <c r="M299" s="60" t="str">
        <f t="shared" si="41"/>
        <v/>
      </c>
      <c r="N299" s="61">
        <v>66068309</v>
      </c>
      <c r="O299" s="61">
        <f t="shared" si="38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36"/>
        <v/>
      </c>
      <c r="J300" s="59" t="str">
        <f t="shared" si="35"/>
        <v/>
      </c>
      <c r="K300" s="60" t="str">
        <f t="shared" si="40"/>
        <v/>
      </c>
      <c r="L300" s="59" t="str">
        <f t="shared" si="37"/>
        <v/>
      </c>
      <c r="M300" s="60" t="str">
        <f t="shared" si="41"/>
        <v/>
      </c>
      <c r="N300" s="61">
        <v>66068309</v>
      </c>
      <c r="O300" s="61">
        <f t="shared" si="38"/>
        <v>0</v>
      </c>
      <c r="P300" s="72" t="s">
        <v>48</v>
      </c>
      <c r="Q300" s="73" t="s">
        <v>49</v>
      </c>
      <c r="R300" s="20">
        <f t="shared" si="34"/>
        <v>1</v>
      </c>
      <c r="S300" s="20">
        <f t="shared" si="39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36"/>
        <v/>
      </c>
      <c r="J301" s="59" t="str">
        <f t="shared" si="35"/>
        <v/>
      </c>
      <c r="K301" s="60" t="str">
        <f t="shared" si="40"/>
        <v/>
      </c>
      <c r="L301" s="59" t="str">
        <f t="shared" si="37"/>
        <v/>
      </c>
      <c r="M301" s="60" t="str">
        <f t="shared" si="41"/>
        <v/>
      </c>
      <c r="N301" s="61">
        <v>66068309</v>
      </c>
      <c r="O301" s="61">
        <f t="shared" si="38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4"/>
        <v>1</v>
      </c>
      <c r="S301" s="20">
        <f t="shared" si="39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36"/>
        <v/>
      </c>
      <c r="J302" s="59" t="str">
        <f t="shared" si="35"/>
        <v/>
      </c>
      <c r="K302" s="60" t="str">
        <f t="shared" si="40"/>
        <v/>
      </c>
      <c r="L302" s="59" t="str">
        <f t="shared" si="37"/>
        <v/>
      </c>
      <c r="M302" s="60" t="str">
        <f t="shared" si="41"/>
        <v/>
      </c>
      <c r="N302" s="61">
        <v>66068309</v>
      </c>
      <c r="O302" s="61">
        <f t="shared" si="38"/>
        <v>0</v>
      </c>
      <c r="P302" s="76" t="s">
        <v>50</v>
      </c>
      <c r="Q302" s="77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36"/>
        <v/>
      </c>
      <c r="J303" s="59" t="str">
        <f t="shared" si="35"/>
        <v/>
      </c>
      <c r="K303" s="60" t="str">
        <f t="shared" si="40"/>
        <v/>
      </c>
      <c r="L303" s="59" t="str">
        <f t="shared" si="37"/>
        <v/>
      </c>
      <c r="M303" s="60" t="str">
        <f t="shared" si="41"/>
        <v/>
      </c>
      <c r="N303" s="61">
        <v>66068309</v>
      </c>
      <c r="O303" s="61">
        <f t="shared" si="38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36"/>
        <v/>
      </c>
      <c r="J304" s="59" t="str">
        <f t="shared" si="35"/>
        <v/>
      </c>
      <c r="K304" s="60" t="str">
        <f t="shared" si="40"/>
        <v/>
      </c>
      <c r="L304" s="59" t="str">
        <f t="shared" si="37"/>
        <v/>
      </c>
      <c r="M304" s="60" t="str">
        <f t="shared" si="41"/>
        <v/>
      </c>
      <c r="N304" s="61">
        <v>66068309</v>
      </c>
      <c r="O304" s="61">
        <f t="shared" si="38"/>
        <v>0</v>
      </c>
      <c r="P304" s="80" t="s">
        <v>52</v>
      </c>
      <c r="Q304" s="81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36"/>
        <v/>
      </c>
      <c r="J305" s="59" t="str">
        <f t="shared" si="35"/>
        <v/>
      </c>
      <c r="K305" s="60" t="str">
        <f t="shared" si="40"/>
        <v/>
      </c>
      <c r="L305" s="59" t="str">
        <f t="shared" si="37"/>
        <v/>
      </c>
      <c r="M305" s="60" t="str">
        <f t="shared" si="41"/>
        <v/>
      </c>
      <c r="N305" s="61">
        <v>66068309</v>
      </c>
      <c r="O305" s="61">
        <f t="shared" si="38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36"/>
        <v/>
      </c>
      <c r="J306" s="59" t="str">
        <f t="shared" si="35"/>
        <v/>
      </c>
      <c r="K306" s="60" t="str">
        <f t="shared" si="40"/>
        <v/>
      </c>
      <c r="L306" s="59" t="str">
        <f t="shared" si="37"/>
        <v/>
      </c>
      <c r="M306" s="60" t="str">
        <f t="shared" si="41"/>
        <v/>
      </c>
      <c r="N306" s="61">
        <v>66068309</v>
      </c>
      <c r="O306" s="61">
        <f t="shared" si="38"/>
        <v>0</v>
      </c>
      <c r="P306" s="85" t="s">
        <v>54</v>
      </c>
      <c r="Q306" s="86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36"/>
        <v/>
      </c>
      <c r="J307" s="90" t="str">
        <f t="shared" si="35"/>
        <v/>
      </c>
      <c r="K307" s="60" t="str">
        <f t="shared" si="40"/>
        <v/>
      </c>
      <c r="L307" s="90" t="str">
        <f t="shared" si="37"/>
        <v/>
      </c>
      <c r="M307" s="60" t="str">
        <f t="shared" si="41"/>
        <v/>
      </c>
      <c r="N307" s="92">
        <v>66068309</v>
      </c>
      <c r="O307" s="93">
        <f t="shared" si="38"/>
        <v>0</v>
      </c>
      <c r="P307" s="128">
        <f>(P305+Q303*SUM(S277:S307)*Q308)</f>
        <v>0</v>
      </c>
      <c r="Q307" s="129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36"/>
        <v/>
      </c>
      <c r="J308" s="59" t="str">
        <f t="shared" si="35"/>
        <v/>
      </c>
      <c r="K308" s="60" t="str">
        <f t="shared" si="40"/>
        <v/>
      </c>
      <c r="L308" s="59" t="str">
        <f t="shared" si="37"/>
        <v/>
      </c>
      <c r="M308" s="60" t="str">
        <f t="shared" si="41"/>
        <v/>
      </c>
      <c r="N308" s="61">
        <v>66068309</v>
      </c>
      <c r="O308" s="61">
        <f t="shared" si="38"/>
        <v>0</v>
      </c>
      <c r="P308" s="111" t="s">
        <v>56</v>
      </c>
      <c r="Q308" s="112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36"/>
        <v/>
      </c>
      <c r="J309" s="59" t="str">
        <f t="shared" si="35"/>
        <v/>
      </c>
      <c r="K309" s="60" t="str">
        <f t="shared" si="40"/>
        <v/>
      </c>
      <c r="L309" s="59" t="str">
        <f t="shared" si="37"/>
        <v/>
      </c>
      <c r="M309" s="60" t="str">
        <f t="shared" si="41"/>
        <v/>
      </c>
      <c r="N309" s="61">
        <v>66068309</v>
      </c>
      <c r="O309" s="61">
        <f t="shared" si="38"/>
        <v>0</v>
      </c>
      <c r="P309" s="130"/>
      <c r="Q309" s="130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36"/>
        <v/>
      </c>
      <c r="J310" s="59" t="str">
        <f>IF(E310="","",+(E310-E309)*4140)</f>
        <v/>
      </c>
      <c r="K310" s="60" t="str">
        <f t="shared" si="40"/>
        <v/>
      </c>
      <c r="L310" s="59" t="str">
        <f t="shared" si="37"/>
        <v/>
      </c>
      <c r="M310" s="60" t="str">
        <f t="shared" si="41"/>
        <v/>
      </c>
      <c r="N310" s="61">
        <v>66068309</v>
      </c>
      <c r="O310" s="61">
        <f t="shared" si="38"/>
        <v>0</v>
      </c>
      <c r="P310" s="100"/>
      <c r="Q310" s="101"/>
      <c r="R310" s="20">
        <f>IF(N310="",0,1)</f>
        <v>1</v>
      </c>
      <c r="S310" s="20">
        <f t="shared" si="39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36"/>
        <v/>
      </c>
      <c r="J311" s="59" t="str">
        <f t="shared" si="35"/>
        <v/>
      </c>
      <c r="K311" s="60" t="str">
        <f t="shared" si="40"/>
        <v/>
      </c>
      <c r="L311" s="59" t="str">
        <f t="shared" si="37"/>
        <v/>
      </c>
      <c r="M311" s="60" t="str">
        <f t="shared" si="41"/>
        <v/>
      </c>
      <c r="N311" s="61">
        <v>66068309</v>
      </c>
      <c r="O311" s="61">
        <f t="shared" si="38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36"/>
        <v/>
      </c>
      <c r="J312" s="59" t="str">
        <f t="shared" si="35"/>
        <v/>
      </c>
      <c r="K312" s="60" t="str">
        <f t="shared" si="40"/>
        <v/>
      </c>
      <c r="L312" s="59" t="str">
        <f t="shared" si="37"/>
        <v/>
      </c>
      <c r="M312" s="60" t="str">
        <f t="shared" si="41"/>
        <v/>
      </c>
      <c r="N312" s="61">
        <v>66068309</v>
      </c>
      <c r="O312" s="61">
        <f t="shared" si="38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5"/>
        <v/>
      </c>
      <c r="K313" s="60" t="str">
        <f t="shared" si="40"/>
        <v/>
      </c>
      <c r="L313" s="59" t="str">
        <f t="shared" si="37"/>
        <v/>
      </c>
      <c r="M313" s="60" t="str">
        <f t="shared" si="41"/>
        <v/>
      </c>
      <c r="N313" s="61">
        <v>66068309</v>
      </c>
      <c r="O313" s="61">
        <f t="shared" si="38"/>
        <v>0</v>
      </c>
      <c r="P313" s="62"/>
      <c r="Q313" s="64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36"/>
        <v/>
      </c>
      <c r="J314" s="59" t="str">
        <f t="shared" si="35"/>
        <v/>
      </c>
      <c r="K314" s="60" t="str">
        <f t="shared" si="40"/>
        <v/>
      </c>
      <c r="L314" s="59" t="str">
        <f t="shared" si="37"/>
        <v/>
      </c>
      <c r="M314" s="60" t="str">
        <f t="shared" si="41"/>
        <v/>
      </c>
      <c r="N314" s="61">
        <v>66068309</v>
      </c>
      <c r="O314" s="61">
        <f t="shared" si="38"/>
        <v>0</v>
      </c>
      <c r="P314" s="62"/>
      <c r="Q314" s="64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36"/>
        <v/>
      </c>
      <c r="J315" s="59" t="str">
        <f t="shared" si="35"/>
        <v/>
      </c>
      <c r="K315" s="60" t="str">
        <f t="shared" si="40"/>
        <v/>
      </c>
      <c r="L315" s="59" t="str">
        <f t="shared" si="37"/>
        <v/>
      </c>
      <c r="M315" s="60" t="str">
        <f t="shared" si="41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4"/>
        <v>1</v>
      </c>
      <c r="S315" s="20">
        <f t="shared" si="39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36"/>
        <v/>
      </c>
      <c r="J316" s="59" t="str">
        <f t="shared" si="35"/>
        <v/>
      </c>
      <c r="K316" s="60" t="str">
        <f t="shared" si="40"/>
        <v/>
      </c>
      <c r="L316" s="59" t="str">
        <f t="shared" si="37"/>
        <v/>
      </c>
      <c r="M316" s="60" t="str">
        <f t="shared" si="41"/>
        <v/>
      </c>
      <c r="N316" s="61">
        <v>66068309</v>
      </c>
      <c r="O316" s="61">
        <f t="shared" ref="O316:O368" si="42">IF(N316="","",N316-N315)</f>
        <v>0</v>
      </c>
      <c r="P316" s="62"/>
      <c r="Q316" s="63"/>
      <c r="R316" s="20">
        <f t="shared" si="34"/>
        <v>1</v>
      </c>
      <c r="S316" s="20">
        <f t="shared" si="39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36"/>
        <v/>
      </c>
      <c r="J317" s="59" t="str">
        <f t="shared" si="35"/>
        <v/>
      </c>
      <c r="K317" s="60" t="str">
        <f t="shared" si="40"/>
        <v/>
      </c>
      <c r="L317" s="59" t="str">
        <f t="shared" si="37"/>
        <v/>
      </c>
      <c r="M317" s="60" t="str">
        <f t="shared" si="41"/>
        <v/>
      </c>
      <c r="N317" s="61">
        <v>66068309</v>
      </c>
      <c r="O317" s="61">
        <f t="shared" si="42"/>
        <v>0</v>
      </c>
      <c r="P317" s="62"/>
      <c r="Q317" s="63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36"/>
        <v/>
      </c>
      <c r="J318" s="59" t="str">
        <f t="shared" si="35"/>
        <v/>
      </c>
      <c r="K318" s="60" t="str">
        <f t="shared" si="40"/>
        <v/>
      </c>
      <c r="L318" s="59" t="str">
        <f t="shared" si="37"/>
        <v/>
      </c>
      <c r="M318" s="60" t="str">
        <f t="shared" si="41"/>
        <v/>
      </c>
      <c r="N318" s="61">
        <v>66068309</v>
      </c>
      <c r="O318" s="61">
        <f t="shared" si="42"/>
        <v>0</v>
      </c>
      <c r="P318" s="62"/>
      <c r="Q318" s="64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36"/>
        <v/>
      </c>
      <c r="J319" s="59" t="str">
        <f t="shared" si="35"/>
        <v/>
      </c>
      <c r="K319" s="60" t="str">
        <f t="shared" si="40"/>
        <v/>
      </c>
      <c r="L319" s="59" t="str">
        <f t="shared" si="37"/>
        <v/>
      </c>
      <c r="M319" s="60" t="str">
        <f t="shared" si="41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36"/>
        <v/>
      </c>
      <c r="J320" s="59" t="str">
        <f t="shared" si="35"/>
        <v/>
      </c>
      <c r="K320" s="60" t="str">
        <f t="shared" si="40"/>
        <v/>
      </c>
      <c r="L320" s="59" t="str">
        <f t="shared" si="37"/>
        <v/>
      </c>
      <c r="M320" s="60" t="str">
        <f t="shared" si="41"/>
        <v/>
      </c>
      <c r="N320" s="61">
        <v>66068309</v>
      </c>
      <c r="O320" s="61">
        <f t="shared" si="42"/>
        <v>0</v>
      </c>
      <c r="P320" s="62"/>
      <c r="Q320" s="63"/>
      <c r="R320" s="20">
        <f t="shared" si="43"/>
        <v>1</v>
      </c>
      <c r="S320" s="20">
        <f t="shared" si="39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36"/>
        <v/>
      </c>
      <c r="J321" s="59" t="str">
        <f t="shared" si="35"/>
        <v/>
      </c>
      <c r="K321" s="60" t="str">
        <f t="shared" si="40"/>
        <v/>
      </c>
      <c r="L321" s="59" t="str">
        <f t="shared" si="37"/>
        <v/>
      </c>
      <c r="M321" s="60" t="str">
        <f t="shared" si="41"/>
        <v/>
      </c>
      <c r="N321" s="61">
        <v>66068309</v>
      </c>
      <c r="O321" s="61">
        <f t="shared" si="42"/>
        <v>0</v>
      </c>
      <c r="P321" s="62"/>
      <c r="Q321" s="131"/>
      <c r="R321" s="20">
        <f t="shared" si="43"/>
        <v>1</v>
      </c>
      <c r="S321" s="20">
        <f t="shared" si="39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36"/>
        <v/>
      </c>
      <c r="J322" s="59" t="str">
        <f t="shared" si="35"/>
        <v/>
      </c>
      <c r="K322" s="60" t="str">
        <f t="shared" si="40"/>
        <v/>
      </c>
      <c r="L322" s="59" t="str">
        <f t="shared" si="37"/>
        <v/>
      </c>
      <c r="M322" s="60" t="str">
        <f t="shared" si="41"/>
        <v/>
      </c>
      <c r="N322" s="61">
        <v>66068309</v>
      </c>
      <c r="O322" s="61">
        <f t="shared" si="42"/>
        <v>0</v>
      </c>
      <c r="P322" s="62"/>
      <c r="Q322" s="63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36"/>
        <v/>
      </c>
      <c r="J323" s="59" t="str">
        <f t="shared" si="35"/>
        <v/>
      </c>
      <c r="K323" s="60" t="str">
        <f t="shared" si="40"/>
        <v/>
      </c>
      <c r="L323" s="59" t="str">
        <f t="shared" si="37"/>
        <v/>
      </c>
      <c r="M323" s="60" t="str">
        <f t="shared" si="41"/>
        <v/>
      </c>
      <c r="N323" s="61">
        <v>66068309</v>
      </c>
      <c r="O323" s="61">
        <f t="shared" si="42"/>
        <v>0</v>
      </c>
      <c r="P323" s="62"/>
      <c r="Q323" s="104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36"/>
        <v/>
      </c>
      <c r="J324" s="59" t="str">
        <f t="shared" si="36"/>
        <v/>
      </c>
      <c r="K324" s="60" t="str">
        <f t="shared" si="40"/>
        <v/>
      </c>
      <c r="L324" s="59" t="str">
        <f t="shared" si="37"/>
        <v/>
      </c>
      <c r="M324" s="60" t="str">
        <f t="shared" si="41"/>
        <v/>
      </c>
      <c r="N324" s="61">
        <v>66068309</v>
      </c>
      <c r="O324" s="61">
        <f t="shared" si="42"/>
        <v>0</v>
      </c>
      <c r="P324" s="62"/>
      <c r="Q324" s="104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4">IF(D325="","",+(D325-D324)*4140)</f>
        <v/>
      </c>
      <c r="J325" s="59" t="str">
        <f t="shared" si="44"/>
        <v/>
      </c>
      <c r="K325" s="60" t="str">
        <f t="shared" si="40"/>
        <v/>
      </c>
      <c r="L325" s="59" t="str">
        <f t="shared" ref="L325:L368" si="45">IF(F325="","",+(F325-F324)*4140)</f>
        <v/>
      </c>
      <c r="M325" s="60" t="str">
        <f t="shared" si="41"/>
        <v/>
      </c>
      <c r="N325" s="61">
        <v>66068309</v>
      </c>
      <c r="O325" s="61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4"/>
        <v/>
      </c>
      <c r="J326" s="59" t="str">
        <f t="shared" si="44"/>
        <v/>
      </c>
      <c r="K326" s="60" t="str">
        <f t="shared" si="40"/>
        <v/>
      </c>
      <c r="L326" s="59" t="str">
        <f t="shared" si="45"/>
        <v/>
      </c>
      <c r="M326" s="60" t="str">
        <f t="shared" si="41"/>
        <v/>
      </c>
      <c r="N326" s="61">
        <v>66068309</v>
      </c>
      <c r="O326" s="61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4"/>
        <v/>
      </c>
      <c r="J327" s="59" t="str">
        <f t="shared" si="44"/>
        <v/>
      </c>
      <c r="K327" s="60" t="str">
        <f t="shared" si="40"/>
        <v/>
      </c>
      <c r="L327" s="59" t="str">
        <f t="shared" si="45"/>
        <v/>
      </c>
      <c r="M327" s="60" t="str">
        <f t="shared" si="41"/>
        <v/>
      </c>
      <c r="N327" s="61">
        <v>66068309</v>
      </c>
      <c r="O327" s="61">
        <f t="shared" si="42"/>
        <v>0</v>
      </c>
      <c r="P327" s="69" t="s">
        <v>46</v>
      </c>
      <c r="Q327" s="69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4"/>
        <v/>
      </c>
      <c r="J328" s="59" t="str">
        <f t="shared" si="44"/>
        <v/>
      </c>
      <c r="K328" s="60" t="str">
        <f t="shared" si="40"/>
        <v/>
      </c>
      <c r="L328" s="59" t="str">
        <f t="shared" si="45"/>
        <v/>
      </c>
      <c r="M328" s="60" t="str">
        <f t="shared" si="41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4"/>
        <v/>
      </c>
      <c r="J329" s="59" t="str">
        <f t="shared" si="44"/>
        <v/>
      </c>
      <c r="K329" s="60" t="str">
        <f t="shared" si="40"/>
        <v/>
      </c>
      <c r="L329" s="59" t="str">
        <f t="shared" si="45"/>
        <v/>
      </c>
      <c r="M329" s="60" t="str">
        <f t="shared" si="41"/>
        <v/>
      </c>
      <c r="N329" s="61">
        <v>66068309</v>
      </c>
      <c r="O329" s="61">
        <f t="shared" si="42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4"/>
        <v/>
      </c>
      <c r="J330" s="59" t="str">
        <f t="shared" si="44"/>
        <v/>
      </c>
      <c r="K330" s="60" t="str">
        <f t="shared" si="40"/>
        <v/>
      </c>
      <c r="L330" s="59" t="str">
        <f t="shared" si="45"/>
        <v/>
      </c>
      <c r="M330" s="60" t="str">
        <f t="shared" si="41"/>
        <v/>
      </c>
      <c r="N330" s="61">
        <v>66068309</v>
      </c>
      <c r="O330" s="61">
        <f t="shared" si="42"/>
        <v>0</v>
      </c>
      <c r="P330" s="72" t="s">
        <v>48</v>
      </c>
      <c r="Q330" s="73" t="s">
        <v>49</v>
      </c>
      <c r="R330" s="20">
        <f t="shared" si="43"/>
        <v>1</v>
      </c>
      <c r="S330" s="20">
        <f t="shared" si="46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4"/>
        <v/>
      </c>
      <c r="J331" s="59" t="str">
        <f t="shared" si="44"/>
        <v/>
      </c>
      <c r="K331" s="60" t="str">
        <f t="shared" si="40"/>
        <v/>
      </c>
      <c r="L331" s="59" t="str">
        <f t="shared" si="45"/>
        <v/>
      </c>
      <c r="M331" s="60" t="str">
        <f t="shared" si="41"/>
        <v/>
      </c>
      <c r="N331" s="61">
        <v>66068309</v>
      </c>
      <c r="O331" s="61">
        <f t="shared" si="42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3"/>
        <v>1</v>
      </c>
      <c r="S331" s="20">
        <f t="shared" si="46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4"/>
        <v/>
      </c>
      <c r="J332" s="59" t="str">
        <f t="shared" si="44"/>
        <v/>
      </c>
      <c r="K332" s="60" t="str">
        <f t="shared" si="40"/>
        <v/>
      </c>
      <c r="L332" s="59" t="str">
        <f t="shared" si="45"/>
        <v/>
      </c>
      <c r="M332" s="60" t="str">
        <f t="shared" si="41"/>
        <v/>
      </c>
      <c r="N332" s="61">
        <v>66068309</v>
      </c>
      <c r="O332" s="61">
        <f t="shared" si="42"/>
        <v>0</v>
      </c>
      <c r="P332" s="76" t="s">
        <v>50</v>
      </c>
      <c r="Q332" s="77" t="s">
        <v>58</v>
      </c>
      <c r="R332" s="20">
        <f t="shared" si="43"/>
        <v>1</v>
      </c>
      <c r="S332" s="20">
        <f t="shared" si="46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4"/>
        <v/>
      </c>
      <c r="J333" s="59" t="str">
        <f t="shared" si="44"/>
        <v/>
      </c>
      <c r="K333" s="60" t="str">
        <f t="shared" ref="K333:K337" si="47">IF(J333="","",+(J333/I333))</f>
        <v/>
      </c>
      <c r="L333" s="59" t="str">
        <f t="shared" si="45"/>
        <v/>
      </c>
      <c r="M333" s="60" t="str">
        <f t="shared" ref="M333:M362" si="48">IF(L333="","",(L333/I333))</f>
        <v/>
      </c>
      <c r="N333" s="61">
        <v>66068309</v>
      </c>
      <c r="O333" s="61">
        <f t="shared" si="42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4"/>
        <v/>
      </c>
      <c r="J334" s="59" t="str">
        <f t="shared" si="44"/>
        <v/>
      </c>
      <c r="K334" s="60" t="str">
        <f t="shared" si="47"/>
        <v/>
      </c>
      <c r="L334" s="59" t="str">
        <f t="shared" si="45"/>
        <v/>
      </c>
      <c r="M334" s="60" t="str">
        <f t="shared" si="48"/>
        <v/>
      </c>
      <c r="N334" s="61">
        <v>66068309</v>
      </c>
      <c r="O334" s="61">
        <f t="shared" si="42"/>
        <v>0</v>
      </c>
      <c r="P334" s="80" t="s">
        <v>52</v>
      </c>
      <c r="Q334" s="81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4"/>
        <v/>
      </c>
      <c r="J335" s="59" t="str">
        <f t="shared" si="44"/>
        <v/>
      </c>
      <c r="K335" s="60" t="str">
        <f t="shared" si="47"/>
        <v/>
      </c>
      <c r="L335" s="59" t="str">
        <f t="shared" si="45"/>
        <v/>
      </c>
      <c r="M335" s="60" t="str">
        <f t="shared" si="48"/>
        <v/>
      </c>
      <c r="N335" s="61">
        <v>66068309</v>
      </c>
      <c r="O335" s="61">
        <f t="shared" si="42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4"/>
        <v/>
      </c>
      <c r="J336" s="59" t="str">
        <f t="shared" si="44"/>
        <v/>
      </c>
      <c r="K336" s="60" t="str">
        <f t="shared" si="47"/>
        <v/>
      </c>
      <c r="L336" s="59" t="str">
        <f t="shared" si="45"/>
        <v/>
      </c>
      <c r="M336" s="60" t="str">
        <f t="shared" si="48"/>
        <v/>
      </c>
      <c r="N336" s="61">
        <v>66068309</v>
      </c>
      <c r="O336" s="61">
        <f t="shared" si="42"/>
        <v>0</v>
      </c>
      <c r="P336" s="134" t="s">
        <v>54</v>
      </c>
      <c r="Q336" s="134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4"/>
        <v/>
      </c>
      <c r="J337" s="90" t="str">
        <f t="shared" si="44"/>
        <v/>
      </c>
      <c r="K337" s="60" t="str">
        <f t="shared" si="47"/>
        <v/>
      </c>
      <c r="L337" s="90" t="str">
        <f t="shared" si="45"/>
        <v/>
      </c>
      <c r="M337" s="60" t="str">
        <f t="shared" si="48"/>
        <v/>
      </c>
      <c r="N337" s="92">
        <v>66068309</v>
      </c>
      <c r="O337" s="135">
        <f t="shared" si="42"/>
        <v>0</v>
      </c>
      <c r="P337" s="136">
        <f>(P335+Q333*SUM(S308:S337)*Q338)</f>
        <v>0</v>
      </c>
      <c r="Q337" s="137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4"/>
        <v/>
      </c>
      <c r="J338" s="59" t="str">
        <f t="shared" si="44"/>
        <v/>
      </c>
      <c r="K338" s="60" t="str">
        <f t="shared" ref="K338:K368" si="49">IF(J338="","",+(J338/I338))</f>
        <v/>
      </c>
      <c r="L338" s="59" t="str">
        <f t="shared" si="45"/>
        <v/>
      </c>
      <c r="M338" s="60" t="str">
        <f t="shared" si="48"/>
        <v/>
      </c>
      <c r="N338" s="61">
        <v>66068309</v>
      </c>
      <c r="O338" s="61">
        <f t="shared" si="42"/>
        <v>0</v>
      </c>
      <c r="P338" s="138" t="s">
        <v>56</v>
      </c>
      <c r="Q338" s="139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4"/>
        <v/>
      </c>
      <c r="J339" s="59" t="str">
        <f t="shared" si="44"/>
        <v/>
      </c>
      <c r="K339" s="60" t="str">
        <f t="shared" si="49"/>
        <v/>
      </c>
      <c r="L339" s="59" t="str">
        <f t="shared" si="45"/>
        <v/>
      </c>
      <c r="M339" s="60" t="str">
        <f t="shared" si="48"/>
        <v/>
      </c>
      <c r="N339" s="61">
        <v>66068309</v>
      </c>
      <c r="O339" s="61">
        <f t="shared" si="42"/>
        <v>0</v>
      </c>
      <c r="P339" s="130"/>
      <c r="Q339" s="130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4"/>
        <v/>
      </c>
      <c r="J340" s="59" t="str">
        <f t="shared" si="44"/>
        <v/>
      </c>
      <c r="K340" s="60" t="str">
        <f t="shared" si="49"/>
        <v/>
      </c>
      <c r="L340" s="59" t="str">
        <f t="shared" si="45"/>
        <v/>
      </c>
      <c r="M340" s="60" t="str">
        <f t="shared" si="48"/>
        <v/>
      </c>
      <c r="N340" s="61">
        <v>66068309</v>
      </c>
      <c r="O340" s="61">
        <f t="shared" si="42"/>
        <v>0</v>
      </c>
      <c r="P340" s="100"/>
      <c r="Q340" s="101"/>
      <c r="R340" s="20">
        <f t="shared" si="43"/>
        <v>1</v>
      </c>
      <c r="S340" s="20">
        <f t="shared" si="46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4"/>
        <v/>
      </c>
      <c r="J341" s="59" t="str">
        <f t="shared" si="44"/>
        <v/>
      </c>
      <c r="K341" s="60" t="str">
        <f t="shared" si="49"/>
        <v/>
      </c>
      <c r="L341" s="59" t="str">
        <f t="shared" si="45"/>
        <v/>
      </c>
      <c r="M341" s="60" t="str">
        <f t="shared" si="48"/>
        <v/>
      </c>
      <c r="N341" s="61">
        <v>66068309</v>
      </c>
      <c r="O341" s="61">
        <f t="shared" si="42"/>
        <v>0</v>
      </c>
      <c r="P341" s="102"/>
      <c r="Q341" s="103"/>
      <c r="R341" s="20">
        <f t="shared" si="43"/>
        <v>1</v>
      </c>
      <c r="S341" s="20">
        <f t="shared" si="46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4"/>
        <v/>
      </c>
      <c r="J342" s="59" t="str">
        <f t="shared" si="44"/>
        <v/>
      </c>
      <c r="K342" s="60" t="str">
        <f t="shared" si="49"/>
        <v/>
      </c>
      <c r="L342" s="59" t="str">
        <f t="shared" si="45"/>
        <v/>
      </c>
      <c r="M342" s="60" t="str">
        <f t="shared" si="48"/>
        <v/>
      </c>
      <c r="N342" s="61">
        <v>66068309</v>
      </c>
      <c r="O342" s="61">
        <f t="shared" si="42"/>
        <v>0</v>
      </c>
      <c r="P342" s="102"/>
      <c r="Q342" s="101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4"/>
        <v/>
      </c>
      <c r="J343" s="59" t="str">
        <f t="shared" si="44"/>
        <v/>
      </c>
      <c r="K343" s="60" t="str">
        <f t="shared" si="49"/>
        <v/>
      </c>
      <c r="L343" s="59" t="str">
        <f t="shared" si="45"/>
        <v/>
      </c>
      <c r="M343" s="60" t="str">
        <f t="shared" si="48"/>
        <v/>
      </c>
      <c r="N343" s="61">
        <v>66068309</v>
      </c>
      <c r="O343" s="61">
        <f t="shared" si="42"/>
        <v>0</v>
      </c>
      <c r="P343" s="62"/>
      <c r="Q343" s="63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4"/>
        <v/>
      </c>
      <c r="J344" s="59" t="str">
        <f t="shared" si="44"/>
        <v/>
      </c>
      <c r="K344" s="60" t="str">
        <f t="shared" si="49"/>
        <v/>
      </c>
      <c r="L344" s="59" t="str">
        <f t="shared" si="45"/>
        <v/>
      </c>
      <c r="M344" s="60" t="str">
        <f t="shared" si="48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4"/>
        <v/>
      </c>
      <c r="J345" s="59" t="str">
        <f t="shared" si="44"/>
        <v/>
      </c>
      <c r="K345" s="60" t="str">
        <f t="shared" si="49"/>
        <v/>
      </c>
      <c r="L345" s="59" t="str">
        <f t="shared" si="45"/>
        <v/>
      </c>
      <c r="M345" s="60" t="str">
        <f t="shared" si="48"/>
        <v/>
      </c>
      <c r="N345" s="61">
        <v>66068309</v>
      </c>
      <c r="O345" s="61">
        <f t="shared" si="42"/>
        <v>0</v>
      </c>
      <c r="P345" s="62"/>
      <c r="Q345" s="64"/>
      <c r="R345" s="20">
        <f t="shared" si="43"/>
        <v>1</v>
      </c>
      <c r="S345" s="20">
        <f t="shared" si="46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4"/>
        <v/>
      </c>
      <c r="J346" s="59" t="str">
        <f t="shared" si="44"/>
        <v/>
      </c>
      <c r="K346" s="60" t="str">
        <f t="shared" si="49"/>
        <v/>
      </c>
      <c r="L346" s="59" t="str">
        <f t="shared" si="45"/>
        <v/>
      </c>
      <c r="M346" s="60" t="str">
        <f t="shared" si="48"/>
        <v/>
      </c>
      <c r="N346" s="61">
        <v>66068309</v>
      </c>
      <c r="O346" s="61">
        <f t="shared" si="42"/>
        <v>0</v>
      </c>
      <c r="P346" s="62"/>
      <c r="Q346" s="64"/>
      <c r="R346" s="20">
        <f t="shared" si="43"/>
        <v>1</v>
      </c>
      <c r="S346" s="20">
        <f t="shared" si="46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4"/>
        <v/>
      </c>
      <c r="J347" s="59" t="str">
        <f t="shared" si="44"/>
        <v/>
      </c>
      <c r="K347" s="60" t="str">
        <f t="shared" si="49"/>
        <v/>
      </c>
      <c r="L347" s="59" t="str">
        <f t="shared" si="45"/>
        <v/>
      </c>
      <c r="M347" s="60" t="str">
        <f t="shared" si="48"/>
        <v/>
      </c>
      <c r="N347" s="61">
        <v>66068309</v>
      </c>
      <c r="O347" s="61">
        <f t="shared" si="42"/>
        <v>0</v>
      </c>
      <c r="P347" s="62"/>
      <c r="Q347" s="63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4"/>
        <v/>
      </c>
      <c r="J348" s="59" t="str">
        <f t="shared" si="44"/>
        <v/>
      </c>
      <c r="K348" s="60" t="str">
        <f t="shared" si="49"/>
        <v/>
      </c>
      <c r="L348" s="59" t="str">
        <f t="shared" si="45"/>
        <v/>
      </c>
      <c r="M348" s="60" t="str">
        <f t="shared" si="48"/>
        <v/>
      </c>
      <c r="N348" s="61">
        <v>66068309</v>
      </c>
      <c r="O348" s="61">
        <f t="shared" si="42"/>
        <v>0</v>
      </c>
      <c r="P348" s="62"/>
      <c r="Q348" s="63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4"/>
        <v/>
      </c>
      <c r="J349" s="59" t="str">
        <f t="shared" si="44"/>
        <v/>
      </c>
      <c r="K349" s="60" t="str">
        <f t="shared" si="49"/>
        <v/>
      </c>
      <c r="L349" s="59" t="str">
        <f t="shared" si="45"/>
        <v/>
      </c>
      <c r="M349" s="60" t="str">
        <f t="shared" si="48"/>
        <v/>
      </c>
      <c r="N349" s="61">
        <v>66068309</v>
      </c>
      <c r="O349" s="61">
        <f t="shared" si="42"/>
        <v>0</v>
      </c>
      <c r="P349" s="62"/>
      <c r="Q349" s="64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4"/>
        <v/>
      </c>
      <c r="J350" s="59" t="str">
        <f t="shared" si="44"/>
        <v/>
      </c>
      <c r="K350" s="60" t="str">
        <f t="shared" si="49"/>
        <v/>
      </c>
      <c r="L350" s="59" t="str">
        <f t="shared" si="45"/>
        <v/>
      </c>
      <c r="M350" s="60" t="str">
        <f t="shared" si="48"/>
        <v/>
      </c>
      <c r="N350" s="61">
        <v>66068309</v>
      </c>
      <c r="O350" s="61">
        <f t="shared" si="42"/>
        <v>0</v>
      </c>
      <c r="P350" s="62"/>
      <c r="Q350" s="64"/>
      <c r="R350" s="20">
        <f t="shared" si="43"/>
        <v>1</v>
      </c>
      <c r="S350" s="20">
        <f t="shared" si="46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4"/>
        <v/>
      </c>
      <c r="J351" s="59" t="str">
        <f t="shared" si="44"/>
        <v/>
      </c>
      <c r="K351" s="60" t="str">
        <f t="shared" si="49"/>
        <v/>
      </c>
      <c r="L351" s="59" t="str">
        <f t="shared" si="45"/>
        <v/>
      </c>
      <c r="M351" s="60" t="str">
        <f t="shared" si="48"/>
        <v/>
      </c>
      <c r="N351" s="61">
        <v>66068309</v>
      </c>
      <c r="O351" s="61">
        <f t="shared" si="42"/>
        <v>0</v>
      </c>
      <c r="P351" s="62"/>
      <c r="Q351" s="63"/>
      <c r="R351" s="20">
        <f t="shared" si="43"/>
        <v>1</v>
      </c>
      <c r="S351" s="20">
        <f t="shared" si="46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4"/>
        <v/>
      </c>
      <c r="J352" s="59" t="str">
        <f t="shared" si="44"/>
        <v/>
      </c>
      <c r="K352" s="60" t="str">
        <f t="shared" si="49"/>
        <v/>
      </c>
      <c r="L352" s="59" t="str">
        <f t="shared" si="45"/>
        <v/>
      </c>
      <c r="M352" s="60" t="str">
        <f t="shared" si="48"/>
        <v/>
      </c>
      <c r="N352" s="61">
        <v>66068309</v>
      </c>
      <c r="O352" s="61">
        <f t="shared" si="42"/>
        <v>0</v>
      </c>
      <c r="P352" s="62"/>
      <c r="Q352" s="63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4"/>
        <v/>
      </c>
      <c r="J353" s="59" t="str">
        <f t="shared" si="44"/>
        <v/>
      </c>
      <c r="K353" s="60" t="str">
        <f t="shared" si="49"/>
        <v/>
      </c>
      <c r="L353" s="59" t="str">
        <f t="shared" si="45"/>
        <v/>
      </c>
      <c r="M353" s="60" t="str">
        <f t="shared" si="48"/>
        <v/>
      </c>
      <c r="N353" s="61">
        <v>66068309</v>
      </c>
      <c r="O353" s="61">
        <f t="shared" si="42"/>
        <v>0</v>
      </c>
      <c r="P353" s="62"/>
      <c r="Q353" s="63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4"/>
        <v/>
      </c>
      <c r="J354" s="59" t="str">
        <f t="shared" si="44"/>
        <v/>
      </c>
      <c r="K354" s="60" t="str">
        <f t="shared" si="49"/>
        <v/>
      </c>
      <c r="L354" s="59" t="str">
        <f t="shared" si="45"/>
        <v/>
      </c>
      <c r="M354" s="60" t="str">
        <f t="shared" si="48"/>
        <v/>
      </c>
      <c r="N354" s="61">
        <v>66068309</v>
      </c>
      <c r="O354" s="61">
        <f t="shared" si="42"/>
        <v>0</v>
      </c>
      <c r="P354" s="62"/>
      <c r="Q354" s="104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4"/>
        <v/>
      </c>
      <c r="J355" s="59" t="str">
        <f>IF(E355="","",+(E355-E354)*4140)</f>
        <v/>
      </c>
      <c r="K355" s="60" t="str">
        <f t="shared" si="49"/>
        <v/>
      </c>
      <c r="L355" s="59" t="str">
        <f t="shared" si="45"/>
        <v/>
      </c>
      <c r="M355" s="60" t="str">
        <f t="shared" si="48"/>
        <v/>
      </c>
      <c r="N355" s="61">
        <v>66068309</v>
      </c>
      <c r="O355" s="61">
        <v>0</v>
      </c>
      <c r="P355" s="62"/>
      <c r="Q355" s="104"/>
      <c r="R355" s="20">
        <f t="shared" si="43"/>
        <v>1</v>
      </c>
      <c r="S355" s="20">
        <f t="shared" si="46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4"/>
        <v/>
      </c>
      <c r="J356" s="59" t="str">
        <f>IF(E356="","",+(E356-E355)*4140)</f>
        <v/>
      </c>
      <c r="K356" s="60" t="str">
        <f t="shared" si="49"/>
        <v/>
      </c>
      <c r="L356" s="59" t="str">
        <f t="shared" si="45"/>
        <v/>
      </c>
      <c r="M356" s="60" t="str">
        <f t="shared" si="48"/>
        <v/>
      </c>
      <c r="N356" s="61">
        <v>66068309</v>
      </c>
      <c r="O356" s="61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4"/>
        <v/>
      </c>
      <c r="J357" s="59" t="str">
        <f>IF(E357="","",+(E357-E356)*4140)</f>
        <v/>
      </c>
      <c r="K357" s="60" t="str">
        <f t="shared" si="49"/>
        <v/>
      </c>
      <c r="L357" s="59" t="str">
        <f t="shared" si="45"/>
        <v/>
      </c>
      <c r="M357" s="60" t="str">
        <f t="shared" si="48"/>
        <v/>
      </c>
      <c r="N357" s="61">
        <v>66068309</v>
      </c>
      <c r="O357" s="61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4"/>
        <v/>
      </c>
      <c r="J358" s="59" t="str">
        <f>IF(E358="","",+(E358-E357)*4140)</f>
        <v/>
      </c>
      <c r="K358" s="60" t="str">
        <f t="shared" si="49"/>
        <v/>
      </c>
      <c r="L358" s="59" t="str">
        <f t="shared" si="45"/>
        <v/>
      </c>
      <c r="M358" s="60" t="str">
        <f t="shared" si="48"/>
        <v/>
      </c>
      <c r="N358" s="61">
        <v>66068309</v>
      </c>
      <c r="O358" s="61">
        <f t="shared" si="42"/>
        <v>0</v>
      </c>
      <c r="P358" s="69" t="s">
        <v>46</v>
      </c>
      <c r="Q358" s="69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4"/>
        <v/>
      </c>
      <c r="J359" s="59" t="str">
        <f t="shared" si="44"/>
        <v/>
      </c>
      <c r="K359" s="60" t="str">
        <f t="shared" si="49"/>
        <v/>
      </c>
      <c r="L359" s="59" t="str">
        <f t="shared" si="45"/>
        <v/>
      </c>
      <c r="M359" s="60" t="str">
        <f t="shared" si="48"/>
        <v/>
      </c>
      <c r="N359" s="61">
        <v>66068309</v>
      </c>
      <c r="O359" s="61">
        <f t="shared" si="42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4"/>
        <v/>
      </c>
      <c r="J360" s="59" t="str">
        <f t="shared" si="44"/>
        <v/>
      </c>
      <c r="K360" s="60" t="str">
        <f t="shared" si="49"/>
        <v/>
      </c>
      <c r="L360" s="59" t="str">
        <f t="shared" si="45"/>
        <v/>
      </c>
      <c r="M360" s="60" t="str">
        <f t="shared" si="48"/>
        <v/>
      </c>
      <c r="N360" s="61">
        <v>66068309</v>
      </c>
      <c r="O360" s="61">
        <f t="shared" si="42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4"/>
        <v/>
      </c>
      <c r="J361" s="59" t="str">
        <f t="shared" si="44"/>
        <v/>
      </c>
      <c r="K361" s="60" t="str">
        <f t="shared" si="49"/>
        <v/>
      </c>
      <c r="L361" s="59" t="str">
        <f t="shared" si="45"/>
        <v/>
      </c>
      <c r="M361" s="60" t="str">
        <f t="shared" si="48"/>
        <v/>
      </c>
      <c r="N361" s="61">
        <v>66068309</v>
      </c>
      <c r="O361" s="61">
        <f t="shared" si="42"/>
        <v>0</v>
      </c>
      <c r="P361" s="72" t="s">
        <v>48</v>
      </c>
      <c r="Q361" s="73" t="s">
        <v>49</v>
      </c>
      <c r="R361" s="20">
        <f t="shared" si="43"/>
        <v>1</v>
      </c>
      <c r="S361" s="20">
        <f t="shared" si="46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4"/>
        <v/>
      </c>
      <c r="J362" s="59" t="str">
        <f t="shared" si="44"/>
        <v/>
      </c>
      <c r="K362" s="60" t="str">
        <f t="shared" si="49"/>
        <v/>
      </c>
      <c r="L362" s="59" t="str">
        <f t="shared" si="45"/>
        <v/>
      </c>
      <c r="M362" s="60" t="str">
        <f t="shared" si="48"/>
        <v/>
      </c>
      <c r="N362" s="61">
        <v>66068309</v>
      </c>
      <c r="O362" s="61">
        <f t="shared" si="42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3"/>
        <v>1</v>
      </c>
      <c r="S362" s="20">
        <f t="shared" si="46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4"/>
        <v/>
      </c>
      <c r="J363" s="59" t="str">
        <f t="shared" si="44"/>
        <v/>
      </c>
      <c r="K363" s="60" t="str">
        <f t="shared" si="49"/>
        <v/>
      </c>
      <c r="L363" s="59" t="str">
        <f t="shared" si="45"/>
        <v/>
      </c>
      <c r="M363" s="60" t="str">
        <f t="shared" ref="M363:M368" si="50">IF(L363="","",(L363/I363))</f>
        <v/>
      </c>
      <c r="N363" s="61">
        <v>66068309</v>
      </c>
      <c r="O363" s="61">
        <f t="shared" si="42"/>
        <v>0</v>
      </c>
      <c r="P363" s="76" t="s">
        <v>50</v>
      </c>
      <c r="Q363" s="77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4"/>
        <v/>
      </c>
      <c r="J364" s="59" t="str">
        <f t="shared" si="44"/>
        <v/>
      </c>
      <c r="K364" s="60" t="str">
        <f t="shared" si="49"/>
        <v/>
      </c>
      <c r="L364" s="59" t="str">
        <f t="shared" si="45"/>
        <v/>
      </c>
      <c r="M364" s="60" t="str">
        <f t="shared" si="50"/>
        <v/>
      </c>
      <c r="N364" s="61">
        <v>66068309</v>
      </c>
      <c r="O364" s="61">
        <f t="shared" si="42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4"/>
        <v/>
      </c>
      <c r="J365" s="59" t="str">
        <f t="shared" si="44"/>
        <v/>
      </c>
      <c r="K365" s="60" t="str">
        <f t="shared" si="49"/>
        <v/>
      </c>
      <c r="L365" s="59" t="str">
        <f t="shared" si="45"/>
        <v/>
      </c>
      <c r="M365" s="60" t="str">
        <f t="shared" si="50"/>
        <v/>
      </c>
      <c r="N365" s="61">
        <v>66068309</v>
      </c>
      <c r="O365" s="61">
        <f t="shared" si="42"/>
        <v>0</v>
      </c>
      <c r="P365" s="80" t="s">
        <v>52</v>
      </c>
      <c r="Q365" s="81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4"/>
        <v/>
      </c>
      <c r="K366" s="60" t="str">
        <f t="shared" si="49"/>
        <v/>
      </c>
      <c r="L366" s="59" t="str">
        <f t="shared" si="45"/>
        <v/>
      </c>
      <c r="M366" s="60" t="str">
        <f t="shared" si="50"/>
        <v/>
      </c>
      <c r="N366" s="61">
        <v>66068309</v>
      </c>
      <c r="O366" s="61">
        <f t="shared" si="42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4"/>
        <v/>
      </c>
      <c r="J367" s="59" t="str">
        <f t="shared" si="44"/>
        <v/>
      </c>
      <c r="K367" s="60" t="str">
        <f t="shared" si="49"/>
        <v/>
      </c>
      <c r="L367" s="59" t="str">
        <f t="shared" si="45"/>
        <v/>
      </c>
      <c r="M367" s="60" t="str">
        <f t="shared" si="50"/>
        <v/>
      </c>
      <c r="N367" s="61">
        <v>66068309</v>
      </c>
      <c r="O367" s="61">
        <f t="shared" si="42"/>
        <v>0</v>
      </c>
      <c r="P367" s="85" t="s">
        <v>54</v>
      </c>
      <c r="Q367" s="86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4"/>
        <v/>
      </c>
      <c r="J368" s="90" t="str">
        <f t="shared" si="44"/>
        <v/>
      </c>
      <c r="K368" s="91" t="str">
        <f t="shared" si="49"/>
        <v/>
      </c>
      <c r="L368" s="90" t="str">
        <f t="shared" si="45"/>
        <v/>
      </c>
      <c r="M368" s="91" t="str">
        <f t="shared" si="50"/>
        <v/>
      </c>
      <c r="N368" s="92">
        <v>66068309</v>
      </c>
      <c r="O368" s="93">
        <f t="shared" si="42"/>
        <v>0</v>
      </c>
      <c r="P368" s="94">
        <f>(P366+Q364*SUM(S338:S368)*Q369)</f>
        <v>0</v>
      </c>
      <c r="Q368" s="95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5486339.9399999976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2021-08-09T07:07:44Z</dcterms:modified>
  <cp:category/>
  <cp:contentStatus/>
</cp:coreProperties>
</file>