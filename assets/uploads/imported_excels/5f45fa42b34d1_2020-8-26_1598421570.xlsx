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50" yWindow="825" windowWidth="14505" windowHeight="1024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9" i="1"/>
  <c r="D9"/>
  <c r="H6" i="77"/>
  <c r="G24" i="2" l="1"/>
  <c r="L22" i="1" l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29"/>
  <c r="J30" s="1"/>
  <c r="J31" s="1"/>
  <c r="J32" s="1"/>
  <c r="J33" s="1"/>
  <c r="J34" s="1"/>
  <c r="W26" s="1"/>
  <c r="H29"/>
  <c r="H30" s="1"/>
  <c r="H31" s="1"/>
  <c r="H32" s="1"/>
  <c r="H33" s="1"/>
  <c r="H34" s="1"/>
  <c r="F29"/>
  <c r="F30" s="1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8" s="1"/>
  <c r="R29" s="1"/>
  <c r="R30" s="1"/>
  <c r="R31" s="1"/>
  <c r="R32" s="1"/>
  <c r="R33" s="1"/>
  <c r="B16"/>
  <c r="B17" s="1"/>
  <c r="B28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8" s="1"/>
  <c r="D29" s="1"/>
  <c r="D30" s="1"/>
  <c r="D31" s="1"/>
  <c r="D32" s="1"/>
  <c r="D33" s="1"/>
  <c r="C13" i="76" l="1"/>
  <c r="AT19" i="5"/>
  <c r="AT21" s="1"/>
  <c r="AT27" s="1"/>
  <c r="AT28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31" s="1"/>
  <c r="AX32" s="1"/>
  <c r="AX33" s="1"/>
  <c r="AX34" s="1"/>
  <c r="AX35" s="1"/>
  <c r="AX36" s="1"/>
  <c r="AV19"/>
  <c r="AV25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5" s="1"/>
  <c r="AG26" s="1"/>
  <c r="AG27" s="1"/>
  <c r="AG29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5" s="1"/>
  <c r="AE26" s="1"/>
  <c r="AE27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4" s="1"/>
  <c r="Z25" s="1"/>
  <c r="Z26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4" s="1"/>
  <c r="X25" s="1"/>
  <c r="X26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6" s="1"/>
  <c r="AN28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30" s="1"/>
  <c r="C31" s="1"/>
  <c r="C32" s="1"/>
  <c r="C33" s="1"/>
  <c r="C34" s="1"/>
  <c r="C35" s="1"/>
  <c r="B17"/>
  <c r="B30" s="1"/>
  <c r="B31" s="1"/>
  <c r="B32" s="1"/>
  <c r="B33" s="1"/>
  <c r="B34" s="1"/>
  <c r="B35" s="1"/>
  <c r="Y6" i="2"/>
  <c r="Y11" s="1"/>
  <c r="Y16" s="1"/>
  <c r="Y17" s="1"/>
  <c r="Y18" s="1"/>
  <c r="Y20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28" s="1"/>
  <c r="U29" s="1"/>
  <c r="U30" s="1"/>
  <c r="U31" s="1"/>
  <c r="U32" s="1"/>
  <c r="U33" s="1"/>
  <c r="L28"/>
  <c r="L29" s="1"/>
  <c r="L30" s="1"/>
  <c r="L31" s="1"/>
  <c r="L32" s="1"/>
  <c r="L33" s="1"/>
  <c r="AC3"/>
  <c r="AC6" s="1"/>
  <c r="AC8" s="1"/>
  <c r="AC19" s="1"/>
  <c r="AC24" s="1"/>
  <c r="AC27" s="1"/>
  <c r="AC28" s="1"/>
  <c r="AC29" s="1"/>
  <c r="AC30" s="1"/>
  <c r="AC31" s="1"/>
  <c r="AC32" s="1"/>
  <c r="AC33" s="1"/>
  <c r="AA6"/>
  <c r="AA19" s="1"/>
  <c r="AA24" s="1"/>
  <c r="AA27" s="1"/>
  <c r="AA28" s="1"/>
  <c r="AA29" s="1"/>
  <c r="AA30" s="1"/>
  <c r="AA31" s="1"/>
  <c r="AA32" s="1"/>
  <c r="AA33" s="1"/>
  <c r="S6"/>
  <c r="S16" s="1"/>
  <c r="S28" s="1"/>
  <c r="S29" s="1"/>
  <c r="S30" s="1"/>
  <c r="S31" s="1"/>
  <c r="S32" s="1"/>
  <c r="S33" s="1"/>
  <c r="P6"/>
  <c r="P28" s="1"/>
  <c r="P29" s="1"/>
  <c r="P30" s="1"/>
  <c r="P31" s="1"/>
  <c r="P32" s="1"/>
  <c r="P33" s="1"/>
  <c r="J28"/>
  <c r="J29" s="1"/>
  <c r="J30" s="1"/>
  <c r="J31" s="1"/>
  <c r="J32" s="1"/>
  <c r="J33" s="1"/>
  <c r="H28"/>
  <c r="H29" s="1"/>
  <c r="H30" s="1"/>
  <c r="H31" s="1"/>
  <c r="H32" s="1"/>
  <c r="H33" s="1"/>
  <c r="F28"/>
  <c r="F29" s="1"/>
  <c r="F30" s="1"/>
  <c r="F31" s="1"/>
  <c r="F32" s="1"/>
  <c r="F33" s="1"/>
  <c r="D28"/>
  <c r="D29" s="1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K34" i="76"/>
  <c r="N34" s="1"/>
  <c r="G17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G34"/>
  <c r="L34" s="1"/>
  <c r="W28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30" i="76"/>
  <c r="F28" i="81" s="1"/>
  <c r="T29" i="76"/>
  <c r="F27" i="81" s="1"/>
  <c r="T33" i="76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T25" s="1"/>
  <c r="F23" i="81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T24" s="1"/>
  <c r="F22" i="81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AY31" i="7"/>
  <c r="Q27" i="76"/>
  <c r="R27" s="1"/>
  <c r="T27" s="1"/>
  <c r="F25" i="81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T28" s="1"/>
  <c r="F26" i="81" s="1"/>
  <c r="AY30" i="7"/>
  <c r="Q23" i="76"/>
  <c r="R23" s="1"/>
  <c r="T23" s="1"/>
  <c r="F21" i="81" s="1"/>
  <c r="AY25" i="7"/>
  <c r="AY28"/>
  <c r="Q26" i="76"/>
  <c r="R26" s="1"/>
  <c r="T26" s="1"/>
  <c r="F24" i="81" s="1"/>
  <c r="Q15" i="76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T22" s="1"/>
  <c r="F20" i="81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<sst xmlns="http://schemas.openxmlformats.org/spreadsheetml/2006/main" count="784" uniqueCount="418">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</sst>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1" fontId="0" fillId="31" borderId="7" xfId="0" applyNumberFormat="1" applyFill="1" applyBorder="1" applyAlignment="1">
      <alignment horizontal="left"/>
    </xf>
    <xf numFmtId="0" fontId="23" fillId="3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41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969984"/>
        <c:axId val="90971520"/>
      </c:lineChart>
      <c:catAx>
        <c:axId val="9096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71520"/>
        <c:crosses val="autoZero"/>
        <c:auto val="1"/>
        <c:lblAlgn val="ctr"/>
        <c:lblOffset val="100"/>
      </c:catAx>
      <c:valAx>
        <c:axId val="90971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333"/>
          <c:w val="0.11899800868449698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987904"/>
        <c:axId val="90989696"/>
      </c:lineChart>
      <c:catAx>
        <c:axId val="9098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9696"/>
        <c:crosses val="autoZero"/>
        <c:auto val="1"/>
        <c:lblAlgn val="ctr"/>
        <c:lblOffset val="100"/>
      </c:catAx>
      <c:valAx>
        <c:axId val="9098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16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005696"/>
        <c:axId val="91007232"/>
      </c:lineChart>
      <c:catAx>
        <c:axId val="9100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7232"/>
        <c:crosses val="autoZero"/>
        <c:auto val="1"/>
        <c:lblAlgn val="ctr"/>
        <c:lblOffset val="100"/>
      </c:catAx>
      <c:valAx>
        <c:axId val="91007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971"/>
          <c:y val="0.62975887529635333"/>
          <c:w val="7.9124755870162669E-2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793856"/>
        <c:axId val="90795392"/>
      </c:lineChart>
      <c:catAx>
        <c:axId val="9079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5392"/>
        <c:crosses val="autoZero"/>
        <c:auto val="1"/>
        <c:lblAlgn val="ctr"/>
        <c:lblOffset val="100"/>
      </c:catAx>
      <c:valAx>
        <c:axId val="90795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2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811392"/>
        <c:axId val="91161344"/>
      </c:lineChart>
      <c:catAx>
        <c:axId val="908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61344"/>
        <c:crosses val="autoZero"/>
        <c:auto val="1"/>
        <c:lblAlgn val="ctr"/>
        <c:lblOffset val="100"/>
      </c:catAx>
      <c:valAx>
        <c:axId val="91161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2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443968"/>
        <c:axId val="91445504"/>
      </c:lineChart>
      <c:catAx>
        <c:axId val="9144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45504"/>
        <c:crosses val="autoZero"/>
        <c:auto val="1"/>
        <c:lblAlgn val="ctr"/>
        <c:lblOffset val="100"/>
      </c:catAx>
      <c:valAx>
        <c:axId val="9144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4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486080"/>
        <c:axId val="91487616"/>
      </c:lineChart>
      <c:catAx>
        <c:axId val="9148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7616"/>
        <c:crosses val="autoZero"/>
        <c:auto val="1"/>
        <c:lblAlgn val="ctr"/>
        <c:lblOffset val="100"/>
      </c:catAx>
      <c:valAx>
        <c:axId val="9148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568768"/>
        <c:axId val="91578752"/>
      </c:lineChart>
      <c:catAx>
        <c:axId val="915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78752"/>
        <c:crosses val="autoZero"/>
        <c:auto val="1"/>
        <c:lblAlgn val="ctr"/>
        <c:lblOffset val="100"/>
      </c:catAx>
      <c:valAx>
        <c:axId val="9157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619328"/>
        <c:axId val="91620864"/>
      </c:lineChart>
      <c:catAx>
        <c:axId val="9161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0864"/>
        <c:crosses val="autoZero"/>
        <c:auto val="1"/>
        <c:lblAlgn val="ctr"/>
        <c:lblOffset val="100"/>
      </c:catAx>
      <c:valAx>
        <c:axId val="9162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1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975"/>
          <c:w val="0.127240331517723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653248"/>
        <c:axId val="91654784"/>
      </c:lineChart>
      <c:catAx>
        <c:axId val="9165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4784"/>
        <c:crosses val="autoZero"/>
        <c:auto val="1"/>
        <c:lblAlgn val="ctr"/>
        <c:lblOffset val="100"/>
      </c:catAx>
      <c:valAx>
        <c:axId val="9165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291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764992"/>
        <c:axId val="91766784"/>
      </c:lineChart>
      <c:catAx>
        <c:axId val="917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6784"/>
        <c:crosses val="autoZero"/>
        <c:auto val="1"/>
        <c:lblAlgn val="ctr"/>
        <c:lblOffset val="100"/>
      </c:catAx>
      <c:valAx>
        <c:axId val="9176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975"/>
          <c:w val="0.135416885389347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60</c:v>
                </c:pt>
                <c:pt idx="21">
                  <c:v>0</c:v>
                </c:pt>
                <c:pt idx="22">
                  <c:v>30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778432"/>
        <c:axId val="91804800"/>
      </c:lineChart>
      <c:catAx>
        <c:axId val="9177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04800"/>
        <c:crosses val="autoZero"/>
        <c:auto val="1"/>
        <c:lblAlgn val="ctr"/>
        <c:lblOffset val="100"/>
      </c:catAx>
      <c:valAx>
        <c:axId val="91804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7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97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706496"/>
        <c:axId val="91708032"/>
      </c:lineChart>
      <c:catAx>
        <c:axId val="9170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8032"/>
        <c:crosses val="autoZero"/>
        <c:auto val="1"/>
        <c:lblAlgn val="ctr"/>
        <c:lblOffset val="100"/>
      </c:catAx>
      <c:valAx>
        <c:axId val="91708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333"/>
          <c:w val="0.12291688538932598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732224"/>
        <c:axId val="91742208"/>
      </c:lineChart>
      <c:catAx>
        <c:axId val="9173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2208"/>
        <c:crosses val="autoZero"/>
        <c:auto val="1"/>
        <c:lblAlgn val="ctr"/>
        <c:lblOffset val="100"/>
      </c:catAx>
      <c:valAx>
        <c:axId val="9174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975"/>
          <c:w val="0.135416885389347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749760"/>
        <c:axId val="91841664"/>
      </c:lineChart>
      <c:catAx>
        <c:axId val="917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41664"/>
        <c:crosses val="autoZero"/>
        <c:auto val="1"/>
        <c:lblAlgn val="ctr"/>
        <c:lblOffset val="100"/>
      </c:catAx>
      <c:valAx>
        <c:axId val="91841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951"/>
          <c:y val="0.54325368498487869"/>
          <c:w val="0.11458355205599259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-4662.5451612903125</c:v>
                </c:pt>
                <c:pt idx="5">
                  <c:v>-447.6806451612938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-1226.7096774193487</c:v>
                </c:pt>
                <c:pt idx="19">
                  <c:v>-613.3548387096962</c:v>
                </c:pt>
                <c:pt idx="20">
                  <c:v>-920.03225806452974</c:v>
                </c:pt>
                <c:pt idx="21">
                  <c:v>-271.67741935481899</c:v>
                </c:pt>
                <c:pt idx="22">
                  <c:v>-341.6774193548481</c:v>
                </c:pt>
                <c:pt idx="23">
                  <c:v>-613.35483870966709</c:v>
                </c:pt>
                <c:pt idx="24">
                  <c:v>-613.35483870966709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865856"/>
        <c:axId val="91867392"/>
      </c:lineChart>
      <c:catAx>
        <c:axId val="9186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7392"/>
        <c:crosses val="autoZero"/>
        <c:auto val="1"/>
        <c:lblAlgn val="ctr"/>
        <c:lblOffset val="100"/>
      </c:catAx>
      <c:valAx>
        <c:axId val="9186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35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896064"/>
        <c:axId val="91910144"/>
      </c:lineChart>
      <c:catAx>
        <c:axId val="9189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0144"/>
        <c:crosses val="autoZero"/>
        <c:auto val="1"/>
        <c:lblAlgn val="ctr"/>
        <c:lblOffset val="100"/>
      </c:catAx>
      <c:valAx>
        <c:axId val="9191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333"/>
          <c:w val="0.13541688538934743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925888"/>
        <c:axId val="91944064"/>
      </c:lineChart>
      <c:catAx>
        <c:axId val="9192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4064"/>
        <c:crosses val="autoZero"/>
        <c:auto val="1"/>
        <c:lblAlgn val="ctr"/>
        <c:lblOffset val="100"/>
      </c:catAx>
      <c:valAx>
        <c:axId val="919440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333"/>
          <c:w val="9.730870597697025E-2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69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984640"/>
        <c:axId val="91986176"/>
      </c:lineChart>
      <c:catAx>
        <c:axId val="919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6176"/>
        <c:crosses val="autoZero"/>
        <c:auto val="1"/>
        <c:lblAlgn val="ctr"/>
        <c:lblOffset val="100"/>
      </c:catAx>
      <c:valAx>
        <c:axId val="91986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53728"/>
        <c:axId val="92155264"/>
      </c:lineChart>
      <c:catAx>
        <c:axId val="9215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55264"/>
        <c:crosses val="autoZero"/>
        <c:auto val="1"/>
        <c:lblAlgn val="ctr"/>
        <c:lblOffset val="100"/>
      </c:catAx>
      <c:valAx>
        <c:axId val="9215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5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189"/>
          <c:y val="0.62975887529635333"/>
          <c:w val="0.13250539334757044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75360"/>
        <c:axId val="92177152"/>
      </c:lineChart>
      <c:catAx>
        <c:axId val="9217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7152"/>
        <c:crosses val="autoZero"/>
        <c:auto val="1"/>
        <c:lblAlgn val="ctr"/>
        <c:lblOffset val="100"/>
      </c:catAx>
      <c:valAx>
        <c:axId val="9217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97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21824"/>
        <c:axId val="92223360"/>
      </c:lineChart>
      <c:catAx>
        <c:axId val="9222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23360"/>
        <c:crosses val="autoZero"/>
        <c:auto val="1"/>
        <c:lblAlgn val="ctr"/>
        <c:lblOffset val="100"/>
      </c:catAx>
      <c:valAx>
        <c:axId val="9222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2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235"/>
          <c:w val="0.123431181980925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-109.8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244.99999999999989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2252416"/>
        <c:axId val="92258304"/>
      </c:lineChart>
      <c:catAx>
        <c:axId val="92252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8304"/>
        <c:crosses val="autoZero"/>
        <c:auto val="1"/>
        <c:lblAlgn val="ctr"/>
        <c:lblOffset val="100"/>
      </c:catAx>
      <c:valAx>
        <c:axId val="92258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407"/>
          <c:w val="0.1569039853282121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69568"/>
        <c:axId val="92091136"/>
      </c:lineChart>
      <c:catAx>
        <c:axId val="9226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1136"/>
        <c:crosses val="autoZero"/>
        <c:auto val="1"/>
        <c:lblAlgn val="ctr"/>
        <c:lblOffset val="100"/>
      </c:catAx>
      <c:valAx>
        <c:axId val="92091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6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333"/>
          <c:w val="0.14853578449139634"/>
          <c:h val="4.49826989619457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328704"/>
        <c:axId val="92330240"/>
      </c:lineChart>
      <c:catAx>
        <c:axId val="923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0240"/>
        <c:crosses val="autoZero"/>
        <c:auto val="1"/>
        <c:lblAlgn val="ctr"/>
        <c:lblOffset val="100"/>
      </c:catAx>
      <c:valAx>
        <c:axId val="9233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454"/>
          <c:y val="0.62975887529635333"/>
          <c:w val="0.12164948453608219"/>
          <c:h val="4.49826989619457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789376"/>
        <c:axId val="92602752"/>
      </c:lineChart>
      <c:catAx>
        <c:axId val="9278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02752"/>
        <c:crosses val="autoZero"/>
        <c:auto val="1"/>
        <c:lblAlgn val="ctr"/>
        <c:lblOffset val="100"/>
      </c:catAx>
      <c:valAx>
        <c:axId val="9260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930048"/>
        <c:axId val="92931584"/>
      </c:lineChart>
      <c:catAx>
        <c:axId val="929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1584"/>
        <c:crosses val="autoZero"/>
        <c:auto val="1"/>
        <c:lblAlgn val="ctr"/>
        <c:lblOffset val="100"/>
      </c:catAx>
      <c:valAx>
        <c:axId val="9293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7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-109.8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244.99999999999989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3128960"/>
        <c:axId val="93143040"/>
      </c:lineChart>
      <c:catAx>
        <c:axId val="93128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3040"/>
        <c:crosses val="autoZero"/>
        <c:auto val="1"/>
        <c:lblAlgn val="ctr"/>
        <c:lblOffset val="100"/>
      </c:catAx>
      <c:valAx>
        <c:axId val="93143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4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0"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0.14169331725082723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9.350129446123169E-2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9.9111563454402196E-2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5.6198595870995953E-2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0.25418463261771201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5.7521240832599803E-2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-5.0582149072980684E-2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0.10670625851495082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9.0799527405864153E-2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7.6332932208020329E-2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7.8118486512758253E-2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0.13384233446900548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4.2552032441163207E-2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0.10254636746055228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0.10302505357673204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6.4377940890199034E-2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7.8755355316841677E-2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5.7371984224647066E-2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13057</v>
      </c>
      <c r="F20" s="338">
        <f>SUM('EDl log'!T22)</f>
        <v>8.4062699749006375E-2</v>
      </c>
      <c r="G20" s="206">
        <f>-tanks!AW24</f>
        <v>291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11496</v>
      </c>
      <c r="F21" s="338">
        <f>SUM('EDl log'!T23)</f>
        <v>7.3102590406274662E-2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9977</v>
      </c>
      <c r="F22" s="338">
        <f>SUM('EDl log'!T24)</f>
        <v>0.10063949319004112</v>
      </c>
      <c r="G22" s="206">
        <f>-tanks!AW26</f>
        <v>0</v>
      </c>
      <c r="H22" s="338">
        <f>SUM(tanks!AV26)</f>
        <v>0.53500000000000003</v>
      </c>
      <c r="I22" s="10">
        <f>('B5'!AU25)*0.51</f>
        <v>30.6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9301</v>
      </c>
      <c r="F23" s="338">
        <f>SUM('EDl log'!T25)</f>
        <v>6.9376742268586478E-2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10003</v>
      </c>
      <c r="F24" s="338">
        <f>SUM('EDl log'!T26)</f>
        <v>3.7221970580236123E-2</v>
      </c>
      <c r="G24" s="206">
        <f>-tanks!AW28</f>
        <v>282</v>
      </c>
      <c r="H24" s="338">
        <f>SUM(tanks!AV28)</f>
        <v>0.53500000000000003</v>
      </c>
      <c r="I24" s="10">
        <f>('B5'!AU27)*0.51</f>
        <v>15.3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10040</v>
      </c>
      <c r="F25" s="338">
        <f>SUM('EDl log'!T27)</f>
        <v>0.10008945804249705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10187</v>
      </c>
      <c r="F26" s="338">
        <f>SUM('EDl log'!T28)</f>
        <v>8.4452706156766033E-2</v>
      </c>
      <c r="G26" s="206">
        <f>-tanks!AW30</f>
        <v>0</v>
      </c>
      <c r="H26" s="338">
        <f>SUM(tanks!AV30)</f>
        <v>0.53500000000000003</v>
      </c>
      <c r="I26" s="10">
        <f>('B5'!AU29)*0.51</f>
        <v>45.9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R11" sqref="Q11:R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4498</v>
      </c>
      <c r="F20" s="206">
        <f>ELEC!K21</f>
        <v>1028</v>
      </c>
      <c r="G20" s="206">
        <f>ELEC!I21</f>
        <v>1580</v>
      </c>
      <c r="H20" s="206">
        <f>ELEC!E21</f>
        <v>4758</v>
      </c>
      <c r="I20" s="206">
        <f>ELEC!G21</f>
        <v>1193</v>
      </c>
      <c r="J20" s="206">
        <f>WATER!Y24</f>
        <v>18</v>
      </c>
      <c r="K20" s="206">
        <f>WATER!AJ24</f>
        <v>65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5056</v>
      </c>
      <c r="F21" s="206">
        <f>ELEC!K22</f>
        <v>926</v>
      </c>
      <c r="G21" s="206">
        <f>ELEC!I22</f>
        <v>1226</v>
      </c>
      <c r="H21" s="206">
        <f>ELEC!E22</f>
        <v>3352</v>
      </c>
      <c r="I21" s="206">
        <f>ELEC!G22</f>
        <v>936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3432</v>
      </c>
      <c r="F22" s="206">
        <f>ELEC!K23</f>
        <v>780</v>
      </c>
      <c r="G22" s="206">
        <f>ELEC!I23</f>
        <v>1020</v>
      </c>
      <c r="H22" s="206">
        <f>ELEC!E23</f>
        <v>3814</v>
      </c>
      <c r="I22" s="206">
        <f>ELEC!G23</f>
        <v>931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2980</v>
      </c>
      <c r="F23" s="206">
        <f>ELEC!K24</f>
        <v>802</v>
      </c>
      <c r="G23" s="206">
        <f>ELEC!I24</f>
        <v>1122</v>
      </c>
      <c r="H23" s="206">
        <f>ELEC!E24</f>
        <v>3490</v>
      </c>
      <c r="I23" s="206">
        <f>ELEC!G24</f>
        <v>907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3770</v>
      </c>
      <c r="F24" s="206">
        <f>ELEC!K25</f>
        <v>914</v>
      </c>
      <c r="G24" s="206">
        <f>ELEC!I25</f>
        <v>1066</v>
      </c>
      <c r="H24" s="206">
        <f>ELEC!E25</f>
        <v>3311</v>
      </c>
      <c r="I24" s="206">
        <f>ELEC!G25</f>
        <v>942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3770</v>
      </c>
      <c r="F25" s="206">
        <f>ELEC!K26</f>
        <v>914</v>
      </c>
      <c r="G25" s="206">
        <f>ELEC!I26</f>
        <v>1062</v>
      </c>
      <c r="H25" s="206">
        <f>ELEC!E26</f>
        <v>3351</v>
      </c>
      <c r="I25" s="206">
        <f>ELEC!G26</f>
        <v>943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4320</v>
      </c>
      <c r="F26" s="206">
        <f>ELEC!K27</f>
        <v>928</v>
      </c>
      <c r="G26" s="206">
        <f>ELEC!I27</f>
        <v>914</v>
      </c>
      <c r="H26" s="206">
        <f>ELEC!E27</f>
        <v>3076</v>
      </c>
      <c r="I26" s="206">
        <f>ELEC!G27</f>
        <v>949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V1" zoomScale="85" zoomScaleNormal="85" zoomScaleSheetLayoutView="100" workbookViewId="0">
      <pane ySplit="1" topLeftCell="A27" activePane="bottomLeft" state="frozen"/>
      <selection activeCell="C1" sqref="C1"/>
      <selection pane="bottomLeft" activeCell="AC27" sqref="AC27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598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v>32131094</v>
      </c>
      <c r="E21" s="319">
        <f t="shared" si="9"/>
        <v>4758</v>
      </c>
      <c r="F21" s="600">
        <v>3834106</v>
      </c>
      <c r="G21" s="320">
        <f t="shared" si="0"/>
        <v>1193</v>
      </c>
      <c r="H21" s="458">
        <v>17628254</v>
      </c>
      <c r="I21" s="320">
        <f t="shared" si="10"/>
        <v>1580</v>
      </c>
      <c r="J21" s="600">
        <v>28681958</v>
      </c>
      <c r="K21" s="320">
        <f t="shared" si="11"/>
        <v>1028</v>
      </c>
      <c r="L21" s="458">
        <v>23530890</v>
      </c>
      <c r="M21" s="320">
        <f t="shared" si="12"/>
        <v>4498</v>
      </c>
      <c r="N21" s="318">
        <f t="shared" si="13"/>
        <v>13057</v>
      </c>
      <c r="O21" s="480">
        <f t="shared" si="22"/>
        <v>0</v>
      </c>
      <c r="P21" s="600">
        <v>16242</v>
      </c>
      <c r="Q21" s="462">
        <f>(P21-P20)*1000</f>
        <v>2000</v>
      </c>
      <c r="R21" s="462">
        <f t="shared" si="19"/>
        <v>11057</v>
      </c>
      <c r="S21" s="458">
        <v>9393</v>
      </c>
      <c r="T21" s="482">
        <f t="shared" si="3"/>
        <v>9</v>
      </c>
      <c r="U21" s="600">
        <v>260900</v>
      </c>
      <c r="V21" s="462">
        <f t="shared" si="14"/>
        <v>2036</v>
      </c>
      <c r="W21" s="458">
        <v>32049</v>
      </c>
      <c r="X21" s="462">
        <f t="shared" si="21"/>
        <v>0</v>
      </c>
      <c r="Y21" s="600">
        <v>673052</v>
      </c>
      <c r="Z21" s="462">
        <f t="shared" si="20"/>
        <v>0</v>
      </c>
      <c r="AA21" s="458">
        <v>35487</v>
      </c>
      <c r="AB21" s="462">
        <f t="shared" si="16"/>
        <v>5</v>
      </c>
      <c r="AC21" s="600">
        <v>872887</v>
      </c>
      <c r="AD21" s="462">
        <f t="shared" si="25"/>
        <v>1094</v>
      </c>
      <c r="AE21" s="485">
        <f t="shared" si="7"/>
        <v>14</v>
      </c>
      <c r="AF21" s="486">
        <f t="shared" si="8"/>
        <v>3130</v>
      </c>
      <c r="AG21" s="478">
        <f t="shared" si="23"/>
        <v>223.57142857142858</v>
      </c>
      <c r="AI21" s="479">
        <f>R21-'EDl log'!B19</f>
        <v>-269881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v>32134446</v>
      </c>
      <c r="E22" s="319">
        <f t="shared" si="9"/>
        <v>3352</v>
      </c>
      <c r="F22" s="600">
        <v>3835042</v>
      </c>
      <c r="G22" s="320">
        <f t="shared" si="0"/>
        <v>936</v>
      </c>
      <c r="H22" s="458">
        <v>17629480</v>
      </c>
      <c r="I22" s="320">
        <f t="shared" si="10"/>
        <v>1226</v>
      </c>
      <c r="J22" s="600">
        <v>28682884</v>
      </c>
      <c r="K22" s="320">
        <f t="shared" si="11"/>
        <v>926</v>
      </c>
      <c r="L22" s="458">
        <v>23535946</v>
      </c>
      <c r="M22" s="320">
        <f t="shared" si="12"/>
        <v>5056</v>
      </c>
      <c r="N22" s="318">
        <f t="shared" si="13"/>
        <v>11496</v>
      </c>
      <c r="O22" s="480">
        <f t="shared" si="22"/>
        <v>0</v>
      </c>
      <c r="P22" s="600">
        <v>16244</v>
      </c>
      <c r="Q22" s="462">
        <f t="shared" si="24"/>
        <v>2000</v>
      </c>
      <c r="R22" s="462">
        <f t="shared" si="19"/>
        <v>9496</v>
      </c>
      <c r="S22" s="458">
        <v>9404</v>
      </c>
      <c r="T22" s="482">
        <f t="shared" si="3"/>
        <v>11</v>
      </c>
      <c r="U22" s="600">
        <v>263443</v>
      </c>
      <c r="V22" s="462">
        <f t="shared" si="14"/>
        <v>2543</v>
      </c>
      <c r="W22" s="458">
        <f t="shared" si="15"/>
        <v>32049</v>
      </c>
      <c r="X22" s="462">
        <f t="shared" si="21"/>
        <v>0</v>
      </c>
      <c r="Y22" s="600">
        <v>673052</v>
      </c>
      <c r="Z22" s="462">
        <f t="shared" si="20"/>
        <v>0</v>
      </c>
      <c r="AA22" s="458">
        <v>35487</v>
      </c>
      <c r="AB22" s="462">
        <f t="shared" si="16"/>
        <v>0</v>
      </c>
      <c r="AC22" s="600">
        <v>872887</v>
      </c>
      <c r="AD22" s="462">
        <f t="shared" si="25"/>
        <v>0</v>
      </c>
      <c r="AE22" s="485">
        <f t="shared" si="7"/>
        <v>11</v>
      </c>
      <c r="AF22" s="486">
        <f t="shared" si="8"/>
        <v>2543</v>
      </c>
      <c r="AG22" s="478">
        <f t="shared" si="23"/>
        <v>231.18181818181819</v>
      </c>
      <c r="AI22" s="479">
        <f>R22-'EDl log'!B20</f>
        <v>-276578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v>32138260</v>
      </c>
      <c r="E23" s="319">
        <f t="shared" si="9"/>
        <v>3814</v>
      </c>
      <c r="F23" s="600">
        <v>3835973</v>
      </c>
      <c r="G23" s="320">
        <f t="shared" si="0"/>
        <v>931</v>
      </c>
      <c r="H23" s="458">
        <v>17630500</v>
      </c>
      <c r="I23" s="451">
        <f t="shared" si="10"/>
        <v>1020</v>
      </c>
      <c r="J23" s="600">
        <v>28683664</v>
      </c>
      <c r="K23" s="320">
        <f t="shared" si="11"/>
        <v>780</v>
      </c>
      <c r="L23" s="458">
        <v>23539378</v>
      </c>
      <c r="M23" s="320">
        <f t="shared" si="12"/>
        <v>3432</v>
      </c>
      <c r="N23" s="318">
        <f t="shared" si="13"/>
        <v>9977</v>
      </c>
      <c r="O23" s="480">
        <f t="shared" si="22"/>
        <v>0</v>
      </c>
      <c r="P23" s="600">
        <v>16246</v>
      </c>
      <c r="Q23" s="462">
        <f t="shared" si="24"/>
        <v>2000</v>
      </c>
      <c r="R23" s="462">
        <f t="shared" si="19"/>
        <v>7977</v>
      </c>
      <c r="S23" s="458">
        <v>9412</v>
      </c>
      <c r="T23" s="482">
        <f t="shared" si="3"/>
        <v>8</v>
      </c>
      <c r="U23" s="600">
        <v>264431</v>
      </c>
      <c r="V23" s="462">
        <f t="shared" si="14"/>
        <v>988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v>35492</v>
      </c>
      <c r="AB23" s="462">
        <f t="shared" si="16"/>
        <v>5</v>
      </c>
      <c r="AC23" s="600">
        <v>874222</v>
      </c>
      <c r="AD23" s="462">
        <f t="shared" si="25"/>
        <v>1335</v>
      </c>
      <c r="AE23" s="485">
        <f t="shared" si="7"/>
        <v>13</v>
      </c>
      <c r="AF23" s="486">
        <f t="shared" si="8"/>
        <v>2323</v>
      </c>
      <c r="AG23" s="478">
        <f t="shared" si="23"/>
        <v>178.69230769230768</v>
      </c>
      <c r="AI23" s="479">
        <f>R23-'EDl log'!B21</f>
        <v>-284006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v>32141750</v>
      </c>
      <c r="E24" s="319">
        <f t="shared" si="9"/>
        <v>3490</v>
      </c>
      <c r="F24" s="458">
        <v>3836880</v>
      </c>
      <c r="G24" s="320">
        <f t="shared" si="0"/>
        <v>907</v>
      </c>
      <c r="H24" s="458">
        <v>17631622</v>
      </c>
      <c r="I24" s="320">
        <f t="shared" si="10"/>
        <v>1122</v>
      </c>
      <c r="J24" s="458">
        <v>28684466</v>
      </c>
      <c r="K24" s="320">
        <f t="shared" si="11"/>
        <v>802</v>
      </c>
      <c r="L24" s="458">
        <v>23542358</v>
      </c>
      <c r="M24" s="320">
        <f t="shared" si="12"/>
        <v>2980</v>
      </c>
      <c r="N24" s="318">
        <f t="shared" si="13"/>
        <v>9301</v>
      </c>
      <c r="O24" s="480">
        <f t="shared" si="22"/>
        <v>0</v>
      </c>
      <c r="P24" s="458">
        <v>16247</v>
      </c>
      <c r="Q24" s="462">
        <f t="shared" si="24"/>
        <v>1000</v>
      </c>
      <c r="R24" s="462">
        <f t="shared" si="19"/>
        <v>8301</v>
      </c>
      <c r="S24" s="458">
        <v>9413</v>
      </c>
      <c r="T24" s="482">
        <f t="shared" si="3"/>
        <v>1</v>
      </c>
      <c r="U24" s="458">
        <v>265362</v>
      </c>
      <c r="V24" s="462">
        <f t="shared" si="14"/>
        <v>931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35492</v>
      </c>
      <c r="AB24" s="462">
        <f t="shared" si="16"/>
        <v>0</v>
      </c>
      <c r="AC24" s="458">
        <f t="shared" si="15"/>
        <v>874222</v>
      </c>
      <c r="AD24" s="462">
        <f t="shared" si="25"/>
        <v>0</v>
      </c>
      <c r="AE24" s="485">
        <f t="shared" si="7"/>
        <v>1</v>
      </c>
      <c r="AF24" s="486">
        <f t="shared" si="8"/>
        <v>931</v>
      </c>
      <c r="AG24" s="478">
        <f t="shared" si="23"/>
        <v>931</v>
      </c>
      <c r="AI24" s="479">
        <f>R24-'EDl log'!B22</f>
        <v>-289296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v>32145061</v>
      </c>
      <c r="E25" s="319">
        <f t="shared" si="9"/>
        <v>3311</v>
      </c>
      <c r="F25" s="600">
        <v>3837822</v>
      </c>
      <c r="G25" s="320">
        <f t="shared" si="0"/>
        <v>942</v>
      </c>
      <c r="H25" s="458">
        <v>17632688</v>
      </c>
      <c r="I25" s="320">
        <f t="shared" si="10"/>
        <v>1066</v>
      </c>
      <c r="J25" s="600">
        <v>28685380</v>
      </c>
      <c r="K25" s="320">
        <f t="shared" si="11"/>
        <v>914</v>
      </c>
      <c r="L25" s="458">
        <v>23546128</v>
      </c>
      <c r="M25" s="320">
        <f t="shared" si="12"/>
        <v>3770</v>
      </c>
      <c r="N25" s="318">
        <f t="shared" si="13"/>
        <v>10003</v>
      </c>
      <c r="O25" s="480">
        <f t="shared" si="22"/>
        <v>0</v>
      </c>
      <c r="P25" s="600">
        <v>16248</v>
      </c>
      <c r="Q25" s="462">
        <f t="shared" si="24"/>
        <v>1000</v>
      </c>
      <c r="R25" s="487">
        <f>N25-Q25</f>
        <v>9003</v>
      </c>
      <c r="S25" s="458">
        <v>9420</v>
      </c>
      <c r="T25" s="482">
        <f t="shared" si="3"/>
        <v>7</v>
      </c>
      <c r="U25" s="600">
        <v>266936</v>
      </c>
      <c r="V25" s="462">
        <f t="shared" si="14"/>
        <v>1574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v>35492</v>
      </c>
      <c r="AB25" s="462">
        <f t="shared" si="16"/>
        <v>0</v>
      </c>
      <c r="AC25" s="600">
        <v>874222</v>
      </c>
      <c r="AD25" s="462">
        <f t="shared" si="25"/>
        <v>0</v>
      </c>
      <c r="AE25" s="485">
        <f t="shared" si="7"/>
        <v>7</v>
      </c>
      <c r="AF25" s="486">
        <f t="shared" si="8"/>
        <v>1574</v>
      </c>
      <c r="AG25" s="478">
        <f t="shared" si="23"/>
        <v>224.85714285714286</v>
      </c>
      <c r="AI25" s="479">
        <f>R25-'EDl log'!B23</f>
        <v>-293551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v>32148412</v>
      </c>
      <c r="E26" s="319">
        <f t="shared" si="9"/>
        <v>3351</v>
      </c>
      <c r="F26" s="600">
        <v>3838765</v>
      </c>
      <c r="G26" s="320">
        <f t="shared" si="0"/>
        <v>943</v>
      </c>
      <c r="H26" s="458">
        <v>17633750</v>
      </c>
      <c r="I26" s="320">
        <f t="shared" si="10"/>
        <v>1062</v>
      </c>
      <c r="J26" s="600">
        <v>28686294</v>
      </c>
      <c r="K26" s="320">
        <f t="shared" si="11"/>
        <v>914</v>
      </c>
      <c r="L26" s="458">
        <v>23549898</v>
      </c>
      <c r="M26" s="320">
        <f t="shared" si="12"/>
        <v>3770</v>
      </c>
      <c r="N26" s="318">
        <f t="shared" si="13"/>
        <v>10040</v>
      </c>
      <c r="O26" s="480">
        <f t="shared" si="22"/>
        <v>0</v>
      </c>
      <c r="P26" s="600">
        <v>16250</v>
      </c>
      <c r="Q26" s="462">
        <f t="shared" si="24"/>
        <v>2000</v>
      </c>
      <c r="R26" s="487">
        <f>N26-Q26</f>
        <v>8040</v>
      </c>
      <c r="S26" s="458">
        <v>9427</v>
      </c>
      <c r="T26" s="482">
        <f t="shared" si="3"/>
        <v>7</v>
      </c>
      <c r="U26" s="600">
        <v>268571</v>
      </c>
      <c r="V26" s="462">
        <f t="shared" si="14"/>
        <v>1635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v>35494</v>
      </c>
      <c r="AB26" s="462">
        <f t="shared" si="16"/>
        <v>2</v>
      </c>
      <c r="AC26" s="600">
        <v>874663</v>
      </c>
      <c r="AD26" s="462">
        <f t="shared" si="25"/>
        <v>441</v>
      </c>
      <c r="AE26" s="485">
        <f t="shared" si="7"/>
        <v>9</v>
      </c>
      <c r="AF26" s="486">
        <f t="shared" si="8"/>
        <v>2076</v>
      </c>
      <c r="AG26" s="478">
        <f t="shared" si="23"/>
        <v>230.66666666666666</v>
      </c>
      <c r="AI26" s="479">
        <f>R26-'EDl log'!B24</f>
        <v>-298769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v>32151488</v>
      </c>
      <c r="E27" s="319">
        <f t="shared" si="9"/>
        <v>3076</v>
      </c>
      <c r="F27" s="600">
        <v>3839714</v>
      </c>
      <c r="G27" s="320">
        <f>F27-F26</f>
        <v>949</v>
      </c>
      <c r="H27" s="458">
        <v>17634664</v>
      </c>
      <c r="I27" s="320">
        <f t="shared" si="10"/>
        <v>914</v>
      </c>
      <c r="J27" s="600">
        <v>28687222</v>
      </c>
      <c r="K27" s="320">
        <f t="shared" si="11"/>
        <v>928</v>
      </c>
      <c r="L27" s="458">
        <v>23554218</v>
      </c>
      <c r="M27" s="320">
        <f t="shared" si="12"/>
        <v>4320</v>
      </c>
      <c r="N27" s="318">
        <f t="shared" si="13"/>
        <v>10187</v>
      </c>
      <c r="O27" s="480">
        <f t="shared" si="22"/>
        <v>0</v>
      </c>
      <c r="P27" s="600">
        <v>16252</v>
      </c>
      <c r="Q27" s="462">
        <f t="shared" si="24"/>
        <v>2000</v>
      </c>
      <c r="R27" s="462">
        <f t="shared" si="19"/>
        <v>8187</v>
      </c>
      <c r="S27" s="458">
        <v>9436</v>
      </c>
      <c r="T27" s="482">
        <f t="shared" si="3"/>
        <v>9</v>
      </c>
      <c r="U27" s="600">
        <v>270917</v>
      </c>
      <c r="V27" s="462">
        <f t="shared" si="14"/>
        <v>2346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35494</v>
      </c>
      <c r="AB27" s="462">
        <f t="shared" si="16"/>
        <v>0</v>
      </c>
      <c r="AC27" s="458">
        <f t="shared" si="15"/>
        <v>874663</v>
      </c>
      <c r="AD27" s="462">
        <f t="shared" si="25"/>
        <v>0</v>
      </c>
      <c r="AE27" s="485">
        <f t="shared" si="7"/>
        <v>9</v>
      </c>
      <c r="AF27" s="486">
        <f t="shared" si="8"/>
        <v>2346</v>
      </c>
      <c r="AG27" s="478">
        <f t="shared" si="23"/>
        <v>260.66666666666669</v>
      </c>
      <c r="AI27" s="479">
        <f>R27-'EDl log'!B25</f>
        <v>-303149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ref="D28:D33" si="26">D27</f>
        <v>32151488</v>
      </c>
      <c r="E28" s="319">
        <f t="shared" si="9"/>
        <v>0</v>
      </c>
      <c r="F28" s="458">
        <f t="shared" ref="F28:L33" si="27">F27</f>
        <v>3839714</v>
      </c>
      <c r="G28" s="320">
        <f t="shared" si="0"/>
        <v>0</v>
      </c>
      <c r="H28" s="458">
        <f t="shared" si="27"/>
        <v>17634664</v>
      </c>
      <c r="I28" s="320">
        <f t="shared" si="10"/>
        <v>0</v>
      </c>
      <c r="J28" s="458">
        <f t="shared" si="27"/>
        <v>28687222</v>
      </c>
      <c r="K28" s="320">
        <f t="shared" si="11"/>
        <v>0</v>
      </c>
      <c r="L28" s="458">
        <f t="shared" si="27"/>
        <v>23554218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16252</v>
      </c>
      <c r="Q28" s="462">
        <f t="shared" si="24"/>
        <v>0</v>
      </c>
      <c r="R28" s="462">
        <f>N28-Q28</f>
        <v>0</v>
      </c>
      <c r="S28" s="458">
        <f t="shared" si="15"/>
        <v>9436</v>
      </c>
      <c r="T28" s="482">
        <f t="shared" si="3"/>
        <v>0</v>
      </c>
      <c r="U28" s="458">
        <f t="shared" si="15"/>
        <v>270917</v>
      </c>
      <c r="V28" s="462">
        <f t="shared" si="14"/>
        <v>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f t="shared" si="15"/>
        <v>35494</v>
      </c>
      <c r="AB28" s="462">
        <f t="shared" si="16"/>
        <v>0</v>
      </c>
      <c r="AC28" s="458">
        <f t="shared" si="15"/>
        <v>874663</v>
      </c>
      <c r="AD28" s="462">
        <f t="shared" si="25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-315584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6"/>
        <v>32151488</v>
      </c>
      <c r="E29" s="319">
        <f t="shared" si="9"/>
        <v>0</v>
      </c>
      <c r="F29" s="458">
        <f t="shared" si="27"/>
        <v>3839714</v>
      </c>
      <c r="G29" s="320">
        <f t="shared" si="0"/>
        <v>0</v>
      </c>
      <c r="H29" s="458">
        <f t="shared" si="27"/>
        <v>17634664</v>
      </c>
      <c r="I29" s="320">
        <f t="shared" si="10"/>
        <v>0</v>
      </c>
      <c r="J29" s="458">
        <f t="shared" si="27"/>
        <v>28687222</v>
      </c>
      <c r="K29" s="320">
        <f t="shared" si="11"/>
        <v>0</v>
      </c>
      <c r="L29" s="458">
        <f t="shared" si="27"/>
        <v>23554218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16252</v>
      </c>
      <c r="Q29" s="462">
        <f t="shared" si="24"/>
        <v>0</v>
      </c>
      <c r="R29" s="462">
        <f t="shared" si="19"/>
        <v>0</v>
      </c>
      <c r="S29" s="458">
        <f t="shared" si="15"/>
        <v>9436</v>
      </c>
      <c r="T29" s="482">
        <f t="shared" si="3"/>
        <v>0</v>
      </c>
      <c r="U29" s="458">
        <f t="shared" si="15"/>
        <v>270917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35494</v>
      </c>
      <c r="AB29" s="462">
        <f t="shared" si="16"/>
        <v>0</v>
      </c>
      <c r="AC29" s="458">
        <f t="shared" si="15"/>
        <v>874663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-319960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32151488</v>
      </c>
      <c r="E30" s="319">
        <f t="shared" si="9"/>
        <v>0</v>
      </c>
      <c r="F30" s="458">
        <f t="shared" si="27"/>
        <v>3839714</v>
      </c>
      <c r="G30" s="320">
        <f t="shared" si="0"/>
        <v>0</v>
      </c>
      <c r="H30" s="458">
        <f t="shared" si="27"/>
        <v>17634664</v>
      </c>
      <c r="I30" s="320">
        <f t="shared" si="10"/>
        <v>0</v>
      </c>
      <c r="J30" s="458">
        <f t="shared" si="27"/>
        <v>28687222</v>
      </c>
      <c r="K30" s="320">
        <f t="shared" si="11"/>
        <v>0</v>
      </c>
      <c r="L30" s="458">
        <f t="shared" si="27"/>
        <v>23554218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16252</v>
      </c>
      <c r="Q30" s="462">
        <f t="shared" si="24"/>
        <v>0</v>
      </c>
      <c r="R30" s="462">
        <f t="shared" si="19"/>
        <v>0</v>
      </c>
      <c r="S30" s="458">
        <f t="shared" si="15"/>
        <v>9436</v>
      </c>
      <c r="T30" s="482">
        <f t="shared" si="3"/>
        <v>0</v>
      </c>
      <c r="U30" s="458">
        <f t="shared" si="15"/>
        <v>270917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35494</v>
      </c>
      <c r="AB30" s="462">
        <f t="shared" si="16"/>
        <v>0</v>
      </c>
      <c r="AC30" s="458">
        <f t="shared" si="15"/>
        <v>874663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-324390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32151488</v>
      </c>
      <c r="E31" s="319">
        <f t="shared" si="9"/>
        <v>0</v>
      </c>
      <c r="F31" s="458">
        <f t="shared" si="27"/>
        <v>3839714</v>
      </c>
      <c r="G31" s="320">
        <f t="shared" si="0"/>
        <v>0</v>
      </c>
      <c r="H31" s="458">
        <f t="shared" si="27"/>
        <v>17634664</v>
      </c>
      <c r="I31" s="320">
        <f t="shared" si="10"/>
        <v>0</v>
      </c>
      <c r="J31" s="458">
        <f t="shared" si="27"/>
        <v>28687222</v>
      </c>
      <c r="K31" s="320">
        <f t="shared" si="11"/>
        <v>0</v>
      </c>
      <c r="L31" s="458">
        <f t="shared" si="27"/>
        <v>23554218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16252</v>
      </c>
      <c r="Q31" s="462">
        <f t="shared" si="24"/>
        <v>0</v>
      </c>
      <c r="R31" s="462">
        <f t="shared" si="19"/>
        <v>0</v>
      </c>
      <c r="S31" s="458">
        <f t="shared" si="15"/>
        <v>9436</v>
      </c>
      <c r="T31" s="482">
        <f t="shared" si="3"/>
        <v>0</v>
      </c>
      <c r="U31" s="458">
        <f t="shared" si="15"/>
        <v>270917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35494</v>
      </c>
      <c r="AB31" s="462">
        <f t="shared" si="16"/>
        <v>0</v>
      </c>
      <c r="AC31" s="458">
        <f t="shared" si="15"/>
        <v>874663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-324390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32151488</v>
      </c>
      <c r="E32" s="319">
        <f t="shared" si="9"/>
        <v>0</v>
      </c>
      <c r="F32" s="458">
        <f t="shared" si="27"/>
        <v>3839714</v>
      </c>
      <c r="G32" s="320">
        <f>F32-F31</f>
        <v>0</v>
      </c>
      <c r="H32" s="458">
        <f t="shared" si="27"/>
        <v>17634664</v>
      </c>
      <c r="I32" s="320">
        <f>H32-H31</f>
        <v>0</v>
      </c>
      <c r="J32" s="458">
        <f t="shared" si="27"/>
        <v>28687222</v>
      </c>
      <c r="K32" s="320">
        <f>J32-J31</f>
        <v>0</v>
      </c>
      <c r="L32" s="458">
        <f t="shared" si="27"/>
        <v>23554218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16252</v>
      </c>
      <c r="Q32" s="462">
        <f>(P32-P31)*1000</f>
        <v>0</v>
      </c>
      <c r="R32" s="462">
        <f>N32-Q32</f>
        <v>0</v>
      </c>
      <c r="S32" s="458">
        <f t="shared" si="15"/>
        <v>9436</v>
      </c>
      <c r="T32" s="482">
        <f t="shared" si="3"/>
        <v>0</v>
      </c>
      <c r="U32" s="458">
        <f t="shared" si="15"/>
        <v>270917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35494</v>
      </c>
      <c r="AB32" s="462">
        <f t="shared" si="16"/>
        <v>0</v>
      </c>
      <c r="AC32" s="458">
        <f t="shared" si="15"/>
        <v>874663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-324390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32151488</v>
      </c>
      <c r="E33" s="319">
        <f t="shared" ref="E33" si="28">D33-D32</f>
        <v>0</v>
      </c>
      <c r="F33" s="458">
        <f t="shared" si="27"/>
        <v>3839714</v>
      </c>
      <c r="G33" s="320">
        <f>F33-F32</f>
        <v>0</v>
      </c>
      <c r="H33" s="458">
        <f t="shared" si="27"/>
        <v>17634664</v>
      </c>
      <c r="I33" s="320">
        <f>H33-H32</f>
        <v>0</v>
      </c>
      <c r="J33" s="458">
        <f t="shared" si="27"/>
        <v>28687222</v>
      </c>
      <c r="K33" s="320">
        <f>J33-J32</f>
        <v>0</v>
      </c>
      <c r="L33" s="458">
        <f t="shared" si="27"/>
        <v>23554218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16252</v>
      </c>
      <c r="Q33" s="462">
        <f>(P33-P32)*1000</f>
        <v>0</v>
      </c>
      <c r="R33" s="462">
        <f>N33-Q33</f>
        <v>0</v>
      </c>
      <c r="S33" s="458">
        <f t="shared" si="15"/>
        <v>9436</v>
      </c>
      <c r="T33" s="482">
        <f t="shared" ref="T33" si="30">S33-S32</f>
        <v>0</v>
      </c>
      <c r="U33" s="458">
        <f t="shared" si="15"/>
        <v>270917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35494</v>
      </c>
      <c r="AB33" s="462">
        <f t="shared" ref="AB33" si="33">AA33-AA32</f>
        <v>0</v>
      </c>
      <c r="AC33" s="458">
        <f t="shared" si="15"/>
        <v>874663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-324390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9" activePane="bottomLeft" state="frozen"/>
      <selection activeCell="K1" sqref="K1"/>
      <selection pane="bottomLeft" activeCell="AQ45" sqref="AP45:AQ4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7" t="s">
        <v>2</v>
      </c>
      <c r="G1" s="618"/>
      <c r="H1" s="618"/>
      <c r="I1" s="619"/>
      <c r="J1" s="290">
        <f>J36</f>
        <v>1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407"/>
      <c r="V1" s="27" t="s">
        <v>104</v>
      </c>
      <c r="W1" s="408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187.3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v>226</v>
      </c>
      <c r="C23" s="64">
        <v>232</v>
      </c>
      <c r="D23" s="45">
        <f t="shared" si="85"/>
        <v>4</v>
      </c>
      <c r="E23" s="45">
        <f t="shared" si="9"/>
        <v>33.520000000000003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01">
        <v>2429</v>
      </c>
      <c r="Y23" s="52">
        <f t="shared" si="15"/>
        <v>5</v>
      </c>
      <c r="Z23" s="601">
        <v>136571</v>
      </c>
      <c r="AA23" s="65">
        <f t="shared" si="6"/>
        <v>291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291</v>
      </c>
      <c r="AI23" s="326">
        <f t="shared" si="17"/>
        <v>291</v>
      </c>
      <c r="AJ23" s="326">
        <f>-tanks!AW24</f>
        <v>291</v>
      </c>
      <c r="AK23" s="326">
        <f t="shared" si="18"/>
        <v>0</v>
      </c>
      <c r="AL23" s="326">
        <f t="shared" si="88"/>
        <v>0</v>
      </c>
      <c r="AM23" s="326">
        <f t="shared" si="19"/>
        <v>5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v>224</v>
      </c>
      <c r="C24" s="64">
        <v>230</v>
      </c>
      <c r="D24" s="45">
        <f t="shared" si="85"/>
        <v>2</v>
      </c>
      <c r="E24" s="45">
        <f t="shared" si="9"/>
        <v>16.760000000000002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2429</v>
      </c>
      <c r="Y24" s="52">
        <f t="shared" si="15"/>
        <v>0</v>
      </c>
      <c r="Z24" s="64">
        <f t="shared" si="34"/>
        <v>136571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v>221</v>
      </c>
      <c r="C25" s="64">
        <v>227</v>
      </c>
      <c r="D25" s="45">
        <f t="shared" si="85"/>
        <v>3</v>
      </c>
      <c r="E25" s="45">
        <f t="shared" si="9"/>
        <v>25.14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2429</v>
      </c>
      <c r="Y25" s="52">
        <f t="shared" si="15"/>
        <v>0</v>
      </c>
      <c r="Z25" s="64">
        <f t="shared" si="34"/>
        <v>136571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v>65</v>
      </c>
      <c r="AO25" s="328">
        <f t="shared" si="20"/>
        <v>1950</v>
      </c>
      <c r="AP25" s="64">
        <f t="shared" ref="AP25" si="106">AP24</f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6150</v>
      </c>
      <c r="AU25" s="328">
        <f t="shared" si="30"/>
        <v>60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v>220</v>
      </c>
      <c r="C26" s="64">
        <v>226.5</v>
      </c>
      <c r="D26" s="45">
        <f t="shared" si="85"/>
        <v>0.5</v>
      </c>
      <c r="E26" s="45">
        <f t="shared" si="9"/>
        <v>4.1900000000000004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2429</v>
      </c>
      <c r="Y26" s="52">
        <f t="shared" si="15"/>
        <v>0</v>
      </c>
      <c r="Z26" s="64">
        <f t="shared" si="34"/>
        <v>136571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65</v>
      </c>
      <c r="AO26" s="328">
        <f t="shared" si="20"/>
        <v>1950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6150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04">
        <v>219</v>
      </c>
      <c r="C27" s="604">
        <v>225</v>
      </c>
      <c r="D27" s="45">
        <f t="shared" si="85"/>
        <v>1.5</v>
      </c>
      <c r="E27" s="45">
        <f t="shared" si="9"/>
        <v>12.57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01">
        <v>2435</v>
      </c>
      <c r="Y27" s="52">
        <f t="shared" si="15"/>
        <v>6</v>
      </c>
      <c r="Z27" s="601">
        <v>136853</v>
      </c>
      <c r="AA27" s="65">
        <f t="shared" si="6"/>
        <v>282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282</v>
      </c>
      <c r="AI27" s="326">
        <f t="shared" si="17"/>
        <v>282</v>
      </c>
      <c r="AJ27" s="326">
        <f>-tanks!AW28</f>
        <v>282</v>
      </c>
      <c r="AK27" s="326">
        <f t="shared" si="18"/>
        <v>0</v>
      </c>
      <c r="AL27" s="326">
        <f t="shared" si="88"/>
        <v>0</v>
      </c>
      <c r="AM27" s="326">
        <f t="shared" si="19"/>
        <v>6</v>
      </c>
      <c r="AN27" s="64">
        <v>64</v>
      </c>
      <c r="AO27" s="328">
        <f>(AN27/100)*3000</f>
        <v>1920</v>
      </c>
      <c r="AP27" s="64">
        <f t="shared" ref="AP27" si="115">AP26</f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6120</v>
      </c>
      <c r="AU27" s="328">
        <f t="shared" si="30"/>
        <v>30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04">
        <v>217</v>
      </c>
      <c r="C28" s="604">
        <v>223</v>
      </c>
      <c r="D28" s="45">
        <f t="shared" si="85"/>
        <v>2</v>
      </c>
      <c r="E28" s="45">
        <f t="shared" si="9"/>
        <v>16.760000000000002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01">
        <v>2435</v>
      </c>
      <c r="Y28" s="52">
        <f t="shared" si="15"/>
        <v>0</v>
      </c>
      <c r="Z28" s="601">
        <v>136853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64</v>
      </c>
      <c r="AO28" s="328">
        <f t="shared" ref="AO28:AO34" si="120">(AN28/100)*3000</f>
        <v>1920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6120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v>215</v>
      </c>
      <c r="C29" s="64">
        <v>221</v>
      </c>
      <c r="D29" s="45">
        <f t="shared" si="85"/>
        <v>2</v>
      </c>
      <c r="E29" s="45">
        <f t="shared" si="9"/>
        <v>16.760000000000002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2435</v>
      </c>
      <c r="Y29" s="52">
        <f t="shared" si="15"/>
        <v>0</v>
      </c>
      <c r="Z29" s="64">
        <f t="shared" si="34"/>
        <v>136853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v>63</v>
      </c>
      <c r="AO29" s="328">
        <f t="shared" si="120"/>
        <v>1890</v>
      </c>
      <c r="AP29" s="64">
        <v>69</v>
      </c>
      <c r="AQ29" s="328">
        <f t="shared" si="107"/>
        <v>2070</v>
      </c>
      <c r="AR29" s="64">
        <v>69</v>
      </c>
      <c r="AS29" s="328">
        <f t="shared" si="28"/>
        <v>2070</v>
      </c>
      <c r="AT29" s="328">
        <f>SUM(AO29+AQ29+AS29)</f>
        <v>6030</v>
      </c>
      <c r="AU29" s="328">
        <f>AT28-AT29+AV29</f>
        <v>90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66"/>
        <v>215</v>
      </c>
      <c r="C30" s="64">
        <f t="shared" si="67"/>
        <v>221</v>
      </c>
      <c r="D30" s="45">
        <f t="shared" si="85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4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2435</v>
      </c>
      <c r="Y30" s="52">
        <f t="shared" si="15"/>
        <v>0</v>
      </c>
      <c r="Z30" s="64">
        <f t="shared" si="34"/>
        <v>136853</v>
      </c>
      <c r="AA30" s="65">
        <f t="shared" si="6"/>
        <v>0</v>
      </c>
      <c r="AB30" s="292">
        <f t="shared" si="99"/>
        <v>0</v>
      </c>
      <c r="AC30" s="64">
        <f t="shared" ref="AC30:AE30" si="125">AC29</f>
        <v>1933</v>
      </c>
      <c r="AD30" s="45">
        <f t="shared" si="7"/>
        <v>0</v>
      </c>
      <c r="AE30" s="64">
        <f t="shared" si="125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6">AN29</f>
        <v>63</v>
      </c>
      <c r="AO30" s="328">
        <f t="shared" si="120"/>
        <v>1890</v>
      </c>
      <c r="AP30" s="64">
        <f t="shared" si="126"/>
        <v>69</v>
      </c>
      <c r="AQ30" s="328">
        <f t="shared" si="107"/>
        <v>2070</v>
      </c>
      <c r="AR30" s="64">
        <f t="shared" ref="AR30" si="127">AR29</f>
        <v>69</v>
      </c>
      <c r="AS30" s="328">
        <f t="shared" si="28"/>
        <v>2070</v>
      </c>
      <c r="AT30" s="328">
        <f t="shared" si="103"/>
        <v>6030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215</v>
      </c>
      <c r="C31" s="64">
        <f t="shared" si="67"/>
        <v>221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28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2435</v>
      </c>
      <c r="Y31" s="52">
        <f t="shared" si="15"/>
        <v>0</v>
      </c>
      <c r="Z31" s="64">
        <f t="shared" si="34"/>
        <v>136853</v>
      </c>
      <c r="AA31" s="65">
        <f t="shared" si="6"/>
        <v>0</v>
      </c>
      <c r="AB31" s="292">
        <f t="shared" si="99"/>
        <v>0</v>
      </c>
      <c r="AC31" s="64">
        <f t="shared" ref="AC31:AE31" si="129">AC30</f>
        <v>1933</v>
      </c>
      <c r="AD31" s="275">
        <f t="shared" si="7"/>
        <v>0</v>
      </c>
      <c r="AE31" s="64">
        <f t="shared" si="129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0">AN30</f>
        <v>63</v>
      </c>
      <c r="AO31" s="328">
        <f t="shared" si="120"/>
        <v>1890</v>
      </c>
      <c r="AP31" s="64">
        <f t="shared" si="130"/>
        <v>69</v>
      </c>
      <c r="AQ31" s="328">
        <f t="shared" si="107"/>
        <v>2070</v>
      </c>
      <c r="AR31" s="64">
        <f t="shared" ref="AR31" si="131">AR30</f>
        <v>69</v>
      </c>
      <c r="AS31" s="328">
        <f t="shared" si="28"/>
        <v>2070</v>
      </c>
      <c r="AT31" s="328">
        <f t="shared" si="103"/>
        <v>6030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215</v>
      </c>
      <c r="C32" s="64">
        <f t="shared" si="67"/>
        <v>221</v>
      </c>
      <c r="D32" s="45">
        <f t="shared" si="23"/>
        <v>0</v>
      </c>
      <c r="E32" s="45">
        <f t="shared" ref="E32:E34" si="132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3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2435</v>
      </c>
      <c r="Y32" s="52">
        <f t="shared" si="15"/>
        <v>0</v>
      </c>
      <c r="Z32" s="64">
        <f t="shared" si="34"/>
        <v>136853</v>
      </c>
      <c r="AA32" s="65">
        <f t="shared" si="6"/>
        <v>0</v>
      </c>
      <c r="AB32" s="292">
        <f t="shared" si="99"/>
        <v>0</v>
      </c>
      <c r="AC32" s="64">
        <f t="shared" ref="AC32:AE32" si="134">AC31</f>
        <v>1933</v>
      </c>
      <c r="AD32" s="275">
        <f t="shared" si="7"/>
        <v>0</v>
      </c>
      <c r="AE32" s="64">
        <f t="shared" si="134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5">AN31</f>
        <v>63</v>
      </c>
      <c r="AO32" s="328">
        <f t="shared" si="120"/>
        <v>1890</v>
      </c>
      <c r="AP32" s="64">
        <f t="shared" si="135"/>
        <v>69</v>
      </c>
      <c r="AQ32" s="328">
        <f t="shared" si="107"/>
        <v>2070</v>
      </c>
      <c r="AR32" s="64">
        <f t="shared" ref="AR32" si="136">AR31</f>
        <v>69</v>
      </c>
      <c r="AS32" s="328">
        <f t="shared" si="28"/>
        <v>2070</v>
      </c>
      <c r="AT32" s="328">
        <f t="shared" si="103"/>
        <v>6030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215</v>
      </c>
      <c r="C33" s="64">
        <f t="shared" si="67"/>
        <v>221</v>
      </c>
      <c r="D33" s="45">
        <f t="shared" si="23"/>
        <v>0</v>
      </c>
      <c r="E33" s="45">
        <f t="shared" si="132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7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2435</v>
      </c>
      <c r="Y33" s="52">
        <f t="shared" si="15"/>
        <v>0</v>
      </c>
      <c r="Z33" s="64">
        <f t="shared" si="34"/>
        <v>136853</v>
      </c>
      <c r="AA33" s="65">
        <f t="shared" si="6"/>
        <v>0</v>
      </c>
      <c r="AB33" s="292">
        <f t="shared" si="99"/>
        <v>0</v>
      </c>
      <c r="AC33" s="64">
        <f t="shared" ref="AC33:AE33" si="138">AC32</f>
        <v>1933</v>
      </c>
      <c r="AD33" s="45">
        <f t="shared" si="7"/>
        <v>0</v>
      </c>
      <c r="AE33" s="64">
        <f t="shared" si="138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39">AN32</f>
        <v>63</v>
      </c>
      <c r="AO33" s="328">
        <f t="shared" si="120"/>
        <v>1890</v>
      </c>
      <c r="AP33" s="64">
        <f t="shared" si="139"/>
        <v>69</v>
      </c>
      <c r="AQ33" s="328">
        <f t="shared" si="107"/>
        <v>2070</v>
      </c>
      <c r="AR33" s="64">
        <f t="shared" ref="AR33" si="140">AR32</f>
        <v>69</v>
      </c>
      <c r="AS33" s="328">
        <f t="shared" si="28"/>
        <v>2070</v>
      </c>
      <c r="AT33" s="328">
        <f t="shared" si="103"/>
        <v>6030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215</v>
      </c>
      <c r="C34" s="64">
        <f t="shared" si="67"/>
        <v>221</v>
      </c>
      <c r="D34" s="45">
        <f t="shared" si="23"/>
        <v>0</v>
      </c>
      <c r="E34" s="45">
        <f t="shared" si="132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1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2435</v>
      </c>
      <c r="Y34" s="52">
        <f t="shared" si="15"/>
        <v>0</v>
      </c>
      <c r="Z34" s="64">
        <f t="shared" si="34"/>
        <v>136853</v>
      </c>
      <c r="AA34" s="65">
        <f t="shared" si="6"/>
        <v>0</v>
      </c>
      <c r="AB34" s="292">
        <f t="shared" si="99"/>
        <v>0</v>
      </c>
      <c r="AC34" s="64">
        <f t="shared" ref="AC34:AE34" si="142">AC33</f>
        <v>1933</v>
      </c>
      <c r="AD34" s="45">
        <f t="shared" si="7"/>
        <v>0</v>
      </c>
      <c r="AE34" s="64">
        <f t="shared" si="142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3">AN33</f>
        <v>63</v>
      </c>
      <c r="AO34" s="328">
        <f t="shared" si="120"/>
        <v>1890</v>
      </c>
      <c r="AP34" s="64">
        <f t="shared" si="143"/>
        <v>69</v>
      </c>
      <c r="AQ34" s="328">
        <f t="shared" si="107"/>
        <v>2070</v>
      </c>
      <c r="AR34" s="64">
        <f t="shared" ref="AR34" si="144">AR33</f>
        <v>69</v>
      </c>
      <c r="AS34" s="328">
        <f t="shared" si="28"/>
        <v>2070</v>
      </c>
      <c r="AT34" s="328">
        <f t="shared" si="103"/>
        <v>6030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215</v>
      </c>
      <c r="C35" s="64">
        <f t="shared" si="67"/>
        <v>221</v>
      </c>
      <c r="D35" s="45">
        <f t="shared" ref="D35" si="145">C34-C35</f>
        <v>0</v>
      </c>
      <c r="E35" s="45">
        <f t="shared" ref="E35" si="146">D35*8.38</f>
        <v>0</v>
      </c>
      <c r="F35" s="64">
        <f t="shared" si="31"/>
        <v>1648</v>
      </c>
      <c r="G35" s="52">
        <f t="shared" ref="G35" si="147">F35-F34</f>
        <v>0</v>
      </c>
      <c r="H35" s="64">
        <f t="shared" si="31"/>
        <v>357868</v>
      </c>
      <c r="I35" s="406">
        <f t="shared" ref="I35" si="148">SUM(H35-H34)</f>
        <v>0</v>
      </c>
      <c r="J35" s="66">
        <f t="shared" ref="J35" si="149">IF(G35&gt;0,I35/G35,0)</f>
        <v>0</v>
      </c>
      <c r="K35" s="64">
        <f t="shared" si="32"/>
        <v>2108</v>
      </c>
      <c r="L35" s="52">
        <f t="shared" ref="L35" si="150">K35-K34</f>
        <v>0</v>
      </c>
      <c r="M35" s="64">
        <f t="shared" si="32"/>
        <v>154682</v>
      </c>
      <c r="N35" s="406">
        <f t="shared" ref="N35" si="151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2">Q34</f>
        <v>155926</v>
      </c>
      <c r="R35" s="405">
        <f t="shared" ref="R35" si="153">Q35-Q34</f>
        <v>0</v>
      </c>
      <c r="S35" s="52">
        <f t="shared" ref="S35" si="154">SUM(P35-P34)</f>
        <v>0</v>
      </c>
      <c r="T35" s="67">
        <f t="shared" ref="T35" si="155">SUM(S35*$T$2)</f>
        <v>0</v>
      </c>
      <c r="U35" s="412">
        <f t="shared" ref="U35" si="156">SUM(G35+L35+S35)</f>
        <v>0</v>
      </c>
      <c r="V35" s="62">
        <f t="shared" ref="V35" si="157">R35+N35+I35:I35</f>
        <v>0</v>
      </c>
      <c r="W35" s="410"/>
      <c r="X35" s="64">
        <f t="shared" si="34"/>
        <v>2435</v>
      </c>
      <c r="Y35" s="52">
        <f t="shared" ref="Y35" si="158">X35-X34</f>
        <v>0</v>
      </c>
      <c r="Z35" s="64">
        <f t="shared" si="34"/>
        <v>136853</v>
      </c>
      <c r="AA35" s="65">
        <f t="shared" ref="AA35" si="159">Z35-Z34</f>
        <v>0</v>
      </c>
      <c r="AB35" s="292">
        <f t="shared" ref="AB35" si="160">SUM(Y35*$AB$2)</f>
        <v>0</v>
      </c>
      <c r="AC35" s="64">
        <f t="shared" ref="AC35:AE35" si="161">AC34</f>
        <v>1933</v>
      </c>
      <c r="AD35" s="45">
        <f t="shared" ref="AD35" si="162">AC35-AC34</f>
        <v>0</v>
      </c>
      <c r="AE35" s="64">
        <f t="shared" si="161"/>
        <v>365210.2</v>
      </c>
      <c r="AF35" s="314">
        <f t="shared" ref="AF35" si="163">AE35-AE34</f>
        <v>0</v>
      </c>
      <c r="AG35" s="212">
        <f t="shared" ref="AG35" si="164">IF(AD35&gt;0,AF35/AD35,0)</f>
        <v>0</v>
      </c>
      <c r="AH35" s="62">
        <f t="shared" ref="AH35" si="165">AF35+AA35</f>
        <v>0</v>
      </c>
      <c r="AI35" s="326">
        <f t="shared" ref="AI35" si="166">SUM(AH35+V35)</f>
        <v>0</v>
      </c>
      <c r="AJ35" s="326">
        <f>-tanks!AW37</f>
        <v>0</v>
      </c>
      <c r="AK35" s="326">
        <f t="shared" ref="AK35" si="167">SUM(AJ35-AI35)</f>
        <v>0</v>
      </c>
      <c r="AL35" s="326">
        <f t="shared" ref="AL35" si="168">S35+L35+G35</f>
        <v>0</v>
      </c>
      <c r="AM35" s="326">
        <f>Y35+AD35</f>
        <v>0</v>
      </c>
      <c r="AN35" s="64">
        <f t="shared" ref="AN35:AP35" si="169">AN34</f>
        <v>63</v>
      </c>
      <c r="AO35" s="328">
        <f t="shared" ref="AO35" si="170">(AN35/100)*3000</f>
        <v>1890</v>
      </c>
      <c r="AP35" s="64">
        <f t="shared" si="169"/>
        <v>69</v>
      </c>
      <c r="AQ35" s="328">
        <f t="shared" ref="AQ35" si="171">(AP35/100)*3000</f>
        <v>2070</v>
      </c>
      <c r="AR35" s="64">
        <f t="shared" ref="AR35" si="172">AR34</f>
        <v>69</v>
      </c>
      <c r="AS35" s="328">
        <f t="shared" ref="AS35" si="173">(AR35/100)*3000</f>
        <v>2070</v>
      </c>
      <c r="AT35" s="328">
        <f t="shared" ref="AT35" si="174">SUM(AO35+AQ35+AS35)</f>
        <v>6030</v>
      </c>
      <c r="AU35" s="328">
        <f t="shared" ref="AU35" si="175">AT34-AT35+AV35</f>
        <v>0</v>
      </c>
      <c r="AV35" s="275"/>
      <c r="AW35" s="275"/>
      <c r="AX35" s="321">
        <f t="shared" ref="AX35" si="176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1500.2000000000116</v>
      </c>
      <c r="AL36" s="62">
        <f>SUM(AL5:AL35)</f>
        <v>15</v>
      </c>
      <c r="AM36" s="62">
        <f>SUM(AM5:AM35)</f>
        <v>29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1050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2576.2000000000116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535.5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33" activePane="bottomLeft" state="frozen"/>
      <selection pane="bottomLeft" activeCell="W33" sqref="W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3" t="s">
        <v>126</v>
      </c>
      <c r="AO3" s="624"/>
      <c r="AP3" s="625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28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602">
        <v>147312</v>
      </c>
      <c r="Y24" s="332">
        <f t="shared" si="17"/>
        <v>18</v>
      </c>
      <c r="Z24" s="5">
        <v>96739</v>
      </c>
      <c r="AA24" s="83">
        <f t="shared" si="18"/>
        <v>65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v>196.66</v>
      </c>
      <c r="AF24" s="83">
        <f t="shared" si="19"/>
        <v>3.0300000000000011</v>
      </c>
      <c r="AG24" s="5">
        <v>2086.6999999999998</v>
      </c>
      <c r="AH24" s="83">
        <f t="shared" si="20"/>
        <v>22.019999999999982</v>
      </c>
      <c r="AI24" s="83">
        <f t="shared" si="21"/>
        <v>25.049999999999983</v>
      </c>
      <c r="AJ24" s="334">
        <f t="shared" si="22"/>
        <v>65</v>
      </c>
      <c r="AK24" s="335">
        <f t="shared" si="5"/>
        <v>18</v>
      </c>
      <c r="AL24" s="335">
        <f t="shared" si="23"/>
        <v>65</v>
      </c>
      <c r="AM24" s="335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v>0</v>
      </c>
      <c r="AU24" s="436">
        <f t="shared" si="34"/>
        <v>1.1000000000000001</v>
      </c>
      <c r="AV24" s="204">
        <v>193</v>
      </c>
      <c r="AW24" s="5">
        <v>2.9</v>
      </c>
      <c r="AX24" s="204">
        <v>200</v>
      </c>
      <c r="AY24" s="439">
        <f t="shared" si="7"/>
        <v>0</v>
      </c>
      <c r="AZ24" s="439">
        <f t="shared" si="25"/>
        <v>212.3</v>
      </c>
      <c r="BA24" s="439">
        <f t="shared" si="26"/>
        <v>580</v>
      </c>
      <c r="BB24" s="21">
        <f t="shared" si="27"/>
        <v>-99</v>
      </c>
      <c r="BC24" s="21">
        <f t="shared" si="27"/>
        <v>25.299999999999983</v>
      </c>
      <c r="BD24" s="21">
        <f t="shared" si="27"/>
        <v>0</v>
      </c>
      <c r="BE24" s="24">
        <f t="shared" si="29"/>
        <v>-73.700000000000017</v>
      </c>
      <c r="BF24" s="96">
        <f t="shared" si="8"/>
        <v>73.700000000000017</v>
      </c>
      <c r="BG24" s="82">
        <f t="shared" si="9"/>
        <v>-73.700000000000017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147312</v>
      </c>
      <c r="Y25" s="332">
        <f t="shared" si="17"/>
        <v>0</v>
      </c>
      <c r="Z25" s="5">
        <f t="shared" si="15"/>
        <v>96739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196.66</v>
      </c>
      <c r="AF25" s="83">
        <f t="shared" si="19"/>
        <v>0</v>
      </c>
      <c r="AG25" s="5">
        <f t="shared" si="15"/>
        <v>2086.6999999999998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27.5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v>0</v>
      </c>
      <c r="AU25" s="436">
        <f t="shared" si="34"/>
        <v>1.1000000000000001</v>
      </c>
      <c r="AV25" s="204">
        <f t="shared" si="34"/>
        <v>193</v>
      </c>
      <c r="AW25" s="5">
        <v>2.9</v>
      </c>
      <c r="AX25" s="204">
        <v>198</v>
      </c>
      <c r="AY25" s="439">
        <f t="shared" si="7"/>
        <v>0</v>
      </c>
      <c r="AZ25" s="439">
        <f t="shared" si="25"/>
        <v>212.3</v>
      </c>
      <c r="BA25" s="439">
        <f t="shared" si="26"/>
        <v>574.19999999999993</v>
      </c>
      <c r="BB25" s="21">
        <f t="shared" si="27"/>
        <v>0</v>
      </c>
      <c r="BC25" s="21">
        <f t="shared" si="27"/>
        <v>0</v>
      </c>
      <c r="BD25" s="21">
        <f t="shared" si="27"/>
        <v>-5.8000000000000682</v>
      </c>
      <c r="BE25" s="24">
        <f t="shared" si="29"/>
        <v>-5.8000000000000682</v>
      </c>
      <c r="BF25" s="96">
        <f t="shared" si="8"/>
        <v>5.8000000000000682</v>
      </c>
      <c r="BG25" s="82">
        <f t="shared" si="9"/>
        <v>-5.8000000000000682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147312</v>
      </c>
      <c r="Y26" s="332">
        <f t="shared" si="17"/>
        <v>0</v>
      </c>
      <c r="Z26" s="5">
        <f t="shared" si="15"/>
        <v>96739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196.66</v>
      </c>
      <c r="AF26" s="83">
        <f t="shared" si="19"/>
        <v>0</v>
      </c>
      <c r="AG26" s="5">
        <f t="shared" si="15"/>
        <v>2086.6999999999998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29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v>0</v>
      </c>
      <c r="AU26" s="436">
        <f t="shared" si="34"/>
        <v>1.1000000000000001</v>
      </c>
      <c r="AV26" s="204">
        <v>155</v>
      </c>
      <c r="AW26" s="5">
        <v>2.9</v>
      </c>
      <c r="AX26" s="204">
        <v>197</v>
      </c>
      <c r="AY26" s="439">
        <f t="shared" si="7"/>
        <v>0</v>
      </c>
      <c r="AZ26" s="439">
        <f t="shared" si="25"/>
        <v>170.5</v>
      </c>
      <c r="BA26" s="439">
        <f t="shared" si="26"/>
        <v>571.29999999999995</v>
      </c>
      <c r="BB26" s="21">
        <f t="shared" si="27"/>
        <v>0</v>
      </c>
      <c r="BC26" s="21">
        <f t="shared" si="27"/>
        <v>-41.800000000000011</v>
      </c>
      <c r="BD26" s="21">
        <f t="shared" si="27"/>
        <v>-2.8999999999999773</v>
      </c>
      <c r="BE26" s="24">
        <f t="shared" si="29"/>
        <v>-44.699999999999989</v>
      </c>
      <c r="BF26" s="350">
        <f t="shared" si="8"/>
        <v>44.699999999999989</v>
      </c>
      <c r="BG26" s="82">
        <f t="shared" si="9"/>
        <v>-44.699999999999989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147312</v>
      </c>
      <c r="Y27" s="332">
        <f>SUM(X27-X26)</f>
        <v>0</v>
      </c>
      <c r="Z27" s="5">
        <f t="shared" si="15"/>
        <v>96739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196.66</v>
      </c>
      <c r="AF27" s="83">
        <f t="shared" si="19"/>
        <v>0</v>
      </c>
      <c r="AG27" s="5">
        <f t="shared" si="15"/>
        <v>2086.6999999999998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0</v>
      </c>
      <c r="AU27" s="436">
        <f t="shared" si="34"/>
        <v>1.1000000000000001</v>
      </c>
      <c r="AV27" s="204">
        <v>188</v>
      </c>
      <c r="AW27" s="5">
        <v>2.9</v>
      </c>
      <c r="AX27" s="204">
        <v>194</v>
      </c>
      <c r="AY27" s="439">
        <f t="shared" si="7"/>
        <v>0</v>
      </c>
      <c r="AZ27" s="439">
        <f t="shared" si="25"/>
        <v>206.8</v>
      </c>
      <c r="BA27" s="439">
        <f t="shared" si="26"/>
        <v>562.6</v>
      </c>
      <c r="BB27" s="21">
        <f t="shared" si="27"/>
        <v>0</v>
      </c>
      <c r="BC27" s="21">
        <f t="shared" si="27"/>
        <v>36.300000000000011</v>
      </c>
      <c r="BD27" s="21">
        <f t="shared" si="27"/>
        <v>-8.6999999999999318</v>
      </c>
      <c r="BE27" s="24">
        <f t="shared" si="29"/>
        <v>27.60000000000008</v>
      </c>
      <c r="BF27" s="96">
        <f t="shared" si="8"/>
        <v>-27.60000000000008</v>
      </c>
      <c r="BG27" s="82">
        <f t="shared" si="9"/>
        <v>27.60000000000008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147312</v>
      </c>
      <c r="Y28" s="332">
        <f t="shared" si="17"/>
        <v>0</v>
      </c>
      <c r="Z28" s="5">
        <f t="shared" si="15"/>
        <v>96739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v>199.48</v>
      </c>
      <c r="AF28" s="83">
        <f t="shared" si="19"/>
        <v>2.8199999999999932</v>
      </c>
      <c r="AG28" s="5">
        <v>2108.92</v>
      </c>
      <c r="AH28" s="83">
        <f t="shared" si="20"/>
        <v>22.220000000000255</v>
      </c>
      <c r="AI28" s="83">
        <f t="shared" si="21"/>
        <v>25.040000000000248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29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0</v>
      </c>
      <c r="AU28" s="436">
        <f t="shared" si="34"/>
        <v>1.1000000000000001</v>
      </c>
      <c r="AV28" s="204">
        <v>156</v>
      </c>
      <c r="AW28" s="5">
        <v>2.9</v>
      </c>
      <c r="AX28" s="204">
        <v>187</v>
      </c>
      <c r="AY28" s="439">
        <f t="shared" si="7"/>
        <v>0</v>
      </c>
      <c r="AZ28" s="439">
        <f t="shared" si="25"/>
        <v>171.60000000000002</v>
      </c>
      <c r="BA28" s="439">
        <f t="shared" si="26"/>
        <v>542.29999999999995</v>
      </c>
      <c r="BB28" s="21">
        <f t="shared" si="27"/>
        <v>0</v>
      </c>
      <c r="BC28" s="21">
        <f t="shared" si="27"/>
        <v>-35.199999999999989</v>
      </c>
      <c r="BD28" s="21">
        <f t="shared" si="27"/>
        <v>-20.300000000000068</v>
      </c>
      <c r="BE28" s="24">
        <f t="shared" si="29"/>
        <v>-55.500000000000057</v>
      </c>
      <c r="BF28" s="96">
        <f t="shared" si="8"/>
        <v>55.500000000000057</v>
      </c>
      <c r="BG28" s="82">
        <f t="shared" si="9"/>
        <v>-55.500000000000057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147312</v>
      </c>
      <c r="Y29" s="332">
        <f t="shared" si="17"/>
        <v>0</v>
      </c>
      <c r="Z29" s="5">
        <f t="shared" si="15"/>
        <v>96739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199.48</v>
      </c>
      <c r="AF29" s="83">
        <f t="shared" si="19"/>
        <v>0</v>
      </c>
      <c r="AG29" s="5">
        <f t="shared" si="15"/>
        <v>2108.92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29.5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v>0</v>
      </c>
      <c r="AU29" s="436">
        <f t="shared" si="34"/>
        <v>1.1000000000000001</v>
      </c>
      <c r="AV29" s="204">
        <v>139</v>
      </c>
      <c r="AW29" s="5">
        <v>2.9</v>
      </c>
      <c r="AX29" s="204">
        <v>182</v>
      </c>
      <c r="AY29" s="439">
        <f t="shared" si="7"/>
        <v>0</v>
      </c>
      <c r="AZ29" s="439">
        <f t="shared" si="25"/>
        <v>152.9</v>
      </c>
      <c r="BA29" s="439">
        <f t="shared" si="26"/>
        <v>527.79999999999995</v>
      </c>
      <c r="BB29" s="21">
        <f t="shared" si="27"/>
        <v>0</v>
      </c>
      <c r="BC29" s="21">
        <f t="shared" si="27"/>
        <v>-18.700000000000017</v>
      </c>
      <c r="BD29" s="21">
        <f t="shared" si="27"/>
        <v>-14.5</v>
      </c>
      <c r="BE29" s="24">
        <f t="shared" si="29"/>
        <v>-33.200000000000017</v>
      </c>
      <c r="BF29" s="96">
        <f t="shared" si="8"/>
        <v>33.200000000000017</v>
      </c>
      <c r="BG29" s="82">
        <f t="shared" si="9"/>
        <v>-33.200000000000017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v>425</v>
      </c>
      <c r="W30" s="332">
        <f t="shared" si="16"/>
        <v>0</v>
      </c>
      <c r="X30" s="5">
        <f t="shared" si="15"/>
        <v>147312</v>
      </c>
      <c r="Y30" s="332">
        <f t="shared" si="17"/>
        <v>0</v>
      </c>
      <c r="Z30" s="5">
        <f t="shared" si="15"/>
        <v>96739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199.48</v>
      </c>
      <c r="AF30" s="83">
        <f t="shared" si="19"/>
        <v>0</v>
      </c>
      <c r="AG30" s="5">
        <v>2109.27</v>
      </c>
      <c r="AH30" s="83">
        <f t="shared" si="20"/>
        <v>0.34999999999990905</v>
      </c>
      <c r="AI30" s="83">
        <f t="shared" si="21"/>
        <v>0.34999999999990905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26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v>156</v>
      </c>
      <c r="AU30" s="436">
        <f t="shared" si="34"/>
        <v>1.1000000000000001</v>
      </c>
      <c r="AV30" s="204">
        <v>146</v>
      </c>
      <c r="AW30" s="5">
        <v>2.9</v>
      </c>
      <c r="AX30" s="204">
        <v>174</v>
      </c>
      <c r="AY30" s="439">
        <f t="shared" si="7"/>
        <v>140.4</v>
      </c>
      <c r="AZ30" s="439">
        <f t="shared" si="25"/>
        <v>160.60000000000002</v>
      </c>
      <c r="BA30" s="439">
        <f t="shared" si="26"/>
        <v>504.59999999999997</v>
      </c>
      <c r="BB30" s="21">
        <f t="shared" si="27"/>
        <v>140.4</v>
      </c>
      <c r="BC30" s="21">
        <f t="shared" si="27"/>
        <v>7.7000000000000171</v>
      </c>
      <c r="BD30" s="21">
        <f t="shared" si="27"/>
        <v>-23.199999999999989</v>
      </c>
      <c r="BE30" s="24">
        <f t="shared" si="29"/>
        <v>124.90000000000003</v>
      </c>
      <c r="BF30" s="96">
        <f t="shared" si="8"/>
        <v>-124.90000000000003</v>
      </c>
      <c r="BG30" s="82">
        <f t="shared" si="9"/>
        <v>124.90000000000003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147312</v>
      </c>
      <c r="Y31" s="332">
        <f t="shared" si="17"/>
        <v>0</v>
      </c>
      <c r="Z31" s="5">
        <f t="shared" si="15"/>
        <v>96739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199.48</v>
      </c>
      <c r="AF31" s="83">
        <f t="shared" si="19"/>
        <v>0</v>
      </c>
      <c r="AG31" s="5">
        <f t="shared" si="15"/>
        <v>2109.27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f t="shared" si="39"/>
        <v>156</v>
      </c>
      <c r="AU31" s="436">
        <f t="shared" si="34"/>
        <v>1.1000000000000001</v>
      </c>
      <c r="AV31" s="204">
        <f t="shared" si="34"/>
        <v>146</v>
      </c>
      <c r="AW31" s="5">
        <v>2.9</v>
      </c>
      <c r="AX31" s="204">
        <f t="shared" ref="AX31" si="40">AX30</f>
        <v>174</v>
      </c>
      <c r="AY31" s="439">
        <f t="shared" si="7"/>
        <v>140.4</v>
      </c>
      <c r="AZ31" s="439">
        <f t="shared" si="25"/>
        <v>160.60000000000002</v>
      </c>
      <c r="BA31" s="439">
        <f t="shared" si="26"/>
        <v>504.59999999999997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147312</v>
      </c>
      <c r="Y32" s="332">
        <f t="shared" si="17"/>
        <v>0</v>
      </c>
      <c r="Z32" s="5">
        <f t="shared" si="15"/>
        <v>96739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199.48</v>
      </c>
      <c r="AF32" s="83">
        <f t="shared" si="19"/>
        <v>0</v>
      </c>
      <c r="AG32" s="5">
        <f t="shared" si="15"/>
        <v>2109.27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156</v>
      </c>
      <c r="AU32" s="436">
        <f t="shared" si="34"/>
        <v>1.1000000000000001</v>
      </c>
      <c r="AV32" s="204">
        <f t="shared" si="34"/>
        <v>146</v>
      </c>
      <c r="AW32" s="5">
        <v>2.9</v>
      </c>
      <c r="AX32" s="204">
        <f t="shared" ref="AX32" si="41">AX31</f>
        <v>174</v>
      </c>
      <c r="AY32" s="439">
        <f t="shared" si="7"/>
        <v>140.4</v>
      </c>
      <c r="AZ32" s="439">
        <f t="shared" si="25"/>
        <v>160.60000000000002</v>
      </c>
      <c r="BA32" s="439">
        <f t="shared" si="26"/>
        <v>504.59999999999997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147312</v>
      </c>
      <c r="Y33" s="332">
        <f t="shared" si="17"/>
        <v>0</v>
      </c>
      <c r="Z33" s="5">
        <f t="shared" si="15"/>
        <v>96739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199.48</v>
      </c>
      <c r="AF33" s="83">
        <f>AE33-AE32</f>
        <v>0</v>
      </c>
      <c r="AG33" s="5">
        <f t="shared" si="15"/>
        <v>2109.27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156</v>
      </c>
      <c r="AU33" s="436">
        <f t="shared" si="34"/>
        <v>1.1000000000000001</v>
      </c>
      <c r="AV33" s="204">
        <f t="shared" si="34"/>
        <v>146</v>
      </c>
      <c r="AW33" s="5">
        <v>2.9</v>
      </c>
      <c r="AX33" s="204">
        <f t="shared" ref="AX33" si="42">AX32</f>
        <v>174</v>
      </c>
      <c r="AY33" s="439">
        <f t="shared" si="7"/>
        <v>140.4</v>
      </c>
      <c r="AZ33" s="439">
        <f t="shared" si="25"/>
        <v>160.60000000000002</v>
      </c>
      <c r="BA33" s="439">
        <f t="shared" si="26"/>
        <v>504.59999999999997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147312</v>
      </c>
      <c r="Y34" s="332">
        <f t="shared" si="17"/>
        <v>0</v>
      </c>
      <c r="Z34" s="5">
        <f t="shared" si="15"/>
        <v>96739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199.48</v>
      </c>
      <c r="AF34" s="83">
        <f t="shared" si="19"/>
        <v>0</v>
      </c>
      <c r="AG34" s="5">
        <f t="shared" si="15"/>
        <v>2109.27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156</v>
      </c>
      <c r="AU34" s="437">
        <f t="shared" si="34"/>
        <v>1.1000000000000001</v>
      </c>
      <c r="AV34" s="204">
        <f t="shared" si="34"/>
        <v>146</v>
      </c>
      <c r="AW34" s="5">
        <v>2.9</v>
      </c>
      <c r="AX34" s="204">
        <f t="shared" ref="AX34" si="43">AX33</f>
        <v>174</v>
      </c>
      <c r="AY34" s="439">
        <f t="shared" si="7"/>
        <v>140.4</v>
      </c>
      <c r="AZ34" s="439">
        <f t="shared" si="25"/>
        <v>160.60000000000002</v>
      </c>
      <c r="BA34" s="439">
        <f t="shared" si="26"/>
        <v>504.59999999999997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147312</v>
      </c>
      <c r="Y35" s="332">
        <f t="shared" si="17"/>
        <v>0</v>
      </c>
      <c r="Z35" s="5">
        <f t="shared" si="15"/>
        <v>96739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199.48</v>
      </c>
      <c r="AF35" s="83">
        <f t="shared" si="19"/>
        <v>0</v>
      </c>
      <c r="AG35" s="5">
        <f t="shared" si="15"/>
        <v>2109.27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156</v>
      </c>
      <c r="AU35" s="438">
        <f t="shared" si="34"/>
        <v>1.1000000000000001</v>
      </c>
      <c r="AV35" s="204">
        <f t="shared" si="34"/>
        <v>146</v>
      </c>
      <c r="AW35" s="5">
        <v>2.9</v>
      </c>
      <c r="AX35" s="204">
        <f t="shared" ref="AX35" si="44">AX34</f>
        <v>174</v>
      </c>
      <c r="AY35" s="439">
        <f t="shared" si="7"/>
        <v>140.4</v>
      </c>
      <c r="AZ35" s="439">
        <f t="shared" si="25"/>
        <v>160.60000000000002</v>
      </c>
      <c r="BA35" s="439">
        <f t="shared" si="26"/>
        <v>504.59999999999997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45">B36-B35</f>
        <v>0</v>
      </c>
      <c r="D36" s="430">
        <f t="shared" ref="D36" si="46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47">G36-G35</f>
        <v>0</v>
      </c>
      <c r="I36" s="5">
        <f t="shared" ref="I36" si="48">C36+H36</f>
        <v>0</v>
      </c>
      <c r="J36" s="342">
        <f t="shared" ref="J36" si="49">IF(I36&gt;0,E36/I36,0)</f>
        <v>0</v>
      </c>
      <c r="K36" s="5">
        <f>'Swimming Pool quality check '!H36</f>
        <v>6555</v>
      </c>
      <c r="L36" s="83">
        <f t="shared" ref="L36" si="50">K36-K35</f>
        <v>0</v>
      </c>
      <c r="M36" s="421">
        <f t="shared" si="13"/>
        <v>457.44</v>
      </c>
      <c r="N36" s="529">
        <f t="shared" ref="N36" si="51">SUM(M36-M35)</f>
        <v>0</v>
      </c>
      <c r="O36" s="421">
        <f t="shared" si="14"/>
        <v>529.52</v>
      </c>
      <c r="P36" s="529">
        <f t="shared" ref="P36" si="52">SUM(O36-O35)</f>
        <v>0</v>
      </c>
      <c r="Q36" s="529">
        <f t="shared" ref="Q36" si="53">SUM(P36+N36)</f>
        <v>0</v>
      </c>
      <c r="R36" s="529"/>
      <c r="S36" s="529"/>
      <c r="T36" s="5">
        <f t="shared" si="15"/>
        <v>5040</v>
      </c>
      <c r="U36" s="5">
        <f t="shared" ref="U36" si="54">SUM(T36-T35)</f>
        <v>0</v>
      </c>
      <c r="V36" s="5">
        <f t="shared" si="15"/>
        <v>425</v>
      </c>
      <c r="W36" s="332">
        <f t="shared" ref="W36" si="55">+V36-V35</f>
        <v>0</v>
      </c>
      <c r="X36" s="5">
        <f t="shared" si="15"/>
        <v>147312</v>
      </c>
      <c r="Y36" s="332">
        <f t="shared" ref="Y36" si="56">SUM(X36-X35)</f>
        <v>0</v>
      </c>
      <c r="Z36" s="5">
        <f t="shared" si="15"/>
        <v>96739</v>
      </c>
      <c r="AA36" s="83">
        <f t="shared" ref="AA36" si="57">Z36-Z35</f>
        <v>0</v>
      </c>
      <c r="AB36" s="5">
        <f t="shared" si="15"/>
        <v>264</v>
      </c>
      <c r="AC36" s="5">
        <f t="shared" si="15"/>
        <v>698</v>
      </c>
      <c r="AD36" s="83">
        <f t="shared" ref="AD36" si="58">AC36-AC35</f>
        <v>0</v>
      </c>
      <c r="AE36" s="5">
        <f t="shared" si="15"/>
        <v>199.48</v>
      </c>
      <c r="AF36" s="83">
        <f t="shared" ref="AF36" si="59">AE36-AE35</f>
        <v>0</v>
      </c>
      <c r="AG36" s="5">
        <f t="shared" si="15"/>
        <v>2109.27</v>
      </c>
      <c r="AH36" s="83">
        <f t="shared" ref="AH36" si="60">AG36-AG35</f>
        <v>0</v>
      </c>
      <c r="AI36" s="83">
        <f t="shared" ref="AI36" si="61">AF36+AH36</f>
        <v>0</v>
      </c>
      <c r="AJ36" s="334">
        <f t="shared" ref="AJ36" si="62">+Z36-Z35</f>
        <v>0</v>
      </c>
      <c r="AK36" s="335">
        <f t="shared" ref="AK36" si="63">SUM(Y36-L36)</f>
        <v>0</v>
      </c>
      <c r="AL36" s="335">
        <f t="shared" ref="AL36" si="64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5">A36</f>
        <v>44074</v>
      </c>
      <c r="AS36" s="435">
        <f t="shared" si="39"/>
        <v>0.9</v>
      </c>
      <c r="AT36" s="204">
        <f t="shared" si="39"/>
        <v>156</v>
      </c>
      <c r="AU36" s="438">
        <f t="shared" si="34"/>
        <v>1.1000000000000001</v>
      </c>
      <c r="AV36" s="204">
        <f t="shared" si="34"/>
        <v>146</v>
      </c>
      <c r="AW36" s="5">
        <v>2.9</v>
      </c>
      <c r="AX36" s="204">
        <f t="shared" ref="AX36" si="66">AX35</f>
        <v>174</v>
      </c>
      <c r="AY36" s="439">
        <f t="shared" ref="AY36" si="67">AS36*AT36</f>
        <v>140.4</v>
      </c>
      <c r="AZ36" s="439">
        <f t="shared" ref="AZ36" si="68">AU36*AV36</f>
        <v>160.60000000000002</v>
      </c>
      <c r="BA36" s="439">
        <f t="shared" ref="BA36" si="69">AW36*AX36</f>
        <v>504.59999999999997</v>
      </c>
      <c r="BB36" s="21">
        <f t="shared" ref="BB36" si="70">AY36-AY35</f>
        <v>0</v>
      </c>
      <c r="BC36" s="230">
        <f t="shared" ref="BC36" si="71">AZ36-AZ35</f>
        <v>0</v>
      </c>
      <c r="BD36" s="230">
        <f t="shared" ref="BD36" si="72">BA36-BA35</f>
        <v>0</v>
      </c>
      <c r="BE36" s="24">
        <f t="shared" ref="BE36" si="73">SUM(BB36:BD36)</f>
        <v>0</v>
      </c>
      <c r="BF36" s="96">
        <f t="shared" ref="BF36" si="74">SUM(I36-BE36)</f>
        <v>0</v>
      </c>
      <c r="BG36" s="82">
        <f t="shared" ref="BG36" si="75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454</v>
      </c>
      <c r="AK37" s="335" t="e">
        <f t="shared" si="5"/>
        <v>#REF!</v>
      </c>
      <c r="AL37" s="330">
        <f>SUM(AL6:AL35)</f>
        <v>451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30" activePane="bottomLeft" state="frozen"/>
      <selection pane="bottomLeft" activeCell="F30" sqref="F30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9" t="s">
        <v>193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5.75" customHeight="1" thickBot="1">
      <c r="A2" s="632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4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599">
        <f>'[1]General information '!E36</f>
        <v>0.52</v>
      </c>
      <c r="F5" s="599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>
        <v>30</v>
      </c>
      <c r="C23" s="37">
        <v>26</v>
      </c>
      <c r="D23" s="26">
        <f>(C23+B23)/2</f>
        <v>28</v>
      </c>
      <c r="E23" s="348">
        <v>0.68</v>
      </c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>
        <v>30</v>
      </c>
      <c r="C24" s="37">
        <v>25</v>
      </c>
      <c r="D24" s="26">
        <f t="shared" si="3"/>
        <v>27.5</v>
      </c>
      <c r="E24" s="348">
        <v>0.68</v>
      </c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>
        <v>30</v>
      </c>
      <c r="C25" s="37">
        <v>25</v>
      </c>
      <c r="D25" s="26">
        <f t="shared" si="3"/>
        <v>27.5</v>
      </c>
      <c r="E25" s="348">
        <v>0.64</v>
      </c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>
        <v>31</v>
      </c>
      <c r="C26" s="37">
        <v>27</v>
      </c>
      <c r="D26" s="26">
        <f>(C26+B26)/2</f>
        <v>29</v>
      </c>
      <c r="E26" s="348">
        <v>0.61</v>
      </c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>
        <v>30</v>
      </c>
      <c r="C27" s="37">
        <v>26</v>
      </c>
      <c r="D27" s="26">
        <f t="shared" si="3"/>
        <v>28</v>
      </c>
      <c r="E27" s="348">
        <v>0.6</v>
      </c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>
        <v>32</v>
      </c>
      <c r="C28" s="37">
        <v>26</v>
      </c>
      <c r="D28" s="26">
        <f t="shared" si="3"/>
        <v>29</v>
      </c>
      <c r="E28" s="348">
        <v>0.56000000000000005</v>
      </c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>
        <v>32</v>
      </c>
      <c r="C29" s="37">
        <v>27</v>
      </c>
      <c r="D29" s="26">
        <f t="shared" si="3"/>
        <v>29.5</v>
      </c>
      <c r="E29" s="348">
        <v>0.48</v>
      </c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>
        <v>34</v>
      </c>
      <c r="C30" s="37">
        <v>18</v>
      </c>
      <c r="D30" s="26">
        <f t="shared" si="3"/>
        <v>26</v>
      </c>
      <c r="E30" s="348">
        <v>0.45</v>
      </c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28.1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8" zoomScale="90" zoomScaleNormal="90" workbookViewId="0">
      <pane xSplit="1" topLeftCell="AG1" activePane="topRight" state="frozen"/>
      <selection pane="topRight" activeCell="AH31" sqref="AH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7" t="s">
        <v>108</v>
      </c>
      <c r="AS3" s="637" t="s">
        <v>233</v>
      </c>
      <c r="AT3" s="635" t="s">
        <v>301</v>
      </c>
      <c r="AU3" s="636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8"/>
      <c r="AS4" s="638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187.3</v>
      </c>
      <c r="C10" s="206">
        <f t="shared" si="18"/>
        <v>4029.9709677419355</v>
      </c>
      <c r="D10">
        <f t="shared" si="19"/>
        <v>187.3</v>
      </c>
      <c r="E10" s="206">
        <f t="shared" si="18"/>
        <v>4029.9709677419355</v>
      </c>
      <c r="F10">
        <f t="shared" si="20"/>
        <v>187.3</v>
      </c>
      <c r="G10" s="206">
        <f t="shared" si="1"/>
        <v>4029.9709677419355</v>
      </c>
      <c r="H10" s="206">
        <f t="shared" si="21"/>
        <v>187.3</v>
      </c>
      <c r="I10" s="206">
        <f t="shared" si="2"/>
        <v>4029.9709677419355</v>
      </c>
      <c r="J10" s="206">
        <f t="shared" si="22"/>
        <v>187.3</v>
      </c>
      <c r="K10" s="206">
        <f t="shared" si="3"/>
        <v>4029.9709677419355</v>
      </c>
      <c r="L10" s="206">
        <f t="shared" si="23"/>
        <v>187.3</v>
      </c>
      <c r="M10" s="206">
        <f t="shared" si="4"/>
        <v>4029.9709677419355</v>
      </c>
      <c r="N10" s="206">
        <f t="shared" si="24"/>
        <v>187.3</v>
      </c>
      <c r="O10" s="206">
        <f t="shared" si="5"/>
        <v>4029.9709677419355</v>
      </c>
      <c r="P10" s="206">
        <f t="shared" si="25"/>
        <v>187.3</v>
      </c>
      <c r="Q10" s="206">
        <f t="shared" si="6"/>
        <v>4029.9709677419355</v>
      </c>
      <c r="R10" s="206">
        <f t="shared" si="26"/>
        <v>187.3</v>
      </c>
      <c r="S10" s="206">
        <f t="shared" si="7"/>
        <v>4029.9709677419355</v>
      </c>
      <c r="T10" s="206">
        <f t="shared" si="27"/>
        <v>187.3</v>
      </c>
      <c r="U10" s="206">
        <f t="shared" si="8"/>
        <v>4029.9709677419355</v>
      </c>
      <c r="V10" s="206">
        <f t="shared" si="28"/>
        <v>187.3</v>
      </c>
      <c r="W10" s="206">
        <f t="shared" si="9"/>
        <v>4029.9709677419355</v>
      </c>
      <c r="X10" s="35">
        <f t="shared" si="10"/>
        <v>0.60419354838709682</v>
      </c>
      <c r="Y10" s="36">
        <f t="shared" si="29"/>
        <v>44329.680645161294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0.62288566898097553</v>
      </c>
      <c r="AR10" s="38">
        <f t="shared" si="41"/>
        <v>57909.680645161294</v>
      </c>
      <c r="AS10" s="200">
        <f t="shared" si="38"/>
        <v>-4662.5451612903125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-4518.5451612903125</v>
      </c>
      <c r="AY10" s="37">
        <f t="shared" si="40"/>
        <v>-4662.5451612903125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5"/>
      <c r="AQ11" s="226">
        <f t="shared" si="37"/>
        <v>0.61807034527266858</v>
      </c>
      <c r="AR11" s="38">
        <f t="shared" si="41"/>
        <v>57462</v>
      </c>
      <c r="AS11" s="200">
        <f>SUM(AR11-AR10-AT11)</f>
        <v>-447.6806451612938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-447.6806451612938</v>
      </c>
      <c r="AY11" s="37">
        <f t="shared" si="40"/>
        <v>-447.6806451612938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5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5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28</v>
      </c>
      <c r="BB23" s="404">
        <f>SUM('General information '!E23)</f>
        <v>0.68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226</v>
      </c>
      <c r="C24" s="206">
        <f t="shared" si="18"/>
        <v>4862.6451612903229</v>
      </c>
      <c r="D24">
        <f t="shared" si="19"/>
        <v>226</v>
      </c>
      <c r="E24" s="206">
        <f t="shared" si="18"/>
        <v>4862.6451612903229</v>
      </c>
      <c r="F24">
        <f t="shared" si="20"/>
        <v>226</v>
      </c>
      <c r="G24" s="206">
        <f t="shared" si="1"/>
        <v>4862.6451612903229</v>
      </c>
      <c r="H24" s="206">
        <f t="shared" si="21"/>
        <v>226</v>
      </c>
      <c r="I24" s="206">
        <f t="shared" si="2"/>
        <v>4862.6451612903229</v>
      </c>
      <c r="J24" s="206">
        <f t="shared" si="22"/>
        <v>226</v>
      </c>
      <c r="K24" s="206">
        <f t="shared" si="3"/>
        <v>4862.6451612903229</v>
      </c>
      <c r="L24" s="206">
        <f t="shared" si="23"/>
        <v>226</v>
      </c>
      <c r="M24" s="206">
        <f t="shared" si="4"/>
        <v>4862.6451612903229</v>
      </c>
      <c r="N24" s="206">
        <f t="shared" si="24"/>
        <v>226</v>
      </c>
      <c r="O24" s="206">
        <f t="shared" si="5"/>
        <v>4862.6451612903229</v>
      </c>
      <c r="P24" s="206">
        <f t="shared" si="25"/>
        <v>226</v>
      </c>
      <c r="Q24" s="206">
        <f t="shared" si="6"/>
        <v>4862.6451612903229</v>
      </c>
      <c r="R24" s="206">
        <f t="shared" si="26"/>
        <v>226</v>
      </c>
      <c r="S24" s="206">
        <f t="shared" si="7"/>
        <v>4862.6451612903229</v>
      </c>
      <c r="T24" s="206">
        <f t="shared" si="27"/>
        <v>226</v>
      </c>
      <c r="U24" s="206">
        <f t="shared" si="8"/>
        <v>4862.6451612903229</v>
      </c>
      <c r="V24" s="206">
        <f t="shared" si="28"/>
        <v>226</v>
      </c>
      <c r="W24" s="206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6">
        <f>'B5'!C23</f>
        <v>232</v>
      </c>
      <c r="AA24" s="206">
        <f t="shared" si="30"/>
        <v>2320</v>
      </c>
      <c r="AB24" s="206">
        <f t="shared" si="31"/>
        <v>232</v>
      </c>
      <c r="AC24" s="206">
        <f t="shared" si="30"/>
        <v>2320</v>
      </c>
      <c r="AD24" s="206">
        <f t="shared" si="32"/>
        <v>232</v>
      </c>
      <c r="AE24" s="206">
        <f t="shared" si="11"/>
        <v>2320</v>
      </c>
      <c r="AF24" s="206">
        <f t="shared" si="33"/>
        <v>232</v>
      </c>
      <c r="AG24" s="206">
        <f t="shared" si="12"/>
        <v>2320</v>
      </c>
      <c r="AH24" s="206">
        <f t="shared" si="34"/>
        <v>232</v>
      </c>
      <c r="AI24" s="206">
        <f t="shared" si="13"/>
        <v>2320</v>
      </c>
      <c r="AJ24" s="206">
        <f t="shared" si="35"/>
        <v>232</v>
      </c>
      <c r="AK24" s="206">
        <f t="shared" si="14"/>
        <v>2320</v>
      </c>
      <c r="AL24" s="206">
        <f t="shared" si="36"/>
        <v>232</v>
      </c>
      <c r="AM24" s="206">
        <f t="shared" si="15"/>
        <v>2320</v>
      </c>
      <c r="AN24" s="35">
        <f t="shared" si="16"/>
        <v>0.82857142857142863</v>
      </c>
      <c r="AO24" s="36">
        <f t="shared" si="17"/>
        <v>16240</v>
      </c>
      <c r="AQ24" s="226">
        <f t="shared" si="37"/>
        <v>0.75001717515535726</v>
      </c>
      <c r="AR24" s="38">
        <f t="shared" si="41"/>
        <v>69729.09677419356</v>
      </c>
      <c r="AS24" s="200">
        <f t="shared" si="38"/>
        <v>-1226.7096774193487</v>
      </c>
      <c r="AT24" s="277"/>
      <c r="AU24" s="449"/>
      <c r="AV24" s="533">
        <f t="shared" si="42"/>
        <v>0.53500000000000003</v>
      </c>
      <c r="AW24" s="298">
        <f>-SUM('B5'!AI23)</f>
        <v>-291</v>
      </c>
      <c r="AX24" s="298">
        <f t="shared" si="39"/>
        <v>-935.70967741934874</v>
      </c>
      <c r="AY24" s="37">
        <f t="shared" si="40"/>
        <v>-1226.7096774193487</v>
      </c>
      <c r="AZ24" s="100">
        <f>ELEC!A21</f>
        <v>0</v>
      </c>
      <c r="BA24" s="118">
        <f>'General information '!D24</f>
        <v>27.5</v>
      </c>
      <c r="BB24" s="404">
        <f>SUM('General information '!E24)</f>
        <v>0.68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224</v>
      </c>
      <c r="C25" s="206">
        <f t="shared" si="18"/>
        <v>4819.6129032258068</v>
      </c>
      <c r="D25">
        <f t="shared" si="19"/>
        <v>224</v>
      </c>
      <c r="E25" s="206">
        <f t="shared" si="18"/>
        <v>4819.6129032258068</v>
      </c>
      <c r="F25">
        <f t="shared" si="20"/>
        <v>224</v>
      </c>
      <c r="G25" s="206">
        <f t="shared" si="1"/>
        <v>4819.6129032258068</v>
      </c>
      <c r="H25" s="206">
        <f t="shared" si="21"/>
        <v>224</v>
      </c>
      <c r="I25" s="206">
        <f t="shared" si="2"/>
        <v>4819.6129032258068</v>
      </c>
      <c r="J25" s="206">
        <f t="shared" si="22"/>
        <v>224</v>
      </c>
      <c r="K25" s="206">
        <f t="shared" si="3"/>
        <v>4819.6129032258068</v>
      </c>
      <c r="L25" s="206">
        <f t="shared" si="23"/>
        <v>224</v>
      </c>
      <c r="M25" s="206">
        <f t="shared" si="4"/>
        <v>4819.6129032258068</v>
      </c>
      <c r="N25" s="206">
        <f t="shared" si="24"/>
        <v>224</v>
      </c>
      <c r="O25" s="206">
        <f t="shared" si="5"/>
        <v>4819.6129032258068</v>
      </c>
      <c r="P25" s="206">
        <f t="shared" si="25"/>
        <v>224</v>
      </c>
      <c r="Q25" s="206">
        <f t="shared" si="6"/>
        <v>4819.6129032258068</v>
      </c>
      <c r="R25" s="206">
        <f t="shared" si="26"/>
        <v>224</v>
      </c>
      <c r="S25" s="206">
        <f t="shared" si="7"/>
        <v>4819.6129032258068</v>
      </c>
      <c r="T25" s="206">
        <f t="shared" si="27"/>
        <v>224</v>
      </c>
      <c r="U25" s="206">
        <f t="shared" si="8"/>
        <v>4819.6129032258068</v>
      </c>
      <c r="V25" s="206">
        <f t="shared" si="28"/>
        <v>224</v>
      </c>
      <c r="W25" s="206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6">
        <f>'B5'!C24</f>
        <v>230</v>
      </c>
      <c r="AA25" s="206">
        <f t="shared" si="30"/>
        <v>2300</v>
      </c>
      <c r="AB25" s="206">
        <f t="shared" si="31"/>
        <v>230</v>
      </c>
      <c r="AC25" s="206">
        <f t="shared" si="30"/>
        <v>2300</v>
      </c>
      <c r="AD25" s="206">
        <f t="shared" si="32"/>
        <v>230</v>
      </c>
      <c r="AE25" s="206">
        <f t="shared" si="11"/>
        <v>2300</v>
      </c>
      <c r="AF25" s="206">
        <f t="shared" si="33"/>
        <v>230</v>
      </c>
      <c r="AG25" s="206">
        <f t="shared" si="12"/>
        <v>2300</v>
      </c>
      <c r="AH25" s="206">
        <f t="shared" si="34"/>
        <v>230</v>
      </c>
      <c r="AI25" s="206">
        <f t="shared" si="13"/>
        <v>2300</v>
      </c>
      <c r="AJ25" s="206">
        <f t="shared" si="35"/>
        <v>230</v>
      </c>
      <c r="AK25" s="206">
        <f t="shared" si="14"/>
        <v>2300</v>
      </c>
      <c r="AL25" s="206">
        <f t="shared" si="36"/>
        <v>230</v>
      </c>
      <c r="AM25" s="206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6">
        <f t="shared" si="37"/>
        <v>0.74341983366122255</v>
      </c>
      <c r="AR25" s="38">
        <f t="shared" si="41"/>
        <v>69115.741935483864</v>
      </c>
      <c r="AS25" s="200">
        <f t="shared" si="38"/>
        <v>-613.3548387096962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-613.3548387096962</v>
      </c>
      <c r="AY25" s="37">
        <f t="shared" si="40"/>
        <v>-613.3548387096962</v>
      </c>
      <c r="AZ25" s="100">
        <f>ELEC!A22</f>
        <v>0</v>
      </c>
      <c r="BA25" s="118">
        <f>'General information '!D25</f>
        <v>27.5</v>
      </c>
      <c r="BB25" s="404">
        <f>SUM('General information '!E25)</f>
        <v>0.64</v>
      </c>
      <c r="BC25" s="3">
        <f t="shared" si="43"/>
        <v>0</v>
      </c>
      <c r="BD25" s="102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221</v>
      </c>
      <c r="C26" s="206">
        <f t="shared" si="18"/>
        <v>4755.0645161290322</v>
      </c>
      <c r="D26">
        <f t="shared" si="19"/>
        <v>221</v>
      </c>
      <c r="E26" s="206">
        <f t="shared" si="18"/>
        <v>4755.0645161290322</v>
      </c>
      <c r="F26">
        <f t="shared" si="20"/>
        <v>221</v>
      </c>
      <c r="G26" s="206">
        <f t="shared" si="1"/>
        <v>4755.0645161290322</v>
      </c>
      <c r="H26" s="206">
        <f t="shared" si="21"/>
        <v>221</v>
      </c>
      <c r="I26" s="206">
        <f t="shared" si="2"/>
        <v>4755.0645161290322</v>
      </c>
      <c r="J26" s="206">
        <f t="shared" si="22"/>
        <v>221</v>
      </c>
      <c r="K26" s="206">
        <f t="shared" si="3"/>
        <v>4755.0645161290322</v>
      </c>
      <c r="L26" s="206">
        <f t="shared" si="23"/>
        <v>221</v>
      </c>
      <c r="M26" s="206">
        <f t="shared" si="4"/>
        <v>4755.0645161290322</v>
      </c>
      <c r="N26" s="206">
        <f t="shared" si="24"/>
        <v>221</v>
      </c>
      <c r="O26" s="206">
        <f t="shared" si="5"/>
        <v>4755.0645161290322</v>
      </c>
      <c r="P26" s="206">
        <f t="shared" si="25"/>
        <v>221</v>
      </c>
      <c r="Q26" s="206">
        <f t="shared" si="6"/>
        <v>4755.0645161290322</v>
      </c>
      <c r="R26" s="206">
        <f t="shared" si="26"/>
        <v>221</v>
      </c>
      <c r="S26" s="206">
        <f t="shared" si="7"/>
        <v>4755.0645161290322</v>
      </c>
      <c r="T26" s="206">
        <f t="shared" si="27"/>
        <v>221</v>
      </c>
      <c r="U26" s="206">
        <f t="shared" si="8"/>
        <v>4755.0645161290322</v>
      </c>
      <c r="V26" s="206">
        <f t="shared" si="28"/>
        <v>221</v>
      </c>
      <c r="W26" s="206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6">
        <f>'B5'!C25</f>
        <v>227</v>
      </c>
      <c r="AA26" s="206">
        <f t="shared" si="30"/>
        <v>2270</v>
      </c>
      <c r="AB26" s="206">
        <f t="shared" si="31"/>
        <v>227</v>
      </c>
      <c r="AC26" s="206">
        <f t="shared" si="30"/>
        <v>2270</v>
      </c>
      <c r="AD26" s="206">
        <f t="shared" si="32"/>
        <v>227</v>
      </c>
      <c r="AE26" s="206">
        <f t="shared" si="11"/>
        <v>2270</v>
      </c>
      <c r="AF26" s="206">
        <f t="shared" si="33"/>
        <v>227</v>
      </c>
      <c r="AG26" s="206">
        <f t="shared" si="12"/>
        <v>2270</v>
      </c>
      <c r="AH26" s="206">
        <f t="shared" si="34"/>
        <v>227</v>
      </c>
      <c r="AI26" s="206">
        <f t="shared" si="13"/>
        <v>2270</v>
      </c>
      <c r="AJ26" s="206">
        <f t="shared" si="35"/>
        <v>227</v>
      </c>
      <c r="AK26" s="206">
        <f t="shared" si="14"/>
        <v>2270</v>
      </c>
      <c r="AL26" s="206">
        <f t="shared" si="36"/>
        <v>227</v>
      </c>
      <c r="AM26" s="206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6">
        <f t="shared" si="37"/>
        <v>0.73352382142002082</v>
      </c>
      <c r="AR26" s="38">
        <f t="shared" si="41"/>
        <v>68195.709677419334</v>
      </c>
      <c r="AS26" s="200">
        <f t="shared" si="38"/>
        <v>-920.03225806452974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-920.03225806452974</v>
      </c>
      <c r="AY26" s="37">
        <f t="shared" si="40"/>
        <v>-920.03225806452974</v>
      </c>
      <c r="AZ26" s="100">
        <f>ELEC!A23</f>
        <v>0</v>
      </c>
      <c r="BA26" s="118">
        <f>'General information '!D26</f>
        <v>29</v>
      </c>
      <c r="BB26" s="404">
        <f>SUM('General information '!E26)</f>
        <v>0.61</v>
      </c>
      <c r="BC26" s="3">
        <f t="shared" si="43"/>
        <v>0</v>
      </c>
      <c r="BD26" s="102">
        <v>19222</v>
      </c>
      <c r="BE26" s="14">
        <f>(305/1185)*ELEC!Q24</f>
        <v>257.38396624472574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220</v>
      </c>
      <c r="C27" s="206">
        <f t="shared" si="18"/>
        <v>4733.5483870967737</v>
      </c>
      <c r="D27">
        <f t="shared" si="19"/>
        <v>220</v>
      </c>
      <c r="E27" s="206">
        <f t="shared" si="18"/>
        <v>4733.5483870967737</v>
      </c>
      <c r="F27">
        <f t="shared" si="20"/>
        <v>220</v>
      </c>
      <c r="G27" s="206">
        <f t="shared" si="1"/>
        <v>4733.5483870967737</v>
      </c>
      <c r="H27" s="206">
        <f t="shared" si="21"/>
        <v>220</v>
      </c>
      <c r="I27" s="206">
        <f t="shared" si="2"/>
        <v>4733.5483870967737</v>
      </c>
      <c r="J27" s="206">
        <f t="shared" si="22"/>
        <v>220</v>
      </c>
      <c r="K27" s="206">
        <f t="shared" si="3"/>
        <v>4733.5483870967737</v>
      </c>
      <c r="L27" s="206">
        <f t="shared" si="23"/>
        <v>220</v>
      </c>
      <c r="M27" s="206">
        <f t="shared" si="4"/>
        <v>4733.5483870967737</v>
      </c>
      <c r="N27" s="206">
        <f t="shared" si="24"/>
        <v>220</v>
      </c>
      <c r="O27" s="206">
        <f t="shared" si="5"/>
        <v>4733.5483870967737</v>
      </c>
      <c r="P27" s="206">
        <f t="shared" si="25"/>
        <v>220</v>
      </c>
      <c r="Q27" s="206">
        <f t="shared" si="6"/>
        <v>4733.5483870967737</v>
      </c>
      <c r="R27" s="206">
        <f t="shared" si="26"/>
        <v>220</v>
      </c>
      <c r="S27" s="206">
        <f t="shared" si="7"/>
        <v>4733.5483870967737</v>
      </c>
      <c r="T27" s="206">
        <f t="shared" si="27"/>
        <v>220</v>
      </c>
      <c r="U27" s="206">
        <f t="shared" si="8"/>
        <v>4733.5483870967737</v>
      </c>
      <c r="V27" s="206">
        <f t="shared" si="28"/>
        <v>220</v>
      </c>
      <c r="W27" s="206">
        <f t="shared" si="9"/>
        <v>4733.5483870967737</v>
      </c>
      <c r="X27" s="35">
        <f t="shared" si="10"/>
        <v>0.70967741935483863</v>
      </c>
      <c r="Y27" s="36">
        <f t="shared" si="29"/>
        <v>52069.032258064508</v>
      </c>
      <c r="Z27" s="206">
        <f>'B5'!C26</f>
        <v>226.5</v>
      </c>
      <c r="AA27" s="206">
        <f t="shared" si="30"/>
        <v>2265</v>
      </c>
      <c r="AB27" s="206">
        <f t="shared" si="31"/>
        <v>226.5</v>
      </c>
      <c r="AC27" s="206">
        <f t="shared" si="30"/>
        <v>2265</v>
      </c>
      <c r="AD27" s="206">
        <f t="shared" si="32"/>
        <v>226.5</v>
      </c>
      <c r="AE27" s="206">
        <f t="shared" si="11"/>
        <v>2265</v>
      </c>
      <c r="AF27" s="206">
        <f t="shared" si="33"/>
        <v>226.5</v>
      </c>
      <c r="AG27" s="206">
        <f t="shared" si="12"/>
        <v>2265</v>
      </c>
      <c r="AH27" s="206">
        <f t="shared" si="34"/>
        <v>226.5</v>
      </c>
      <c r="AI27" s="206">
        <f t="shared" si="13"/>
        <v>2265</v>
      </c>
      <c r="AJ27" s="206">
        <f t="shared" si="35"/>
        <v>226.5</v>
      </c>
      <c r="AK27" s="206">
        <f t="shared" si="14"/>
        <v>2265</v>
      </c>
      <c r="AL27" s="206">
        <f t="shared" si="36"/>
        <v>226.5</v>
      </c>
      <c r="AM27" s="206">
        <f t="shared" si="15"/>
        <v>2265</v>
      </c>
      <c r="AN27" s="35">
        <f t="shared" si="16"/>
        <v>0.80892857142857144</v>
      </c>
      <c r="AO27" s="36">
        <f t="shared" si="17"/>
        <v>15855</v>
      </c>
      <c r="AQ27" s="226">
        <f t="shared" si="37"/>
        <v>0.73060161619946773</v>
      </c>
      <c r="AR27" s="38">
        <f t="shared" si="41"/>
        <v>67924.032258064515</v>
      </c>
      <c r="AS27" s="200">
        <f t="shared" si="38"/>
        <v>-271.67741935481899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-271.67741935481899</v>
      </c>
      <c r="AY27" s="37">
        <f t="shared" si="40"/>
        <v>-271.67741935481899</v>
      </c>
      <c r="AZ27" s="100">
        <f>ELEC!A24</f>
        <v>0</v>
      </c>
      <c r="BA27" s="118">
        <f>'General information '!D27</f>
        <v>28</v>
      </c>
      <c r="BB27" s="404">
        <f>SUM('General information '!E27)</f>
        <v>0.6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219</v>
      </c>
      <c r="C28" s="206">
        <f t="shared" si="18"/>
        <v>4712.0322580645161</v>
      </c>
      <c r="D28">
        <f t="shared" si="19"/>
        <v>219</v>
      </c>
      <c r="E28" s="206">
        <f t="shared" si="18"/>
        <v>4712.0322580645161</v>
      </c>
      <c r="F28">
        <f t="shared" si="20"/>
        <v>219</v>
      </c>
      <c r="G28" s="206">
        <f t="shared" si="1"/>
        <v>4712.0322580645161</v>
      </c>
      <c r="H28" s="206">
        <f t="shared" si="21"/>
        <v>219</v>
      </c>
      <c r="I28" s="206">
        <f t="shared" si="2"/>
        <v>4712.0322580645161</v>
      </c>
      <c r="J28" s="206">
        <f t="shared" si="22"/>
        <v>219</v>
      </c>
      <c r="K28" s="206">
        <f t="shared" si="3"/>
        <v>4712.0322580645161</v>
      </c>
      <c r="L28" s="206">
        <f t="shared" si="23"/>
        <v>219</v>
      </c>
      <c r="M28" s="206">
        <f t="shared" si="4"/>
        <v>4712.0322580645161</v>
      </c>
      <c r="N28" s="206">
        <f t="shared" si="24"/>
        <v>219</v>
      </c>
      <c r="O28" s="206">
        <f t="shared" si="5"/>
        <v>4712.0322580645161</v>
      </c>
      <c r="P28" s="206">
        <f t="shared" si="25"/>
        <v>219</v>
      </c>
      <c r="Q28" s="206">
        <f t="shared" si="6"/>
        <v>4712.0322580645161</v>
      </c>
      <c r="R28" s="206">
        <f t="shared" si="26"/>
        <v>219</v>
      </c>
      <c r="S28" s="206">
        <f t="shared" si="7"/>
        <v>4712.0322580645161</v>
      </c>
      <c r="T28" s="206">
        <f t="shared" si="27"/>
        <v>219</v>
      </c>
      <c r="U28" s="206">
        <f t="shared" si="8"/>
        <v>4712.0322580645161</v>
      </c>
      <c r="V28" s="206">
        <f t="shared" si="28"/>
        <v>219</v>
      </c>
      <c r="W28" s="206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6">
        <f>'B5'!C27</f>
        <v>225</v>
      </c>
      <c r="AA28" s="206">
        <f t="shared" si="30"/>
        <v>2250</v>
      </c>
      <c r="AB28" s="206">
        <f t="shared" si="31"/>
        <v>225</v>
      </c>
      <c r="AC28" s="206">
        <f t="shared" si="30"/>
        <v>2250</v>
      </c>
      <c r="AD28" s="206">
        <f t="shared" si="32"/>
        <v>225</v>
      </c>
      <c r="AE28" s="206">
        <f t="shared" si="11"/>
        <v>2250</v>
      </c>
      <c r="AF28" s="206">
        <f t="shared" si="33"/>
        <v>225</v>
      </c>
      <c r="AG28" s="206">
        <f t="shared" si="12"/>
        <v>2250</v>
      </c>
      <c r="AH28" s="206">
        <f t="shared" si="34"/>
        <v>225</v>
      </c>
      <c r="AI28" s="206">
        <f t="shared" si="13"/>
        <v>2250</v>
      </c>
      <c r="AJ28" s="206">
        <f t="shared" si="35"/>
        <v>225</v>
      </c>
      <c r="AK28" s="206">
        <f t="shared" si="14"/>
        <v>2250</v>
      </c>
      <c r="AL28" s="206">
        <f t="shared" si="36"/>
        <v>225</v>
      </c>
      <c r="AM28" s="206">
        <f t="shared" si="15"/>
        <v>2250</v>
      </c>
      <c r="AN28" s="35">
        <f t="shared" si="16"/>
        <v>0.8035714285714286</v>
      </c>
      <c r="AO28" s="36">
        <f t="shared" si="17"/>
        <v>15750</v>
      </c>
      <c r="AQ28" s="226">
        <f t="shared" si="37"/>
        <v>0.72692647992588644</v>
      </c>
      <c r="AR28" s="38">
        <f t="shared" si="41"/>
        <v>67582.354838709667</v>
      </c>
      <c r="AS28" s="200">
        <f t="shared" si="38"/>
        <v>-341.6774193548481</v>
      </c>
      <c r="AT28" s="365"/>
      <c r="AU28" s="449"/>
      <c r="AV28" s="533">
        <f t="shared" si="42"/>
        <v>0.53500000000000003</v>
      </c>
      <c r="AW28" s="298">
        <f>-SUM('B5'!AI27)</f>
        <v>-282</v>
      </c>
      <c r="AX28" s="298">
        <f t="shared" si="39"/>
        <v>-59.677419354848098</v>
      </c>
      <c r="AY28" s="37">
        <f t="shared" si="40"/>
        <v>-341.6774193548481</v>
      </c>
      <c r="AZ28" s="100">
        <f>ELEC!A25</f>
        <v>0</v>
      </c>
      <c r="BA28" s="118">
        <f>'General information '!D28</f>
        <v>29</v>
      </c>
      <c r="BB28" s="404">
        <f>SUM('General information '!E28)</f>
        <v>0.56000000000000005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217</v>
      </c>
      <c r="C29" s="206">
        <f t="shared" si="18"/>
        <v>4669</v>
      </c>
      <c r="D29">
        <f t="shared" si="19"/>
        <v>217</v>
      </c>
      <c r="E29" s="206">
        <f t="shared" si="18"/>
        <v>4669</v>
      </c>
      <c r="F29">
        <f t="shared" si="20"/>
        <v>217</v>
      </c>
      <c r="G29" s="206">
        <f t="shared" si="1"/>
        <v>4669</v>
      </c>
      <c r="H29" s="206">
        <f t="shared" si="21"/>
        <v>217</v>
      </c>
      <c r="I29" s="206">
        <f t="shared" si="2"/>
        <v>4669</v>
      </c>
      <c r="J29" s="206">
        <f t="shared" si="22"/>
        <v>217</v>
      </c>
      <c r="K29" s="206">
        <f t="shared" si="3"/>
        <v>4669</v>
      </c>
      <c r="L29" s="206">
        <f t="shared" si="23"/>
        <v>217</v>
      </c>
      <c r="M29" s="206">
        <f t="shared" si="4"/>
        <v>4669</v>
      </c>
      <c r="N29" s="206">
        <f t="shared" si="24"/>
        <v>217</v>
      </c>
      <c r="O29" s="206">
        <f t="shared" si="5"/>
        <v>4669</v>
      </c>
      <c r="P29" s="206">
        <f t="shared" si="25"/>
        <v>217</v>
      </c>
      <c r="Q29" s="206">
        <f t="shared" si="6"/>
        <v>4669</v>
      </c>
      <c r="R29" s="206">
        <f t="shared" si="26"/>
        <v>217</v>
      </c>
      <c r="S29" s="206">
        <f t="shared" si="7"/>
        <v>4669</v>
      </c>
      <c r="T29" s="206">
        <f t="shared" si="27"/>
        <v>217</v>
      </c>
      <c r="U29" s="206">
        <f t="shared" si="8"/>
        <v>4669</v>
      </c>
      <c r="V29" s="206">
        <f t="shared" si="28"/>
        <v>217</v>
      </c>
      <c r="W29" s="206">
        <f t="shared" si="9"/>
        <v>4669</v>
      </c>
      <c r="X29" s="35">
        <f t="shared" si="10"/>
        <v>0.7</v>
      </c>
      <c r="Y29" s="36">
        <f t="shared" si="29"/>
        <v>51359</v>
      </c>
      <c r="Z29" s="206">
        <f>'B5'!C28</f>
        <v>223</v>
      </c>
      <c r="AA29" s="206">
        <f t="shared" si="30"/>
        <v>2230</v>
      </c>
      <c r="AB29" s="206">
        <f t="shared" si="31"/>
        <v>223</v>
      </c>
      <c r="AC29" s="206">
        <f t="shared" si="30"/>
        <v>2230</v>
      </c>
      <c r="AD29" s="206">
        <f t="shared" si="32"/>
        <v>223</v>
      </c>
      <c r="AE29" s="206">
        <f t="shared" si="11"/>
        <v>2230</v>
      </c>
      <c r="AF29" s="206">
        <f t="shared" si="33"/>
        <v>223</v>
      </c>
      <c r="AG29" s="206">
        <f t="shared" si="12"/>
        <v>2230</v>
      </c>
      <c r="AH29" s="206">
        <f t="shared" si="34"/>
        <v>223</v>
      </c>
      <c r="AI29" s="206">
        <f t="shared" si="13"/>
        <v>2230</v>
      </c>
      <c r="AJ29" s="206">
        <f t="shared" si="35"/>
        <v>223</v>
      </c>
      <c r="AK29" s="206">
        <f t="shared" si="14"/>
        <v>2230</v>
      </c>
      <c r="AL29" s="206">
        <f t="shared" si="36"/>
        <v>223</v>
      </c>
      <c r="AM29" s="206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6">
        <f t="shared" si="37"/>
        <v>0.72032913843175217</v>
      </c>
      <c r="AR29" s="38">
        <f t="shared" si="41"/>
        <v>66969</v>
      </c>
      <c r="AS29" s="200">
        <f t="shared" si="38"/>
        <v>-613.35483870966709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-613.35483870966709</v>
      </c>
      <c r="AY29" s="37">
        <f t="shared" si="40"/>
        <v>-613.35483870966709</v>
      </c>
      <c r="AZ29" s="100">
        <f>ELEC!A26</f>
        <v>0</v>
      </c>
      <c r="BA29" s="118">
        <f>'General information '!D29</f>
        <v>29.5</v>
      </c>
      <c r="BB29" s="404">
        <f>SUM('General information '!E29)</f>
        <v>0.48</v>
      </c>
      <c r="BC29" s="3">
        <f t="shared" si="43"/>
        <v>0</v>
      </c>
      <c r="BD29" s="102">
        <v>19222</v>
      </c>
      <c r="BE29" s="14">
        <f>(305/1185)*ELEC!Q27</f>
        <v>514.76793248945148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215</v>
      </c>
      <c r="C30" s="206">
        <f t="shared" si="18"/>
        <v>4625.9677419354839</v>
      </c>
      <c r="D30">
        <f t="shared" ref="D30:D35" si="44">SUM(B30)</f>
        <v>215</v>
      </c>
      <c r="E30" s="206">
        <f t="shared" si="18"/>
        <v>4625.9677419354839</v>
      </c>
      <c r="F30">
        <f t="shared" ref="F30:F35" si="45">SUM(D30)</f>
        <v>215</v>
      </c>
      <c r="G30" s="206">
        <f t="shared" si="1"/>
        <v>4625.9677419354839</v>
      </c>
      <c r="H30" s="206">
        <f t="shared" ref="H30:H35" si="46">SUM(F30)</f>
        <v>215</v>
      </c>
      <c r="I30" s="206">
        <f t="shared" si="2"/>
        <v>4625.9677419354839</v>
      </c>
      <c r="J30" s="206">
        <f t="shared" ref="J30:J35" si="47">SUM(H30)</f>
        <v>215</v>
      </c>
      <c r="K30" s="206">
        <f t="shared" si="3"/>
        <v>4625.9677419354839</v>
      </c>
      <c r="L30" s="206">
        <f t="shared" ref="L30:L35" si="48">SUM(J30)</f>
        <v>215</v>
      </c>
      <c r="M30" s="206">
        <f t="shared" si="4"/>
        <v>4625.9677419354839</v>
      </c>
      <c r="N30" s="206">
        <f t="shared" ref="N30:N35" si="49">SUM(L30)</f>
        <v>215</v>
      </c>
      <c r="O30" s="206">
        <f t="shared" si="5"/>
        <v>4625.9677419354839</v>
      </c>
      <c r="P30" s="206">
        <f t="shared" ref="P30:P35" si="50">SUM(N30)</f>
        <v>215</v>
      </c>
      <c r="Q30" s="206">
        <f t="shared" si="6"/>
        <v>4625.9677419354839</v>
      </c>
      <c r="R30" s="206">
        <f t="shared" ref="R30:R35" si="51">SUM(P30)</f>
        <v>215</v>
      </c>
      <c r="S30" s="206">
        <f t="shared" si="7"/>
        <v>4625.9677419354839</v>
      </c>
      <c r="T30" s="206">
        <f t="shared" ref="T30:T35" si="52">SUM(R30)</f>
        <v>215</v>
      </c>
      <c r="U30" s="206">
        <f t="shared" si="8"/>
        <v>4625.9677419354839</v>
      </c>
      <c r="V30" s="206">
        <f t="shared" ref="V30:V35" si="53">SUM(T30)</f>
        <v>215</v>
      </c>
      <c r="W30" s="206">
        <f t="shared" si="9"/>
        <v>4625.9677419354839</v>
      </c>
      <c r="X30" s="35">
        <f t="shared" ref="X30:X35" si="54">SUM(Y30/73370)</f>
        <v>0.69354838709677424</v>
      </c>
      <c r="Y30" s="36">
        <f t="shared" ref="Y30:Y35" si="55">SUM(C30+E30+G30+I30+K30+M30+O30+Q30+S30+U30+W30)</f>
        <v>50885.645161290326</v>
      </c>
      <c r="Z30" s="206">
        <f>'B5'!C29</f>
        <v>221</v>
      </c>
      <c r="AA30" s="206">
        <f t="shared" si="30"/>
        <v>2210</v>
      </c>
      <c r="AB30" s="206">
        <f t="shared" ref="AB30:AB35" si="56">SUM(Z30)</f>
        <v>221</v>
      </c>
      <c r="AC30" s="206">
        <f t="shared" si="30"/>
        <v>2210</v>
      </c>
      <c r="AD30" s="206">
        <f t="shared" ref="AD30:AD35" si="57">SUM(AB30)</f>
        <v>221</v>
      </c>
      <c r="AE30" s="206">
        <f t="shared" si="11"/>
        <v>2210</v>
      </c>
      <c r="AF30" s="206">
        <f t="shared" ref="AF30:AF35" si="58">SUM(AD30)</f>
        <v>221</v>
      </c>
      <c r="AG30" s="206">
        <f t="shared" si="12"/>
        <v>2210</v>
      </c>
      <c r="AH30" s="206">
        <f t="shared" ref="AH30:AH35" si="59">SUM(AF30)</f>
        <v>221</v>
      </c>
      <c r="AI30" s="206">
        <f t="shared" si="13"/>
        <v>2210</v>
      </c>
      <c r="AJ30" s="206">
        <f t="shared" ref="AJ30:AJ35" si="60">SUM(AH30)</f>
        <v>221</v>
      </c>
      <c r="AK30" s="206">
        <f t="shared" si="14"/>
        <v>2210</v>
      </c>
      <c r="AL30" s="206">
        <f t="shared" ref="AL30:AL35" si="61">SUM(AJ30)</f>
        <v>221</v>
      </c>
      <c r="AM30" s="206">
        <f t="shared" si="15"/>
        <v>2210</v>
      </c>
      <c r="AN30" s="35">
        <f t="shared" ref="AN30:AN35" si="62">SUM(AO30/19600)</f>
        <v>0.78928571428571426</v>
      </c>
      <c r="AO30" s="36">
        <f t="shared" ref="AO30:AO35" si="63">SUM(AA30+AC30+AE30+AG30+AI30+AK30+AM30)</f>
        <v>15470</v>
      </c>
      <c r="AQ30" s="226">
        <f t="shared" si="37"/>
        <v>0.7137317969376179</v>
      </c>
      <c r="AR30" s="38">
        <f t="shared" si="41"/>
        <v>66355.645161290333</v>
      </c>
      <c r="AS30" s="200">
        <f t="shared" si="38"/>
        <v>-613.35483870966709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-613.35483870966709</v>
      </c>
      <c r="AY30" s="37">
        <f t="shared" si="40"/>
        <v>-613.35483870966709</v>
      </c>
      <c r="AZ30" s="100">
        <f>ELEC!A27</f>
        <v>0</v>
      </c>
      <c r="BA30" s="118">
        <f>'General information '!D30</f>
        <v>26</v>
      </c>
      <c r="BB30" s="404">
        <f>SUM('General information '!E30)</f>
        <v>0.45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215</v>
      </c>
      <c r="C31" s="206">
        <f t="shared" si="18"/>
        <v>4625.9677419354839</v>
      </c>
      <c r="D31">
        <f t="shared" si="44"/>
        <v>215</v>
      </c>
      <c r="E31" s="206">
        <f t="shared" si="18"/>
        <v>4625.9677419354839</v>
      </c>
      <c r="F31">
        <f t="shared" si="45"/>
        <v>215</v>
      </c>
      <c r="G31" s="206">
        <f t="shared" si="1"/>
        <v>4625.9677419354839</v>
      </c>
      <c r="H31" s="206">
        <f t="shared" si="46"/>
        <v>215</v>
      </c>
      <c r="I31" s="206">
        <f t="shared" si="2"/>
        <v>4625.9677419354839</v>
      </c>
      <c r="J31" s="206">
        <f t="shared" si="47"/>
        <v>215</v>
      </c>
      <c r="K31" s="206">
        <f t="shared" si="3"/>
        <v>4625.9677419354839</v>
      </c>
      <c r="L31" s="206">
        <f t="shared" si="48"/>
        <v>215</v>
      </c>
      <c r="M31" s="206">
        <f t="shared" si="4"/>
        <v>4625.9677419354839</v>
      </c>
      <c r="N31" s="206">
        <f t="shared" si="49"/>
        <v>215</v>
      </c>
      <c r="O31" s="206">
        <f t="shared" si="5"/>
        <v>4625.9677419354839</v>
      </c>
      <c r="P31" s="206">
        <f t="shared" si="50"/>
        <v>215</v>
      </c>
      <c r="Q31" s="206">
        <f t="shared" si="6"/>
        <v>4625.9677419354839</v>
      </c>
      <c r="R31" s="206">
        <f t="shared" si="51"/>
        <v>215</v>
      </c>
      <c r="S31" s="206">
        <f t="shared" si="7"/>
        <v>4625.9677419354839</v>
      </c>
      <c r="T31" s="206">
        <f t="shared" si="52"/>
        <v>215</v>
      </c>
      <c r="U31" s="206">
        <f t="shared" si="8"/>
        <v>4625.9677419354839</v>
      </c>
      <c r="V31" s="206">
        <f t="shared" si="53"/>
        <v>215</v>
      </c>
      <c r="W31" s="206">
        <f t="shared" si="9"/>
        <v>4625.9677419354839</v>
      </c>
      <c r="X31" s="35">
        <f t="shared" si="54"/>
        <v>0.69354838709677424</v>
      </c>
      <c r="Y31" s="36">
        <f t="shared" si="55"/>
        <v>50885.645161290326</v>
      </c>
      <c r="Z31" s="206">
        <f>'B5'!C30</f>
        <v>221</v>
      </c>
      <c r="AA31" s="206">
        <f t="shared" si="30"/>
        <v>2210</v>
      </c>
      <c r="AB31" s="206">
        <f t="shared" si="56"/>
        <v>221</v>
      </c>
      <c r="AC31" s="206">
        <f t="shared" si="30"/>
        <v>2210</v>
      </c>
      <c r="AD31" s="206">
        <f t="shared" si="57"/>
        <v>221</v>
      </c>
      <c r="AE31" s="206">
        <f t="shared" si="11"/>
        <v>2210</v>
      </c>
      <c r="AF31" s="206">
        <f t="shared" si="58"/>
        <v>221</v>
      </c>
      <c r="AG31" s="206">
        <f t="shared" si="12"/>
        <v>2210</v>
      </c>
      <c r="AH31" s="206">
        <f t="shared" si="59"/>
        <v>221</v>
      </c>
      <c r="AI31" s="206">
        <f t="shared" si="13"/>
        <v>2210</v>
      </c>
      <c r="AJ31" s="206">
        <f t="shared" si="60"/>
        <v>221</v>
      </c>
      <c r="AK31" s="206">
        <f t="shared" si="14"/>
        <v>2210</v>
      </c>
      <c r="AL31" s="206">
        <f t="shared" si="61"/>
        <v>221</v>
      </c>
      <c r="AM31" s="206">
        <f t="shared" si="15"/>
        <v>2210</v>
      </c>
      <c r="AN31" s="35">
        <f t="shared" si="62"/>
        <v>0.78928571428571426</v>
      </c>
      <c r="AO31" s="36">
        <f t="shared" si="63"/>
        <v>15470</v>
      </c>
      <c r="AQ31" s="226">
        <f t="shared" si="37"/>
        <v>0.7137317969376179</v>
      </c>
      <c r="AR31" s="38">
        <f t="shared" si="41"/>
        <v>66355.645161290333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215</v>
      </c>
      <c r="C32" s="206">
        <f t="shared" si="18"/>
        <v>4625.9677419354839</v>
      </c>
      <c r="D32">
        <f t="shared" si="44"/>
        <v>215</v>
      </c>
      <c r="E32" s="206">
        <f t="shared" si="18"/>
        <v>4625.9677419354839</v>
      </c>
      <c r="F32">
        <f t="shared" si="45"/>
        <v>215</v>
      </c>
      <c r="G32" s="206">
        <f t="shared" si="1"/>
        <v>4625.9677419354839</v>
      </c>
      <c r="H32" s="206">
        <f t="shared" si="46"/>
        <v>215</v>
      </c>
      <c r="I32" s="206">
        <f t="shared" si="2"/>
        <v>4625.9677419354839</v>
      </c>
      <c r="J32" s="206">
        <f t="shared" si="47"/>
        <v>215</v>
      </c>
      <c r="K32" s="206">
        <f t="shared" si="3"/>
        <v>4625.9677419354839</v>
      </c>
      <c r="L32" s="206">
        <f t="shared" si="48"/>
        <v>215</v>
      </c>
      <c r="M32" s="206">
        <f t="shared" si="4"/>
        <v>4625.9677419354839</v>
      </c>
      <c r="N32" s="206">
        <f t="shared" si="49"/>
        <v>215</v>
      </c>
      <c r="O32" s="206">
        <f t="shared" si="5"/>
        <v>4625.9677419354839</v>
      </c>
      <c r="P32" s="206">
        <f t="shared" si="50"/>
        <v>215</v>
      </c>
      <c r="Q32" s="206">
        <f t="shared" si="6"/>
        <v>4625.9677419354839</v>
      </c>
      <c r="R32" s="206">
        <f t="shared" si="51"/>
        <v>215</v>
      </c>
      <c r="S32" s="206">
        <f t="shared" si="7"/>
        <v>4625.9677419354839</v>
      </c>
      <c r="T32" s="206">
        <f t="shared" si="52"/>
        <v>215</v>
      </c>
      <c r="U32" s="206">
        <f t="shared" si="8"/>
        <v>4625.9677419354839</v>
      </c>
      <c r="V32" s="206">
        <f t="shared" si="53"/>
        <v>215</v>
      </c>
      <c r="W32" s="206">
        <f t="shared" si="9"/>
        <v>4625.9677419354839</v>
      </c>
      <c r="X32" s="35">
        <f t="shared" si="54"/>
        <v>0.69354838709677424</v>
      </c>
      <c r="Y32" s="36">
        <f t="shared" si="55"/>
        <v>50885.645161290326</v>
      </c>
      <c r="Z32" s="206">
        <f>'B5'!C31</f>
        <v>221</v>
      </c>
      <c r="AA32" s="206">
        <f t="shared" si="30"/>
        <v>2210</v>
      </c>
      <c r="AB32" s="206">
        <f t="shared" si="56"/>
        <v>221</v>
      </c>
      <c r="AC32" s="206">
        <f t="shared" si="30"/>
        <v>2210</v>
      </c>
      <c r="AD32" s="206">
        <f t="shared" si="57"/>
        <v>221</v>
      </c>
      <c r="AE32" s="206">
        <f t="shared" si="11"/>
        <v>2210</v>
      </c>
      <c r="AF32" s="206">
        <f t="shared" si="58"/>
        <v>221</v>
      </c>
      <c r="AG32" s="206">
        <f t="shared" si="12"/>
        <v>2210</v>
      </c>
      <c r="AH32" s="206">
        <f t="shared" si="59"/>
        <v>221</v>
      </c>
      <c r="AI32" s="206">
        <f t="shared" si="13"/>
        <v>2210</v>
      </c>
      <c r="AJ32" s="206">
        <f t="shared" si="60"/>
        <v>221</v>
      </c>
      <c r="AK32" s="206">
        <f t="shared" si="14"/>
        <v>2210</v>
      </c>
      <c r="AL32" s="206">
        <f t="shared" si="61"/>
        <v>221</v>
      </c>
      <c r="AM32" s="206">
        <f t="shared" si="15"/>
        <v>2210</v>
      </c>
      <c r="AN32" s="35">
        <f t="shared" si="62"/>
        <v>0.78928571428571426</v>
      </c>
      <c r="AO32" s="36">
        <f t="shared" si="63"/>
        <v>15470</v>
      </c>
      <c r="AQ32" s="226">
        <f t="shared" si="37"/>
        <v>0.7137317969376179</v>
      </c>
      <c r="AR32" s="38">
        <f t="shared" si="41"/>
        <v>66355.645161290333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215</v>
      </c>
      <c r="C33" s="206">
        <f t="shared" si="18"/>
        <v>4625.9677419354839</v>
      </c>
      <c r="D33">
        <f t="shared" si="44"/>
        <v>215</v>
      </c>
      <c r="E33" s="206">
        <f t="shared" si="18"/>
        <v>4625.9677419354839</v>
      </c>
      <c r="F33">
        <f t="shared" si="45"/>
        <v>215</v>
      </c>
      <c r="G33" s="206">
        <f t="shared" si="1"/>
        <v>4625.9677419354839</v>
      </c>
      <c r="H33" s="206">
        <f t="shared" si="46"/>
        <v>215</v>
      </c>
      <c r="I33" s="206">
        <f t="shared" si="2"/>
        <v>4625.9677419354839</v>
      </c>
      <c r="J33" s="206">
        <f t="shared" si="47"/>
        <v>215</v>
      </c>
      <c r="K33" s="206">
        <f t="shared" si="3"/>
        <v>4625.9677419354839</v>
      </c>
      <c r="L33" s="206">
        <f t="shared" si="48"/>
        <v>215</v>
      </c>
      <c r="M33" s="206">
        <f t="shared" si="4"/>
        <v>4625.9677419354839</v>
      </c>
      <c r="N33" s="206">
        <f t="shared" si="49"/>
        <v>215</v>
      </c>
      <c r="O33" s="206">
        <f t="shared" si="5"/>
        <v>4625.9677419354839</v>
      </c>
      <c r="P33" s="206">
        <f t="shared" si="50"/>
        <v>215</v>
      </c>
      <c r="Q33" s="206">
        <f t="shared" si="6"/>
        <v>4625.9677419354839</v>
      </c>
      <c r="R33" s="206">
        <f t="shared" si="51"/>
        <v>215</v>
      </c>
      <c r="S33" s="206">
        <f t="shared" si="7"/>
        <v>4625.9677419354839</v>
      </c>
      <c r="T33" s="206">
        <f t="shared" si="52"/>
        <v>215</v>
      </c>
      <c r="U33" s="206">
        <f t="shared" si="8"/>
        <v>4625.9677419354839</v>
      </c>
      <c r="V33" s="206">
        <f t="shared" si="53"/>
        <v>215</v>
      </c>
      <c r="W33" s="206">
        <f t="shared" si="9"/>
        <v>4625.9677419354839</v>
      </c>
      <c r="X33" s="35">
        <f t="shared" si="54"/>
        <v>0.69354838709677424</v>
      </c>
      <c r="Y33" s="36">
        <f t="shared" si="55"/>
        <v>50885.645161290326</v>
      </c>
      <c r="Z33" s="206">
        <f>'B5'!C32</f>
        <v>221</v>
      </c>
      <c r="AA33" s="206">
        <f t="shared" si="30"/>
        <v>2210</v>
      </c>
      <c r="AB33" s="206">
        <f t="shared" si="56"/>
        <v>221</v>
      </c>
      <c r="AC33" s="206">
        <f t="shared" si="30"/>
        <v>2210</v>
      </c>
      <c r="AD33" s="206">
        <f t="shared" si="57"/>
        <v>221</v>
      </c>
      <c r="AE33" s="206">
        <f t="shared" si="11"/>
        <v>2210</v>
      </c>
      <c r="AF33" s="206">
        <f t="shared" si="58"/>
        <v>221</v>
      </c>
      <c r="AG33" s="206">
        <f t="shared" si="12"/>
        <v>2210</v>
      </c>
      <c r="AH33" s="206">
        <f t="shared" si="59"/>
        <v>221</v>
      </c>
      <c r="AI33" s="206">
        <f t="shared" si="13"/>
        <v>2210</v>
      </c>
      <c r="AJ33" s="206">
        <f t="shared" si="60"/>
        <v>221</v>
      </c>
      <c r="AK33" s="206">
        <f t="shared" si="14"/>
        <v>2210</v>
      </c>
      <c r="AL33" s="206">
        <f t="shared" si="61"/>
        <v>221</v>
      </c>
      <c r="AM33" s="206">
        <f t="shared" si="15"/>
        <v>2210</v>
      </c>
      <c r="AN33" s="35">
        <f t="shared" si="62"/>
        <v>0.78928571428571426</v>
      </c>
      <c r="AO33" s="36">
        <f t="shared" si="63"/>
        <v>15470</v>
      </c>
      <c r="AQ33" s="226">
        <f t="shared" si="37"/>
        <v>0.7137317969376179</v>
      </c>
      <c r="AR33" s="38">
        <f t="shared" si="41"/>
        <v>66355.645161290333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215</v>
      </c>
      <c r="C34" s="206">
        <f t="shared" si="18"/>
        <v>4625.9677419354839</v>
      </c>
      <c r="D34">
        <f t="shared" si="44"/>
        <v>215</v>
      </c>
      <c r="E34" s="206">
        <f t="shared" si="18"/>
        <v>4625.9677419354839</v>
      </c>
      <c r="F34">
        <f t="shared" si="45"/>
        <v>215</v>
      </c>
      <c r="G34" s="206">
        <f t="shared" si="1"/>
        <v>4625.9677419354839</v>
      </c>
      <c r="H34" s="206">
        <f t="shared" si="46"/>
        <v>215</v>
      </c>
      <c r="I34" s="206">
        <f t="shared" si="2"/>
        <v>4625.9677419354839</v>
      </c>
      <c r="J34" s="206">
        <f t="shared" si="47"/>
        <v>215</v>
      </c>
      <c r="K34" s="206">
        <f t="shared" si="3"/>
        <v>4625.9677419354839</v>
      </c>
      <c r="L34" s="206">
        <f t="shared" si="48"/>
        <v>215</v>
      </c>
      <c r="M34" s="206">
        <f t="shared" si="4"/>
        <v>4625.9677419354839</v>
      </c>
      <c r="N34" s="206">
        <f t="shared" si="49"/>
        <v>215</v>
      </c>
      <c r="O34" s="206">
        <f t="shared" si="5"/>
        <v>4625.9677419354839</v>
      </c>
      <c r="P34" s="206">
        <f t="shared" si="50"/>
        <v>215</v>
      </c>
      <c r="Q34" s="206">
        <f t="shared" si="6"/>
        <v>4625.9677419354839</v>
      </c>
      <c r="R34" s="206">
        <f t="shared" si="51"/>
        <v>215</v>
      </c>
      <c r="S34" s="206">
        <f t="shared" si="7"/>
        <v>4625.9677419354839</v>
      </c>
      <c r="T34" s="206">
        <f t="shared" si="52"/>
        <v>215</v>
      </c>
      <c r="U34" s="206">
        <f t="shared" si="8"/>
        <v>4625.9677419354839</v>
      </c>
      <c r="V34" s="206">
        <f t="shared" si="53"/>
        <v>215</v>
      </c>
      <c r="W34" s="206">
        <f t="shared" si="9"/>
        <v>4625.9677419354839</v>
      </c>
      <c r="X34" s="35">
        <f t="shared" si="54"/>
        <v>0.69354838709677424</v>
      </c>
      <c r="Y34" s="36">
        <f t="shared" si="55"/>
        <v>50885.645161290326</v>
      </c>
      <c r="Z34" s="206">
        <f>'B5'!C33</f>
        <v>221</v>
      </c>
      <c r="AA34" s="206">
        <f t="shared" si="30"/>
        <v>2210</v>
      </c>
      <c r="AB34" s="206">
        <f t="shared" si="56"/>
        <v>221</v>
      </c>
      <c r="AC34" s="206">
        <f t="shared" si="30"/>
        <v>2210</v>
      </c>
      <c r="AD34" s="206">
        <f t="shared" si="57"/>
        <v>221</v>
      </c>
      <c r="AE34" s="206">
        <f t="shared" si="11"/>
        <v>2210</v>
      </c>
      <c r="AF34" s="206">
        <f t="shared" si="58"/>
        <v>221</v>
      </c>
      <c r="AG34" s="206">
        <f t="shared" si="12"/>
        <v>2210</v>
      </c>
      <c r="AH34" s="206">
        <f t="shared" si="59"/>
        <v>221</v>
      </c>
      <c r="AI34" s="206">
        <f t="shared" si="13"/>
        <v>2210</v>
      </c>
      <c r="AJ34" s="206">
        <f t="shared" si="60"/>
        <v>221</v>
      </c>
      <c r="AK34" s="206">
        <f t="shared" si="14"/>
        <v>2210</v>
      </c>
      <c r="AL34" s="206">
        <f t="shared" si="61"/>
        <v>221</v>
      </c>
      <c r="AM34" s="206">
        <f t="shared" si="15"/>
        <v>2210</v>
      </c>
      <c r="AN34" s="35">
        <f t="shared" si="62"/>
        <v>0.78928571428571426</v>
      </c>
      <c r="AO34" s="36">
        <f t="shared" si="63"/>
        <v>15470</v>
      </c>
      <c r="AQ34" s="226">
        <f>SUM(AR34/92970)</f>
        <v>0.7137317969376179</v>
      </c>
      <c r="AR34" s="38">
        <f t="shared" si="41"/>
        <v>66355.645161290333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215</v>
      </c>
      <c r="C35" s="206">
        <f t="shared" si="18"/>
        <v>4625.9677419354839</v>
      </c>
      <c r="D35">
        <f t="shared" si="44"/>
        <v>215</v>
      </c>
      <c r="E35" s="206">
        <f t="shared" si="18"/>
        <v>4625.9677419354839</v>
      </c>
      <c r="F35">
        <f t="shared" si="45"/>
        <v>215</v>
      </c>
      <c r="G35" s="206">
        <f t="shared" si="1"/>
        <v>4625.9677419354839</v>
      </c>
      <c r="H35" s="206">
        <f t="shared" si="46"/>
        <v>215</v>
      </c>
      <c r="I35" s="206">
        <f t="shared" si="2"/>
        <v>4625.9677419354839</v>
      </c>
      <c r="J35" s="206">
        <f t="shared" si="47"/>
        <v>215</v>
      </c>
      <c r="K35" s="206">
        <f t="shared" si="3"/>
        <v>4625.9677419354839</v>
      </c>
      <c r="L35" s="206">
        <f t="shared" si="48"/>
        <v>215</v>
      </c>
      <c r="M35" s="206">
        <f t="shared" si="4"/>
        <v>4625.9677419354839</v>
      </c>
      <c r="N35" s="206">
        <f t="shared" si="49"/>
        <v>215</v>
      </c>
      <c r="O35" s="206">
        <f t="shared" si="5"/>
        <v>4625.9677419354839</v>
      </c>
      <c r="P35" s="206">
        <f t="shared" si="50"/>
        <v>215</v>
      </c>
      <c r="Q35" s="206">
        <f t="shared" si="6"/>
        <v>4625.9677419354839</v>
      </c>
      <c r="R35" s="206">
        <f t="shared" si="51"/>
        <v>215</v>
      </c>
      <c r="S35" s="206">
        <f t="shared" si="7"/>
        <v>4625.9677419354839</v>
      </c>
      <c r="T35" s="206">
        <f t="shared" si="52"/>
        <v>215</v>
      </c>
      <c r="U35" s="206">
        <f t="shared" si="8"/>
        <v>4625.9677419354839</v>
      </c>
      <c r="V35" s="206">
        <f t="shared" si="53"/>
        <v>215</v>
      </c>
      <c r="W35" s="206">
        <f t="shared" si="9"/>
        <v>4625.9677419354839</v>
      </c>
      <c r="X35" s="35">
        <f t="shared" si="54"/>
        <v>0.69354838709677424</v>
      </c>
      <c r="Y35" s="36">
        <f t="shared" si="55"/>
        <v>50885.645161290326</v>
      </c>
      <c r="Z35" s="206">
        <f>'B5'!C34</f>
        <v>221</v>
      </c>
      <c r="AA35" s="206">
        <f t="shared" si="30"/>
        <v>2210</v>
      </c>
      <c r="AB35" s="206">
        <f t="shared" si="56"/>
        <v>221</v>
      </c>
      <c r="AC35" s="206">
        <f t="shared" si="30"/>
        <v>2210</v>
      </c>
      <c r="AD35" s="206">
        <f t="shared" si="57"/>
        <v>221</v>
      </c>
      <c r="AE35" s="206">
        <f t="shared" si="11"/>
        <v>2210</v>
      </c>
      <c r="AF35" s="206">
        <f t="shared" si="58"/>
        <v>221</v>
      </c>
      <c r="AG35" s="206">
        <f t="shared" si="12"/>
        <v>2210</v>
      </c>
      <c r="AH35" s="206">
        <f t="shared" si="59"/>
        <v>221</v>
      </c>
      <c r="AI35" s="206">
        <f t="shared" si="13"/>
        <v>2210</v>
      </c>
      <c r="AJ35" s="206">
        <f t="shared" si="60"/>
        <v>221</v>
      </c>
      <c r="AK35" s="206">
        <f t="shared" si="14"/>
        <v>2210</v>
      </c>
      <c r="AL35" s="206">
        <f t="shared" si="61"/>
        <v>221</v>
      </c>
      <c r="AM35" s="206">
        <f t="shared" si="15"/>
        <v>2210</v>
      </c>
      <c r="AN35" s="35">
        <f t="shared" si="62"/>
        <v>0.78928571428571426</v>
      </c>
      <c r="AO35" s="36">
        <f t="shared" si="63"/>
        <v>15470</v>
      </c>
      <c r="AQ35" s="226">
        <f>SUM(AR35/92970)</f>
        <v>0.7137317969376179</v>
      </c>
      <c r="AR35" s="38">
        <f t="shared" si="41"/>
        <v>66355.645161290333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215</v>
      </c>
      <c r="C36" s="206">
        <f t="shared" ref="C36" si="64">B36*$B$4</f>
        <v>4625.9677419354839</v>
      </c>
      <c r="D36">
        <f t="shared" ref="D36" si="65">SUM(B36)</f>
        <v>215</v>
      </c>
      <c r="E36" s="206">
        <f t="shared" ref="E36" si="66">D36*$B$4</f>
        <v>4625.9677419354839</v>
      </c>
      <c r="F36">
        <f t="shared" ref="F36" si="67">SUM(D36)</f>
        <v>215</v>
      </c>
      <c r="G36" s="206">
        <f t="shared" ref="G36" si="68">F36*$B$4</f>
        <v>4625.9677419354839</v>
      </c>
      <c r="H36" s="206">
        <f t="shared" ref="H36" si="69">SUM(F36)</f>
        <v>215</v>
      </c>
      <c r="I36" s="206">
        <f t="shared" ref="I36" si="70">H36*$B$4</f>
        <v>4625.9677419354839</v>
      </c>
      <c r="J36" s="206">
        <f t="shared" ref="J36" si="71">SUM(H36)</f>
        <v>215</v>
      </c>
      <c r="K36" s="206">
        <f t="shared" ref="K36" si="72">J36*$B$4</f>
        <v>4625.9677419354839</v>
      </c>
      <c r="L36" s="206">
        <f t="shared" ref="L36" si="73">SUM(J36)</f>
        <v>215</v>
      </c>
      <c r="M36" s="206">
        <f t="shared" ref="M36" si="74">L36*$B$4</f>
        <v>4625.9677419354839</v>
      </c>
      <c r="N36" s="206">
        <f t="shared" ref="N36" si="75">SUM(L36)</f>
        <v>215</v>
      </c>
      <c r="O36" s="206">
        <f t="shared" ref="O36" si="76">N36*$B$4</f>
        <v>4625.9677419354839</v>
      </c>
      <c r="P36" s="206">
        <f t="shared" ref="P36" si="77">SUM(N36)</f>
        <v>215</v>
      </c>
      <c r="Q36" s="206">
        <f t="shared" ref="Q36" si="78">P36*$B$4</f>
        <v>4625.9677419354839</v>
      </c>
      <c r="R36" s="206">
        <f t="shared" ref="R36" si="79">SUM(P36)</f>
        <v>215</v>
      </c>
      <c r="S36" s="206">
        <f t="shared" ref="S36" si="80">R36*$B$4</f>
        <v>4625.9677419354839</v>
      </c>
      <c r="T36" s="206">
        <f t="shared" ref="T36" si="81">SUM(R36)</f>
        <v>215</v>
      </c>
      <c r="U36" s="206">
        <f t="shared" ref="U36" si="82">T36*$B$4</f>
        <v>4625.9677419354839</v>
      </c>
      <c r="V36" s="206">
        <f t="shared" ref="V36" si="83">SUM(T36)</f>
        <v>215</v>
      </c>
      <c r="W36" s="206">
        <f t="shared" ref="W36" si="84">V36*$B$4</f>
        <v>4625.9677419354839</v>
      </c>
      <c r="X36" s="35">
        <f t="shared" ref="X36" si="85">SUM(Y36/73370)</f>
        <v>0.69354838709677424</v>
      </c>
      <c r="Y36" s="36">
        <f t="shared" ref="Y36" si="86">SUM(C36+E36+G36+I36+K36+M36+O36+Q36+S36+U36+W36)</f>
        <v>50885.645161290326</v>
      </c>
      <c r="Z36" s="206">
        <f>'B5'!C35</f>
        <v>221</v>
      </c>
      <c r="AA36" s="206">
        <f t="shared" ref="AA36" si="87">SUM(Z36*$Z$4)</f>
        <v>2210</v>
      </c>
      <c r="AB36" s="206">
        <f t="shared" ref="AB36" si="88">SUM(Z36)</f>
        <v>221</v>
      </c>
      <c r="AC36" s="206">
        <f t="shared" ref="AC36" si="89">SUM(AB36*$Z$4)</f>
        <v>2210</v>
      </c>
      <c r="AD36" s="206">
        <f t="shared" ref="AD36" si="90">SUM(AB36)</f>
        <v>221</v>
      </c>
      <c r="AE36" s="206">
        <f t="shared" ref="AE36" si="91">SUM(AD36*$Z$4)</f>
        <v>2210</v>
      </c>
      <c r="AF36" s="206">
        <f t="shared" ref="AF36" si="92">SUM(AD36)</f>
        <v>221</v>
      </c>
      <c r="AG36" s="206">
        <f t="shared" ref="AG36" si="93">SUM(AF36*$Z$4)</f>
        <v>2210</v>
      </c>
      <c r="AH36" s="206">
        <f t="shared" ref="AH36" si="94">SUM(AF36)</f>
        <v>221</v>
      </c>
      <c r="AI36" s="206">
        <f t="shared" ref="AI36" si="95">SUM(AH36*$Z$4)</f>
        <v>2210</v>
      </c>
      <c r="AJ36" s="206">
        <f t="shared" ref="AJ36" si="96">SUM(AH36)</f>
        <v>221</v>
      </c>
      <c r="AK36" s="206">
        <f t="shared" ref="AK36" si="97">SUM(AJ36*$Z$4)</f>
        <v>2210</v>
      </c>
      <c r="AL36" s="206">
        <f t="shared" ref="AL36" si="98">SUM(AJ36)</f>
        <v>221</v>
      </c>
      <c r="AM36" s="206">
        <f t="shared" ref="AM36" si="99">SUM(AL36*$Z$4)</f>
        <v>2210</v>
      </c>
      <c r="AN36" s="35">
        <f t="shared" ref="AN36" si="100">SUM(AO36/19600)</f>
        <v>0.78928571428571426</v>
      </c>
      <c r="AO36" s="36">
        <f t="shared" ref="AO36" si="101">SUM(AA36+AC36+AE36+AG36+AI36+AK36+AM36)</f>
        <v>15470</v>
      </c>
      <c r="AQ36" s="226">
        <f>SUM(AR36/92970)</f>
        <v>0.7137317969376179</v>
      </c>
      <c r="AR36" s="38">
        <f t="shared" si="41"/>
        <v>66355.645161290333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-28013.832258064489</v>
      </c>
      <c r="AY37" s="206">
        <f>SUM(AY6:AY35)</f>
        <v>-30590.032258064501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-1223.6012903225801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F1" zoomScaleNormal="100" workbookViewId="0">
      <pane ySplit="1" topLeftCell="A20" activePane="bottomLeft" state="frozen"/>
      <selection pane="bottomLeft" activeCell="T27" sqref="T2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9">
        <v>9005</v>
      </c>
      <c r="C3" s="295">
        <f>B3-B2</f>
        <v>8</v>
      </c>
      <c r="D3" s="570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0">
        <f>J2</f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11612</v>
      </c>
      <c r="S3" s="295">
        <f t="shared" ref="S3:S32" si="5">R3-R2</f>
        <v>17</v>
      </c>
      <c r="T3" s="570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9">
        <v>9010</v>
      </c>
      <c r="C4" s="295">
        <f t="shared" ref="C4:C32" si="11">B4-B3</f>
        <v>5</v>
      </c>
      <c r="D4" s="570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0">
        <v>11616</v>
      </c>
      <c r="S4" s="295">
        <f t="shared" si="5"/>
        <v>4</v>
      </c>
      <c r="T4" s="570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9">
        <v>9025</v>
      </c>
      <c r="C5" s="295">
        <f t="shared" si="11"/>
        <v>15</v>
      </c>
      <c r="D5" s="570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0">
        <v>10698</v>
      </c>
      <c r="K5" s="295">
        <f t="shared" si="2"/>
        <v>0</v>
      </c>
      <c r="L5" s="570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0">
        <v>11620</v>
      </c>
      <c r="S5" s="295">
        <f t="shared" si="5"/>
        <v>4</v>
      </c>
      <c r="T5" s="570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9">
        <v>9038</v>
      </c>
      <c r="C6" s="295">
        <f t="shared" si="11"/>
        <v>13</v>
      </c>
      <c r="D6" s="570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0">
        <v>11627</v>
      </c>
      <c r="S6" s="295">
        <f t="shared" si="5"/>
        <v>7</v>
      </c>
      <c r="T6" s="570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9">
        <v>9046</v>
      </c>
      <c r="C7" s="295">
        <f t="shared" si="11"/>
        <v>8</v>
      </c>
      <c r="D7" s="570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0">
        <v>10698</v>
      </c>
      <c r="K7" s="295">
        <f t="shared" si="2"/>
        <v>0</v>
      </c>
      <c r="L7" s="570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0">
        <v>11627</v>
      </c>
      <c r="S7" s="295">
        <f t="shared" si="5"/>
        <v>0</v>
      </c>
      <c r="T7" s="570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9">
        <v>9048</v>
      </c>
      <c r="C8" s="295">
        <f t="shared" si="11"/>
        <v>2</v>
      </c>
      <c r="D8" s="570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0">
        <f t="shared" ref="R8:T33" si="27">R7</f>
        <v>11627</v>
      </c>
      <c r="S8" s="295">
        <f t="shared" si="5"/>
        <v>0</v>
      </c>
      <c r="T8" s="570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9">
        <v>9052</v>
      </c>
      <c r="C9" s="295">
        <f t="shared" si="11"/>
        <v>4</v>
      </c>
      <c r="D9" s="570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0">
        <v>10698</v>
      </c>
      <c r="K9" s="295">
        <f t="shared" si="2"/>
        <v>0</v>
      </c>
      <c r="L9" s="570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0">
        <v>11627</v>
      </c>
      <c r="S9" s="295">
        <f t="shared" si="5"/>
        <v>0</v>
      </c>
      <c r="T9" s="570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9">
        <v>9055</v>
      </c>
      <c r="C10" s="295">
        <f t="shared" si="11"/>
        <v>3</v>
      </c>
      <c r="D10" s="570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0">
        <v>11627</v>
      </c>
      <c r="S10" s="295">
        <f t="shared" si="5"/>
        <v>0</v>
      </c>
      <c r="T10" s="570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9">
        <v>9058</v>
      </c>
      <c r="C11" s="295">
        <f t="shared" si="11"/>
        <v>3</v>
      </c>
      <c r="D11" s="570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0">
        <f t="shared" si="27"/>
        <v>11627</v>
      </c>
      <c r="S11" s="295">
        <f t="shared" si="5"/>
        <v>0</v>
      </c>
      <c r="T11" s="570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9">
        <v>9061</v>
      </c>
      <c r="C12" s="295">
        <f t="shared" si="11"/>
        <v>3</v>
      </c>
      <c r="D12" s="570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0">
        <f t="shared" si="27"/>
        <v>11627</v>
      </c>
      <c r="S12" s="295">
        <f t="shared" si="5"/>
        <v>0</v>
      </c>
      <c r="T12" s="570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9">
        <v>9064</v>
      </c>
      <c r="C13" s="295">
        <f t="shared" si="11"/>
        <v>3</v>
      </c>
      <c r="D13" s="570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0">
        <v>11627</v>
      </c>
      <c r="S13" s="295">
        <f t="shared" si="5"/>
        <v>0</v>
      </c>
      <c r="T13" s="570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9">
        <v>9067</v>
      </c>
      <c r="C14" s="295">
        <f t="shared" si="11"/>
        <v>3</v>
      </c>
      <c r="D14" s="570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0">
        <f t="shared" si="27"/>
        <v>11627</v>
      </c>
      <c r="S14" s="295">
        <f t="shared" si="5"/>
        <v>0</v>
      </c>
      <c r="T14" s="570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9">
        <v>9071</v>
      </c>
      <c r="C15" s="295">
        <f t="shared" si="11"/>
        <v>4</v>
      </c>
      <c r="D15" s="570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0">
        <v>11629</v>
      </c>
      <c r="S15" s="295">
        <f t="shared" si="5"/>
        <v>2</v>
      </c>
      <c r="T15" s="570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9">
        <f t="shared" ref="B16:B33" si="29">B15</f>
        <v>9071</v>
      </c>
      <c r="C16" s="295">
        <f t="shared" si="11"/>
        <v>0</v>
      </c>
      <c r="D16" s="570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0">
        <v>11635</v>
      </c>
      <c r="S16" s="596">
        <f t="shared" si="5"/>
        <v>6</v>
      </c>
      <c r="T16" s="570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9">
        <f t="shared" si="29"/>
        <v>9071</v>
      </c>
      <c r="C17" s="295">
        <f t="shared" si="11"/>
        <v>0</v>
      </c>
      <c r="D17" s="570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0">
        <v>11640</v>
      </c>
      <c r="S17" s="295">
        <f t="shared" si="5"/>
        <v>5</v>
      </c>
      <c r="T17" s="570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9">
        <v>9074</v>
      </c>
      <c r="C18" s="295">
        <f t="shared" si="11"/>
        <v>3</v>
      </c>
      <c r="D18" s="570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0">
        <f t="shared" si="27"/>
        <v>11640</v>
      </c>
      <c r="S18" s="295">
        <f t="shared" si="5"/>
        <v>0</v>
      </c>
      <c r="T18" s="570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9">
        <v>9077</v>
      </c>
      <c r="C19" s="295">
        <f t="shared" si="11"/>
        <v>3</v>
      </c>
      <c r="D19" s="570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0">
        <f t="shared" si="27"/>
        <v>11640</v>
      </c>
      <c r="S19" s="295">
        <f t="shared" si="5"/>
        <v>0</v>
      </c>
      <c r="T19" s="570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9">
        <v>9079</v>
      </c>
      <c r="C20" s="295">
        <f>B20-B19</f>
        <v>2</v>
      </c>
      <c r="D20" s="570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0">
        <f t="shared" si="27"/>
        <v>11640</v>
      </c>
      <c r="S20" s="295">
        <f t="shared" si="5"/>
        <v>0</v>
      </c>
      <c r="T20" s="570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9">
        <v>9082</v>
      </c>
      <c r="C21" s="295">
        <f t="shared" si="11"/>
        <v>3</v>
      </c>
      <c r="D21" s="570">
        <v>218576</v>
      </c>
      <c r="E21" s="295">
        <f t="shared" si="12"/>
        <v>336</v>
      </c>
      <c r="F21" s="295">
        <f t="shared" si="0"/>
        <v>112</v>
      </c>
      <c r="G21" s="199"/>
      <c r="H21" s="296">
        <f t="shared" si="13"/>
        <v>9100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0">
        <f t="shared" si="27"/>
        <v>11640</v>
      </c>
      <c r="S21" s="295">
        <f t="shared" si="5"/>
        <v>0</v>
      </c>
      <c r="T21" s="570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3</v>
      </c>
      <c r="AA21" s="295">
        <f t="shared" si="19"/>
        <v>336</v>
      </c>
      <c r="AB21" s="295">
        <f t="shared" si="20"/>
        <v>112</v>
      </c>
      <c r="AC21" s="295">
        <f t="shared" si="21"/>
        <v>112</v>
      </c>
      <c r="AD21" s="73">
        <f>ELEC!Q21</f>
        <v>2000</v>
      </c>
      <c r="AE21" s="73">
        <f t="shared" si="23"/>
        <v>666.66666666666663</v>
      </c>
      <c r="AF21" s="413">
        <f t="shared" si="24"/>
        <v>0.41666666666666663</v>
      </c>
      <c r="AG21" s="414">
        <f t="shared" si="25"/>
        <v>133.33333333333331</v>
      </c>
      <c r="AH21" s="414">
        <f t="shared" si="22"/>
        <v>-21.333333333333314</v>
      </c>
      <c r="AI21" s="73">
        <f t="shared" si="26"/>
        <v>514.76793248945148</v>
      </c>
      <c r="AJ21" s="297">
        <f t="shared" si="9"/>
        <v>0.25738396624472576</v>
      </c>
      <c r="AK21" s="297">
        <f t="shared" si="31"/>
        <v>171.58931082981715</v>
      </c>
    </row>
    <row r="22" spans="1:37" ht="15.75" thickBot="1">
      <c r="A22" s="4">
        <f>ELEC!C22</f>
        <v>44063</v>
      </c>
      <c r="B22" s="569">
        <v>9085</v>
      </c>
      <c r="C22" s="295">
        <f t="shared" si="11"/>
        <v>3</v>
      </c>
      <c r="D22" s="570">
        <v>219097</v>
      </c>
      <c r="E22" s="295">
        <f t="shared" si="12"/>
        <v>521</v>
      </c>
      <c r="F22" s="295">
        <f t="shared" si="0"/>
        <v>173.66666666666666</v>
      </c>
      <c r="G22" s="199"/>
      <c r="H22" s="296">
        <f t="shared" si="13"/>
        <v>9100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0">
        <f t="shared" si="27"/>
        <v>11640</v>
      </c>
      <c r="S22" s="295">
        <f t="shared" si="5"/>
        <v>0</v>
      </c>
      <c r="T22" s="570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3</v>
      </c>
      <c r="AA22" s="295">
        <f t="shared" si="19"/>
        <v>521</v>
      </c>
      <c r="AB22" s="295">
        <f t="shared" si="20"/>
        <v>173.66666666666666</v>
      </c>
      <c r="AC22" s="295">
        <f t="shared" si="21"/>
        <v>173.66666666666666</v>
      </c>
      <c r="AD22" s="73">
        <f>ELEC!Q22</f>
        <v>2000</v>
      </c>
      <c r="AE22" s="73">
        <f t="shared" si="23"/>
        <v>666.66666666666663</v>
      </c>
      <c r="AF22" s="413">
        <f t="shared" si="24"/>
        <v>0.41666666666666663</v>
      </c>
      <c r="AG22" s="414">
        <f t="shared" si="25"/>
        <v>133.33333333333331</v>
      </c>
      <c r="AH22" s="414">
        <f t="shared" si="22"/>
        <v>40.333333333333343</v>
      </c>
      <c r="AI22" s="73">
        <f t="shared" si="26"/>
        <v>514.76793248945148</v>
      </c>
      <c r="AJ22" s="297">
        <f t="shared" si="9"/>
        <v>0.25738396624472576</v>
      </c>
      <c r="AK22" s="297">
        <f t="shared" si="31"/>
        <v>171.58931082981715</v>
      </c>
    </row>
    <row r="23" spans="1:37" ht="15.75" thickBot="1">
      <c r="A23" s="4">
        <f>ELEC!C23</f>
        <v>44064</v>
      </c>
      <c r="B23" s="569">
        <v>9088</v>
      </c>
      <c r="C23" s="295">
        <f t="shared" si="11"/>
        <v>3</v>
      </c>
      <c r="D23" s="570">
        <v>219750</v>
      </c>
      <c r="E23" s="295">
        <f t="shared" si="12"/>
        <v>653</v>
      </c>
      <c r="F23" s="295">
        <f t="shared" si="0"/>
        <v>217.66666666666666</v>
      </c>
      <c r="G23" s="199"/>
      <c r="H23" s="296">
        <f t="shared" si="13"/>
        <v>9100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0">
        <f t="shared" si="27"/>
        <v>11640</v>
      </c>
      <c r="S23" s="295">
        <f t="shared" si="5"/>
        <v>0</v>
      </c>
      <c r="T23" s="570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3</v>
      </c>
      <c r="AA23" s="295">
        <f t="shared" si="19"/>
        <v>653</v>
      </c>
      <c r="AB23" s="295">
        <f t="shared" si="20"/>
        <v>217.66666666666666</v>
      </c>
      <c r="AC23" s="295">
        <f t="shared" si="21"/>
        <v>217.66666666666666</v>
      </c>
      <c r="AD23" s="73">
        <f>ELEC!Q23</f>
        <v>2000</v>
      </c>
      <c r="AE23" s="73">
        <f t="shared" si="23"/>
        <v>666.66666666666663</v>
      </c>
      <c r="AF23" s="413">
        <f t="shared" si="24"/>
        <v>0.41666666666666663</v>
      </c>
      <c r="AG23" s="414">
        <f t="shared" si="25"/>
        <v>133.33333333333331</v>
      </c>
      <c r="AH23" s="414">
        <f t="shared" si="22"/>
        <v>84.333333333333343</v>
      </c>
      <c r="AI23" s="73">
        <f t="shared" si="26"/>
        <v>514.76793248945148</v>
      </c>
      <c r="AJ23" s="297">
        <f t="shared" si="9"/>
        <v>0.25738396624472576</v>
      </c>
      <c r="AK23" s="297">
        <f t="shared" si="31"/>
        <v>171.58931082981715</v>
      </c>
    </row>
    <row r="24" spans="1:37" ht="15.75" thickBot="1">
      <c r="A24" s="4">
        <f>ELEC!C24</f>
        <v>44065</v>
      </c>
      <c r="B24" s="569">
        <v>9090</v>
      </c>
      <c r="C24" s="295">
        <f t="shared" si="11"/>
        <v>2</v>
      </c>
      <c r="D24" s="570">
        <v>220250</v>
      </c>
      <c r="E24" s="295">
        <f t="shared" si="12"/>
        <v>500</v>
      </c>
      <c r="F24" s="295">
        <f t="shared" si="0"/>
        <v>250</v>
      </c>
      <c r="G24" s="199"/>
      <c r="H24" s="296">
        <f>8920+180</f>
        <v>9100</v>
      </c>
      <c r="I24" s="295" t="str">
        <f t="shared" si="1"/>
        <v>ok</v>
      </c>
      <c r="J24" s="570">
        <f t="shared" si="14"/>
        <v>10698</v>
      </c>
      <c r="K24" s="295">
        <f t="shared" si="2"/>
        <v>0</v>
      </c>
      <c r="L24" s="570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0">
        <f t="shared" si="27"/>
        <v>11640</v>
      </c>
      <c r="S24" s="295">
        <f t="shared" si="5"/>
        <v>0</v>
      </c>
      <c r="T24" s="570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2</v>
      </c>
      <c r="AA24" s="295">
        <f t="shared" si="19"/>
        <v>500</v>
      </c>
      <c r="AB24" s="295">
        <f t="shared" si="20"/>
        <v>250</v>
      </c>
      <c r="AC24" s="295">
        <f t="shared" si="21"/>
        <v>250</v>
      </c>
      <c r="AD24" s="73">
        <f>ELEC!Q24</f>
        <v>1000</v>
      </c>
      <c r="AE24" s="73">
        <f t="shared" si="23"/>
        <v>500</v>
      </c>
      <c r="AF24" s="413">
        <f t="shared" si="24"/>
        <v>0.3125</v>
      </c>
      <c r="AG24" s="414">
        <f t="shared" si="25"/>
        <v>100</v>
      </c>
      <c r="AH24" s="414">
        <f t="shared" si="22"/>
        <v>150</v>
      </c>
      <c r="AI24" s="73">
        <f t="shared" si="26"/>
        <v>257.38396624472574</v>
      </c>
      <c r="AJ24" s="297">
        <f t="shared" si="9"/>
        <v>0.25738396624472576</v>
      </c>
      <c r="AK24" s="297">
        <f t="shared" si="31"/>
        <v>128.69198312236287</v>
      </c>
    </row>
    <row r="25" spans="1:37" ht="15.75" thickBot="1">
      <c r="A25" s="4">
        <f>ELEC!C25</f>
        <v>44066</v>
      </c>
      <c r="B25" s="605">
        <v>9093</v>
      </c>
      <c r="C25" s="295">
        <f t="shared" si="11"/>
        <v>3</v>
      </c>
      <c r="D25" s="276">
        <v>220890</v>
      </c>
      <c r="E25" s="295">
        <f t="shared" si="12"/>
        <v>640</v>
      </c>
      <c r="F25" s="295">
        <f t="shared" si="0"/>
        <v>213.33333333333334</v>
      </c>
      <c r="G25" s="199"/>
      <c r="H25" s="296">
        <f t="shared" ref="H25:H33" si="35">8920+180</f>
        <v>9100</v>
      </c>
      <c r="I25" s="295" t="str">
        <f t="shared" si="1"/>
        <v>ok</v>
      </c>
      <c r="J25" s="570">
        <f t="shared" si="14"/>
        <v>10698</v>
      </c>
      <c r="K25" s="295">
        <f t="shared" si="2"/>
        <v>0</v>
      </c>
      <c r="L25" s="570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0">
        <f t="shared" si="27"/>
        <v>11640</v>
      </c>
      <c r="S25" s="295">
        <f t="shared" si="5"/>
        <v>0</v>
      </c>
      <c r="T25" s="570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3</v>
      </c>
      <c r="AA25" s="295">
        <f t="shared" si="19"/>
        <v>640</v>
      </c>
      <c r="AB25" s="295">
        <f t="shared" si="20"/>
        <v>213.33333333333334</v>
      </c>
      <c r="AC25" s="295">
        <f t="shared" si="21"/>
        <v>213.33333333333334</v>
      </c>
      <c r="AD25" s="73">
        <f>ELEC!Q25</f>
        <v>1000</v>
      </c>
      <c r="AE25" s="73">
        <f t="shared" si="23"/>
        <v>333.33333333333331</v>
      </c>
      <c r="AF25" s="413">
        <f t="shared" si="24"/>
        <v>0.20833333333333331</v>
      </c>
      <c r="AG25" s="414">
        <f t="shared" si="25"/>
        <v>66.666666666666657</v>
      </c>
      <c r="AH25" s="414">
        <f t="shared" si="22"/>
        <v>146.66666666666669</v>
      </c>
      <c r="AI25" s="73">
        <f t="shared" si="26"/>
        <v>257.38396624472574</v>
      </c>
      <c r="AJ25" s="297">
        <f t="shared" si="9"/>
        <v>0.25738396624472576</v>
      </c>
      <c r="AK25" s="297">
        <f t="shared" si="31"/>
        <v>85.794655414908576</v>
      </c>
    </row>
    <row r="26" spans="1:37" ht="15.75" thickBot="1">
      <c r="A26" s="4">
        <f>ELEC!C26</f>
        <v>44067</v>
      </c>
      <c r="B26" s="605">
        <v>9096</v>
      </c>
      <c r="C26" s="295">
        <f t="shared" si="11"/>
        <v>3</v>
      </c>
      <c r="D26" s="276">
        <v>221531</v>
      </c>
      <c r="E26" s="295">
        <f t="shared" si="12"/>
        <v>641</v>
      </c>
      <c r="F26" s="295">
        <f t="shared" si="0"/>
        <v>213.66666666666666</v>
      </c>
      <c r="G26" s="199"/>
      <c r="H26" s="296">
        <f t="shared" si="35"/>
        <v>9100</v>
      </c>
      <c r="I26" s="295" t="str">
        <f t="shared" si="1"/>
        <v>ok</v>
      </c>
      <c r="J26" s="570">
        <f t="shared" si="14"/>
        <v>10698</v>
      </c>
      <c r="K26" s="295">
        <f t="shared" si="2"/>
        <v>0</v>
      </c>
      <c r="L26" s="570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0">
        <f t="shared" si="27"/>
        <v>11640</v>
      </c>
      <c r="S26" s="295">
        <f t="shared" si="5"/>
        <v>0</v>
      </c>
      <c r="T26" s="570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3</v>
      </c>
      <c r="AA26" s="295">
        <f t="shared" si="19"/>
        <v>641</v>
      </c>
      <c r="AB26" s="295">
        <f t="shared" si="20"/>
        <v>213.66666666666666</v>
      </c>
      <c r="AC26" s="295">
        <f t="shared" si="21"/>
        <v>213.66666666666666</v>
      </c>
      <c r="AD26" s="73">
        <f>ELEC!Q26</f>
        <v>2000</v>
      </c>
      <c r="AE26" s="73">
        <f t="shared" si="23"/>
        <v>666.66666666666663</v>
      </c>
      <c r="AF26" s="413">
        <f t="shared" si="24"/>
        <v>0.41666666666666663</v>
      </c>
      <c r="AG26" s="414">
        <f t="shared" si="25"/>
        <v>133.33333333333331</v>
      </c>
      <c r="AH26" s="414">
        <f t="shared" si="22"/>
        <v>80.333333333333343</v>
      </c>
      <c r="AI26" s="73">
        <f t="shared" si="26"/>
        <v>514.76793248945148</v>
      </c>
      <c r="AJ26" s="297">
        <f t="shared" si="9"/>
        <v>0.25738396624472576</v>
      </c>
      <c r="AK26" s="297">
        <f t="shared" si="31"/>
        <v>171.58931082981715</v>
      </c>
    </row>
    <row r="27" spans="1:37" ht="15.75" thickBot="1">
      <c r="A27" s="4">
        <f>ELEC!C27</f>
        <v>44068</v>
      </c>
      <c r="B27" s="605">
        <v>9098</v>
      </c>
      <c r="C27" s="295">
        <f t="shared" si="11"/>
        <v>2</v>
      </c>
      <c r="D27" s="276">
        <v>221823</v>
      </c>
      <c r="E27" s="295">
        <f t="shared" si="12"/>
        <v>292</v>
      </c>
      <c r="F27" s="295">
        <f t="shared" si="0"/>
        <v>146</v>
      </c>
      <c r="G27" s="199"/>
      <c r="H27" s="296">
        <f t="shared" si="35"/>
        <v>9100</v>
      </c>
      <c r="I27" s="295" t="str">
        <f>IF(B27-H27&lt;=0,"ok","oil change")</f>
        <v>ok</v>
      </c>
      <c r="J27" s="570">
        <f t="shared" si="14"/>
        <v>10698</v>
      </c>
      <c r="K27" s="295">
        <f t="shared" si="2"/>
        <v>0</v>
      </c>
      <c r="L27" s="570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608">
        <v>11641</v>
      </c>
      <c r="S27" s="295">
        <f t="shared" si="5"/>
        <v>1</v>
      </c>
      <c r="T27" s="276">
        <v>343350</v>
      </c>
      <c r="U27" s="295">
        <f t="shared" si="33"/>
        <v>354</v>
      </c>
      <c r="V27" s="295">
        <f t="shared" si="17"/>
        <v>354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3</v>
      </c>
      <c r="AA27" s="295">
        <f t="shared" si="19"/>
        <v>646</v>
      </c>
      <c r="AB27" s="295">
        <f t="shared" si="20"/>
        <v>500</v>
      </c>
      <c r="AC27" s="295">
        <f t="shared" si="21"/>
        <v>215.33333333333334</v>
      </c>
      <c r="AD27" s="73">
        <f>ELEC!Q27</f>
        <v>2000</v>
      </c>
      <c r="AE27" s="73">
        <f t="shared" si="23"/>
        <v>666.66666666666663</v>
      </c>
      <c r="AF27" s="413">
        <f t="shared" si="24"/>
        <v>0.41666666666666663</v>
      </c>
      <c r="AG27" s="414">
        <f t="shared" si="25"/>
        <v>133.33333333333331</v>
      </c>
      <c r="AH27" s="414">
        <f t="shared" si="22"/>
        <v>82.000000000000028</v>
      </c>
      <c r="AI27" s="73">
        <f t="shared" si="26"/>
        <v>514.76793248945148</v>
      </c>
      <c r="AJ27" s="297">
        <f t="shared" si="9"/>
        <v>0.25738396624472576</v>
      </c>
      <c r="AK27" s="297">
        <f t="shared" si="31"/>
        <v>171.58931082981715</v>
      </c>
    </row>
    <row r="28" spans="1:37" ht="15.75" thickBot="1">
      <c r="A28" s="4">
        <f>ELEC!C28</f>
        <v>44069</v>
      </c>
      <c r="B28" s="569">
        <f t="shared" si="29"/>
        <v>9098</v>
      </c>
      <c r="C28" s="295">
        <f t="shared" si="11"/>
        <v>0</v>
      </c>
      <c r="D28" s="570">
        <f t="shared" si="30"/>
        <v>221823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0">
        <f t="shared" si="14"/>
        <v>10698</v>
      </c>
      <c r="K28" s="295">
        <f t="shared" si="2"/>
        <v>0</v>
      </c>
      <c r="L28" s="570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0">
        <f t="shared" si="27"/>
        <v>11641</v>
      </c>
      <c r="S28" s="295">
        <f t="shared" si="5"/>
        <v>0</v>
      </c>
      <c r="T28" s="570">
        <f t="shared" si="27"/>
        <v>343350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69">
        <f t="shared" si="29"/>
        <v>9098</v>
      </c>
      <c r="C29" s="295">
        <f t="shared" si="11"/>
        <v>0</v>
      </c>
      <c r="D29" s="570">
        <f t="shared" si="30"/>
        <v>221823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0">
        <f t="shared" si="14"/>
        <v>10698</v>
      </c>
      <c r="K29" s="295">
        <f t="shared" si="2"/>
        <v>0</v>
      </c>
      <c r="L29" s="570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0">
        <f t="shared" si="27"/>
        <v>11641</v>
      </c>
      <c r="S29" s="295">
        <f t="shared" si="5"/>
        <v>0</v>
      </c>
      <c r="T29" s="570">
        <f t="shared" si="27"/>
        <v>343350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9">
        <f t="shared" si="29"/>
        <v>9098</v>
      </c>
      <c r="C30" s="295">
        <f t="shared" si="11"/>
        <v>0</v>
      </c>
      <c r="D30" s="570">
        <f t="shared" si="30"/>
        <v>221823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0">
        <f t="shared" si="14"/>
        <v>10698</v>
      </c>
      <c r="K30" s="295">
        <f t="shared" si="2"/>
        <v>0</v>
      </c>
      <c r="L30" s="570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0">
        <f t="shared" si="27"/>
        <v>11641</v>
      </c>
      <c r="S30" s="295">
        <f t="shared" si="5"/>
        <v>0</v>
      </c>
      <c r="T30" s="570">
        <f t="shared" si="27"/>
        <v>343350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9">
        <f t="shared" si="29"/>
        <v>9098</v>
      </c>
      <c r="C31" s="295">
        <f t="shared" si="11"/>
        <v>0</v>
      </c>
      <c r="D31" s="570">
        <f t="shared" si="30"/>
        <v>221823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0">
        <f t="shared" si="14"/>
        <v>10698</v>
      </c>
      <c r="K31" s="295">
        <f t="shared" si="2"/>
        <v>0</v>
      </c>
      <c r="L31" s="570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0">
        <f t="shared" si="27"/>
        <v>11641</v>
      </c>
      <c r="S31" s="295">
        <f t="shared" si="5"/>
        <v>0</v>
      </c>
      <c r="T31" s="570">
        <f t="shared" si="27"/>
        <v>343350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9">
        <f t="shared" si="29"/>
        <v>9098</v>
      </c>
      <c r="C32" s="295">
        <f t="shared" si="11"/>
        <v>0</v>
      </c>
      <c r="D32" s="570">
        <f t="shared" si="30"/>
        <v>221823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0">
        <f t="shared" si="14"/>
        <v>10698</v>
      </c>
      <c r="K32" s="295">
        <f>J32-J31</f>
        <v>0</v>
      </c>
      <c r="L32" s="570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0">
        <f t="shared" si="27"/>
        <v>11641</v>
      </c>
      <c r="S32" s="295">
        <f t="shared" si="5"/>
        <v>0</v>
      </c>
      <c r="T32" s="570">
        <f t="shared" si="27"/>
        <v>343350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9">
        <f t="shared" si="29"/>
        <v>9098</v>
      </c>
      <c r="C33" s="295">
        <f t="shared" ref="C33" si="36">B33-B32</f>
        <v>0</v>
      </c>
      <c r="D33" s="570">
        <f t="shared" si="30"/>
        <v>221823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0">
        <f t="shared" si="14"/>
        <v>10698</v>
      </c>
      <c r="K33" s="295">
        <f>J33-J32</f>
        <v>0</v>
      </c>
      <c r="L33" s="570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0">
        <f t="shared" si="27"/>
        <v>11641</v>
      </c>
      <c r="S33" s="295">
        <f t="shared" ref="S33" si="43">R33-R32</f>
        <v>0</v>
      </c>
      <c r="T33" s="570">
        <f t="shared" si="27"/>
        <v>343350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147</v>
      </c>
      <c r="V34" s="40"/>
      <c r="X34">
        <v>341</v>
      </c>
      <c r="Z34" s="432">
        <f>SUM(Z3:Z32)</f>
        <v>147</v>
      </c>
    </row>
    <row r="35" spans="1:37">
      <c r="C35" s="40">
        <f>SUM(C3:C32)</f>
        <v>101</v>
      </c>
      <c r="K35" s="40">
        <f>SUM(K3:K32)</f>
        <v>0</v>
      </c>
      <c r="S35" s="40">
        <f>SUM(S3:S32)</f>
        <v>46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9988</v>
      </c>
      <c r="E6" s="3">
        <f>ELEC!Q24</f>
        <v>1000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14</v>
      </c>
      <c r="B20" s="3">
        <f>ELEC!AF21</f>
        <v>3130</v>
      </c>
      <c r="C20" s="3">
        <f>ELEC!N21</f>
        <v>13057</v>
      </c>
      <c r="D20" s="3">
        <f t="shared" si="0"/>
        <v>11057</v>
      </c>
      <c r="E20" s="3">
        <f>ELEC!Q21</f>
        <v>2000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-67.30000000000004</v>
      </c>
      <c r="J20" s="9">
        <f>'B5'!A22</f>
        <v>44061</v>
      </c>
    </row>
    <row r="21" spans="1:10">
      <c r="A21" s="3">
        <f>ELEC!T22+ELEC!X22+ELEC!AB22</f>
        <v>11</v>
      </c>
      <c r="B21" s="3">
        <f>ELEC!AF22</f>
        <v>2543</v>
      </c>
      <c r="C21" s="3">
        <f>ELEC!N22</f>
        <v>11496</v>
      </c>
      <c r="D21" s="3">
        <f t="shared" si="0"/>
        <v>9496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19.499999999999915</v>
      </c>
      <c r="J21" s="9">
        <f>'B5'!A23</f>
        <v>44062</v>
      </c>
    </row>
    <row r="22" spans="1:10">
      <c r="A22" s="3">
        <f>ELEC!T23+ELEC!X23+ELEC!AB23</f>
        <v>13</v>
      </c>
      <c r="B22" s="3">
        <f>ELEC!AF23</f>
        <v>2323</v>
      </c>
      <c r="C22" s="3">
        <f>ELEC!N23</f>
        <v>9977</v>
      </c>
      <c r="D22" s="3">
        <f t="shared" si="0"/>
        <v>7977</v>
      </c>
      <c r="E22" s="3">
        <f>ELEC!Q23</f>
        <v>2000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-50.500000000000057</v>
      </c>
      <c r="J22" s="9">
        <f>'B5'!A24</f>
        <v>44063</v>
      </c>
    </row>
    <row r="23" spans="1:10">
      <c r="A23" s="3">
        <f>ELEC!T24+ELEC!X24+ELEC!AB24</f>
        <v>1</v>
      </c>
      <c r="B23" s="3">
        <f>ELEC!AF24</f>
        <v>931</v>
      </c>
      <c r="C23" s="3">
        <f>ELEC!N24</f>
        <v>9301</v>
      </c>
      <c r="D23" s="3">
        <f t="shared" si="0"/>
        <v>8301</v>
      </c>
      <c r="E23" s="3">
        <f>ELEC!Q24</f>
        <v>1000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-17.099999999999909</v>
      </c>
      <c r="J23" s="9">
        <f>'B5'!A25</f>
        <v>44064</v>
      </c>
    </row>
    <row r="24" spans="1:10">
      <c r="A24" s="3">
        <f>ELEC!T25+ELEC!X25+ELEC!AB25</f>
        <v>7</v>
      </c>
      <c r="B24" s="3">
        <f>ELEC!AF25</f>
        <v>1574</v>
      </c>
      <c r="C24" s="3">
        <f>ELEC!N25</f>
        <v>10003</v>
      </c>
      <c r="D24" s="3">
        <f t="shared" si="0"/>
        <v>9003</v>
      </c>
      <c r="E24" s="3">
        <f>ELEC!Q25</f>
        <v>1000</v>
      </c>
      <c r="F24" s="3">
        <f>GEN!Z24</f>
        <v>2</v>
      </c>
      <c r="G24" s="3">
        <f>WATER!C27+WATER!H27</f>
        <v>0</v>
      </c>
      <c r="H24" s="3">
        <f>WATER!L27</f>
        <v>0</v>
      </c>
      <c r="I24" s="15">
        <f>WATER!BC27+WATER!BD27+WATER!BE28-Sheet1!G24</f>
        <v>-27.899999999999977</v>
      </c>
      <c r="J24" s="9">
        <f>'B5'!A26</f>
        <v>44065</v>
      </c>
    </row>
    <row r="25" spans="1:10">
      <c r="A25" s="3">
        <f>ELEC!T26+ELEC!X26+ELEC!AB26</f>
        <v>9</v>
      </c>
      <c r="B25" s="3">
        <f>ELEC!AF26</f>
        <v>2076</v>
      </c>
      <c r="C25" s="3">
        <f>ELEC!N26</f>
        <v>10040</v>
      </c>
      <c r="D25" s="3">
        <f t="shared" si="0"/>
        <v>8040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-88.700000000000074</v>
      </c>
      <c r="J25" s="9">
        <f>'B5'!A27</f>
        <v>44066</v>
      </c>
    </row>
    <row r="26" spans="1:10">
      <c r="A26" s="3">
        <f>ELEC!T27+ELEC!X27+ELEC!AB27</f>
        <v>9</v>
      </c>
      <c r="B26" s="3">
        <f>ELEC!AF27</f>
        <v>2346</v>
      </c>
      <c r="C26" s="3">
        <f>ELEC!N27</f>
        <v>10187</v>
      </c>
      <c r="D26" s="3">
        <f t="shared" si="0"/>
        <v>8187</v>
      </c>
      <c r="E26" s="3">
        <f>ELEC!Q27</f>
        <v>2000</v>
      </c>
      <c r="F26" s="3">
        <f>GEN!Z26</f>
        <v>3</v>
      </c>
      <c r="G26" s="3">
        <f>WATER!C29+WATER!H29</f>
        <v>0</v>
      </c>
      <c r="H26" s="3">
        <f>WATER!L29</f>
        <v>0</v>
      </c>
      <c r="I26" s="15">
        <f>WATER!BC29+WATER!BD29+WATER!BE30-Sheet1!G26</f>
        <v>91.700000000000017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-15.499999999999972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5"/>
      <c r="B1" s="643" t="s">
        <v>119</v>
      </c>
      <c r="C1" s="643" t="s">
        <v>118</v>
      </c>
      <c r="D1" s="647" t="s">
        <v>113</v>
      </c>
      <c r="E1" s="647" t="s">
        <v>114</v>
      </c>
      <c r="F1" s="648" t="s">
        <v>120</v>
      </c>
      <c r="G1" s="649" t="s">
        <v>75</v>
      </c>
      <c r="H1" s="640" t="s">
        <v>115</v>
      </c>
      <c r="I1" s="641" t="s">
        <v>116</v>
      </c>
      <c r="J1" s="640" t="s">
        <v>117</v>
      </c>
      <c r="K1" s="639" t="s">
        <v>121</v>
      </c>
      <c r="L1" s="639" t="s">
        <v>122</v>
      </c>
      <c r="M1" s="639" t="s">
        <v>123</v>
      </c>
      <c r="N1" s="639" t="s">
        <v>124</v>
      </c>
    </row>
    <row r="2" spans="1:14">
      <c r="A2" s="646"/>
      <c r="B2" s="644"/>
      <c r="C2" s="644"/>
      <c r="D2" s="647"/>
      <c r="E2" s="647"/>
      <c r="F2" s="648"/>
      <c r="G2" s="649"/>
      <c r="H2" s="640"/>
      <c r="I2" s="642"/>
      <c r="J2" s="640"/>
      <c r="K2" s="639"/>
      <c r="L2" s="639"/>
      <c r="M2" s="639"/>
      <c r="N2" s="63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291</v>
      </c>
      <c r="D23" s="76">
        <f>GEN!AI21</f>
        <v>514.76793248945148</v>
      </c>
      <c r="E23" s="247">
        <f t="shared" si="0"/>
        <v>805.76793248945148</v>
      </c>
      <c r="F23" s="75">
        <f>WATER!L23</f>
        <v>0</v>
      </c>
      <c r="G23" s="78">
        <f>WATER!BG23</f>
        <v>-59.30000000000004</v>
      </c>
      <c r="H23" s="79">
        <f>ELEC!AF21</f>
        <v>3130</v>
      </c>
      <c r="I23" s="79">
        <f>ELEC!Q21</f>
        <v>2000</v>
      </c>
      <c r="J23" s="79">
        <f>ELEC!R21</f>
        <v>11057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514.76793248945148</v>
      </c>
      <c r="E24" s="247">
        <f t="shared" si="0"/>
        <v>514.76793248945148</v>
      </c>
      <c r="F24" s="75">
        <f>WATER!L24</f>
        <v>0</v>
      </c>
      <c r="G24" s="78">
        <f>WATER!BG24</f>
        <v>-73.700000000000017</v>
      </c>
      <c r="H24" s="79">
        <f>ELEC!AF22</f>
        <v>2543</v>
      </c>
      <c r="I24" s="79">
        <f>ELEC!Q22</f>
        <v>2000</v>
      </c>
      <c r="J24" s="79">
        <f>ELEC!R22</f>
        <v>9496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514.76793248945148</v>
      </c>
      <c r="E25" s="247">
        <f t="shared" si="0"/>
        <v>514.76793248945148</v>
      </c>
      <c r="F25" s="75">
        <f>WATER!L25</f>
        <v>0</v>
      </c>
      <c r="G25" s="78">
        <f>WATER!BG25</f>
        <v>-5.8000000000000682</v>
      </c>
      <c r="H25" s="79">
        <f>ELEC!AF23</f>
        <v>2323</v>
      </c>
      <c r="I25" s="79">
        <f>ELEC!Q23</f>
        <v>2000</v>
      </c>
      <c r="J25" s="79">
        <f>ELEC!R23</f>
        <v>7977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257.38396624472574</v>
      </c>
      <c r="E26" s="247">
        <f t="shared" si="0"/>
        <v>257.38396624472574</v>
      </c>
      <c r="F26" s="75">
        <f>WATER!L26</f>
        <v>0</v>
      </c>
      <c r="G26" s="78">
        <f>WATER!BG26</f>
        <v>-44.699999999999989</v>
      </c>
      <c r="H26" s="79">
        <f>ELEC!AF24</f>
        <v>931</v>
      </c>
      <c r="I26" s="79">
        <f>ELEC!Q24</f>
        <v>1000</v>
      </c>
      <c r="J26" s="79">
        <f>ELEC!R24</f>
        <v>8301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282</v>
      </c>
      <c r="D27" s="76">
        <f>GEN!AI25</f>
        <v>257.38396624472574</v>
      </c>
      <c r="E27" s="247">
        <f t="shared" si="0"/>
        <v>539.3839662447258</v>
      </c>
      <c r="F27" s="75">
        <f>WATER!L27</f>
        <v>0</v>
      </c>
      <c r="G27" s="78">
        <f>WATER!BG27</f>
        <v>27.60000000000008</v>
      </c>
      <c r="H27" s="79">
        <f>ELEC!AF25</f>
        <v>1574</v>
      </c>
      <c r="I27" s="79">
        <f>ELEC!Q25</f>
        <v>1000</v>
      </c>
      <c r="J27" s="79">
        <f>ELEC!R25</f>
        <v>9003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-55.500000000000057</v>
      </c>
      <c r="H28" s="79">
        <f>ELEC!AF26</f>
        <v>2076</v>
      </c>
      <c r="I28" s="79">
        <f>ELEC!Q26</f>
        <v>2000</v>
      </c>
      <c r="J28" s="79">
        <f>ELEC!R26</f>
        <v>8040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514.76793248945148</v>
      </c>
      <c r="E29" s="77">
        <f t="shared" si="0"/>
        <v>514.76793248945148</v>
      </c>
      <c r="F29" s="75">
        <f>WATER!L29</f>
        <v>0</v>
      </c>
      <c r="G29" s="78">
        <f>WATER!BG29</f>
        <v>-33.200000000000017</v>
      </c>
      <c r="H29" s="79">
        <f>ELEC!AF27</f>
        <v>2346</v>
      </c>
      <c r="I29" s="79">
        <f>ELEC!Q27</f>
        <v>2000</v>
      </c>
      <c r="J29" s="79">
        <f>ELEC!R27</f>
        <v>8187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124.90000000000003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0" t="s">
        <v>151</v>
      </c>
      <c r="U3" s="65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5</v>
      </c>
      <c r="G24">
        <f t="shared" si="1"/>
        <v>535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6</v>
      </c>
      <c r="G28">
        <f t="shared" si="1"/>
        <v>642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28" zoomScale="80" zoomScaleNormal="80" workbookViewId="0">
      <selection activeCell="J39" sqref="J3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7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7">
        <v>30051</v>
      </c>
      <c r="G4" s="160">
        <f t="shared" ref="G4:G32" si="1">F4-F3</f>
        <v>0</v>
      </c>
      <c r="H4" s="567">
        <v>103383</v>
      </c>
      <c r="I4" s="161">
        <f t="shared" ref="I4:I33" si="2">H4-H3</f>
        <v>3514</v>
      </c>
      <c r="J4" s="567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124.84116013757091</v>
      </c>
      <c r="P4" s="305">
        <f>SUM(L4:O4)</f>
        <v>448.11014852894732</v>
      </c>
      <c r="Q4" s="305">
        <f>SUM(-tanks!AX6*tanks!$AU$37)</f>
        <v>3143.9571370967742</v>
      </c>
      <c r="R4" s="305">
        <f>SUM(P4:Q4)</f>
        <v>3592.0672856257215</v>
      </c>
      <c r="S4" s="307">
        <f>SUM(ELEC!N3)</f>
        <v>25351</v>
      </c>
      <c r="T4" s="344">
        <f>IF(S4&gt;0,R4/S4,0)</f>
        <v>0.14169331725082723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61"/>
      <c r="AC4" s="662"/>
    </row>
    <row r="5" spans="1:30" ht="15.75" thickBot="1">
      <c r="A5" s="163">
        <f>ELEC!C4</f>
        <v>44045</v>
      </c>
      <c r="B5" s="567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7">
        <v>31607</v>
      </c>
      <c r="G5" s="160">
        <f t="shared" si="1"/>
        <v>1556</v>
      </c>
      <c r="H5" s="567">
        <v>107210</v>
      </c>
      <c r="I5" s="161">
        <f t="shared" si="2"/>
        <v>3827</v>
      </c>
      <c r="J5" s="567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124.84116013757091</v>
      </c>
      <c r="P5" s="305">
        <f t="shared" ref="P5:P32" si="9">SUM(L5:O5)</f>
        <v>876.22026461518283</v>
      </c>
      <c r="Q5" s="305">
        <f>SUM(-tanks!AX7*tanks!$AU$37)</f>
        <v>1436.2537499999994</v>
      </c>
      <c r="R5" s="305">
        <f t="shared" ref="R5:R32" si="10">SUM(P5:Q5)</f>
        <v>2312.4740146151821</v>
      </c>
      <c r="S5" s="307">
        <f>SUM(ELEC!N4)</f>
        <v>24732</v>
      </c>
      <c r="T5" s="344">
        <f>IF(S5&gt;0,R5/S5,0)</f>
        <v>9.350129446123169E-2</v>
      </c>
      <c r="U5" s="255"/>
      <c r="V5" s="655"/>
      <c r="W5" s="656"/>
      <c r="X5" s="656"/>
      <c r="Y5" s="657"/>
      <c r="Z5" s="26" t="s">
        <v>203</v>
      </c>
      <c r="AA5" s="270">
        <f>'[5]EDl log'!AA22</f>
        <v>5000</v>
      </c>
      <c r="AB5" s="663"/>
      <c r="AC5" s="664"/>
    </row>
    <row r="6" spans="1:30" ht="15.75" thickBot="1">
      <c r="A6" s="163">
        <f>ELEC!C5</f>
        <v>44046</v>
      </c>
      <c r="B6" s="567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7">
        <v>31607</v>
      </c>
      <c r="G6" s="160">
        <f t="shared" si="1"/>
        <v>0</v>
      </c>
      <c r="H6" s="567">
        <v>110888</v>
      </c>
      <c r="I6" s="161">
        <f t="shared" si="2"/>
        <v>3678</v>
      </c>
      <c r="J6" s="567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124.84116013757091</v>
      </c>
      <c r="P6" s="305">
        <f t="shared" si="9"/>
        <v>441.56155814752111</v>
      </c>
      <c r="Q6" s="305">
        <f>SUM(-tanks!AX8*tanks!$AU$37)</f>
        <v>1913.031854838712</v>
      </c>
      <c r="R6" s="305">
        <f t="shared" si="10"/>
        <v>2354.593412986233</v>
      </c>
      <c r="S6" s="307">
        <f>SUM(ELEC!N5)</f>
        <v>23757</v>
      </c>
      <c r="T6" s="344">
        <f t="shared" ref="T6:T32" si="12">IF(S6&gt;0,R6/S6,0)</f>
        <v>9.9111563454402196E-2</v>
      </c>
      <c r="V6" s="658"/>
      <c r="W6" s="659"/>
      <c r="X6" s="659"/>
      <c r="Y6" s="660"/>
      <c r="Z6" s="3"/>
      <c r="AA6" s="3"/>
      <c r="AB6" s="663"/>
      <c r="AC6" s="664"/>
    </row>
    <row r="7" spans="1:30" ht="15" customHeight="1" thickBot="1">
      <c r="A7" s="163">
        <f>ELEC!C6</f>
        <v>44047</v>
      </c>
      <c r="B7" s="567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7">
        <v>32332</v>
      </c>
      <c r="G7" s="160">
        <f t="shared" si="1"/>
        <v>725</v>
      </c>
      <c r="H7" s="567">
        <v>114200</v>
      </c>
      <c r="I7" s="161">
        <f t="shared" si="2"/>
        <v>3312</v>
      </c>
      <c r="J7" s="567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124.84116013757091</v>
      </c>
      <c r="P7" s="305">
        <f t="shared" si="9"/>
        <v>703.80235416742164</v>
      </c>
      <c r="Q7" s="305">
        <f>SUM(-tanks!AX9*tanks!$AU$37)</f>
        <v>714.87500000000011</v>
      </c>
      <c r="R7" s="305">
        <f t="shared" si="10"/>
        <v>1418.6773541674218</v>
      </c>
      <c r="S7" s="307">
        <f>SUM(ELEC!N6)</f>
        <v>25244</v>
      </c>
      <c r="T7" s="344">
        <f t="shared" si="12"/>
        <v>5.6198595870995953E-2</v>
      </c>
      <c r="V7" s="651" t="s">
        <v>204</v>
      </c>
      <c r="W7" s="652"/>
      <c r="X7" s="653" t="s">
        <v>205</v>
      </c>
      <c r="Y7" s="654"/>
      <c r="Z7" s="652"/>
      <c r="AA7" s="26"/>
      <c r="AB7" s="665"/>
      <c r="AC7" s="666"/>
    </row>
    <row r="8" spans="1:30" ht="15.75" customHeight="1" thickBot="1">
      <c r="A8" s="163">
        <f>ELEC!C7</f>
        <v>44048</v>
      </c>
      <c r="B8" s="567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7">
        <v>32678</v>
      </c>
      <c r="G8" s="160">
        <f t="shared" si="1"/>
        <v>346</v>
      </c>
      <c r="H8" s="567">
        <v>116434</v>
      </c>
      <c r="I8" s="161">
        <f t="shared" si="2"/>
        <v>2234</v>
      </c>
      <c r="J8" s="567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124.84116013757091</v>
      </c>
      <c r="P8" s="305">
        <f t="shared" si="9"/>
        <v>364.26271900987604</v>
      </c>
      <c r="Q8" s="305">
        <f>SUM(-tanks!AX10*tanks!$AU$37)</f>
        <v>2428.7180241935434</v>
      </c>
      <c r="R8" s="305">
        <f t="shared" si="10"/>
        <v>2792.9807432034195</v>
      </c>
      <c r="S8" s="307">
        <f>SUM(ELEC!N7)</f>
        <v>10988</v>
      </c>
      <c r="T8" s="344">
        <f>IF(S8&gt;0,R8/S8,0)</f>
        <v>0.25418463261771201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7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7">
        <v>33222</v>
      </c>
      <c r="G9" s="160">
        <f t="shared" si="1"/>
        <v>544</v>
      </c>
      <c r="H9" s="567">
        <v>117014</v>
      </c>
      <c r="I9" s="161">
        <f t="shared" si="2"/>
        <v>580</v>
      </c>
      <c r="J9" s="567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124.84116013757091</v>
      </c>
      <c r="P9" s="305">
        <f t="shared" si="9"/>
        <v>374.79140889378982</v>
      </c>
      <c r="Q9" s="305">
        <f>SUM(-tanks!AX11*tanks!$AU$37)</f>
        <v>240.62834677419545</v>
      </c>
      <c r="R9" s="305">
        <f>SUM(P9:Q9)</f>
        <v>615.41975566798533</v>
      </c>
      <c r="S9" s="307">
        <f>SUM(ELEC!N8)</f>
        <v>10699</v>
      </c>
      <c r="T9" s="344">
        <f t="shared" si="12"/>
        <v>5.7521240832599803E-2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7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7">
        <v>33793</v>
      </c>
      <c r="G10" s="160">
        <f t="shared" si="1"/>
        <v>571</v>
      </c>
      <c r="H10" s="567">
        <v>121686</v>
      </c>
      <c r="I10" s="161">
        <f t="shared" si="2"/>
        <v>4672</v>
      </c>
      <c r="J10" s="567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124.84116013757091</v>
      </c>
      <c r="P10" s="305">
        <f t="shared" si="9"/>
        <v>641.28825798168361</v>
      </c>
      <c r="Q10" s="305">
        <f>SUM(-tanks!AX12*tanks!$AU$37)</f>
        <v>-1136.0322580645077</v>
      </c>
      <c r="R10" s="305">
        <f t="shared" si="10"/>
        <v>-494.74400008282407</v>
      </c>
      <c r="S10" s="307">
        <f>SUM(ELEC!N9)</f>
        <v>9781</v>
      </c>
      <c r="T10" s="344">
        <f t="shared" si="12"/>
        <v>-5.0582149072980684E-2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7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7">
        <v>34451</v>
      </c>
      <c r="G11" s="160">
        <f t="shared" si="1"/>
        <v>658</v>
      </c>
      <c r="H11" s="567">
        <v>124110</v>
      </c>
      <c r="I11" s="161">
        <f t="shared" si="2"/>
        <v>2424</v>
      </c>
      <c r="J11" s="567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124.84116013757091</v>
      </c>
      <c r="P11" s="305">
        <f t="shared" si="9"/>
        <v>526.49157473126911</v>
      </c>
      <c r="Q11" s="305">
        <f>SUM(-tanks!AX13*tanks!$AU$37)</f>
        <v>609.60995967741223</v>
      </c>
      <c r="R11" s="305">
        <f t="shared" si="10"/>
        <v>1136.1015344086813</v>
      </c>
      <c r="S11" s="307">
        <f>SUM(ELEC!N10)</f>
        <v>10647</v>
      </c>
      <c r="T11" s="344">
        <f t="shared" si="12"/>
        <v>0.10670625851495082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7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7">
        <v>34998</v>
      </c>
      <c r="G12" s="160">
        <f t="shared" si="1"/>
        <v>547</v>
      </c>
      <c r="H12" s="567">
        <v>126161</v>
      </c>
      <c r="I12" s="161">
        <f t="shared" si="2"/>
        <v>2051</v>
      </c>
      <c r="J12" s="567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124.84116013757091</v>
      </c>
      <c r="P12" s="305">
        <f t="shared" si="9"/>
        <v>441.99671569312648</v>
      </c>
      <c r="Q12" s="305">
        <f>SUM(-tanks!AX14*tanks!$AU$37)</f>
        <v>320.71931451613244</v>
      </c>
      <c r="R12" s="305">
        <f t="shared" si="10"/>
        <v>762.71603020925886</v>
      </c>
      <c r="S12" s="307">
        <f>SUM(ELEC!N11)</f>
        <v>8400</v>
      </c>
      <c r="T12" s="344">
        <f t="shared" si="12"/>
        <v>9.0799527405864153E-2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7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7">
        <v>35632</v>
      </c>
      <c r="G13" s="160">
        <f t="shared" si="1"/>
        <v>634</v>
      </c>
      <c r="H13" s="567">
        <v>129428</v>
      </c>
      <c r="I13" s="161">
        <f t="shared" si="2"/>
        <v>3267</v>
      </c>
      <c r="J13" s="567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124.84116013757091</v>
      </c>
      <c r="P13" s="305">
        <f t="shared" si="9"/>
        <v>544.86371403475164</v>
      </c>
      <c r="Q13" s="305">
        <f>SUM(-tanks!AX15*tanks!$AU$37)</f>
        <v>253.34975806451698</v>
      </c>
      <c r="R13" s="305">
        <f t="shared" si="10"/>
        <v>798.21347209926864</v>
      </c>
      <c r="S13" s="307">
        <f>SUM(ELEC!N12)</f>
        <v>10457</v>
      </c>
      <c r="T13" s="344">
        <f t="shared" si="12"/>
        <v>7.6332932208020329E-2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3">
        <f>ELEC!C13</f>
        <v>44054</v>
      </c>
      <c r="B14" s="567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7">
        <v>36294</v>
      </c>
      <c r="G14" s="160">
        <f t="shared" si="1"/>
        <v>662</v>
      </c>
      <c r="H14" s="567">
        <v>132032</v>
      </c>
      <c r="I14" s="161">
        <f t="shared" si="2"/>
        <v>2604</v>
      </c>
      <c r="J14" s="567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124.84116013757091</v>
      </c>
      <c r="P14" s="305">
        <f t="shared" ref="P14:P17" si="18">SUM(L14:O14)</f>
        <v>530.36553824702366</v>
      </c>
      <c r="Q14" s="305">
        <f>SUM(-tanks!AX16*tanks!$AU$37)</f>
        <v>271.52072580643983</v>
      </c>
      <c r="R14" s="305">
        <f t="shared" ref="R14:R17" si="19">SUM(P14:Q14)</f>
        <v>801.88626405346349</v>
      </c>
      <c r="S14" s="307">
        <f>SUM(ELEC!N13)</f>
        <v>10265</v>
      </c>
      <c r="T14" s="344">
        <f t="shared" ref="T14:T17" si="20">IF(S14&gt;0,R14/S14,0)</f>
        <v>7.8118486512758253E-2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7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7">
        <v>36961</v>
      </c>
      <c r="G15" s="160">
        <f t="shared" si="1"/>
        <v>667</v>
      </c>
      <c r="H15" s="567">
        <v>134600</v>
      </c>
      <c r="I15" s="161">
        <f t="shared" si="2"/>
        <v>2568</v>
      </c>
      <c r="J15" s="567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124.84116013757091</v>
      </c>
      <c r="P15" s="305">
        <f t="shared" si="18"/>
        <v>530.87499098334206</v>
      </c>
      <c r="Q15" s="305">
        <f>SUM(-tanks!AX17*tanks!$AU$37)</f>
        <v>911.81153225806793</v>
      </c>
      <c r="R15" s="305">
        <f t="shared" si="19"/>
        <v>1442.68652324141</v>
      </c>
      <c r="S15" s="307">
        <f>SUM(ELEC!N14)</f>
        <v>10779</v>
      </c>
      <c r="T15" s="344">
        <f t="shared" si="20"/>
        <v>0.13384233446900548</v>
      </c>
      <c r="V15" s="270" t="str">
        <f>'[5]EDl log'!V32</f>
        <v>H Deg</v>
      </c>
      <c r="W15" s="270">
        <f>'[1]EDl log'!W32</f>
        <v>-549.00000000000011</v>
      </c>
      <c r="X15" s="574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7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7">
        <v>37335</v>
      </c>
      <c r="G16" s="160">
        <f t="shared" si="1"/>
        <v>374</v>
      </c>
      <c r="H16" s="567">
        <v>137364</v>
      </c>
      <c r="I16" s="161">
        <f t="shared" si="2"/>
        <v>2764</v>
      </c>
      <c r="J16" s="567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124.84116013757091</v>
      </c>
      <c r="P16" s="305">
        <f t="shared" si="18"/>
        <v>487.43353161352451</v>
      </c>
      <c r="Q16" s="305">
        <f>SUM(-tanks!AX18*tanks!$AU$37)</f>
        <v>0</v>
      </c>
      <c r="R16" s="305">
        <f t="shared" si="19"/>
        <v>487.43353161352451</v>
      </c>
      <c r="S16" s="307">
        <f>SUM(ELEC!N15)</f>
        <v>11455</v>
      </c>
      <c r="T16" s="344">
        <f t="shared" si="20"/>
        <v>4.2552032441163207E-2</v>
      </c>
      <c r="V16" s="270" t="str">
        <f>'[5]EDl log'!V33</f>
        <v>C Deg</v>
      </c>
      <c r="W16" s="270">
        <f>'[1]EDl log'!W33</f>
        <v>0</v>
      </c>
      <c r="X16" s="574">
        <f>'[2]EDl log'!X16</f>
        <v>0</v>
      </c>
      <c r="Y16" s="574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7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7">
        <v>37817</v>
      </c>
      <c r="G17" s="160">
        <f t="shared" si="1"/>
        <v>482</v>
      </c>
      <c r="H17" s="567">
        <v>139727</v>
      </c>
      <c r="I17" s="161">
        <f t="shared" si="2"/>
        <v>2363</v>
      </c>
      <c r="J17" s="567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124.84116013757091</v>
      </c>
      <c r="P17" s="305">
        <f t="shared" si="18"/>
        <v>458.01263609113641</v>
      </c>
      <c r="Q17" s="305">
        <f>SUM(-tanks!AX19*tanks!$AU$37)</f>
        <v>691.42959677419401</v>
      </c>
      <c r="R17" s="305">
        <f t="shared" si="19"/>
        <v>1149.4422328653304</v>
      </c>
      <c r="S17" s="307">
        <f>SUM(ELEC!N16)</f>
        <v>11209</v>
      </c>
      <c r="T17" s="344">
        <f t="shared" si="20"/>
        <v>0.10254636746055228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7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7">
        <v>38527</v>
      </c>
      <c r="G18" s="160">
        <f t="shared" si="1"/>
        <v>710</v>
      </c>
      <c r="H18" s="567">
        <v>141543</v>
      </c>
      <c r="I18" s="161">
        <f t="shared" si="2"/>
        <v>1816</v>
      </c>
      <c r="J18" s="567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124.84116013757091</v>
      </c>
      <c r="P18" s="305">
        <f t="shared" si="9"/>
        <v>493.95028119893078</v>
      </c>
      <c r="Q18" s="305">
        <f>SUM(-tanks!AX20*tanks!$AU$37)</f>
        <v>505.80483870967697</v>
      </c>
      <c r="R18" s="305">
        <f t="shared" si="10"/>
        <v>999.75511990860775</v>
      </c>
      <c r="S18" s="307">
        <f>SUM(ELEC!N17)</f>
        <v>9704</v>
      </c>
      <c r="T18" s="344">
        <f t="shared" si="12"/>
        <v>0.10302505357673204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7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7">
        <v>39113</v>
      </c>
      <c r="G19" s="160">
        <f t="shared" si="1"/>
        <v>586</v>
      </c>
      <c r="H19" s="567">
        <v>143816</v>
      </c>
      <c r="I19" s="161">
        <f t="shared" si="2"/>
        <v>2273</v>
      </c>
      <c r="J19" s="567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124.84116013757091</v>
      </c>
      <c r="P19" s="305">
        <f t="shared" si="9"/>
        <v>485.18344869478483</v>
      </c>
      <c r="Q19" s="305">
        <f>SUM(-tanks!AX21*tanks!$AU$37)</f>
        <v>117.71596774192915</v>
      </c>
      <c r="R19" s="305">
        <f t="shared" si="10"/>
        <v>602.89941643671398</v>
      </c>
      <c r="S19" s="307">
        <f>SUM(ELEC!N18)</f>
        <v>9365</v>
      </c>
      <c r="T19" s="344">
        <f t="shared" si="12"/>
        <v>6.4377940890199034E-2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7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7">
        <v>39658</v>
      </c>
      <c r="G20" s="160">
        <f t="shared" si="1"/>
        <v>545</v>
      </c>
      <c r="H20" s="567">
        <v>146584</v>
      </c>
      <c r="I20" s="161">
        <f t="shared" si="2"/>
        <v>2768</v>
      </c>
      <c r="J20" s="567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124.84116013757091</v>
      </c>
      <c r="P20" s="305">
        <f t="shared" si="9"/>
        <v>542.9214254775377</v>
      </c>
      <c r="Q20" s="305">
        <f>SUM(-tanks!AX22*tanks!$AU$37)</f>
        <v>380.56387096774785</v>
      </c>
      <c r="R20" s="305">
        <f t="shared" si="10"/>
        <v>923.48529644528548</v>
      </c>
      <c r="S20" s="307">
        <f>SUM(ELEC!N19)</f>
        <v>11726</v>
      </c>
      <c r="T20" s="344">
        <f t="shared" si="12"/>
        <v>7.8755355316841677E-2</v>
      </c>
      <c r="V20" t="s">
        <v>414</v>
      </c>
      <c r="AB20" s="270"/>
    </row>
    <row r="21" spans="1:32" ht="15.75" thickBot="1">
      <c r="A21" s="163">
        <f>ELEC!C20</f>
        <v>44061</v>
      </c>
      <c r="B21" s="567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7">
        <v>40231</v>
      </c>
      <c r="G21" s="160">
        <f t="shared" si="1"/>
        <v>573</v>
      </c>
      <c r="H21" s="567">
        <v>150160</v>
      </c>
      <c r="I21" s="161">
        <f t="shared" si="2"/>
        <v>3576</v>
      </c>
      <c r="J21" s="567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124.84116013757091</v>
      </c>
      <c r="P21" s="305">
        <f t="shared" si="9"/>
        <v>605.55227124868202</v>
      </c>
      <c r="Q21" s="305">
        <f>SUM(-tanks!AX23*tanks!$AU$37)</f>
        <v>88.878225806446082</v>
      </c>
      <c r="R21" s="305">
        <f t="shared" si="10"/>
        <v>694.43049705512806</v>
      </c>
      <c r="S21" s="307">
        <f>SUM(ELEC!N20)</f>
        <v>12104</v>
      </c>
      <c r="T21" s="344">
        <f t="shared" si="12"/>
        <v>5.7371984224647066E-2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61"/>
      <c r="AC21" s="662"/>
    </row>
    <row r="22" spans="1:32" ht="15.75" thickBot="1">
      <c r="A22" s="163">
        <f>ELEC!C21</f>
        <v>44062</v>
      </c>
      <c r="B22" s="567">
        <v>297597</v>
      </c>
      <c r="C22" s="270">
        <f t="shared" si="0"/>
        <v>5614</v>
      </c>
      <c r="D22" s="316">
        <f t="shared" si="7"/>
        <v>5614</v>
      </c>
      <c r="E22" s="316">
        <f t="shared" si="11"/>
        <v>297597</v>
      </c>
      <c r="F22" s="567">
        <v>40875</v>
      </c>
      <c r="G22" s="160">
        <f t="shared" si="1"/>
        <v>644</v>
      </c>
      <c r="H22" s="567">
        <v>153428</v>
      </c>
      <c r="I22" s="161">
        <f t="shared" si="2"/>
        <v>3268</v>
      </c>
      <c r="J22" s="567">
        <v>103293</v>
      </c>
      <c r="K22" s="162">
        <f t="shared" si="3"/>
        <v>1702</v>
      </c>
      <c r="L22" s="304">
        <f t="shared" si="21"/>
        <v>136.70315091210614</v>
      </c>
      <c r="M22" s="304">
        <f t="shared" si="22"/>
        <v>242.79668325041459</v>
      </c>
      <c r="N22" s="304">
        <f t="shared" si="23"/>
        <v>90.321724709784405</v>
      </c>
      <c r="O22" s="304">
        <f t="shared" si="24"/>
        <v>124.84116013757091</v>
      </c>
      <c r="P22" s="305">
        <f t="shared" si="9"/>
        <v>594.66271900987613</v>
      </c>
      <c r="Q22" s="305">
        <f>SUM(-tanks!AX24*tanks!$AU$37)</f>
        <v>502.94395161290004</v>
      </c>
      <c r="R22" s="305">
        <f t="shared" si="10"/>
        <v>1097.6066706227762</v>
      </c>
      <c r="S22" s="307">
        <f>SUM(ELEC!N21)</f>
        <v>13057</v>
      </c>
      <c r="T22" s="344">
        <f t="shared" si="12"/>
        <v>8.4062699749006375E-2</v>
      </c>
      <c r="V22" s="667"/>
      <c r="W22" s="668"/>
      <c r="X22" s="668"/>
      <c r="Y22" s="669"/>
      <c r="Z22" s="26" t="s">
        <v>203</v>
      </c>
      <c r="AA22" s="26">
        <v>5000</v>
      </c>
      <c r="AB22" s="663"/>
      <c r="AC22" s="664"/>
    </row>
    <row r="23" spans="1:32" ht="15.75" thickBot="1">
      <c r="A23" s="163">
        <f>ELEC!C22</f>
        <v>44063</v>
      </c>
      <c r="B23" s="567">
        <v>302554</v>
      </c>
      <c r="C23" s="270">
        <f t="shared" si="0"/>
        <v>4957</v>
      </c>
      <c r="D23" s="316">
        <f t="shared" si="7"/>
        <v>4957</v>
      </c>
      <c r="E23" s="316">
        <f t="shared" si="11"/>
        <v>302554</v>
      </c>
      <c r="F23" s="567">
        <v>41296</v>
      </c>
      <c r="G23" s="160">
        <f t="shared" si="1"/>
        <v>421</v>
      </c>
      <c r="H23" s="567">
        <v>156056</v>
      </c>
      <c r="I23" s="161">
        <f t="shared" si="2"/>
        <v>2628</v>
      </c>
      <c r="J23" s="567">
        <v>105201</v>
      </c>
      <c r="K23" s="162">
        <f t="shared" si="3"/>
        <v>1908</v>
      </c>
      <c r="L23" s="304">
        <f t="shared" si="21"/>
        <v>89.366500829187402</v>
      </c>
      <c r="M23" s="304">
        <f t="shared" si="22"/>
        <v>195.24776119402986</v>
      </c>
      <c r="N23" s="304">
        <f t="shared" si="23"/>
        <v>101.25373134328358</v>
      </c>
      <c r="O23" s="304">
        <f t="shared" si="24"/>
        <v>124.84116013757091</v>
      </c>
      <c r="P23" s="305">
        <f t="shared" si="9"/>
        <v>510.70915350407176</v>
      </c>
      <c r="Q23" s="305">
        <f>SUM(-tanks!AX25*tanks!$AU$37)</f>
        <v>329.67822580646174</v>
      </c>
      <c r="R23" s="305">
        <f t="shared" si="10"/>
        <v>840.38737931053356</v>
      </c>
      <c r="S23" s="307">
        <f>SUM(ELEC!N22)</f>
        <v>11496</v>
      </c>
      <c r="T23" s="344">
        <f t="shared" si="12"/>
        <v>7.3102590406274662E-2</v>
      </c>
      <c r="V23" s="670"/>
      <c r="W23" s="671"/>
      <c r="X23" s="671"/>
      <c r="Y23" s="672"/>
      <c r="Z23" s="673"/>
      <c r="AA23" s="674"/>
      <c r="AB23" s="663"/>
      <c r="AC23" s="664"/>
    </row>
    <row r="24" spans="1:32" ht="15" customHeight="1" thickBot="1">
      <c r="A24" s="163">
        <f>ELEC!C23</f>
        <v>44064</v>
      </c>
      <c r="B24" s="567">
        <v>306809</v>
      </c>
      <c r="C24" s="270">
        <f t="shared" si="0"/>
        <v>4255</v>
      </c>
      <c r="D24" s="316">
        <f t="shared" si="7"/>
        <v>4256</v>
      </c>
      <c r="E24" s="316">
        <f t="shared" si="11"/>
        <v>306810</v>
      </c>
      <c r="F24" s="567">
        <v>42028</v>
      </c>
      <c r="G24" s="160">
        <f t="shared" si="1"/>
        <v>732</v>
      </c>
      <c r="H24" s="567">
        <v>158050</v>
      </c>
      <c r="I24" s="161">
        <f t="shared" si="2"/>
        <v>1994</v>
      </c>
      <c r="J24" s="567">
        <v>106731</v>
      </c>
      <c r="K24" s="162">
        <f t="shared" si="3"/>
        <v>1530</v>
      </c>
      <c r="L24" s="304">
        <f t="shared" si="21"/>
        <v>155.38308457711443</v>
      </c>
      <c r="M24" s="304">
        <f t="shared" si="22"/>
        <v>148.14461028192372</v>
      </c>
      <c r="N24" s="304">
        <f t="shared" si="23"/>
        <v>81.194029850746276</v>
      </c>
      <c r="O24" s="304">
        <f t="shared" si="24"/>
        <v>124.84116013757091</v>
      </c>
      <c r="P24" s="305">
        <f t="shared" si="9"/>
        <v>509.56288484735535</v>
      </c>
      <c r="Q24" s="305">
        <f>SUM(-tanks!AX26*tanks!$AU$37)</f>
        <v>494.51733870968479</v>
      </c>
      <c r="R24" s="305">
        <f t="shared" si="10"/>
        <v>1004.0802235570402</v>
      </c>
      <c r="S24" s="307">
        <f>SUM(ELEC!N23)</f>
        <v>9977</v>
      </c>
      <c r="T24" s="344">
        <f t="shared" si="12"/>
        <v>0.10063949319004112</v>
      </c>
      <c r="V24" s="675" t="s">
        <v>204</v>
      </c>
      <c r="W24" s="676"/>
      <c r="X24" s="677" t="s">
        <v>205</v>
      </c>
      <c r="Y24" s="678"/>
      <c r="Z24" s="679"/>
      <c r="AA24" s="170"/>
      <c r="AB24" s="665"/>
      <c r="AC24" s="666"/>
    </row>
    <row r="25" spans="1:32" ht="17.25" customHeight="1">
      <c r="A25" s="163">
        <f>ELEC!C24</f>
        <v>44065</v>
      </c>
      <c r="B25" s="567">
        <v>311336</v>
      </c>
      <c r="C25" s="270">
        <f t="shared" si="0"/>
        <v>4527</v>
      </c>
      <c r="D25" s="316">
        <f t="shared" si="7"/>
        <v>4527</v>
      </c>
      <c r="E25" s="316">
        <f t="shared" si="11"/>
        <v>311336</v>
      </c>
      <c r="F25" s="567">
        <v>42497</v>
      </c>
      <c r="G25" s="160">
        <f t="shared" si="1"/>
        <v>469</v>
      </c>
      <c r="H25" s="567">
        <v>160853</v>
      </c>
      <c r="I25" s="161">
        <f t="shared" si="2"/>
        <v>2803</v>
      </c>
      <c r="J25" s="567">
        <v>107986</v>
      </c>
      <c r="K25" s="162">
        <f t="shared" si="3"/>
        <v>1255</v>
      </c>
      <c r="L25" s="304">
        <f t="shared" si="21"/>
        <v>99.555555555555557</v>
      </c>
      <c r="M25" s="304">
        <f t="shared" si="22"/>
        <v>208.24941956882256</v>
      </c>
      <c r="N25" s="304">
        <f t="shared" si="23"/>
        <v>66.600331674958539</v>
      </c>
      <c r="O25" s="304">
        <f t="shared" si="24"/>
        <v>124.84116013757091</v>
      </c>
      <c r="P25" s="305">
        <f t="shared" si="9"/>
        <v>499.24646693690761</v>
      </c>
      <c r="Q25" s="305">
        <f>SUM(-tanks!AX27*tanks!$AU$37)</f>
        <v>146.02661290321524</v>
      </c>
      <c r="R25" s="305">
        <f t="shared" si="10"/>
        <v>645.27307984012282</v>
      </c>
      <c r="S25" s="307">
        <f>SUM(ELEC!N24)</f>
        <v>9301</v>
      </c>
      <c r="T25" s="344">
        <f t="shared" si="12"/>
        <v>6.9376742268586478E-2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>
      <c r="A26" s="163">
        <f>ELEC!C25</f>
        <v>44066</v>
      </c>
      <c r="B26" s="603">
        <v>315584</v>
      </c>
      <c r="C26" s="270">
        <f t="shared" si="0"/>
        <v>4248</v>
      </c>
      <c r="D26" s="316">
        <f t="shared" si="7"/>
        <v>3523</v>
      </c>
      <c r="E26" s="316">
        <f t="shared" si="11"/>
        <v>314859</v>
      </c>
      <c r="F26" s="603">
        <v>42378</v>
      </c>
      <c r="G26" s="160">
        <f t="shared" si="1"/>
        <v>-119</v>
      </c>
      <c r="H26" s="603">
        <v>163086</v>
      </c>
      <c r="I26" s="161">
        <f t="shared" si="2"/>
        <v>2233</v>
      </c>
      <c r="J26" s="606">
        <v>109395</v>
      </c>
      <c r="K26" s="162">
        <f t="shared" si="3"/>
        <v>1409</v>
      </c>
      <c r="L26" s="304">
        <f t="shared" si="21"/>
        <v>-25.260364842454393</v>
      </c>
      <c r="M26" s="304">
        <f t="shared" si="22"/>
        <v>165.90116086235489</v>
      </c>
      <c r="N26" s="304">
        <f t="shared" si="23"/>
        <v>74.772802653399665</v>
      </c>
      <c r="O26" s="304">
        <f t="shared" si="24"/>
        <v>124.84116013757091</v>
      </c>
      <c r="P26" s="305">
        <f t="shared" si="9"/>
        <v>340.25475881087107</v>
      </c>
      <c r="Q26" s="305">
        <f>SUM(-tanks!AX28*tanks!$AU$37)</f>
        <v>32.07661290323086</v>
      </c>
      <c r="R26" s="305">
        <f t="shared" si="10"/>
        <v>372.33137171410192</v>
      </c>
      <c r="S26" s="307">
        <f>SUM(ELEC!N25)</f>
        <v>10003</v>
      </c>
      <c r="T26" s="344">
        <f t="shared" si="12"/>
        <v>3.7221970580236123E-2</v>
      </c>
      <c r="V26" s="259">
        <f>W9</f>
        <v>76091</v>
      </c>
      <c r="W26" s="170">
        <f>J34</f>
        <v>112161</v>
      </c>
      <c r="X26" s="172" t="s">
        <v>199</v>
      </c>
      <c r="Y26" s="172">
        <v>80</v>
      </c>
      <c r="Z26" s="172">
        <v>1</v>
      </c>
      <c r="AA26" s="199">
        <f>(W26-V26)*Z26</f>
        <v>36070</v>
      </c>
      <c r="AB26" s="199">
        <f>AA26*Y26</f>
        <v>2885600</v>
      </c>
      <c r="AC26" s="254">
        <f>AC9</f>
        <v>1033333</v>
      </c>
      <c r="AD26" s="215">
        <f>SUM(K38)</f>
        <v>0.30469673931407332</v>
      </c>
    </row>
    <row r="27" spans="1:32">
      <c r="A27" s="163">
        <f>ELEC!C26</f>
        <v>44067</v>
      </c>
      <c r="B27" s="603">
        <v>319960</v>
      </c>
      <c r="C27" s="270">
        <f t="shared" si="0"/>
        <v>4376</v>
      </c>
      <c r="D27" s="316">
        <f t="shared" si="7"/>
        <v>5101</v>
      </c>
      <c r="E27" s="316">
        <f t="shared" si="11"/>
        <v>320685</v>
      </c>
      <c r="F27" s="603">
        <v>43837</v>
      </c>
      <c r="G27" s="160">
        <f t="shared" si="1"/>
        <v>1459</v>
      </c>
      <c r="H27" s="603">
        <v>165319</v>
      </c>
      <c r="I27" s="161">
        <f t="shared" si="2"/>
        <v>2233</v>
      </c>
      <c r="J27" s="606">
        <v>110804</v>
      </c>
      <c r="K27" s="162">
        <f t="shared" si="3"/>
        <v>1409</v>
      </c>
      <c r="L27" s="304">
        <f t="shared" si="21"/>
        <v>309.70480928689886</v>
      </c>
      <c r="M27" s="304">
        <f t="shared" si="22"/>
        <v>165.90116086235489</v>
      </c>
      <c r="N27" s="304">
        <f t="shared" si="23"/>
        <v>74.772802653399665</v>
      </c>
      <c r="O27" s="304">
        <f t="shared" si="24"/>
        <v>124.84116013757091</v>
      </c>
      <c r="P27" s="305">
        <f t="shared" si="9"/>
        <v>675.21993294022434</v>
      </c>
      <c r="Q27" s="305">
        <f>SUM(-tanks!AX29*tanks!$AU$37)</f>
        <v>329.67822580644611</v>
      </c>
      <c r="R27" s="305">
        <f t="shared" si="10"/>
        <v>1004.8981587466704</v>
      </c>
      <c r="S27" s="307">
        <f>SUM(ELEC!N26)</f>
        <v>10040</v>
      </c>
      <c r="T27" s="344">
        <f t="shared" si="12"/>
        <v>0.10008945804249705</v>
      </c>
      <c r="V27" s="259">
        <f t="shared" ref="V27:V28" si="25">W10</f>
        <v>99869</v>
      </c>
      <c r="W27" s="170">
        <f>H34</f>
        <v>167626</v>
      </c>
      <c r="X27" s="172" t="s">
        <v>213</v>
      </c>
      <c r="Y27" s="172">
        <v>112</v>
      </c>
      <c r="Z27" s="172">
        <v>1</v>
      </c>
      <c r="AA27" s="199">
        <f>(W27-V27)*Z27</f>
        <v>67757</v>
      </c>
      <c r="AB27" s="199">
        <f>SUM(AA27*Y27)</f>
        <v>7588784</v>
      </c>
      <c r="AC27" s="254">
        <f>AC10</f>
        <v>6200000</v>
      </c>
      <c r="AD27" s="215">
        <f>SUM(I38)</f>
        <v>0.57236864335191762</v>
      </c>
    </row>
    <row r="28" spans="1:32" ht="15.75" thickBot="1">
      <c r="A28" s="163">
        <f>ELEC!C27</f>
        <v>44068</v>
      </c>
      <c r="B28" s="607">
        <v>324390</v>
      </c>
      <c r="C28" s="270">
        <f t="shared" si="0"/>
        <v>4430</v>
      </c>
      <c r="D28" s="316">
        <f t="shared" si="7"/>
        <v>4429</v>
      </c>
      <c r="E28" s="316">
        <f t="shared" si="11"/>
        <v>324389</v>
      </c>
      <c r="F28" s="607">
        <v>44602</v>
      </c>
      <c r="G28" s="160">
        <f t="shared" si="1"/>
        <v>765</v>
      </c>
      <c r="H28" s="607">
        <v>167626</v>
      </c>
      <c r="I28" s="161">
        <f t="shared" si="2"/>
        <v>2307</v>
      </c>
      <c r="J28" s="606">
        <v>112161</v>
      </c>
      <c r="K28" s="162">
        <f t="shared" si="3"/>
        <v>1357</v>
      </c>
      <c r="L28" s="304">
        <f t="shared" si="21"/>
        <v>162.38805970149255</v>
      </c>
      <c r="M28" s="304">
        <f t="shared" si="22"/>
        <v>171.39900497512437</v>
      </c>
      <c r="N28" s="304">
        <f t="shared" si="23"/>
        <v>72.013266998341621</v>
      </c>
      <c r="O28" s="304">
        <f t="shared" si="24"/>
        <v>124.84116013757091</v>
      </c>
      <c r="P28" s="305">
        <f t="shared" si="9"/>
        <v>530.64149181252947</v>
      </c>
      <c r="Q28" s="305">
        <f>SUM(-tanks!AX30*tanks!$AU$37)</f>
        <v>329.67822580644611</v>
      </c>
      <c r="R28" s="305">
        <f t="shared" si="10"/>
        <v>860.31971761897557</v>
      </c>
      <c r="S28" s="307">
        <f>SUM(ELEC!N27)</f>
        <v>10187</v>
      </c>
      <c r="T28" s="344">
        <f t="shared" si="12"/>
        <v>8.4452706156766033E-2</v>
      </c>
      <c r="V28" s="259">
        <f t="shared" si="25"/>
        <v>30051</v>
      </c>
      <c r="W28" s="170">
        <f>F34</f>
        <v>44602</v>
      </c>
      <c r="X28" s="172" t="s">
        <v>197</v>
      </c>
      <c r="Y28" s="172">
        <v>320</v>
      </c>
      <c r="Z28" s="172">
        <v>1</v>
      </c>
      <c r="AA28" s="199">
        <f>(W28-V28)*Z28</f>
        <v>14551</v>
      </c>
      <c r="AB28" s="199">
        <f>SUM(AA28*Y28)</f>
        <v>4656320</v>
      </c>
      <c r="AC28" s="254">
        <f>AC11</f>
        <v>1000</v>
      </c>
      <c r="AD28" s="215">
        <f>SUM(G38)</f>
        <v>0.12291772258827505</v>
      </c>
      <c r="AE28" s="40">
        <f>SUM(AB28*5%)</f>
        <v>232816</v>
      </c>
      <c r="AF28" s="82">
        <f>SUM(AE28/7)*31</f>
        <v>1031042.2857142858</v>
      </c>
    </row>
    <row r="29" spans="1:32" ht="15.75" thickBot="1">
      <c r="A29" s="163">
        <f>ELEC!C28</f>
        <v>44069</v>
      </c>
      <c r="B29" s="567">
        <f t="shared" ref="B29:B34" si="26">B28</f>
        <v>324390</v>
      </c>
      <c r="C29" s="270">
        <f t="shared" si="0"/>
        <v>0</v>
      </c>
      <c r="D29" s="316">
        <f t="shared" si="7"/>
        <v>0</v>
      </c>
      <c r="E29" s="316">
        <f t="shared" si="11"/>
        <v>324390</v>
      </c>
      <c r="F29" s="567">
        <f t="shared" ref="F29:J34" si="27">F28</f>
        <v>44602</v>
      </c>
      <c r="G29" s="160">
        <f t="shared" si="1"/>
        <v>0</v>
      </c>
      <c r="H29" s="567">
        <f t="shared" si="27"/>
        <v>167626</v>
      </c>
      <c r="I29" s="161">
        <f t="shared" si="2"/>
        <v>0</v>
      </c>
      <c r="J29" s="567">
        <f t="shared" si="27"/>
        <v>112161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24"/>
        <v>124.84116013757091</v>
      </c>
      <c r="P29" s="305">
        <f t="shared" si="9"/>
        <v>124.84116013757091</v>
      </c>
      <c r="Q29" s="305">
        <f>SUM(-tanks!AX31*tanks!$AU$37)</f>
        <v>0</v>
      </c>
      <c r="R29" s="305">
        <f t="shared" si="10"/>
        <v>124.84116013757091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118378</v>
      </c>
      <c r="AB29" s="199"/>
      <c r="AC29" s="254"/>
    </row>
    <row r="30" spans="1:32" ht="14.25" customHeight="1" thickBot="1">
      <c r="A30" s="163">
        <f>ELEC!C29</f>
        <v>44070</v>
      </c>
      <c r="B30" s="567">
        <f t="shared" si="26"/>
        <v>324390</v>
      </c>
      <c r="C30" s="270">
        <f t="shared" si="0"/>
        <v>0</v>
      </c>
      <c r="D30" s="316">
        <f t="shared" si="7"/>
        <v>0</v>
      </c>
      <c r="E30" s="316">
        <f t="shared" si="11"/>
        <v>324390</v>
      </c>
      <c r="F30" s="567">
        <f t="shared" si="27"/>
        <v>44602</v>
      </c>
      <c r="G30" s="160">
        <f t="shared" si="1"/>
        <v>0</v>
      </c>
      <c r="H30" s="567">
        <f t="shared" si="27"/>
        <v>167626</v>
      </c>
      <c r="I30" s="161">
        <f t="shared" si="2"/>
        <v>0</v>
      </c>
      <c r="J30" s="567">
        <f t="shared" si="27"/>
        <v>112161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124.84116013757091</v>
      </c>
      <c r="P30" s="305">
        <f t="shared" si="9"/>
        <v>124.84116013757091</v>
      </c>
      <c r="Q30" s="305">
        <f>SUM(-tanks!AX32*tanks!$AU$37)</f>
        <v>0</v>
      </c>
      <c r="R30" s="305">
        <f t="shared" si="10"/>
        <v>124.84116013757091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15130704</v>
      </c>
      <c r="AC30" s="254">
        <f>SUM(AC26:AC29)/A39*A37</f>
        <v>5834139.5161290327</v>
      </c>
    </row>
    <row r="31" spans="1:32" ht="15.75" thickBot="1">
      <c r="A31" s="163">
        <f>ELEC!C30</f>
        <v>44071</v>
      </c>
      <c r="B31" s="567">
        <f t="shared" si="26"/>
        <v>324390</v>
      </c>
      <c r="C31" s="270">
        <f t="shared" si="0"/>
        <v>0</v>
      </c>
      <c r="D31" s="316">
        <f t="shared" si="7"/>
        <v>0</v>
      </c>
      <c r="E31" s="316">
        <f t="shared" si="11"/>
        <v>324390</v>
      </c>
      <c r="F31" s="567">
        <f t="shared" si="27"/>
        <v>44602</v>
      </c>
      <c r="G31" s="160">
        <f t="shared" si="1"/>
        <v>0</v>
      </c>
      <c r="H31" s="567">
        <f t="shared" si="27"/>
        <v>167626</v>
      </c>
      <c r="I31" s="161">
        <f t="shared" si="2"/>
        <v>0</v>
      </c>
      <c r="J31" s="567">
        <f t="shared" si="27"/>
        <v>112161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124.84116013757091</v>
      </c>
      <c r="P31" s="305">
        <f t="shared" si="9"/>
        <v>124.84116013757091</v>
      </c>
      <c r="Q31" s="305">
        <f>SUM(-tanks!AX33*tanks!$AU$37)</f>
        <v>0</v>
      </c>
      <c r="R31" s="305">
        <f t="shared" si="10"/>
        <v>124.84116013757091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147</v>
      </c>
      <c r="X31" s="225">
        <f>SUM(W31/A37)</f>
        <v>5.88</v>
      </c>
      <c r="Y31" s="266">
        <f>SUM(X31/2)</f>
        <v>2.94</v>
      </c>
      <c r="Z31" s="3"/>
      <c r="AA31" s="3"/>
      <c r="AB31" s="571">
        <f>SUM(AB30+AC31)</f>
        <v>20964843.516129032</v>
      </c>
      <c r="AC31" s="254">
        <f>SUM(AC30)</f>
        <v>5834139.5161290327</v>
      </c>
    </row>
    <row r="32" spans="1:32" ht="15.75" thickBot="1">
      <c r="A32" s="163">
        <f>ELEC!C31</f>
        <v>44072</v>
      </c>
      <c r="B32" s="567">
        <f t="shared" si="26"/>
        <v>324390</v>
      </c>
      <c r="C32" s="270">
        <f t="shared" si="0"/>
        <v>0</v>
      </c>
      <c r="D32" s="316">
        <f t="shared" si="7"/>
        <v>0</v>
      </c>
      <c r="E32" s="316">
        <f t="shared" si="11"/>
        <v>324390</v>
      </c>
      <c r="F32" s="567">
        <f t="shared" si="27"/>
        <v>44602</v>
      </c>
      <c r="G32" s="160">
        <f t="shared" si="1"/>
        <v>0</v>
      </c>
      <c r="H32" s="567">
        <f t="shared" si="27"/>
        <v>167626</v>
      </c>
      <c r="I32" s="161">
        <f t="shared" si="2"/>
        <v>0</v>
      </c>
      <c r="J32" s="567">
        <f t="shared" si="27"/>
        <v>112161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124.84116013757091</v>
      </c>
      <c r="P32" s="305">
        <f t="shared" si="9"/>
        <v>124.84116013757091</v>
      </c>
      <c r="Q32" s="305">
        <f>SUM(-tanks!AX34*tanks!$AU$37)</f>
        <v>0</v>
      </c>
      <c r="R32" s="305">
        <f t="shared" si="10"/>
        <v>124.84116013757091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-109.8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7">
        <f t="shared" si="26"/>
        <v>324390</v>
      </c>
      <c r="C33" s="270">
        <f t="shared" si="0"/>
        <v>0</v>
      </c>
      <c r="D33" s="316">
        <f t="shared" si="7"/>
        <v>0</v>
      </c>
      <c r="E33" s="316">
        <f t="shared" si="11"/>
        <v>324390</v>
      </c>
      <c r="F33" s="567">
        <f t="shared" si="27"/>
        <v>44602</v>
      </c>
      <c r="G33" s="160">
        <f>F33-F32</f>
        <v>0</v>
      </c>
      <c r="H33" s="567">
        <f t="shared" si="27"/>
        <v>167626</v>
      </c>
      <c r="I33" s="161">
        <f t="shared" si="2"/>
        <v>0</v>
      </c>
      <c r="J33" s="567">
        <f t="shared" si="27"/>
        <v>112161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124.84116013757091</v>
      </c>
      <c r="P33" s="305">
        <f>SUM(L33:O33)</f>
        <v>124.84116013757091</v>
      </c>
      <c r="Q33" s="305">
        <f>SUM(-tanks!AX35*tanks!$AU$37)</f>
        <v>0</v>
      </c>
      <c r="R33" s="305">
        <f>SUM(P33:Q33)</f>
        <v>124.84116013757091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244.99999999999989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7">
        <f t="shared" si="26"/>
        <v>324390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324390</v>
      </c>
      <c r="F34" s="567">
        <f t="shared" si="27"/>
        <v>44602</v>
      </c>
      <c r="G34" s="160">
        <f>F34-F33</f>
        <v>0</v>
      </c>
      <c r="H34" s="567">
        <f t="shared" si="27"/>
        <v>167626</v>
      </c>
      <c r="I34" s="161">
        <f t="shared" ref="I34" si="29">H34-H33</f>
        <v>0</v>
      </c>
      <c r="J34" s="567">
        <f t="shared" si="27"/>
        <v>112161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124.84116013757091</v>
      </c>
      <c r="P34" s="305">
        <f>SUM(L34:O34)</f>
        <v>124.84116013757091</v>
      </c>
      <c r="Q34" s="305">
        <f>SUM(-tanks!AX36*tanks!$AU$37)</f>
        <v>0</v>
      </c>
      <c r="R34" s="305">
        <f>SUM(P34:Q34)</f>
        <v>124.84116013757091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7"/>
      <c r="B35" s="558"/>
      <c r="C35" s="559"/>
      <c r="D35" s="558"/>
      <c r="E35" s="558"/>
      <c r="F35" s="558"/>
      <c r="G35" s="558"/>
      <c r="H35" s="558"/>
      <c r="I35" s="558"/>
      <c r="J35" s="558"/>
      <c r="K35" s="558"/>
      <c r="L35" s="560"/>
      <c r="M35" s="560"/>
      <c r="N35" s="560"/>
      <c r="O35" s="560"/>
      <c r="P35" s="561"/>
      <c r="Q35" s="561"/>
      <c r="R35" s="561"/>
      <c r="S35" s="562"/>
      <c r="T35" s="563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7"/>
      <c r="B36" s="558"/>
      <c r="C36" s="559"/>
      <c r="D36" s="559"/>
      <c r="E36" s="559"/>
      <c r="F36" s="558"/>
      <c r="G36" s="558"/>
      <c r="H36" s="558"/>
      <c r="I36" s="558"/>
      <c r="J36" s="558"/>
      <c r="K36" s="564"/>
      <c r="L36" s="561"/>
      <c r="M36" s="561"/>
      <c r="N36" s="561"/>
      <c r="O36" s="561"/>
      <c r="P36" s="562"/>
      <c r="Q36" s="562"/>
      <c r="R36" s="562"/>
      <c r="S36" s="562"/>
      <c r="T36" s="563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2306132.7867741934</v>
      </c>
      <c r="AC36" s="286"/>
    </row>
    <row r="37" spans="1:32" ht="15.75" thickBot="1">
      <c r="A37" s="556">
        <f>A39-COUNTIF(C4:C35,0)</f>
        <v>25</v>
      </c>
      <c r="C37" s="176">
        <f>SUM(C4:C35)/A37</f>
        <v>4735.2</v>
      </c>
      <c r="D37" s="176"/>
      <c r="E37" s="176"/>
      <c r="G37" s="176">
        <f>SUM(G4:G35)/A37</f>
        <v>582.04</v>
      </c>
      <c r="I37" s="176">
        <f>SUM(I4:I35)/A37</f>
        <v>2710.28</v>
      </c>
      <c r="K37" s="176">
        <f>SUM(K4:K36)/A37</f>
        <v>1442.8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23270976.302903224</v>
      </c>
      <c r="AC37" s="286"/>
    </row>
    <row r="38" spans="1:32" ht="15.75" thickBot="1">
      <c r="A38" s="213"/>
      <c r="C38" s="215">
        <f>SUM(G38:K38)</f>
        <v>0.99998310525426604</v>
      </c>
      <c r="G38" s="228">
        <f>IF(C37&gt;0,G37/C37,0)</f>
        <v>0.12291772258827505</v>
      </c>
      <c r="H38" s="215"/>
      <c r="I38" s="228">
        <f>SUM(I37/C37)</f>
        <v>0.57236864335191762</v>
      </c>
      <c r="J38" s="215"/>
      <c r="K38" s="228">
        <f>SUM(K37/C37)</f>
        <v>0.30469673931407332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13907.027208045793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3870.0759642646985</v>
      </c>
      <c r="Z40" s="40"/>
      <c r="AA40" s="300" t="s">
        <v>215</v>
      </c>
      <c r="AB40" s="301">
        <f>SUM(AB38)</f>
        <v>13907.027208045793</v>
      </c>
    </row>
    <row r="41" spans="1:32">
      <c r="V41" s="220"/>
      <c r="W41" s="82">
        <f>(AB30+AB56)/1507.5</f>
        <v>10036.951243781095</v>
      </c>
      <c r="X41" s="572"/>
      <c r="Z41" s="302">
        <f>SUM(AB40)</f>
        <v>13907.027208045793</v>
      </c>
      <c r="AA41" s="301"/>
      <c r="AB41" s="301"/>
    </row>
    <row r="42" spans="1:32">
      <c r="V42" s="17"/>
      <c r="W42" s="82">
        <f>SUM(W40:W41)</f>
        <v>13907.027208045794</v>
      </c>
      <c r="X42" s="572"/>
      <c r="Y42" s="82"/>
      <c r="Z42" s="302">
        <f>SUM(-tanks!AX37)*tanks!AU37</f>
        <v>15057.434838709665</v>
      </c>
      <c r="AA42" s="101">
        <f>SUM(AB31/A37)</f>
        <v>838593.74064516125</v>
      </c>
      <c r="AB42" s="358">
        <f>SUM(AA42*A39)</f>
        <v>25996405.959999997</v>
      </c>
    </row>
    <row r="43" spans="1:32" ht="18.75">
      <c r="W43" s="82">
        <f>(AB30+AB56)/1507.5</f>
        <v>10036.951243781095</v>
      </c>
      <c r="Z43" s="282">
        <f>SUM(Z41:Z42)</f>
        <v>28964.462046755456</v>
      </c>
      <c r="AA43" s="301">
        <f>SUM(AA42/1507.5)</f>
        <v>556.2810883218317</v>
      </c>
      <c r="AB43" s="357">
        <f>SUM(AB42/1507.5)</f>
        <v>17244.713737976781</v>
      </c>
    </row>
    <row r="44" spans="1:32">
      <c r="D44" s="534"/>
      <c r="E44" s="534"/>
      <c r="F44" s="534"/>
      <c r="W44" s="82">
        <f>SUM(W42:W43)</f>
        <v>23943.97845182689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5"/>
      <c r="W47" s="576"/>
      <c r="X47" s="17"/>
      <c r="Y47" s="17"/>
      <c r="Z47" s="577"/>
      <c r="AA47" s="17"/>
      <c r="AB47" s="680"/>
      <c r="AC47" s="680"/>
      <c r="AD47" s="17"/>
      <c r="AE47" s="17"/>
      <c r="AF47" s="17"/>
    </row>
    <row r="48" spans="1:32">
      <c r="V48" s="680"/>
      <c r="W48" s="680"/>
      <c r="X48" s="680"/>
      <c r="Y48" s="680"/>
      <c r="Z48" s="577"/>
      <c r="AA48" s="577"/>
      <c r="AB48" s="680"/>
      <c r="AC48" s="680"/>
      <c r="AD48" s="17"/>
      <c r="AE48" s="17"/>
      <c r="AF48" s="17"/>
    </row>
    <row r="49" spans="22:32">
      <c r="V49" s="680"/>
      <c r="W49" s="680"/>
      <c r="X49" s="680"/>
      <c r="Y49" s="680"/>
      <c r="Z49" s="680"/>
      <c r="AA49" s="680"/>
      <c r="AB49" s="680"/>
      <c r="AC49" s="680"/>
      <c r="AD49" s="17"/>
      <c r="AE49" s="17"/>
      <c r="AF49" s="17"/>
    </row>
    <row r="50" spans="22:32">
      <c r="V50" s="681"/>
      <c r="W50" s="681"/>
      <c r="X50" s="682"/>
      <c r="Y50" s="682"/>
      <c r="Z50" s="682"/>
      <c r="AA50" s="578"/>
      <c r="AB50" s="680"/>
      <c r="AC50" s="680"/>
      <c r="AD50" s="17"/>
      <c r="AE50" s="17"/>
      <c r="AF50" s="17"/>
    </row>
    <row r="51" spans="22:32">
      <c r="V51" s="575"/>
      <c r="W51" s="575"/>
      <c r="X51" s="575"/>
      <c r="Y51" s="575"/>
      <c r="Z51" s="575"/>
      <c r="AA51" s="575"/>
      <c r="AB51" s="575"/>
      <c r="AC51" s="579"/>
      <c r="AD51" s="17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17"/>
      <c r="AF53" s="17"/>
    </row>
    <row r="54" spans="22:32">
      <c r="V54" s="578"/>
      <c r="W54" s="578"/>
      <c r="X54" s="580"/>
      <c r="Y54" s="580"/>
      <c r="Z54" s="580"/>
      <c r="AA54" s="73"/>
      <c r="AB54" s="73"/>
      <c r="AC54" s="73"/>
      <c r="AD54" s="581"/>
      <c r="AE54" s="582"/>
      <c r="AF54" s="583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4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5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6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589"/>
      <c r="AB62" s="587"/>
      <c r="AC62" s="588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7"/>
      <c r="AC63" s="588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582"/>
      <c r="AA65" s="591"/>
      <c r="AB65" s="580"/>
      <c r="AC65" s="17"/>
      <c r="AD65" s="17"/>
      <c r="AE65" s="17"/>
      <c r="AF65" s="17"/>
    </row>
    <row r="66" spans="22:32">
      <c r="V66" s="220"/>
      <c r="W66" s="583"/>
      <c r="X66" s="17"/>
      <c r="Y66" s="17"/>
      <c r="Z66" s="433"/>
      <c r="AA66" s="580"/>
      <c r="AB66" s="580"/>
      <c r="AC66" s="17"/>
      <c r="AD66" s="17"/>
      <c r="AE66" s="17"/>
      <c r="AF66" s="17"/>
    </row>
    <row r="67" spans="22:32">
      <c r="V67" s="17"/>
      <c r="W67" s="583"/>
      <c r="X67" s="17"/>
      <c r="Y67" s="583"/>
      <c r="Z67" s="433"/>
      <c r="AA67" s="580"/>
      <c r="AB67" s="592"/>
      <c r="AC67" s="17"/>
      <c r="AD67" s="17"/>
      <c r="AE67" s="17"/>
      <c r="AF67" s="17"/>
    </row>
    <row r="68" spans="22:32" ht="18.75">
      <c r="V68" s="17"/>
      <c r="W68" s="583"/>
      <c r="X68" s="17"/>
      <c r="Y68" s="17"/>
      <c r="Z68" s="593"/>
      <c r="AA68" s="580"/>
      <c r="AB68" s="594"/>
      <c r="AC68" s="17"/>
      <c r="AD68" s="17"/>
      <c r="AE68" s="17"/>
      <c r="AF68" s="17"/>
    </row>
    <row r="69" spans="22:32">
      <c r="V69" s="17"/>
      <c r="W69" s="583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0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B29" sqref="B29:G30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320</v>
      </c>
      <c r="C1" s="696"/>
      <c r="D1" s="698"/>
      <c r="E1" s="695" t="s">
        <v>321</v>
      </c>
      <c r="F1" s="696"/>
      <c r="G1" s="697"/>
      <c r="H1" s="692" t="s">
        <v>326</v>
      </c>
      <c r="I1" s="689" t="s">
        <v>327</v>
      </c>
      <c r="J1" s="686" t="s">
        <v>43</v>
      </c>
    </row>
    <row r="2" spans="1:18" ht="38.25" thickBot="1">
      <c r="A2" s="684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3"/>
      <c r="I2" s="690"/>
      <c r="J2" s="687"/>
    </row>
    <row r="3" spans="1:18" ht="24" customHeight="1" thickBot="1">
      <c r="A3" s="685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4"/>
      <c r="I3" s="691"/>
      <c r="J3" s="688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6">
        <v>2.5</v>
      </c>
      <c r="C6" s="567">
        <v>7.8</v>
      </c>
      <c r="D6" s="568">
        <v>28</v>
      </c>
      <c r="E6" s="568">
        <v>2.5</v>
      </c>
      <c r="F6" s="568">
        <v>8</v>
      </c>
      <c r="G6" s="568">
        <v>35</v>
      </c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44045</v>
      </c>
      <c r="B7" s="553">
        <v>25</v>
      </c>
      <c r="C7" s="565">
        <v>7.8</v>
      </c>
      <c r="D7" s="170">
        <v>28</v>
      </c>
      <c r="E7" s="170">
        <v>2</v>
      </c>
      <c r="F7" s="170">
        <v>8</v>
      </c>
      <c r="G7" s="170">
        <v>35</v>
      </c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44059</v>
      </c>
      <c r="B21" s="553" t="s">
        <v>417</v>
      </c>
      <c r="C21" s="553" t="s">
        <v>417</v>
      </c>
      <c r="D21" s="553" t="s">
        <v>417</v>
      </c>
      <c r="E21" s="553" t="s">
        <v>417</v>
      </c>
      <c r="F21" s="553" t="s">
        <v>417</v>
      </c>
      <c r="G21" s="553" t="s">
        <v>417</v>
      </c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44060</v>
      </c>
      <c r="B22" s="553" t="s">
        <v>417</v>
      </c>
      <c r="C22" s="553" t="s">
        <v>417</v>
      </c>
      <c r="D22" s="553" t="s">
        <v>417</v>
      </c>
      <c r="E22" s="553" t="s">
        <v>417</v>
      </c>
      <c r="F22" s="553" t="s">
        <v>417</v>
      </c>
      <c r="G22" s="553" t="s">
        <v>417</v>
      </c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44061</v>
      </c>
      <c r="B23" s="553" t="s">
        <v>417</v>
      </c>
      <c r="C23" s="553" t="s">
        <v>417</v>
      </c>
      <c r="D23" s="553" t="s">
        <v>417</v>
      </c>
      <c r="E23" s="553" t="s">
        <v>417</v>
      </c>
      <c r="F23" s="553" t="s">
        <v>417</v>
      </c>
      <c r="G23" s="553" t="s">
        <v>417</v>
      </c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44062</v>
      </c>
      <c r="B24" s="553" t="s">
        <v>417</v>
      </c>
      <c r="C24" s="553" t="s">
        <v>417</v>
      </c>
      <c r="D24" s="553" t="s">
        <v>417</v>
      </c>
      <c r="E24" s="553" t="s">
        <v>417</v>
      </c>
      <c r="F24" s="553" t="s">
        <v>417</v>
      </c>
      <c r="G24" s="553" t="s">
        <v>417</v>
      </c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44063</v>
      </c>
      <c r="B25" s="553" t="s">
        <v>417</v>
      </c>
      <c r="C25" s="553" t="s">
        <v>417</v>
      </c>
      <c r="D25" s="553" t="s">
        <v>417</v>
      </c>
      <c r="E25" s="553" t="s">
        <v>417</v>
      </c>
      <c r="F25" s="553" t="s">
        <v>417</v>
      </c>
      <c r="G25" s="553" t="s">
        <v>417</v>
      </c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44064</v>
      </c>
      <c r="B26" s="553" t="s">
        <v>417</v>
      </c>
      <c r="C26" s="553" t="s">
        <v>417</v>
      </c>
      <c r="D26" s="553" t="s">
        <v>417</v>
      </c>
      <c r="E26" s="553" t="s">
        <v>417</v>
      </c>
      <c r="F26" s="553" t="s">
        <v>417</v>
      </c>
      <c r="G26" s="553" t="s">
        <v>417</v>
      </c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44065</v>
      </c>
      <c r="B27" s="553" t="s">
        <v>417</v>
      </c>
      <c r="C27" s="553" t="s">
        <v>417</v>
      </c>
      <c r="D27" s="553" t="s">
        <v>417</v>
      </c>
      <c r="E27" s="553" t="s">
        <v>417</v>
      </c>
      <c r="F27" s="553" t="s">
        <v>417</v>
      </c>
      <c r="G27" s="553" t="s">
        <v>417</v>
      </c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44066</v>
      </c>
      <c r="B28" s="553" t="s">
        <v>417</v>
      </c>
      <c r="C28" s="553" t="s">
        <v>417</v>
      </c>
      <c r="D28" s="553" t="s">
        <v>417</v>
      </c>
      <c r="E28" s="553" t="s">
        <v>417</v>
      </c>
      <c r="F28" s="553" t="s">
        <v>417</v>
      </c>
      <c r="G28" s="553" t="s">
        <v>417</v>
      </c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44067</v>
      </c>
      <c r="B29" s="553" t="s">
        <v>417</v>
      </c>
      <c r="C29" s="553" t="s">
        <v>417</v>
      </c>
      <c r="D29" s="553" t="s">
        <v>417</v>
      </c>
      <c r="E29" s="553" t="s">
        <v>417</v>
      </c>
      <c r="F29" s="553" t="s">
        <v>417</v>
      </c>
      <c r="G29" s="553" t="s">
        <v>417</v>
      </c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44068</v>
      </c>
      <c r="B30" s="553" t="s">
        <v>417</v>
      </c>
      <c r="C30" s="553" t="s">
        <v>417</v>
      </c>
      <c r="D30" s="553" t="s">
        <v>417</v>
      </c>
      <c r="E30" s="553" t="s">
        <v>417</v>
      </c>
      <c r="F30" s="553" t="s">
        <v>417</v>
      </c>
      <c r="G30" s="553" t="s">
        <v>417</v>
      </c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44069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411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-109.8</v>
      </c>
      <c r="AB17" s="278">
        <f>G81</f>
        <v>244.99999999999989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-517.59999999999991</v>
      </c>
      <c r="AB23" s="134">
        <f>SUM(AB10:AB22)</f>
        <v>894.6999999999997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30</v>
      </c>
      <c r="G65" s="278">
        <f>'General information '!C23</f>
        <v>26</v>
      </c>
      <c r="H65" s="119">
        <f t="shared" si="9"/>
        <v>9.6999999999999993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30</v>
      </c>
      <c r="G66" s="278">
        <f>'General information '!C24</f>
        <v>25</v>
      </c>
      <c r="H66" s="119">
        <f t="shared" si="9"/>
        <v>9.1999999999999993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30</v>
      </c>
      <c r="G67" s="278">
        <f>'General information '!C25</f>
        <v>25</v>
      </c>
      <c r="H67" s="119">
        <f t="shared" si="9"/>
        <v>9.1999999999999993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31</v>
      </c>
      <c r="G68" s="278">
        <f>'General information '!C26</f>
        <v>27</v>
      </c>
      <c r="H68" s="119">
        <f t="shared" si="9"/>
        <v>10.7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30</v>
      </c>
      <c r="G69" s="278">
        <f>'General information '!C27</f>
        <v>26</v>
      </c>
      <c r="H69" s="119">
        <f t="shared" si="9"/>
        <v>9.6999999999999993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32</v>
      </c>
      <c r="G70" s="278">
        <f>'General information '!C28</f>
        <v>26</v>
      </c>
      <c r="H70" s="119">
        <f t="shared" si="9"/>
        <v>10.7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32</v>
      </c>
      <c r="G71" s="278">
        <f>'General information '!C29</f>
        <v>27</v>
      </c>
      <c r="H71" s="119">
        <f t="shared" si="9"/>
        <v>11.2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34</v>
      </c>
      <c r="G72" s="278">
        <f>'General information '!C30</f>
        <v>18</v>
      </c>
      <c r="H72" s="119">
        <f t="shared" si="9"/>
        <v>7.6999999999999993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-109.8</v>
      </c>
      <c r="G81" s="119">
        <f>SUMIF(H48:H78,"&gt;0")</f>
        <v>244.99999999999989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-2761.9</v>
      </c>
      <c r="O86" s="142">
        <f>C43+G43+K43+O43+S43+W43+C81+G81+K81+O81+S81+W81</f>
        <v>872.6999999999997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2" sqref="H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216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25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7.1920000000000002</v>
      </c>
      <c r="F6" s="188">
        <f>SUM(E6*F4)</f>
        <v>179.8</v>
      </c>
      <c r="G6" s="189">
        <f>SUM(B6*C6)</f>
        <v>179.79999999999998</v>
      </c>
      <c r="H6" s="188">
        <f>10275.6-H7</f>
        <v>2775.6000000000004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6048.3870967741932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639.41000000000008</v>
      </c>
      <c r="F8" s="195">
        <f>SUM(E8*F4)</f>
        <v>15985.250000000002</v>
      </c>
      <c r="G8" s="525">
        <f>E8*$F$4</f>
        <v>15985.250000000002</v>
      </c>
      <c r="H8" s="192">
        <v>38045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7233.5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20964843.516129032</v>
      </c>
      <c r="E10" s="185">
        <f>SUM(D10/D4/F4)</f>
        <v>556.2810883218317</v>
      </c>
      <c r="F10" s="185">
        <f>SUM(E10*F4)</f>
        <v>13907.027208045793</v>
      </c>
      <c r="G10" s="525">
        <f>E10*$G$4</f>
        <v>17244.713737976781</v>
      </c>
      <c r="H10" s="192">
        <v>48374.400000000001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1444.8185721927996</v>
      </c>
      <c r="F12" s="183">
        <f>SUM(F6:F10)</f>
        <v>36120.464304819987</v>
      </c>
      <c r="G12" s="182">
        <f>SUM(G6:G10)</f>
        <v>40909.763737976784</v>
      </c>
      <c r="H12" s="182">
        <f>SUM(H6:H11)</f>
        <v>103928.5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244.99999999999989</v>
      </c>
      <c r="C14" s="445">
        <f>'[9]Utility Cost '!C14</f>
        <v>151</v>
      </c>
      <c r="D14" s="170"/>
      <c r="E14" s="170">
        <f t="shared" ref="E14:E18" si="0">B14-C14</f>
        <v>93.999999999999886</v>
      </c>
      <c r="F14" s="524">
        <v>0</v>
      </c>
      <c r="G14" s="433"/>
      <c r="H14" s="434">
        <f>SUM(G12-H12)</f>
        <v>-63018.736262023216</v>
      </c>
      <c r="I14" s="434">
        <f>SUM(G12-I12)</f>
        <v>-72090.236262023216</v>
      </c>
    </row>
    <row r="15" spans="1:11">
      <c r="A15" s="462" t="s">
        <v>303</v>
      </c>
      <c r="B15" s="97">
        <f>'Degree Days 2020'!AA17</f>
        <v>-109.8</v>
      </c>
      <c r="C15" s="445">
        <f>'[9]Utility Cost '!C15</f>
        <v>-18.3</v>
      </c>
      <c r="D15" s="170"/>
      <c r="E15" s="170">
        <f t="shared" si="0"/>
        <v>-91.5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7">
        <f>'General information '!D38</f>
        <v>28.1</v>
      </c>
      <c r="C16" s="445">
        <f>'[9]Utility Cost '!C16</f>
        <v>28.661290322580644</v>
      </c>
      <c r="D16" s="445"/>
      <c r="E16" s="446">
        <f t="shared" si="0"/>
        <v>-0.56129032258064271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147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-41.200000000000728</v>
      </c>
      <c r="F18" s="543">
        <f>B18-D18</f>
        <v>-151.16666666666669</v>
      </c>
    </row>
    <row r="19" spans="1:10">
      <c r="A19" s="537" t="s">
        <v>413</v>
      </c>
      <c r="B19" s="535">
        <f>SUM(B18/$F$4)</f>
        <v>5.88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2020-08-26T05:59:07Z</dcterms:modified>
</cp:coreProperties>
</file>