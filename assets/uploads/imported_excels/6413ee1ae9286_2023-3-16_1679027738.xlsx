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656" documentId="13_ncr:1_{76C55D63-F869-4AF5-AAA3-3D809A91432B}" xr6:coauthVersionLast="47" xr6:coauthVersionMax="47" xr10:uidLastSave="{94ECCA1E-224E-4308-BB74-575C606601E6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7" l="1"/>
  <c r="J20" i="27"/>
  <c r="J19" i="27"/>
  <c r="J18" i="27"/>
  <c r="J17" i="27"/>
  <c r="J16" i="27"/>
  <c r="J15" i="27"/>
  <c r="J14" i="27"/>
  <c r="J13" i="27"/>
  <c r="J11" i="27"/>
  <c r="J10" i="27"/>
  <c r="J12" i="27"/>
  <c r="E16" i="28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<sst xmlns="http://schemas.openxmlformats.org/spreadsheetml/2006/main" count="72" uniqueCount="34">
  <si>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</si>
  <si>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</si>
  <si>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</si>
  <si>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</si>
  <si>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</si>
  <si>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</si>
  <si>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</si>
  <si>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</si>
  <si>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</si>
  <si>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</si>
  <si>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</si>
  <si>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</si>
  <si>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</si>
  <si>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</si>
  <si>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</si>
  <si>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March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</si>
  <si>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</si>
  <si>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</si>
  <si>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</si>
  <si>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</si>
  <si>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</si>
  <si>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</si>
  <si>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</si>
  <si>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</si>
  <si>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</si>
  <si>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</si>
  <si>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</si>
  <si>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>March</t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</si>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</sst>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164" fontId="10" fillId="2" borderId="27" xfId="6" applyNumberFormat="1" applyFont="1" applyFill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17669.999999989159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3107</v>
      </c>
      <c r="J2" s="77">
        <v>0.21186441</v>
      </c>
      <c r="K2" s="11">
        <f>IF('Water, Gas, Diesel'!F6&lt;0,0,'Water, Gas, Diesel'!F6)</f>
        <v>280</v>
      </c>
      <c r="L2" s="77">
        <v>1.6949000000000001</v>
      </c>
      <c r="M2" s="11">
        <f>Electricity!H8</f>
        <v>151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17817.500000001019</v>
      </c>
      <c r="F3" s="77">
        <v>9.3200000000000005E-2</v>
      </c>
      <c r="G3" s="11">
        <f>IF('Water, Gas, Diesel'!K7&lt;0,0,'Water, Gas, Diesel'!K7)</f>
        <v>0</v>
      </c>
      <c r="H3" s="77">
        <v>0.7</v>
      </c>
      <c r="I3" s="11">
        <f>IF('Water, Gas, Diesel'!C7&lt;0,0,'Water, Gas, Diesel'!C7)</f>
        <v>3113</v>
      </c>
      <c r="J3" s="77">
        <v>0.21186441</v>
      </c>
      <c r="K3" s="11">
        <f>IF('Water, Gas, Diesel'!F7&lt;0,0,'Water, Gas, Diesel'!F7)</f>
        <v>272</v>
      </c>
      <c r="L3" s="77">
        <v>1.6949000000000001</v>
      </c>
      <c r="M3" s="11">
        <f>Electricity!H9</f>
        <v>141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22970.000000004802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3886</v>
      </c>
      <c r="J4" s="77">
        <v>0.21186441</v>
      </c>
      <c r="K4" s="11">
        <f>IF('Water, Gas, Diesel'!F8&lt;0,0,'Water, Gas, Diesel'!F8)</f>
        <v>185</v>
      </c>
      <c r="L4" s="77">
        <v>1.6949000000000001</v>
      </c>
      <c r="M4" s="11">
        <f>Electricity!H10</f>
        <v>55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18344.999999999345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3482</v>
      </c>
      <c r="J5" s="77">
        <v>0.21186441</v>
      </c>
      <c r="K5" s="11">
        <f>IF('Water, Gas, Diesel'!F9&lt;0,0,'Water, Gas, Diesel'!F9)</f>
        <v>0</v>
      </c>
      <c r="L5" s="77">
        <v>1.6949000000000001</v>
      </c>
      <c r="M5" s="11">
        <f>Electricity!H11</f>
        <v>44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17442.499999997381</v>
      </c>
      <c r="F6" s="77">
        <v>9.3200000000000005E-2</v>
      </c>
      <c r="G6" s="11">
        <f>IF('Water, Gas, Diesel'!K10&lt;0,0,'Water, Gas, Diesel'!K10)</f>
        <v>0</v>
      </c>
      <c r="H6" s="77">
        <v>0.7</v>
      </c>
      <c r="I6" s="11">
        <f>IF('Water, Gas, Diesel'!C10&lt;0,0,'Water, Gas, Diesel'!C10)</f>
        <v>3131</v>
      </c>
      <c r="J6" s="77">
        <v>0.21186441</v>
      </c>
      <c r="K6" s="11">
        <f>IF('Water, Gas, Diesel'!F10&lt;0,0,'Water, Gas, Diesel'!F10)</f>
        <v>222</v>
      </c>
      <c r="L6" s="77">
        <v>1.6949000000000001</v>
      </c>
      <c r="M6" s="11">
        <f>Electricity!H12</f>
        <v>63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16355.000000012296</v>
      </c>
      <c r="F7" s="77">
        <v>9.3200000000000005E-2</v>
      </c>
      <c r="G7" s="11">
        <f>IF('Water, Gas, Diesel'!K11&lt;0,0,'Water, Gas, Diesel'!K11)</f>
        <v>0</v>
      </c>
      <c r="H7" s="77">
        <v>0.7</v>
      </c>
      <c r="I7" s="11">
        <f>IF('Water, Gas, Diesel'!C11&lt;0,0,'Water, Gas, Diesel'!C11)</f>
        <v>2857</v>
      </c>
      <c r="J7" s="77">
        <v>0.21186441</v>
      </c>
      <c r="K7" s="11">
        <f>IF('Water, Gas, Diesel'!F11&lt;0,0,'Water, Gas, Diesel'!F11)</f>
        <v>283</v>
      </c>
      <c r="L7" s="77">
        <v>1.6949000000000001</v>
      </c>
      <c r="M7" s="11">
        <f>Electricity!H13</f>
        <v>49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20977.499999989959</v>
      </c>
      <c r="F8" s="77">
        <v>9.3200000000000005E-2</v>
      </c>
      <c r="G8" s="11">
        <f>IF('Water, Gas, Diesel'!K12&lt;0,0,'Water, Gas, Diesel'!K12)</f>
        <v>0</v>
      </c>
      <c r="H8" s="77">
        <v>0.7</v>
      </c>
      <c r="I8" s="11">
        <f>IF('Water, Gas, Diesel'!C12&lt;0,0,'Water, Gas, Diesel'!C12)</f>
        <v>3893</v>
      </c>
      <c r="J8" s="77">
        <v>0.21186441</v>
      </c>
      <c r="K8" s="11">
        <f>IF('Water, Gas, Diesel'!F12&lt;0,0,'Water, Gas, Diesel'!F12)</f>
        <v>68</v>
      </c>
      <c r="L8" s="77">
        <v>1.6949000000000001</v>
      </c>
      <c r="M8" s="11">
        <f>Electricity!H14</f>
        <v>125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21827.499999999418</v>
      </c>
      <c r="F9" s="77">
        <v>9.3200000000000005E-2</v>
      </c>
      <c r="G9" s="11">
        <f>IF('Water, Gas, Diesel'!K13&lt;0,0,'Water, Gas, Diesel'!K13)</f>
        <v>10</v>
      </c>
      <c r="H9" s="77">
        <v>0.7</v>
      </c>
      <c r="I9" s="11">
        <f>IF('Water, Gas, Diesel'!C13&lt;0,0,'Water, Gas, Diesel'!C13)</f>
        <v>4145</v>
      </c>
      <c r="J9" s="77">
        <v>0.21186441</v>
      </c>
      <c r="K9" s="11">
        <f>IF('Water, Gas, Diesel'!F13&lt;0,0,'Water, Gas, Diesel'!F13)</f>
        <v>0</v>
      </c>
      <c r="L9" s="77">
        <v>1.6949000000000001</v>
      </c>
      <c r="M9" s="11">
        <f>Electricity!H15</f>
        <v>171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21882.500000001528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3981</v>
      </c>
      <c r="J10" s="77">
        <v>0.21186441</v>
      </c>
      <c r="K10" s="11">
        <f>IF('Water, Gas, Diesel'!F14&lt;0,0,'Water, Gas, Diesel'!F14)</f>
        <v>249</v>
      </c>
      <c r="L10" s="77">
        <v>1.6949000000000001</v>
      </c>
      <c r="M10" s="11">
        <f>Electricity!H16</f>
        <v>171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22325.000000000728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4173</v>
      </c>
      <c r="J11" s="77">
        <v>0.21186441</v>
      </c>
      <c r="K11" s="11">
        <f>IF('Water, Gas, Diesel'!F15&lt;0,0,'Water, Gas, Diesel'!F15)</f>
        <v>340</v>
      </c>
      <c r="L11" s="77">
        <v>1.6949000000000001</v>
      </c>
      <c r="M11" s="11">
        <f>Electricity!H17</f>
        <v>170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20322.500000002037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3172</v>
      </c>
      <c r="J12" s="77">
        <v>0.21186441</v>
      </c>
      <c r="K12" s="11">
        <f>IF('Water, Gas, Diesel'!F16&lt;0,0,'Water, Gas, Diesel'!F16)</f>
        <v>313</v>
      </c>
      <c r="L12" s="77">
        <v>1.6949000000000001</v>
      </c>
      <c r="M12" s="11">
        <f>Electricity!H18</f>
        <v>169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18027.499999998327</v>
      </c>
      <c r="F13" s="77">
        <v>9.3200000000000005E-2</v>
      </c>
      <c r="G13" s="11">
        <f>IF('Water, Gas, Diesel'!K17&lt;0,0,'Water, Gas, Diesel'!K17)</f>
        <v>10</v>
      </c>
      <c r="H13" s="77">
        <v>0.7</v>
      </c>
      <c r="I13" s="11">
        <f>IF('Water, Gas, Diesel'!C17&lt;0,0,'Water, Gas, Diesel'!C17)</f>
        <v>2993</v>
      </c>
      <c r="J13" s="77">
        <v>0.21186441</v>
      </c>
      <c r="K13" s="11">
        <f>IF('Water, Gas, Diesel'!F17&lt;0,0,'Water, Gas, Diesel'!F17)</f>
        <v>269</v>
      </c>
      <c r="L13" s="77">
        <v>1.6949000000000001</v>
      </c>
      <c r="M13" s="11">
        <f>Electricity!H19</f>
        <v>128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17037.500000005821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3124</v>
      </c>
      <c r="J14" s="77">
        <v>0.21186441</v>
      </c>
      <c r="K14" s="11">
        <f>IF('Water, Gas, Diesel'!F18&lt;0,0,'Water, Gas, Diesel'!F18)</f>
        <v>186</v>
      </c>
      <c r="L14" s="77">
        <v>1.6949000000000001</v>
      </c>
      <c r="M14" s="11">
        <f>Electricity!H20</f>
        <v>89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21637.499999987995</v>
      </c>
      <c r="F15" s="77">
        <v>9.3200000000000005E-2</v>
      </c>
      <c r="G15" s="11">
        <f>IF('Water, Gas, Diesel'!K19&lt;0,0,'Water, Gas, Diesel'!K19)</f>
        <v>0</v>
      </c>
      <c r="H15" s="77">
        <v>0.7</v>
      </c>
      <c r="I15" s="11">
        <f>IF('Water, Gas, Diesel'!C19&lt;0,0,'Water, Gas, Diesel'!C19)</f>
        <v>3380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90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17210.000000004584</v>
      </c>
      <c r="F16" s="77">
        <v>9.3200000000000005E-2</v>
      </c>
      <c r="G16" s="11">
        <f>IF('Water, Gas, Diesel'!K20&lt;0,0,'Water, Gas, Diesel'!K20)</f>
        <v>10</v>
      </c>
      <c r="H16" s="77">
        <v>0.7</v>
      </c>
      <c r="I16" s="11">
        <f>IF('Water, Gas, Diesel'!C20&lt;0,0,'Water, Gas, Diesel'!C20)</f>
        <v>2619</v>
      </c>
      <c r="J16" s="77">
        <v>0.21186441</v>
      </c>
      <c r="K16" s="11">
        <f>IF('Water, Gas, Diesel'!F20&lt;0,0,'Water, Gas, Diesel'!F20)</f>
        <v>0</v>
      </c>
      <c r="L16" s="77">
        <v>1.6949000000000001</v>
      </c>
      <c r="M16" s="11">
        <f>Electricity!H22</f>
        <v>115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77">
        <v>9.3200000000000005E-2</v>
      </c>
      <c r="G17" s="11">
        <f>IF('Water, Gas, Diesel'!K21&lt;0,0,'Water, Gas, Diesel'!K21)</f>
        <v>16000</v>
      </c>
      <c r="H17" s="77">
        <v>0.7</v>
      </c>
      <c r="I17" s="11">
        <f>IF('Water, Gas, Diesel'!C21&lt;0,0,'Water, Gas, Diesel'!C21)</f>
        <v>0</v>
      </c>
      <c r="J17" s="77">
        <v>0.21186441</v>
      </c>
      <c r="K17" s="11">
        <f>IF('Water, Gas, Diesel'!F21&lt;0,0,'Water, Gas, Diesel'!F21)</f>
        <v>0</v>
      </c>
      <c r="L17" s="77">
        <v>1.6949000000000001</v>
      </c>
      <c r="M17" s="11">
        <f>Electricity!H23</f>
        <v>108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0</v>
      </c>
      <c r="J18" s="77">
        <v>0.21186441</v>
      </c>
      <c r="K18" s="11">
        <f>IF('Water, Gas, Diesel'!F22&lt;0,0,'Water, Gas, Diesel'!F22)</f>
        <v>0</v>
      </c>
      <c r="L18" s="7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0</v>
      </c>
      <c r="J19" s="77">
        <v>0.21186441</v>
      </c>
      <c r="K19" s="11">
        <f>IF('Water, Gas, Diesel'!F23&lt;0,0,'Water, Gas, Diesel'!F23)</f>
        <v>0</v>
      </c>
      <c r="L19" s="7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0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0</v>
      </c>
      <c r="J21" s="77">
        <v>0.21186441</v>
      </c>
      <c r="K21" s="11">
        <f>IF('Water, Gas, Diesel'!F25&lt;0,0,'Water, Gas, Diesel'!F25)</f>
        <v>0</v>
      </c>
      <c r="L21" s="7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0</v>
      </c>
      <c r="J22" s="77">
        <v>0.21186441</v>
      </c>
      <c r="K22" s="11">
        <f>IF('Water, Gas, Diesel'!F26&lt;0,0,'Water, Gas, Diesel'!F26)</f>
        <v>0</v>
      </c>
      <c r="L22" s="7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0</v>
      </c>
      <c r="J23" s="77">
        <v>0.21186441</v>
      </c>
      <c r="K23" s="11">
        <f>IF('Water, Gas, Diesel'!F27&lt;0,0,'Water, Gas, Diesel'!F27)</f>
        <v>0</v>
      </c>
      <c r="L23" s="7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0</v>
      </c>
      <c r="J24" s="77">
        <v>0.21186441</v>
      </c>
      <c r="K24" s="11">
        <f>IF('Water, Gas, Diesel'!F28&lt;0,0,'Water, Gas, Diesel'!F28)</f>
        <v>0</v>
      </c>
      <c r="L24" s="7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0</v>
      </c>
      <c r="J25" s="77">
        <v>0.21186441</v>
      </c>
      <c r="K25" s="11">
        <f>IF('Water, Gas, Diesel'!F29&lt;0,0,'Water, Gas, Diesel'!F29)</f>
        <v>0</v>
      </c>
      <c r="L25" s="7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0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77">
        <v>9.3200000000000005E-2</v>
      </c>
      <c r="G27" s="11">
        <f>IF('Water, Gas, Diesel'!K31&lt;0,0,'Water, Gas, Diesel'!K31)</f>
        <v>0</v>
      </c>
      <c r="H27" s="77">
        <v>0.7</v>
      </c>
      <c r="I27" s="11">
        <f>IF('Water, Gas, Diesel'!C31&lt;0,0,'Water, Gas, Diesel'!C31)</f>
        <v>0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0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8" activePane="bottomLeft" state="frozen"/>
      <selection pane="bottomLeft" activeCell="J24" sqref="J24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8"/>
      <c r="C1" s="169"/>
      <c r="D1" s="169"/>
      <c r="E1" s="169"/>
      <c r="F1" s="169"/>
      <c r="G1" s="169"/>
      <c r="H1" s="170"/>
    </row>
    <row r="2" spans="1:8" ht="15.75" customHeight="1">
      <c r="A2" s="173" t="s">
        <v>15</v>
      </c>
      <c r="B2" s="176" t="s">
        <v>16</v>
      </c>
      <c r="C2" s="177"/>
      <c r="D2" s="177"/>
      <c r="E2" s="178"/>
      <c r="F2" s="179" t="s">
        <v>17</v>
      </c>
      <c r="G2" s="181" t="s">
        <v>18</v>
      </c>
      <c r="H2" s="171" t="s">
        <v>19</v>
      </c>
    </row>
    <row r="3" spans="1:8">
      <c r="A3" s="174"/>
      <c r="B3" s="183" t="s">
        <v>20</v>
      </c>
      <c r="C3" s="184"/>
      <c r="D3" s="183" t="s">
        <v>21</v>
      </c>
      <c r="E3" s="184"/>
      <c r="F3" s="179"/>
      <c r="G3" s="181"/>
      <c r="H3" s="171"/>
    </row>
    <row r="4" spans="1:8">
      <c r="A4" s="174"/>
      <c r="B4" s="185"/>
      <c r="C4" s="186"/>
      <c r="D4" s="185"/>
      <c r="E4" s="186"/>
      <c r="F4" s="179"/>
      <c r="G4" s="181"/>
      <c r="H4" s="171"/>
    </row>
    <row r="5" spans="1:8">
      <c r="A5" s="175"/>
      <c r="B5" s="15" t="s">
        <v>22</v>
      </c>
      <c r="C5" s="59" t="s">
        <v>23</v>
      </c>
      <c r="D5" s="60" t="s">
        <v>22</v>
      </c>
      <c r="E5" s="59" t="s">
        <v>23</v>
      </c>
      <c r="F5" s="180"/>
      <c r="G5" s="182"/>
      <c r="H5" s="172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28</v>
      </c>
      <c r="B7" s="153">
        <v>16493.454000000002</v>
      </c>
      <c r="C7" s="154">
        <f t="shared" ref="C7:C24" si="0">(B8-B7)*2500</f>
        <v>9104.9999999995634</v>
      </c>
      <c r="D7" s="155">
        <v>16704.677</v>
      </c>
      <c r="E7" s="65">
        <f t="shared" ref="E7:E24" si="1">(D8-D7)*2500</f>
        <v>10362.500000001091</v>
      </c>
      <c r="F7" s="87">
        <f t="shared" ref="F7:F38" si="2">C7+E7</f>
        <v>19467.500000000655</v>
      </c>
      <c r="G7" s="64">
        <f>F7*0.0932</f>
        <v>1814.371000000061</v>
      </c>
      <c r="H7" s="132">
        <v>111</v>
      </c>
    </row>
    <row r="8" spans="1:8" ht="30.95" customHeight="1">
      <c r="A8" s="92">
        <v>1</v>
      </c>
      <c r="B8" s="156">
        <v>16497.096000000001</v>
      </c>
      <c r="C8" s="154">
        <f t="shared" si="0"/>
        <v>8137.4999999934516</v>
      </c>
      <c r="D8" s="155">
        <v>16708.822</v>
      </c>
      <c r="E8" s="66">
        <f t="shared" si="1"/>
        <v>9532.4999999957072</v>
      </c>
      <c r="F8" s="48">
        <f t="shared" si="2"/>
        <v>17669.999999989159</v>
      </c>
      <c r="G8" s="64">
        <f t="shared" ref="G8:G39" si="3">F8*0.0932</f>
        <v>1646.8439999989896</v>
      </c>
      <c r="H8" s="93">
        <v>151</v>
      </c>
    </row>
    <row r="9" spans="1:8" ht="30.95" customHeight="1">
      <c r="A9" s="94">
        <v>2</v>
      </c>
      <c r="B9" s="68">
        <v>16500.350999999999</v>
      </c>
      <c r="C9" s="65">
        <f t="shared" si="0"/>
        <v>8215.0000000001455</v>
      </c>
      <c r="D9" s="67">
        <v>16712.634999999998</v>
      </c>
      <c r="E9" s="37">
        <f t="shared" si="1"/>
        <v>9602.5000000008731</v>
      </c>
      <c r="F9" s="45">
        <f t="shared" si="2"/>
        <v>17817.500000001019</v>
      </c>
      <c r="G9" s="64">
        <f t="shared" si="3"/>
        <v>1660.5910000000949</v>
      </c>
      <c r="H9" s="95">
        <v>141</v>
      </c>
    </row>
    <row r="10" spans="1:8" ht="30.95" customHeight="1">
      <c r="A10" s="92">
        <v>3</v>
      </c>
      <c r="B10" s="69">
        <v>16503.636999999999</v>
      </c>
      <c r="C10" s="66">
        <f t="shared" si="0"/>
        <v>10417.500000003201</v>
      </c>
      <c r="D10" s="70">
        <v>16716.475999999999</v>
      </c>
      <c r="E10" s="66">
        <f t="shared" si="1"/>
        <v>12552.500000001601</v>
      </c>
      <c r="F10" s="48">
        <f t="shared" si="2"/>
        <v>22970.000000004802</v>
      </c>
      <c r="G10" s="64">
        <f t="shared" si="3"/>
        <v>2140.8040000004476</v>
      </c>
      <c r="H10" s="95">
        <v>55</v>
      </c>
    </row>
    <row r="11" spans="1:8" ht="30.95" customHeight="1">
      <c r="A11" s="94">
        <v>4</v>
      </c>
      <c r="B11" s="71">
        <v>16507.804</v>
      </c>
      <c r="C11" s="37">
        <f t="shared" si="0"/>
        <v>8490.0000000016007</v>
      </c>
      <c r="D11" s="72">
        <v>16721.496999999999</v>
      </c>
      <c r="E11" s="37">
        <f t="shared" si="1"/>
        <v>9854.9999999977445</v>
      </c>
      <c r="F11" s="45">
        <f t="shared" si="2"/>
        <v>18344.999999999345</v>
      </c>
      <c r="G11" s="64">
        <f t="shared" si="3"/>
        <v>1709.753999999939</v>
      </c>
      <c r="H11" s="95">
        <v>44</v>
      </c>
    </row>
    <row r="12" spans="1:8" ht="30.95" customHeight="1">
      <c r="A12" s="92">
        <v>5</v>
      </c>
      <c r="B12" s="165">
        <v>16511.2</v>
      </c>
      <c r="C12" s="66">
        <f t="shared" si="0"/>
        <v>9892.4999999962893</v>
      </c>
      <c r="D12" s="165">
        <v>16725.438999999998</v>
      </c>
      <c r="E12" s="66">
        <f t="shared" si="1"/>
        <v>7550.0000000010914</v>
      </c>
      <c r="F12" s="48">
        <f t="shared" si="2"/>
        <v>17442.499999997381</v>
      </c>
      <c r="G12" s="64">
        <f t="shared" si="3"/>
        <v>1625.6409999997559</v>
      </c>
      <c r="H12" s="95">
        <v>63</v>
      </c>
    </row>
    <row r="13" spans="1:8" ht="30.95" customHeight="1">
      <c r="A13" s="94">
        <v>6</v>
      </c>
      <c r="B13" s="71">
        <v>16515.156999999999</v>
      </c>
      <c r="C13" s="37">
        <f t="shared" si="0"/>
        <v>9805.000000005748</v>
      </c>
      <c r="D13" s="72">
        <v>16728.458999999999</v>
      </c>
      <c r="E13" s="37">
        <f t="shared" si="1"/>
        <v>6550.0000000065484</v>
      </c>
      <c r="F13" s="45">
        <f t="shared" si="2"/>
        <v>16355.000000012296</v>
      </c>
      <c r="G13" s="64">
        <f t="shared" si="3"/>
        <v>1524.286000001146</v>
      </c>
      <c r="H13" s="95">
        <v>49</v>
      </c>
    </row>
    <row r="14" spans="1:8" ht="30.95" customHeight="1">
      <c r="A14" s="92">
        <v>7</v>
      </c>
      <c r="B14" s="73">
        <v>16519.079000000002</v>
      </c>
      <c r="C14" s="66">
        <f t="shared" si="0"/>
        <v>12567.499999995562</v>
      </c>
      <c r="D14" s="96">
        <v>16731.079000000002</v>
      </c>
      <c r="E14" s="66">
        <f t="shared" si="1"/>
        <v>8409.9999999943975</v>
      </c>
      <c r="F14" s="48">
        <f t="shared" si="2"/>
        <v>20977.499999989959</v>
      </c>
      <c r="G14" s="64">
        <f t="shared" si="3"/>
        <v>1955.1029999990642</v>
      </c>
      <c r="H14" s="95">
        <v>125</v>
      </c>
    </row>
    <row r="15" spans="1:8" ht="30.95" customHeight="1">
      <c r="A15" s="94">
        <v>8</v>
      </c>
      <c r="B15" s="71">
        <v>16524.106</v>
      </c>
      <c r="C15" s="37">
        <f t="shared" si="0"/>
        <v>13125</v>
      </c>
      <c r="D15" s="74">
        <v>16734.442999999999</v>
      </c>
      <c r="E15" s="37">
        <f t="shared" si="1"/>
        <v>8702.4999999994179</v>
      </c>
      <c r="F15" s="45">
        <f t="shared" si="2"/>
        <v>21827.499999999418</v>
      </c>
      <c r="G15" s="64">
        <f t="shared" si="3"/>
        <v>2034.3229999999458</v>
      </c>
      <c r="H15" s="95">
        <v>171</v>
      </c>
    </row>
    <row r="16" spans="1:8" ht="30.95" customHeight="1">
      <c r="A16" s="92">
        <v>9</v>
      </c>
      <c r="B16" s="133">
        <v>16529.356</v>
      </c>
      <c r="C16" s="66">
        <f t="shared" si="0"/>
        <v>13215.000000000146</v>
      </c>
      <c r="D16" s="75">
        <v>16737.923999999999</v>
      </c>
      <c r="E16" s="66">
        <f t="shared" si="1"/>
        <v>8667.5000000013824</v>
      </c>
      <c r="F16" s="48">
        <f t="shared" si="2"/>
        <v>21882.500000001528</v>
      </c>
      <c r="G16" s="64">
        <f t="shared" si="3"/>
        <v>2039.4490000001424</v>
      </c>
      <c r="H16" s="95">
        <v>171</v>
      </c>
    </row>
    <row r="17" spans="1:8" ht="30.95" customHeight="1">
      <c r="A17" s="94">
        <v>10</v>
      </c>
      <c r="B17" s="73">
        <v>16534.642</v>
      </c>
      <c r="C17" s="37">
        <f t="shared" si="0"/>
        <v>13482.500000000073</v>
      </c>
      <c r="D17" s="96">
        <v>16741.391</v>
      </c>
      <c r="E17" s="37">
        <f t="shared" si="1"/>
        <v>8842.5000000006548</v>
      </c>
      <c r="F17" s="45">
        <f t="shared" si="2"/>
        <v>22325.000000000728</v>
      </c>
      <c r="G17" s="64">
        <f t="shared" si="3"/>
        <v>2080.6900000000678</v>
      </c>
      <c r="H17" s="95">
        <v>170</v>
      </c>
    </row>
    <row r="18" spans="1:8" ht="30.95" customHeight="1">
      <c r="A18" s="92">
        <v>11</v>
      </c>
      <c r="B18" s="71">
        <v>16540.035</v>
      </c>
      <c r="C18" s="66">
        <f t="shared" si="0"/>
        <v>12494.999999998981</v>
      </c>
      <c r="D18" s="74">
        <v>16744.928</v>
      </c>
      <c r="E18" s="66">
        <f t="shared" si="1"/>
        <v>7827.5000000030559</v>
      </c>
      <c r="F18" s="48">
        <f t="shared" si="2"/>
        <v>20322.500000002037</v>
      </c>
      <c r="G18" s="64">
        <f t="shared" si="3"/>
        <v>1894.0570000001899</v>
      </c>
      <c r="H18" s="95">
        <v>169</v>
      </c>
    </row>
    <row r="19" spans="1:8" ht="30.95" customHeight="1">
      <c r="A19" s="94">
        <v>12</v>
      </c>
      <c r="B19" s="73">
        <v>16545.032999999999</v>
      </c>
      <c r="C19" s="37">
        <f t="shared" si="0"/>
        <v>11059.999999997672</v>
      </c>
      <c r="D19" s="96">
        <v>16748.059000000001</v>
      </c>
      <c r="E19" s="37">
        <f t="shared" si="1"/>
        <v>6967.5000000006548</v>
      </c>
      <c r="F19" s="45">
        <f t="shared" si="2"/>
        <v>18027.499999998327</v>
      </c>
      <c r="G19" s="64">
        <f t="shared" si="3"/>
        <v>1680.162999999844</v>
      </c>
      <c r="H19" s="95">
        <v>128</v>
      </c>
    </row>
    <row r="20" spans="1:8" ht="30.95" customHeight="1">
      <c r="A20" s="92">
        <v>13</v>
      </c>
      <c r="B20" s="71">
        <v>16549.456999999999</v>
      </c>
      <c r="C20" s="66">
        <f t="shared" si="0"/>
        <v>10080.000000007203</v>
      </c>
      <c r="D20" s="76">
        <v>16750.846000000001</v>
      </c>
      <c r="E20" s="66">
        <f t="shared" si="1"/>
        <v>6957.4999999986176</v>
      </c>
      <c r="F20" s="48">
        <f t="shared" si="2"/>
        <v>17037.500000005821</v>
      </c>
      <c r="G20" s="64">
        <f t="shared" si="3"/>
        <v>1587.8950000005425</v>
      </c>
      <c r="H20" s="95">
        <v>89</v>
      </c>
    </row>
    <row r="21" spans="1:8" ht="30.95" customHeight="1">
      <c r="A21" s="94">
        <v>14</v>
      </c>
      <c r="B21" s="71">
        <v>16553.489000000001</v>
      </c>
      <c r="C21" s="37">
        <f t="shared" si="0"/>
        <v>13004.999999993743</v>
      </c>
      <c r="D21" s="74">
        <v>16753.629000000001</v>
      </c>
      <c r="E21" s="37">
        <f t="shared" si="1"/>
        <v>8632.499999994252</v>
      </c>
      <c r="F21" s="45">
        <f t="shared" si="2"/>
        <v>21637.499999987995</v>
      </c>
      <c r="G21" s="64">
        <f t="shared" si="3"/>
        <v>2016.6149999988811</v>
      </c>
      <c r="H21" s="95">
        <v>90</v>
      </c>
    </row>
    <row r="22" spans="1:8" ht="30.95" customHeight="1">
      <c r="A22" s="92">
        <v>15</v>
      </c>
      <c r="B22" s="71">
        <v>16558.690999999999</v>
      </c>
      <c r="C22" s="66">
        <f t="shared" si="0"/>
        <v>10320.000000001528</v>
      </c>
      <c r="D22" s="54">
        <v>16757.081999999999</v>
      </c>
      <c r="E22" s="66">
        <f t="shared" si="1"/>
        <v>6890.0000000030559</v>
      </c>
      <c r="F22" s="48">
        <f t="shared" si="2"/>
        <v>17210.000000004584</v>
      </c>
      <c r="G22" s="64">
        <f t="shared" si="3"/>
        <v>1603.9720000004272</v>
      </c>
      <c r="H22" s="95">
        <v>115</v>
      </c>
    </row>
    <row r="23" spans="1:8" ht="30.95" customHeight="1">
      <c r="A23" s="94">
        <v>16</v>
      </c>
      <c r="B23" s="78">
        <v>16562.819</v>
      </c>
      <c r="C23" s="37">
        <f t="shared" si="0"/>
        <v>-41407047.5</v>
      </c>
      <c r="D23" s="79">
        <v>16759.838</v>
      </c>
      <c r="E23" s="37">
        <f t="shared" si="1"/>
        <v>-41899595</v>
      </c>
      <c r="F23" s="45">
        <f t="shared" si="2"/>
        <v>-83306642.5</v>
      </c>
      <c r="G23" s="64">
        <f t="shared" si="3"/>
        <v>-7764179.0810000002</v>
      </c>
      <c r="H23" s="95">
        <v>108</v>
      </c>
    </row>
    <row r="24" spans="1:8" ht="30.95" customHeight="1">
      <c r="A24" s="92">
        <v>17</v>
      </c>
      <c r="B24" s="166"/>
      <c r="C24" s="66">
        <f t="shared" si="0"/>
        <v>0</v>
      </c>
      <c r="D24" s="96"/>
      <c r="E24" s="66">
        <f t="shared" si="1"/>
        <v>0</v>
      </c>
      <c r="F24" s="48">
        <f t="shared" si="2"/>
        <v>0</v>
      </c>
      <c r="G24" s="64">
        <f t="shared" si="3"/>
        <v>0</v>
      </c>
      <c r="H24" s="95"/>
    </row>
    <row r="25" spans="1:8" ht="30.95" customHeight="1">
      <c r="A25" s="94">
        <v>18</v>
      </c>
      <c r="B25" s="71"/>
      <c r="C25" s="37">
        <f>(B26-B25)*2500</f>
        <v>0</v>
      </c>
      <c r="D25" s="74"/>
      <c r="E25" s="37">
        <f>(D26-D25)*2500</f>
        <v>0</v>
      </c>
      <c r="F25" s="45">
        <f t="shared" si="2"/>
        <v>0</v>
      </c>
      <c r="G25" s="64">
        <f t="shared" si="3"/>
        <v>0</v>
      </c>
      <c r="H25" s="95"/>
    </row>
    <row r="26" spans="1:8" ht="30.95" customHeight="1">
      <c r="A26" s="92">
        <v>19</v>
      </c>
      <c r="B26" s="73"/>
      <c r="C26" s="66">
        <f t="shared" ref="C26:C38" si="4">(B27-B26)*2500</f>
        <v>0</v>
      </c>
      <c r="D26" s="96"/>
      <c r="E26" s="66">
        <f t="shared" ref="E26:E38" si="5">(D27-D26)*2500</f>
        <v>0</v>
      </c>
      <c r="F26" s="45">
        <f t="shared" si="2"/>
        <v>0</v>
      </c>
      <c r="G26" s="64">
        <f t="shared" si="3"/>
        <v>0</v>
      </c>
      <c r="H26" s="95"/>
    </row>
    <row r="27" spans="1:8" ht="30.95" customHeight="1">
      <c r="A27" s="94">
        <v>20</v>
      </c>
      <c r="B27" s="71"/>
      <c r="C27" s="37">
        <f t="shared" si="4"/>
        <v>0</v>
      </c>
      <c r="D27" s="76"/>
      <c r="E27" s="37">
        <f t="shared" si="5"/>
        <v>0</v>
      </c>
      <c r="F27" s="48">
        <f t="shared" si="2"/>
        <v>0</v>
      </c>
      <c r="G27" s="64">
        <f t="shared" si="3"/>
        <v>0</v>
      </c>
      <c r="H27" s="95"/>
    </row>
    <row r="28" spans="1:8" ht="30.95" customHeight="1">
      <c r="A28" s="92">
        <v>21</v>
      </c>
      <c r="B28" s="73"/>
      <c r="C28" s="66">
        <f t="shared" si="4"/>
        <v>0</v>
      </c>
      <c r="D28" s="96"/>
      <c r="E28" s="66">
        <f t="shared" si="5"/>
        <v>0</v>
      </c>
      <c r="F28" s="45">
        <f t="shared" si="2"/>
        <v>0</v>
      </c>
      <c r="G28" s="64">
        <f t="shared" si="3"/>
        <v>0</v>
      </c>
      <c r="H28" s="95"/>
    </row>
    <row r="29" spans="1:8" ht="30.95" customHeight="1">
      <c r="A29" s="94">
        <v>22</v>
      </c>
      <c r="B29" s="71"/>
      <c r="C29" s="37">
        <f t="shared" si="4"/>
        <v>0</v>
      </c>
      <c r="D29" s="74"/>
      <c r="E29" s="37">
        <f t="shared" si="5"/>
        <v>0</v>
      </c>
      <c r="F29" s="48">
        <f t="shared" si="2"/>
        <v>0</v>
      </c>
      <c r="G29" s="64">
        <f t="shared" si="3"/>
        <v>0</v>
      </c>
      <c r="H29" s="95"/>
    </row>
    <row r="30" spans="1:8" ht="30.95" customHeight="1">
      <c r="A30" s="92">
        <v>23</v>
      </c>
      <c r="B30" s="73"/>
      <c r="C30" s="66">
        <f t="shared" si="4"/>
        <v>0</v>
      </c>
      <c r="D30" s="96"/>
      <c r="E30" s="66">
        <f t="shared" si="5"/>
        <v>0</v>
      </c>
      <c r="F30" s="45">
        <f t="shared" si="2"/>
        <v>0</v>
      </c>
      <c r="G30" s="64">
        <f t="shared" si="3"/>
        <v>0</v>
      </c>
      <c r="H30" s="95"/>
    </row>
    <row r="31" spans="1:8" ht="30.95" customHeight="1">
      <c r="A31" s="94">
        <v>24</v>
      </c>
      <c r="B31" s="71"/>
      <c r="C31" s="37">
        <f t="shared" si="4"/>
        <v>0</v>
      </c>
      <c r="D31" s="74"/>
      <c r="E31" s="37">
        <f t="shared" si="5"/>
        <v>0</v>
      </c>
      <c r="F31" s="48">
        <f t="shared" si="2"/>
        <v>0</v>
      </c>
      <c r="G31" s="64">
        <f t="shared" si="3"/>
        <v>0</v>
      </c>
      <c r="H31" s="95"/>
    </row>
    <row r="32" spans="1:8" ht="30.95" customHeight="1">
      <c r="A32" s="92">
        <v>25</v>
      </c>
      <c r="B32" s="73"/>
      <c r="C32" s="66">
        <f t="shared" si="4"/>
        <v>0</v>
      </c>
      <c r="D32" s="96"/>
      <c r="E32" s="66">
        <f t="shared" si="5"/>
        <v>0</v>
      </c>
      <c r="F32" s="45">
        <f t="shared" si="2"/>
        <v>0</v>
      </c>
      <c r="G32" s="64">
        <f t="shared" si="3"/>
        <v>0</v>
      </c>
      <c r="H32" s="95"/>
    </row>
    <row r="33" spans="1:8" ht="30.95" customHeight="1">
      <c r="A33" s="94">
        <v>26</v>
      </c>
      <c r="B33" s="71"/>
      <c r="C33" s="37">
        <f t="shared" si="4"/>
        <v>0</v>
      </c>
      <c r="D33" s="74"/>
      <c r="E33" s="37">
        <f t="shared" si="5"/>
        <v>0</v>
      </c>
      <c r="F33" s="48">
        <f t="shared" si="2"/>
        <v>0</v>
      </c>
      <c r="G33" s="64">
        <f t="shared" si="3"/>
        <v>0</v>
      </c>
      <c r="H33" s="95"/>
    </row>
    <row r="34" spans="1:8" ht="30.95" customHeight="1">
      <c r="A34" s="92">
        <v>27</v>
      </c>
      <c r="B34" s="73"/>
      <c r="C34" s="66">
        <f t="shared" si="4"/>
        <v>0</v>
      </c>
      <c r="D34" s="96"/>
      <c r="E34" s="150">
        <f t="shared" si="5"/>
        <v>0</v>
      </c>
      <c r="F34" s="163">
        <f t="shared" si="2"/>
        <v>0</v>
      </c>
      <c r="G34" s="130">
        <f t="shared" si="3"/>
        <v>0</v>
      </c>
      <c r="H34" s="164"/>
    </row>
    <row r="35" spans="1:8" ht="30.95" customHeight="1">
      <c r="A35" s="157">
        <v>28</v>
      </c>
      <c r="B35" s="158"/>
      <c r="C35" s="144">
        <f t="shared" si="4"/>
        <v>0</v>
      </c>
      <c r="D35" s="159"/>
      <c r="E35" s="144">
        <f t="shared" si="5"/>
        <v>0</v>
      </c>
      <c r="F35" s="160">
        <f t="shared" si="2"/>
        <v>0</v>
      </c>
      <c r="G35" s="161">
        <f t="shared" si="3"/>
        <v>0</v>
      </c>
      <c r="H35" s="162"/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9" activePane="bottomLeft" state="frozen"/>
      <selection pane="bottomLeft" activeCell="E22" sqref="E22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3" t="s">
        <v>14</v>
      </c>
      <c r="B1" s="188" t="s">
        <v>24</v>
      </c>
      <c r="C1" s="189"/>
      <c r="D1" s="190"/>
      <c r="E1" s="191" t="s">
        <v>25</v>
      </c>
      <c r="F1" s="189"/>
      <c r="G1" s="189"/>
      <c r="H1" s="189"/>
      <c r="I1" s="190"/>
      <c r="J1" s="191" t="s">
        <v>26</v>
      </c>
      <c r="K1" s="189"/>
      <c r="L1" s="192"/>
    </row>
    <row r="2" spans="1:12" ht="27" customHeight="1">
      <c r="A2" s="187"/>
      <c r="B2" s="193"/>
      <c r="C2" s="194"/>
      <c r="D2" s="195"/>
      <c r="E2" s="193"/>
      <c r="F2" s="194"/>
      <c r="G2" s="194"/>
      <c r="H2" s="194"/>
      <c r="I2" s="195"/>
      <c r="J2" s="193"/>
      <c r="K2" s="194"/>
      <c r="L2" s="195"/>
    </row>
    <row r="3" spans="1:12" ht="59.25" customHeight="1">
      <c r="A3" s="86" t="s">
        <v>27</v>
      </c>
      <c r="B3" s="15" t="s">
        <v>22</v>
      </c>
      <c r="C3" s="16" t="s">
        <v>28</v>
      </c>
      <c r="D3" s="17" t="s">
        <v>29</v>
      </c>
      <c r="E3" s="83" t="s">
        <v>22</v>
      </c>
      <c r="F3" s="18" t="s">
        <v>23</v>
      </c>
      <c r="G3" s="19" t="s">
        <v>30</v>
      </c>
      <c r="H3" s="19" t="s">
        <v>31</v>
      </c>
      <c r="I3" s="82" t="s">
        <v>32</v>
      </c>
      <c r="J3" s="15" t="s">
        <v>22</v>
      </c>
      <c r="K3" s="19" t="s">
        <v>28</v>
      </c>
      <c r="L3" s="20" t="s">
        <v>33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28</v>
      </c>
      <c r="B5" s="84">
        <v>7547397</v>
      </c>
      <c r="C5" s="97">
        <f>B6-B5</f>
        <v>3542</v>
      </c>
      <c r="D5" s="32">
        <f>C5*0.21186441</f>
        <v>750.42374022000001</v>
      </c>
      <c r="E5" s="33">
        <v>599375</v>
      </c>
      <c r="F5" s="98">
        <f>E6-E5</f>
        <v>264</v>
      </c>
      <c r="G5" s="34">
        <f>F5*0.84746</f>
        <v>223.72944000000001</v>
      </c>
      <c r="H5" s="34">
        <f>F5*0.84746</f>
        <v>223.72944000000001</v>
      </c>
      <c r="I5" s="85">
        <f>G5+H5</f>
        <v>447.45888000000002</v>
      </c>
      <c r="J5" s="35">
        <f>9720+6220</f>
        <v>15940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4">
        <v>7550939</v>
      </c>
      <c r="C6" s="50">
        <f t="shared" ref="C6:C15" si="0">B7-B6</f>
        <v>3107</v>
      </c>
      <c r="D6" s="39">
        <f>C6*0.21186441</f>
        <v>658.26272187000006</v>
      </c>
      <c r="E6" s="40">
        <v>599639</v>
      </c>
      <c r="F6" s="51">
        <f t="shared" ref="F6:F15" si="1">E7-E6</f>
        <v>280</v>
      </c>
      <c r="G6" s="41">
        <f>F6*0.84746</f>
        <v>237.28880000000001</v>
      </c>
      <c r="H6" s="41">
        <f>F6*0.84746</f>
        <v>237.28880000000001</v>
      </c>
      <c r="I6" s="42">
        <f t="shared" ref="I6:I36" si="2">G6+H6</f>
        <v>474.57760000000002</v>
      </c>
      <c r="J6" s="35">
        <f>9720+6220</f>
        <v>15940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7554046</v>
      </c>
      <c r="C7" s="52">
        <f t="shared" si="0"/>
        <v>3113</v>
      </c>
      <c r="D7" s="44">
        <f>C7*0.21186441</f>
        <v>659.53390833000003</v>
      </c>
      <c r="E7" s="45">
        <v>599919</v>
      </c>
      <c r="F7" s="53">
        <f t="shared" si="1"/>
        <v>272</v>
      </c>
      <c r="G7" s="46">
        <f t="shared" ref="G7:G36" si="4">F7*0.84746</f>
        <v>230.50912</v>
      </c>
      <c r="H7" s="46">
        <f t="shared" ref="H7:H36" si="5">F7*0.84746</f>
        <v>230.50912</v>
      </c>
      <c r="I7" s="47">
        <f t="shared" si="2"/>
        <v>461.01823999999999</v>
      </c>
      <c r="J7" s="35">
        <f>9720+6220</f>
        <v>15940</v>
      </c>
      <c r="K7" s="36">
        <f t="shared" si="3"/>
        <v>0</v>
      </c>
      <c r="L7" s="37">
        <f t="shared" ref="L7:L35" si="6">K7*0.7</f>
        <v>0</v>
      </c>
    </row>
    <row r="8" spans="1:12" ht="32.450000000000003" customHeight="1">
      <c r="A8" s="38">
        <v>3</v>
      </c>
      <c r="B8" s="38">
        <v>7557159</v>
      </c>
      <c r="C8" s="50">
        <f t="shared" si="0"/>
        <v>3886</v>
      </c>
      <c r="D8" s="44">
        <f t="shared" ref="D8:D36" si="7">C8*0.21186441</f>
        <v>823.30509726000003</v>
      </c>
      <c r="E8" s="45">
        <v>600191</v>
      </c>
      <c r="F8" s="51">
        <f t="shared" si="1"/>
        <v>185</v>
      </c>
      <c r="G8" s="41">
        <f t="shared" si="4"/>
        <v>156.7801</v>
      </c>
      <c r="H8" s="41">
        <f t="shared" si="5"/>
        <v>156.7801</v>
      </c>
      <c r="I8" s="47">
        <f t="shared" si="2"/>
        <v>313.56020000000001</v>
      </c>
      <c r="J8" s="35">
        <f>9720+6220</f>
        <v>15940</v>
      </c>
      <c r="K8" s="36">
        <f t="shared" si="3"/>
        <v>0</v>
      </c>
      <c r="L8" s="37">
        <f t="shared" si="6"/>
        <v>0</v>
      </c>
    </row>
    <row r="9" spans="1:12" ht="32.450000000000003" customHeight="1">
      <c r="A9" s="43">
        <v>4</v>
      </c>
      <c r="B9" s="43">
        <v>7561045</v>
      </c>
      <c r="C9" s="52">
        <f t="shared" si="0"/>
        <v>3482</v>
      </c>
      <c r="D9" s="44">
        <f t="shared" si="7"/>
        <v>737.71187562</v>
      </c>
      <c r="E9" s="45">
        <v>600376</v>
      </c>
      <c r="F9" s="53">
        <f t="shared" si="1"/>
        <v>0</v>
      </c>
      <c r="G9" s="46">
        <f t="shared" si="4"/>
        <v>0</v>
      </c>
      <c r="H9" s="46">
        <f t="shared" si="5"/>
        <v>0</v>
      </c>
      <c r="I9" s="47">
        <f t="shared" si="2"/>
        <v>0</v>
      </c>
      <c r="J9" s="35">
        <f>9720+6220</f>
        <v>15940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7564527</v>
      </c>
      <c r="C10" s="50">
        <f t="shared" si="0"/>
        <v>3131</v>
      </c>
      <c r="D10" s="44">
        <f t="shared" si="7"/>
        <v>663.34746771000005</v>
      </c>
      <c r="E10" s="45">
        <v>600376</v>
      </c>
      <c r="F10" s="51">
        <f t="shared" si="1"/>
        <v>222</v>
      </c>
      <c r="G10" s="41">
        <f t="shared" si="4"/>
        <v>188.13612000000001</v>
      </c>
      <c r="H10" s="41">
        <f t="shared" si="5"/>
        <v>188.13612000000001</v>
      </c>
      <c r="I10" s="47">
        <f t="shared" si="2"/>
        <v>376.27224000000001</v>
      </c>
      <c r="J10" s="35">
        <f>9720+6220</f>
        <v>15940</v>
      </c>
      <c r="K10" s="36">
        <f t="shared" si="3"/>
        <v>-30</v>
      </c>
      <c r="L10" s="37">
        <f t="shared" si="6"/>
        <v>-21</v>
      </c>
    </row>
    <row r="11" spans="1:12" ht="32.450000000000003" customHeight="1">
      <c r="A11" s="43">
        <v>6</v>
      </c>
      <c r="B11" s="43">
        <v>7567658</v>
      </c>
      <c r="C11" s="52">
        <f t="shared" si="0"/>
        <v>2857</v>
      </c>
      <c r="D11" s="44">
        <f t="shared" si="7"/>
        <v>605.29661937000003</v>
      </c>
      <c r="E11" s="45">
        <v>600598</v>
      </c>
      <c r="F11" s="53">
        <f t="shared" si="1"/>
        <v>283</v>
      </c>
      <c r="G11" s="46">
        <f t="shared" si="4"/>
        <v>239.83117999999999</v>
      </c>
      <c r="H11" s="46">
        <f t="shared" si="5"/>
        <v>239.83117999999999</v>
      </c>
      <c r="I11" s="47">
        <f t="shared" si="2"/>
        <v>479.66235999999998</v>
      </c>
      <c r="J11" s="35">
        <f>9760+6210</f>
        <v>15970</v>
      </c>
      <c r="K11" s="36">
        <f t="shared" si="3"/>
        <v>-10</v>
      </c>
      <c r="L11" s="37">
        <f t="shared" si="6"/>
        <v>-7</v>
      </c>
    </row>
    <row r="12" spans="1:12" ht="32.450000000000003" customHeight="1">
      <c r="A12" s="38">
        <v>7</v>
      </c>
      <c r="B12" s="156">
        <v>7570515</v>
      </c>
      <c r="C12" s="50">
        <f t="shared" si="0"/>
        <v>3893</v>
      </c>
      <c r="D12" s="44">
        <f t="shared" si="7"/>
        <v>824.78814812999997</v>
      </c>
      <c r="E12" s="45">
        <v>600881</v>
      </c>
      <c r="F12" s="51">
        <f t="shared" si="1"/>
        <v>68</v>
      </c>
      <c r="G12" s="41">
        <f t="shared" si="4"/>
        <v>57.627279999999999</v>
      </c>
      <c r="H12" s="41">
        <f t="shared" si="5"/>
        <v>57.627279999999999</v>
      </c>
      <c r="I12" s="47">
        <f t="shared" si="2"/>
        <v>115.25456</v>
      </c>
      <c r="J12" s="35">
        <f>9760+6220</f>
        <v>15980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38">
        <v>7574408</v>
      </c>
      <c r="C13" s="52">
        <f t="shared" si="0"/>
        <v>4145</v>
      </c>
      <c r="D13" s="44">
        <f t="shared" si="7"/>
        <v>878.17797945000007</v>
      </c>
      <c r="E13" s="45">
        <v>600949</v>
      </c>
      <c r="F13" s="53">
        <f t="shared" si="1"/>
        <v>0</v>
      </c>
      <c r="G13" s="46">
        <f t="shared" si="4"/>
        <v>0</v>
      </c>
      <c r="H13" s="46">
        <f t="shared" si="5"/>
        <v>0</v>
      </c>
      <c r="I13" s="47">
        <f t="shared" si="2"/>
        <v>0</v>
      </c>
      <c r="J13" s="35">
        <f>9760+6220</f>
        <v>15980</v>
      </c>
      <c r="K13" s="36">
        <f>J13-J14</f>
        <v>10</v>
      </c>
      <c r="L13" s="37">
        <f t="shared" si="6"/>
        <v>7</v>
      </c>
    </row>
    <row r="14" spans="1:12" ht="32.450000000000003" customHeight="1">
      <c r="A14" s="38">
        <v>9</v>
      </c>
      <c r="B14" s="43">
        <v>7578553</v>
      </c>
      <c r="C14" s="50">
        <f t="shared" si="0"/>
        <v>3981</v>
      </c>
      <c r="D14" s="44">
        <f t="shared" si="7"/>
        <v>843.43221620999998</v>
      </c>
      <c r="E14" s="45">
        <v>600949</v>
      </c>
      <c r="F14" s="51">
        <f t="shared" si="1"/>
        <v>249</v>
      </c>
      <c r="G14" s="46">
        <f t="shared" si="4"/>
        <v>211.01754</v>
      </c>
      <c r="H14" s="41">
        <f t="shared" si="5"/>
        <v>211.01754</v>
      </c>
      <c r="I14" s="47">
        <f t="shared" si="2"/>
        <v>422.03507999999999</v>
      </c>
      <c r="J14" s="35">
        <f>9760+6210</f>
        <v>15970</v>
      </c>
      <c r="K14" s="36">
        <f>J14-J15</f>
        <v>-10</v>
      </c>
      <c r="L14" s="37">
        <f t="shared" si="6"/>
        <v>-7</v>
      </c>
    </row>
    <row r="15" spans="1:12" ht="32.450000000000003" customHeight="1">
      <c r="A15" s="43">
        <v>10</v>
      </c>
      <c r="B15" s="43">
        <v>7582534</v>
      </c>
      <c r="C15" s="52">
        <f t="shared" si="0"/>
        <v>4173</v>
      </c>
      <c r="D15" s="44">
        <f t="shared" si="7"/>
        <v>884.11018293000006</v>
      </c>
      <c r="E15" s="45">
        <v>601198</v>
      </c>
      <c r="F15" s="53">
        <f t="shared" si="1"/>
        <v>340</v>
      </c>
      <c r="G15" s="46">
        <f t="shared" si="4"/>
        <v>288.13639999999998</v>
      </c>
      <c r="H15" s="46">
        <f t="shared" si="5"/>
        <v>288.13639999999998</v>
      </c>
      <c r="I15" s="47">
        <f t="shared" si="2"/>
        <v>576.27279999999996</v>
      </c>
      <c r="J15" s="35">
        <f>9760+6220</f>
        <v>15980</v>
      </c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>
        <v>7586707</v>
      </c>
      <c r="C16" s="50">
        <f>B17-B16</f>
        <v>3172</v>
      </c>
      <c r="D16" s="44">
        <f t="shared" si="7"/>
        <v>672.03390851999995</v>
      </c>
      <c r="E16" s="45">
        <v>601538</v>
      </c>
      <c r="F16" s="51">
        <f>E17-E16</f>
        <v>313</v>
      </c>
      <c r="G16" s="41">
        <f t="shared" si="4"/>
        <v>265.25497999999999</v>
      </c>
      <c r="H16" s="41">
        <f t="shared" si="5"/>
        <v>265.25497999999999</v>
      </c>
      <c r="I16" s="47">
        <f t="shared" si="2"/>
        <v>530.50995999999998</v>
      </c>
      <c r="J16" s="35">
        <f>9760+6220</f>
        <v>15980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7589879</v>
      </c>
      <c r="C17" s="52">
        <f t="shared" ref="C17:C35" si="8">B18-B17</f>
        <v>2993</v>
      </c>
      <c r="D17" s="44">
        <f t="shared" si="7"/>
        <v>634.11017913000001</v>
      </c>
      <c r="E17" s="45">
        <v>601851</v>
      </c>
      <c r="F17" s="53">
        <f t="shared" ref="F17:F35" si="9">E18-E17</f>
        <v>269</v>
      </c>
      <c r="G17" s="46">
        <f t="shared" si="4"/>
        <v>227.96673999999999</v>
      </c>
      <c r="H17" s="46">
        <f t="shared" si="5"/>
        <v>227.96673999999999</v>
      </c>
      <c r="I17" s="47">
        <f t="shared" si="2"/>
        <v>455.93347999999997</v>
      </c>
      <c r="J17" s="35">
        <f>9760+6220</f>
        <v>15980</v>
      </c>
      <c r="K17" s="36">
        <f t="shared" si="3"/>
        <v>10</v>
      </c>
      <c r="L17" s="37">
        <f t="shared" si="6"/>
        <v>7</v>
      </c>
    </row>
    <row r="18" spans="1:12" ht="32.450000000000003" customHeight="1">
      <c r="A18" s="38">
        <v>13</v>
      </c>
      <c r="B18" s="38">
        <v>7592872</v>
      </c>
      <c r="C18" s="50">
        <f t="shared" si="8"/>
        <v>3124</v>
      </c>
      <c r="D18" s="44">
        <f t="shared" si="7"/>
        <v>661.86441683999999</v>
      </c>
      <c r="E18" s="48">
        <v>602120</v>
      </c>
      <c r="F18" s="51">
        <f t="shared" si="9"/>
        <v>186</v>
      </c>
      <c r="G18" s="41">
        <f t="shared" si="4"/>
        <v>157.62755999999999</v>
      </c>
      <c r="H18" s="41">
        <f t="shared" si="5"/>
        <v>157.62755999999999</v>
      </c>
      <c r="I18" s="47">
        <f t="shared" si="2"/>
        <v>315.25511999999998</v>
      </c>
      <c r="J18" s="35">
        <f>9750+6220</f>
        <v>15970</v>
      </c>
      <c r="K18" s="36">
        <f t="shared" si="3"/>
        <v>-20</v>
      </c>
      <c r="L18" s="37">
        <f t="shared" si="6"/>
        <v>-14</v>
      </c>
    </row>
    <row r="19" spans="1:12" ht="32.450000000000003" customHeight="1">
      <c r="A19" s="43">
        <v>14</v>
      </c>
      <c r="B19" s="43">
        <v>7595996</v>
      </c>
      <c r="C19" s="52">
        <f t="shared" si="8"/>
        <v>3380</v>
      </c>
      <c r="D19" s="44">
        <f t="shared" si="7"/>
        <v>716.10170579999999</v>
      </c>
      <c r="E19" s="49">
        <v>602306</v>
      </c>
      <c r="F19" s="53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>
        <f>9760+6230</f>
        <v>15990</v>
      </c>
      <c r="K19" s="36">
        <f t="shared" si="3"/>
        <v>-20</v>
      </c>
      <c r="L19" s="37">
        <f t="shared" si="6"/>
        <v>-14</v>
      </c>
    </row>
    <row r="20" spans="1:12" ht="32.450000000000003" customHeight="1">
      <c r="A20" s="38">
        <v>15</v>
      </c>
      <c r="B20" s="38">
        <v>7599376</v>
      </c>
      <c r="C20" s="50">
        <f t="shared" si="8"/>
        <v>2619</v>
      </c>
      <c r="D20" s="44">
        <f t="shared" si="7"/>
        <v>554.87288979000004</v>
      </c>
      <c r="E20" s="48">
        <v>602306</v>
      </c>
      <c r="F20" s="51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35">
        <f>9760+6250</f>
        <v>16010</v>
      </c>
      <c r="K20" s="36">
        <f t="shared" si="3"/>
        <v>10</v>
      </c>
      <c r="L20" s="37">
        <f t="shared" si="6"/>
        <v>7</v>
      </c>
    </row>
    <row r="21" spans="1:12" ht="32.450000000000003" customHeight="1">
      <c r="A21" s="43">
        <v>16</v>
      </c>
      <c r="B21" s="80">
        <v>7601995</v>
      </c>
      <c r="C21" s="52">
        <f t="shared" si="8"/>
        <v>-7601995</v>
      </c>
      <c r="D21" s="44">
        <f t="shared" si="7"/>
        <v>-1610592.1854979501</v>
      </c>
      <c r="E21" s="81">
        <v>602306</v>
      </c>
      <c r="F21" s="53">
        <f t="shared" si="9"/>
        <v>-602306</v>
      </c>
      <c r="G21" s="46">
        <f t="shared" si="4"/>
        <v>-510430.24275999999</v>
      </c>
      <c r="H21" s="46">
        <f t="shared" si="5"/>
        <v>-510430.24275999999</v>
      </c>
      <c r="I21" s="47">
        <f t="shared" si="2"/>
        <v>-1020860.48552</v>
      </c>
      <c r="J21" s="35">
        <f>9760+6240</f>
        <v>16000</v>
      </c>
      <c r="K21" s="36">
        <f t="shared" si="3"/>
        <v>16000</v>
      </c>
      <c r="L21" s="37">
        <f t="shared" si="6"/>
        <v>11200</v>
      </c>
    </row>
    <row r="22" spans="1:12" ht="32.450000000000003" customHeight="1">
      <c r="A22" s="38">
        <v>17</v>
      </c>
      <c r="B22" s="38"/>
      <c r="C22" s="50">
        <f t="shared" si="8"/>
        <v>0</v>
      </c>
      <c r="D22" s="44">
        <f t="shared" si="7"/>
        <v>0</v>
      </c>
      <c r="E22" s="49"/>
      <c r="F22" s="51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35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2">
        <f t="shared" si="8"/>
        <v>0</v>
      </c>
      <c r="D23" s="44">
        <f t="shared" si="7"/>
        <v>0</v>
      </c>
      <c r="E23" s="49"/>
      <c r="F23" s="53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35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0">
        <f t="shared" si="8"/>
        <v>0</v>
      </c>
      <c r="D24" s="44">
        <f t="shared" si="7"/>
        <v>0</v>
      </c>
      <c r="E24" s="49"/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2">
        <f t="shared" si="8"/>
        <v>0</v>
      </c>
      <c r="D25" s="44">
        <f t="shared" si="7"/>
        <v>0</v>
      </c>
      <c r="E25" s="49"/>
      <c r="F25" s="53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35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0">
        <f t="shared" si="8"/>
        <v>0</v>
      </c>
      <c r="D26" s="44">
        <f t="shared" si="7"/>
        <v>0</v>
      </c>
      <c r="E26" s="49"/>
      <c r="F26" s="51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35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2">
        <f t="shared" si="8"/>
        <v>0</v>
      </c>
      <c r="D27" s="44">
        <f t="shared" si="7"/>
        <v>0</v>
      </c>
      <c r="E27" s="49"/>
      <c r="F27" s="53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35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0">
        <f t="shared" si="8"/>
        <v>0</v>
      </c>
      <c r="D28" s="44">
        <f t="shared" si="7"/>
        <v>0</v>
      </c>
      <c r="E28" s="49"/>
      <c r="F28" s="51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35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2">
        <f t="shared" si="8"/>
        <v>0</v>
      </c>
      <c r="D29" s="44">
        <f t="shared" si="7"/>
        <v>0</v>
      </c>
      <c r="E29" s="49"/>
      <c r="F29" s="53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35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0">
        <f t="shared" si="8"/>
        <v>0</v>
      </c>
      <c r="D30" s="44">
        <f t="shared" si="7"/>
        <v>0</v>
      </c>
      <c r="E30" s="49"/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2">
        <f t="shared" si="8"/>
        <v>0</v>
      </c>
      <c r="D31" s="44">
        <f t="shared" si="7"/>
        <v>0</v>
      </c>
      <c r="E31" s="49"/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0">
        <f t="shared" si="8"/>
        <v>0</v>
      </c>
      <c r="D32" s="145">
        <f t="shared" si="7"/>
        <v>0</v>
      </c>
      <c r="E32" s="146"/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/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/>
      <c r="C33" s="137">
        <f t="shared" si="8"/>
        <v>0</v>
      </c>
      <c r="D33" s="138">
        <f t="shared" si="7"/>
        <v>0</v>
      </c>
      <c r="E33" s="139"/>
      <c r="F33" s="140">
        <f t="shared" si="9"/>
        <v>0</v>
      </c>
      <c r="G33" s="141">
        <f t="shared" si="4"/>
        <v>0</v>
      </c>
      <c r="H33" s="141">
        <f t="shared" si="5"/>
        <v>0</v>
      </c>
      <c r="I33" s="142">
        <f t="shared" si="2"/>
        <v>0</v>
      </c>
      <c r="J33" s="134"/>
      <c r="K33" s="143">
        <f t="shared" si="3"/>
        <v>0</v>
      </c>
      <c r="L33" s="144">
        <f t="shared" si="6"/>
        <v>0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167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32A88E-4F20-4310-AD4B-B43665ADED7A}"/>
</file>

<file path=customXml/itemProps2.xml><?xml version="1.0" encoding="utf-8"?>
<ds:datastoreItem xmlns:ds="http://schemas.openxmlformats.org/officeDocument/2006/customXml" ds:itemID="{8169A055-6880-4B7E-B153-32E81666CB30}"/>
</file>

<file path=customXml/itemProps3.xml><?xml version="1.0" encoding="utf-8"?>
<ds:datastoreItem xmlns:ds="http://schemas.openxmlformats.org/officeDocument/2006/customXml" ds:itemID="{B764E2F0-68A0-4923-AC43-D41B6713E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2023-03-17T04:35:06Z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