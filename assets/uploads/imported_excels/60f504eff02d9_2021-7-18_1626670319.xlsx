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070D9114-B7DB-4114-9126-EECA61F073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<sst xmlns="http://schemas.openxmlformats.org/spreadsheetml/2006/main" count="201" uniqueCount="128">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</sst>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</c:v>
                </c:pt>
                <c:pt idx="3">
                  <c:v>-891159.99999999988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" sqref="I2:I1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411780.00000000128</v>
      </c>
      <c r="F33" s="104">
        <v>0</v>
      </c>
      <c r="G33" s="101">
        <f>SUM(G2:G32)</f>
        <v>111572</v>
      </c>
      <c r="H33" s="102">
        <v>0</v>
      </c>
      <c r="I33" s="103">
        <f>SUM(I2:I32)</f>
        <v>4852</v>
      </c>
      <c r="J33" s="104">
        <v>0</v>
      </c>
      <c r="K33" s="105">
        <v>0</v>
      </c>
      <c r="L33" s="102">
        <v>0</v>
      </c>
      <c r="M33" s="106">
        <f t="shared" ref="M33:O33" si="1">SUM(M2:M32)</f>
        <v>333</v>
      </c>
      <c r="N33" s="106">
        <f t="shared" si="1"/>
        <v>779</v>
      </c>
      <c r="O33" s="106">
        <f t="shared" si="1"/>
        <v>1989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22" sqref="T2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/>
      <c r="W20" s="71"/>
      <c r="X20" s="71"/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/>
      <c r="W21" s="71"/>
      <c r="X21" s="71"/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/>
      <c r="W22" s="71"/>
      <c r="X22" s="71"/>
      <c r="Y22" s="17"/>
    </row>
    <row r="23" spans="1:25" ht="21" customHeight="1" x14ac:dyDescent="0.25">
      <c r="A23" s="8">
        <v>44397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44398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333</v>
      </c>
      <c r="W35" s="78">
        <f>SUM(W4:W34)</f>
        <v>779</v>
      </c>
      <c r="X35" s="78">
        <f>SUM(X4:X34)</f>
        <v>1989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7" sqref="A17:XFD1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0</v>
      </c>
      <c r="C22" s="4">
        <f>('Kwh Reading'!T23-'Kwh Reading'!T22)*1000</f>
        <v>-428940</v>
      </c>
      <c r="D22" s="2">
        <f>('Kwh Reading'!F23-'Kwh Reading'!F22)*1000000</f>
        <v>-2424000</v>
      </c>
      <c r="E22" s="2">
        <f>('Kwh Reading'!C23-'Kwh Reading'!C22)*1000</f>
        <v>-233800</v>
      </c>
      <c r="F22" s="2">
        <f>('Kwh Reading'!J23-'Kwh Reading'!J22)*1000</f>
        <v>-320230</v>
      </c>
      <c r="G22" s="2">
        <f>('Kwh Reading'!K23-'Kwh Reading'!K22)*1000</f>
        <v>-345470</v>
      </c>
      <c r="H22" s="2">
        <f>('Kwh Reading'!L23-'Kwh Reading'!L22)*1000</f>
        <v>-237360</v>
      </c>
      <c r="I22" s="2">
        <f>('Kwh Reading'!R23-'Kwh Reading'!R22)*1000</f>
        <v>-163270</v>
      </c>
      <c r="J22" s="2">
        <f>('Kwh Reading'!S23-'Kwh Reading'!S22)*1000</f>
        <v>-117360</v>
      </c>
      <c r="K22" s="2">
        <f>('Kwh Reading'!I23-'Kwh Reading'!I22)*1000</f>
        <v>-242050</v>
      </c>
      <c r="L22" s="2">
        <f>('Kwh Reading'!B23-'Kwh Reading'!B22)*1000</f>
        <v>-1005500</v>
      </c>
      <c r="M22" s="2">
        <f>('Kwh Reading'!M23-'Kwh Reading'!M22)*1000</f>
        <v>-532700</v>
      </c>
      <c r="N22" s="2">
        <f>('Kwh Reading'!H23-'Kwh Reading'!H22)*1000</f>
        <v>-630470</v>
      </c>
      <c r="O22" s="2">
        <f>('Kwh Reading'!P23-'Kwh Reading'!P22)*1000</f>
        <v>-637980</v>
      </c>
      <c r="P22" s="2">
        <f>('Kwh Reading'!G23-'Kwh Reading'!G22)*1000</f>
        <v>-761210</v>
      </c>
      <c r="Q22" s="2">
        <f>('Kwh Reading'!Q23-'Kwh Reading'!Q22)*1000</f>
        <v>-473870</v>
      </c>
      <c r="R22" s="2">
        <f>('Kwh Reading'!N23-'Kwh Reading'!N22)*1000</f>
        <v>-486090</v>
      </c>
      <c r="S22" s="34">
        <f>'Kwh Reading'!E23-'Kwh Reading'!E22</f>
        <v>-8243074.3799999999</v>
      </c>
      <c r="T22" s="34">
        <f>'Kwh Reading'!D23-'Kwh Reading'!D22</f>
        <v>-7525067.5899999999</v>
      </c>
      <c r="U22" s="27">
        <f>('Kwh Reading'!O23-'Kwh Reading'!O22)*1000</f>
        <v>-155400</v>
      </c>
      <c r="V22" s="16">
        <f t="shared" si="1"/>
        <v>24963841.969999999</v>
      </c>
    </row>
    <row r="23" spans="1:22" x14ac:dyDescent="0.25">
      <c r="A23" s="3">
        <f>'Kwh Reading'!A23</f>
        <v>44397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44398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414980.00000000116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</v>
      </c>
      <c r="F35" s="75">
        <f t="shared" ref="F35" si="5">SUM(F4:F34)</f>
        <v>-316459.99999999994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-157729.99999999997</v>
      </c>
      <c r="J35" s="75">
        <f t="shared" si="6"/>
        <v>-115160</v>
      </c>
      <c r="K35" s="75">
        <f t="shared" si="6"/>
        <v>-236039.99999999997</v>
      </c>
      <c r="L35" s="75">
        <f t="shared" si="6"/>
        <v>-981180</v>
      </c>
      <c r="M35" s="75">
        <f t="shared" si="6"/>
        <v>-518450</v>
      </c>
      <c r="N35" s="75">
        <f t="shared" si="6"/>
        <v>-622150</v>
      </c>
      <c r="O35" s="75">
        <f t="shared" si="6"/>
        <v>-618580</v>
      </c>
      <c r="P35" s="75">
        <f t="shared" si="6"/>
        <v>-746169.99999999988</v>
      </c>
      <c r="Q35" s="75">
        <f t="shared" si="6"/>
        <v>-461070</v>
      </c>
      <c r="R35" s="75">
        <f t="shared" si="6"/>
        <v>-472620.00000000006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25082961.439999998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6" sqref="H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0</v>
      </c>
      <c r="C21" s="1">
        <f>'Kwh Consumption'!C22</f>
        <v>-428940</v>
      </c>
      <c r="D21" s="1">
        <f>'Kwh Consumption'!D22</f>
        <v>-2424000</v>
      </c>
      <c r="E21" s="1">
        <f>'Kwh Consumption'!E22</f>
        <v>-233800</v>
      </c>
      <c r="F21" s="1">
        <f>('Kwh Consumption'!F22+'Kwh Consumption'!G22+'Kwh Consumption'!H22)</f>
        <v>-903060</v>
      </c>
      <c r="G21" s="16">
        <f>('Kwh Consumption'!I22+'Kwh Consumption'!J22)</f>
        <v>-280630</v>
      </c>
      <c r="H21" s="1">
        <f>('Kwh Consumption'!K22+'Kwh Consumption'!L22)</f>
        <v>-1247550</v>
      </c>
      <c r="I21" s="1">
        <f>('Kwh Consumption'!M22+'Kwh Consumption'!N22+'Kwh Consumption'!O22+'Kwh Consumption'!P22+'Kwh Consumption'!Q22+'Kwh Consumption'!R22)</f>
        <v>-3522320</v>
      </c>
      <c r="J21" s="1">
        <f>('Kwh Consumption'!S22+'Kwh Consumption'!T22)</f>
        <v>-15768141.969999999</v>
      </c>
      <c r="K21" s="1">
        <f>'Kwh Consumption'!U22</f>
        <v>-155400</v>
      </c>
      <c r="L21" s="32">
        <f t="shared" si="0"/>
        <v>24963841.969999999</v>
      </c>
    </row>
    <row r="22" spans="1:12" x14ac:dyDescent="0.25">
      <c r="A22" s="14">
        <f>'Kwh Reading'!A23</f>
        <v>44397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44398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411780.00000000128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</v>
      </c>
      <c r="F34" s="75">
        <f t="shared" si="1"/>
        <v>-891159.99999999988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-15665211.439999998</v>
      </c>
      <c r="K34" s="75">
        <f t="shared" si="1"/>
        <v>-151380</v>
      </c>
      <c r="L34" s="75">
        <f t="shared" si="1"/>
        <v>25079761.440000001</v>
      </c>
      <c r="M34" s="84">
        <f>C34+D34+E34+F34+G34+H34+I34+J34+K34+L34</f>
        <v>411780.00000000373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-32141.200000000004</v>
      </c>
      <c r="F36" s="75">
        <f>F34*B36</f>
        <v>-124762.4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-2193129.6015999997</v>
      </c>
      <c r="K36" s="75">
        <f>K34*B36</f>
        <v>-21193.200000000001</v>
      </c>
      <c r="L36" s="75">
        <f>L34*B36</f>
        <v>3511166.6016000006</v>
      </c>
      <c r="M36" s="84">
        <f>C36+D36+E36+F36+G36+H36+I36+J36+K36+L36</f>
        <v>57649.200000000652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-60051.600000000006</v>
      </c>
      <c r="E21" s="1">
        <f>'Kwh Consumption'!D22*' Kwh area wise $ '!B21</f>
        <v>-339360.00000000006</v>
      </c>
      <c r="F21" s="1">
        <f>'Kwh Consumption'!E22*' Kwh area wise $ '!B21</f>
        <v>-32732.000000000004</v>
      </c>
      <c r="G21" s="1">
        <f>('Kwh Consumption'!F22+'Kwh Consumption'!G22+'Kwh Consumption'!H22)*' Kwh area wise $ '!B21</f>
        <v>-126428.40000000001</v>
      </c>
      <c r="H21" s="16">
        <f>('Kwh Consumption'!I22+'Kwh Consumption'!J22)*' Kwh area wise $ '!B21</f>
        <v>-39288.200000000004</v>
      </c>
      <c r="I21" s="1">
        <f>('Kwh Consumption'!K22+'Kwh Consumption'!L22)*' Kwh area wise $ '!B21</f>
        <v>-174657.00000000003</v>
      </c>
      <c r="J21" s="1">
        <f>('Kwh Consumption'!M22+'Kwh Consumption'!N22+'Kwh Consumption'!O22+'Kwh Consumption'!P22+'Kwh Consumption'!Q22+'Kwh Consumption'!R22)*' Kwh area wise $ '!B21</f>
        <v>-493124.80000000005</v>
      </c>
      <c r="K21" s="1">
        <f>('Kwh Consumption'!S22+'Kwh Consumption'!T22)*' Kwh area wise $ '!B21</f>
        <v>-2207539.8758</v>
      </c>
      <c r="L21" s="1">
        <f>'Kwh Consumption'!U22*' Kwh area wise $ '!B21</f>
        <v>-21756.000000000004</v>
      </c>
      <c r="M21" s="1">
        <f>'Kwh Consumption'!V22*' Kwh area wise $ '!B21</f>
        <v>3494937.8758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58097.200000000179</v>
      </c>
      <c r="D34" s="75">
        <f t="shared" si="0"/>
        <v>-58898.000000000007</v>
      </c>
      <c r="E34" s="75">
        <f t="shared" si="0"/>
        <v>-333312.00000000006</v>
      </c>
      <c r="F34" s="75">
        <f t="shared" si="0"/>
        <v>-32141.200000000004</v>
      </c>
      <c r="G34" s="75">
        <f t="shared" si="0"/>
        <v>-124762.4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3511614.6016000002</v>
      </c>
      <c r="N34" s="84">
        <f>D34+E34+F34+G34+H34+I34+J34+K34+L34+M34</f>
        <v>58097.199999999721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H21" sqref="H2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44398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44399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8" sqref="C1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0</v>
      </c>
      <c r="C22" s="66">
        <f>('Water Reading'!B22-'Water Reading'!B21)+('Water Reading'!C22-'Water Reading'!C21)</f>
        <v>-303534</v>
      </c>
      <c r="D22" s="67" t="e">
        <f t="shared" si="2"/>
        <v>#DIV/0!</v>
      </c>
      <c r="E22" s="87">
        <f>'Water Reading'!H22-'Water Reading'!H21</f>
        <v>-53795</v>
      </c>
      <c r="F22" s="89">
        <f t="shared" si="3"/>
        <v>0.17722891010562244</v>
      </c>
      <c r="G22" s="93">
        <f>('Water Reading'!D22-'Water Reading'!D21)-('Water Reading'!R22-'Water Reading'!R21)-('Water Reading'!Q22-'Water Reading'!Q21)</f>
        <v>-204592</v>
      </c>
      <c r="H22" s="89">
        <f t="shared" si="4"/>
        <v>0.67403322197842741</v>
      </c>
      <c r="I22" s="90">
        <f>'Water Reading'!P22-'Water Reading'!P21</f>
        <v>-27180</v>
      </c>
      <c r="J22" s="68">
        <f t="shared" si="5"/>
        <v>8.9545158038308717E-2</v>
      </c>
      <c r="K22" s="91">
        <f>('Water Reading'!I22-'Water Reading'!I21)-('Water Reading'!P22-'Water Reading'!P21)</f>
        <v>-36905</v>
      </c>
      <c r="L22" s="68">
        <f t="shared" si="6"/>
        <v>0.12158440240632021</v>
      </c>
      <c r="M22" s="90">
        <f>'Water Reading'!R22-'Water Reading'!R21</f>
        <v>-6325</v>
      </c>
      <c r="N22" s="92">
        <f t="shared" si="7"/>
        <v>2.0837863303616727E-2</v>
      </c>
      <c r="O22" s="90">
        <f>'Water Reading'!Q22-'Water Reading'!Q21</f>
        <v>-732</v>
      </c>
      <c r="P22" s="99">
        <f t="shared" si="8"/>
        <v>2.4115914526873432E-3</v>
      </c>
      <c r="Q22" s="91">
        <f>'Water Reading'!F22-'Water Reading'!F21</f>
        <v>-66947</v>
      </c>
      <c r="R22" s="100">
        <f t="shared" si="9"/>
        <v>0.22055848768177536</v>
      </c>
      <c r="S22" s="94">
        <f>'Water Reading'!E22-'Water Reading'!E21</f>
        <v>-248937</v>
      </c>
      <c r="T22" s="100">
        <f t="shared" si="10"/>
        <v>0.82012888177271737</v>
      </c>
      <c r="U22" s="90">
        <f>'Water Reading'!G22-'Water Reading'!G21</f>
        <v>-111932</v>
      </c>
      <c r="V22" s="100">
        <f t="shared" si="11"/>
        <v>0.36876264273524545</v>
      </c>
      <c r="W22" s="90">
        <f>'Water Reading'!J22-'Water Reading'!J21</f>
        <v>-20519</v>
      </c>
      <c r="X22" s="100">
        <f t="shared" si="12"/>
        <v>6.7600334723622396E-2</v>
      </c>
      <c r="Y22" s="66">
        <f t="shared" si="0"/>
        <v>-777864</v>
      </c>
      <c r="Z22" s="67" t="e">
        <f t="shared" si="1"/>
        <v>#DIV/0!</v>
      </c>
    </row>
    <row r="23" spans="1:26" x14ac:dyDescent="0.25">
      <c r="A23" s="8">
        <f>'Water Reading'!A22</f>
        <v>44397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44398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5094</v>
      </c>
      <c r="C35" s="75">
        <f>SUM(C4:C34)</f>
        <v>-297465</v>
      </c>
      <c r="D35" s="96">
        <f>C35/B35</f>
        <v>-58.395170789163721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-151.66254416961129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2021-07-19T04:50:30Z</dcterms:modified>
  <cp:category/>
  <cp:contentStatus/>
</cp:coreProperties>
</file>