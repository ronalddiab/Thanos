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0398443D-4A0B-435E-BDD1-EB2C83086C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Sept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9" l="1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H36" i="7"/>
  <c r="K35" i="7"/>
  <c r="I36" i="7"/>
  <c r="A37" i="7"/>
  <c r="L17" i="1"/>
  <c r="L18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C4" i="1"/>
  <c r="L35" i="1"/>
  <c r="O35" i="1"/>
  <c r="A37" i="10"/>
  <c r="C12" i="1"/>
  <c r="C13" i="1"/>
  <c r="C14" i="1"/>
  <c r="C6" i="1"/>
  <c r="C7" i="1"/>
  <c r="C18" i="10"/>
  <c r="J35" i="10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E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E22" i="9"/>
  <c r="C22" i="9"/>
  <c r="E21" i="9"/>
  <c r="C21" i="9"/>
  <c r="E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E32" i="6"/>
  <c r="F32" i="6"/>
  <c r="I29" i="8"/>
  <c r="J33" i="8"/>
  <c r="J14" i="9"/>
  <c r="I17" i="9"/>
  <c r="I28" i="9"/>
  <c r="J31" i="10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15" i="6"/>
  <c r="F15" i="6"/>
  <c r="E28" i="6"/>
  <c r="F28" i="6"/>
  <c r="E17" i="6"/>
  <c r="F17" i="6"/>
  <c r="E14" i="6"/>
  <c r="F14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H34" i="1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J29" i="6"/>
  <c r="J21" i="6"/>
  <c r="J18" i="6"/>
  <c r="J17" i="6"/>
  <c r="J8" i="6"/>
  <c r="J4" i="6"/>
  <c r="J6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5" i="1"/>
  <c r="H35" i="1"/>
</calcChain>
</file>

<file path=xl/sharedStrings.xml><?xml version="1.0" encoding="utf-8"?>
<sst xmlns="http://schemas.openxmlformats.org/spreadsheetml/2006/main" count="272" uniqueCount="60">
  <si>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</si>
  <si>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</si>
  <si>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</si>
  <si>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</si>
  <si>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</si>
  <si>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</si>
  <si>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</si>
  <si>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</si>
  <si>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</si>
  <si>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</si>
  <si>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</si>
  <si>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</si>
  <si>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</si>
  <si>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September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</si>
  <si>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</si>
  <si>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</si>
  <si>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</si>
  <si>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</si>
  <si>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</si>
  <si>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</si>
  <si>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</si>
  <si>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</si>
  <si>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</si>
  <si>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</si>
  <si>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</si>
  <si>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</si>
  <si>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</si>
  <si>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raining</t>
  </si>
  <si>
    <t>cloudy</t>
  </si>
  <si>
    <t>Clear</t>
  </si>
  <si>
    <t>Total</t>
  </si>
  <si>
    <t>PLEASE MAKE SURE TO KEY IN THE OCCUPANCY AND WEATHER FOR THE DAY!</t>
  </si>
  <si>
    <t>Cloudy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</si>
  <si>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</si>
  <si>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</si>
  <si>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</si>
  <si>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</si>
  <si>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</si>
  <si>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</si>
  <si>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</si>
  <si>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</si>
  <si>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</si>
  <si>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</si>
  <si>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</si>
  <si>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Daily Diesel Consumption</t>
  </si>
  <si>
    <t>BOILER</t>
  </si>
  <si>
    <t>TIME</t>
  </si>
  <si>
    <t>Meter Reading</t>
  </si>
  <si>
    <t>Lit/hr</t>
  </si>
  <si>
    <t>NO</t>
  </si>
  <si>
    <t>START</t>
  </si>
  <si>
    <t>STOP</t>
  </si>
  <si>
    <t>HRS</t>
  </si>
  <si>
    <t>(L)</t>
  </si>
  <si>
    <t>Off (COV)</t>
  </si>
  <si>
    <t xml:space="preserve">off </t>
  </si>
  <si>
    <t>Off</t>
  </si>
  <si>
    <t>Balance (Litre)</t>
  </si>
  <si>
    <t>PLEASE MAKE SURE TO KEY IN THE OCCUPANCY FOR THE DAY!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</si>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</sst>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444444"/>
      <name val="Calibri"/>
      <family val="2"/>
      <charset val="1"/>
    </font>
    <font>
      <b/>
      <sz val="10"/>
      <color rgb="FF000000"/>
      <name val="Arial"/>
      <charset val="1"/>
    </font>
    <font>
      <b/>
      <sz val="10"/>
      <name val="Arial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0" borderId="1" xfId="2" applyNumberFormat="1" applyBorder="1" applyAlignment="1" applyProtection="1">
      <alignment horizontal="center"/>
      <protection locked="0"/>
    </xf>
    <xf numFmtId="165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165" fontId="1" fillId="4" borderId="1" xfId="2" applyNumberFormat="1" applyFill="1" applyBorder="1" applyAlignment="1" applyProtection="1">
      <alignment horizontal="center"/>
      <protection locked="0"/>
    </xf>
    <xf numFmtId="39" fontId="1" fillId="0" borderId="1" xfId="1" applyNumberFormat="1" applyFont="1" applyFill="1" applyBorder="1" applyAlignment="1">
      <alignment horizontal="center"/>
    </xf>
    <xf numFmtId="39" fontId="0" fillId="0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165" fontId="1" fillId="0" borderId="0" xfId="2" applyNumberFormat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1" fillId="2" borderId="1" xfId="2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11" fillId="0" borderId="5" xfId="0" quotePrefix="1" applyFont="1" applyBorder="1"/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14" fillId="0" borderId="11" xfId="2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2" applyNumberFormat="1" applyFont="1" applyBorder="1" applyAlignment="1">
      <alignment horizontal="center"/>
    </xf>
    <xf numFmtId="165" fontId="12" fillId="5" borderId="7" xfId="0" quotePrefix="1" applyNumberFormat="1" applyFont="1" applyFill="1" applyBorder="1" applyAlignment="1">
      <alignment horizontal="center"/>
    </xf>
    <xf numFmtId="165" fontId="12" fillId="5" borderId="9" xfId="0" quotePrefix="1" applyNumberFormat="1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 wrapText="1"/>
    </xf>
    <xf numFmtId="0" fontId="13" fillId="5" borderId="10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19" workbookViewId="0">
      <selection activeCell="P28" sqref="P28"/>
    </sheetView>
  </sheetViews>
  <sheetFormatPr defaultColWidth="9.140625" defaultRowHeight="12.75" x14ac:dyDescent="0.2"/>
  <cols>
    <col min="1" max="1" width="12.7109375" style="24" bestFit="1" customWidth="1"/>
    <col min="2" max="4" width="9.140625" style="24"/>
    <col min="5" max="5" width="14.28515625" style="24" customWidth="1"/>
    <col min="6" max="6" width="12.140625" style="24" customWidth="1"/>
    <col min="7" max="7" width="9.140625" style="24"/>
    <col min="8" max="8" width="19.28515625" style="24" customWidth="1"/>
    <col min="9" max="9" width="13.5703125" style="24" customWidth="1"/>
    <col min="10" max="10" width="11.28515625" style="24" customWidth="1"/>
    <col min="11" max="16384" width="9.140625" style="24"/>
  </cols>
  <sheetData>
    <row r="1" spans="1:12" ht="60" x14ac:dyDescent="0.2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59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5" x14ac:dyDescent="0.25">
      <c r="A2" s="25" t="s">
        <v>11</v>
      </c>
      <c r="B2" s="26">
        <v>1</v>
      </c>
      <c r="C2" s="27">
        <v>9</v>
      </c>
      <c r="D2" s="26">
        <v>2021</v>
      </c>
      <c r="E2" s="28">
        <f>'B16'!I4+'B16 ext'!I4+'B17'!I4</f>
        <v>5591</v>
      </c>
      <c r="F2" s="30">
        <f>('B16'!J4+'B16 ext'!J4+'B17'!J4)/TOTAL!E2</f>
        <v>0.24557342157038098</v>
      </c>
      <c r="G2" s="28">
        <f>'Diesel Reading Sept'!H4</f>
        <v>0</v>
      </c>
      <c r="H2" s="29" t="e">
        <f>'Diesel Reading Sept'!I4/'Diesel Reading Sept'!H4</f>
        <v>#DIV/0!</v>
      </c>
      <c r="I2" s="28">
        <f>'Water Reading'!H4</f>
        <v>444</v>
      </c>
      <c r="J2" s="30">
        <f>'Water Reading'!I4/'Water Reading'!H4</f>
        <v>1.3500000000000003</v>
      </c>
      <c r="K2" s="28"/>
      <c r="L2" s="28"/>
    </row>
    <row r="3" spans="1:12" ht="15" x14ac:dyDescent="0.25">
      <c r="A3" s="25" t="s">
        <v>11</v>
      </c>
      <c r="B3" s="26">
        <f>B2+1</f>
        <v>2</v>
      </c>
      <c r="C3" s="27">
        <v>9</v>
      </c>
      <c r="D3" s="26">
        <v>2021</v>
      </c>
      <c r="E3" s="28">
        <f>'B16'!I5+'B16 ext'!I5+'B17'!I5</f>
        <v>5508</v>
      </c>
      <c r="F3" s="30">
        <f>('B16'!J5+'B16 ext'!J5+'B17'!J5)/TOTAL!E3</f>
        <v>0.24499455337690629</v>
      </c>
      <c r="G3" s="28">
        <f>'Diesel Reading Sept'!H5</f>
        <v>0</v>
      </c>
      <c r="H3" s="29" t="e">
        <f>'Diesel Reading Sept'!I5/'Diesel Reading Sept'!H5</f>
        <v>#DIV/0!</v>
      </c>
      <c r="I3" s="28">
        <f>'Water Reading'!H5</f>
        <v>441</v>
      </c>
      <c r="J3" s="30">
        <f>'Water Reading'!I5/'Water Reading'!H5</f>
        <v>1.35</v>
      </c>
      <c r="K3" s="28"/>
      <c r="L3" s="28"/>
    </row>
    <row r="4" spans="1:12" ht="15" x14ac:dyDescent="0.25">
      <c r="A4" s="25" t="s">
        <v>11</v>
      </c>
      <c r="B4" s="26">
        <f t="shared" ref="B4:B32" si="0">B3+1</f>
        <v>3</v>
      </c>
      <c r="C4" s="27">
        <v>9</v>
      </c>
      <c r="D4" s="26">
        <v>2021</v>
      </c>
      <c r="E4" s="28">
        <f>'B16'!I6+'B16 ext'!I6+'B17'!I6</f>
        <v>5623</v>
      </c>
      <c r="F4" s="30">
        <f>('B16'!J6+'B16 ext'!J6+'B17'!J6)/TOTAL!E4</f>
        <v>0.24257744975991463</v>
      </c>
      <c r="G4" s="28">
        <f>'Diesel Reading Sept'!H6</f>
        <v>0</v>
      </c>
      <c r="H4" s="29" t="e">
        <f>'Diesel Reading Sept'!I6/'Diesel Reading Sept'!H6</f>
        <v>#DIV/0!</v>
      </c>
      <c r="I4" s="28">
        <f>'Water Reading'!H6</f>
        <v>440</v>
      </c>
      <c r="J4" s="30">
        <f>'Water Reading'!I6/'Water Reading'!H6</f>
        <v>1.35</v>
      </c>
      <c r="K4" s="28"/>
      <c r="L4" s="28"/>
    </row>
    <row r="5" spans="1:12" ht="15" x14ac:dyDescent="0.25">
      <c r="A5" s="25" t="s">
        <v>11</v>
      </c>
      <c r="B5" s="26">
        <f t="shared" si="0"/>
        <v>4</v>
      </c>
      <c r="C5" s="27">
        <v>9</v>
      </c>
      <c r="D5" s="26">
        <v>2021</v>
      </c>
      <c r="E5" s="28">
        <f>'B16'!I7+'B16 ext'!I7+'B17'!I7</f>
        <v>5308</v>
      </c>
      <c r="F5" s="30">
        <f>('B16'!J7+'B16 ext'!J7+'B17'!J7)/TOTAL!E5</f>
        <v>0.24544442351168047</v>
      </c>
      <c r="G5" s="28">
        <f>'Diesel Reading Sept'!H7</f>
        <v>0</v>
      </c>
      <c r="H5" s="29" t="e">
        <f>'Diesel Reading Sept'!I7/'Diesel Reading Sept'!H7</f>
        <v>#DIV/0!</v>
      </c>
      <c r="I5" s="28">
        <f>'Water Reading'!H7</f>
        <v>440</v>
      </c>
      <c r="J5" s="30">
        <f>'Water Reading'!I7/'Water Reading'!H7</f>
        <v>1.35</v>
      </c>
      <c r="K5" s="28"/>
      <c r="L5" s="28"/>
    </row>
    <row r="6" spans="1:12" ht="15" x14ac:dyDescent="0.25">
      <c r="A6" s="25" t="s">
        <v>11</v>
      </c>
      <c r="B6" s="26">
        <f t="shared" si="0"/>
        <v>5</v>
      </c>
      <c r="C6" s="27">
        <v>9</v>
      </c>
      <c r="D6" s="26">
        <v>2021</v>
      </c>
      <c r="E6" s="28">
        <f>'B16'!I8+'B16 ext'!I8+'B17'!I8</f>
        <v>5387</v>
      </c>
      <c r="F6" s="30">
        <f>('B16'!J8+'B16 ext'!J8+'B17'!J8)/TOTAL!E6</f>
        <v>0.2438637460553183</v>
      </c>
      <c r="G6" s="28">
        <f>'Diesel Reading Sept'!H8</f>
        <v>0</v>
      </c>
      <c r="H6" s="29" t="e">
        <f>'Diesel Reading Sept'!I8/'Diesel Reading Sept'!H8</f>
        <v>#DIV/0!</v>
      </c>
      <c r="I6" s="28">
        <f>'Water Reading'!H8</f>
        <v>457</v>
      </c>
      <c r="J6" s="30">
        <f>'Water Reading'!I8/'Water Reading'!H8</f>
        <v>1.35</v>
      </c>
      <c r="K6" s="28"/>
      <c r="L6" s="28"/>
    </row>
    <row r="7" spans="1:12" ht="15" x14ac:dyDescent="0.25">
      <c r="A7" s="25" t="s">
        <v>11</v>
      </c>
      <c r="B7" s="26">
        <f t="shared" si="0"/>
        <v>6</v>
      </c>
      <c r="C7" s="27">
        <v>9</v>
      </c>
      <c r="D7" s="26">
        <v>2021</v>
      </c>
      <c r="E7" s="28">
        <f>'B16'!I9+'B16 ext'!I9+'B17'!I9</f>
        <v>5777</v>
      </c>
      <c r="F7" s="30">
        <f>('B16'!J9+'B16 ext'!J9+'B17'!J9)/TOTAL!E7</f>
        <v>0.24513328717327332</v>
      </c>
      <c r="G7" s="28">
        <f>'Diesel Reading Sept'!H9</f>
        <v>0</v>
      </c>
      <c r="H7" s="29" t="e">
        <f>'Diesel Reading Sept'!I9/'Diesel Reading Sept'!H9</f>
        <v>#DIV/0!</v>
      </c>
      <c r="I7" s="28">
        <f>'Water Reading'!H9</f>
        <v>522</v>
      </c>
      <c r="J7" s="30">
        <f>'Water Reading'!I9/'Water Reading'!H9</f>
        <v>1.35</v>
      </c>
      <c r="K7" s="28"/>
      <c r="L7" s="28"/>
    </row>
    <row r="8" spans="1:12" ht="15" x14ac:dyDescent="0.25">
      <c r="A8" s="25" t="s">
        <v>11</v>
      </c>
      <c r="B8" s="26">
        <f t="shared" si="0"/>
        <v>7</v>
      </c>
      <c r="C8" s="27">
        <v>9</v>
      </c>
      <c r="D8" s="26">
        <v>2021</v>
      </c>
      <c r="E8" s="28">
        <f>'B16'!I10+'B16 ext'!I10+'B17'!I10</f>
        <v>5895</v>
      </c>
      <c r="F8" s="30">
        <f>('B16'!J10+'B16 ext'!J10+'B17'!J10)/TOTAL!E8</f>
        <v>0.24540763358778625</v>
      </c>
      <c r="G8" s="28">
        <f>'Diesel Reading Sept'!H10</f>
        <v>0</v>
      </c>
      <c r="H8" s="29" t="e">
        <f>'Diesel Reading Sept'!I10/'Diesel Reading Sept'!H10</f>
        <v>#DIV/0!</v>
      </c>
      <c r="I8" s="28">
        <f>'Water Reading'!H10</f>
        <v>407</v>
      </c>
      <c r="J8" s="30">
        <f>'Water Reading'!I10/'Water Reading'!H10</f>
        <v>1.35</v>
      </c>
      <c r="K8" s="28"/>
      <c r="L8" s="28"/>
    </row>
    <row r="9" spans="1:12" ht="15" x14ac:dyDescent="0.25">
      <c r="A9" s="25" t="s">
        <v>11</v>
      </c>
      <c r="B9" s="26">
        <f t="shared" si="0"/>
        <v>8</v>
      </c>
      <c r="C9" s="27">
        <v>9</v>
      </c>
      <c r="D9" s="26">
        <v>2021</v>
      </c>
      <c r="E9" s="28">
        <f>'B16'!I11+'B16 ext'!I11+'B17'!I11</f>
        <v>7032</v>
      </c>
      <c r="F9" s="30">
        <f>('B16'!J11+'B16 ext'!J11+'B17'!J11)/TOTAL!E9</f>
        <v>0.24550682593856651</v>
      </c>
      <c r="G9" s="28">
        <f>'Diesel Reading Sept'!H11</f>
        <v>0</v>
      </c>
      <c r="H9" s="29" t="e">
        <f>'Diesel Reading Sept'!I11/'Diesel Reading Sept'!H11</f>
        <v>#DIV/0!</v>
      </c>
      <c r="I9" s="28">
        <f>'Water Reading'!H11</f>
        <v>549</v>
      </c>
      <c r="J9" s="30">
        <f>'Water Reading'!I11/'Water Reading'!H11</f>
        <v>1.3499999999999999</v>
      </c>
      <c r="K9" s="28"/>
      <c r="L9" s="28"/>
    </row>
    <row r="10" spans="1:12" ht="15" x14ac:dyDescent="0.25">
      <c r="A10" s="25" t="s">
        <v>11</v>
      </c>
      <c r="B10" s="26">
        <f t="shared" si="0"/>
        <v>9</v>
      </c>
      <c r="C10" s="27">
        <v>9</v>
      </c>
      <c r="D10" s="26">
        <v>2021</v>
      </c>
      <c r="E10" s="28">
        <f>'B16'!I12+'B16 ext'!I12+'B17'!I12</f>
        <v>7798</v>
      </c>
      <c r="F10" s="30">
        <f>('B16'!J12+'B16 ext'!J12+'B17'!J12)/TOTAL!E10</f>
        <v>0.24575224416517052</v>
      </c>
      <c r="G10" s="28">
        <f>'Diesel Reading Sept'!H12</f>
        <v>114.19999999995343</v>
      </c>
      <c r="H10" s="29">
        <f>'Diesel Reading Sept'!I12/'Diesel Reading Sept'!H12</f>
        <v>2.84</v>
      </c>
      <c r="I10" s="28">
        <f>'Water Reading'!H12</f>
        <v>395</v>
      </c>
      <c r="J10" s="30">
        <f>'Water Reading'!I12/'Water Reading'!H12</f>
        <v>1.35</v>
      </c>
      <c r="K10" s="28"/>
      <c r="L10" s="28"/>
    </row>
    <row r="11" spans="1:12" ht="15" x14ac:dyDescent="0.25">
      <c r="A11" s="25" t="s">
        <v>11</v>
      </c>
      <c r="B11" s="26">
        <f t="shared" si="0"/>
        <v>10</v>
      </c>
      <c r="C11" s="27">
        <v>9</v>
      </c>
      <c r="D11" s="26">
        <v>2021</v>
      </c>
      <c r="E11" s="28">
        <f>'B16'!I13+'B16 ext'!I13+'B17'!I13</f>
        <v>7768</v>
      </c>
      <c r="F11" s="30">
        <f>('B16'!J13+'B16 ext'!J13+'B17'!J13)/TOTAL!E11</f>
        <v>0.24663220906282179</v>
      </c>
      <c r="G11" s="28">
        <f>'Diesel Reading Sept'!H13</f>
        <v>97.899999999906868</v>
      </c>
      <c r="H11" s="29">
        <f>'Diesel Reading Sept'!I13/'Diesel Reading Sept'!H13</f>
        <v>2.84</v>
      </c>
      <c r="I11" s="28">
        <f>'Water Reading'!H13</f>
        <v>1001</v>
      </c>
      <c r="J11" s="30">
        <f>'Water Reading'!I13/'Water Reading'!H13</f>
        <v>1.3499999999999999</v>
      </c>
      <c r="K11" s="28"/>
      <c r="L11" s="28"/>
    </row>
    <row r="12" spans="1:12" ht="15" x14ac:dyDescent="0.25">
      <c r="A12" s="25" t="s">
        <v>11</v>
      </c>
      <c r="B12" s="26">
        <f t="shared" si="0"/>
        <v>11</v>
      </c>
      <c r="C12" s="27">
        <v>9</v>
      </c>
      <c r="D12" s="26">
        <v>2021</v>
      </c>
      <c r="E12" s="28">
        <f>'B16'!I14+'B16 ext'!I14+'B17'!I14</f>
        <v>8532</v>
      </c>
      <c r="F12" s="30">
        <f>('B16'!J14+'B16 ext'!J14+'B17'!J14)/TOTAL!E12</f>
        <v>0.24439099859353022</v>
      </c>
      <c r="G12" s="28">
        <f>'Diesel Reading Sept'!H14</f>
        <v>168.60000000009313</v>
      </c>
      <c r="H12" s="29">
        <f>'Diesel Reading Sept'!I14/'Diesel Reading Sept'!H14</f>
        <v>2.84</v>
      </c>
      <c r="I12" s="28">
        <f>'Water Reading'!H14</f>
        <v>1101</v>
      </c>
      <c r="J12" s="30">
        <f>'Water Reading'!I14/'Water Reading'!H14</f>
        <v>1.35</v>
      </c>
      <c r="K12" s="28"/>
      <c r="L12" s="28"/>
    </row>
    <row r="13" spans="1:12" ht="15" x14ac:dyDescent="0.25">
      <c r="A13" s="25" t="s">
        <v>11</v>
      </c>
      <c r="B13" s="26">
        <f t="shared" si="0"/>
        <v>12</v>
      </c>
      <c r="C13" s="27">
        <v>9</v>
      </c>
      <c r="D13" s="26">
        <v>2021</v>
      </c>
      <c r="E13" s="28">
        <f>'B16'!I15+'B16 ext'!I15+'B17'!I15</f>
        <v>11592</v>
      </c>
      <c r="F13" s="30">
        <f>('B16'!J15+'B16 ext'!J15+'B17'!J15)/TOTAL!E13</f>
        <v>0.2461547619047619</v>
      </c>
      <c r="G13" s="28">
        <f>'Diesel Reading Sept'!H15</f>
        <v>146.19999999995343</v>
      </c>
      <c r="H13" s="29">
        <f>'Diesel Reading Sept'!I15/'Diesel Reading Sept'!H15</f>
        <v>2.84</v>
      </c>
      <c r="I13" s="28">
        <f>'Water Reading'!H15</f>
        <v>1164</v>
      </c>
      <c r="J13" s="30">
        <f>'Water Reading'!I15/'Water Reading'!H15</f>
        <v>1.35</v>
      </c>
      <c r="K13" s="28"/>
      <c r="L13" s="28"/>
    </row>
    <row r="14" spans="1:12" ht="15" x14ac:dyDescent="0.25">
      <c r="A14" s="25" t="s">
        <v>11</v>
      </c>
      <c r="B14" s="26">
        <f t="shared" si="0"/>
        <v>13</v>
      </c>
      <c r="C14" s="27">
        <v>9</v>
      </c>
      <c r="D14" s="26">
        <v>2021</v>
      </c>
      <c r="E14" s="28">
        <f>'B16'!I16+'B16 ext'!I16+'B17'!I16</f>
        <v>9884</v>
      </c>
      <c r="F14" s="30">
        <f>('B16'!J16+'B16 ext'!J16+'B17'!J16)/TOTAL!E14</f>
        <v>0.24932294617563738</v>
      </c>
      <c r="G14" s="28">
        <f>'Diesel Reading Sept'!H16</f>
        <v>407.5</v>
      </c>
      <c r="H14" s="29">
        <f>'Diesel Reading Sept'!I16/'Diesel Reading Sept'!H16</f>
        <v>2.84</v>
      </c>
      <c r="I14" s="28">
        <f>'Water Reading'!H16</f>
        <v>1078</v>
      </c>
      <c r="J14" s="30">
        <f>'Water Reading'!I16/'Water Reading'!H16</f>
        <v>1.3499999999999999</v>
      </c>
      <c r="K14" s="28"/>
      <c r="L14" s="28"/>
    </row>
    <row r="15" spans="1:12" ht="15" x14ac:dyDescent="0.25">
      <c r="A15" s="25" t="s">
        <v>11</v>
      </c>
      <c r="B15" s="26">
        <f t="shared" si="0"/>
        <v>14</v>
      </c>
      <c r="C15" s="27">
        <v>9</v>
      </c>
      <c r="D15" s="26">
        <v>2021</v>
      </c>
      <c r="E15" s="28">
        <f>'B16'!I17+'B16 ext'!I17+'B17'!I17</f>
        <v>11176</v>
      </c>
      <c r="F15" s="30">
        <f>('B16'!J17+'B16 ext'!J17+'B17'!J17)/TOTAL!E15</f>
        <v>0.24979160701503222</v>
      </c>
      <c r="G15" s="28">
        <f>'Diesel Reading Sept'!H17</f>
        <v>330.10000000009313</v>
      </c>
      <c r="H15" s="29">
        <f>'Diesel Reading Sept'!I17/'Diesel Reading Sept'!H17</f>
        <v>2.84</v>
      </c>
      <c r="I15" s="28">
        <f>'Water Reading'!H17</f>
        <v>1166</v>
      </c>
      <c r="J15" s="30">
        <f>'Water Reading'!I17/'Water Reading'!H17</f>
        <v>1.35</v>
      </c>
      <c r="K15" s="28"/>
      <c r="L15" s="28"/>
    </row>
    <row r="16" spans="1:12" ht="15" x14ac:dyDescent="0.25">
      <c r="A16" s="25" t="s">
        <v>11</v>
      </c>
      <c r="B16" s="26">
        <f t="shared" si="0"/>
        <v>15</v>
      </c>
      <c r="C16" s="27">
        <v>9</v>
      </c>
      <c r="D16" s="26">
        <v>2021</v>
      </c>
      <c r="E16" s="28">
        <f>'B16'!I18+'B16 ext'!I18+'B17'!I18</f>
        <v>12110</v>
      </c>
      <c r="F16" s="30">
        <f>('B16'!J18+'B16 ext'!J18+'B17'!J18)/TOTAL!E16</f>
        <v>0.24725722543352599</v>
      </c>
      <c r="G16" s="28">
        <f>'Diesel Reading Sept'!H18</f>
        <v>300.19999999995343</v>
      </c>
      <c r="H16" s="29">
        <f>'Diesel Reading Sept'!I18/'Diesel Reading Sept'!H18</f>
        <v>2.84</v>
      </c>
      <c r="I16" s="28">
        <f>'Water Reading'!H18</f>
        <v>1201</v>
      </c>
      <c r="J16" s="30">
        <f>'Water Reading'!I18/'Water Reading'!H18</f>
        <v>1.35</v>
      </c>
      <c r="K16" s="28"/>
      <c r="L16" s="28"/>
    </row>
    <row r="17" spans="1:12" ht="15" x14ac:dyDescent="0.25">
      <c r="A17" s="25" t="s">
        <v>11</v>
      </c>
      <c r="B17" s="26">
        <f t="shared" si="0"/>
        <v>16</v>
      </c>
      <c r="C17" s="27">
        <v>9</v>
      </c>
      <c r="D17" s="26">
        <v>2021</v>
      </c>
      <c r="E17" s="28">
        <f>'B16'!I19+'B16 ext'!I19+'B17'!I19</f>
        <v>14122</v>
      </c>
      <c r="F17" s="30">
        <f>('B16'!J19+'B16 ext'!J19+'B17'!J19)/TOTAL!E17</f>
        <v>0.24870747769437757</v>
      </c>
      <c r="G17" s="28">
        <f>'Diesel Reading Sept'!H19</f>
        <v>105.10000000009313</v>
      </c>
      <c r="H17" s="29">
        <f>'Diesel Reading Sept'!I19/'Diesel Reading Sept'!H19</f>
        <v>2.84</v>
      </c>
      <c r="I17" s="28">
        <f>'Water Reading'!H19</f>
        <v>1203</v>
      </c>
      <c r="J17" s="30">
        <f>'Water Reading'!I19/'Water Reading'!H19</f>
        <v>1.35</v>
      </c>
      <c r="K17" s="28"/>
      <c r="L17" s="28"/>
    </row>
    <row r="18" spans="1:12" ht="15" x14ac:dyDescent="0.25">
      <c r="A18" s="25" t="s">
        <v>11</v>
      </c>
      <c r="B18" s="26">
        <f t="shared" si="0"/>
        <v>17</v>
      </c>
      <c r="C18" s="27">
        <v>9</v>
      </c>
      <c r="D18" s="26">
        <v>2021</v>
      </c>
      <c r="E18" s="28">
        <f>'B16'!I20+'B16 ext'!I20+'B17'!I20</f>
        <v>14124</v>
      </c>
      <c r="F18" s="30">
        <f>('B16'!J20+'B16 ext'!J20+'B17'!J20)/TOTAL!E18</f>
        <v>0.25026911639762106</v>
      </c>
      <c r="G18" s="28">
        <f>'Diesel Reading Sept'!H20</f>
        <v>0</v>
      </c>
      <c r="H18" s="29" t="e">
        <f>'Diesel Reading Sept'!I20/'Diesel Reading Sept'!H20</f>
        <v>#DIV/0!</v>
      </c>
      <c r="I18" s="28">
        <f>'Water Reading'!H20</f>
        <v>1241</v>
      </c>
      <c r="J18" s="30">
        <f>'Water Reading'!I20/'Water Reading'!H20</f>
        <v>1.35</v>
      </c>
      <c r="K18" s="28"/>
      <c r="L18" s="28"/>
    </row>
    <row r="19" spans="1:12" ht="15" x14ac:dyDescent="0.25">
      <c r="A19" s="25" t="s">
        <v>11</v>
      </c>
      <c r="B19" s="26">
        <f t="shared" si="0"/>
        <v>18</v>
      </c>
      <c r="C19" s="27">
        <v>9</v>
      </c>
      <c r="D19" s="26">
        <v>2021</v>
      </c>
      <c r="E19" s="28">
        <f>'B16'!I21+'B16 ext'!I21+'B17'!I21</f>
        <v>15302</v>
      </c>
      <c r="F19" s="30">
        <f>('B16'!J21+'B16 ext'!J21+'B17'!J21)/TOTAL!E19</f>
        <v>0.25051882106914125</v>
      </c>
      <c r="G19" s="28">
        <f>'Diesel Reading Sept'!H21</f>
        <v>386.10000000009313</v>
      </c>
      <c r="H19" s="29">
        <f>'Diesel Reading Sept'!I21/'Diesel Reading Sept'!H21</f>
        <v>2.8400000000000003</v>
      </c>
      <c r="I19" s="28">
        <f>'Water Reading'!H21</f>
        <v>1231</v>
      </c>
      <c r="J19" s="30">
        <f>'Water Reading'!I21/'Water Reading'!H21</f>
        <v>1.35</v>
      </c>
      <c r="K19" s="28"/>
      <c r="L19" s="28"/>
    </row>
    <row r="20" spans="1:12" ht="15" x14ac:dyDescent="0.25">
      <c r="A20" s="25" t="s">
        <v>11</v>
      </c>
      <c r="B20" s="26">
        <f t="shared" si="0"/>
        <v>19</v>
      </c>
      <c r="C20" s="27">
        <v>9</v>
      </c>
      <c r="D20" s="26">
        <v>2021</v>
      </c>
      <c r="E20" s="28">
        <f>'B16'!I22+'B16 ext'!I22+'B17'!I22</f>
        <v>28242</v>
      </c>
      <c r="F20" s="30">
        <f>('B16'!J22+'B16 ext'!J22+'B17'!J22)/TOTAL!E20</f>
        <v>0.24866932228595706</v>
      </c>
      <c r="G20" s="28">
        <f>'Diesel Reading Sept'!H22</f>
        <v>321</v>
      </c>
      <c r="H20" s="29">
        <f>'Diesel Reading Sept'!I22/'Diesel Reading Sept'!H22</f>
        <v>2.84</v>
      </c>
      <c r="I20" s="28">
        <f>'Water Reading'!H22</f>
        <v>2569</v>
      </c>
      <c r="J20" s="30">
        <f>'Water Reading'!I22/'Water Reading'!H22</f>
        <v>1.3500000000000003</v>
      </c>
      <c r="K20" s="28"/>
      <c r="L20" s="28"/>
    </row>
    <row r="21" spans="1:12" ht="15" x14ac:dyDescent="0.25">
      <c r="A21" s="25" t="s">
        <v>11</v>
      </c>
      <c r="B21" s="26">
        <f t="shared" si="0"/>
        <v>20</v>
      </c>
      <c r="C21" s="27">
        <v>9</v>
      </c>
      <c r="D21" s="26">
        <v>2021</v>
      </c>
      <c r="E21" s="28">
        <f>'B16'!I23+'B16 ext'!I23+'B17'!I23</f>
        <v>32724</v>
      </c>
      <c r="F21" s="30">
        <f>('B16'!J23+'B16 ext'!J23+'B17'!J23)/TOTAL!E21</f>
        <v>0.2711315548221489</v>
      </c>
      <c r="G21" s="28">
        <f>'Diesel Reading Sept'!H23</f>
        <v>394.19999999995343</v>
      </c>
      <c r="H21" s="29">
        <f>'Diesel Reading Sept'!I23/'Diesel Reading Sept'!H23</f>
        <v>2.84</v>
      </c>
      <c r="I21" s="28">
        <f>'Water Reading'!H23</f>
        <v>1284</v>
      </c>
      <c r="J21" s="30">
        <f>'Water Reading'!I23/'Water Reading'!H23</f>
        <v>1.35</v>
      </c>
      <c r="K21" s="28"/>
      <c r="L21" s="28"/>
    </row>
    <row r="22" spans="1:12" ht="15" x14ac:dyDescent="0.25">
      <c r="A22" s="25" t="s">
        <v>11</v>
      </c>
      <c r="B22" s="26">
        <f t="shared" si="0"/>
        <v>21</v>
      </c>
      <c r="C22" s="27">
        <v>9</v>
      </c>
      <c r="D22" s="26">
        <v>2021</v>
      </c>
      <c r="E22" s="28">
        <f>'B16'!I24+'B16 ext'!I24+'B17'!I24</f>
        <v>15577</v>
      </c>
      <c r="F22" s="30">
        <f>('B16'!J24+'B16 ext'!J24+'B17'!J24)/TOTAL!E22</f>
        <v>0.24732541567695959</v>
      </c>
      <c r="G22" s="28">
        <f>'Diesel Reading Sept'!H24</f>
        <v>0</v>
      </c>
      <c r="H22" s="29" t="e">
        <f>'Diesel Reading Sept'!I24/'Diesel Reading Sept'!H24</f>
        <v>#DIV/0!</v>
      </c>
      <c r="I22" s="28">
        <f>'Water Reading'!H24</f>
        <v>1473</v>
      </c>
      <c r="J22" s="30">
        <f>'Water Reading'!I24/'Water Reading'!H24</f>
        <v>1.35</v>
      </c>
      <c r="K22" s="28"/>
      <c r="L22" s="28"/>
    </row>
    <row r="23" spans="1:12" ht="15" x14ac:dyDescent="0.25">
      <c r="A23" s="25" t="s">
        <v>11</v>
      </c>
      <c r="B23" s="26">
        <f t="shared" si="0"/>
        <v>22</v>
      </c>
      <c r="C23" s="27">
        <v>9</v>
      </c>
      <c r="D23" s="26">
        <v>2021</v>
      </c>
      <c r="E23" s="28">
        <f>'B16'!I25+'B16 ext'!I25+'B17'!I25</f>
        <v>15528</v>
      </c>
      <c r="F23" s="30">
        <f>('B16'!J25+'B16 ext'!J25+'B17'!J25)/TOTAL!E23</f>
        <v>0.24934157650695515</v>
      </c>
      <c r="G23" s="28">
        <f>'Diesel Reading Sept'!H25</f>
        <v>275.4000000001397</v>
      </c>
      <c r="H23" s="29">
        <f>'Diesel Reading Sept'!I25/'Diesel Reading Sept'!H25</f>
        <v>2.84</v>
      </c>
      <c r="I23" s="28">
        <f>'Water Reading'!H25</f>
        <v>1333</v>
      </c>
      <c r="J23" s="30">
        <f>'Water Reading'!I25/'Water Reading'!H25</f>
        <v>1.35</v>
      </c>
      <c r="K23" s="28"/>
      <c r="L23" s="28"/>
    </row>
    <row r="24" spans="1:12" ht="15" x14ac:dyDescent="0.25">
      <c r="A24" s="25" t="s">
        <v>11</v>
      </c>
      <c r="B24" s="26">
        <f t="shared" si="0"/>
        <v>23</v>
      </c>
      <c r="C24" s="27">
        <v>9</v>
      </c>
      <c r="D24" s="26">
        <v>2021</v>
      </c>
      <c r="E24" s="28">
        <f>'B16'!I26+'B16 ext'!I26+'B17'!I26</f>
        <v>16643</v>
      </c>
      <c r="F24" s="30">
        <f>('B16'!J26+'B16 ext'!J26+'B17'!J26)/TOTAL!E24</f>
        <v>0.24789647299164813</v>
      </c>
      <c r="G24" s="28">
        <f>'Diesel Reading Sept'!H26</f>
        <v>298.29999999981374</v>
      </c>
      <c r="H24" s="29">
        <f>'Diesel Reading Sept'!I26/'Diesel Reading Sept'!H26</f>
        <v>2.84</v>
      </c>
      <c r="I24" s="28">
        <f>'Water Reading'!H26</f>
        <v>1477</v>
      </c>
      <c r="J24" s="30">
        <f>'Water Reading'!I26/'Water Reading'!H26</f>
        <v>1.35</v>
      </c>
      <c r="K24" s="28"/>
      <c r="L24" s="28"/>
    </row>
    <row r="25" spans="1:12" ht="15" x14ac:dyDescent="0.25">
      <c r="A25" s="25" t="s">
        <v>11</v>
      </c>
      <c r="B25" s="26">
        <f t="shared" si="0"/>
        <v>24</v>
      </c>
      <c r="C25" s="27">
        <v>9</v>
      </c>
      <c r="D25" s="26">
        <v>2021</v>
      </c>
      <c r="E25" s="28">
        <f>'B16'!I27+'B16 ext'!I27+'B17'!I27</f>
        <v>15783</v>
      </c>
      <c r="F25" s="30">
        <f>('B16'!J27+'B16 ext'!J27+'B17'!J27)/TOTAL!E25</f>
        <v>0.24804618893746433</v>
      </c>
      <c r="G25" s="28">
        <f>'Diesel Reading Sept'!H27</f>
        <v>0</v>
      </c>
      <c r="H25" s="29" t="e">
        <f>'Diesel Reading Sept'!I27/'Diesel Reading Sept'!H27</f>
        <v>#DIV/0!</v>
      </c>
      <c r="I25" s="28">
        <f>'Water Reading'!H27</f>
        <v>1449</v>
      </c>
      <c r="J25" s="30">
        <f>'Water Reading'!I27/'Water Reading'!H27</f>
        <v>1.35</v>
      </c>
      <c r="K25" s="28"/>
      <c r="L25" s="28"/>
    </row>
    <row r="26" spans="1:12" ht="15" x14ac:dyDescent="0.25">
      <c r="A26" s="25" t="s">
        <v>11</v>
      </c>
      <c r="B26" s="26">
        <f>B25+1</f>
        <v>25</v>
      </c>
      <c r="C26" s="27">
        <v>9</v>
      </c>
      <c r="D26" s="26">
        <v>2021</v>
      </c>
      <c r="E26" s="28">
        <f>'B16'!I28+'B16 ext'!I28+'B17'!I28</f>
        <v>15237</v>
      </c>
      <c r="F26" s="30">
        <f>('B16'!J28+'B16 ext'!J28+'B17'!J28)/TOTAL!E26</f>
        <v>0.24958672967119511</v>
      </c>
      <c r="G26" s="28">
        <f>'Diesel Reading Sept'!H28</f>
        <v>392.5</v>
      </c>
      <c r="H26" s="29">
        <f>'Diesel Reading Sept'!I28/'Diesel Reading Sept'!H28</f>
        <v>2.8400000000000003</v>
      </c>
      <c r="I26" s="28">
        <f>'Water Reading'!H28</f>
        <v>1377</v>
      </c>
      <c r="J26" s="30">
        <f>'Water Reading'!I28/'Water Reading'!H28</f>
        <v>1.35</v>
      </c>
      <c r="K26" s="28"/>
      <c r="L26" s="28"/>
    </row>
    <row r="27" spans="1:12" ht="15" x14ac:dyDescent="0.25">
      <c r="A27" s="25" t="s">
        <v>11</v>
      </c>
      <c r="B27" s="26">
        <f t="shared" si="0"/>
        <v>26</v>
      </c>
      <c r="C27" s="27">
        <v>9</v>
      </c>
      <c r="D27" s="26">
        <v>2021</v>
      </c>
      <c r="E27" s="28">
        <f>'B16'!I29+'B16 ext'!I29+'B17'!I29</f>
        <v>15906</v>
      </c>
      <c r="F27" s="30">
        <f>('B16'!J29+'B16 ext'!J29+'B17'!J29)/TOTAL!E27</f>
        <v>0.24774801961523951</v>
      </c>
      <c r="G27" s="28">
        <f>'Diesel Reading Sept'!H29</f>
        <v>406.70000000018626</v>
      </c>
      <c r="H27" s="29">
        <f>'Diesel Reading Sept'!I29/'Diesel Reading Sept'!H29</f>
        <v>2.84</v>
      </c>
      <c r="I27" s="28">
        <f>'Water Reading'!H29</f>
        <v>1411</v>
      </c>
      <c r="J27" s="30">
        <f>'Water Reading'!I29/'Water Reading'!H29</f>
        <v>1.35</v>
      </c>
      <c r="K27" s="28"/>
      <c r="L27" s="28"/>
    </row>
    <row r="28" spans="1:12" ht="15" x14ac:dyDescent="0.25">
      <c r="A28" s="25" t="s">
        <v>11</v>
      </c>
      <c r="B28" s="26">
        <f t="shared" si="0"/>
        <v>27</v>
      </c>
      <c r="C28" s="27">
        <v>9</v>
      </c>
      <c r="D28" s="26">
        <v>2021</v>
      </c>
      <c r="E28" s="28">
        <f>'B16'!I30+'B16 ext'!I30+'B17'!I30</f>
        <v>17040</v>
      </c>
      <c r="F28" s="30">
        <f>('B16'!J30+'B16 ext'!J30+'B17'!J30)/TOTAL!E28</f>
        <v>0.24659647887323943</v>
      </c>
      <c r="G28" s="28">
        <f>'Diesel Reading Sept'!H30</f>
        <v>351.29999999981374</v>
      </c>
      <c r="H28" s="29">
        <f>'Diesel Reading Sept'!I30/'Diesel Reading Sept'!H30</f>
        <v>2.84</v>
      </c>
      <c r="I28" s="28">
        <f>'Water Reading'!H30</f>
        <v>1351</v>
      </c>
      <c r="J28" s="30">
        <f>'Water Reading'!I30/'Water Reading'!H30</f>
        <v>1.35</v>
      </c>
      <c r="K28" s="28"/>
      <c r="L28" s="28"/>
    </row>
    <row r="29" spans="1:12" ht="15" x14ac:dyDescent="0.25">
      <c r="A29" s="25" t="s">
        <v>11</v>
      </c>
      <c r="B29" s="26">
        <f t="shared" si="0"/>
        <v>28</v>
      </c>
      <c r="C29" s="27">
        <v>9</v>
      </c>
      <c r="D29" s="26">
        <v>2021</v>
      </c>
      <c r="E29" s="28">
        <f>'B16'!I31+'B16 ext'!I31+'B17'!I31</f>
        <v>16885</v>
      </c>
      <c r="F29" s="30">
        <f>('B16'!J31+'B16 ext'!J31+'B17'!J31)/TOTAL!E29</f>
        <v>0.24849754219721643</v>
      </c>
      <c r="G29" s="28">
        <f>'Diesel Reading Sept'!H31</f>
        <v>0</v>
      </c>
      <c r="H29" s="29" t="e">
        <f>'Diesel Reading Sept'!I31/'Diesel Reading Sept'!H31</f>
        <v>#DIV/0!</v>
      </c>
      <c r="I29" s="28">
        <f>'Water Reading'!H31</f>
        <v>1422</v>
      </c>
      <c r="J29" s="30">
        <f>'Water Reading'!I31/'Water Reading'!H31</f>
        <v>1.35</v>
      </c>
      <c r="K29" s="28"/>
      <c r="L29" s="28"/>
    </row>
    <row r="30" spans="1:12" ht="15" x14ac:dyDescent="0.25">
      <c r="A30" s="25" t="s">
        <v>11</v>
      </c>
      <c r="B30" s="26">
        <f t="shared" si="0"/>
        <v>29</v>
      </c>
      <c r="C30" s="27">
        <v>9</v>
      </c>
      <c r="D30" s="26">
        <v>2021</v>
      </c>
      <c r="E30" s="28">
        <v>17040</v>
      </c>
      <c r="F30" s="30">
        <v>0.24659647887323943</v>
      </c>
      <c r="G30" s="28">
        <f>'Diesel Reading Sept'!H32</f>
        <v>407.20000000018626</v>
      </c>
      <c r="H30" s="29">
        <f>'Diesel Reading Sept'!I32/'Diesel Reading Sept'!H32</f>
        <v>2.84</v>
      </c>
      <c r="I30" s="28">
        <f>'Water Reading'!H32</f>
        <v>1443</v>
      </c>
      <c r="J30" s="30">
        <f>'Water Reading'!I32/'Water Reading'!H32</f>
        <v>1.35</v>
      </c>
      <c r="K30" s="28"/>
      <c r="L30" s="28"/>
    </row>
    <row r="31" spans="1:12" ht="15" x14ac:dyDescent="0.25">
      <c r="A31" s="25" t="s">
        <v>11</v>
      </c>
      <c r="B31" s="26">
        <f t="shared" si="0"/>
        <v>30</v>
      </c>
      <c r="C31" s="27">
        <v>9</v>
      </c>
      <c r="D31" s="26">
        <v>2021</v>
      </c>
      <c r="E31" s="28">
        <v>16885</v>
      </c>
      <c r="F31" s="30">
        <v>0.24849754219721643</v>
      </c>
      <c r="G31" s="28">
        <f>'Diesel Reading Sept'!H33</f>
        <v>359.19999999995343</v>
      </c>
      <c r="H31" s="29">
        <f>'Diesel Reading Sept'!I33/'Diesel Reading Sept'!H33</f>
        <v>2.84</v>
      </c>
      <c r="I31" s="28">
        <v>1443</v>
      </c>
      <c r="J31" s="30">
        <v>1.35</v>
      </c>
      <c r="K31" s="28"/>
      <c r="L31" s="28"/>
    </row>
    <row r="32" spans="1:12" ht="15" x14ac:dyDescent="0.25">
      <c r="A32" s="25" t="s">
        <v>11</v>
      </c>
      <c r="B32" s="26">
        <f t="shared" si="0"/>
        <v>31</v>
      </c>
      <c r="C32" s="27">
        <v>9</v>
      </c>
      <c r="D32" s="26">
        <v>2021</v>
      </c>
      <c r="E32" s="28">
        <f>'B16'!I34+'B16 ext'!I34+'B17'!I34</f>
        <v>0</v>
      </c>
      <c r="F32" s="30" t="e">
        <f>('B16'!J34+'B16 ext'!J34+'B17'!J34)/TOTAL!E32</f>
        <v>#DIV/0!</v>
      </c>
      <c r="G32" s="28">
        <f>'Diesel Reading Sept'!H34</f>
        <v>0</v>
      </c>
      <c r="H32" s="29" t="e">
        <f>'Diesel Reading Sept'!I34/'Diesel Reading Sept'!H34</f>
        <v>#DIV/0!</v>
      </c>
      <c r="I32" s="28">
        <f>'Water Reading'!H34</f>
        <v>0</v>
      </c>
      <c r="J32" s="30" t="e">
        <f>'Water Reading'!I34/'Water Reading'!H34</f>
        <v>#DIV/0!</v>
      </c>
      <c r="K32" s="28"/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selection activeCell="D1" sqref="D1:F1"/>
    </sheetView>
  </sheetViews>
  <sheetFormatPr defaultRowHeight="12.75" x14ac:dyDescent="0.2"/>
  <cols>
    <col min="1" max="1" width="14" style="61" customWidth="1"/>
    <col min="2" max="2" width="20.28515625" style="32" bestFit="1" customWidth="1"/>
    <col min="3" max="3" width="18.85546875" style="32" bestFit="1" customWidth="1"/>
    <col min="4" max="4" width="20.28515625" style="32" bestFit="1" customWidth="1"/>
    <col min="5" max="5" width="18.85546875" style="32" customWidth="1"/>
    <col min="6" max="6" width="14.7109375" style="32" customWidth="1"/>
    <col min="7" max="7" width="11.28515625" style="24" customWidth="1"/>
    <col min="8" max="8" width="11.7109375" style="24" customWidth="1"/>
    <col min="9" max="9" width="19.140625" style="32" bestFit="1" customWidth="1"/>
    <col min="10" max="10" width="10.140625" style="14" bestFit="1" customWidth="1"/>
    <col min="11" max="256" width="9.140625" style="24"/>
    <col min="257" max="257" width="14" style="24" customWidth="1"/>
    <col min="258" max="258" width="20.28515625" style="24" bestFit="1" customWidth="1"/>
    <col min="259" max="259" width="18.85546875" style="24" bestFit="1" customWidth="1"/>
    <col min="260" max="260" width="20.28515625" style="24" bestFit="1" customWidth="1"/>
    <col min="261" max="261" width="18.85546875" style="24" customWidth="1"/>
    <col min="262" max="262" width="14.7109375" style="24" customWidth="1"/>
    <col min="263" max="263" width="11.28515625" style="24" customWidth="1"/>
    <col min="264" max="264" width="11.7109375" style="24" customWidth="1"/>
    <col min="265" max="265" width="19.140625" style="24" bestFit="1" customWidth="1"/>
    <col min="266" max="266" width="10.140625" style="24" bestFit="1" customWidth="1"/>
    <col min="267" max="512" width="9.140625" style="24"/>
    <col min="513" max="513" width="14" style="24" customWidth="1"/>
    <col min="514" max="514" width="20.28515625" style="24" bestFit="1" customWidth="1"/>
    <col min="515" max="515" width="18.85546875" style="24" bestFit="1" customWidth="1"/>
    <col min="516" max="516" width="20.28515625" style="24" bestFit="1" customWidth="1"/>
    <col min="517" max="517" width="18.85546875" style="24" customWidth="1"/>
    <col min="518" max="518" width="14.7109375" style="24" customWidth="1"/>
    <col min="519" max="519" width="11.28515625" style="24" customWidth="1"/>
    <col min="520" max="520" width="11.7109375" style="24" customWidth="1"/>
    <col min="521" max="521" width="19.140625" style="24" bestFit="1" customWidth="1"/>
    <col min="522" max="522" width="10.140625" style="24" bestFit="1" customWidth="1"/>
    <col min="523" max="768" width="9.140625" style="24"/>
    <col min="769" max="769" width="14" style="24" customWidth="1"/>
    <col min="770" max="770" width="20.28515625" style="24" bestFit="1" customWidth="1"/>
    <col min="771" max="771" width="18.85546875" style="24" bestFit="1" customWidth="1"/>
    <col min="772" max="772" width="20.28515625" style="24" bestFit="1" customWidth="1"/>
    <col min="773" max="773" width="18.85546875" style="24" customWidth="1"/>
    <col min="774" max="774" width="14.7109375" style="24" customWidth="1"/>
    <col min="775" max="775" width="11.28515625" style="24" customWidth="1"/>
    <col min="776" max="776" width="11.7109375" style="24" customWidth="1"/>
    <col min="777" max="777" width="19.140625" style="24" bestFit="1" customWidth="1"/>
    <col min="778" max="778" width="10.140625" style="24" bestFit="1" customWidth="1"/>
    <col min="779" max="1024" width="9.140625" style="24"/>
    <col min="1025" max="1025" width="14" style="24" customWidth="1"/>
    <col min="1026" max="1026" width="20.28515625" style="24" bestFit="1" customWidth="1"/>
    <col min="1027" max="1027" width="18.85546875" style="24" bestFit="1" customWidth="1"/>
    <col min="1028" max="1028" width="20.28515625" style="24" bestFit="1" customWidth="1"/>
    <col min="1029" max="1029" width="18.85546875" style="24" customWidth="1"/>
    <col min="1030" max="1030" width="14.7109375" style="24" customWidth="1"/>
    <col min="1031" max="1031" width="11.28515625" style="24" customWidth="1"/>
    <col min="1032" max="1032" width="11.7109375" style="24" customWidth="1"/>
    <col min="1033" max="1033" width="19.140625" style="24" bestFit="1" customWidth="1"/>
    <col min="1034" max="1034" width="10.140625" style="24" bestFit="1" customWidth="1"/>
    <col min="1035" max="1280" width="9.140625" style="24"/>
    <col min="1281" max="1281" width="14" style="24" customWidth="1"/>
    <col min="1282" max="1282" width="20.28515625" style="24" bestFit="1" customWidth="1"/>
    <col min="1283" max="1283" width="18.85546875" style="24" bestFit="1" customWidth="1"/>
    <col min="1284" max="1284" width="20.28515625" style="24" bestFit="1" customWidth="1"/>
    <col min="1285" max="1285" width="18.85546875" style="24" customWidth="1"/>
    <col min="1286" max="1286" width="14.7109375" style="24" customWidth="1"/>
    <col min="1287" max="1287" width="11.28515625" style="24" customWidth="1"/>
    <col min="1288" max="1288" width="11.7109375" style="24" customWidth="1"/>
    <col min="1289" max="1289" width="19.140625" style="24" bestFit="1" customWidth="1"/>
    <col min="1290" max="1290" width="10.140625" style="24" bestFit="1" customWidth="1"/>
    <col min="1291" max="1536" width="9.140625" style="24"/>
    <col min="1537" max="1537" width="14" style="24" customWidth="1"/>
    <col min="1538" max="1538" width="20.28515625" style="24" bestFit="1" customWidth="1"/>
    <col min="1539" max="1539" width="18.85546875" style="24" bestFit="1" customWidth="1"/>
    <col min="1540" max="1540" width="20.28515625" style="24" bestFit="1" customWidth="1"/>
    <col min="1541" max="1541" width="18.85546875" style="24" customWidth="1"/>
    <col min="1542" max="1542" width="14.7109375" style="24" customWidth="1"/>
    <col min="1543" max="1543" width="11.28515625" style="24" customWidth="1"/>
    <col min="1544" max="1544" width="11.7109375" style="24" customWidth="1"/>
    <col min="1545" max="1545" width="19.140625" style="24" bestFit="1" customWidth="1"/>
    <col min="1546" max="1546" width="10.140625" style="24" bestFit="1" customWidth="1"/>
    <col min="1547" max="1792" width="9.140625" style="24"/>
    <col min="1793" max="1793" width="14" style="24" customWidth="1"/>
    <col min="1794" max="1794" width="20.28515625" style="24" bestFit="1" customWidth="1"/>
    <col min="1795" max="1795" width="18.85546875" style="24" bestFit="1" customWidth="1"/>
    <col min="1796" max="1796" width="20.28515625" style="24" bestFit="1" customWidth="1"/>
    <col min="1797" max="1797" width="18.85546875" style="24" customWidth="1"/>
    <col min="1798" max="1798" width="14.7109375" style="24" customWidth="1"/>
    <col min="1799" max="1799" width="11.28515625" style="24" customWidth="1"/>
    <col min="1800" max="1800" width="11.7109375" style="24" customWidth="1"/>
    <col min="1801" max="1801" width="19.140625" style="24" bestFit="1" customWidth="1"/>
    <col min="1802" max="1802" width="10.140625" style="24" bestFit="1" customWidth="1"/>
    <col min="1803" max="2048" width="9.140625" style="24"/>
    <col min="2049" max="2049" width="14" style="24" customWidth="1"/>
    <col min="2050" max="2050" width="20.28515625" style="24" bestFit="1" customWidth="1"/>
    <col min="2051" max="2051" width="18.85546875" style="24" bestFit="1" customWidth="1"/>
    <col min="2052" max="2052" width="20.28515625" style="24" bestFit="1" customWidth="1"/>
    <col min="2053" max="2053" width="18.85546875" style="24" customWidth="1"/>
    <col min="2054" max="2054" width="14.7109375" style="24" customWidth="1"/>
    <col min="2055" max="2055" width="11.28515625" style="24" customWidth="1"/>
    <col min="2056" max="2056" width="11.7109375" style="24" customWidth="1"/>
    <col min="2057" max="2057" width="19.140625" style="24" bestFit="1" customWidth="1"/>
    <col min="2058" max="2058" width="10.140625" style="24" bestFit="1" customWidth="1"/>
    <col min="2059" max="2304" width="9.140625" style="24"/>
    <col min="2305" max="2305" width="14" style="24" customWidth="1"/>
    <col min="2306" max="2306" width="20.28515625" style="24" bestFit="1" customWidth="1"/>
    <col min="2307" max="2307" width="18.85546875" style="24" bestFit="1" customWidth="1"/>
    <col min="2308" max="2308" width="20.28515625" style="24" bestFit="1" customWidth="1"/>
    <col min="2309" max="2309" width="18.85546875" style="24" customWidth="1"/>
    <col min="2310" max="2310" width="14.7109375" style="24" customWidth="1"/>
    <col min="2311" max="2311" width="11.28515625" style="24" customWidth="1"/>
    <col min="2312" max="2312" width="11.7109375" style="24" customWidth="1"/>
    <col min="2313" max="2313" width="19.140625" style="24" bestFit="1" customWidth="1"/>
    <col min="2314" max="2314" width="10.140625" style="24" bestFit="1" customWidth="1"/>
    <col min="2315" max="2560" width="9.140625" style="24"/>
    <col min="2561" max="2561" width="14" style="24" customWidth="1"/>
    <col min="2562" max="2562" width="20.28515625" style="24" bestFit="1" customWidth="1"/>
    <col min="2563" max="2563" width="18.85546875" style="24" bestFit="1" customWidth="1"/>
    <col min="2564" max="2564" width="20.28515625" style="24" bestFit="1" customWidth="1"/>
    <col min="2565" max="2565" width="18.85546875" style="24" customWidth="1"/>
    <col min="2566" max="2566" width="14.7109375" style="24" customWidth="1"/>
    <col min="2567" max="2567" width="11.28515625" style="24" customWidth="1"/>
    <col min="2568" max="2568" width="11.7109375" style="24" customWidth="1"/>
    <col min="2569" max="2569" width="19.140625" style="24" bestFit="1" customWidth="1"/>
    <col min="2570" max="2570" width="10.140625" style="24" bestFit="1" customWidth="1"/>
    <col min="2571" max="2816" width="9.140625" style="24"/>
    <col min="2817" max="2817" width="14" style="24" customWidth="1"/>
    <col min="2818" max="2818" width="20.28515625" style="24" bestFit="1" customWidth="1"/>
    <col min="2819" max="2819" width="18.85546875" style="24" bestFit="1" customWidth="1"/>
    <col min="2820" max="2820" width="20.28515625" style="24" bestFit="1" customWidth="1"/>
    <col min="2821" max="2821" width="18.85546875" style="24" customWidth="1"/>
    <col min="2822" max="2822" width="14.7109375" style="24" customWidth="1"/>
    <col min="2823" max="2823" width="11.28515625" style="24" customWidth="1"/>
    <col min="2824" max="2824" width="11.7109375" style="24" customWidth="1"/>
    <col min="2825" max="2825" width="19.140625" style="24" bestFit="1" customWidth="1"/>
    <col min="2826" max="2826" width="10.140625" style="24" bestFit="1" customWidth="1"/>
    <col min="2827" max="3072" width="9.140625" style="24"/>
    <col min="3073" max="3073" width="14" style="24" customWidth="1"/>
    <col min="3074" max="3074" width="20.28515625" style="24" bestFit="1" customWidth="1"/>
    <col min="3075" max="3075" width="18.85546875" style="24" bestFit="1" customWidth="1"/>
    <col min="3076" max="3076" width="20.28515625" style="24" bestFit="1" customWidth="1"/>
    <col min="3077" max="3077" width="18.85546875" style="24" customWidth="1"/>
    <col min="3078" max="3078" width="14.7109375" style="24" customWidth="1"/>
    <col min="3079" max="3079" width="11.28515625" style="24" customWidth="1"/>
    <col min="3080" max="3080" width="11.7109375" style="24" customWidth="1"/>
    <col min="3081" max="3081" width="19.140625" style="24" bestFit="1" customWidth="1"/>
    <col min="3082" max="3082" width="10.140625" style="24" bestFit="1" customWidth="1"/>
    <col min="3083" max="3328" width="9.140625" style="24"/>
    <col min="3329" max="3329" width="14" style="24" customWidth="1"/>
    <col min="3330" max="3330" width="20.28515625" style="24" bestFit="1" customWidth="1"/>
    <col min="3331" max="3331" width="18.85546875" style="24" bestFit="1" customWidth="1"/>
    <col min="3332" max="3332" width="20.28515625" style="24" bestFit="1" customWidth="1"/>
    <col min="3333" max="3333" width="18.85546875" style="24" customWidth="1"/>
    <col min="3334" max="3334" width="14.7109375" style="24" customWidth="1"/>
    <col min="3335" max="3335" width="11.28515625" style="24" customWidth="1"/>
    <col min="3336" max="3336" width="11.7109375" style="24" customWidth="1"/>
    <col min="3337" max="3337" width="19.140625" style="24" bestFit="1" customWidth="1"/>
    <col min="3338" max="3338" width="10.140625" style="24" bestFit="1" customWidth="1"/>
    <col min="3339" max="3584" width="9.140625" style="24"/>
    <col min="3585" max="3585" width="14" style="24" customWidth="1"/>
    <col min="3586" max="3586" width="20.28515625" style="24" bestFit="1" customWidth="1"/>
    <col min="3587" max="3587" width="18.85546875" style="24" bestFit="1" customWidth="1"/>
    <col min="3588" max="3588" width="20.28515625" style="24" bestFit="1" customWidth="1"/>
    <col min="3589" max="3589" width="18.85546875" style="24" customWidth="1"/>
    <col min="3590" max="3590" width="14.7109375" style="24" customWidth="1"/>
    <col min="3591" max="3591" width="11.28515625" style="24" customWidth="1"/>
    <col min="3592" max="3592" width="11.7109375" style="24" customWidth="1"/>
    <col min="3593" max="3593" width="19.140625" style="24" bestFit="1" customWidth="1"/>
    <col min="3594" max="3594" width="10.140625" style="24" bestFit="1" customWidth="1"/>
    <col min="3595" max="3840" width="9.140625" style="24"/>
    <col min="3841" max="3841" width="14" style="24" customWidth="1"/>
    <col min="3842" max="3842" width="20.28515625" style="24" bestFit="1" customWidth="1"/>
    <col min="3843" max="3843" width="18.85546875" style="24" bestFit="1" customWidth="1"/>
    <col min="3844" max="3844" width="20.28515625" style="24" bestFit="1" customWidth="1"/>
    <col min="3845" max="3845" width="18.85546875" style="24" customWidth="1"/>
    <col min="3846" max="3846" width="14.7109375" style="24" customWidth="1"/>
    <col min="3847" max="3847" width="11.28515625" style="24" customWidth="1"/>
    <col min="3848" max="3848" width="11.7109375" style="24" customWidth="1"/>
    <col min="3849" max="3849" width="19.140625" style="24" bestFit="1" customWidth="1"/>
    <col min="3850" max="3850" width="10.140625" style="24" bestFit="1" customWidth="1"/>
    <col min="3851" max="4096" width="9.140625" style="24"/>
    <col min="4097" max="4097" width="14" style="24" customWidth="1"/>
    <col min="4098" max="4098" width="20.28515625" style="24" bestFit="1" customWidth="1"/>
    <col min="4099" max="4099" width="18.85546875" style="24" bestFit="1" customWidth="1"/>
    <col min="4100" max="4100" width="20.28515625" style="24" bestFit="1" customWidth="1"/>
    <col min="4101" max="4101" width="18.85546875" style="24" customWidth="1"/>
    <col min="4102" max="4102" width="14.7109375" style="24" customWidth="1"/>
    <col min="4103" max="4103" width="11.28515625" style="24" customWidth="1"/>
    <col min="4104" max="4104" width="11.7109375" style="24" customWidth="1"/>
    <col min="4105" max="4105" width="19.140625" style="24" bestFit="1" customWidth="1"/>
    <col min="4106" max="4106" width="10.140625" style="24" bestFit="1" customWidth="1"/>
    <col min="4107" max="4352" width="9.140625" style="24"/>
    <col min="4353" max="4353" width="14" style="24" customWidth="1"/>
    <col min="4354" max="4354" width="20.28515625" style="24" bestFit="1" customWidth="1"/>
    <col min="4355" max="4355" width="18.85546875" style="24" bestFit="1" customWidth="1"/>
    <col min="4356" max="4356" width="20.28515625" style="24" bestFit="1" customWidth="1"/>
    <col min="4357" max="4357" width="18.85546875" style="24" customWidth="1"/>
    <col min="4358" max="4358" width="14.7109375" style="24" customWidth="1"/>
    <col min="4359" max="4359" width="11.28515625" style="24" customWidth="1"/>
    <col min="4360" max="4360" width="11.7109375" style="24" customWidth="1"/>
    <col min="4361" max="4361" width="19.140625" style="24" bestFit="1" customWidth="1"/>
    <col min="4362" max="4362" width="10.140625" style="24" bestFit="1" customWidth="1"/>
    <col min="4363" max="4608" width="9.140625" style="24"/>
    <col min="4609" max="4609" width="14" style="24" customWidth="1"/>
    <col min="4610" max="4610" width="20.28515625" style="24" bestFit="1" customWidth="1"/>
    <col min="4611" max="4611" width="18.85546875" style="24" bestFit="1" customWidth="1"/>
    <col min="4612" max="4612" width="20.28515625" style="24" bestFit="1" customWidth="1"/>
    <col min="4613" max="4613" width="18.85546875" style="24" customWidth="1"/>
    <col min="4614" max="4614" width="14.7109375" style="24" customWidth="1"/>
    <col min="4615" max="4615" width="11.28515625" style="24" customWidth="1"/>
    <col min="4616" max="4616" width="11.7109375" style="24" customWidth="1"/>
    <col min="4617" max="4617" width="19.140625" style="24" bestFit="1" customWidth="1"/>
    <col min="4618" max="4618" width="10.140625" style="24" bestFit="1" customWidth="1"/>
    <col min="4619" max="4864" width="9.140625" style="24"/>
    <col min="4865" max="4865" width="14" style="24" customWidth="1"/>
    <col min="4866" max="4866" width="20.28515625" style="24" bestFit="1" customWidth="1"/>
    <col min="4867" max="4867" width="18.85546875" style="24" bestFit="1" customWidth="1"/>
    <col min="4868" max="4868" width="20.28515625" style="24" bestFit="1" customWidth="1"/>
    <col min="4869" max="4869" width="18.85546875" style="24" customWidth="1"/>
    <col min="4870" max="4870" width="14.7109375" style="24" customWidth="1"/>
    <col min="4871" max="4871" width="11.28515625" style="24" customWidth="1"/>
    <col min="4872" max="4872" width="11.7109375" style="24" customWidth="1"/>
    <col min="4873" max="4873" width="19.140625" style="24" bestFit="1" customWidth="1"/>
    <col min="4874" max="4874" width="10.140625" style="24" bestFit="1" customWidth="1"/>
    <col min="4875" max="5120" width="9.140625" style="24"/>
    <col min="5121" max="5121" width="14" style="24" customWidth="1"/>
    <col min="5122" max="5122" width="20.28515625" style="24" bestFit="1" customWidth="1"/>
    <col min="5123" max="5123" width="18.85546875" style="24" bestFit="1" customWidth="1"/>
    <col min="5124" max="5124" width="20.28515625" style="24" bestFit="1" customWidth="1"/>
    <col min="5125" max="5125" width="18.85546875" style="24" customWidth="1"/>
    <col min="5126" max="5126" width="14.7109375" style="24" customWidth="1"/>
    <col min="5127" max="5127" width="11.28515625" style="24" customWidth="1"/>
    <col min="5128" max="5128" width="11.7109375" style="24" customWidth="1"/>
    <col min="5129" max="5129" width="19.140625" style="24" bestFit="1" customWidth="1"/>
    <col min="5130" max="5130" width="10.140625" style="24" bestFit="1" customWidth="1"/>
    <col min="5131" max="5376" width="9.140625" style="24"/>
    <col min="5377" max="5377" width="14" style="24" customWidth="1"/>
    <col min="5378" max="5378" width="20.28515625" style="24" bestFit="1" customWidth="1"/>
    <col min="5379" max="5379" width="18.85546875" style="24" bestFit="1" customWidth="1"/>
    <col min="5380" max="5380" width="20.28515625" style="24" bestFit="1" customWidth="1"/>
    <col min="5381" max="5381" width="18.85546875" style="24" customWidth="1"/>
    <col min="5382" max="5382" width="14.7109375" style="24" customWidth="1"/>
    <col min="5383" max="5383" width="11.28515625" style="24" customWidth="1"/>
    <col min="5384" max="5384" width="11.7109375" style="24" customWidth="1"/>
    <col min="5385" max="5385" width="19.140625" style="24" bestFit="1" customWidth="1"/>
    <col min="5386" max="5386" width="10.140625" style="24" bestFit="1" customWidth="1"/>
    <col min="5387" max="5632" width="9.140625" style="24"/>
    <col min="5633" max="5633" width="14" style="24" customWidth="1"/>
    <col min="5634" max="5634" width="20.28515625" style="24" bestFit="1" customWidth="1"/>
    <col min="5635" max="5635" width="18.85546875" style="24" bestFit="1" customWidth="1"/>
    <col min="5636" max="5636" width="20.28515625" style="24" bestFit="1" customWidth="1"/>
    <col min="5637" max="5637" width="18.85546875" style="24" customWidth="1"/>
    <col min="5638" max="5638" width="14.7109375" style="24" customWidth="1"/>
    <col min="5639" max="5639" width="11.28515625" style="24" customWidth="1"/>
    <col min="5640" max="5640" width="11.7109375" style="24" customWidth="1"/>
    <col min="5641" max="5641" width="19.140625" style="24" bestFit="1" customWidth="1"/>
    <col min="5642" max="5642" width="10.140625" style="24" bestFit="1" customWidth="1"/>
    <col min="5643" max="5888" width="9.140625" style="24"/>
    <col min="5889" max="5889" width="14" style="24" customWidth="1"/>
    <col min="5890" max="5890" width="20.28515625" style="24" bestFit="1" customWidth="1"/>
    <col min="5891" max="5891" width="18.85546875" style="24" bestFit="1" customWidth="1"/>
    <col min="5892" max="5892" width="20.28515625" style="24" bestFit="1" customWidth="1"/>
    <col min="5893" max="5893" width="18.85546875" style="24" customWidth="1"/>
    <col min="5894" max="5894" width="14.7109375" style="24" customWidth="1"/>
    <col min="5895" max="5895" width="11.28515625" style="24" customWidth="1"/>
    <col min="5896" max="5896" width="11.7109375" style="24" customWidth="1"/>
    <col min="5897" max="5897" width="19.140625" style="24" bestFit="1" customWidth="1"/>
    <col min="5898" max="5898" width="10.140625" style="24" bestFit="1" customWidth="1"/>
    <col min="5899" max="6144" width="9.140625" style="24"/>
    <col min="6145" max="6145" width="14" style="24" customWidth="1"/>
    <col min="6146" max="6146" width="20.28515625" style="24" bestFit="1" customWidth="1"/>
    <col min="6147" max="6147" width="18.85546875" style="24" bestFit="1" customWidth="1"/>
    <col min="6148" max="6148" width="20.28515625" style="24" bestFit="1" customWidth="1"/>
    <col min="6149" max="6149" width="18.85546875" style="24" customWidth="1"/>
    <col min="6150" max="6150" width="14.7109375" style="24" customWidth="1"/>
    <col min="6151" max="6151" width="11.28515625" style="24" customWidth="1"/>
    <col min="6152" max="6152" width="11.7109375" style="24" customWidth="1"/>
    <col min="6153" max="6153" width="19.140625" style="24" bestFit="1" customWidth="1"/>
    <col min="6154" max="6154" width="10.140625" style="24" bestFit="1" customWidth="1"/>
    <col min="6155" max="6400" width="9.140625" style="24"/>
    <col min="6401" max="6401" width="14" style="24" customWidth="1"/>
    <col min="6402" max="6402" width="20.28515625" style="24" bestFit="1" customWidth="1"/>
    <col min="6403" max="6403" width="18.85546875" style="24" bestFit="1" customWidth="1"/>
    <col min="6404" max="6404" width="20.28515625" style="24" bestFit="1" customWidth="1"/>
    <col min="6405" max="6405" width="18.85546875" style="24" customWidth="1"/>
    <col min="6406" max="6406" width="14.7109375" style="24" customWidth="1"/>
    <col min="6407" max="6407" width="11.28515625" style="24" customWidth="1"/>
    <col min="6408" max="6408" width="11.7109375" style="24" customWidth="1"/>
    <col min="6409" max="6409" width="19.140625" style="24" bestFit="1" customWidth="1"/>
    <col min="6410" max="6410" width="10.140625" style="24" bestFit="1" customWidth="1"/>
    <col min="6411" max="6656" width="9.140625" style="24"/>
    <col min="6657" max="6657" width="14" style="24" customWidth="1"/>
    <col min="6658" max="6658" width="20.28515625" style="24" bestFit="1" customWidth="1"/>
    <col min="6659" max="6659" width="18.85546875" style="24" bestFit="1" customWidth="1"/>
    <col min="6660" max="6660" width="20.28515625" style="24" bestFit="1" customWidth="1"/>
    <col min="6661" max="6661" width="18.85546875" style="24" customWidth="1"/>
    <col min="6662" max="6662" width="14.7109375" style="24" customWidth="1"/>
    <col min="6663" max="6663" width="11.28515625" style="24" customWidth="1"/>
    <col min="6664" max="6664" width="11.7109375" style="24" customWidth="1"/>
    <col min="6665" max="6665" width="19.140625" style="24" bestFit="1" customWidth="1"/>
    <col min="6666" max="6666" width="10.140625" style="24" bestFit="1" customWidth="1"/>
    <col min="6667" max="6912" width="9.140625" style="24"/>
    <col min="6913" max="6913" width="14" style="24" customWidth="1"/>
    <col min="6914" max="6914" width="20.28515625" style="24" bestFit="1" customWidth="1"/>
    <col min="6915" max="6915" width="18.85546875" style="24" bestFit="1" customWidth="1"/>
    <col min="6916" max="6916" width="20.28515625" style="24" bestFit="1" customWidth="1"/>
    <col min="6917" max="6917" width="18.85546875" style="24" customWidth="1"/>
    <col min="6918" max="6918" width="14.7109375" style="24" customWidth="1"/>
    <col min="6919" max="6919" width="11.28515625" style="24" customWidth="1"/>
    <col min="6920" max="6920" width="11.7109375" style="24" customWidth="1"/>
    <col min="6921" max="6921" width="19.140625" style="24" bestFit="1" customWidth="1"/>
    <col min="6922" max="6922" width="10.140625" style="24" bestFit="1" customWidth="1"/>
    <col min="6923" max="7168" width="9.140625" style="24"/>
    <col min="7169" max="7169" width="14" style="24" customWidth="1"/>
    <col min="7170" max="7170" width="20.28515625" style="24" bestFit="1" customWidth="1"/>
    <col min="7171" max="7171" width="18.85546875" style="24" bestFit="1" customWidth="1"/>
    <col min="7172" max="7172" width="20.28515625" style="24" bestFit="1" customWidth="1"/>
    <col min="7173" max="7173" width="18.85546875" style="24" customWidth="1"/>
    <col min="7174" max="7174" width="14.7109375" style="24" customWidth="1"/>
    <col min="7175" max="7175" width="11.28515625" style="24" customWidth="1"/>
    <col min="7176" max="7176" width="11.7109375" style="24" customWidth="1"/>
    <col min="7177" max="7177" width="19.140625" style="24" bestFit="1" customWidth="1"/>
    <col min="7178" max="7178" width="10.140625" style="24" bestFit="1" customWidth="1"/>
    <col min="7179" max="7424" width="9.140625" style="24"/>
    <col min="7425" max="7425" width="14" style="24" customWidth="1"/>
    <col min="7426" max="7426" width="20.28515625" style="24" bestFit="1" customWidth="1"/>
    <col min="7427" max="7427" width="18.85546875" style="24" bestFit="1" customWidth="1"/>
    <col min="7428" max="7428" width="20.28515625" style="24" bestFit="1" customWidth="1"/>
    <col min="7429" max="7429" width="18.85546875" style="24" customWidth="1"/>
    <col min="7430" max="7430" width="14.7109375" style="24" customWidth="1"/>
    <col min="7431" max="7431" width="11.28515625" style="24" customWidth="1"/>
    <col min="7432" max="7432" width="11.7109375" style="24" customWidth="1"/>
    <col min="7433" max="7433" width="19.140625" style="24" bestFit="1" customWidth="1"/>
    <col min="7434" max="7434" width="10.140625" style="24" bestFit="1" customWidth="1"/>
    <col min="7435" max="7680" width="9.140625" style="24"/>
    <col min="7681" max="7681" width="14" style="24" customWidth="1"/>
    <col min="7682" max="7682" width="20.28515625" style="24" bestFit="1" customWidth="1"/>
    <col min="7683" max="7683" width="18.85546875" style="24" bestFit="1" customWidth="1"/>
    <col min="7684" max="7684" width="20.28515625" style="24" bestFit="1" customWidth="1"/>
    <col min="7685" max="7685" width="18.85546875" style="24" customWidth="1"/>
    <col min="7686" max="7686" width="14.7109375" style="24" customWidth="1"/>
    <col min="7687" max="7687" width="11.28515625" style="24" customWidth="1"/>
    <col min="7688" max="7688" width="11.7109375" style="24" customWidth="1"/>
    <col min="7689" max="7689" width="19.140625" style="24" bestFit="1" customWidth="1"/>
    <col min="7690" max="7690" width="10.140625" style="24" bestFit="1" customWidth="1"/>
    <col min="7691" max="7936" width="9.140625" style="24"/>
    <col min="7937" max="7937" width="14" style="24" customWidth="1"/>
    <col min="7938" max="7938" width="20.28515625" style="24" bestFit="1" customWidth="1"/>
    <col min="7939" max="7939" width="18.85546875" style="24" bestFit="1" customWidth="1"/>
    <col min="7940" max="7940" width="20.28515625" style="24" bestFit="1" customWidth="1"/>
    <col min="7941" max="7941" width="18.85546875" style="24" customWidth="1"/>
    <col min="7942" max="7942" width="14.7109375" style="24" customWidth="1"/>
    <col min="7943" max="7943" width="11.28515625" style="24" customWidth="1"/>
    <col min="7944" max="7944" width="11.7109375" style="24" customWidth="1"/>
    <col min="7945" max="7945" width="19.140625" style="24" bestFit="1" customWidth="1"/>
    <col min="7946" max="7946" width="10.140625" style="24" bestFit="1" customWidth="1"/>
    <col min="7947" max="8192" width="9.140625" style="24"/>
    <col min="8193" max="8193" width="14" style="24" customWidth="1"/>
    <col min="8194" max="8194" width="20.28515625" style="24" bestFit="1" customWidth="1"/>
    <col min="8195" max="8195" width="18.85546875" style="24" bestFit="1" customWidth="1"/>
    <col min="8196" max="8196" width="20.28515625" style="24" bestFit="1" customWidth="1"/>
    <col min="8197" max="8197" width="18.85546875" style="24" customWidth="1"/>
    <col min="8198" max="8198" width="14.7109375" style="24" customWidth="1"/>
    <col min="8199" max="8199" width="11.28515625" style="24" customWidth="1"/>
    <col min="8200" max="8200" width="11.7109375" style="24" customWidth="1"/>
    <col min="8201" max="8201" width="19.140625" style="24" bestFit="1" customWidth="1"/>
    <col min="8202" max="8202" width="10.140625" style="24" bestFit="1" customWidth="1"/>
    <col min="8203" max="8448" width="9.140625" style="24"/>
    <col min="8449" max="8449" width="14" style="24" customWidth="1"/>
    <col min="8450" max="8450" width="20.28515625" style="24" bestFit="1" customWidth="1"/>
    <col min="8451" max="8451" width="18.85546875" style="24" bestFit="1" customWidth="1"/>
    <col min="8452" max="8452" width="20.28515625" style="24" bestFit="1" customWidth="1"/>
    <col min="8453" max="8453" width="18.85546875" style="24" customWidth="1"/>
    <col min="8454" max="8454" width="14.7109375" style="24" customWidth="1"/>
    <col min="8455" max="8455" width="11.28515625" style="24" customWidth="1"/>
    <col min="8456" max="8456" width="11.7109375" style="24" customWidth="1"/>
    <col min="8457" max="8457" width="19.140625" style="24" bestFit="1" customWidth="1"/>
    <col min="8458" max="8458" width="10.140625" style="24" bestFit="1" customWidth="1"/>
    <col min="8459" max="8704" width="9.140625" style="24"/>
    <col min="8705" max="8705" width="14" style="24" customWidth="1"/>
    <col min="8706" max="8706" width="20.28515625" style="24" bestFit="1" customWidth="1"/>
    <col min="8707" max="8707" width="18.85546875" style="24" bestFit="1" customWidth="1"/>
    <col min="8708" max="8708" width="20.28515625" style="24" bestFit="1" customWidth="1"/>
    <col min="8709" max="8709" width="18.85546875" style="24" customWidth="1"/>
    <col min="8710" max="8710" width="14.7109375" style="24" customWidth="1"/>
    <col min="8711" max="8711" width="11.28515625" style="24" customWidth="1"/>
    <col min="8712" max="8712" width="11.7109375" style="24" customWidth="1"/>
    <col min="8713" max="8713" width="19.140625" style="24" bestFit="1" customWidth="1"/>
    <col min="8714" max="8714" width="10.140625" style="24" bestFit="1" customWidth="1"/>
    <col min="8715" max="8960" width="9.140625" style="24"/>
    <col min="8961" max="8961" width="14" style="24" customWidth="1"/>
    <col min="8962" max="8962" width="20.28515625" style="24" bestFit="1" customWidth="1"/>
    <col min="8963" max="8963" width="18.85546875" style="24" bestFit="1" customWidth="1"/>
    <col min="8964" max="8964" width="20.28515625" style="24" bestFit="1" customWidth="1"/>
    <col min="8965" max="8965" width="18.85546875" style="24" customWidth="1"/>
    <col min="8966" max="8966" width="14.7109375" style="24" customWidth="1"/>
    <col min="8967" max="8967" width="11.28515625" style="24" customWidth="1"/>
    <col min="8968" max="8968" width="11.7109375" style="24" customWidth="1"/>
    <col min="8969" max="8969" width="19.140625" style="24" bestFit="1" customWidth="1"/>
    <col min="8970" max="8970" width="10.140625" style="24" bestFit="1" customWidth="1"/>
    <col min="8971" max="9216" width="9.140625" style="24"/>
    <col min="9217" max="9217" width="14" style="24" customWidth="1"/>
    <col min="9218" max="9218" width="20.28515625" style="24" bestFit="1" customWidth="1"/>
    <col min="9219" max="9219" width="18.85546875" style="24" bestFit="1" customWidth="1"/>
    <col min="9220" max="9220" width="20.28515625" style="24" bestFit="1" customWidth="1"/>
    <col min="9221" max="9221" width="18.85546875" style="24" customWidth="1"/>
    <col min="9222" max="9222" width="14.7109375" style="24" customWidth="1"/>
    <col min="9223" max="9223" width="11.28515625" style="24" customWidth="1"/>
    <col min="9224" max="9224" width="11.7109375" style="24" customWidth="1"/>
    <col min="9225" max="9225" width="19.140625" style="24" bestFit="1" customWidth="1"/>
    <col min="9226" max="9226" width="10.140625" style="24" bestFit="1" customWidth="1"/>
    <col min="9227" max="9472" width="9.140625" style="24"/>
    <col min="9473" max="9473" width="14" style="24" customWidth="1"/>
    <col min="9474" max="9474" width="20.28515625" style="24" bestFit="1" customWidth="1"/>
    <col min="9475" max="9475" width="18.85546875" style="24" bestFit="1" customWidth="1"/>
    <col min="9476" max="9476" width="20.28515625" style="24" bestFit="1" customWidth="1"/>
    <col min="9477" max="9477" width="18.85546875" style="24" customWidth="1"/>
    <col min="9478" max="9478" width="14.7109375" style="24" customWidth="1"/>
    <col min="9479" max="9479" width="11.28515625" style="24" customWidth="1"/>
    <col min="9480" max="9480" width="11.7109375" style="24" customWidth="1"/>
    <col min="9481" max="9481" width="19.140625" style="24" bestFit="1" customWidth="1"/>
    <col min="9482" max="9482" width="10.140625" style="24" bestFit="1" customWidth="1"/>
    <col min="9483" max="9728" width="9.140625" style="24"/>
    <col min="9729" max="9729" width="14" style="24" customWidth="1"/>
    <col min="9730" max="9730" width="20.28515625" style="24" bestFit="1" customWidth="1"/>
    <col min="9731" max="9731" width="18.85546875" style="24" bestFit="1" customWidth="1"/>
    <col min="9732" max="9732" width="20.28515625" style="24" bestFit="1" customWidth="1"/>
    <col min="9733" max="9733" width="18.85546875" style="24" customWidth="1"/>
    <col min="9734" max="9734" width="14.7109375" style="24" customWidth="1"/>
    <col min="9735" max="9735" width="11.28515625" style="24" customWidth="1"/>
    <col min="9736" max="9736" width="11.7109375" style="24" customWidth="1"/>
    <col min="9737" max="9737" width="19.140625" style="24" bestFit="1" customWidth="1"/>
    <col min="9738" max="9738" width="10.140625" style="24" bestFit="1" customWidth="1"/>
    <col min="9739" max="9984" width="9.140625" style="24"/>
    <col min="9985" max="9985" width="14" style="24" customWidth="1"/>
    <col min="9986" max="9986" width="20.28515625" style="24" bestFit="1" customWidth="1"/>
    <col min="9987" max="9987" width="18.85546875" style="24" bestFit="1" customWidth="1"/>
    <col min="9988" max="9988" width="20.28515625" style="24" bestFit="1" customWidth="1"/>
    <col min="9989" max="9989" width="18.85546875" style="24" customWidth="1"/>
    <col min="9990" max="9990" width="14.7109375" style="24" customWidth="1"/>
    <col min="9991" max="9991" width="11.28515625" style="24" customWidth="1"/>
    <col min="9992" max="9992" width="11.7109375" style="24" customWidth="1"/>
    <col min="9993" max="9993" width="19.140625" style="24" bestFit="1" customWidth="1"/>
    <col min="9994" max="9994" width="10.140625" style="24" bestFit="1" customWidth="1"/>
    <col min="9995" max="10240" width="9.140625" style="24"/>
    <col min="10241" max="10241" width="14" style="24" customWidth="1"/>
    <col min="10242" max="10242" width="20.28515625" style="24" bestFit="1" customWidth="1"/>
    <col min="10243" max="10243" width="18.85546875" style="24" bestFit="1" customWidth="1"/>
    <col min="10244" max="10244" width="20.28515625" style="24" bestFit="1" customWidth="1"/>
    <col min="10245" max="10245" width="18.85546875" style="24" customWidth="1"/>
    <col min="10246" max="10246" width="14.7109375" style="24" customWidth="1"/>
    <col min="10247" max="10247" width="11.28515625" style="24" customWidth="1"/>
    <col min="10248" max="10248" width="11.7109375" style="24" customWidth="1"/>
    <col min="10249" max="10249" width="19.140625" style="24" bestFit="1" customWidth="1"/>
    <col min="10250" max="10250" width="10.140625" style="24" bestFit="1" customWidth="1"/>
    <col min="10251" max="10496" width="9.140625" style="24"/>
    <col min="10497" max="10497" width="14" style="24" customWidth="1"/>
    <col min="10498" max="10498" width="20.28515625" style="24" bestFit="1" customWidth="1"/>
    <col min="10499" max="10499" width="18.85546875" style="24" bestFit="1" customWidth="1"/>
    <col min="10500" max="10500" width="20.28515625" style="24" bestFit="1" customWidth="1"/>
    <col min="10501" max="10501" width="18.85546875" style="24" customWidth="1"/>
    <col min="10502" max="10502" width="14.7109375" style="24" customWidth="1"/>
    <col min="10503" max="10503" width="11.28515625" style="24" customWidth="1"/>
    <col min="10504" max="10504" width="11.7109375" style="24" customWidth="1"/>
    <col min="10505" max="10505" width="19.140625" style="24" bestFit="1" customWidth="1"/>
    <col min="10506" max="10506" width="10.140625" style="24" bestFit="1" customWidth="1"/>
    <col min="10507" max="10752" width="9.140625" style="24"/>
    <col min="10753" max="10753" width="14" style="24" customWidth="1"/>
    <col min="10754" max="10754" width="20.28515625" style="24" bestFit="1" customWidth="1"/>
    <col min="10755" max="10755" width="18.85546875" style="24" bestFit="1" customWidth="1"/>
    <col min="10756" max="10756" width="20.28515625" style="24" bestFit="1" customWidth="1"/>
    <col min="10757" max="10757" width="18.85546875" style="24" customWidth="1"/>
    <col min="10758" max="10758" width="14.7109375" style="24" customWidth="1"/>
    <col min="10759" max="10759" width="11.28515625" style="24" customWidth="1"/>
    <col min="10760" max="10760" width="11.7109375" style="24" customWidth="1"/>
    <col min="10761" max="10761" width="19.140625" style="24" bestFit="1" customWidth="1"/>
    <col min="10762" max="10762" width="10.140625" style="24" bestFit="1" customWidth="1"/>
    <col min="10763" max="11008" width="9.140625" style="24"/>
    <col min="11009" max="11009" width="14" style="24" customWidth="1"/>
    <col min="11010" max="11010" width="20.28515625" style="24" bestFit="1" customWidth="1"/>
    <col min="11011" max="11011" width="18.85546875" style="24" bestFit="1" customWidth="1"/>
    <col min="11012" max="11012" width="20.28515625" style="24" bestFit="1" customWidth="1"/>
    <col min="11013" max="11013" width="18.85546875" style="24" customWidth="1"/>
    <col min="11014" max="11014" width="14.7109375" style="24" customWidth="1"/>
    <col min="11015" max="11015" width="11.28515625" style="24" customWidth="1"/>
    <col min="11016" max="11016" width="11.7109375" style="24" customWidth="1"/>
    <col min="11017" max="11017" width="19.140625" style="24" bestFit="1" customWidth="1"/>
    <col min="11018" max="11018" width="10.140625" style="24" bestFit="1" customWidth="1"/>
    <col min="11019" max="11264" width="9.140625" style="24"/>
    <col min="11265" max="11265" width="14" style="24" customWidth="1"/>
    <col min="11266" max="11266" width="20.28515625" style="24" bestFit="1" customWidth="1"/>
    <col min="11267" max="11267" width="18.85546875" style="24" bestFit="1" customWidth="1"/>
    <col min="11268" max="11268" width="20.28515625" style="24" bestFit="1" customWidth="1"/>
    <col min="11269" max="11269" width="18.85546875" style="24" customWidth="1"/>
    <col min="11270" max="11270" width="14.7109375" style="24" customWidth="1"/>
    <col min="11271" max="11271" width="11.28515625" style="24" customWidth="1"/>
    <col min="11272" max="11272" width="11.7109375" style="24" customWidth="1"/>
    <col min="11273" max="11273" width="19.140625" style="24" bestFit="1" customWidth="1"/>
    <col min="11274" max="11274" width="10.140625" style="24" bestFit="1" customWidth="1"/>
    <col min="11275" max="11520" width="9.140625" style="24"/>
    <col min="11521" max="11521" width="14" style="24" customWidth="1"/>
    <col min="11522" max="11522" width="20.28515625" style="24" bestFit="1" customWidth="1"/>
    <col min="11523" max="11523" width="18.85546875" style="24" bestFit="1" customWidth="1"/>
    <col min="11524" max="11524" width="20.28515625" style="24" bestFit="1" customWidth="1"/>
    <col min="11525" max="11525" width="18.85546875" style="24" customWidth="1"/>
    <col min="11526" max="11526" width="14.7109375" style="24" customWidth="1"/>
    <col min="11527" max="11527" width="11.28515625" style="24" customWidth="1"/>
    <col min="11528" max="11528" width="11.7109375" style="24" customWidth="1"/>
    <col min="11529" max="11529" width="19.140625" style="24" bestFit="1" customWidth="1"/>
    <col min="11530" max="11530" width="10.140625" style="24" bestFit="1" customWidth="1"/>
    <col min="11531" max="11776" width="9.140625" style="24"/>
    <col min="11777" max="11777" width="14" style="24" customWidth="1"/>
    <col min="11778" max="11778" width="20.28515625" style="24" bestFit="1" customWidth="1"/>
    <col min="11779" max="11779" width="18.85546875" style="24" bestFit="1" customWidth="1"/>
    <col min="11780" max="11780" width="20.28515625" style="24" bestFit="1" customWidth="1"/>
    <col min="11781" max="11781" width="18.85546875" style="24" customWidth="1"/>
    <col min="11782" max="11782" width="14.7109375" style="24" customWidth="1"/>
    <col min="11783" max="11783" width="11.28515625" style="24" customWidth="1"/>
    <col min="11784" max="11784" width="11.7109375" style="24" customWidth="1"/>
    <col min="11785" max="11785" width="19.140625" style="24" bestFit="1" customWidth="1"/>
    <col min="11786" max="11786" width="10.140625" style="24" bestFit="1" customWidth="1"/>
    <col min="11787" max="12032" width="9.140625" style="24"/>
    <col min="12033" max="12033" width="14" style="24" customWidth="1"/>
    <col min="12034" max="12034" width="20.28515625" style="24" bestFit="1" customWidth="1"/>
    <col min="12035" max="12035" width="18.85546875" style="24" bestFit="1" customWidth="1"/>
    <col min="12036" max="12036" width="20.28515625" style="24" bestFit="1" customWidth="1"/>
    <col min="12037" max="12037" width="18.85546875" style="24" customWidth="1"/>
    <col min="12038" max="12038" width="14.7109375" style="24" customWidth="1"/>
    <col min="12039" max="12039" width="11.28515625" style="24" customWidth="1"/>
    <col min="12040" max="12040" width="11.7109375" style="24" customWidth="1"/>
    <col min="12041" max="12041" width="19.140625" style="24" bestFit="1" customWidth="1"/>
    <col min="12042" max="12042" width="10.140625" style="24" bestFit="1" customWidth="1"/>
    <col min="12043" max="12288" width="9.140625" style="24"/>
    <col min="12289" max="12289" width="14" style="24" customWidth="1"/>
    <col min="12290" max="12290" width="20.28515625" style="24" bestFit="1" customWidth="1"/>
    <col min="12291" max="12291" width="18.85546875" style="24" bestFit="1" customWidth="1"/>
    <col min="12292" max="12292" width="20.28515625" style="24" bestFit="1" customWidth="1"/>
    <col min="12293" max="12293" width="18.85546875" style="24" customWidth="1"/>
    <col min="12294" max="12294" width="14.7109375" style="24" customWidth="1"/>
    <col min="12295" max="12295" width="11.28515625" style="24" customWidth="1"/>
    <col min="12296" max="12296" width="11.7109375" style="24" customWidth="1"/>
    <col min="12297" max="12297" width="19.140625" style="24" bestFit="1" customWidth="1"/>
    <col min="12298" max="12298" width="10.140625" style="24" bestFit="1" customWidth="1"/>
    <col min="12299" max="12544" width="9.140625" style="24"/>
    <col min="12545" max="12545" width="14" style="24" customWidth="1"/>
    <col min="12546" max="12546" width="20.28515625" style="24" bestFit="1" customWidth="1"/>
    <col min="12547" max="12547" width="18.85546875" style="24" bestFit="1" customWidth="1"/>
    <col min="12548" max="12548" width="20.28515625" style="24" bestFit="1" customWidth="1"/>
    <col min="12549" max="12549" width="18.85546875" style="24" customWidth="1"/>
    <col min="12550" max="12550" width="14.7109375" style="24" customWidth="1"/>
    <col min="12551" max="12551" width="11.28515625" style="24" customWidth="1"/>
    <col min="12552" max="12552" width="11.7109375" style="24" customWidth="1"/>
    <col min="12553" max="12553" width="19.140625" style="24" bestFit="1" customWidth="1"/>
    <col min="12554" max="12554" width="10.140625" style="24" bestFit="1" customWidth="1"/>
    <col min="12555" max="12800" width="9.140625" style="24"/>
    <col min="12801" max="12801" width="14" style="24" customWidth="1"/>
    <col min="12802" max="12802" width="20.28515625" style="24" bestFit="1" customWidth="1"/>
    <col min="12803" max="12803" width="18.85546875" style="24" bestFit="1" customWidth="1"/>
    <col min="12804" max="12804" width="20.28515625" style="24" bestFit="1" customWidth="1"/>
    <col min="12805" max="12805" width="18.85546875" style="24" customWidth="1"/>
    <col min="12806" max="12806" width="14.7109375" style="24" customWidth="1"/>
    <col min="12807" max="12807" width="11.28515625" style="24" customWidth="1"/>
    <col min="12808" max="12808" width="11.7109375" style="24" customWidth="1"/>
    <col min="12809" max="12809" width="19.140625" style="24" bestFit="1" customWidth="1"/>
    <col min="12810" max="12810" width="10.140625" style="24" bestFit="1" customWidth="1"/>
    <col min="12811" max="13056" width="9.140625" style="24"/>
    <col min="13057" max="13057" width="14" style="24" customWidth="1"/>
    <col min="13058" max="13058" width="20.28515625" style="24" bestFit="1" customWidth="1"/>
    <col min="13059" max="13059" width="18.85546875" style="24" bestFit="1" customWidth="1"/>
    <col min="13060" max="13060" width="20.28515625" style="24" bestFit="1" customWidth="1"/>
    <col min="13061" max="13061" width="18.85546875" style="24" customWidth="1"/>
    <col min="13062" max="13062" width="14.7109375" style="24" customWidth="1"/>
    <col min="13063" max="13063" width="11.28515625" style="24" customWidth="1"/>
    <col min="13064" max="13064" width="11.7109375" style="24" customWidth="1"/>
    <col min="13065" max="13065" width="19.140625" style="24" bestFit="1" customWidth="1"/>
    <col min="13066" max="13066" width="10.140625" style="24" bestFit="1" customWidth="1"/>
    <col min="13067" max="13312" width="9.140625" style="24"/>
    <col min="13313" max="13313" width="14" style="24" customWidth="1"/>
    <col min="13314" max="13314" width="20.28515625" style="24" bestFit="1" customWidth="1"/>
    <col min="13315" max="13315" width="18.85546875" style="24" bestFit="1" customWidth="1"/>
    <col min="13316" max="13316" width="20.28515625" style="24" bestFit="1" customWidth="1"/>
    <col min="13317" max="13317" width="18.85546875" style="24" customWidth="1"/>
    <col min="13318" max="13318" width="14.7109375" style="24" customWidth="1"/>
    <col min="13319" max="13319" width="11.28515625" style="24" customWidth="1"/>
    <col min="13320" max="13320" width="11.7109375" style="24" customWidth="1"/>
    <col min="13321" max="13321" width="19.140625" style="24" bestFit="1" customWidth="1"/>
    <col min="13322" max="13322" width="10.140625" style="24" bestFit="1" customWidth="1"/>
    <col min="13323" max="13568" width="9.140625" style="24"/>
    <col min="13569" max="13569" width="14" style="24" customWidth="1"/>
    <col min="13570" max="13570" width="20.28515625" style="24" bestFit="1" customWidth="1"/>
    <col min="13571" max="13571" width="18.85546875" style="24" bestFit="1" customWidth="1"/>
    <col min="13572" max="13572" width="20.28515625" style="24" bestFit="1" customWidth="1"/>
    <col min="13573" max="13573" width="18.85546875" style="24" customWidth="1"/>
    <col min="13574" max="13574" width="14.7109375" style="24" customWidth="1"/>
    <col min="13575" max="13575" width="11.28515625" style="24" customWidth="1"/>
    <col min="13576" max="13576" width="11.7109375" style="24" customWidth="1"/>
    <col min="13577" max="13577" width="19.140625" style="24" bestFit="1" customWidth="1"/>
    <col min="13578" max="13578" width="10.140625" style="24" bestFit="1" customWidth="1"/>
    <col min="13579" max="13824" width="9.140625" style="24"/>
    <col min="13825" max="13825" width="14" style="24" customWidth="1"/>
    <col min="13826" max="13826" width="20.28515625" style="24" bestFit="1" customWidth="1"/>
    <col min="13827" max="13827" width="18.85546875" style="24" bestFit="1" customWidth="1"/>
    <col min="13828" max="13828" width="20.28515625" style="24" bestFit="1" customWidth="1"/>
    <col min="13829" max="13829" width="18.85546875" style="24" customWidth="1"/>
    <col min="13830" max="13830" width="14.7109375" style="24" customWidth="1"/>
    <col min="13831" max="13831" width="11.28515625" style="24" customWidth="1"/>
    <col min="13832" max="13832" width="11.7109375" style="24" customWidth="1"/>
    <col min="13833" max="13833" width="19.140625" style="24" bestFit="1" customWidth="1"/>
    <col min="13834" max="13834" width="10.140625" style="24" bestFit="1" customWidth="1"/>
    <col min="13835" max="14080" width="9.140625" style="24"/>
    <col min="14081" max="14081" width="14" style="24" customWidth="1"/>
    <col min="14082" max="14082" width="20.28515625" style="24" bestFit="1" customWidth="1"/>
    <col min="14083" max="14083" width="18.85546875" style="24" bestFit="1" customWidth="1"/>
    <col min="14084" max="14084" width="20.28515625" style="24" bestFit="1" customWidth="1"/>
    <col min="14085" max="14085" width="18.85546875" style="24" customWidth="1"/>
    <col min="14086" max="14086" width="14.7109375" style="24" customWidth="1"/>
    <col min="14087" max="14087" width="11.28515625" style="24" customWidth="1"/>
    <col min="14088" max="14088" width="11.7109375" style="24" customWidth="1"/>
    <col min="14089" max="14089" width="19.140625" style="24" bestFit="1" customWidth="1"/>
    <col min="14090" max="14090" width="10.140625" style="24" bestFit="1" customWidth="1"/>
    <col min="14091" max="14336" width="9.140625" style="24"/>
    <col min="14337" max="14337" width="14" style="24" customWidth="1"/>
    <col min="14338" max="14338" width="20.28515625" style="24" bestFit="1" customWidth="1"/>
    <col min="14339" max="14339" width="18.85546875" style="24" bestFit="1" customWidth="1"/>
    <col min="14340" max="14340" width="20.28515625" style="24" bestFit="1" customWidth="1"/>
    <col min="14341" max="14341" width="18.85546875" style="24" customWidth="1"/>
    <col min="14342" max="14342" width="14.7109375" style="24" customWidth="1"/>
    <col min="14343" max="14343" width="11.28515625" style="24" customWidth="1"/>
    <col min="14344" max="14344" width="11.7109375" style="24" customWidth="1"/>
    <col min="14345" max="14345" width="19.140625" style="24" bestFit="1" customWidth="1"/>
    <col min="14346" max="14346" width="10.140625" style="24" bestFit="1" customWidth="1"/>
    <col min="14347" max="14592" width="9.140625" style="24"/>
    <col min="14593" max="14593" width="14" style="24" customWidth="1"/>
    <col min="14594" max="14594" width="20.28515625" style="24" bestFit="1" customWidth="1"/>
    <col min="14595" max="14595" width="18.85546875" style="24" bestFit="1" customWidth="1"/>
    <col min="14596" max="14596" width="20.28515625" style="24" bestFit="1" customWidth="1"/>
    <col min="14597" max="14597" width="18.85546875" style="24" customWidth="1"/>
    <col min="14598" max="14598" width="14.7109375" style="24" customWidth="1"/>
    <col min="14599" max="14599" width="11.28515625" style="24" customWidth="1"/>
    <col min="14600" max="14600" width="11.7109375" style="24" customWidth="1"/>
    <col min="14601" max="14601" width="19.140625" style="24" bestFit="1" customWidth="1"/>
    <col min="14602" max="14602" width="10.140625" style="24" bestFit="1" customWidth="1"/>
    <col min="14603" max="14848" width="9.140625" style="24"/>
    <col min="14849" max="14849" width="14" style="24" customWidth="1"/>
    <col min="14850" max="14850" width="20.28515625" style="24" bestFit="1" customWidth="1"/>
    <col min="14851" max="14851" width="18.85546875" style="24" bestFit="1" customWidth="1"/>
    <col min="14852" max="14852" width="20.28515625" style="24" bestFit="1" customWidth="1"/>
    <col min="14853" max="14853" width="18.85546875" style="24" customWidth="1"/>
    <col min="14854" max="14854" width="14.7109375" style="24" customWidth="1"/>
    <col min="14855" max="14855" width="11.28515625" style="24" customWidth="1"/>
    <col min="14856" max="14856" width="11.7109375" style="24" customWidth="1"/>
    <col min="14857" max="14857" width="19.140625" style="24" bestFit="1" customWidth="1"/>
    <col min="14858" max="14858" width="10.140625" style="24" bestFit="1" customWidth="1"/>
    <col min="14859" max="15104" width="9.140625" style="24"/>
    <col min="15105" max="15105" width="14" style="24" customWidth="1"/>
    <col min="15106" max="15106" width="20.28515625" style="24" bestFit="1" customWidth="1"/>
    <col min="15107" max="15107" width="18.85546875" style="24" bestFit="1" customWidth="1"/>
    <col min="15108" max="15108" width="20.28515625" style="24" bestFit="1" customWidth="1"/>
    <col min="15109" max="15109" width="18.85546875" style="24" customWidth="1"/>
    <col min="15110" max="15110" width="14.7109375" style="24" customWidth="1"/>
    <col min="15111" max="15111" width="11.28515625" style="24" customWidth="1"/>
    <col min="15112" max="15112" width="11.7109375" style="24" customWidth="1"/>
    <col min="15113" max="15113" width="19.140625" style="24" bestFit="1" customWidth="1"/>
    <col min="15114" max="15114" width="10.140625" style="24" bestFit="1" customWidth="1"/>
    <col min="15115" max="15360" width="9.140625" style="24"/>
    <col min="15361" max="15361" width="14" style="24" customWidth="1"/>
    <col min="15362" max="15362" width="20.28515625" style="24" bestFit="1" customWidth="1"/>
    <col min="15363" max="15363" width="18.85546875" style="24" bestFit="1" customWidth="1"/>
    <col min="15364" max="15364" width="20.28515625" style="24" bestFit="1" customWidth="1"/>
    <col min="15365" max="15365" width="18.85546875" style="24" customWidth="1"/>
    <col min="15366" max="15366" width="14.7109375" style="24" customWidth="1"/>
    <col min="15367" max="15367" width="11.28515625" style="24" customWidth="1"/>
    <col min="15368" max="15368" width="11.7109375" style="24" customWidth="1"/>
    <col min="15369" max="15369" width="19.140625" style="24" bestFit="1" customWidth="1"/>
    <col min="15370" max="15370" width="10.140625" style="24" bestFit="1" customWidth="1"/>
    <col min="15371" max="15616" width="9.140625" style="24"/>
    <col min="15617" max="15617" width="14" style="24" customWidth="1"/>
    <col min="15618" max="15618" width="20.28515625" style="24" bestFit="1" customWidth="1"/>
    <col min="15619" max="15619" width="18.85546875" style="24" bestFit="1" customWidth="1"/>
    <col min="15620" max="15620" width="20.28515625" style="24" bestFit="1" customWidth="1"/>
    <col min="15621" max="15621" width="18.85546875" style="24" customWidth="1"/>
    <col min="15622" max="15622" width="14.7109375" style="24" customWidth="1"/>
    <col min="15623" max="15623" width="11.28515625" style="24" customWidth="1"/>
    <col min="15624" max="15624" width="11.7109375" style="24" customWidth="1"/>
    <col min="15625" max="15625" width="19.140625" style="24" bestFit="1" customWidth="1"/>
    <col min="15626" max="15626" width="10.140625" style="24" bestFit="1" customWidth="1"/>
    <col min="15627" max="15872" width="9.140625" style="24"/>
    <col min="15873" max="15873" width="14" style="24" customWidth="1"/>
    <col min="15874" max="15874" width="20.28515625" style="24" bestFit="1" customWidth="1"/>
    <col min="15875" max="15875" width="18.85546875" style="24" bestFit="1" customWidth="1"/>
    <col min="15876" max="15876" width="20.28515625" style="24" bestFit="1" customWidth="1"/>
    <col min="15877" max="15877" width="18.85546875" style="24" customWidth="1"/>
    <col min="15878" max="15878" width="14.7109375" style="24" customWidth="1"/>
    <col min="15879" max="15879" width="11.28515625" style="24" customWidth="1"/>
    <col min="15880" max="15880" width="11.7109375" style="24" customWidth="1"/>
    <col min="15881" max="15881" width="19.140625" style="24" bestFit="1" customWidth="1"/>
    <col min="15882" max="15882" width="10.140625" style="24" bestFit="1" customWidth="1"/>
    <col min="15883" max="16128" width="9.140625" style="24"/>
    <col min="16129" max="16129" width="14" style="24" customWidth="1"/>
    <col min="16130" max="16130" width="20.28515625" style="24" bestFit="1" customWidth="1"/>
    <col min="16131" max="16131" width="18.85546875" style="24" bestFit="1" customWidth="1"/>
    <col min="16132" max="16132" width="20.28515625" style="24" bestFit="1" customWidth="1"/>
    <col min="16133" max="16133" width="18.85546875" style="24" customWidth="1"/>
    <col min="16134" max="16134" width="14.7109375" style="24" customWidth="1"/>
    <col min="16135" max="16135" width="11.28515625" style="24" customWidth="1"/>
    <col min="16136" max="16136" width="11.7109375" style="24" customWidth="1"/>
    <col min="16137" max="16137" width="19.140625" style="24" bestFit="1" customWidth="1"/>
    <col min="16138" max="16138" width="10.140625" style="24" bestFit="1" customWidth="1"/>
    <col min="16139" max="16384" width="9.140625" style="24"/>
  </cols>
  <sheetData>
    <row r="1" spans="1:10" ht="20.25" x14ac:dyDescent="0.3">
      <c r="A1" s="31" t="s">
        <v>12</v>
      </c>
      <c r="D1" s="93" t="s">
        <v>13</v>
      </c>
      <c r="E1" s="93"/>
      <c r="F1" s="93"/>
    </row>
    <row r="2" spans="1:10" ht="18" x14ac:dyDescent="0.25">
      <c r="A2" s="64"/>
      <c r="B2" s="35" t="s">
        <v>14</v>
      </c>
      <c r="C2" s="35" t="s">
        <v>15</v>
      </c>
      <c r="D2" s="35" t="s">
        <v>14</v>
      </c>
      <c r="E2" s="35" t="s">
        <v>15</v>
      </c>
      <c r="F2" s="35" t="s">
        <v>16</v>
      </c>
      <c r="G2" s="35" t="s">
        <v>17</v>
      </c>
      <c r="H2" s="35" t="s">
        <v>18</v>
      </c>
      <c r="I2" s="35" t="s">
        <v>19</v>
      </c>
      <c r="J2" s="15" t="s">
        <v>20</v>
      </c>
    </row>
    <row r="3" spans="1:10" x14ac:dyDescent="0.2">
      <c r="A3" s="65"/>
      <c r="B3" s="35" t="s">
        <v>21</v>
      </c>
      <c r="C3" s="35" t="s">
        <v>21</v>
      </c>
      <c r="D3" s="35" t="s">
        <v>22</v>
      </c>
      <c r="E3" s="35" t="s">
        <v>22</v>
      </c>
      <c r="F3" s="66" t="s">
        <v>21</v>
      </c>
      <c r="G3" s="35" t="s">
        <v>23</v>
      </c>
      <c r="H3" s="59"/>
      <c r="I3" s="35" t="s">
        <v>24</v>
      </c>
      <c r="J3" s="15" t="s">
        <v>25</v>
      </c>
    </row>
    <row r="4" spans="1:10" x14ac:dyDescent="0.2">
      <c r="A4" s="5">
        <v>44440</v>
      </c>
      <c r="B4" s="68">
        <v>0</v>
      </c>
      <c r="C4" s="69">
        <f>IF(B5-B4 &lt; 0,0,B5-B4)</f>
        <v>1945</v>
      </c>
      <c r="D4" s="68">
        <v>833</v>
      </c>
      <c r="E4" s="69">
        <f>IF(D5-D4 &lt; 0,0,D5-D4)</f>
        <v>1153</v>
      </c>
      <c r="F4" s="68">
        <v>0</v>
      </c>
      <c r="G4" s="70">
        <v>0</v>
      </c>
      <c r="H4" s="70" t="s">
        <v>26</v>
      </c>
      <c r="I4" s="69">
        <f>+E4+C4</f>
        <v>3098</v>
      </c>
      <c r="J4" s="16">
        <f>(C4*0.288)+(E4*0.177)</f>
        <v>764.24099999999999</v>
      </c>
    </row>
    <row r="5" spans="1:10" x14ac:dyDescent="0.2">
      <c r="A5" s="5">
        <v>44441</v>
      </c>
      <c r="B5" s="68">
        <v>1945</v>
      </c>
      <c r="C5" s="69">
        <f t="shared" ref="C5:C33" si="0">IF(B6-B5 &lt; 0,0,B6-B5)</f>
        <v>1901</v>
      </c>
      <c r="D5" s="68">
        <v>1986</v>
      </c>
      <c r="E5" s="69">
        <f t="shared" ref="E5:E33" si="1">IF(D6-D5 &lt; 0,0,D6-D5)</f>
        <v>1153</v>
      </c>
      <c r="F5" s="68">
        <v>169</v>
      </c>
      <c r="G5" s="70">
        <v>0</v>
      </c>
      <c r="H5" s="70" t="s">
        <v>27</v>
      </c>
      <c r="I5" s="69">
        <f t="shared" ref="I5:I35" si="2">+E5+C5</f>
        <v>3054</v>
      </c>
      <c r="J5" s="16">
        <f t="shared" ref="J5:J35" si="3">(C5*0.288)+(E5*0.177)</f>
        <v>751.56899999999996</v>
      </c>
    </row>
    <row r="6" spans="1:10" x14ac:dyDescent="0.2">
      <c r="A6" s="5">
        <v>44442</v>
      </c>
      <c r="B6" s="68">
        <v>3846</v>
      </c>
      <c r="C6" s="69">
        <f t="shared" si="0"/>
        <v>1843</v>
      </c>
      <c r="D6" s="68">
        <v>3139</v>
      </c>
      <c r="E6" s="69">
        <f t="shared" si="1"/>
        <v>1204</v>
      </c>
      <c r="F6" s="68">
        <v>169</v>
      </c>
      <c r="G6" s="70">
        <v>0</v>
      </c>
      <c r="H6" s="70" t="s">
        <v>28</v>
      </c>
      <c r="I6" s="69">
        <f t="shared" si="2"/>
        <v>3047</v>
      </c>
      <c r="J6" s="16">
        <f t="shared" si="3"/>
        <v>743.89199999999994</v>
      </c>
    </row>
    <row r="7" spans="1:10" x14ac:dyDescent="0.2">
      <c r="A7" s="5">
        <v>44443</v>
      </c>
      <c r="B7" s="68">
        <v>5689</v>
      </c>
      <c r="C7" s="69">
        <f t="shared" si="0"/>
        <v>1882</v>
      </c>
      <c r="D7" s="68">
        <v>4343</v>
      </c>
      <c r="E7" s="69">
        <f t="shared" si="1"/>
        <v>1223</v>
      </c>
      <c r="F7" s="68">
        <v>169</v>
      </c>
      <c r="G7" s="70">
        <v>0</v>
      </c>
      <c r="H7" s="70" t="s">
        <v>28</v>
      </c>
      <c r="I7" s="69">
        <f t="shared" si="2"/>
        <v>3105</v>
      </c>
      <c r="J7" s="16">
        <f t="shared" si="3"/>
        <v>758.48699999999997</v>
      </c>
    </row>
    <row r="8" spans="1:10" x14ac:dyDescent="0.2">
      <c r="A8" s="5">
        <v>44444</v>
      </c>
      <c r="B8" s="68">
        <v>7571</v>
      </c>
      <c r="C8" s="69">
        <f t="shared" si="0"/>
        <v>1837</v>
      </c>
      <c r="D8" s="68">
        <v>5566</v>
      </c>
      <c r="E8" s="69">
        <f t="shared" si="1"/>
        <v>1203</v>
      </c>
      <c r="F8" s="68">
        <v>169</v>
      </c>
      <c r="G8" s="70">
        <v>0</v>
      </c>
      <c r="H8" s="70" t="s">
        <v>28</v>
      </c>
      <c r="I8" s="69">
        <f t="shared" si="2"/>
        <v>3040</v>
      </c>
      <c r="J8" s="16">
        <f t="shared" si="3"/>
        <v>741.98699999999985</v>
      </c>
    </row>
    <row r="9" spans="1:10" x14ac:dyDescent="0.2">
      <c r="A9" s="5">
        <v>44445</v>
      </c>
      <c r="B9" s="68">
        <v>9408</v>
      </c>
      <c r="C9" s="69">
        <f t="shared" si="0"/>
        <v>2012</v>
      </c>
      <c r="D9" s="68">
        <v>6769</v>
      </c>
      <c r="E9" s="69">
        <f t="shared" si="1"/>
        <v>1290</v>
      </c>
      <c r="F9" s="68">
        <v>169</v>
      </c>
      <c r="G9" s="70">
        <v>0</v>
      </c>
      <c r="H9" s="70" t="s">
        <v>26</v>
      </c>
      <c r="I9" s="69">
        <f t="shared" si="2"/>
        <v>3302</v>
      </c>
      <c r="J9" s="16">
        <f t="shared" si="3"/>
        <v>807.78599999999983</v>
      </c>
    </row>
    <row r="10" spans="1:10" x14ac:dyDescent="0.2">
      <c r="A10" s="5">
        <v>44446</v>
      </c>
      <c r="B10" s="68">
        <v>11420</v>
      </c>
      <c r="C10" s="69">
        <f t="shared" si="0"/>
        <v>2094</v>
      </c>
      <c r="D10" s="68">
        <v>8059</v>
      </c>
      <c r="E10" s="69">
        <f t="shared" si="1"/>
        <v>1253</v>
      </c>
      <c r="F10" s="68">
        <v>171</v>
      </c>
      <c r="G10" s="70">
        <v>0</v>
      </c>
      <c r="H10" s="70" t="s">
        <v>26</v>
      </c>
      <c r="I10" s="69">
        <f t="shared" si="2"/>
        <v>3347</v>
      </c>
      <c r="J10" s="16">
        <f t="shared" si="3"/>
        <v>824.85299999999995</v>
      </c>
    </row>
    <row r="11" spans="1:10" x14ac:dyDescent="0.2">
      <c r="A11" s="5">
        <v>44447</v>
      </c>
      <c r="B11" s="68">
        <v>13514</v>
      </c>
      <c r="C11" s="69">
        <f t="shared" si="0"/>
        <v>2761</v>
      </c>
      <c r="D11" s="68">
        <v>9312</v>
      </c>
      <c r="E11" s="69">
        <f t="shared" si="1"/>
        <v>1611</v>
      </c>
      <c r="F11" s="68">
        <v>184</v>
      </c>
      <c r="G11" s="70">
        <v>0</v>
      </c>
      <c r="H11" s="70" t="s">
        <v>27</v>
      </c>
      <c r="I11" s="69">
        <f t="shared" si="2"/>
        <v>4372</v>
      </c>
      <c r="J11" s="16">
        <f t="shared" si="3"/>
        <v>1080.3149999999998</v>
      </c>
    </row>
    <row r="12" spans="1:10" x14ac:dyDescent="0.2">
      <c r="A12" s="5">
        <v>44448</v>
      </c>
      <c r="B12" s="68">
        <v>16275</v>
      </c>
      <c r="C12" s="69">
        <f t="shared" si="0"/>
        <v>2886</v>
      </c>
      <c r="D12" s="68">
        <v>10923</v>
      </c>
      <c r="E12" s="69">
        <f t="shared" si="1"/>
        <v>1782</v>
      </c>
      <c r="F12" s="68">
        <v>240</v>
      </c>
      <c r="G12" s="70">
        <v>0</v>
      </c>
      <c r="H12" s="70" t="s">
        <v>27</v>
      </c>
      <c r="I12" s="69">
        <f t="shared" si="2"/>
        <v>4668</v>
      </c>
      <c r="J12" s="16">
        <f t="shared" si="3"/>
        <v>1146.5819999999999</v>
      </c>
    </row>
    <row r="13" spans="1:10" x14ac:dyDescent="0.2">
      <c r="A13" s="5">
        <v>44449</v>
      </c>
      <c r="B13" s="68">
        <v>19161</v>
      </c>
      <c r="C13" s="69">
        <f t="shared" si="0"/>
        <v>2970</v>
      </c>
      <c r="D13" s="68">
        <v>12705</v>
      </c>
      <c r="E13" s="69">
        <f t="shared" si="1"/>
        <v>1755</v>
      </c>
      <c r="F13" s="68">
        <v>271</v>
      </c>
      <c r="G13" s="70">
        <v>0</v>
      </c>
      <c r="H13" s="70" t="s">
        <v>26</v>
      </c>
      <c r="I13" s="69">
        <f t="shared" si="2"/>
        <v>4725</v>
      </c>
      <c r="J13" s="16">
        <f t="shared" si="3"/>
        <v>1165.9949999999999</v>
      </c>
    </row>
    <row r="14" spans="1:10" x14ac:dyDescent="0.2">
      <c r="A14" s="5">
        <v>44450</v>
      </c>
      <c r="B14" s="68">
        <v>22131</v>
      </c>
      <c r="C14" s="69">
        <f t="shared" si="0"/>
        <v>3408</v>
      </c>
      <c r="D14" s="68">
        <v>14460</v>
      </c>
      <c r="E14" s="69">
        <f t="shared" si="1"/>
        <v>2064</v>
      </c>
      <c r="F14" s="68">
        <v>271</v>
      </c>
      <c r="G14" s="70">
        <v>0</v>
      </c>
      <c r="H14" s="70" t="s">
        <v>26</v>
      </c>
      <c r="I14" s="69">
        <f t="shared" si="2"/>
        <v>5472</v>
      </c>
      <c r="J14" s="16">
        <f t="shared" si="3"/>
        <v>1346.8319999999999</v>
      </c>
    </row>
    <row r="15" spans="1:10" x14ac:dyDescent="0.2">
      <c r="A15" s="5">
        <v>44451</v>
      </c>
      <c r="B15" s="68">
        <v>25539</v>
      </c>
      <c r="C15" s="69">
        <f t="shared" si="0"/>
        <v>4704</v>
      </c>
      <c r="D15" s="68">
        <v>16524</v>
      </c>
      <c r="E15" s="69">
        <f t="shared" si="1"/>
        <v>2905</v>
      </c>
      <c r="F15" s="68">
        <v>339</v>
      </c>
      <c r="G15" s="70">
        <v>0</v>
      </c>
      <c r="H15" s="70" t="s">
        <v>26</v>
      </c>
      <c r="I15" s="69">
        <f t="shared" si="2"/>
        <v>7609</v>
      </c>
      <c r="J15" s="16">
        <f t="shared" si="3"/>
        <v>1868.9369999999999</v>
      </c>
    </row>
    <row r="16" spans="1:10" x14ac:dyDescent="0.2">
      <c r="A16" s="5">
        <v>44452</v>
      </c>
      <c r="B16" s="68">
        <v>30243</v>
      </c>
      <c r="C16" s="69">
        <f t="shared" si="0"/>
        <v>3958</v>
      </c>
      <c r="D16" s="68">
        <v>19429</v>
      </c>
      <c r="E16" s="69">
        <f t="shared" si="1"/>
        <v>2149</v>
      </c>
      <c r="F16" s="68">
        <v>414</v>
      </c>
      <c r="G16" s="70">
        <v>0</v>
      </c>
      <c r="H16" s="70" t="s">
        <v>27</v>
      </c>
      <c r="I16" s="69">
        <f t="shared" si="2"/>
        <v>6107</v>
      </c>
      <c r="J16" s="16">
        <f t="shared" si="3"/>
        <v>1520.277</v>
      </c>
    </row>
    <row r="17" spans="1:10" x14ac:dyDescent="0.2">
      <c r="A17" s="5">
        <v>44453</v>
      </c>
      <c r="B17" s="68">
        <v>34201</v>
      </c>
      <c r="C17" s="69">
        <f t="shared" si="0"/>
        <v>4339</v>
      </c>
      <c r="D17" s="68">
        <v>21578</v>
      </c>
      <c r="E17" s="69">
        <f t="shared" si="1"/>
        <v>2414</v>
      </c>
      <c r="F17" s="68">
        <v>414</v>
      </c>
      <c r="G17" s="70">
        <v>0</v>
      </c>
      <c r="H17" s="70" t="s">
        <v>26</v>
      </c>
      <c r="I17" s="69">
        <f t="shared" si="2"/>
        <v>6753</v>
      </c>
      <c r="J17" s="16">
        <f t="shared" si="3"/>
        <v>1676.9099999999999</v>
      </c>
    </row>
    <row r="18" spans="1:10" x14ac:dyDescent="0.2">
      <c r="A18" s="5">
        <v>44454</v>
      </c>
      <c r="B18" s="68">
        <v>38540</v>
      </c>
      <c r="C18" s="69">
        <f t="shared" si="0"/>
        <v>4671</v>
      </c>
      <c r="D18" s="68">
        <v>23992</v>
      </c>
      <c r="E18" s="69">
        <f t="shared" si="1"/>
        <v>2836</v>
      </c>
      <c r="F18" s="68">
        <v>414</v>
      </c>
      <c r="G18" s="70">
        <v>0</v>
      </c>
      <c r="H18" s="70" t="s">
        <v>27</v>
      </c>
      <c r="I18" s="69">
        <f t="shared" si="2"/>
        <v>7507</v>
      </c>
      <c r="J18" s="16">
        <f t="shared" si="3"/>
        <v>1847.2199999999998</v>
      </c>
    </row>
    <row r="19" spans="1:10" x14ac:dyDescent="0.2">
      <c r="A19" s="5">
        <v>44455</v>
      </c>
      <c r="B19" s="68">
        <v>43211</v>
      </c>
      <c r="C19" s="69">
        <f t="shared" si="0"/>
        <v>5646</v>
      </c>
      <c r="D19" s="68">
        <v>26828</v>
      </c>
      <c r="E19" s="69">
        <f t="shared" si="1"/>
        <v>3227</v>
      </c>
      <c r="F19" s="68">
        <v>414</v>
      </c>
      <c r="G19" s="76">
        <v>0.27</v>
      </c>
      <c r="H19" s="70" t="s">
        <v>26</v>
      </c>
      <c r="I19" s="69">
        <f t="shared" si="2"/>
        <v>8873</v>
      </c>
      <c r="J19" s="16">
        <f t="shared" si="3"/>
        <v>2197.2269999999999</v>
      </c>
    </row>
    <row r="20" spans="1:10" x14ac:dyDescent="0.2">
      <c r="A20" s="5">
        <v>44456</v>
      </c>
      <c r="B20" s="68">
        <v>48857</v>
      </c>
      <c r="C20" s="69">
        <f t="shared" si="0"/>
        <v>5784</v>
      </c>
      <c r="D20" s="68">
        <v>30055</v>
      </c>
      <c r="E20" s="69">
        <f t="shared" si="1"/>
        <v>3090</v>
      </c>
      <c r="F20" s="68">
        <v>478</v>
      </c>
      <c r="G20" s="76">
        <v>0.43</v>
      </c>
      <c r="H20" s="70" t="s">
        <v>26</v>
      </c>
      <c r="I20" s="69">
        <f t="shared" si="2"/>
        <v>8874</v>
      </c>
      <c r="J20" s="16">
        <f t="shared" si="3"/>
        <v>2212.7219999999998</v>
      </c>
    </row>
    <row r="21" spans="1:10" x14ac:dyDescent="0.2">
      <c r="A21" s="5">
        <v>44457</v>
      </c>
      <c r="B21" s="68">
        <v>54641</v>
      </c>
      <c r="C21" s="69">
        <f t="shared" si="0"/>
        <v>6395</v>
      </c>
      <c r="D21" s="68">
        <v>33145</v>
      </c>
      <c r="E21" s="69">
        <f t="shared" si="1"/>
        <v>3414</v>
      </c>
      <c r="F21" s="68">
        <v>484</v>
      </c>
      <c r="G21" s="76">
        <v>0.51</v>
      </c>
      <c r="H21" s="70" t="s">
        <v>26</v>
      </c>
      <c r="I21" s="69">
        <f t="shared" si="2"/>
        <v>9809</v>
      </c>
      <c r="J21" s="16">
        <f t="shared" si="3"/>
        <v>2446.0379999999996</v>
      </c>
    </row>
    <row r="22" spans="1:10" x14ac:dyDescent="0.2">
      <c r="A22" s="5">
        <v>44458</v>
      </c>
      <c r="B22" s="68">
        <v>61036</v>
      </c>
      <c r="C22" s="69">
        <f t="shared" si="0"/>
        <v>10842</v>
      </c>
      <c r="D22" s="68">
        <v>36559</v>
      </c>
      <c r="E22" s="69">
        <f t="shared" si="1"/>
        <v>6294</v>
      </c>
      <c r="F22" s="68">
        <v>525</v>
      </c>
      <c r="G22" s="76">
        <v>0.21</v>
      </c>
      <c r="H22" s="70" t="s">
        <v>26</v>
      </c>
      <c r="I22" s="69">
        <f t="shared" si="2"/>
        <v>17136</v>
      </c>
      <c r="J22" s="16">
        <f t="shared" si="3"/>
        <v>4236.5339999999997</v>
      </c>
    </row>
    <row r="23" spans="1:10" x14ac:dyDescent="0.2">
      <c r="A23" s="5">
        <v>44459</v>
      </c>
      <c r="B23" s="68">
        <v>71878</v>
      </c>
      <c r="C23" s="69">
        <f t="shared" si="0"/>
        <v>5390</v>
      </c>
      <c r="D23" s="68">
        <v>42853</v>
      </c>
      <c r="E23" s="69">
        <f t="shared" si="1"/>
        <v>3130</v>
      </c>
      <c r="F23" s="68">
        <v>525</v>
      </c>
      <c r="G23" s="76">
        <v>0.24</v>
      </c>
      <c r="H23" s="70" t="s">
        <v>26</v>
      </c>
      <c r="I23" s="69">
        <f t="shared" si="2"/>
        <v>8520</v>
      </c>
      <c r="J23" s="16">
        <f t="shared" si="3"/>
        <v>2106.33</v>
      </c>
    </row>
    <row r="24" spans="1:10" x14ac:dyDescent="0.2">
      <c r="A24" s="5">
        <v>44460</v>
      </c>
      <c r="B24" s="68">
        <v>77268</v>
      </c>
      <c r="C24" s="69">
        <f t="shared" si="0"/>
        <v>5978</v>
      </c>
      <c r="D24" s="68">
        <v>45983</v>
      </c>
      <c r="E24" s="69">
        <f t="shared" si="1"/>
        <v>3524</v>
      </c>
      <c r="F24" s="68">
        <v>525</v>
      </c>
      <c r="G24" s="76">
        <v>0.24</v>
      </c>
      <c r="H24" s="70" t="s">
        <v>28</v>
      </c>
      <c r="I24" s="69">
        <f t="shared" si="2"/>
        <v>9502</v>
      </c>
      <c r="J24" s="16">
        <f t="shared" si="3"/>
        <v>2345.4119999999998</v>
      </c>
    </row>
    <row r="25" spans="1:10" x14ac:dyDescent="0.2">
      <c r="A25" s="5">
        <v>44461</v>
      </c>
      <c r="B25" s="68">
        <v>83246</v>
      </c>
      <c r="C25" s="69">
        <f t="shared" si="0"/>
        <v>5915</v>
      </c>
      <c r="D25" s="68">
        <v>49507</v>
      </c>
      <c r="E25" s="69">
        <f t="shared" si="1"/>
        <v>3227</v>
      </c>
      <c r="F25" s="68">
        <v>525</v>
      </c>
      <c r="G25" s="76">
        <v>0.36</v>
      </c>
      <c r="H25" s="70" t="s">
        <v>26</v>
      </c>
      <c r="I25" s="69">
        <f t="shared" si="2"/>
        <v>9142</v>
      </c>
      <c r="J25" s="16">
        <f t="shared" si="3"/>
        <v>2274.6990000000001</v>
      </c>
    </row>
    <row r="26" spans="1:10" x14ac:dyDescent="0.2">
      <c r="A26" s="5">
        <v>44462</v>
      </c>
      <c r="B26" s="68">
        <v>89161</v>
      </c>
      <c r="C26" s="69">
        <f t="shared" si="0"/>
        <v>6360</v>
      </c>
      <c r="D26" s="68">
        <v>52734</v>
      </c>
      <c r="E26" s="69">
        <f t="shared" si="1"/>
        <v>3602</v>
      </c>
      <c r="F26" s="68">
        <v>525</v>
      </c>
      <c r="G26" s="76">
        <v>0.35</v>
      </c>
      <c r="H26" s="71" t="s">
        <v>26</v>
      </c>
      <c r="I26" s="69">
        <f t="shared" si="2"/>
        <v>9962</v>
      </c>
      <c r="J26" s="16">
        <f t="shared" si="3"/>
        <v>2469.2339999999999</v>
      </c>
    </row>
    <row r="27" spans="1:10" x14ac:dyDescent="0.2">
      <c r="A27" s="5">
        <v>44463</v>
      </c>
      <c r="B27" s="68">
        <v>95521</v>
      </c>
      <c r="C27" s="69">
        <f t="shared" si="0"/>
        <v>5819</v>
      </c>
      <c r="D27" s="68">
        <v>56336</v>
      </c>
      <c r="E27" s="69">
        <f t="shared" si="1"/>
        <v>3358</v>
      </c>
      <c r="F27" s="68">
        <v>527</v>
      </c>
      <c r="G27" s="76">
        <v>0.32</v>
      </c>
      <c r="H27" s="70" t="s">
        <v>26</v>
      </c>
      <c r="I27" s="69">
        <f t="shared" si="2"/>
        <v>9177</v>
      </c>
      <c r="J27" s="16">
        <f t="shared" si="3"/>
        <v>2270.2379999999998</v>
      </c>
    </row>
    <row r="28" spans="1:10" x14ac:dyDescent="0.2">
      <c r="A28" s="5">
        <v>44464</v>
      </c>
      <c r="B28" s="68">
        <v>101340</v>
      </c>
      <c r="C28" s="69">
        <f t="shared" si="0"/>
        <v>5756</v>
      </c>
      <c r="D28" s="68">
        <v>59694</v>
      </c>
      <c r="E28" s="69">
        <f t="shared" si="1"/>
        <v>3205</v>
      </c>
      <c r="F28" s="68">
        <v>527</v>
      </c>
      <c r="G28" s="76">
        <v>0.34</v>
      </c>
      <c r="H28" s="70" t="s">
        <v>26</v>
      </c>
      <c r="I28" s="69">
        <f t="shared" si="2"/>
        <v>8961</v>
      </c>
      <c r="J28" s="16">
        <f t="shared" si="3"/>
        <v>2225.0129999999999</v>
      </c>
    </row>
    <row r="29" spans="1:10" x14ac:dyDescent="0.2">
      <c r="A29" s="5">
        <v>44465</v>
      </c>
      <c r="B29" s="68">
        <v>107096</v>
      </c>
      <c r="C29" s="69">
        <f t="shared" si="0"/>
        <v>5876</v>
      </c>
      <c r="D29" s="68">
        <v>62899</v>
      </c>
      <c r="E29" s="69">
        <f t="shared" si="1"/>
        <v>3303</v>
      </c>
      <c r="F29" s="68">
        <v>527</v>
      </c>
      <c r="G29" s="76">
        <v>0.28000000000000003</v>
      </c>
      <c r="H29" s="70" t="s">
        <v>26</v>
      </c>
      <c r="I29" s="69">
        <f t="shared" si="2"/>
        <v>9179</v>
      </c>
      <c r="J29" s="16">
        <f t="shared" si="3"/>
        <v>2276.9189999999999</v>
      </c>
    </row>
    <row r="30" spans="1:10" x14ac:dyDescent="0.2">
      <c r="A30" s="5">
        <v>44466</v>
      </c>
      <c r="B30" s="68">
        <v>112972</v>
      </c>
      <c r="C30" s="69">
        <f t="shared" si="0"/>
        <v>6036</v>
      </c>
      <c r="D30" s="68">
        <v>66202</v>
      </c>
      <c r="E30" s="69">
        <f t="shared" si="1"/>
        <v>3515</v>
      </c>
      <c r="F30" s="68">
        <v>527</v>
      </c>
      <c r="G30" s="70"/>
      <c r="H30" s="70"/>
      <c r="I30" s="69">
        <f t="shared" si="2"/>
        <v>9551</v>
      </c>
      <c r="J30" s="16">
        <f t="shared" si="3"/>
        <v>2360.5230000000001</v>
      </c>
    </row>
    <row r="31" spans="1:10" x14ac:dyDescent="0.2">
      <c r="A31" s="5">
        <v>44467</v>
      </c>
      <c r="B31" s="68">
        <v>119008</v>
      </c>
      <c r="C31" s="69">
        <f t="shared" si="0"/>
        <v>6024</v>
      </c>
      <c r="D31" s="68">
        <v>69717</v>
      </c>
      <c r="E31" s="69">
        <f t="shared" si="1"/>
        <v>3323</v>
      </c>
      <c r="F31" s="68">
        <v>527</v>
      </c>
      <c r="G31" s="70"/>
      <c r="H31" s="70"/>
      <c r="I31" s="69">
        <f t="shared" si="2"/>
        <v>9347</v>
      </c>
      <c r="J31" s="16">
        <f t="shared" si="3"/>
        <v>2323.0829999999996</v>
      </c>
    </row>
    <row r="32" spans="1:10" x14ac:dyDescent="0.2">
      <c r="A32" s="5">
        <v>44468</v>
      </c>
      <c r="B32" s="68">
        <v>125032</v>
      </c>
      <c r="C32" s="69">
        <f t="shared" si="0"/>
        <v>0</v>
      </c>
      <c r="D32" s="68">
        <v>73040</v>
      </c>
      <c r="E32" s="69">
        <f t="shared" si="1"/>
        <v>0</v>
      </c>
      <c r="F32" s="68">
        <v>527</v>
      </c>
      <c r="G32" s="70"/>
      <c r="H32" s="70"/>
      <c r="I32" s="69">
        <f t="shared" si="2"/>
        <v>0</v>
      </c>
      <c r="J32" s="16">
        <f t="shared" si="3"/>
        <v>0</v>
      </c>
    </row>
    <row r="33" spans="1:10" x14ac:dyDescent="0.2">
      <c r="A33" s="5">
        <v>44469</v>
      </c>
      <c r="B33" s="68">
        <v>0</v>
      </c>
      <c r="C33" s="69">
        <f t="shared" si="0"/>
        <v>0</v>
      </c>
      <c r="D33" s="68">
        <v>2401</v>
      </c>
      <c r="E33" s="69">
        <f t="shared" si="1"/>
        <v>0</v>
      </c>
      <c r="F33" s="68">
        <v>0</v>
      </c>
      <c r="G33" s="76">
        <v>0.35</v>
      </c>
      <c r="H33" s="70" t="s">
        <v>29</v>
      </c>
      <c r="I33" s="69">
        <f t="shared" si="2"/>
        <v>0</v>
      </c>
      <c r="J33" s="16">
        <f t="shared" si="3"/>
        <v>0</v>
      </c>
    </row>
    <row r="34" spans="1:10" x14ac:dyDescent="0.2">
      <c r="A34" s="5"/>
      <c r="B34" s="72"/>
      <c r="C34" s="69"/>
      <c r="D34" s="68"/>
      <c r="E34" s="69"/>
      <c r="F34" s="68"/>
      <c r="G34" s="70"/>
      <c r="H34" s="70"/>
      <c r="I34" s="69">
        <f t="shared" si="2"/>
        <v>0</v>
      </c>
      <c r="J34" s="16">
        <f t="shared" si="3"/>
        <v>0</v>
      </c>
    </row>
    <row r="35" spans="1:10" x14ac:dyDescent="0.2">
      <c r="A35" s="41"/>
      <c r="B35" s="68"/>
      <c r="C35" s="69"/>
      <c r="D35" s="68"/>
      <c r="E35" s="69"/>
      <c r="F35" s="68"/>
      <c r="G35" s="70"/>
      <c r="H35" s="70"/>
      <c r="I35" s="69">
        <f t="shared" si="2"/>
        <v>0</v>
      </c>
      <c r="J35" s="16">
        <f t="shared" si="3"/>
        <v>0</v>
      </c>
    </row>
    <row r="36" spans="1:10" x14ac:dyDescent="0.2">
      <c r="A36" s="91" t="s">
        <v>30</v>
      </c>
      <c r="B36" s="92"/>
      <c r="C36" s="73">
        <f>SUM(C4:C34)</f>
        <v>125032</v>
      </c>
      <c r="D36" s="73"/>
      <c r="E36" s="73">
        <f>SUM(E4:E34)</f>
        <v>72207</v>
      </c>
      <c r="F36" s="73"/>
      <c r="G36" s="59"/>
      <c r="H36" s="59"/>
      <c r="I36" s="69">
        <f>+E36+C36</f>
        <v>197239</v>
      </c>
      <c r="J36" s="16">
        <f>(C36*0.288)+(E36*0.177)</f>
        <v>48789.854999999996</v>
      </c>
    </row>
    <row r="37" spans="1:10" x14ac:dyDescent="0.2">
      <c r="A37" s="60"/>
      <c r="C37" s="32">
        <f>COUNTIF(C4:C34,"&gt;0")</f>
        <v>28</v>
      </c>
      <c r="G37" s="32"/>
    </row>
    <row r="39" spans="1:10" ht="15.75" x14ac:dyDescent="0.25">
      <c r="A39" s="63" t="s">
        <v>31</v>
      </c>
    </row>
  </sheetData>
  <mergeCells count="2">
    <mergeCell ref="A36:B36"/>
    <mergeCell ref="D1:F1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61" customWidth="1"/>
    <col min="2" max="2" width="20.28515625" style="32" bestFit="1" customWidth="1"/>
    <col min="3" max="3" width="18.85546875" style="32" bestFit="1" customWidth="1"/>
    <col min="4" max="4" width="20.28515625" style="32" bestFit="1" customWidth="1"/>
    <col min="5" max="5" width="18.85546875" style="32" customWidth="1"/>
    <col min="6" max="6" width="14.7109375" style="32" customWidth="1"/>
    <col min="7" max="7" width="11.28515625" style="24" customWidth="1"/>
    <col min="8" max="8" width="13.85546875" style="24" customWidth="1"/>
    <col min="9" max="9" width="19.140625" style="32" bestFit="1" customWidth="1"/>
    <col min="10" max="10" width="10.140625" style="14" bestFit="1" customWidth="1"/>
    <col min="11" max="256" width="9.140625" style="24"/>
    <col min="257" max="257" width="14" style="24" customWidth="1"/>
    <col min="258" max="258" width="20.28515625" style="24" bestFit="1" customWidth="1"/>
    <col min="259" max="259" width="18.85546875" style="24" bestFit="1" customWidth="1"/>
    <col min="260" max="260" width="20.28515625" style="24" bestFit="1" customWidth="1"/>
    <col min="261" max="261" width="18.85546875" style="24" customWidth="1"/>
    <col min="262" max="262" width="14.7109375" style="24" customWidth="1"/>
    <col min="263" max="263" width="11.28515625" style="24" customWidth="1"/>
    <col min="264" max="264" width="13.85546875" style="24" customWidth="1"/>
    <col min="265" max="265" width="19.140625" style="24" bestFit="1" customWidth="1"/>
    <col min="266" max="266" width="10.140625" style="24" bestFit="1" customWidth="1"/>
    <col min="267" max="512" width="9.140625" style="24"/>
    <col min="513" max="513" width="14" style="24" customWidth="1"/>
    <col min="514" max="514" width="20.28515625" style="24" bestFit="1" customWidth="1"/>
    <col min="515" max="515" width="18.85546875" style="24" bestFit="1" customWidth="1"/>
    <col min="516" max="516" width="20.28515625" style="24" bestFit="1" customWidth="1"/>
    <col min="517" max="517" width="18.85546875" style="24" customWidth="1"/>
    <col min="518" max="518" width="14.7109375" style="24" customWidth="1"/>
    <col min="519" max="519" width="11.28515625" style="24" customWidth="1"/>
    <col min="520" max="520" width="13.85546875" style="24" customWidth="1"/>
    <col min="521" max="521" width="19.140625" style="24" bestFit="1" customWidth="1"/>
    <col min="522" max="522" width="10.140625" style="24" bestFit="1" customWidth="1"/>
    <col min="523" max="768" width="9.140625" style="24"/>
    <col min="769" max="769" width="14" style="24" customWidth="1"/>
    <col min="770" max="770" width="20.28515625" style="24" bestFit="1" customWidth="1"/>
    <col min="771" max="771" width="18.85546875" style="24" bestFit="1" customWidth="1"/>
    <col min="772" max="772" width="20.28515625" style="24" bestFit="1" customWidth="1"/>
    <col min="773" max="773" width="18.85546875" style="24" customWidth="1"/>
    <col min="774" max="774" width="14.7109375" style="24" customWidth="1"/>
    <col min="775" max="775" width="11.28515625" style="24" customWidth="1"/>
    <col min="776" max="776" width="13.85546875" style="24" customWidth="1"/>
    <col min="777" max="777" width="19.140625" style="24" bestFit="1" customWidth="1"/>
    <col min="778" max="778" width="10.140625" style="24" bestFit="1" customWidth="1"/>
    <col min="779" max="1024" width="9.140625" style="24"/>
    <col min="1025" max="1025" width="14" style="24" customWidth="1"/>
    <col min="1026" max="1026" width="20.28515625" style="24" bestFit="1" customWidth="1"/>
    <col min="1027" max="1027" width="18.85546875" style="24" bestFit="1" customWidth="1"/>
    <col min="1028" max="1028" width="20.28515625" style="24" bestFit="1" customWidth="1"/>
    <col min="1029" max="1029" width="18.85546875" style="24" customWidth="1"/>
    <col min="1030" max="1030" width="14.7109375" style="24" customWidth="1"/>
    <col min="1031" max="1031" width="11.28515625" style="24" customWidth="1"/>
    <col min="1032" max="1032" width="13.85546875" style="24" customWidth="1"/>
    <col min="1033" max="1033" width="19.140625" style="24" bestFit="1" customWidth="1"/>
    <col min="1034" max="1034" width="10.140625" style="24" bestFit="1" customWidth="1"/>
    <col min="1035" max="1280" width="9.140625" style="24"/>
    <col min="1281" max="1281" width="14" style="24" customWidth="1"/>
    <col min="1282" max="1282" width="20.28515625" style="24" bestFit="1" customWidth="1"/>
    <col min="1283" max="1283" width="18.85546875" style="24" bestFit="1" customWidth="1"/>
    <col min="1284" max="1284" width="20.28515625" style="24" bestFit="1" customWidth="1"/>
    <col min="1285" max="1285" width="18.85546875" style="24" customWidth="1"/>
    <col min="1286" max="1286" width="14.7109375" style="24" customWidth="1"/>
    <col min="1287" max="1287" width="11.28515625" style="24" customWidth="1"/>
    <col min="1288" max="1288" width="13.85546875" style="24" customWidth="1"/>
    <col min="1289" max="1289" width="19.140625" style="24" bestFit="1" customWidth="1"/>
    <col min="1290" max="1290" width="10.140625" style="24" bestFit="1" customWidth="1"/>
    <col min="1291" max="1536" width="9.140625" style="24"/>
    <col min="1537" max="1537" width="14" style="24" customWidth="1"/>
    <col min="1538" max="1538" width="20.28515625" style="24" bestFit="1" customWidth="1"/>
    <col min="1539" max="1539" width="18.85546875" style="24" bestFit="1" customWidth="1"/>
    <col min="1540" max="1540" width="20.28515625" style="24" bestFit="1" customWidth="1"/>
    <col min="1541" max="1541" width="18.85546875" style="24" customWidth="1"/>
    <col min="1542" max="1542" width="14.7109375" style="24" customWidth="1"/>
    <col min="1543" max="1543" width="11.28515625" style="24" customWidth="1"/>
    <col min="1544" max="1544" width="13.85546875" style="24" customWidth="1"/>
    <col min="1545" max="1545" width="19.140625" style="24" bestFit="1" customWidth="1"/>
    <col min="1546" max="1546" width="10.140625" style="24" bestFit="1" customWidth="1"/>
    <col min="1547" max="1792" width="9.140625" style="24"/>
    <col min="1793" max="1793" width="14" style="24" customWidth="1"/>
    <col min="1794" max="1794" width="20.28515625" style="24" bestFit="1" customWidth="1"/>
    <col min="1795" max="1795" width="18.85546875" style="24" bestFit="1" customWidth="1"/>
    <col min="1796" max="1796" width="20.28515625" style="24" bestFit="1" customWidth="1"/>
    <col min="1797" max="1797" width="18.85546875" style="24" customWidth="1"/>
    <col min="1798" max="1798" width="14.7109375" style="24" customWidth="1"/>
    <col min="1799" max="1799" width="11.28515625" style="24" customWidth="1"/>
    <col min="1800" max="1800" width="13.85546875" style="24" customWidth="1"/>
    <col min="1801" max="1801" width="19.140625" style="24" bestFit="1" customWidth="1"/>
    <col min="1802" max="1802" width="10.140625" style="24" bestFit="1" customWidth="1"/>
    <col min="1803" max="2048" width="9.140625" style="24"/>
    <col min="2049" max="2049" width="14" style="24" customWidth="1"/>
    <col min="2050" max="2050" width="20.28515625" style="24" bestFit="1" customWidth="1"/>
    <col min="2051" max="2051" width="18.85546875" style="24" bestFit="1" customWidth="1"/>
    <col min="2052" max="2052" width="20.28515625" style="24" bestFit="1" customWidth="1"/>
    <col min="2053" max="2053" width="18.85546875" style="24" customWidth="1"/>
    <col min="2054" max="2054" width="14.7109375" style="24" customWidth="1"/>
    <col min="2055" max="2055" width="11.28515625" style="24" customWidth="1"/>
    <col min="2056" max="2056" width="13.85546875" style="24" customWidth="1"/>
    <col min="2057" max="2057" width="19.140625" style="24" bestFit="1" customWidth="1"/>
    <col min="2058" max="2058" width="10.140625" style="24" bestFit="1" customWidth="1"/>
    <col min="2059" max="2304" width="9.140625" style="24"/>
    <col min="2305" max="2305" width="14" style="24" customWidth="1"/>
    <col min="2306" max="2306" width="20.28515625" style="24" bestFit="1" customWidth="1"/>
    <col min="2307" max="2307" width="18.85546875" style="24" bestFit="1" customWidth="1"/>
    <col min="2308" max="2308" width="20.28515625" style="24" bestFit="1" customWidth="1"/>
    <col min="2309" max="2309" width="18.85546875" style="24" customWidth="1"/>
    <col min="2310" max="2310" width="14.7109375" style="24" customWidth="1"/>
    <col min="2311" max="2311" width="11.28515625" style="24" customWidth="1"/>
    <col min="2312" max="2312" width="13.85546875" style="24" customWidth="1"/>
    <col min="2313" max="2313" width="19.140625" style="24" bestFit="1" customWidth="1"/>
    <col min="2314" max="2314" width="10.140625" style="24" bestFit="1" customWidth="1"/>
    <col min="2315" max="2560" width="9.140625" style="24"/>
    <col min="2561" max="2561" width="14" style="24" customWidth="1"/>
    <col min="2562" max="2562" width="20.28515625" style="24" bestFit="1" customWidth="1"/>
    <col min="2563" max="2563" width="18.85546875" style="24" bestFit="1" customWidth="1"/>
    <col min="2564" max="2564" width="20.28515625" style="24" bestFit="1" customWidth="1"/>
    <col min="2565" max="2565" width="18.85546875" style="24" customWidth="1"/>
    <col min="2566" max="2566" width="14.7109375" style="24" customWidth="1"/>
    <col min="2567" max="2567" width="11.28515625" style="24" customWidth="1"/>
    <col min="2568" max="2568" width="13.85546875" style="24" customWidth="1"/>
    <col min="2569" max="2569" width="19.140625" style="24" bestFit="1" customWidth="1"/>
    <col min="2570" max="2570" width="10.140625" style="24" bestFit="1" customWidth="1"/>
    <col min="2571" max="2816" width="9.140625" style="24"/>
    <col min="2817" max="2817" width="14" style="24" customWidth="1"/>
    <col min="2818" max="2818" width="20.28515625" style="24" bestFit="1" customWidth="1"/>
    <col min="2819" max="2819" width="18.85546875" style="24" bestFit="1" customWidth="1"/>
    <col min="2820" max="2820" width="20.28515625" style="24" bestFit="1" customWidth="1"/>
    <col min="2821" max="2821" width="18.85546875" style="24" customWidth="1"/>
    <col min="2822" max="2822" width="14.7109375" style="24" customWidth="1"/>
    <col min="2823" max="2823" width="11.28515625" style="24" customWidth="1"/>
    <col min="2824" max="2824" width="13.85546875" style="24" customWidth="1"/>
    <col min="2825" max="2825" width="19.140625" style="24" bestFit="1" customWidth="1"/>
    <col min="2826" max="2826" width="10.140625" style="24" bestFit="1" customWidth="1"/>
    <col min="2827" max="3072" width="9.140625" style="24"/>
    <col min="3073" max="3073" width="14" style="24" customWidth="1"/>
    <col min="3074" max="3074" width="20.28515625" style="24" bestFit="1" customWidth="1"/>
    <col min="3075" max="3075" width="18.85546875" style="24" bestFit="1" customWidth="1"/>
    <col min="3076" max="3076" width="20.28515625" style="24" bestFit="1" customWidth="1"/>
    <col min="3077" max="3077" width="18.85546875" style="24" customWidth="1"/>
    <col min="3078" max="3078" width="14.7109375" style="24" customWidth="1"/>
    <col min="3079" max="3079" width="11.28515625" style="24" customWidth="1"/>
    <col min="3080" max="3080" width="13.85546875" style="24" customWidth="1"/>
    <col min="3081" max="3081" width="19.140625" style="24" bestFit="1" customWidth="1"/>
    <col min="3082" max="3082" width="10.140625" style="24" bestFit="1" customWidth="1"/>
    <col min="3083" max="3328" width="9.140625" style="24"/>
    <col min="3329" max="3329" width="14" style="24" customWidth="1"/>
    <col min="3330" max="3330" width="20.28515625" style="24" bestFit="1" customWidth="1"/>
    <col min="3331" max="3331" width="18.85546875" style="24" bestFit="1" customWidth="1"/>
    <col min="3332" max="3332" width="20.28515625" style="24" bestFit="1" customWidth="1"/>
    <col min="3333" max="3333" width="18.85546875" style="24" customWidth="1"/>
    <col min="3334" max="3334" width="14.7109375" style="24" customWidth="1"/>
    <col min="3335" max="3335" width="11.28515625" style="24" customWidth="1"/>
    <col min="3336" max="3336" width="13.85546875" style="24" customWidth="1"/>
    <col min="3337" max="3337" width="19.140625" style="24" bestFit="1" customWidth="1"/>
    <col min="3338" max="3338" width="10.140625" style="24" bestFit="1" customWidth="1"/>
    <col min="3339" max="3584" width="9.140625" style="24"/>
    <col min="3585" max="3585" width="14" style="24" customWidth="1"/>
    <col min="3586" max="3586" width="20.28515625" style="24" bestFit="1" customWidth="1"/>
    <col min="3587" max="3587" width="18.85546875" style="24" bestFit="1" customWidth="1"/>
    <col min="3588" max="3588" width="20.28515625" style="24" bestFit="1" customWidth="1"/>
    <col min="3589" max="3589" width="18.85546875" style="24" customWidth="1"/>
    <col min="3590" max="3590" width="14.7109375" style="24" customWidth="1"/>
    <col min="3591" max="3591" width="11.28515625" style="24" customWidth="1"/>
    <col min="3592" max="3592" width="13.85546875" style="24" customWidth="1"/>
    <col min="3593" max="3593" width="19.140625" style="24" bestFit="1" customWidth="1"/>
    <col min="3594" max="3594" width="10.140625" style="24" bestFit="1" customWidth="1"/>
    <col min="3595" max="3840" width="9.140625" style="24"/>
    <col min="3841" max="3841" width="14" style="24" customWidth="1"/>
    <col min="3842" max="3842" width="20.28515625" style="24" bestFit="1" customWidth="1"/>
    <col min="3843" max="3843" width="18.85546875" style="24" bestFit="1" customWidth="1"/>
    <col min="3844" max="3844" width="20.28515625" style="24" bestFit="1" customWidth="1"/>
    <col min="3845" max="3845" width="18.85546875" style="24" customWidth="1"/>
    <col min="3846" max="3846" width="14.7109375" style="24" customWidth="1"/>
    <col min="3847" max="3847" width="11.28515625" style="24" customWidth="1"/>
    <col min="3848" max="3848" width="13.85546875" style="24" customWidth="1"/>
    <col min="3849" max="3849" width="19.140625" style="24" bestFit="1" customWidth="1"/>
    <col min="3850" max="3850" width="10.140625" style="24" bestFit="1" customWidth="1"/>
    <col min="3851" max="4096" width="9.140625" style="24"/>
    <col min="4097" max="4097" width="14" style="24" customWidth="1"/>
    <col min="4098" max="4098" width="20.28515625" style="24" bestFit="1" customWidth="1"/>
    <col min="4099" max="4099" width="18.85546875" style="24" bestFit="1" customWidth="1"/>
    <col min="4100" max="4100" width="20.28515625" style="24" bestFit="1" customWidth="1"/>
    <col min="4101" max="4101" width="18.85546875" style="24" customWidth="1"/>
    <col min="4102" max="4102" width="14.7109375" style="24" customWidth="1"/>
    <col min="4103" max="4103" width="11.28515625" style="24" customWidth="1"/>
    <col min="4104" max="4104" width="13.85546875" style="24" customWidth="1"/>
    <col min="4105" max="4105" width="19.140625" style="24" bestFit="1" customWidth="1"/>
    <col min="4106" max="4106" width="10.140625" style="24" bestFit="1" customWidth="1"/>
    <col min="4107" max="4352" width="9.140625" style="24"/>
    <col min="4353" max="4353" width="14" style="24" customWidth="1"/>
    <col min="4354" max="4354" width="20.28515625" style="24" bestFit="1" customWidth="1"/>
    <col min="4355" max="4355" width="18.85546875" style="24" bestFit="1" customWidth="1"/>
    <col min="4356" max="4356" width="20.28515625" style="24" bestFit="1" customWidth="1"/>
    <col min="4357" max="4357" width="18.85546875" style="24" customWidth="1"/>
    <col min="4358" max="4358" width="14.7109375" style="24" customWidth="1"/>
    <col min="4359" max="4359" width="11.28515625" style="24" customWidth="1"/>
    <col min="4360" max="4360" width="13.85546875" style="24" customWidth="1"/>
    <col min="4361" max="4361" width="19.140625" style="24" bestFit="1" customWidth="1"/>
    <col min="4362" max="4362" width="10.140625" style="24" bestFit="1" customWidth="1"/>
    <col min="4363" max="4608" width="9.140625" style="24"/>
    <col min="4609" max="4609" width="14" style="24" customWidth="1"/>
    <col min="4610" max="4610" width="20.28515625" style="24" bestFit="1" customWidth="1"/>
    <col min="4611" max="4611" width="18.85546875" style="24" bestFit="1" customWidth="1"/>
    <col min="4612" max="4612" width="20.28515625" style="24" bestFit="1" customWidth="1"/>
    <col min="4613" max="4613" width="18.85546875" style="24" customWidth="1"/>
    <col min="4614" max="4614" width="14.7109375" style="24" customWidth="1"/>
    <col min="4615" max="4615" width="11.28515625" style="24" customWidth="1"/>
    <col min="4616" max="4616" width="13.85546875" style="24" customWidth="1"/>
    <col min="4617" max="4617" width="19.140625" style="24" bestFit="1" customWidth="1"/>
    <col min="4618" max="4618" width="10.140625" style="24" bestFit="1" customWidth="1"/>
    <col min="4619" max="4864" width="9.140625" style="24"/>
    <col min="4865" max="4865" width="14" style="24" customWidth="1"/>
    <col min="4866" max="4866" width="20.28515625" style="24" bestFit="1" customWidth="1"/>
    <col min="4867" max="4867" width="18.85546875" style="24" bestFit="1" customWidth="1"/>
    <col min="4868" max="4868" width="20.28515625" style="24" bestFit="1" customWidth="1"/>
    <col min="4869" max="4869" width="18.85546875" style="24" customWidth="1"/>
    <col min="4870" max="4870" width="14.7109375" style="24" customWidth="1"/>
    <col min="4871" max="4871" width="11.28515625" style="24" customWidth="1"/>
    <col min="4872" max="4872" width="13.85546875" style="24" customWidth="1"/>
    <col min="4873" max="4873" width="19.140625" style="24" bestFit="1" customWidth="1"/>
    <col min="4874" max="4874" width="10.140625" style="24" bestFit="1" customWidth="1"/>
    <col min="4875" max="5120" width="9.140625" style="24"/>
    <col min="5121" max="5121" width="14" style="24" customWidth="1"/>
    <col min="5122" max="5122" width="20.28515625" style="24" bestFit="1" customWidth="1"/>
    <col min="5123" max="5123" width="18.85546875" style="24" bestFit="1" customWidth="1"/>
    <col min="5124" max="5124" width="20.28515625" style="24" bestFit="1" customWidth="1"/>
    <col min="5125" max="5125" width="18.85546875" style="24" customWidth="1"/>
    <col min="5126" max="5126" width="14.7109375" style="24" customWidth="1"/>
    <col min="5127" max="5127" width="11.28515625" style="24" customWidth="1"/>
    <col min="5128" max="5128" width="13.85546875" style="24" customWidth="1"/>
    <col min="5129" max="5129" width="19.140625" style="24" bestFit="1" customWidth="1"/>
    <col min="5130" max="5130" width="10.140625" style="24" bestFit="1" customWidth="1"/>
    <col min="5131" max="5376" width="9.140625" style="24"/>
    <col min="5377" max="5377" width="14" style="24" customWidth="1"/>
    <col min="5378" max="5378" width="20.28515625" style="24" bestFit="1" customWidth="1"/>
    <col min="5379" max="5379" width="18.85546875" style="24" bestFit="1" customWidth="1"/>
    <col min="5380" max="5380" width="20.28515625" style="24" bestFit="1" customWidth="1"/>
    <col min="5381" max="5381" width="18.85546875" style="24" customWidth="1"/>
    <col min="5382" max="5382" width="14.7109375" style="24" customWidth="1"/>
    <col min="5383" max="5383" width="11.28515625" style="24" customWidth="1"/>
    <col min="5384" max="5384" width="13.85546875" style="24" customWidth="1"/>
    <col min="5385" max="5385" width="19.140625" style="24" bestFit="1" customWidth="1"/>
    <col min="5386" max="5386" width="10.140625" style="24" bestFit="1" customWidth="1"/>
    <col min="5387" max="5632" width="9.140625" style="24"/>
    <col min="5633" max="5633" width="14" style="24" customWidth="1"/>
    <col min="5634" max="5634" width="20.28515625" style="24" bestFit="1" customWidth="1"/>
    <col min="5635" max="5635" width="18.85546875" style="24" bestFit="1" customWidth="1"/>
    <col min="5636" max="5636" width="20.28515625" style="24" bestFit="1" customWidth="1"/>
    <col min="5637" max="5637" width="18.85546875" style="24" customWidth="1"/>
    <col min="5638" max="5638" width="14.7109375" style="24" customWidth="1"/>
    <col min="5639" max="5639" width="11.28515625" style="24" customWidth="1"/>
    <col min="5640" max="5640" width="13.85546875" style="24" customWidth="1"/>
    <col min="5641" max="5641" width="19.140625" style="24" bestFit="1" customWidth="1"/>
    <col min="5642" max="5642" width="10.140625" style="24" bestFit="1" customWidth="1"/>
    <col min="5643" max="5888" width="9.140625" style="24"/>
    <col min="5889" max="5889" width="14" style="24" customWidth="1"/>
    <col min="5890" max="5890" width="20.28515625" style="24" bestFit="1" customWidth="1"/>
    <col min="5891" max="5891" width="18.85546875" style="24" bestFit="1" customWidth="1"/>
    <col min="5892" max="5892" width="20.28515625" style="24" bestFit="1" customWidth="1"/>
    <col min="5893" max="5893" width="18.85546875" style="24" customWidth="1"/>
    <col min="5894" max="5894" width="14.7109375" style="24" customWidth="1"/>
    <col min="5895" max="5895" width="11.28515625" style="24" customWidth="1"/>
    <col min="5896" max="5896" width="13.85546875" style="24" customWidth="1"/>
    <col min="5897" max="5897" width="19.140625" style="24" bestFit="1" customWidth="1"/>
    <col min="5898" max="5898" width="10.140625" style="24" bestFit="1" customWidth="1"/>
    <col min="5899" max="6144" width="9.140625" style="24"/>
    <col min="6145" max="6145" width="14" style="24" customWidth="1"/>
    <col min="6146" max="6146" width="20.28515625" style="24" bestFit="1" customWidth="1"/>
    <col min="6147" max="6147" width="18.85546875" style="24" bestFit="1" customWidth="1"/>
    <col min="6148" max="6148" width="20.28515625" style="24" bestFit="1" customWidth="1"/>
    <col min="6149" max="6149" width="18.85546875" style="24" customWidth="1"/>
    <col min="6150" max="6150" width="14.7109375" style="24" customWidth="1"/>
    <col min="6151" max="6151" width="11.28515625" style="24" customWidth="1"/>
    <col min="6152" max="6152" width="13.85546875" style="24" customWidth="1"/>
    <col min="6153" max="6153" width="19.140625" style="24" bestFit="1" customWidth="1"/>
    <col min="6154" max="6154" width="10.140625" style="24" bestFit="1" customWidth="1"/>
    <col min="6155" max="6400" width="9.140625" style="24"/>
    <col min="6401" max="6401" width="14" style="24" customWidth="1"/>
    <col min="6402" max="6402" width="20.28515625" style="24" bestFit="1" customWidth="1"/>
    <col min="6403" max="6403" width="18.85546875" style="24" bestFit="1" customWidth="1"/>
    <col min="6404" max="6404" width="20.28515625" style="24" bestFit="1" customWidth="1"/>
    <col min="6405" max="6405" width="18.85546875" style="24" customWidth="1"/>
    <col min="6406" max="6406" width="14.7109375" style="24" customWidth="1"/>
    <col min="6407" max="6407" width="11.28515625" style="24" customWidth="1"/>
    <col min="6408" max="6408" width="13.85546875" style="24" customWidth="1"/>
    <col min="6409" max="6409" width="19.140625" style="24" bestFit="1" customWidth="1"/>
    <col min="6410" max="6410" width="10.140625" style="24" bestFit="1" customWidth="1"/>
    <col min="6411" max="6656" width="9.140625" style="24"/>
    <col min="6657" max="6657" width="14" style="24" customWidth="1"/>
    <col min="6658" max="6658" width="20.28515625" style="24" bestFit="1" customWidth="1"/>
    <col min="6659" max="6659" width="18.85546875" style="24" bestFit="1" customWidth="1"/>
    <col min="6660" max="6660" width="20.28515625" style="24" bestFit="1" customWidth="1"/>
    <col min="6661" max="6661" width="18.85546875" style="24" customWidth="1"/>
    <col min="6662" max="6662" width="14.7109375" style="24" customWidth="1"/>
    <col min="6663" max="6663" width="11.28515625" style="24" customWidth="1"/>
    <col min="6664" max="6664" width="13.85546875" style="24" customWidth="1"/>
    <col min="6665" max="6665" width="19.140625" style="24" bestFit="1" customWidth="1"/>
    <col min="6666" max="6666" width="10.140625" style="24" bestFit="1" customWidth="1"/>
    <col min="6667" max="6912" width="9.140625" style="24"/>
    <col min="6913" max="6913" width="14" style="24" customWidth="1"/>
    <col min="6914" max="6914" width="20.28515625" style="24" bestFit="1" customWidth="1"/>
    <col min="6915" max="6915" width="18.85546875" style="24" bestFit="1" customWidth="1"/>
    <col min="6916" max="6916" width="20.28515625" style="24" bestFit="1" customWidth="1"/>
    <col min="6917" max="6917" width="18.85546875" style="24" customWidth="1"/>
    <col min="6918" max="6918" width="14.7109375" style="24" customWidth="1"/>
    <col min="6919" max="6919" width="11.28515625" style="24" customWidth="1"/>
    <col min="6920" max="6920" width="13.85546875" style="24" customWidth="1"/>
    <col min="6921" max="6921" width="19.140625" style="24" bestFit="1" customWidth="1"/>
    <col min="6922" max="6922" width="10.140625" style="24" bestFit="1" customWidth="1"/>
    <col min="6923" max="7168" width="9.140625" style="24"/>
    <col min="7169" max="7169" width="14" style="24" customWidth="1"/>
    <col min="7170" max="7170" width="20.28515625" style="24" bestFit="1" customWidth="1"/>
    <col min="7171" max="7171" width="18.85546875" style="24" bestFit="1" customWidth="1"/>
    <col min="7172" max="7172" width="20.28515625" style="24" bestFit="1" customWidth="1"/>
    <col min="7173" max="7173" width="18.85546875" style="24" customWidth="1"/>
    <col min="7174" max="7174" width="14.7109375" style="24" customWidth="1"/>
    <col min="7175" max="7175" width="11.28515625" style="24" customWidth="1"/>
    <col min="7176" max="7176" width="13.85546875" style="24" customWidth="1"/>
    <col min="7177" max="7177" width="19.140625" style="24" bestFit="1" customWidth="1"/>
    <col min="7178" max="7178" width="10.140625" style="24" bestFit="1" customWidth="1"/>
    <col min="7179" max="7424" width="9.140625" style="24"/>
    <col min="7425" max="7425" width="14" style="24" customWidth="1"/>
    <col min="7426" max="7426" width="20.28515625" style="24" bestFit="1" customWidth="1"/>
    <col min="7427" max="7427" width="18.85546875" style="24" bestFit="1" customWidth="1"/>
    <col min="7428" max="7428" width="20.28515625" style="24" bestFit="1" customWidth="1"/>
    <col min="7429" max="7429" width="18.85546875" style="24" customWidth="1"/>
    <col min="7430" max="7430" width="14.7109375" style="24" customWidth="1"/>
    <col min="7431" max="7431" width="11.28515625" style="24" customWidth="1"/>
    <col min="7432" max="7432" width="13.85546875" style="24" customWidth="1"/>
    <col min="7433" max="7433" width="19.140625" style="24" bestFit="1" customWidth="1"/>
    <col min="7434" max="7434" width="10.140625" style="24" bestFit="1" customWidth="1"/>
    <col min="7435" max="7680" width="9.140625" style="24"/>
    <col min="7681" max="7681" width="14" style="24" customWidth="1"/>
    <col min="7682" max="7682" width="20.28515625" style="24" bestFit="1" customWidth="1"/>
    <col min="7683" max="7683" width="18.85546875" style="24" bestFit="1" customWidth="1"/>
    <col min="7684" max="7684" width="20.28515625" style="24" bestFit="1" customWidth="1"/>
    <col min="7685" max="7685" width="18.85546875" style="24" customWidth="1"/>
    <col min="7686" max="7686" width="14.7109375" style="24" customWidth="1"/>
    <col min="7687" max="7687" width="11.28515625" style="24" customWidth="1"/>
    <col min="7688" max="7688" width="13.85546875" style="24" customWidth="1"/>
    <col min="7689" max="7689" width="19.140625" style="24" bestFit="1" customWidth="1"/>
    <col min="7690" max="7690" width="10.140625" style="24" bestFit="1" customWidth="1"/>
    <col min="7691" max="7936" width="9.140625" style="24"/>
    <col min="7937" max="7937" width="14" style="24" customWidth="1"/>
    <col min="7938" max="7938" width="20.28515625" style="24" bestFit="1" customWidth="1"/>
    <col min="7939" max="7939" width="18.85546875" style="24" bestFit="1" customWidth="1"/>
    <col min="7940" max="7940" width="20.28515625" style="24" bestFit="1" customWidth="1"/>
    <col min="7941" max="7941" width="18.85546875" style="24" customWidth="1"/>
    <col min="7942" max="7942" width="14.7109375" style="24" customWidth="1"/>
    <col min="7943" max="7943" width="11.28515625" style="24" customWidth="1"/>
    <col min="7944" max="7944" width="13.85546875" style="24" customWidth="1"/>
    <col min="7945" max="7945" width="19.140625" style="24" bestFit="1" customWidth="1"/>
    <col min="7946" max="7946" width="10.140625" style="24" bestFit="1" customWidth="1"/>
    <col min="7947" max="8192" width="9.140625" style="24"/>
    <col min="8193" max="8193" width="14" style="24" customWidth="1"/>
    <col min="8194" max="8194" width="20.28515625" style="24" bestFit="1" customWidth="1"/>
    <col min="8195" max="8195" width="18.85546875" style="24" bestFit="1" customWidth="1"/>
    <col min="8196" max="8196" width="20.28515625" style="24" bestFit="1" customWidth="1"/>
    <col min="8197" max="8197" width="18.85546875" style="24" customWidth="1"/>
    <col min="8198" max="8198" width="14.7109375" style="24" customWidth="1"/>
    <col min="8199" max="8199" width="11.28515625" style="24" customWidth="1"/>
    <col min="8200" max="8200" width="13.85546875" style="24" customWidth="1"/>
    <col min="8201" max="8201" width="19.140625" style="24" bestFit="1" customWidth="1"/>
    <col min="8202" max="8202" width="10.140625" style="24" bestFit="1" customWidth="1"/>
    <col min="8203" max="8448" width="9.140625" style="24"/>
    <col min="8449" max="8449" width="14" style="24" customWidth="1"/>
    <col min="8450" max="8450" width="20.28515625" style="24" bestFit="1" customWidth="1"/>
    <col min="8451" max="8451" width="18.85546875" style="24" bestFit="1" customWidth="1"/>
    <col min="8452" max="8452" width="20.28515625" style="24" bestFit="1" customWidth="1"/>
    <col min="8453" max="8453" width="18.85546875" style="24" customWidth="1"/>
    <col min="8454" max="8454" width="14.7109375" style="24" customWidth="1"/>
    <col min="8455" max="8455" width="11.28515625" style="24" customWidth="1"/>
    <col min="8456" max="8456" width="13.85546875" style="24" customWidth="1"/>
    <col min="8457" max="8457" width="19.140625" style="24" bestFit="1" customWidth="1"/>
    <col min="8458" max="8458" width="10.140625" style="24" bestFit="1" customWidth="1"/>
    <col min="8459" max="8704" width="9.140625" style="24"/>
    <col min="8705" max="8705" width="14" style="24" customWidth="1"/>
    <col min="8706" max="8706" width="20.28515625" style="24" bestFit="1" customWidth="1"/>
    <col min="8707" max="8707" width="18.85546875" style="24" bestFit="1" customWidth="1"/>
    <col min="8708" max="8708" width="20.28515625" style="24" bestFit="1" customWidth="1"/>
    <col min="8709" max="8709" width="18.85546875" style="24" customWidth="1"/>
    <col min="8710" max="8710" width="14.7109375" style="24" customWidth="1"/>
    <col min="8711" max="8711" width="11.28515625" style="24" customWidth="1"/>
    <col min="8712" max="8712" width="13.85546875" style="24" customWidth="1"/>
    <col min="8713" max="8713" width="19.140625" style="24" bestFit="1" customWidth="1"/>
    <col min="8714" max="8714" width="10.140625" style="24" bestFit="1" customWidth="1"/>
    <col min="8715" max="8960" width="9.140625" style="24"/>
    <col min="8961" max="8961" width="14" style="24" customWidth="1"/>
    <col min="8962" max="8962" width="20.28515625" style="24" bestFit="1" customWidth="1"/>
    <col min="8963" max="8963" width="18.85546875" style="24" bestFit="1" customWidth="1"/>
    <col min="8964" max="8964" width="20.28515625" style="24" bestFit="1" customWidth="1"/>
    <col min="8965" max="8965" width="18.85546875" style="24" customWidth="1"/>
    <col min="8966" max="8966" width="14.7109375" style="24" customWidth="1"/>
    <col min="8967" max="8967" width="11.28515625" style="24" customWidth="1"/>
    <col min="8968" max="8968" width="13.85546875" style="24" customWidth="1"/>
    <col min="8969" max="8969" width="19.140625" style="24" bestFit="1" customWidth="1"/>
    <col min="8970" max="8970" width="10.140625" style="24" bestFit="1" customWidth="1"/>
    <col min="8971" max="9216" width="9.140625" style="24"/>
    <col min="9217" max="9217" width="14" style="24" customWidth="1"/>
    <col min="9218" max="9218" width="20.28515625" style="24" bestFit="1" customWidth="1"/>
    <col min="9219" max="9219" width="18.85546875" style="24" bestFit="1" customWidth="1"/>
    <col min="9220" max="9220" width="20.28515625" style="24" bestFit="1" customWidth="1"/>
    <col min="9221" max="9221" width="18.85546875" style="24" customWidth="1"/>
    <col min="9222" max="9222" width="14.7109375" style="24" customWidth="1"/>
    <col min="9223" max="9223" width="11.28515625" style="24" customWidth="1"/>
    <col min="9224" max="9224" width="13.85546875" style="24" customWidth="1"/>
    <col min="9225" max="9225" width="19.140625" style="24" bestFit="1" customWidth="1"/>
    <col min="9226" max="9226" width="10.140625" style="24" bestFit="1" customWidth="1"/>
    <col min="9227" max="9472" width="9.140625" style="24"/>
    <col min="9473" max="9473" width="14" style="24" customWidth="1"/>
    <col min="9474" max="9474" width="20.28515625" style="24" bestFit="1" customWidth="1"/>
    <col min="9475" max="9475" width="18.85546875" style="24" bestFit="1" customWidth="1"/>
    <col min="9476" max="9476" width="20.28515625" style="24" bestFit="1" customWidth="1"/>
    <col min="9477" max="9477" width="18.85546875" style="24" customWidth="1"/>
    <col min="9478" max="9478" width="14.7109375" style="24" customWidth="1"/>
    <col min="9479" max="9479" width="11.28515625" style="24" customWidth="1"/>
    <col min="9480" max="9480" width="13.85546875" style="24" customWidth="1"/>
    <col min="9481" max="9481" width="19.140625" style="24" bestFit="1" customWidth="1"/>
    <col min="9482" max="9482" width="10.140625" style="24" bestFit="1" customWidth="1"/>
    <col min="9483" max="9728" width="9.140625" style="24"/>
    <col min="9729" max="9729" width="14" style="24" customWidth="1"/>
    <col min="9730" max="9730" width="20.28515625" style="24" bestFit="1" customWidth="1"/>
    <col min="9731" max="9731" width="18.85546875" style="24" bestFit="1" customWidth="1"/>
    <col min="9732" max="9732" width="20.28515625" style="24" bestFit="1" customWidth="1"/>
    <col min="9733" max="9733" width="18.85546875" style="24" customWidth="1"/>
    <col min="9734" max="9734" width="14.7109375" style="24" customWidth="1"/>
    <col min="9735" max="9735" width="11.28515625" style="24" customWidth="1"/>
    <col min="9736" max="9736" width="13.85546875" style="24" customWidth="1"/>
    <col min="9737" max="9737" width="19.140625" style="24" bestFit="1" customWidth="1"/>
    <col min="9738" max="9738" width="10.140625" style="24" bestFit="1" customWidth="1"/>
    <col min="9739" max="9984" width="9.140625" style="24"/>
    <col min="9985" max="9985" width="14" style="24" customWidth="1"/>
    <col min="9986" max="9986" width="20.28515625" style="24" bestFit="1" customWidth="1"/>
    <col min="9987" max="9987" width="18.85546875" style="24" bestFit="1" customWidth="1"/>
    <col min="9988" max="9988" width="20.28515625" style="24" bestFit="1" customWidth="1"/>
    <col min="9989" max="9989" width="18.85546875" style="24" customWidth="1"/>
    <col min="9990" max="9990" width="14.7109375" style="24" customWidth="1"/>
    <col min="9991" max="9991" width="11.28515625" style="24" customWidth="1"/>
    <col min="9992" max="9992" width="13.85546875" style="24" customWidth="1"/>
    <col min="9993" max="9993" width="19.140625" style="24" bestFit="1" customWidth="1"/>
    <col min="9994" max="9994" width="10.140625" style="24" bestFit="1" customWidth="1"/>
    <col min="9995" max="10240" width="9.140625" style="24"/>
    <col min="10241" max="10241" width="14" style="24" customWidth="1"/>
    <col min="10242" max="10242" width="20.28515625" style="24" bestFit="1" customWidth="1"/>
    <col min="10243" max="10243" width="18.85546875" style="24" bestFit="1" customWidth="1"/>
    <col min="10244" max="10244" width="20.28515625" style="24" bestFit="1" customWidth="1"/>
    <col min="10245" max="10245" width="18.85546875" style="24" customWidth="1"/>
    <col min="10246" max="10246" width="14.7109375" style="24" customWidth="1"/>
    <col min="10247" max="10247" width="11.28515625" style="24" customWidth="1"/>
    <col min="10248" max="10248" width="13.85546875" style="24" customWidth="1"/>
    <col min="10249" max="10249" width="19.140625" style="24" bestFit="1" customWidth="1"/>
    <col min="10250" max="10250" width="10.140625" style="24" bestFit="1" customWidth="1"/>
    <col min="10251" max="10496" width="9.140625" style="24"/>
    <col min="10497" max="10497" width="14" style="24" customWidth="1"/>
    <col min="10498" max="10498" width="20.28515625" style="24" bestFit="1" customWidth="1"/>
    <col min="10499" max="10499" width="18.85546875" style="24" bestFit="1" customWidth="1"/>
    <col min="10500" max="10500" width="20.28515625" style="24" bestFit="1" customWidth="1"/>
    <col min="10501" max="10501" width="18.85546875" style="24" customWidth="1"/>
    <col min="10502" max="10502" width="14.7109375" style="24" customWidth="1"/>
    <col min="10503" max="10503" width="11.28515625" style="24" customWidth="1"/>
    <col min="10504" max="10504" width="13.85546875" style="24" customWidth="1"/>
    <col min="10505" max="10505" width="19.140625" style="24" bestFit="1" customWidth="1"/>
    <col min="10506" max="10506" width="10.140625" style="24" bestFit="1" customWidth="1"/>
    <col min="10507" max="10752" width="9.140625" style="24"/>
    <col min="10753" max="10753" width="14" style="24" customWidth="1"/>
    <col min="10754" max="10754" width="20.28515625" style="24" bestFit="1" customWidth="1"/>
    <col min="10755" max="10755" width="18.85546875" style="24" bestFit="1" customWidth="1"/>
    <col min="10756" max="10756" width="20.28515625" style="24" bestFit="1" customWidth="1"/>
    <col min="10757" max="10757" width="18.85546875" style="24" customWidth="1"/>
    <col min="10758" max="10758" width="14.7109375" style="24" customWidth="1"/>
    <col min="10759" max="10759" width="11.28515625" style="24" customWidth="1"/>
    <col min="10760" max="10760" width="13.85546875" style="24" customWidth="1"/>
    <col min="10761" max="10761" width="19.140625" style="24" bestFit="1" customWidth="1"/>
    <col min="10762" max="10762" width="10.140625" style="24" bestFit="1" customWidth="1"/>
    <col min="10763" max="11008" width="9.140625" style="24"/>
    <col min="11009" max="11009" width="14" style="24" customWidth="1"/>
    <col min="11010" max="11010" width="20.28515625" style="24" bestFit="1" customWidth="1"/>
    <col min="11011" max="11011" width="18.85546875" style="24" bestFit="1" customWidth="1"/>
    <col min="11012" max="11012" width="20.28515625" style="24" bestFit="1" customWidth="1"/>
    <col min="11013" max="11013" width="18.85546875" style="24" customWidth="1"/>
    <col min="11014" max="11014" width="14.7109375" style="24" customWidth="1"/>
    <col min="11015" max="11015" width="11.28515625" style="24" customWidth="1"/>
    <col min="11016" max="11016" width="13.85546875" style="24" customWidth="1"/>
    <col min="11017" max="11017" width="19.140625" style="24" bestFit="1" customWidth="1"/>
    <col min="11018" max="11018" width="10.140625" style="24" bestFit="1" customWidth="1"/>
    <col min="11019" max="11264" width="9.140625" style="24"/>
    <col min="11265" max="11265" width="14" style="24" customWidth="1"/>
    <col min="11266" max="11266" width="20.28515625" style="24" bestFit="1" customWidth="1"/>
    <col min="11267" max="11267" width="18.85546875" style="24" bestFit="1" customWidth="1"/>
    <col min="11268" max="11268" width="20.28515625" style="24" bestFit="1" customWidth="1"/>
    <col min="11269" max="11269" width="18.85546875" style="24" customWidth="1"/>
    <col min="11270" max="11270" width="14.7109375" style="24" customWidth="1"/>
    <col min="11271" max="11271" width="11.28515625" style="24" customWidth="1"/>
    <col min="11272" max="11272" width="13.85546875" style="24" customWidth="1"/>
    <col min="11273" max="11273" width="19.140625" style="24" bestFit="1" customWidth="1"/>
    <col min="11274" max="11274" width="10.140625" style="24" bestFit="1" customWidth="1"/>
    <col min="11275" max="11520" width="9.140625" style="24"/>
    <col min="11521" max="11521" width="14" style="24" customWidth="1"/>
    <col min="11522" max="11522" width="20.28515625" style="24" bestFit="1" customWidth="1"/>
    <col min="11523" max="11523" width="18.85546875" style="24" bestFit="1" customWidth="1"/>
    <col min="11524" max="11524" width="20.28515625" style="24" bestFit="1" customWidth="1"/>
    <col min="11525" max="11525" width="18.85546875" style="24" customWidth="1"/>
    <col min="11526" max="11526" width="14.7109375" style="24" customWidth="1"/>
    <col min="11527" max="11527" width="11.28515625" style="24" customWidth="1"/>
    <col min="11528" max="11528" width="13.85546875" style="24" customWidth="1"/>
    <col min="11529" max="11529" width="19.140625" style="24" bestFit="1" customWidth="1"/>
    <col min="11530" max="11530" width="10.140625" style="24" bestFit="1" customWidth="1"/>
    <col min="11531" max="11776" width="9.140625" style="24"/>
    <col min="11777" max="11777" width="14" style="24" customWidth="1"/>
    <col min="11778" max="11778" width="20.28515625" style="24" bestFit="1" customWidth="1"/>
    <col min="11779" max="11779" width="18.85546875" style="24" bestFit="1" customWidth="1"/>
    <col min="11780" max="11780" width="20.28515625" style="24" bestFit="1" customWidth="1"/>
    <col min="11781" max="11781" width="18.85546875" style="24" customWidth="1"/>
    <col min="11782" max="11782" width="14.7109375" style="24" customWidth="1"/>
    <col min="11783" max="11783" width="11.28515625" style="24" customWidth="1"/>
    <col min="11784" max="11784" width="13.85546875" style="24" customWidth="1"/>
    <col min="11785" max="11785" width="19.140625" style="24" bestFit="1" customWidth="1"/>
    <col min="11786" max="11786" width="10.140625" style="24" bestFit="1" customWidth="1"/>
    <col min="11787" max="12032" width="9.140625" style="24"/>
    <col min="12033" max="12033" width="14" style="24" customWidth="1"/>
    <col min="12034" max="12034" width="20.28515625" style="24" bestFit="1" customWidth="1"/>
    <col min="12035" max="12035" width="18.85546875" style="24" bestFit="1" customWidth="1"/>
    <col min="12036" max="12036" width="20.28515625" style="24" bestFit="1" customWidth="1"/>
    <col min="12037" max="12037" width="18.85546875" style="24" customWidth="1"/>
    <col min="12038" max="12038" width="14.7109375" style="24" customWidth="1"/>
    <col min="12039" max="12039" width="11.28515625" style="24" customWidth="1"/>
    <col min="12040" max="12040" width="13.85546875" style="24" customWidth="1"/>
    <col min="12041" max="12041" width="19.140625" style="24" bestFit="1" customWidth="1"/>
    <col min="12042" max="12042" width="10.140625" style="24" bestFit="1" customWidth="1"/>
    <col min="12043" max="12288" width="9.140625" style="24"/>
    <col min="12289" max="12289" width="14" style="24" customWidth="1"/>
    <col min="12290" max="12290" width="20.28515625" style="24" bestFit="1" customWidth="1"/>
    <col min="12291" max="12291" width="18.85546875" style="24" bestFit="1" customWidth="1"/>
    <col min="12292" max="12292" width="20.28515625" style="24" bestFit="1" customWidth="1"/>
    <col min="12293" max="12293" width="18.85546875" style="24" customWidth="1"/>
    <col min="12294" max="12294" width="14.7109375" style="24" customWidth="1"/>
    <col min="12295" max="12295" width="11.28515625" style="24" customWidth="1"/>
    <col min="12296" max="12296" width="13.85546875" style="24" customWidth="1"/>
    <col min="12297" max="12297" width="19.140625" style="24" bestFit="1" customWidth="1"/>
    <col min="12298" max="12298" width="10.140625" style="24" bestFit="1" customWidth="1"/>
    <col min="12299" max="12544" width="9.140625" style="24"/>
    <col min="12545" max="12545" width="14" style="24" customWidth="1"/>
    <col min="12546" max="12546" width="20.28515625" style="24" bestFit="1" customWidth="1"/>
    <col min="12547" max="12547" width="18.85546875" style="24" bestFit="1" customWidth="1"/>
    <col min="12548" max="12548" width="20.28515625" style="24" bestFit="1" customWidth="1"/>
    <col min="12549" max="12549" width="18.85546875" style="24" customWidth="1"/>
    <col min="12550" max="12550" width="14.7109375" style="24" customWidth="1"/>
    <col min="12551" max="12551" width="11.28515625" style="24" customWidth="1"/>
    <col min="12552" max="12552" width="13.85546875" style="24" customWidth="1"/>
    <col min="12553" max="12553" width="19.140625" style="24" bestFit="1" customWidth="1"/>
    <col min="12554" max="12554" width="10.140625" style="24" bestFit="1" customWidth="1"/>
    <col min="12555" max="12800" width="9.140625" style="24"/>
    <col min="12801" max="12801" width="14" style="24" customWidth="1"/>
    <col min="12802" max="12802" width="20.28515625" style="24" bestFit="1" customWidth="1"/>
    <col min="12803" max="12803" width="18.85546875" style="24" bestFit="1" customWidth="1"/>
    <col min="12804" max="12804" width="20.28515625" style="24" bestFit="1" customWidth="1"/>
    <col min="12805" max="12805" width="18.85546875" style="24" customWidth="1"/>
    <col min="12806" max="12806" width="14.7109375" style="24" customWidth="1"/>
    <col min="12807" max="12807" width="11.28515625" style="24" customWidth="1"/>
    <col min="12808" max="12808" width="13.85546875" style="24" customWidth="1"/>
    <col min="12809" max="12809" width="19.140625" style="24" bestFit="1" customWidth="1"/>
    <col min="12810" max="12810" width="10.140625" style="24" bestFit="1" customWidth="1"/>
    <col min="12811" max="13056" width="9.140625" style="24"/>
    <col min="13057" max="13057" width="14" style="24" customWidth="1"/>
    <col min="13058" max="13058" width="20.28515625" style="24" bestFit="1" customWidth="1"/>
    <col min="13059" max="13059" width="18.85546875" style="24" bestFit="1" customWidth="1"/>
    <col min="13060" max="13060" width="20.28515625" style="24" bestFit="1" customWidth="1"/>
    <col min="13061" max="13061" width="18.85546875" style="24" customWidth="1"/>
    <col min="13062" max="13062" width="14.7109375" style="24" customWidth="1"/>
    <col min="13063" max="13063" width="11.28515625" style="24" customWidth="1"/>
    <col min="13064" max="13064" width="13.85546875" style="24" customWidth="1"/>
    <col min="13065" max="13065" width="19.140625" style="24" bestFit="1" customWidth="1"/>
    <col min="13066" max="13066" width="10.140625" style="24" bestFit="1" customWidth="1"/>
    <col min="13067" max="13312" width="9.140625" style="24"/>
    <col min="13313" max="13313" width="14" style="24" customWidth="1"/>
    <col min="13314" max="13314" width="20.28515625" style="24" bestFit="1" customWidth="1"/>
    <col min="13315" max="13315" width="18.85546875" style="24" bestFit="1" customWidth="1"/>
    <col min="13316" max="13316" width="20.28515625" style="24" bestFit="1" customWidth="1"/>
    <col min="13317" max="13317" width="18.85546875" style="24" customWidth="1"/>
    <col min="13318" max="13318" width="14.7109375" style="24" customWidth="1"/>
    <col min="13319" max="13319" width="11.28515625" style="24" customWidth="1"/>
    <col min="13320" max="13320" width="13.85546875" style="24" customWidth="1"/>
    <col min="13321" max="13321" width="19.140625" style="24" bestFit="1" customWidth="1"/>
    <col min="13322" max="13322" width="10.140625" style="24" bestFit="1" customWidth="1"/>
    <col min="13323" max="13568" width="9.140625" style="24"/>
    <col min="13569" max="13569" width="14" style="24" customWidth="1"/>
    <col min="13570" max="13570" width="20.28515625" style="24" bestFit="1" customWidth="1"/>
    <col min="13571" max="13571" width="18.85546875" style="24" bestFit="1" customWidth="1"/>
    <col min="13572" max="13572" width="20.28515625" style="24" bestFit="1" customWidth="1"/>
    <col min="13573" max="13573" width="18.85546875" style="24" customWidth="1"/>
    <col min="13574" max="13574" width="14.7109375" style="24" customWidth="1"/>
    <col min="13575" max="13575" width="11.28515625" style="24" customWidth="1"/>
    <col min="13576" max="13576" width="13.85546875" style="24" customWidth="1"/>
    <col min="13577" max="13577" width="19.140625" style="24" bestFit="1" customWidth="1"/>
    <col min="13578" max="13578" width="10.140625" style="24" bestFit="1" customWidth="1"/>
    <col min="13579" max="13824" width="9.140625" style="24"/>
    <col min="13825" max="13825" width="14" style="24" customWidth="1"/>
    <col min="13826" max="13826" width="20.28515625" style="24" bestFit="1" customWidth="1"/>
    <col min="13827" max="13827" width="18.85546875" style="24" bestFit="1" customWidth="1"/>
    <col min="13828" max="13828" width="20.28515625" style="24" bestFit="1" customWidth="1"/>
    <col min="13829" max="13829" width="18.85546875" style="24" customWidth="1"/>
    <col min="13830" max="13830" width="14.7109375" style="24" customWidth="1"/>
    <col min="13831" max="13831" width="11.28515625" style="24" customWidth="1"/>
    <col min="13832" max="13832" width="13.85546875" style="24" customWidth="1"/>
    <col min="13833" max="13833" width="19.140625" style="24" bestFit="1" customWidth="1"/>
    <col min="13834" max="13834" width="10.140625" style="24" bestFit="1" customWidth="1"/>
    <col min="13835" max="14080" width="9.140625" style="24"/>
    <col min="14081" max="14081" width="14" style="24" customWidth="1"/>
    <col min="14082" max="14082" width="20.28515625" style="24" bestFit="1" customWidth="1"/>
    <col min="14083" max="14083" width="18.85546875" style="24" bestFit="1" customWidth="1"/>
    <col min="14084" max="14084" width="20.28515625" style="24" bestFit="1" customWidth="1"/>
    <col min="14085" max="14085" width="18.85546875" style="24" customWidth="1"/>
    <col min="14086" max="14086" width="14.7109375" style="24" customWidth="1"/>
    <col min="14087" max="14087" width="11.28515625" style="24" customWidth="1"/>
    <col min="14088" max="14088" width="13.85546875" style="24" customWidth="1"/>
    <col min="14089" max="14089" width="19.140625" style="24" bestFit="1" customWidth="1"/>
    <col min="14090" max="14090" width="10.140625" style="24" bestFit="1" customWidth="1"/>
    <col min="14091" max="14336" width="9.140625" style="24"/>
    <col min="14337" max="14337" width="14" style="24" customWidth="1"/>
    <col min="14338" max="14338" width="20.28515625" style="24" bestFit="1" customWidth="1"/>
    <col min="14339" max="14339" width="18.85546875" style="24" bestFit="1" customWidth="1"/>
    <col min="14340" max="14340" width="20.28515625" style="24" bestFit="1" customWidth="1"/>
    <col min="14341" max="14341" width="18.85546875" style="24" customWidth="1"/>
    <col min="14342" max="14342" width="14.7109375" style="24" customWidth="1"/>
    <col min="14343" max="14343" width="11.28515625" style="24" customWidth="1"/>
    <col min="14344" max="14344" width="13.85546875" style="24" customWidth="1"/>
    <col min="14345" max="14345" width="19.140625" style="24" bestFit="1" customWidth="1"/>
    <col min="14346" max="14346" width="10.140625" style="24" bestFit="1" customWidth="1"/>
    <col min="14347" max="14592" width="9.140625" style="24"/>
    <col min="14593" max="14593" width="14" style="24" customWidth="1"/>
    <col min="14594" max="14594" width="20.28515625" style="24" bestFit="1" customWidth="1"/>
    <col min="14595" max="14595" width="18.85546875" style="24" bestFit="1" customWidth="1"/>
    <col min="14596" max="14596" width="20.28515625" style="24" bestFit="1" customWidth="1"/>
    <col min="14597" max="14597" width="18.85546875" style="24" customWidth="1"/>
    <col min="14598" max="14598" width="14.7109375" style="24" customWidth="1"/>
    <col min="14599" max="14599" width="11.28515625" style="24" customWidth="1"/>
    <col min="14600" max="14600" width="13.85546875" style="24" customWidth="1"/>
    <col min="14601" max="14601" width="19.140625" style="24" bestFit="1" customWidth="1"/>
    <col min="14602" max="14602" width="10.140625" style="24" bestFit="1" customWidth="1"/>
    <col min="14603" max="14848" width="9.140625" style="24"/>
    <col min="14849" max="14849" width="14" style="24" customWidth="1"/>
    <col min="14850" max="14850" width="20.28515625" style="24" bestFit="1" customWidth="1"/>
    <col min="14851" max="14851" width="18.85546875" style="24" bestFit="1" customWidth="1"/>
    <col min="14852" max="14852" width="20.28515625" style="24" bestFit="1" customWidth="1"/>
    <col min="14853" max="14853" width="18.85546875" style="24" customWidth="1"/>
    <col min="14854" max="14854" width="14.7109375" style="24" customWidth="1"/>
    <col min="14855" max="14855" width="11.28515625" style="24" customWidth="1"/>
    <col min="14856" max="14856" width="13.85546875" style="24" customWidth="1"/>
    <col min="14857" max="14857" width="19.140625" style="24" bestFit="1" customWidth="1"/>
    <col min="14858" max="14858" width="10.140625" style="24" bestFit="1" customWidth="1"/>
    <col min="14859" max="15104" width="9.140625" style="24"/>
    <col min="15105" max="15105" width="14" style="24" customWidth="1"/>
    <col min="15106" max="15106" width="20.28515625" style="24" bestFit="1" customWidth="1"/>
    <col min="15107" max="15107" width="18.85546875" style="24" bestFit="1" customWidth="1"/>
    <col min="15108" max="15108" width="20.28515625" style="24" bestFit="1" customWidth="1"/>
    <col min="15109" max="15109" width="18.85546875" style="24" customWidth="1"/>
    <col min="15110" max="15110" width="14.7109375" style="24" customWidth="1"/>
    <col min="15111" max="15111" width="11.28515625" style="24" customWidth="1"/>
    <col min="15112" max="15112" width="13.85546875" style="24" customWidth="1"/>
    <col min="15113" max="15113" width="19.140625" style="24" bestFit="1" customWidth="1"/>
    <col min="15114" max="15114" width="10.140625" style="24" bestFit="1" customWidth="1"/>
    <col min="15115" max="15360" width="9.140625" style="24"/>
    <col min="15361" max="15361" width="14" style="24" customWidth="1"/>
    <col min="15362" max="15362" width="20.28515625" style="24" bestFit="1" customWidth="1"/>
    <col min="15363" max="15363" width="18.85546875" style="24" bestFit="1" customWidth="1"/>
    <col min="15364" max="15364" width="20.28515625" style="24" bestFit="1" customWidth="1"/>
    <col min="15365" max="15365" width="18.85546875" style="24" customWidth="1"/>
    <col min="15366" max="15366" width="14.7109375" style="24" customWidth="1"/>
    <col min="15367" max="15367" width="11.28515625" style="24" customWidth="1"/>
    <col min="15368" max="15368" width="13.85546875" style="24" customWidth="1"/>
    <col min="15369" max="15369" width="19.140625" style="24" bestFit="1" customWidth="1"/>
    <col min="15370" max="15370" width="10.140625" style="24" bestFit="1" customWidth="1"/>
    <col min="15371" max="15616" width="9.140625" style="24"/>
    <col min="15617" max="15617" width="14" style="24" customWidth="1"/>
    <col min="15618" max="15618" width="20.28515625" style="24" bestFit="1" customWidth="1"/>
    <col min="15619" max="15619" width="18.85546875" style="24" bestFit="1" customWidth="1"/>
    <col min="15620" max="15620" width="20.28515625" style="24" bestFit="1" customWidth="1"/>
    <col min="15621" max="15621" width="18.85546875" style="24" customWidth="1"/>
    <col min="15622" max="15622" width="14.7109375" style="24" customWidth="1"/>
    <col min="15623" max="15623" width="11.28515625" style="24" customWidth="1"/>
    <col min="15624" max="15624" width="13.85546875" style="24" customWidth="1"/>
    <col min="15625" max="15625" width="19.140625" style="24" bestFit="1" customWidth="1"/>
    <col min="15626" max="15626" width="10.140625" style="24" bestFit="1" customWidth="1"/>
    <col min="15627" max="15872" width="9.140625" style="24"/>
    <col min="15873" max="15873" width="14" style="24" customWidth="1"/>
    <col min="15874" max="15874" width="20.28515625" style="24" bestFit="1" customWidth="1"/>
    <col min="15875" max="15875" width="18.85546875" style="24" bestFit="1" customWidth="1"/>
    <col min="15876" max="15876" width="20.28515625" style="24" bestFit="1" customWidth="1"/>
    <col min="15877" max="15877" width="18.85546875" style="24" customWidth="1"/>
    <col min="15878" max="15878" width="14.7109375" style="24" customWidth="1"/>
    <col min="15879" max="15879" width="11.28515625" style="24" customWidth="1"/>
    <col min="15880" max="15880" width="13.85546875" style="24" customWidth="1"/>
    <col min="15881" max="15881" width="19.140625" style="24" bestFit="1" customWidth="1"/>
    <col min="15882" max="15882" width="10.140625" style="24" bestFit="1" customWidth="1"/>
    <col min="15883" max="16128" width="9.140625" style="24"/>
    <col min="16129" max="16129" width="14" style="24" customWidth="1"/>
    <col min="16130" max="16130" width="20.28515625" style="24" bestFit="1" customWidth="1"/>
    <col min="16131" max="16131" width="18.85546875" style="24" bestFit="1" customWidth="1"/>
    <col min="16132" max="16132" width="20.28515625" style="24" bestFit="1" customWidth="1"/>
    <col min="16133" max="16133" width="18.85546875" style="24" customWidth="1"/>
    <col min="16134" max="16134" width="14.7109375" style="24" customWidth="1"/>
    <col min="16135" max="16135" width="11.28515625" style="24" customWidth="1"/>
    <col min="16136" max="16136" width="13.85546875" style="24" customWidth="1"/>
    <col min="16137" max="16137" width="19.140625" style="24" bestFit="1" customWidth="1"/>
    <col min="16138" max="16138" width="10.140625" style="24" bestFit="1" customWidth="1"/>
    <col min="16139" max="16384" width="9.140625" style="24"/>
  </cols>
  <sheetData>
    <row r="1" spans="1:10" ht="20.25" x14ac:dyDescent="0.3">
      <c r="A1" s="31" t="s">
        <v>12</v>
      </c>
      <c r="D1" s="93" t="s">
        <v>13</v>
      </c>
      <c r="E1" s="93"/>
      <c r="F1" s="93"/>
    </row>
    <row r="2" spans="1:10" ht="18" x14ac:dyDescent="0.25">
      <c r="A2" s="64"/>
      <c r="B2" s="35" t="s">
        <v>14</v>
      </c>
      <c r="C2" s="35" t="s">
        <v>15</v>
      </c>
      <c r="D2" s="35" t="s">
        <v>14</v>
      </c>
      <c r="E2" s="35" t="s">
        <v>15</v>
      </c>
      <c r="F2" s="35" t="s">
        <v>16</v>
      </c>
      <c r="G2" s="35" t="s">
        <v>17</v>
      </c>
      <c r="H2" s="35" t="s">
        <v>18</v>
      </c>
      <c r="I2" s="35" t="s">
        <v>19</v>
      </c>
      <c r="J2" s="15" t="s">
        <v>20</v>
      </c>
    </row>
    <row r="3" spans="1:10" x14ac:dyDescent="0.2">
      <c r="A3" s="65"/>
      <c r="B3" s="35" t="s">
        <v>21</v>
      </c>
      <c r="C3" s="35" t="s">
        <v>21</v>
      </c>
      <c r="D3" s="35" t="s">
        <v>22</v>
      </c>
      <c r="E3" s="35" t="s">
        <v>22</v>
      </c>
      <c r="F3" s="66" t="s">
        <v>21</v>
      </c>
      <c r="G3" s="35" t="s">
        <v>23</v>
      </c>
      <c r="H3" s="59"/>
      <c r="I3" s="35" t="s">
        <v>24</v>
      </c>
      <c r="J3" s="15" t="s">
        <v>25</v>
      </c>
    </row>
    <row r="4" spans="1:10" x14ac:dyDescent="0.2">
      <c r="A4" s="5">
        <v>44440</v>
      </c>
      <c r="B4" s="68">
        <v>0</v>
      </c>
      <c r="C4" s="69">
        <f>IF(B5-B4 &lt; 0,0,B5-B4)</f>
        <v>541</v>
      </c>
      <c r="D4" s="68">
        <v>237</v>
      </c>
      <c r="E4" s="69">
        <f t="shared" ref="E4:E33" si="0">IF(D5-D4 &lt; 0,0,D5-D4)</f>
        <v>340</v>
      </c>
      <c r="F4" s="68">
        <v>0</v>
      </c>
      <c r="G4" s="70">
        <v>0</v>
      </c>
      <c r="H4" s="70" t="s">
        <v>26</v>
      </c>
      <c r="I4" s="69">
        <f>+E4+C4</f>
        <v>881</v>
      </c>
      <c r="J4" s="16">
        <f>(C4*0.288)+(E4*0.177)</f>
        <v>215.988</v>
      </c>
    </row>
    <row r="5" spans="1:10" x14ac:dyDescent="0.2">
      <c r="A5" s="5">
        <v>44441</v>
      </c>
      <c r="B5" s="68">
        <v>541</v>
      </c>
      <c r="C5" s="69">
        <f t="shared" ref="C5:C33" si="1">IF(B6-B5 &lt; 0,0,B6-B5)</f>
        <v>534</v>
      </c>
      <c r="D5" s="68">
        <v>577</v>
      </c>
      <c r="E5" s="69">
        <f t="shared" si="0"/>
        <v>336</v>
      </c>
      <c r="F5" s="68">
        <v>47</v>
      </c>
      <c r="G5" s="70">
        <v>0</v>
      </c>
      <c r="H5" s="70" t="s">
        <v>27</v>
      </c>
      <c r="I5" s="69">
        <f t="shared" ref="I5:I35" si="2">+E5+C5</f>
        <v>870</v>
      </c>
      <c r="J5" s="16">
        <f t="shared" ref="J5:J35" si="3">(C5*0.288)+(E5*0.177)</f>
        <v>213.26400000000001</v>
      </c>
    </row>
    <row r="6" spans="1:10" x14ac:dyDescent="0.2">
      <c r="A6" s="5">
        <v>44442</v>
      </c>
      <c r="B6" s="68">
        <v>1075</v>
      </c>
      <c r="C6" s="69">
        <f t="shared" si="1"/>
        <v>511</v>
      </c>
      <c r="D6" s="68">
        <v>913</v>
      </c>
      <c r="E6" s="69">
        <f t="shared" si="0"/>
        <v>332</v>
      </c>
      <c r="F6" s="68">
        <v>57</v>
      </c>
      <c r="G6" s="70">
        <v>0</v>
      </c>
      <c r="H6" s="70" t="s">
        <v>32</v>
      </c>
      <c r="I6" s="69">
        <f t="shared" si="2"/>
        <v>843</v>
      </c>
      <c r="J6" s="16">
        <f t="shared" si="3"/>
        <v>205.93199999999996</v>
      </c>
    </row>
    <row r="7" spans="1:10" x14ac:dyDescent="0.2">
      <c r="A7" s="5">
        <v>44443</v>
      </c>
      <c r="B7" s="68">
        <v>1586</v>
      </c>
      <c r="C7" s="69">
        <f t="shared" si="1"/>
        <v>451</v>
      </c>
      <c r="D7" s="68">
        <v>1245</v>
      </c>
      <c r="E7" s="69">
        <f t="shared" si="0"/>
        <v>307</v>
      </c>
      <c r="F7" s="68">
        <v>57</v>
      </c>
      <c r="G7" s="70">
        <v>0</v>
      </c>
      <c r="H7" s="70" t="s">
        <v>28</v>
      </c>
      <c r="I7" s="69">
        <f t="shared" si="2"/>
        <v>758</v>
      </c>
      <c r="J7" s="16">
        <f t="shared" si="3"/>
        <v>184.22699999999998</v>
      </c>
    </row>
    <row r="8" spans="1:10" x14ac:dyDescent="0.2">
      <c r="A8" s="5">
        <v>44444</v>
      </c>
      <c r="B8" s="68">
        <v>2037</v>
      </c>
      <c r="C8" s="69">
        <f t="shared" si="1"/>
        <v>490</v>
      </c>
      <c r="D8" s="68">
        <v>1552</v>
      </c>
      <c r="E8" s="69">
        <f t="shared" si="0"/>
        <v>334</v>
      </c>
      <c r="F8" s="68">
        <v>57</v>
      </c>
      <c r="G8" s="70">
        <v>0</v>
      </c>
      <c r="H8" s="70" t="s">
        <v>28</v>
      </c>
      <c r="I8" s="69">
        <f t="shared" si="2"/>
        <v>824</v>
      </c>
      <c r="J8" s="16">
        <f t="shared" si="3"/>
        <v>200.23799999999997</v>
      </c>
    </row>
    <row r="9" spans="1:10" x14ac:dyDescent="0.2">
      <c r="A9" s="5">
        <v>44445</v>
      </c>
      <c r="B9" s="68">
        <v>2527</v>
      </c>
      <c r="C9" s="69">
        <f t="shared" si="1"/>
        <v>565</v>
      </c>
      <c r="D9" s="68">
        <v>1886</v>
      </c>
      <c r="E9" s="69">
        <f t="shared" si="0"/>
        <v>335</v>
      </c>
      <c r="F9" s="68">
        <v>57</v>
      </c>
      <c r="G9" s="70">
        <v>0</v>
      </c>
      <c r="H9" s="70" t="s">
        <v>26</v>
      </c>
      <c r="I9" s="69">
        <f t="shared" si="2"/>
        <v>900</v>
      </c>
      <c r="J9" s="16">
        <f t="shared" si="3"/>
        <v>222.01499999999999</v>
      </c>
    </row>
    <row r="10" spans="1:10" x14ac:dyDescent="0.2">
      <c r="A10" s="5">
        <v>44446</v>
      </c>
      <c r="B10" s="68">
        <v>3092</v>
      </c>
      <c r="C10" s="69">
        <f t="shared" si="1"/>
        <v>550</v>
      </c>
      <c r="D10" s="68">
        <v>2221</v>
      </c>
      <c r="E10" s="69">
        <f t="shared" si="0"/>
        <v>364</v>
      </c>
      <c r="F10" s="68">
        <v>83</v>
      </c>
      <c r="G10" s="70">
        <v>0</v>
      </c>
      <c r="H10" s="70" t="s">
        <v>26</v>
      </c>
      <c r="I10" s="69">
        <f t="shared" si="2"/>
        <v>914</v>
      </c>
      <c r="J10" s="16">
        <f t="shared" si="3"/>
        <v>222.82799999999997</v>
      </c>
    </row>
    <row r="11" spans="1:10" x14ac:dyDescent="0.2">
      <c r="A11" s="5">
        <v>44447</v>
      </c>
      <c r="B11" s="68">
        <v>3642</v>
      </c>
      <c r="C11" s="69">
        <f t="shared" si="1"/>
        <v>610</v>
      </c>
      <c r="D11" s="68">
        <v>2585</v>
      </c>
      <c r="E11" s="69">
        <f t="shared" si="0"/>
        <v>396</v>
      </c>
      <c r="F11" s="68">
        <v>83</v>
      </c>
      <c r="G11" s="70">
        <v>0</v>
      </c>
      <c r="H11" s="70" t="s">
        <v>27</v>
      </c>
      <c r="I11" s="69">
        <f t="shared" si="2"/>
        <v>1006</v>
      </c>
      <c r="J11" s="16">
        <f t="shared" si="3"/>
        <v>245.77199999999999</v>
      </c>
    </row>
    <row r="12" spans="1:10" x14ac:dyDescent="0.2">
      <c r="A12" s="5">
        <v>44448</v>
      </c>
      <c r="B12" s="68">
        <v>4252</v>
      </c>
      <c r="C12" s="69">
        <f t="shared" si="1"/>
        <v>646</v>
      </c>
      <c r="D12" s="68">
        <v>2981</v>
      </c>
      <c r="E12" s="69">
        <f t="shared" si="0"/>
        <v>379</v>
      </c>
      <c r="F12" s="68">
        <v>83</v>
      </c>
      <c r="G12" s="70">
        <v>0</v>
      </c>
      <c r="H12" s="70" t="s">
        <v>27</v>
      </c>
      <c r="I12" s="69">
        <f t="shared" si="2"/>
        <v>1025</v>
      </c>
      <c r="J12" s="16">
        <f t="shared" si="3"/>
        <v>253.13099999999997</v>
      </c>
    </row>
    <row r="13" spans="1:10" x14ac:dyDescent="0.2">
      <c r="A13" s="5">
        <v>44449</v>
      </c>
      <c r="B13" s="68">
        <v>4898</v>
      </c>
      <c r="C13" s="69">
        <f t="shared" si="1"/>
        <v>653</v>
      </c>
      <c r="D13" s="68">
        <v>3360</v>
      </c>
      <c r="E13" s="69">
        <f t="shared" si="0"/>
        <v>355</v>
      </c>
      <c r="F13" s="68">
        <v>83</v>
      </c>
      <c r="G13" s="70">
        <v>0</v>
      </c>
      <c r="H13" s="70" t="s">
        <v>26</v>
      </c>
      <c r="I13" s="69">
        <f t="shared" si="2"/>
        <v>1008</v>
      </c>
      <c r="J13" s="16">
        <f t="shared" si="3"/>
        <v>250.899</v>
      </c>
    </row>
    <row r="14" spans="1:10" x14ac:dyDescent="0.2">
      <c r="A14" s="5">
        <v>44450</v>
      </c>
      <c r="B14" s="68">
        <v>5551</v>
      </c>
      <c r="C14" s="69">
        <f t="shared" si="1"/>
        <v>624</v>
      </c>
      <c r="D14" s="68">
        <v>3715</v>
      </c>
      <c r="E14" s="69">
        <f t="shared" si="0"/>
        <v>431</v>
      </c>
      <c r="F14" s="68">
        <v>87</v>
      </c>
      <c r="G14" s="70">
        <v>0</v>
      </c>
      <c r="H14" s="70" t="s">
        <v>26</v>
      </c>
      <c r="I14" s="69">
        <f t="shared" si="2"/>
        <v>1055</v>
      </c>
      <c r="J14" s="16">
        <f t="shared" si="3"/>
        <v>255.99899999999997</v>
      </c>
    </row>
    <row r="15" spans="1:10" x14ac:dyDescent="0.2">
      <c r="A15" s="5">
        <v>44451</v>
      </c>
      <c r="B15" s="68">
        <v>6175</v>
      </c>
      <c r="C15" s="69">
        <f t="shared" si="1"/>
        <v>1029</v>
      </c>
      <c r="D15" s="68">
        <v>4146</v>
      </c>
      <c r="E15" s="69">
        <f t="shared" si="0"/>
        <v>519</v>
      </c>
      <c r="F15" s="68">
        <v>87</v>
      </c>
      <c r="G15" s="70">
        <v>0</v>
      </c>
      <c r="H15" s="70" t="s">
        <v>26</v>
      </c>
      <c r="I15" s="69">
        <f t="shared" si="2"/>
        <v>1548</v>
      </c>
      <c r="J15" s="16">
        <f t="shared" si="3"/>
        <v>388.21499999999997</v>
      </c>
    </row>
    <row r="16" spans="1:10" x14ac:dyDescent="0.2">
      <c r="A16" s="5">
        <v>44452</v>
      </c>
      <c r="B16" s="68">
        <v>7204</v>
      </c>
      <c r="C16" s="69">
        <f t="shared" si="1"/>
        <v>1022</v>
      </c>
      <c r="D16" s="68">
        <v>4665</v>
      </c>
      <c r="E16" s="69">
        <f t="shared" si="0"/>
        <v>400</v>
      </c>
      <c r="F16" s="68">
        <v>97</v>
      </c>
      <c r="G16" s="70">
        <v>0</v>
      </c>
      <c r="H16" s="70" t="s">
        <v>27</v>
      </c>
      <c r="I16" s="69">
        <f t="shared" si="2"/>
        <v>1422</v>
      </c>
      <c r="J16" s="16">
        <f t="shared" si="3"/>
        <v>365.13599999999997</v>
      </c>
    </row>
    <row r="17" spans="1:10" x14ac:dyDescent="0.2">
      <c r="A17" s="5">
        <v>44453</v>
      </c>
      <c r="B17" s="68">
        <v>8226</v>
      </c>
      <c r="C17" s="69">
        <f t="shared" si="1"/>
        <v>1461</v>
      </c>
      <c r="D17" s="68">
        <v>5065</v>
      </c>
      <c r="E17" s="69">
        <f t="shared" si="0"/>
        <v>508</v>
      </c>
      <c r="F17" s="68">
        <v>105</v>
      </c>
      <c r="G17" s="70">
        <v>0</v>
      </c>
      <c r="H17" s="70" t="s">
        <v>26</v>
      </c>
      <c r="I17" s="69">
        <f t="shared" si="2"/>
        <v>1969</v>
      </c>
      <c r="J17" s="16">
        <f t="shared" si="3"/>
        <v>510.68399999999997</v>
      </c>
    </row>
    <row r="18" spans="1:10" x14ac:dyDescent="0.2">
      <c r="A18" s="5">
        <v>44454</v>
      </c>
      <c r="B18" s="68">
        <v>9687</v>
      </c>
      <c r="C18" s="69">
        <f t="shared" si="1"/>
        <v>1405</v>
      </c>
      <c r="D18" s="68">
        <v>5573</v>
      </c>
      <c r="E18" s="69">
        <f t="shared" si="0"/>
        <v>664</v>
      </c>
      <c r="F18" s="68">
        <v>143</v>
      </c>
      <c r="G18" s="70">
        <v>0</v>
      </c>
      <c r="H18" s="70" t="s">
        <v>27</v>
      </c>
      <c r="I18" s="69">
        <f t="shared" si="2"/>
        <v>2069</v>
      </c>
      <c r="J18" s="16">
        <f t="shared" si="3"/>
        <v>522.16800000000001</v>
      </c>
    </row>
    <row r="19" spans="1:10" x14ac:dyDescent="0.2">
      <c r="A19" s="5">
        <v>44455</v>
      </c>
      <c r="B19" s="68">
        <v>11092</v>
      </c>
      <c r="C19" s="69">
        <f t="shared" si="1"/>
        <v>1778</v>
      </c>
      <c r="D19" s="68">
        <v>6237</v>
      </c>
      <c r="E19" s="69">
        <f t="shared" si="0"/>
        <v>636</v>
      </c>
      <c r="F19" s="68">
        <v>143</v>
      </c>
      <c r="G19" s="76">
        <v>0.27</v>
      </c>
      <c r="H19" s="70" t="s">
        <v>26</v>
      </c>
      <c r="I19" s="69">
        <f t="shared" si="2"/>
        <v>2414</v>
      </c>
      <c r="J19" s="16">
        <f t="shared" si="3"/>
        <v>624.63599999999997</v>
      </c>
    </row>
    <row r="20" spans="1:10" x14ac:dyDescent="0.2">
      <c r="A20" s="5">
        <v>44456</v>
      </c>
      <c r="B20" s="68">
        <v>12870</v>
      </c>
      <c r="C20" s="69">
        <v>1820</v>
      </c>
      <c r="D20" s="68">
        <v>6873</v>
      </c>
      <c r="E20" s="69">
        <f t="shared" si="0"/>
        <v>615</v>
      </c>
      <c r="F20" s="68">
        <v>155</v>
      </c>
      <c r="G20" s="76">
        <v>0.43</v>
      </c>
      <c r="H20" s="70" t="s">
        <v>26</v>
      </c>
      <c r="I20" s="69">
        <f t="shared" si="2"/>
        <v>2435</v>
      </c>
      <c r="J20" s="16">
        <f t="shared" si="3"/>
        <v>633.01499999999999</v>
      </c>
    </row>
    <row r="21" spans="1:10" x14ac:dyDescent="0.2">
      <c r="A21" s="5">
        <v>44457</v>
      </c>
      <c r="B21" s="68">
        <v>14690</v>
      </c>
      <c r="C21" s="69">
        <f t="shared" si="1"/>
        <v>1921</v>
      </c>
      <c r="D21" s="68">
        <v>7488</v>
      </c>
      <c r="E21" s="69">
        <f t="shared" si="0"/>
        <v>679</v>
      </c>
      <c r="F21" s="68">
        <v>162</v>
      </c>
      <c r="G21" s="76">
        <v>0.51</v>
      </c>
      <c r="H21" s="70" t="s">
        <v>26</v>
      </c>
      <c r="I21" s="69">
        <f t="shared" si="2"/>
        <v>2600</v>
      </c>
      <c r="J21" s="16">
        <f t="shared" si="3"/>
        <v>673.43099999999993</v>
      </c>
    </row>
    <row r="22" spans="1:10" x14ac:dyDescent="0.2">
      <c r="A22" s="5">
        <v>44458</v>
      </c>
      <c r="B22" s="68">
        <v>16611</v>
      </c>
      <c r="C22" s="69">
        <f t="shared" si="1"/>
        <v>4004</v>
      </c>
      <c r="D22" s="68">
        <v>8167</v>
      </c>
      <c r="E22" s="69">
        <f t="shared" si="0"/>
        <v>1459</v>
      </c>
      <c r="F22" s="68">
        <v>167</v>
      </c>
      <c r="G22" s="76">
        <v>0.21</v>
      </c>
      <c r="H22" s="70" t="s">
        <v>26</v>
      </c>
      <c r="I22" s="69">
        <f t="shared" si="2"/>
        <v>5463</v>
      </c>
      <c r="J22" s="16">
        <f t="shared" si="3"/>
        <v>1411.3949999999998</v>
      </c>
    </row>
    <row r="23" spans="1:10" x14ac:dyDescent="0.2">
      <c r="A23" s="5">
        <v>44459</v>
      </c>
      <c r="B23" s="68">
        <v>20615</v>
      </c>
      <c r="C23" s="69">
        <v>20615</v>
      </c>
      <c r="D23" s="68">
        <v>9626</v>
      </c>
      <c r="E23" s="69">
        <f t="shared" si="0"/>
        <v>730</v>
      </c>
      <c r="F23" s="68">
        <v>175</v>
      </c>
      <c r="G23" s="76">
        <v>0.24</v>
      </c>
      <c r="H23" s="70" t="s">
        <v>26</v>
      </c>
      <c r="I23" s="69">
        <f t="shared" si="2"/>
        <v>21345</v>
      </c>
      <c r="J23" s="16">
        <f t="shared" si="3"/>
        <v>6066.33</v>
      </c>
    </row>
    <row r="24" spans="1:10" x14ac:dyDescent="0.2">
      <c r="A24" s="5">
        <v>44460</v>
      </c>
      <c r="B24" s="68">
        <v>22556</v>
      </c>
      <c r="C24" s="69">
        <f t="shared" si="1"/>
        <v>1869</v>
      </c>
      <c r="D24" s="68">
        <v>10356</v>
      </c>
      <c r="E24" s="69">
        <f t="shared" si="0"/>
        <v>796</v>
      </c>
      <c r="F24" s="68">
        <v>175</v>
      </c>
      <c r="G24" s="76">
        <v>0.24</v>
      </c>
      <c r="H24" s="70" t="s">
        <v>28</v>
      </c>
      <c r="I24" s="69">
        <f t="shared" si="2"/>
        <v>2665</v>
      </c>
      <c r="J24" s="16">
        <f t="shared" si="3"/>
        <v>679.16399999999999</v>
      </c>
    </row>
    <row r="25" spans="1:10" x14ac:dyDescent="0.2">
      <c r="A25" s="5">
        <v>44461</v>
      </c>
      <c r="B25" s="68">
        <v>24425</v>
      </c>
      <c r="C25" s="69">
        <f t="shared" si="1"/>
        <v>2249</v>
      </c>
      <c r="D25" s="68">
        <v>11152</v>
      </c>
      <c r="E25" s="69">
        <f t="shared" si="0"/>
        <v>919</v>
      </c>
      <c r="F25" s="68">
        <v>175</v>
      </c>
      <c r="G25" s="76">
        <v>0.36</v>
      </c>
      <c r="H25" s="70" t="s">
        <v>26</v>
      </c>
      <c r="I25" s="69">
        <f t="shared" si="2"/>
        <v>3168</v>
      </c>
      <c r="J25" s="16">
        <f t="shared" si="3"/>
        <v>810.375</v>
      </c>
    </row>
    <row r="26" spans="1:10" x14ac:dyDescent="0.2">
      <c r="A26" s="5">
        <v>44462</v>
      </c>
      <c r="B26" s="68">
        <v>26674</v>
      </c>
      <c r="C26" s="69">
        <f t="shared" si="1"/>
        <v>2021</v>
      </c>
      <c r="D26" s="68">
        <v>12071</v>
      </c>
      <c r="E26" s="69">
        <f t="shared" si="0"/>
        <v>895</v>
      </c>
      <c r="F26" s="68">
        <v>207</v>
      </c>
      <c r="G26" s="76">
        <v>0.35</v>
      </c>
      <c r="H26" s="71" t="s">
        <v>26</v>
      </c>
      <c r="I26" s="69">
        <f t="shared" si="2"/>
        <v>2916</v>
      </c>
      <c r="J26" s="16">
        <f t="shared" si="3"/>
        <v>740.46299999999997</v>
      </c>
    </row>
    <row r="27" spans="1:10" x14ac:dyDescent="0.2">
      <c r="A27" s="5">
        <v>44463</v>
      </c>
      <c r="B27" s="68">
        <v>28695</v>
      </c>
      <c r="C27" s="69">
        <f t="shared" si="1"/>
        <v>2174</v>
      </c>
      <c r="D27" s="68">
        <v>12966</v>
      </c>
      <c r="E27" s="69">
        <f t="shared" si="0"/>
        <v>897</v>
      </c>
      <c r="F27" s="68">
        <v>207</v>
      </c>
      <c r="G27" s="76">
        <v>0.32</v>
      </c>
      <c r="H27" s="70" t="s">
        <v>26</v>
      </c>
      <c r="I27" s="69">
        <f t="shared" si="2"/>
        <v>3071</v>
      </c>
      <c r="J27" s="16">
        <f t="shared" si="3"/>
        <v>784.88099999999997</v>
      </c>
    </row>
    <row r="28" spans="1:10" x14ac:dyDescent="0.2">
      <c r="A28" s="5">
        <v>44464</v>
      </c>
      <c r="B28" s="68">
        <v>30869</v>
      </c>
      <c r="C28" s="69">
        <f t="shared" si="1"/>
        <v>2140</v>
      </c>
      <c r="D28" s="68">
        <v>13863</v>
      </c>
      <c r="E28" s="69">
        <f t="shared" si="0"/>
        <v>783</v>
      </c>
      <c r="F28" s="68">
        <v>207</v>
      </c>
      <c r="G28" s="76">
        <v>0.34</v>
      </c>
      <c r="H28" s="70" t="s">
        <v>26</v>
      </c>
      <c r="I28" s="69">
        <f t="shared" si="2"/>
        <v>2923</v>
      </c>
      <c r="J28" s="16">
        <f t="shared" si="3"/>
        <v>754.91099999999994</v>
      </c>
    </row>
    <row r="29" spans="1:10" x14ac:dyDescent="0.2">
      <c r="A29" s="5">
        <v>44465</v>
      </c>
      <c r="B29" s="68">
        <v>33009</v>
      </c>
      <c r="C29" s="69">
        <f t="shared" si="1"/>
        <v>1993</v>
      </c>
      <c r="D29" s="68">
        <v>14646</v>
      </c>
      <c r="E29" s="69">
        <f t="shared" si="0"/>
        <v>879</v>
      </c>
      <c r="F29" s="68">
        <v>207</v>
      </c>
      <c r="G29" s="76">
        <v>0.28000000000000003</v>
      </c>
      <c r="H29" s="70" t="s">
        <v>26</v>
      </c>
      <c r="I29" s="69">
        <f t="shared" si="2"/>
        <v>2872</v>
      </c>
      <c r="J29" s="16">
        <f t="shared" si="3"/>
        <v>729.56699999999989</v>
      </c>
    </row>
    <row r="30" spans="1:10" x14ac:dyDescent="0.2">
      <c r="A30" s="5">
        <v>44466</v>
      </c>
      <c r="B30" s="68">
        <v>35002</v>
      </c>
      <c r="C30" s="69">
        <f t="shared" si="1"/>
        <v>1889</v>
      </c>
      <c r="D30" s="68">
        <v>15525</v>
      </c>
      <c r="E30" s="69">
        <f t="shared" si="0"/>
        <v>1036</v>
      </c>
      <c r="F30" s="68">
        <v>207</v>
      </c>
      <c r="G30" s="70"/>
      <c r="H30" s="70"/>
      <c r="I30" s="69">
        <f t="shared" si="2"/>
        <v>2925</v>
      </c>
      <c r="J30" s="16">
        <f t="shared" si="3"/>
        <v>727.40399999999988</v>
      </c>
    </row>
    <row r="31" spans="1:10" x14ac:dyDescent="0.2">
      <c r="A31" s="5">
        <v>44467</v>
      </c>
      <c r="B31" s="68">
        <v>36891</v>
      </c>
      <c r="C31" s="69">
        <f t="shared" si="1"/>
        <v>2124</v>
      </c>
      <c r="D31" s="68">
        <v>16561</v>
      </c>
      <c r="E31" s="69">
        <f t="shared" si="0"/>
        <v>891</v>
      </c>
      <c r="F31" s="68">
        <v>207</v>
      </c>
      <c r="G31" s="70"/>
      <c r="H31" s="70"/>
      <c r="I31" s="69">
        <f t="shared" si="2"/>
        <v>3015</v>
      </c>
      <c r="J31" s="16">
        <f t="shared" si="3"/>
        <v>769.41899999999998</v>
      </c>
    </row>
    <row r="32" spans="1:10" x14ac:dyDescent="0.2">
      <c r="A32" s="5">
        <v>44468</v>
      </c>
      <c r="B32" s="68">
        <v>39015</v>
      </c>
      <c r="C32" s="69">
        <f t="shared" si="1"/>
        <v>0</v>
      </c>
      <c r="D32" s="68">
        <v>17452</v>
      </c>
      <c r="E32" s="69">
        <f t="shared" si="0"/>
        <v>0</v>
      </c>
      <c r="F32" s="68">
        <v>207</v>
      </c>
      <c r="G32" s="70"/>
      <c r="H32" s="70"/>
      <c r="I32" s="69">
        <f t="shared" si="2"/>
        <v>0</v>
      </c>
      <c r="J32" s="16">
        <f t="shared" si="3"/>
        <v>0</v>
      </c>
    </row>
    <row r="33" spans="1:10" x14ac:dyDescent="0.2">
      <c r="A33" s="5">
        <v>44469</v>
      </c>
      <c r="B33" s="68">
        <v>0</v>
      </c>
      <c r="C33" s="69">
        <f t="shared" si="1"/>
        <v>0</v>
      </c>
      <c r="D33" s="68">
        <v>791</v>
      </c>
      <c r="E33" s="69">
        <f t="shared" si="0"/>
        <v>0</v>
      </c>
      <c r="F33" s="68">
        <v>0</v>
      </c>
      <c r="G33" s="76">
        <v>0.35</v>
      </c>
      <c r="H33" s="70" t="s">
        <v>29</v>
      </c>
      <c r="I33" s="69">
        <f t="shared" si="2"/>
        <v>0</v>
      </c>
      <c r="J33" s="16">
        <f t="shared" si="3"/>
        <v>0</v>
      </c>
    </row>
    <row r="34" spans="1:10" x14ac:dyDescent="0.2">
      <c r="A34" s="5"/>
      <c r="B34" s="68"/>
      <c r="C34" s="69"/>
      <c r="D34" s="68"/>
      <c r="E34" s="69"/>
      <c r="F34" s="68"/>
      <c r="G34" s="70"/>
      <c r="H34" s="70"/>
      <c r="I34" s="69">
        <f t="shared" si="2"/>
        <v>0</v>
      </c>
      <c r="J34" s="16">
        <f t="shared" si="3"/>
        <v>0</v>
      </c>
    </row>
    <row r="35" spans="1:10" x14ac:dyDescent="0.2">
      <c r="A35" s="67"/>
      <c r="B35" s="72"/>
      <c r="C35" s="69"/>
      <c r="D35" s="68"/>
      <c r="E35" s="69"/>
      <c r="F35" s="68"/>
      <c r="G35" s="70"/>
      <c r="H35" s="70"/>
      <c r="I35" s="69">
        <f t="shared" si="2"/>
        <v>0</v>
      </c>
      <c r="J35" s="16">
        <f t="shared" si="3"/>
        <v>0</v>
      </c>
    </row>
    <row r="36" spans="1:10" ht="13.5" customHeight="1" x14ac:dyDescent="0.2">
      <c r="A36" s="91"/>
      <c r="B36" s="92"/>
      <c r="C36" s="73">
        <f>SUM(C4:C35)</f>
        <v>57689</v>
      </c>
      <c r="D36" s="73"/>
      <c r="E36" s="73">
        <f>SUM(E4:E35)</f>
        <v>17215</v>
      </c>
      <c r="F36" s="73"/>
      <c r="G36" s="59"/>
      <c r="H36" s="59"/>
      <c r="I36" s="69">
        <f>+E36+C36</f>
        <v>74904</v>
      </c>
      <c r="J36" s="16">
        <f>(C36*0.288)+(E36*0.177)</f>
        <v>19661.486999999997</v>
      </c>
    </row>
    <row r="37" spans="1:10" x14ac:dyDescent="0.2">
      <c r="G37" s="32"/>
      <c r="H37" s="24" t="s">
        <v>33</v>
      </c>
    </row>
    <row r="38" spans="1:10" x14ac:dyDescent="0.2">
      <c r="H38" s="24" t="s">
        <v>34</v>
      </c>
    </row>
    <row r="39" spans="1:10" ht="15.75" x14ac:dyDescent="0.25">
      <c r="A39" s="63" t="s">
        <v>31</v>
      </c>
      <c r="H39" s="24" t="s">
        <v>35</v>
      </c>
    </row>
    <row r="40" spans="1:10" x14ac:dyDescent="0.2">
      <c r="H40" s="24" t="s">
        <v>32</v>
      </c>
    </row>
  </sheetData>
  <mergeCells count="2">
    <mergeCell ref="A36:B36"/>
    <mergeCell ref="D1:F1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61" customWidth="1"/>
    <col min="2" max="2" width="20.28515625" style="32" bestFit="1" customWidth="1"/>
    <col min="3" max="3" width="18.85546875" style="32" bestFit="1" customWidth="1"/>
    <col min="4" max="4" width="20.28515625" style="32" bestFit="1" customWidth="1"/>
    <col min="5" max="5" width="18.85546875" style="32" customWidth="1"/>
    <col min="6" max="6" width="14.7109375" style="32" customWidth="1"/>
    <col min="7" max="7" width="11.28515625" style="24" customWidth="1"/>
    <col min="8" max="8" width="18.7109375" style="24" customWidth="1"/>
    <col min="9" max="9" width="19.140625" style="32" bestFit="1" customWidth="1"/>
    <col min="10" max="10" width="10.140625" style="14" bestFit="1" customWidth="1"/>
    <col min="11" max="256" width="9.140625" style="24"/>
    <col min="257" max="257" width="14" style="24" customWidth="1"/>
    <col min="258" max="258" width="20.28515625" style="24" bestFit="1" customWidth="1"/>
    <col min="259" max="259" width="18.85546875" style="24" bestFit="1" customWidth="1"/>
    <col min="260" max="260" width="20.28515625" style="24" bestFit="1" customWidth="1"/>
    <col min="261" max="261" width="18.85546875" style="24" customWidth="1"/>
    <col min="262" max="262" width="14.7109375" style="24" customWidth="1"/>
    <col min="263" max="263" width="11.28515625" style="24" customWidth="1"/>
    <col min="264" max="264" width="18.7109375" style="24" customWidth="1"/>
    <col min="265" max="265" width="19.140625" style="24" bestFit="1" customWidth="1"/>
    <col min="266" max="266" width="10.140625" style="24" bestFit="1" customWidth="1"/>
    <col min="267" max="512" width="9.140625" style="24"/>
    <col min="513" max="513" width="14" style="24" customWidth="1"/>
    <col min="514" max="514" width="20.28515625" style="24" bestFit="1" customWidth="1"/>
    <col min="515" max="515" width="18.85546875" style="24" bestFit="1" customWidth="1"/>
    <col min="516" max="516" width="20.28515625" style="24" bestFit="1" customWidth="1"/>
    <col min="517" max="517" width="18.85546875" style="24" customWidth="1"/>
    <col min="518" max="518" width="14.7109375" style="24" customWidth="1"/>
    <col min="519" max="519" width="11.28515625" style="24" customWidth="1"/>
    <col min="520" max="520" width="18.7109375" style="24" customWidth="1"/>
    <col min="521" max="521" width="19.140625" style="24" bestFit="1" customWidth="1"/>
    <col min="522" max="522" width="10.140625" style="24" bestFit="1" customWidth="1"/>
    <col min="523" max="768" width="9.140625" style="24"/>
    <col min="769" max="769" width="14" style="24" customWidth="1"/>
    <col min="770" max="770" width="20.28515625" style="24" bestFit="1" customWidth="1"/>
    <col min="771" max="771" width="18.85546875" style="24" bestFit="1" customWidth="1"/>
    <col min="772" max="772" width="20.28515625" style="24" bestFit="1" customWidth="1"/>
    <col min="773" max="773" width="18.85546875" style="24" customWidth="1"/>
    <col min="774" max="774" width="14.7109375" style="24" customWidth="1"/>
    <col min="775" max="775" width="11.28515625" style="24" customWidth="1"/>
    <col min="776" max="776" width="18.7109375" style="24" customWidth="1"/>
    <col min="777" max="777" width="19.140625" style="24" bestFit="1" customWidth="1"/>
    <col min="778" max="778" width="10.140625" style="24" bestFit="1" customWidth="1"/>
    <col min="779" max="1024" width="9.140625" style="24"/>
    <col min="1025" max="1025" width="14" style="24" customWidth="1"/>
    <col min="1026" max="1026" width="20.28515625" style="24" bestFit="1" customWidth="1"/>
    <col min="1027" max="1027" width="18.85546875" style="24" bestFit="1" customWidth="1"/>
    <col min="1028" max="1028" width="20.28515625" style="24" bestFit="1" customWidth="1"/>
    <col min="1029" max="1029" width="18.85546875" style="24" customWidth="1"/>
    <col min="1030" max="1030" width="14.7109375" style="24" customWidth="1"/>
    <col min="1031" max="1031" width="11.28515625" style="24" customWidth="1"/>
    <col min="1032" max="1032" width="18.7109375" style="24" customWidth="1"/>
    <col min="1033" max="1033" width="19.140625" style="24" bestFit="1" customWidth="1"/>
    <col min="1034" max="1034" width="10.140625" style="24" bestFit="1" customWidth="1"/>
    <col min="1035" max="1280" width="9.140625" style="24"/>
    <col min="1281" max="1281" width="14" style="24" customWidth="1"/>
    <col min="1282" max="1282" width="20.28515625" style="24" bestFit="1" customWidth="1"/>
    <col min="1283" max="1283" width="18.85546875" style="24" bestFit="1" customWidth="1"/>
    <col min="1284" max="1284" width="20.28515625" style="24" bestFit="1" customWidth="1"/>
    <col min="1285" max="1285" width="18.85546875" style="24" customWidth="1"/>
    <col min="1286" max="1286" width="14.7109375" style="24" customWidth="1"/>
    <col min="1287" max="1287" width="11.28515625" style="24" customWidth="1"/>
    <col min="1288" max="1288" width="18.7109375" style="24" customWidth="1"/>
    <col min="1289" max="1289" width="19.140625" style="24" bestFit="1" customWidth="1"/>
    <col min="1290" max="1290" width="10.140625" style="24" bestFit="1" customWidth="1"/>
    <col min="1291" max="1536" width="9.140625" style="24"/>
    <col min="1537" max="1537" width="14" style="24" customWidth="1"/>
    <col min="1538" max="1538" width="20.28515625" style="24" bestFit="1" customWidth="1"/>
    <col min="1539" max="1539" width="18.85546875" style="24" bestFit="1" customWidth="1"/>
    <col min="1540" max="1540" width="20.28515625" style="24" bestFit="1" customWidth="1"/>
    <col min="1541" max="1541" width="18.85546875" style="24" customWidth="1"/>
    <col min="1542" max="1542" width="14.7109375" style="24" customWidth="1"/>
    <col min="1543" max="1543" width="11.28515625" style="24" customWidth="1"/>
    <col min="1544" max="1544" width="18.7109375" style="24" customWidth="1"/>
    <col min="1545" max="1545" width="19.140625" style="24" bestFit="1" customWidth="1"/>
    <col min="1546" max="1546" width="10.140625" style="24" bestFit="1" customWidth="1"/>
    <col min="1547" max="1792" width="9.140625" style="24"/>
    <col min="1793" max="1793" width="14" style="24" customWidth="1"/>
    <col min="1794" max="1794" width="20.28515625" style="24" bestFit="1" customWidth="1"/>
    <col min="1795" max="1795" width="18.85546875" style="24" bestFit="1" customWidth="1"/>
    <col min="1796" max="1796" width="20.28515625" style="24" bestFit="1" customWidth="1"/>
    <col min="1797" max="1797" width="18.85546875" style="24" customWidth="1"/>
    <col min="1798" max="1798" width="14.7109375" style="24" customWidth="1"/>
    <col min="1799" max="1799" width="11.28515625" style="24" customWidth="1"/>
    <col min="1800" max="1800" width="18.7109375" style="24" customWidth="1"/>
    <col min="1801" max="1801" width="19.140625" style="24" bestFit="1" customWidth="1"/>
    <col min="1802" max="1802" width="10.140625" style="24" bestFit="1" customWidth="1"/>
    <col min="1803" max="2048" width="9.140625" style="24"/>
    <col min="2049" max="2049" width="14" style="24" customWidth="1"/>
    <col min="2050" max="2050" width="20.28515625" style="24" bestFit="1" customWidth="1"/>
    <col min="2051" max="2051" width="18.85546875" style="24" bestFit="1" customWidth="1"/>
    <col min="2052" max="2052" width="20.28515625" style="24" bestFit="1" customWidth="1"/>
    <col min="2053" max="2053" width="18.85546875" style="24" customWidth="1"/>
    <col min="2054" max="2054" width="14.7109375" style="24" customWidth="1"/>
    <col min="2055" max="2055" width="11.28515625" style="24" customWidth="1"/>
    <col min="2056" max="2056" width="18.7109375" style="24" customWidth="1"/>
    <col min="2057" max="2057" width="19.140625" style="24" bestFit="1" customWidth="1"/>
    <col min="2058" max="2058" width="10.140625" style="24" bestFit="1" customWidth="1"/>
    <col min="2059" max="2304" width="9.140625" style="24"/>
    <col min="2305" max="2305" width="14" style="24" customWidth="1"/>
    <col min="2306" max="2306" width="20.28515625" style="24" bestFit="1" customWidth="1"/>
    <col min="2307" max="2307" width="18.85546875" style="24" bestFit="1" customWidth="1"/>
    <col min="2308" max="2308" width="20.28515625" style="24" bestFit="1" customWidth="1"/>
    <col min="2309" max="2309" width="18.85546875" style="24" customWidth="1"/>
    <col min="2310" max="2310" width="14.7109375" style="24" customWidth="1"/>
    <col min="2311" max="2311" width="11.28515625" style="24" customWidth="1"/>
    <col min="2312" max="2312" width="18.7109375" style="24" customWidth="1"/>
    <col min="2313" max="2313" width="19.140625" style="24" bestFit="1" customWidth="1"/>
    <col min="2314" max="2314" width="10.140625" style="24" bestFit="1" customWidth="1"/>
    <col min="2315" max="2560" width="9.140625" style="24"/>
    <col min="2561" max="2561" width="14" style="24" customWidth="1"/>
    <col min="2562" max="2562" width="20.28515625" style="24" bestFit="1" customWidth="1"/>
    <col min="2563" max="2563" width="18.85546875" style="24" bestFit="1" customWidth="1"/>
    <col min="2564" max="2564" width="20.28515625" style="24" bestFit="1" customWidth="1"/>
    <col min="2565" max="2565" width="18.85546875" style="24" customWidth="1"/>
    <col min="2566" max="2566" width="14.7109375" style="24" customWidth="1"/>
    <col min="2567" max="2567" width="11.28515625" style="24" customWidth="1"/>
    <col min="2568" max="2568" width="18.7109375" style="24" customWidth="1"/>
    <col min="2569" max="2569" width="19.140625" style="24" bestFit="1" customWidth="1"/>
    <col min="2570" max="2570" width="10.140625" style="24" bestFit="1" customWidth="1"/>
    <col min="2571" max="2816" width="9.140625" style="24"/>
    <col min="2817" max="2817" width="14" style="24" customWidth="1"/>
    <col min="2818" max="2818" width="20.28515625" style="24" bestFit="1" customWidth="1"/>
    <col min="2819" max="2819" width="18.85546875" style="24" bestFit="1" customWidth="1"/>
    <col min="2820" max="2820" width="20.28515625" style="24" bestFit="1" customWidth="1"/>
    <col min="2821" max="2821" width="18.85546875" style="24" customWidth="1"/>
    <col min="2822" max="2822" width="14.7109375" style="24" customWidth="1"/>
    <col min="2823" max="2823" width="11.28515625" style="24" customWidth="1"/>
    <col min="2824" max="2824" width="18.7109375" style="24" customWidth="1"/>
    <col min="2825" max="2825" width="19.140625" style="24" bestFit="1" customWidth="1"/>
    <col min="2826" max="2826" width="10.140625" style="24" bestFit="1" customWidth="1"/>
    <col min="2827" max="3072" width="9.140625" style="24"/>
    <col min="3073" max="3073" width="14" style="24" customWidth="1"/>
    <col min="3074" max="3074" width="20.28515625" style="24" bestFit="1" customWidth="1"/>
    <col min="3075" max="3075" width="18.85546875" style="24" bestFit="1" customWidth="1"/>
    <col min="3076" max="3076" width="20.28515625" style="24" bestFit="1" customWidth="1"/>
    <col min="3077" max="3077" width="18.85546875" style="24" customWidth="1"/>
    <col min="3078" max="3078" width="14.7109375" style="24" customWidth="1"/>
    <col min="3079" max="3079" width="11.28515625" style="24" customWidth="1"/>
    <col min="3080" max="3080" width="18.7109375" style="24" customWidth="1"/>
    <col min="3081" max="3081" width="19.140625" style="24" bestFit="1" customWidth="1"/>
    <col min="3082" max="3082" width="10.140625" style="24" bestFit="1" customWidth="1"/>
    <col min="3083" max="3328" width="9.140625" style="24"/>
    <col min="3329" max="3329" width="14" style="24" customWidth="1"/>
    <col min="3330" max="3330" width="20.28515625" style="24" bestFit="1" customWidth="1"/>
    <col min="3331" max="3331" width="18.85546875" style="24" bestFit="1" customWidth="1"/>
    <col min="3332" max="3332" width="20.28515625" style="24" bestFit="1" customWidth="1"/>
    <col min="3333" max="3333" width="18.85546875" style="24" customWidth="1"/>
    <col min="3334" max="3334" width="14.7109375" style="24" customWidth="1"/>
    <col min="3335" max="3335" width="11.28515625" style="24" customWidth="1"/>
    <col min="3336" max="3336" width="18.7109375" style="24" customWidth="1"/>
    <col min="3337" max="3337" width="19.140625" style="24" bestFit="1" customWidth="1"/>
    <col min="3338" max="3338" width="10.140625" style="24" bestFit="1" customWidth="1"/>
    <col min="3339" max="3584" width="9.140625" style="24"/>
    <col min="3585" max="3585" width="14" style="24" customWidth="1"/>
    <col min="3586" max="3586" width="20.28515625" style="24" bestFit="1" customWidth="1"/>
    <col min="3587" max="3587" width="18.85546875" style="24" bestFit="1" customWidth="1"/>
    <col min="3588" max="3588" width="20.28515625" style="24" bestFit="1" customWidth="1"/>
    <col min="3589" max="3589" width="18.85546875" style="24" customWidth="1"/>
    <col min="3590" max="3590" width="14.7109375" style="24" customWidth="1"/>
    <col min="3591" max="3591" width="11.28515625" style="24" customWidth="1"/>
    <col min="3592" max="3592" width="18.7109375" style="24" customWidth="1"/>
    <col min="3593" max="3593" width="19.140625" style="24" bestFit="1" customWidth="1"/>
    <col min="3594" max="3594" width="10.140625" style="24" bestFit="1" customWidth="1"/>
    <col min="3595" max="3840" width="9.140625" style="24"/>
    <col min="3841" max="3841" width="14" style="24" customWidth="1"/>
    <col min="3842" max="3842" width="20.28515625" style="24" bestFit="1" customWidth="1"/>
    <col min="3843" max="3843" width="18.85546875" style="24" bestFit="1" customWidth="1"/>
    <col min="3844" max="3844" width="20.28515625" style="24" bestFit="1" customWidth="1"/>
    <col min="3845" max="3845" width="18.85546875" style="24" customWidth="1"/>
    <col min="3846" max="3846" width="14.7109375" style="24" customWidth="1"/>
    <col min="3847" max="3847" width="11.28515625" style="24" customWidth="1"/>
    <col min="3848" max="3848" width="18.7109375" style="24" customWidth="1"/>
    <col min="3849" max="3849" width="19.140625" style="24" bestFit="1" customWidth="1"/>
    <col min="3850" max="3850" width="10.140625" style="24" bestFit="1" customWidth="1"/>
    <col min="3851" max="4096" width="9.140625" style="24"/>
    <col min="4097" max="4097" width="14" style="24" customWidth="1"/>
    <col min="4098" max="4098" width="20.28515625" style="24" bestFit="1" customWidth="1"/>
    <col min="4099" max="4099" width="18.85546875" style="24" bestFit="1" customWidth="1"/>
    <col min="4100" max="4100" width="20.28515625" style="24" bestFit="1" customWidth="1"/>
    <col min="4101" max="4101" width="18.85546875" style="24" customWidth="1"/>
    <col min="4102" max="4102" width="14.7109375" style="24" customWidth="1"/>
    <col min="4103" max="4103" width="11.28515625" style="24" customWidth="1"/>
    <col min="4104" max="4104" width="18.7109375" style="24" customWidth="1"/>
    <col min="4105" max="4105" width="19.140625" style="24" bestFit="1" customWidth="1"/>
    <col min="4106" max="4106" width="10.140625" style="24" bestFit="1" customWidth="1"/>
    <col min="4107" max="4352" width="9.140625" style="24"/>
    <col min="4353" max="4353" width="14" style="24" customWidth="1"/>
    <col min="4354" max="4354" width="20.28515625" style="24" bestFit="1" customWidth="1"/>
    <col min="4355" max="4355" width="18.85546875" style="24" bestFit="1" customWidth="1"/>
    <col min="4356" max="4356" width="20.28515625" style="24" bestFit="1" customWidth="1"/>
    <col min="4357" max="4357" width="18.85546875" style="24" customWidth="1"/>
    <col min="4358" max="4358" width="14.7109375" style="24" customWidth="1"/>
    <col min="4359" max="4359" width="11.28515625" style="24" customWidth="1"/>
    <col min="4360" max="4360" width="18.7109375" style="24" customWidth="1"/>
    <col min="4361" max="4361" width="19.140625" style="24" bestFit="1" customWidth="1"/>
    <col min="4362" max="4362" width="10.140625" style="24" bestFit="1" customWidth="1"/>
    <col min="4363" max="4608" width="9.140625" style="24"/>
    <col min="4609" max="4609" width="14" style="24" customWidth="1"/>
    <col min="4610" max="4610" width="20.28515625" style="24" bestFit="1" customWidth="1"/>
    <col min="4611" max="4611" width="18.85546875" style="24" bestFit="1" customWidth="1"/>
    <col min="4612" max="4612" width="20.28515625" style="24" bestFit="1" customWidth="1"/>
    <col min="4613" max="4613" width="18.85546875" style="24" customWidth="1"/>
    <col min="4614" max="4614" width="14.7109375" style="24" customWidth="1"/>
    <col min="4615" max="4615" width="11.28515625" style="24" customWidth="1"/>
    <col min="4616" max="4616" width="18.7109375" style="24" customWidth="1"/>
    <col min="4617" max="4617" width="19.140625" style="24" bestFit="1" customWidth="1"/>
    <col min="4618" max="4618" width="10.140625" style="24" bestFit="1" customWidth="1"/>
    <col min="4619" max="4864" width="9.140625" style="24"/>
    <col min="4865" max="4865" width="14" style="24" customWidth="1"/>
    <col min="4866" max="4866" width="20.28515625" style="24" bestFit="1" customWidth="1"/>
    <col min="4867" max="4867" width="18.85546875" style="24" bestFit="1" customWidth="1"/>
    <col min="4868" max="4868" width="20.28515625" style="24" bestFit="1" customWidth="1"/>
    <col min="4869" max="4869" width="18.85546875" style="24" customWidth="1"/>
    <col min="4870" max="4870" width="14.7109375" style="24" customWidth="1"/>
    <col min="4871" max="4871" width="11.28515625" style="24" customWidth="1"/>
    <col min="4872" max="4872" width="18.7109375" style="24" customWidth="1"/>
    <col min="4873" max="4873" width="19.140625" style="24" bestFit="1" customWidth="1"/>
    <col min="4874" max="4874" width="10.140625" style="24" bestFit="1" customWidth="1"/>
    <col min="4875" max="5120" width="9.140625" style="24"/>
    <col min="5121" max="5121" width="14" style="24" customWidth="1"/>
    <col min="5122" max="5122" width="20.28515625" style="24" bestFit="1" customWidth="1"/>
    <col min="5123" max="5123" width="18.85546875" style="24" bestFit="1" customWidth="1"/>
    <col min="5124" max="5124" width="20.28515625" style="24" bestFit="1" customWidth="1"/>
    <col min="5125" max="5125" width="18.85546875" style="24" customWidth="1"/>
    <col min="5126" max="5126" width="14.7109375" style="24" customWidth="1"/>
    <col min="5127" max="5127" width="11.28515625" style="24" customWidth="1"/>
    <col min="5128" max="5128" width="18.7109375" style="24" customWidth="1"/>
    <col min="5129" max="5129" width="19.140625" style="24" bestFit="1" customWidth="1"/>
    <col min="5130" max="5130" width="10.140625" style="24" bestFit="1" customWidth="1"/>
    <col min="5131" max="5376" width="9.140625" style="24"/>
    <col min="5377" max="5377" width="14" style="24" customWidth="1"/>
    <col min="5378" max="5378" width="20.28515625" style="24" bestFit="1" customWidth="1"/>
    <col min="5379" max="5379" width="18.85546875" style="24" bestFit="1" customWidth="1"/>
    <col min="5380" max="5380" width="20.28515625" style="24" bestFit="1" customWidth="1"/>
    <col min="5381" max="5381" width="18.85546875" style="24" customWidth="1"/>
    <col min="5382" max="5382" width="14.7109375" style="24" customWidth="1"/>
    <col min="5383" max="5383" width="11.28515625" style="24" customWidth="1"/>
    <col min="5384" max="5384" width="18.7109375" style="24" customWidth="1"/>
    <col min="5385" max="5385" width="19.140625" style="24" bestFit="1" customWidth="1"/>
    <col min="5386" max="5386" width="10.140625" style="24" bestFit="1" customWidth="1"/>
    <col min="5387" max="5632" width="9.140625" style="24"/>
    <col min="5633" max="5633" width="14" style="24" customWidth="1"/>
    <col min="5634" max="5634" width="20.28515625" style="24" bestFit="1" customWidth="1"/>
    <col min="5635" max="5635" width="18.85546875" style="24" bestFit="1" customWidth="1"/>
    <col min="5636" max="5636" width="20.28515625" style="24" bestFit="1" customWidth="1"/>
    <col min="5637" max="5637" width="18.85546875" style="24" customWidth="1"/>
    <col min="5638" max="5638" width="14.7109375" style="24" customWidth="1"/>
    <col min="5639" max="5639" width="11.28515625" style="24" customWidth="1"/>
    <col min="5640" max="5640" width="18.7109375" style="24" customWidth="1"/>
    <col min="5641" max="5641" width="19.140625" style="24" bestFit="1" customWidth="1"/>
    <col min="5642" max="5642" width="10.140625" style="24" bestFit="1" customWidth="1"/>
    <col min="5643" max="5888" width="9.140625" style="24"/>
    <col min="5889" max="5889" width="14" style="24" customWidth="1"/>
    <col min="5890" max="5890" width="20.28515625" style="24" bestFit="1" customWidth="1"/>
    <col min="5891" max="5891" width="18.85546875" style="24" bestFit="1" customWidth="1"/>
    <col min="5892" max="5892" width="20.28515625" style="24" bestFit="1" customWidth="1"/>
    <col min="5893" max="5893" width="18.85546875" style="24" customWidth="1"/>
    <col min="5894" max="5894" width="14.7109375" style="24" customWidth="1"/>
    <col min="5895" max="5895" width="11.28515625" style="24" customWidth="1"/>
    <col min="5896" max="5896" width="18.7109375" style="24" customWidth="1"/>
    <col min="5897" max="5897" width="19.140625" style="24" bestFit="1" customWidth="1"/>
    <col min="5898" max="5898" width="10.140625" style="24" bestFit="1" customWidth="1"/>
    <col min="5899" max="6144" width="9.140625" style="24"/>
    <col min="6145" max="6145" width="14" style="24" customWidth="1"/>
    <col min="6146" max="6146" width="20.28515625" style="24" bestFit="1" customWidth="1"/>
    <col min="6147" max="6147" width="18.85546875" style="24" bestFit="1" customWidth="1"/>
    <col min="6148" max="6148" width="20.28515625" style="24" bestFit="1" customWidth="1"/>
    <col min="6149" max="6149" width="18.85546875" style="24" customWidth="1"/>
    <col min="6150" max="6150" width="14.7109375" style="24" customWidth="1"/>
    <col min="6151" max="6151" width="11.28515625" style="24" customWidth="1"/>
    <col min="6152" max="6152" width="18.7109375" style="24" customWidth="1"/>
    <col min="6153" max="6153" width="19.140625" style="24" bestFit="1" customWidth="1"/>
    <col min="6154" max="6154" width="10.140625" style="24" bestFit="1" customWidth="1"/>
    <col min="6155" max="6400" width="9.140625" style="24"/>
    <col min="6401" max="6401" width="14" style="24" customWidth="1"/>
    <col min="6402" max="6402" width="20.28515625" style="24" bestFit="1" customWidth="1"/>
    <col min="6403" max="6403" width="18.85546875" style="24" bestFit="1" customWidth="1"/>
    <col min="6404" max="6404" width="20.28515625" style="24" bestFit="1" customWidth="1"/>
    <col min="6405" max="6405" width="18.85546875" style="24" customWidth="1"/>
    <col min="6406" max="6406" width="14.7109375" style="24" customWidth="1"/>
    <col min="6407" max="6407" width="11.28515625" style="24" customWidth="1"/>
    <col min="6408" max="6408" width="18.7109375" style="24" customWidth="1"/>
    <col min="6409" max="6409" width="19.140625" style="24" bestFit="1" customWidth="1"/>
    <col min="6410" max="6410" width="10.140625" style="24" bestFit="1" customWidth="1"/>
    <col min="6411" max="6656" width="9.140625" style="24"/>
    <col min="6657" max="6657" width="14" style="24" customWidth="1"/>
    <col min="6658" max="6658" width="20.28515625" style="24" bestFit="1" customWidth="1"/>
    <col min="6659" max="6659" width="18.85546875" style="24" bestFit="1" customWidth="1"/>
    <col min="6660" max="6660" width="20.28515625" style="24" bestFit="1" customWidth="1"/>
    <col min="6661" max="6661" width="18.85546875" style="24" customWidth="1"/>
    <col min="6662" max="6662" width="14.7109375" style="24" customWidth="1"/>
    <col min="6663" max="6663" width="11.28515625" style="24" customWidth="1"/>
    <col min="6664" max="6664" width="18.7109375" style="24" customWidth="1"/>
    <col min="6665" max="6665" width="19.140625" style="24" bestFit="1" customWidth="1"/>
    <col min="6666" max="6666" width="10.140625" style="24" bestFit="1" customWidth="1"/>
    <col min="6667" max="6912" width="9.140625" style="24"/>
    <col min="6913" max="6913" width="14" style="24" customWidth="1"/>
    <col min="6914" max="6914" width="20.28515625" style="24" bestFit="1" customWidth="1"/>
    <col min="6915" max="6915" width="18.85546875" style="24" bestFit="1" customWidth="1"/>
    <col min="6916" max="6916" width="20.28515625" style="24" bestFit="1" customWidth="1"/>
    <col min="6917" max="6917" width="18.85546875" style="24" customWidth="1"/>
    <col min="6918" max="6918" width="14.7109375" style="24" customWidth="1"/>
    <col min="6919" max="6919" width="11.28515625" style="24" customWidth="1"/>
    <col min="6920" max="6920" width="18.7109375" style="24" customWidth="1"/>
    <col min="6921" max="6921" width="19.140625" style="24" bestFit="1" customWidth="1"/>
    <col min="6922" max="6922" width="10.140625" style="24" bestFit="1" customWidth="1"/>
    <col min="6923" max="7168" width="9.140625" style="24"/>
    <col min="7169" max="7169" width="14" style="24" customWidth="1"/>
    <col min="7170" max="7170" width="20.28515625" style="24" bestFit="1" customWidth="1"/>
    <col min="7171" max="7171" width="18.85546875" style="24" bestFit="1" customWidth="1"/>
    <col min="7172" max="7172" width="20.28515625" style="24" bestFit="1" customWidth="1"/>
    <col min="7173" max="7173" width="18.85546875" style="24" customWidth="1"/>
    <col min="7174" max="7174" width="14.7109375" style="24" customWidth="1"/>
    <col min="7175" max="7175" width="11.28515625" style="24" customWidth="1"/>
    <col min="7176" max="7176" width="18.7109375" style="24" customWidth="1"/>
    <col min="7177" max="7177" width="19.140625" style="24" bestFit="1" customWidth="1"/>
    <col min="7178" max="7178" width="10.140625" style="24" bestFit="1" customWidth="1"/>
    <col min="7179" max="7424" width="9.140625" style="24"/>
    <col min="7425" max="7425" width="14" style="24" customWidth="1"/>
    <col min="7426" max="7426" width="20.28515625" style="24" bestFit="1" customWidth="1"/>
    <col min="7427" max="7427" width="18.85546875" style="24" bestFit="1" customWidth="1"/>
    <col min="7428" max="7428" width="20.28515625" style="24" bestFit="1" customWidth="1"/>
    <col min="7429" max="7429" width="18.85546875" style="24" customWidth="1"/>
    <col min="7430" max="7430" width="14.7109375" style="24" customWidth="1"/>
    <col min="7431" max="7431" width="11.28515625" style="24" customWidth="1"/>
    <col min="7432" max="7432" width="18.7109375" style="24" customWidth="1"/>
    <col min="7433" max="7433" width="19.140625" style="24" bestFit="1" customWidth="1"/>
    <col min="7434" max="7434" width="10.140625" style="24" bestFit="1" customWidth="1"/>
    <col min="7435" max="7680" width="9.140625" style="24"/>
    <col min="7681" max="7681" width="14" style="24" customWidth="1"/>
    <col min="7682" max="7682" width="20.28515625" style="24" bestFit="1" customWidth="1"/>
    <col min="7683" max="7683" width="18.85546875" style="24" bestFit="1" customWidth="1"/>
    <col min="7684" max="7684" width="20.28515625" style="24" bestFit="1" customWidth="1"/>
    <col min="7685" max="7685" width="18.85546875" style="24" customWidth="1"/>
    <col min="7686" max="7686" width="14.7109375" style="24" customWidth="1"/>
    <col min="7687" max="7687" width="11.28515625" style="24" customWidth="1"/>
    <col min="7688" max="7688" width="18.7109375" style="24" customWidth="1"/>
    <col min="7689" max="7689" width="19.140625" style="24" bestFit="1" customWidth="1"/>
    <col min="7690" max="7690" width="10.140625" style="24" bestFit="1" customWidth="1"/>
    <col min="7691" max="7936" width="9.140625" style="24"/>
    <col min="7937" max="7937" width="14" style="24" customWidth="1"/>
    <col min="7938" max="7938" width="20.28515625" style="24" bestFit="1" customWidth="1"/>
    <col min="7939" max="7939" width="18.85546875" style="24" bestFit="1" customWidth="1"/>
    <col min="7940" max="7940" width="20.28515625" style="24" bestFit="1" customWidth="1"/>
    <col min="7941" max="7941" width="18.85546875" style="24" customWidth="1"/>
    <col min="7942" max="7942" width="14.7109375" style="24" customWidth="1"/>
    <col min="7943" max="7943" width="11.28515625" style="24" customWidth="1"/>
    <col min="7944" max="7944" width="18.7109375" style="24" customWidth="1"/>
    <col min="7945" max="7945" width="19.140625" style="24" bestFit="1" customWidth="1"/>
    <col min="7946" max="7946" width="10.140625" style="24" bestFit="1" customWidth="1"/>
    <col min="7947" max="8192" width="9.140625" style="24"/>
    <col min="8193" max="8193" width="14" style="24" customWidth="1"/>
    <col min="8194" max="8194" width="20.28515625" style="24" bestFit="1" customWidth="1"/>
    <col min="8195" max="8195" width="18.85546875" style="24" bestFit="1" customWidth="1"/>
    <col min="8196" max="8196" width="20.28515625" style="24" bestFit="1" customWidth="1"/>
    <col min="8197" max="8197" width="18.85546875" style="24" customWidth="1"/>
    <col min="8198" max="8198" width="14.7109375" style="24" customWidth="1"/>
    <col min="8199" max="8199" width="11.28515625" style="24" customWidth="1"/>
    <col min="8200" max="8200" width="18.7109375" style="24" customWidth="1"/>
    <col min="8201" max="8201" width="19.140625" style="24" bestFit="1" customWidth="1"/>
    <col min="8202" max="8202" width="10.140625" style="24" bestFit="1" customWidth="1"/>
    <col min="8203" max="8448" width="9.140625" style="24"/>
    <col min="8449" max="8449" width="14" style="24" customWidth="1"/>
    <col min="8450" max="8450" width="20.28515625" style="24" bestFit="1" customWidth="1"/>
    <col min="8451" max="8451" width="18.85546875" style="24" bestFit="1" customWidth="1"/>
    <col min="8452" max="8452" width="20.28515625" style="24" bestFit="1" customWidth="1"/>
    <col min="8453" max="8453" width="18.85546875" style="24" customWidth="1"/>
    <col min="8454" max="8454" width="14.7109375" style="24" customWidth="1"/>
    <col min="8455" max="8455" width="11.28515625" style="24" customWidth="1"/>
    <col min="8456" max="8456" width="18.7109375" style="24" customWidth="1"/>
    <col min="8457" max="8457" width="19.140625" style="24" bestFit="1" customWidth="1"/>
    <col min="8458" max="8458" width="10.140625" style="24" bestFit="1" customWidth="1"/>
    <col min="8459" max="8704" width="9.140625" style="24"/>
    <col min="8705" max="8705" width="14" style="24" customWidth="1"/>
    <col min="8706" max="8706" width="20.28515625" style="24" bestFit="1" customWidth="1"/>
    <col min="8707" max="8707" width="18.85546875" style="24" bestFit="1" customWidth="1"/>
    <col min="8708" max="8708" width="20.28515625" style="24" bestFit="1" customWidth="1"/>
    <col min="8709" max="8709" width="18.85546875" style="24" customWidth="1"/>
    <col min="8710" max="8710" width="14.7109375" style="24" customWidth="1"/>
    <col min="8711" max="8711" width="11.28515625" style="24" customWidth="1"/>
    <col min="8712" max="8712" width="18.7109375" style="24" customWidth="1"/>
    <col min="8713" max="8713" width="19.140625" style="24" bestFit="1" customWidth="1"/>
    <col min="8714" max="8714" width="10.140625" style="24" bestFit="1" customWidth="1"/>
    <col min="8715" max="8960" width="9.140625" style="24"/>
    <col min="8961" max="8961" width="14" style="24" customWidth="1"/>
    <col min="8962" max="8962" width="20.28515625" style="24" bestFit="1" customWidth="1"/>
    <col min="8963" max="8963" width="18.85546875" style="24" bestFit="1" customWidth="1"/>
    <col min="8964" max="8964" width="20.28515625" style="24" bestFit="1" customWidth="1"/>
    <col min="8965" max="8965" width="18.85546875" style="24" customWidth="1"/>
    <col min="8966" max="8966" width="14.7109375" style="24" customWidth="1"/>
    <col min="8967" max="8967" width="11.28515625" style="24" customWidth="1"/>
    <col min="8968" max="8968" width="18.7109375" style="24" customWidth="1"/>
    <col min="8969" max="8969" width="19.140625" style="24" bestFit="1" customWidth="1"/>
    <col min="8970" max="8970" width="10.140625" style="24" bestFit="1" customWidth="1"/>
    <col min="8971" max="9216" width="9.140625" style="24"/>
    <col min="9217" max="9217" width="14" style="24" customWidth="1"/>
    <col min="9218" max="9218" width="20.28515625" style="24" bestFit="1" customWidth="1"/>
    <col min="9219" max="9219" width="18.85546875" style="24" bestFit="1" customWidth="1"/>
    <col min="9220" max="9220" width="20.28515625" style="24" bestFit="1" customWidth="1"/>
    <col min="9221" max="9221" width="18.85546875" style="24" customWidth="1"/>
    <col min="9222" max="9222" width="14.7109375" style="24" customWidth="1"/>
    <col min="9223" max="9223" width="11.28515625" style="24" customWidth="1"/>
    <col min="9224" max="9224" width="18.7109375" style="24" customWidth="1"/>
    <col min="9225" max="9225" width="19.140625" style="24" bestFit="1" customWidth="1"/>
    <col min="9226" max="9226" width="10.140625" style="24" bestFit="1" customWidth="1"/>
    <col min="9227" max="9472" width="9.140625" style="24"/>
    <col min="9473" max="9473" width="14" style="24" customWidth="1"/>
    <col min="9474" max="9474" width="20.28515625" style="24" bestFit="1" customWidth="1"/>
    <col min="9475" max="9475" width="18.85546875" style="24" bestFit="1" customWidth="1"/>
    <col min="9476" max="9476" width="20.28515625" style="24" bestFit="1" customWidth="1"/>
    <col min="9477" max="9477" width="18.85546875" style="24" customWidth="1"/>
    <col min="9478" max="9478" width="14.7109375" style="24" customWidth="1"/>
    <col min="9479" max="9479" width="11.28515625" style="24" customWidth="1"/>
    <col min="9480" max="9480" width="18.7109375" style="24" customWidth="1"/>
    <col min="9481" max="9481" width="19.140625" style="24" bestFit="1" customWidth="1"/>
    <col min="9482" max="9482" width="10.140625" style="24" bestFit="1" customWidth="1"/>
    <col min="9483" max="9728" width="9.140625" style="24"/>
    <col min="9729" max="9729" width="14" style="24" customWidth="1"/>
    <col min="9730" max="9730" width="20.28515625" style="24" bestFit="1" customWidth="1"/>
    <col min="9731" max="9731" width="18.85546875" style="24" bestFit="1" customWidth="1"/>
    <col min="9732" max="9732" width="20.28515625" style="24" bestFit="1" customWidth="1"/>
    <col min="9733" max="9733" width="18.85546875" style="24" customWidth="1"/>
    <col min="9734" max="9734" width="14.7109375" style="24" customWidth="1"/>
    <col min="9735" max="9735" width="11.28515625" style="24" customWidth="1"/>
    <col min="9736" max="9736" width="18.7109375" style="24" customWidth="1"/>
    <col min="9737" max="9737" width="19.140625" style="24" bestFit="1" customWidth="1"/>
    <col min="9738" max="9738" width="10.140625" style="24" bestFit="1" customWidth="1"/>
    <col min="9739" max="9984" width="9.140625" style="24"/>
    <col min="9985" max="9985" width="14" style="24" customWidth="1"/>
    <col min="9986" max="9986" width="20.28515625" style="24" bestFit="1" customWidth="1"/>
    <col min="9987" max="9987" width="18.85546875" style="24" bestFit="1" customWidth="1"/>
    <col min="9988" max="9988" width="20.28515625" style="24" bestFit="1" customWidth="1"/>
    <col min="9989" max="9989" width="18.85546875" style="24" customWidth="1"/>
    <col min="9990" max="9990" width="14.7109375" style="24" customWidth="1"/>
    <col min="9991" max="9991" width="11.28515625" style="24" customWidth="1"/>
    <col min="9992" max="9992" width="18.7109375" style="24" customWidth="1"/>
    <col min="9993" max="9993" width="19.140625" style="24" bestFit="1" customWidth="1"/>
    <col min="9994" max="9994" width="10.140625" style="24" bestFit="1" customWidth="1"/>
    <col min="9995" max="10240" width="9.140625" style="24"/>
    <col min="10241" max="10241" width="14" style="24" customWidth="1"/>
    <col min="10242" max="10242" width="20.28515625" style="24" bestFit="1" customWidth="1"/>
    <col min="10243" max="10243" width="18.85546875" style="24" bestFit="1" customWidth="1"/>
    <col min="10244" max="10244" width="20.28515625" style="24" bestFit="1" customWidth="1"/>
    <col min="10245" max="10245" width="18.85546875" style="24" customWidth="1"/>
    <col min="10246" max="10246" width="14.7109375" style="24" customWidth="1"/>
    <col min="10247" max="10247" width="11.28515625" style="24" customWidth="1"/>
    <col min="10248" max="10248" width="18.7109375" style="24" customWidth="1"/>
    <col min="10249" max="10249" width="19.140625" style="24" bestFit="1" customWidth="1"/>
    <col min="10250" max="10250" width="10.140625" style="24" bestFit="1" customWidth="1"/>
    <col min="10251" max="10496" width="9.140625" style="24"/>
    <col min="10497" max="10497" width="14" style="24" customWidth="1"/>
    <col min="10498" max="10498" width="20.28515625" style="24" bestFit="1" customWidth="1"/>
    <col min="10499" max="10499" width="18.85546875" style="24" bestFit="1" customWidth="1"/>
    <col min="10500" max="10500" width="20.28515625" style="24" bestFit="1" customWidth="1"/>
    <col min="10501" max="10501" width="18.85546875" style="24" customWidth="1"/>
    <col min="10502" max="10502" width="14.7109375" style="24" customWidth="1"/>
    <col min="10503" max="10503" width="11.28515625" style="24" customWidth="1"/>
    <col min="10504" max="10504" width="18.7109375" style="24" customWidth="1"/>
    <col min="10505" max="10505" width="19.140625" style="24" bestFit="1" customWidth="1"/>
    <col min="10506" max="10506" width="10.140625" style="24" bestFit="1" customWidth="1"/>
    <col min="10507" max="10752" width="9.140625" style="24"/>
    <col min="10753" max="10753" width="14" style="24" customWidth="1"/>
    <col min="10754" max="10754" width="20.28515625" style="24" bestFit="1" customWidth="1"/>
    <col min="10755" max="10755" width="18.85546875" style="24" bestFit="1" customWidth="1"/>
    <col min="10756" max="10756" width="20.28515625" style="24" bestFit="1" customWidth="1"/>
    <col min="10757" max="10757" width="18.85546875" style="24" customWidth="1"/>
    <col min="10758" max="10758" width="14.7109375" style="24" customWidth="1"/>
    <col min="10759" max="10759" width="11.28515625" style="24" customWidth="1"/>
    <col min="10760" max="10760" width="18.7109375" style="24" customWidth="1"/>
    <col min="10761" max="10761" width="19.140625" style="24" bestFit="1" customWidth="1"/>
    <col min="10762" max="10762" width="10.140625" style="24" bestFit="1" customWidth="1"/>
    <col min="10763" max="11008" width="9.140625" style="24"/>
    <col min="11009" max="11009" width="14" style="24" customWidth="1"/>
    <col min="11010" max="11010" width="20.28515625" style="24" bestFit="1" customWidth="1"/>
    <col min="11011" max="11011" width="18.85546875" style="24" bestFit="1" customWidth="1"/>
    <col min="11012" max="11012" width="20.28515625" style="24" bestFit="1" customWidth="1"/>
    <col min="11013" max="11013" width="18.85546875" style="24" customWidth="1"/>
    <col min="11014" max="11014" width="14.7109375" style="24" customWidth="1"/>
    <col min="11015" max="11015" width="11.28515625" style="24" customWidth="1"/>
    <col min="11016" max="11016" width="18.7109375" style="24" customWidth="1"/>
    <col min="11017" max="11017" width="19.140625" style="24" bestFit="1" customWidth="1"/>
    <col min="11018" max="11018" width="10.140625" style="24" bestFit="1" customWidth="1"/>
    <col min="11019" max="11264" width="9.140625" style="24"/>
    <col min="11265" max="11265" width="14" style="24" customWidth="1"/>
    <col min="11266" max="11266" width="20.28515625" style="24" bestFit="1" customWidth="1"/>
    <col min="11267" max="11267" width="18.85546875" style="24" bestFit="1" customWidth="1"/>
    <col min="11268" max="11268" width="20.28515625" style="24" bestFit="1" customWidth="1"/>
    <col min="11269" max="11269" width="18.85546875" style="24" customWidth="1"/>
    <col min="11270" max="11270" width="14.7109375" style="24" customWidth="1"/>
    <col min="11271" max="11271" width="11.28515625" style="24" customWidth="1"/>
    <col min="11272" max="11272" width="18.7109375" style="24" customWidth="1"/>
    <col min="11273" max="11273" width="19.140625" style="24" bestFit="1" customWidth="1"/>
    <col min="11274" max="11274" width="10.140625" style="24" bestFit="1" customWidth="1"/>
    <col min="11275" max="11520" width="9.140625" style="24"/>
    <col min="11521" max="11521" width="14" style="24" customWidth="1"/>
    <col min="11522" max="11522" width="20.28515625" style="24" bestFit="1" customWidth="1"/>
    <col min="11523" max="11523" width="18.85546875" style="24" bestFit="1" customWidth="1"/>
    <col min="11524" max="11524" width="20.28515625" style="24" bestFit="1" customWidth="1"/>
    <col min="11525" max="11525" width="18.85546875" style="24" customWidth="1"/>
    <col min="11526" max="11526" width="14.7109375" style="24" customWidth="1"/>
    <col min="11527" max="11527" width="11.28515625" style="24" customWidth="1"/>
    <col min="11528" max="11528" width="18.7109375" style="24" customWidth="1"/>
    <col min="11529" max="11529" width="19.140625" style="24" bestFit="1" customWidth="1"/>
    <col min="11530" max="11530" width="10.140625" style="24" bestFit="1" customWidth="1"/>
    <col min="11531" max="11776" width="9.140625" style="24"/>
    <col min="11777" max="11777" width="14" style="24" customWidth="1"/>
    <col min="11778" max="11778" width="20.28515625" style="24" bestFit="1" customWidth="1"/>
    <col min="11779" max="11779" width="18.85546875" style="24" bestFit="1" customWidth="1"/>
    <col min="11780" max="11780" width="20.28515625" style="24" bestFit="1" customWidth="1"/>
    <col min="11781" max="11781" width="18.85546875" style="24" customWidth="1"/>
    <col min="11782" max="11782" width="14.7109375" style="24" customWidth="1"/>
    <col min="11783" max="11783" width="11.28515625" style="24" customWidth="1"/>
    <col min="11784" max="11784" width="18.7109375" style="24" customWidth="1"/>
    <col min="11785" max="11785" width="19.140625" style="24" bestFit="1" customWidth="1"/>
    <col min="11786" max="11786" width="10.140625" style="24" bestFit="1" customWidth="1"/>
    <col min="11787" max="12032" width="9.140625" style="24"/>
    <col min="12033" max="12033" width="14" style="24" customWidth="1"/>
    <col min="12034" max="12034" width="20.28515625" style="24" bestFit="1" customWidth="1"/>
    <col min="12035" max="12035" width="18.85546875" style="24" bestFit="1" customWidth="1"/>
    <col min="12036" max="12036" width="20.28515625" style="24" bestFit="1" customWidth="1"/>
    <col min="12037" max="12037" width="18.85546875" style="24" customWidth="1"/>
    <col min="12038" max="12038" width="14.7109375" style="24" customWidth="1"/>
    <col min="12039" max="12039" width="11.28515625" style="24" customWidth="1"/>
    <col min="12040" max="12040" width="18.7109375" style="24" customWidth="1"/>
    <col min="12041" max="12041" width="19.140625" style="24" bestFit="1" customWidth="1"/>
    <col min="12042" max="12042" width="10.140625" style="24" bestFit="1" customWidth="1"/>
    <col min="12043" max="12288" width="9.140625" style="24"/>
    <col min="12289" max="12289" width="14" style="24" customWidth="1"/>
    <col min="12290" max="12290" width="20.28515625" style="24" bestFit="1" customWidth="1"/>
    <col min="12291" max="12291" width="18.85546875" style="24" bestFit="1" customWidth="1"/>
    <col min="12292" max="12292" width="20.28515625" style="24" bestFit="1" customWidth="1"/>
    <col min="12293" max="12293" width="18.85546875" style="24" customWidth="1"/>
    <col min="12294" max="12294" width="14.7109375" style="24" customWidth="1"/>
    <col min="12295" max="12295" width="11.28515625" style="24" customWidth="1"/>
    <col min="12296" max="12296" width="18.7109375" style="24" customWidth="1"/>
    <col min="12297" max="12297" width="19.140625" style="24" bestFit="1" customWidth="1"/>
    <col min="12298" max="12298" width="10.140625" style="24" bestFit="1" customWidth="1"/>
    <col min="12299" max="12544" width="9.140625" style="24"/>
    <col min="12545" max="12545" width="14" style="24" customWidth="1"/>
    <col min="12546" max="12546" width="20.28515625" style="24" bestFit="1" customWidth="1"/>
    <col min="12547" max="12547" width="18.85546875" style="24" bestFit="1" customWidth="1"/>
    <col min="12548" max="12548" width="20.28515625" style="24" bestFit="1" customWidth="1"/>
    <col min="12549" max="12549" width="18.85546875" style="24" customWidth="1"/>
    <col min="12550" max="12550" width="14.7109375" style="24" customWidth="1"/>
    <col min="12551" max="12551" width="11.28515625" style="24" customWidth="1"/>
    <col min="12552" max="12552" width="18.7109375" style="24" customWidth="1"/>
    <col min="12553" max="12553" width="19.140625" style="24" bestFit="1" customWidth="1"/>
    <col min="12554" max="12554" width="10.140625" style="24" bestFit="1" customWidth="1"/>
    <col min="12555" max="12800" width="9.140625" style="24"/>
    <col min="12801" max="12801" width="14" style="24" customWidth="1"/>
    <col min="12802" max="12802" width="20.28515625" style="24" bestFit="1" customWidth="1"/>
    <col min="12803" max="12803" width="18.85546875" style="24" bestFit="1" customWidth="1"/>
    <col min="12804" max="12804" width="20.28515625" style="24" bestFit="1" customWidth="1"/>
    <col min="12805" max="12805" width="18.85546875" style="24" customWidth="1"/>
    <col min="12806" max="12806" width="14.7109375" style="24" customWidth="1"/>
    <col min="12807" max="12807" width="11.28515625" style="24" customWidth="1"/>
    <col min="12808" max="12808" width="18.7109375" style="24" customWidth="1"/>
    <col min="12809" max="12809" width="19.140625" style="24" bestFit="1" customWidth="1"/>
    <col min="12810" max="12810" width="10.140625" style="24" bestFit="1" customWidth="1"/>
    <col min="12811" max="13056" width="9.140625" style="24"/>
    <col min="13057" max="13057" width="14" style="24" customWidth="1"/>
    <col min="13058" max="13058" width="20.28515625" style="24" bestFit="1" customWidth="1"/>
    <col min="13059" max="13059" width="18.85546875" style="24" bestFit="1" customWidth="1"/>
    <col min="13060" max="13060" width="20.28515625" style="24" bestFit="1" customWidth="1"/>
    <col min="13061" max="13061" width="18.85546875" style="24" customWidth="1"/>
    <col min="13062" max="13062" width="14.7109375" style="24" customWidth="1"/>
    <col min="13063" max="13063" width="11.28515625" style="24" customWidth="1"/>
    <col min="13064" max="13064" width="18.7109375" style="24" customWidth="1"/>
    <col min="13065" max="13065" width="19.140625" style="24" bestFit="1" customWidth="1"/>
    <col min="13066" max="13066" width="10.140625" style="24" bestFit="1" customWidth="1"/>
    <col min="13067" max="13312" width="9.140625" style="24"/>
    <col min="13313" max="13313" width="14" style="24" customWidth="1"/>
    <col min="13314" max="13314" width="20.28515625" style="24" bestFit="1" customWidth="1"/>
    <col min="13315" max="13315" width="18.85546875" style="24" bestFit="1" customWidth="1"/>
    <col min="13316" max="13316" width="20.28515625" style="24" bestFit="1" customWidth="1"/>
    <col min="13317" max="13317" width="18.85546875" style="24" customWidth="1"/>
    <col min="13318" max="13318" width="14.7109375" style="24" customWidth="1"/>
    <col min="13319" max="13319" width="11.28515625" style="24" customWidth="1"/>
    <col min="13320" max="13320" width="18.7109375" style="24" customWidth="1"/>
    <col min="13321" max="13321" width="19.140625" style="24" bestFit="1" customWidth="1"/>
    <col min="13322" max="13322" width="10.140625" style="24" bestFit="1" customWidth="1"/>
    <col min="13323" max="13568" width="9.140625" style="24"/>
    <col min="13569" max="13569" width="14" style="24" customWidth="1"/>
    <col min="13570" max="13570" width="20.28515625" style="24" bestFit="1" customWidth="1"/>
    <col min="13571" max="13571" width="18.85546875" style="24" bestFit="1" customWidth="1"/>
    <col min="13572" max="13572" width="20.28515625" style="24" bestFit="1" customWidth="1"/>
    <col min="13573" max="13573" width="18.85546875" style="24" customWidth="1"/>
    <col min="13574" max="13574" width="14.7109375" style="24" customWidth="1"/>
    <col min="13575" max="13575" width="11.28515625" style="24" customWidth="1"/>
    <col min="13576" max="13576" width="18.7109375" style="24" customWidth="1"/>
    <col min="13577" max="13577" width="19.140625" style="24" bestFit="1" customWidth="1"/>
    <col min="13578" max="13578" width="10.140625" style="24" bestFit="1" customWidth="1"/>
    <col min="13579" max="13824" width="9.140625" style="24"/>
    <col min="13825" max="13825" width="14" style="24" customWidth="1"/>
    <col min="13826" max="13826" width="20.28515625" style="24" bestFit="1" customWidth="1"/>
    <col min="13827" max="13827" width="18.85546875" style="24" bestFit="1" customWidth="1"/>
    <col min="13828" max="13828" width="20.28515625" style="24" bestFit="1" customWidth="1"/>
    <col min="13829" max="13829" width="18.85546875" style="24" customWidth="1"/>
    <col min="13830" max="13830" width="14.7109375" style="24" customWidth="1"/>
    <col min="13831" max="13831" width="11.28515625" style="24" customWidth="1"/>
    <col min="13832" max="13832" width="18.7109375" style="24" customWidth="1"/>
    <col min="13833" max="13833" width="19.140625" style="24" bestFit="1" customWidth="1"/>
    <col min="13834" max="13834" width="10.140625" style="24" bestFit="1" customWidth="1"/>
    <col min="13835" max="14080" width="9.140625" style="24"/>
    <col min="14081" max="14081" width="14" style="24" customWidth="1"/>
    <col min="14082" max="14082" width="20.28515625" style="24" bestFit="1" customWidth="1"/>
    <col min="14083" max="14083" width="18.85546875" style="24" bestFit="1" customWidth="1"/>
    <col min="14084" max="14084" width="20.28515625" style="24" bestFit="1" customWidth="1"/>
    <col min="14085" max="14085" width="18.85546875" style="24" customWidth="1"/>
    <col min="14086" max="14086" width="14.7109375" style="24" customWidth="1"/>
    <col min="14087" max="14087" width="11.28515625" style="24" customWidth="1"/>
    <col min="14088" max="14088" width="18.7109375" style="24" customWidth="1"/>
    <col min="14089" max="14089" width="19.140625" style="24" bestFit="1" customWidth="1"/>
    <col min="14090" max="14090" width="10.140625" style="24" bestFit="1" customWidth="1"/>
    <col min="14091" max="14336" width="9.140625" style="24"/>
    <col min="14337" max="14337" width="14" style="24" customWidth="1"/>
    <col min="14338" max="14338" width="20.28515625" style="24" bestFit="1" customWidth="1"/>
    <col min="14339" max="14339" width="18.85546875" style="24" bestFit="1" customWidth="1"/>
    <col min="14340" max="14340" width="20.28515625" style="24" bestFit="1" customWidth="1"/>
    <col min="14341" max="14341" width="18.85546875" style="24" customWidth="1"/>
    <col min="14342" max="14342" width="14.7109375" style="24" customWidth="1"/>
    <col min="14343" max="14343" width="11.28515625" style="24" customWidth="1"/>
    <col min="14344" max="14344" width="18.7109375" style="24" customWidth="1"/>
    <col min="14345" max="14345" width="19.140625" style="24" bestFit="1" customWidth="1"/>
    <col min="14346" max="14346" width="10.140625" style="24" bestFit="1" customWidth="1"/>
    <col min="14347" max="14592" width="9.140625" style="24"/>
    <col min="14593" max="14593" width="14" style="24" customWidth="1"/>
    <col min="14594" max="14594" width="20.28515625" style="24" bestFit="1" customWidth="1"/>
    <col min="14595" max="14595" width="18.85546875" style="24" bestFit="1" customWidth="1"/>
    <col min="14596" max="14596" width="20.28515625" style="24" bestFit="1" customWidth="1"/>
    <col min="14597" max="14597" width="18.85546875" style="24" customWidth="1"/>
    <col min="14598" max="14598" width="14.7109375" style="24" customWidth="1"/>
    <col min="14599" max="14599" width="11.28515625" style="24" customWidth="1"/>
    <col min="14600" max="14600" width="18.7109375" style="24" customWidth="1"/>
    <col min="14601" max="14601" width="19.140625" style="24" bestFit="1" customWidth="1"/>
    <col min="14602" max="14602" width="10.140625" style="24" bestFit="1" customWidth="1"/>
    <col min="14603" max="14848" width="9.140625" style="24"/>
    <col min="14849" max="14849" width="14" style="24" customWidth="1"/>
    <col min="14850" max="14850" width="20.28515625" style="24" bestFit="1" customWidth="1"/>
    <col min="14851" max="14851" width="18.85546875" style="24" bestFit="1" customWidth="1"/>
    <col min="14852" max="14852" width="20.28515625" style="24" bestFit="1" customWidth="1"/>
    <col min="14853" max="14853" width="18.85546875" style="24" customWidth="1"/>
    <col min="14854" max="14854" width="14.7109375" style="24" customWidth="1"/>
    <col min="14855" max="14855" width="11.28515625" style="24" customWidth="1"/>
    <col min="14856" max="14856" width="18.7109375" style="24" customWidth="1"/>
    <col min="14857" max="14857" width="19.140625" style="24" bestFit="1" customWidth="1"/>
    <col min="14858" max="14858" width="10.140625" style="24" bestFit="1" customWidth="1"/>
    <col min="14859" max="15104" width="9.140625" style="24"/>
    <col min="15105" max="15105" width="14" style="24" customWidth="1"/>
    <col min="15106" max="15106" width="20.28515625" style="24" bestFit="1" customWidth="1"/>
    <col min="15107" max="15107" width="18.85546875" style="24" bestFit="1" customWidth="1"/>
    <col min="15108" max="15108" width="20.28515625" style="24" bestFit="1" customWidth="1"/>
    <col min="15109" max="15109" width="18.85546875" style="24" customWidth="1"/>
    <col min="15110" max="15110" width="14.7109375" style="24" customWidth="1"/>
    <col min="15111" max="15111" width="11.28515625" style="24" customWidth="1"/>
    <col min="15112" max="15112" width="18.7109375" style="24" customWidth="1"/>
    <col min="15113" max="15113" width="19.140625" style="24" bestFit="1" customWidth="1"/>
    <col min="15114" max="15114" width="10.140625" style="24" bestFit="1" customWidth="1"/>
    <col min="15115" max="15360" width="9.140625" style="24"/>
    <col min="15361" max="15361" width="14" style="24" customWidth="1"/>
    <col min="15362" max="15362" width="20.28515625" style="24" bestFit="1" customWidth="1"/>
    <col min="15363" max="15363" width="18.85546875" style="24" bestFit="1" customWidth="1"/>
    <col min="15364" max="15364" width="20.28515625" style="24" bestFit="1" customWidth="1"/>
    <col min="15365" max="15365" width="18.85546875" style="24" customWidth="1"/>
    <col min="15366" max="15366" width="14.7109375" style="24" customWidth="1"/>
    <col min="15367" max="15367" width="11.28515625" style="24" customWidth="1"/>
    <col min="15368" max="15368" width="18.7109375" style="24" customWidth="1"/>
    <col min="15369" max="15369" width="19.140625" style="24" bestFit="1" customWidth="1"/>
    <col min="15370" max="15370" width="10.140625" style="24" bestFit="1" customWidth="1"/>
    <col min="15371" max="15616" width="9.140625" style="24"/>
    <col min="15617" max="15617" width="14" style="24" customWidth="1"/>
    <col min="15618" max="15618" width="20.28515625" style="24" bestFit="1" customWidth="1"/>
    <col min="15619" max="15619" width="18.85546875" style="24" bestFit="1" customWidth="1"/>
    <col min="15620" max="15620" width="20.28515625" style="24" bestFit="1" customWidth="1"/>
    <col min="15621" max="15621" width="18.85546875" style="24" customWidth="1"/>
    <col min="15622" max="15622" width="14.7109375" style="24" customWidth="1"/>
    <col min="15623" max="15623" width="11.28515625" style="24" customWidth="1"/>
    <col min="15624" max="15624" width="18.7109375" style="24" customWidth="1"/>
    <col min="15625" max="15625" width="19.140625" style="24" bestFit="1" customWidth="1"/>
    <col min="15626" max="15626" width="10.140625" style="24" bestFit="1" customWidth="1"/>
    <col min="15627" max="15872" width="9.140625" style="24"/>
    <col min="15873" max="15873" width="14" style="24" customWidth="1"/>
    <col min="15874" max="15874" width="20.28515625" style="24" bestFit="1" customWidth="1"/>
    <col min="15875" max="15875" width="18.85546875" style="24" bestFit="1" customWidth="1"/>
    <col min="15876" max="15876" width="20.28515625" style="24" bestFit="1" customWidth="1"/>
    <col min="15877" max="15877" width="18.85546875" style="24" customWidth="1"/>
    <col min="15878" max="15878" width="14.7109375" style="24" customWidth="1"/>
    <col min="15879" max="15879" width="11.28515625" style="24" customWidth="1"/>
    <col min="15880" max="15880" width="18.7109375" style="24" customWidth="1"/>
    <col min="15881" max="15881" width="19.140625" style="24" bestFit="1" customWidth="1"/>
    <col min="15882" max="15882" width="10.140625" style="24" bestFit="1" customWidth="1"/>
    <col min="15883" max="16128" width="9.140625" style="24"/>
    <col min="16129" max="16129" width="14" style="24" customWidth="1"/>
    <col min="16130" max="16130" width="20.28515625" style="24" bestFit="1" customWidth="1"/>
    <col min="16131" max="16131" width="18.85546875" style="24" bestFit="1" customWidth="1"/>
    <col min="16132" max="16132" width="20.28515625" style="24" bestFit="1" customWidth="1"/>
    <col min="16133" max="16133" width="18.85546875" style="24" customWidth="1"/>
    <col min="16134" max="16134" width="14.7109375" style="24" customWidth="1"/>
    <col min="16135" max="16135" width="11.28515625" style="24" customWidth="1"/>
    <col min="16136" max="16136" width="18.7109375" style="24" customWidth="1"/>
    <col min="16137" max="16137" width="19.140625" style="24" bestFit="1" customWidth="1"/>
    <col min="16138" max="16138" width="10.140625" style="24" bestFit="1" customWidth="1"/>
    <col min="16139" max="16384" width="9.140625" style="24"/>
  </cols>
  <sheetData>
    <row r="1" spans="1:10" ht="20.25" x14ac:dyDescent="0.3">
      <c r="A1" s="31" t="s">
        <v>12</v>
      </c>
      <c r="D1" s="93" t="s">
        <v>13</v>
      </c>
      <c r="E1" s="93"/>
      <c r="F1" s="93"/>
    </row>
    <row r="2" spans="1:10" ht="18" x14ac:dyDescent="0.25">
      <c r="A2" s="64"/>
      <c r="B2" s="35" t="s">
        <v>14</v>
      </c>
      <c r="C2" s="35" t="s">
        <v>15</v>
      </c>
      <c r="D2" s="35" t="s">
        <v>14</v>
      </c>
      <c r="E2" s="35" t="s">
        <v>15</v>
      </c>
      <c r="F2" s="35" t="s">
        <v>16</v>
      </c>
      <c r="G2" s="35" t="s">
        <v>17</v>
      </c>
      <c r="H2" s="35" t="s">
        <v>18</v>
      </c>
      <c r="I2" s="35" t="s">
        <v>19</v>
      </c>
      <c r="J2" s="15" t="s">
        <v>20</v>
      </c>
    </row>
    <row r="3" spans="1:10" x14ac:dyDescent="0.2">
      <c r="A3" s="65"/>
      <c r="B3" s="35" t="s">
        <v>21</v>
      </c>
      <c r="C3" s="35" t="s">
        <v>21</v>
      </c>
      <c r="D3" s="35"/>
      <c r="E3" s="35" t="s">
        <v>22</v>
      </c>
      <c r="F3" s="66" t="s">
        <v>21</v>
      </c>
      <c r="G3" s="35" t="s">
        <v>23</v>
      </c>
      <c r="H3" s="59"/>
      <c r="I3" s="35" t="s">
        <v>24</v>
      </c>
      <c r="J3" s="15" t="s">
        <v>25</v>
      </c>
    </row>
    <row r="4" spans="1:10" x14ac:dyDescent="0.2">
      <c r="A4" s="5">
        <v>44440</v>
      </c>
      <c r="B4" s="68">
        <v>0</v>
      </c>
      <c r="C4" s="69">
        <f>IF(B5-B4 &lt; 0,0,B5-B4)</f>
        <v>968</v>
      </c>
      <c r="D4" s="68">
        <v>445</v>
      </c>
      <c r="E4" s="69">
        <f>IF(D5-D4 &lt; 0,0,D5-D4)</f>
        <v>644</v>
      </c>
      <c r="F4" s="68">
        <v>0</v>
      </c>
      <c r="G4" s="70">
        <v>0</v>
      </c>
      <c r="H4" s="70" t="s">
        <v>26</v>
      </c>
      <c r="I4" s="69">
        <f>+E4+C4</f>
        <v>1612</v>
      </c>
      <c r="J4" s="16">
        <f>(C4*0.288)+(E4*0.177)</f>
        <v>392.77199999999999</v>
      </c>
    </row>
    <row r="5" spans="1:10" x14ac:dyDescent="0.2">
      <c r="A5" s="5">
        <v>44441</v>
      </c>
      <c r="B5" s="68">
        <v>968</v>
      </c>
      <c r="C5" s="69">
        <f t="shared" ref="C5:C33" si="0">IF(B6-B5 &lt; 0,0,B6-B5)</f>
        <v>939</v>
      </c>
      <c r="D5" s="68">
        <v>1089</v>
      </c>
      <c r="E5" s="69">
        <f t="shared" ref="E5:E33" si="1">IF(D6-D5 &lt; 0,0,D6-D5)</f>
        <v>645</v>
      </c>
      <c r="F5" s="68">
        <v>83</v>
      </c>
      <c r="G5" s="70">
        <v>0</v>
      </c>
      <c r="H5" s="70" t="s">
        <v>27</v>
      </c>
      <c r="I5" s="69">
        <f>+E5+C5</f>
        <v>1584</v>
      </c>
      <c r="J5" s="16">
        <f t="shared" ref="J5:J35" si="2">(C5*0.288)+(E5*0.177)</f>
        <v>384.59699999999998</v>
      </c>
    </row>
    <row r="6" spans="1:10" ht="11.25" customHeight="1" x14ac:dyDescent="0.2">
      <c r="A6" s="5">
        <v>44442</v>
      </c>
      <c r="B6" s="68">
        <v>1907</v>
      </c>
      <c r="C6" s="69">
        <f t="shared" si="0"/>
        <v>968</v>
      </c>
      <c r="D6" s="68">
        <v>1734</v>
      </c>
      <c r="E6" s="69">
        <f t="shared" si="1"/>
        <v>765</v>
      </c>
      <c r="F6" s="68">
        <v>84</v>
      </c>
      <c r="G6" s="70">
        <v>0</v>
      </c>
      <c r="H6" s="70" t="s">
        <v>32</v>
      </c>
      <c r="I6" s="69">
        <f>+E6+C6</f>
        <v>1733</v>
      </c>
      <c r="J6" s="16">
        <f t="shared" si="2"/>
        <v>414.18899999999996</v>
      </c>
    </row>
    <row r="7" spans="1:10" x14ac:dyDescent="0.2">
      <c r="A7" s="5">
        <v>44443</v>
      </c>
      <c r="B7" s="68">
        <v>2875</v>
      </c>
      <c r="C7" s="69">
        <f t="shared" si="0"/>
        <v>940</v>
      </c>
      <c r="D7" s="68">
        <v>2499</v>
      </c>
      <c r="E7" s="69">
        <f t="shared" si="1"/>
        <v>505</v>
      </c>
      <c r="F7" s="68">
        <v>84</v>
      </c>
      <c r="G7" s="70">
        <v>0</v>
      </c>
      <c r="H7" s="70" t="s">
        <v>28</v>
      </c>
      <c r="I7" s="69">
        <f t="shared" ref="I7:I35" si="3">+E7+C7</f>
        <v>1445</v>
      </c>
      <c r="J7" s="16">
        <f t="shared" si="2"/>
        <v>360.10499999999996</v>
      </c>
    </row>
    <row r="8" spans="1:10" x14ac:dyDescent="0.2">
      <c r="A8" s="5">
        <v>44444</v>
      </c>
      <c r="B8" s="68">
        <v>3815</v>
      </c>
      <c r="C8" s="69">
        <f t="shared" si="0"/>
        <v>918</v>
      </c>
      <c r="D8" s="68">
        <v>3004</v>
      </c>
      <c r="E8" s="69">
        <f t="shared" si="1"/>
        <v>605</v>
      </c>
      <c r="F8" s="68">
        <v>84</v>
      </c>
      <c r="G8" s="70">
        <v>0</v>
      </c>
      <c r="H8" s="70" t="s">
        <v>28</v>
      </c>
      <c r="I8" s="69">
        <f t="shared" si="3"/>
        <v>1523</v>
      </c>
      <c r="J8" s="16">
        <f t="shared" si="2"/>
        <v>371.46899999999994</v>
      </c>
    </row>
    <row r="9" spans="1:10" x14ac:dyDescent="0.2">
      <c r="A9" s="5">
        <v>44445</v>
      </c>
      <c r="B9" s="68">
        <v>4733</v>
      </c>
      <c r="C9" s="69">
        <f t="shared" si="0"/>
        <v>969</v>
      </c>
      <c r="D9" s="68">
        <v>3609</v>
      </c>
      <c r="E9" s="69">
        <f t="shared" si="1"/>
        <v>606</v>
      </c>
      <c r="F9" s="68">
        <v>84</v>
      </c>
      <c r="G9" s="70">
        <v>0</v>
      </c>
      <c r="H9" s="70" t="s">
        <v>26</v>
      </c>
      <c r="I9" s="69">
        <f t="shared" si="3"/>
        <v>1575</v>
      </c>
      <c r="J9" s="16">
        <f t="shared" si="2"/>
        <v>386.334</v>
      </c>
    </row>
    <row r="10" spans="1:10" x14ac:dyDescent="0.2">
      <c r="A10" s="5">
        <v>44446</v>
      </c>
      <c r="B10" s="68">
        <v>5702</v>
      </c>
      <c r="C10" s="69">
        <f t="shared" si="0"/>
        <v>989</v>
      </c>
      <c r="D10" s="68">
        <v>4215</v>
      </c>
      <c r="E10" s="69">
        <f t="shared" si="1"/>
        <v>645</v>
      </c>
      <c r="F10" s="68">
        <v>84</v>
      </c>
      <c r="G10" s="70">
        <v>0</v>
      </c>
      <c r="H10" s="70" t="s">
        <v>26</v>
      </c>
      <c r="I10" s="69">
        <f t="shared" si="3"/>
        <v>1634</v>
      </c>
      <c r="J10" s="16">
        <f t="shared" si="2"/>
        <v>398.99699999999996</v>
      </c>
    </row>
    <row r="11" spans="1:10" x14ac:dyDescent="0.2">
      <c r="A11" s="5">
        <v>44447</v>
      </c>
      <c r="B11" s="68">
        <v>6691</v>
      </c>
      <c r="C11" s="69">
        <f t="shared" si="0"/>
        <v>969</v>
      </c>
      <c r="D11" s="68">
        <v>4860</v>
      </c>
      <c r="E11" s="69">
        <f t="shared" si="1"/>
        <v>685</v>
      </c>
      <c r="F11" s="68">
        <v>84</v>
      </c>
      <c r="G11" s="70">
        <v>0</v>
      </c>
      <c r="H11" s="70" t="s">
        <v>27</v>
      </c>
      <c r="I11" s="69">
        <f t="shared" si="3"/>
        <v>1654</v>
      </c>
      <c r="J11" s="16">
        <f t="shared" si="2"/>
        <v>400.31700000000001</v>
      </c>
    </row>
    <row r="12" spans="1:10" x14ac:dyDescent="0.2">
      <c r="A12" s="5">
        <v>44448</v>
      </c>
      <c r="B12" s="68">
        <v>7660</v>
      </c>
      <c r="C12" s="69">
        <f t="shared" si="0"/>
        <v>1298</v>
      </c>
      <c r="D12" s="68">
        <v>5545</v>
      </c>
      <c r="E12" s="69">
        <f t="shared" si="1"/>
        <v>807</v>
      </c>
      <c r="F12" s="68">
        <v>84</v>
      </c>
      <c r="G12" s="70">
        <v>0</v>
      </c>
      <c r="H12" s="70" t="s">
        <v>27</v>
      </c>
      <c r="I12" s="69">
        <f t="shared" si="3"/>
        <v>2105</v>
      </c>
      <c r="J12" s="16">
        <f t="shared" si="2"/>
        <v>516.66300000000001</v>
      </c>
    </row>
    <row r="13" spans="1:10" x14ac:dyDescent="0.2">
      <c r="A13" s="5">
        <v>44449</v>
      </c>
      <c r="B13" s="68">
        <v>8958</v>
      </c>
      <c r="C13" s="69">
        <f t="shared" si="0"/>
        <v>1250</v>
      </c>
      <c r="D13" s="68">
        <v>6352</v>
      </c>
      <c r="E13" s="69">
        <f t="shared" si="1"/>
        <v>785</v>
      </c>
      <c r="F13" s="68">
        <v>143</v>
      </c>
      <c r="G13" s="70">
        <v>0</v>
      </c>
      <c r="H13" s="70" t="s">
        <v>26</v>
      </c>
      <c r="I13" s="69">
        <f t="shared" si="3"/>
        <v>2035</v>
      </c>
      <c r="J13" s="16">
        <f t="shared" si="2"/>
        <v>498.94499999999999</v>
      </c>
    </row>
    <row r="14" spans="1:10" x14ac:dyDescent="0.2">
      <c r="A14" s="5">
        <v>44450</v>
      </c>
      <c r="B14" s="68">
        <v>10208</v>
      </c>
      <c r="C14" s="69">
        <f t="shared" si="0"/>
        <v>1148</v>
      </c>
      <c r="D14" s="68">
        <v>7137</v>
      </c>
      <c r="E14" s="69">
        <f t="shared" si="1"/>
        <v>857</v>
      </c>
      <c r="F14" s="68">
        <v>143</v>
      </c>
      <c r="G14" s="70">
        <v>0</v>
      </c>
      <c r="H14" s="70" t="s">
        <v>26</v>
      </c>
      <c r="I14" s="69">
        <f t="shared" si="3"/>
        <v>2005</v>
      </c>
      <c r="J14" s="16">
        <f t="shared" si="2"/>
        <v>482.31299999999999</v>
      </c>
    </row>
    <row r="15" spans="1:10" x14ac:dyDescent="0.2">
      <c r="A15" s="5">
        <v>44451</v>
      </c>
      <c r="B15" s="68">
        <v>11356</v>
      </c>
      <c r="C15" s="69">
        <f t="shared" si="0"/>
        <v>1489</v>
      </c>
      <c r="D15" s="68">
        <v>7994</v>
      </c>
      <c r="E15" s="69">
        <f t="shared" si="1"/>
        <v>946</v>
      </c>
      <c r="F15" s="68">
        <v>143</v>
      </c>
      <c r="G15" s="70">
        <v>0</v>
      </c>
      <c r="H15" s="70" t="s">
        <v>27</v>
      </c>
      <c r="I15" s="69">
        <f t="shared" si="3"/>
        <v>2435</v>
      </c>
      <c r="J15" s="16">
        <f t="shared" si="2"/>
        <v>596.274</v>
      </c>
    </row>
    <row r="16" spans="1:10" x14ac:dyDescent="0.2">
      <c r="A16" s="5">
        <v>44452</v>
      </c>
      <c r="B16" s="68">
        <v>12845</v>
      </c>
      <c r="C16" s="69">
        <f t="shared" si="0"/>
        <v>1460</v>
      </c>
      <c r="D16" s="68">
        <v>8940</v>
      </c>
      <c r="E16" s="69">
        <f t="shared" si="1"/>
        <v>895</v>
      </c>
      <c r="F16" s="68">
        <v>143</v>
      </c>
      <c r="G16" s="70">
        <v>0</v>
      </c>
      <c r="H16" s="70" t="s">
        <v>26</v>
      </c>
      <c r="I16" s="69">
        <f t="shared" si="3"/>
        <v>2355</v>
      </c>
      <c r="J16" s="16">
        <f t="shared" si="2"/>
        <v>578.89499999999998</v>
      </c>
    </row>
    <row r="17" spans="1:10" x14ac:dyDescent="0.2">
      <c r="A17" s="5">
        <v>44453</v>
      </c>
      <c r="B17" s="68">
        <v>14305</v>
      </c>
      <c r="C17" s="69">
        <f t="shared" si="0"/>
        <v>1529</v>
      </c>
      <c r="D17" s="68">
        <v>9835</v>
      </c>
      <c r="E17" s="69">
        <f t="shared" si="1"/>
        <v>925</v>
      </c>
      <c r="F17" s="68">
        <v>143</v>
      </c>
      <c r="G17" s="70">
        <v>0</v>
      </c>
      <c r="H17" s="70" t="s">
        <v>26</v>
      </c>
      <c r="I17" s="69">
        <f t="shared" si="3"/>
        <v>2454</v>
      </c>
      <c r="J17" s="16">
        <f t="shared" si="2"/>
        <v>604.077</v>
      </c>
    </row>
    <row r="18" spans="1:10" x14ac:dyDescent="0.2">
      <c r="A18" s="5">
        <v>44454</v>
      </c>
      <c r="B18" s="68">
        <v>15834</v>
      </c>
      <c r="C18" s="69">
        <f t="shared" si="0"/>
        <v>1589</v>
      </c>
      <c r="D18" s="68">
        <v>10760</v>
      </c>
      <c r="E18" s="69">
        <f t="shared" si="1"/>
        <v>945</v>
      </c>
      <c r="F18" s="68">
        <v>143</v>
      </c>
      <c r="G18" s="70">
        <v>0</v>
      </c>
      <c r="H18" s="70" t="s">
        <v>27</v>
      </c>
      <c r="I18" s="69">
        <f t="shared" si="3"/>
        <v>2534</v>
      </c>
      <c r="J18" s="16">
        <f t="shared" si="2"/>
        <v>624.89699999999993</v>
      </c>
    </row>
    <row r="19" spans="1:10" x14ac:dyDescent="0.2">
      <c r="A19" s="5">
        <v>44455</v>
      </c>
      <c r="B19" s="68">
        <v>17423</v>
      </c>
      <c r="C19" s="69">
        <f t="shared" si="0"/>
        <v>1699</v>
      </c>
      <c r="D19" s="68">
        <v>11705</v>
      </c>
      <c r="E19" s="69">
        <f t="shared" si="1"/>
        <v>1136</v>
      </c>
      <c r="F19" s="68">
        <v>143</v>
      </c>
      <c r="G19" s="76">
        <v>0.27</v>
      </c>
      <c r="H19" s="70" t="s">
        <v>26</v>
      </c>
      <c r="I19" s="69">
        <f t="shared" si="3"/>
        <v>2835</v>
      </c>
      <c r="J19" s="16">
        <f t="shared" si="2"/>
        <v>690.38400000000001</v>
      </c>
    </row>
    <row r="20" spans="1:10" x14ac:dyDescent="0.2">
      <c r="A20" s="5">
        <v>44456</v>
      </c>
      <c r="B20" s="68">
        <v>19122</v>
      </c>
      <c r="C20" s="69">
        <v>1719</v>
      </c>
      <c r="D20" s="68">
        <v>12841</v>
      </c>
      <c r="E20" s="69">
        <f t="shared" si="1"/>
        <v>1096</v>
      </c>
      <c r="F20" s="68">
        <v>144</v>
      </c>
      <c r="G20" s="76">
        <v>0.43</v>
      </c>
      <c r="H20" s="70" t="s">
        <v>26</v>
      </c>
      <c r="I20" s="69">
        <f t="shared" si="3"/>
        <v>2815</v>
      </c>
      <c r="J20" s="16">
        <f t="shared" si="2"/>
        <v>689.06399999999996</v>
      </c>
    </row>
    <row r="21" spans="1:10" x14ac:dyDescent="0.2">
      <c r="A21" s="5">
        <v>44457</v>
      </c>
      <c r="B21" s="68">
        <v>20841</v>
      </c>
      <c r="C21" s="69">
        <f t="shared" si="0"/>
        <v>1819</v>
      </c>
      <c r="D21" s="68">
        <v>13937</v>
      </c>
      <c r="E21" s="69">
        <f t="shared" si="1"/>
        <v>1074</v>
      </c>
      <c r="F21" s="68">
        <v>144</v>
      </c>
      <c r="G21" s="76">
        <v>0.51</v>
      </c>
      <c r="H21" s="70" t="s">
        <v>26</v>
      </c>
      <c r="I21" s="69">
        <f t="shared" si="3"/>
        <v>2893</v>
      </c>
      <c r="J21" s="16">
        <f t="shared" si="2"/>
        <v>713.96999999999991</v>
      </c>
    </row>
    <row r="22" spans="1:10" x14ac:dyDescent="0.2">
      <c r="A22" s="5">
        <v>44458</v>
      </c>
      <c r="B22" s="68">
        <v>22660</v>
      </c>
      <c r="C22" s="69">
        <f t="shared" si="0"/>
        <v>3389</v>
      </c>
      <c r="D22" s="68">
        <v>15011</v>
      </c>
      <c r="E22" s="69">
        <f t="shared" si="1"/>
        <v>2254</v>
      </c>
      <c r="F22" s="68">
        <v>164</v>
      </c>
      <c r="G22" s="76">
        <v>0.21</v>
      </c>
      <c r="H22" s="70" t="s">
        <v>26</v>
      </c>
      <c r="I22" s="69">
        <f t="shared" si="3"/>
        <v>5643</v>
      </c>
      <c r="J22" s="16">
        <f t="shared" si="2"/>
        <v>1374.9899999999998</v>
      </c>
    </row>
    <row r="23" spans="1:10" x14ac:dyDescent="0.2">
      <c r="A23" s="5">
        <v>44459</v>
      </c>
      <c r="B23" s="68">
        <v>26049</v>
      </c>
      <c r="C23" s="69">
        <f t="shared" si="0"/>
        <v>1746</v>
      </c>
      <c r="D23" s="68">
        <v>17265</v>
      </c>
      <c r="E23" s="69">
        <f t="shared" si="1"/>
        <v>1113</v>
      </c>
      <c r="F23" s="68">
        <v>164</v>
      </c>
      <c r="G23" s="76">
        <v>0.24</v>
      </c>
      <c r="H23" s="70" t="s">
        <v>26</v>
      </c>
      <c r="I23" s="69">
        <f t="shared" si="3"/>
        <v>2859</v>
      </c>
      <c r="J23" s="16">
        <f t="shared" si="2"/>
        <v>699.84899999999993</v>
      </c>
    </row>
    <row r="24" spans="1:10" x14ac:dyDescent="0.2">
      <c r="A24" s="5">
        <v>44460</v>
      </c>
      <c r="B24" s="68">
        <v>27795</v>
      </c>
      <c r="C24" s="69">
        <f t="shared" si="0"/>
        <v>2022</v>
      </c>
      <c r="D24" s="68">
        <v>18378</v>
      </c>
      <c r="E24" s="69">
        <f t="shared" si="1"/>
        <v>1388</v>
      </c>
      <c r="F24" s="68">
        <v>164</v>
      </c>
      <c r="G24" s="76">
        <v>0.24</v>
      </c>
      <c r="H24" s="70" t="s">
        <v>28</v>
      </c>
      <c r="I24" s="69">
        <f t="shared" si="3"/>
        <v>3410</v>
      </c>
      <c r="J24" s="16">
        <f t="shared" si="2"/>
        <v>828.01199999999994</v>
      </c>
    </row>
    <row r="25" spans="1:10" x14ac:dyDescent="0.2">
      <c r="A25" s="5">
        <v>44461</v>
      </c>
      <c r="B25" s="68">
        <v>29817</v>
      </c>
      <c r="C25" s="69">
        <f t="shared" si="0"/>
        <v>1956</v>
      </c>
      <c r="D25" s="68">
        <v>19766</v>
      </c>
      <c r="E25" s="69">
        <f t="shared" si="1"/>
        <v>1262</v>
      </c>
      <c r="F25" s="68">
        <v>164</v>
      </c>
      <c r="G25" s="76">
        <v>0.36</v>
      </c>
      <c r="H25" s="70" t="s">
        <v>26</v>
      </c>
      <c r="I25" s="69">
        <f t="shared" si="3"/>
        <v>3218</v>
      </c>
      <c r="J25" s="16">
        <f t="shared" si="2"/>
        <v>786.702</v>
      </c>
    </row>
    <row r="26" spans="1:10" x14ac:dyDescent="0.2">
      <c r="A26" s="5">
        <v>44462</v>
      </c>
      <c r="B26" s="68">
        <v>31773</v>
      </c>
      <c r="C26" s="69">
        <f t="shared" si="0"/>
        <v>2249</v>
      </c>
      <c r="D26" s="68">
        <v>21028</v>
      </c>
      <c r="E26" s="69">
        <f t="shared" si="1"/>
        <v>1516</v>
      </c>
      <c r="F26" s="68">
        <v>164</v>
      </c>
      <c r="G26" s="76">
        <v>0.35</v>
      </c>
      <c r="H26" s="71" t="s">
        <v>26</v>
      </c>
      <c r="I26" s="69">
        <f t="shared" si="3"/>
        <v>3765</v>
      </c>
      <c r="J26" s="16">
        <f t="shared" si="2"/>
        <v>916.04399999999998</v>
      </c>
    </row>
    <row r="27" spans="1:10" x14ac:dyDescent="0.2">
      <c r="A27" s="5">
        <v>44463</v>
      </c>
      <c r="B27" s="68">
        <v>34022</v>
      </c>
      <c r="C27" s="69">
        <f t="shared" si="0"/>
        <v>2109</v>
      </c>
      <c r="D27" s="68">
        <v>22544</v>
      </c>
      <c r="E27" s="69">
        <f t="shared" si="1"/>
        <v>1426</v>
      </c>
      <c r="F27" s="68">
        <v>183</v>
      </c>
      <c r="G27" s="76">
        <v>0.32</v>
      </c>
      <c r="H27" s="70" t="s">
        <v>26</v>
      </c>
      <c r="I27" s="69">
        <f t="shared" si="3"/>
        <v>3535</v>
      </c>
      <c r="J27" s="16">
        <f t="shared" si="2"/>
        <v>859.79399999999987</v>
      </c>
    </row>
    <row r="28" spans="1:10" x14ac:dyDescent="0.2">
      <c r="A28" s="5">
        <v>44464</v>
      </c>
      <c r="B28" s="68">
        <v>36131</v>
      </c>
      <c r="C28" s="69">
        <f t="shared" si="0"/>
        <v>2068</v>
      </c>
      <c r="D28" s="68">
        <v>23970</v>
      </c>
      <c r="E28" s="69">
        <f t="shared" si="1"/>
        <v>1285</v>
      </c>
      <c r="F28" s="68">
        <v>184</v>
      </c>
      <c r="G28" s="76">
        <v>0.34</v>
      </c>
      <c r="H28" s="70" t="s">
        <v>26</v>
      </c>
      <c r="I28" s="69">
        <f t="shared" si="3"/>
        <v>3353</v>
      </c>
      <c r="J28" s="16">
        <f t="shared" si="2"/>
        <v>823.029</v>
      </c>
    </row>
    <row r="29" spans="1:10" x14ac:dyDescent="0.2">
      <c r="A29" s="5">
        <v>44465</v>
      </c>
      <c r="B29" s="68">
        <v>38199</v>
      </c>
      <c r="C29" s="69">
        <f t="shared" si="0"/>
        <v>2269</v>
      </c>
      <c r="D29" s="68">
        <v>25255</v>
      </c>
      <c r="E29" s="69">
        <f t="shared" si="1"/>
        <v>1586</v>
      </c>
      <c r="F29" s="68">
        <v>184</v>
      </c>
      <c r="G29" s="76">
        <v>0.28000000000000003</v>
      </c>
      <c r="H29" s="70" t="s">
        <v>26</v>
      </c>
      <c r="I29" s="69">
        <f t="shared" si="3"/>
        <v>3855</v>
      </c>
      <c r="J29" s="16">
        <f t="shared" si="2"/>
        <v>934.19399999999996</v>
      </c>
    </row>
    <row r="30" spans="1:10" x14ac:dyDescent="0.2">
      <c r="A30" s="5">
        <v>44466</v>
      </c>
      <c r="B30" s="68">
        <v>40468</v>
      </c>
      <c r="C30" s="69">
        <f t="shared" si="0"/>
        <v>2759</v>
      </c>
      <c r="D30" s="68">
        <v>26841</v>
      </c>
      <c r="E30" s="69">
        <f t="shared" si="1"/>
        <v>1805</v>
      </c>
      <c r="F30" s="68">
        <v>184</v>
      </c>
      <c r="G30" s="70"/>
      <c r="H30" s="70"/>
      <c r="I30" s="69">
        <f t="shared" si="3"/>
        <v>4564</v>
      </c>
      <c r="J30" s="16">
        <f t="shared" si="2"/>
        <v>1114.077</v>
      </c>
    </row>
    <row r="31" spans="1:10" x14ac:dyDescent="0.2">
      <c r="A31" s="5">
        <v>44467</v>
      </c>
      <c r="B31" s="68">
        <v>43227</v>
      </c>
      <c r="C31" s="69">
        <f t="shared" si="0"/>
        <v>2728</v>
      </c>
      <c r="D31" s="68">
        <v>28646</v>
      </c>
      <c r="E31" s="69">
        <f t="shared" si="1"/>
        <v>1795</v>
      </c>
      <c r="F31" s="68">
        <v>223</v>
      </c>
      <c r="G31" s="70"/>
      <c r="H31" s="70"/>
      <c r="I31" s="69">
        <f t="shared" si="3"/>
        <v>4523</v>
      </c>
      <c r="J31" s="16">
        <f t="shared" si="2"/>
        <v>1103.3789999999999</v>
      </c>
    </row>
    <row r="32" spans="1:10" x14ac:dyDescent="0.2">
      <c r="A32" s="5">
        <v>44468</v>
      </c>
      <c r="B32" s="68">
        <v>45955</v>
      </c>
      <c r="C32" s="69">
        <f t="shared" si="0"/>
        <v>0</v>
      </c>
      <c r="D32" s="68">
        <v>30441</v>
      </c>
      <c r="E32" s="69">
        <f t="shared" si="1"/>
        <v>0</v>
      </c>
      <c r="F32" s="68">
        <v>223</v>
      </c>
      <c r="G32" s="70"/>
      <c r="H32" s="70"/>
      <c r="I32" s="69">
        <f t="shared" si="3"/>
        <v>0</v>
      </c>
      <c r="J32" s="16">
        <f t="shared" si="2"/>
        <v>0</v>
      </c>
    </row>
    <row r="33" spans="1:10" x14ac:dyDescent="0.2">
      <c r="A33" s="5">
        <v>44469</v>
      </c>
      <c r="B33" s="68">
        <v>0</v>
      </c>
      <c r="C33" s="69">
        <f t="shared" si="0"/>
        <v>0</v>
      </c>
      <c r="D33" s="68">
        <v>1286</v>
      </c>
      <c r="E33" s="69">
        <f t="shared" si="1"/>
        <v>0</v>
      </c>
      <c r="F33" s="68">
        <v>0</v>
      </c>
      <c r="G33" s="76">
        <v>0.35</v>
      </c>
      <c r="H33" s="70"/>
      <c r="I33" s="69">
        <f t="shared" si="3"/>
        <v>0</v>
      </c>
      <c r="J33" s="16">
        <f t="shared" si="2"/>
        <v>0</v>
      </c>
    </row>
    <row r="34" spans="1:10" x14ac:dyDescent="0.2">
      <c r="A34" s="67"/>
      <c r="B34" s="68"/>
      <c r="C34" s="69"/>
      <c r="D34" s="68"/>
      <c r="E34" s="69"/>
      <c r="F34" s="68"/>
      <c r="G34" s="70"/>
      <c r="H34" s="70"/>
      <c r="I34" s="69">
        <f t="shared" si="3"/>
        <v>0</v>
      </c>
      <c r="J34" s="16">
        <f t="shared" si="2"/>
        <v>0</v>
      </c>
    </row>
    <row r="35" spans="1:10" x14ac:dyDescent="0.2">
      <c r="A35" s="67"/>
      <c r="B35" s="72"/>
      <c r="C35" s="69"/>
      <c r="D35" s="68"/>
      <c r="E35" s="69"/>
      <c r="F35" s="68"/>
      <c r="G35" s="70"/>
      <c r="H35" s="70"/>
      <c r="I35" s="69">
        <f t="shared" si="3"/>
        <v>0</v>
      </c>
      <c r="J35" s="16">
        <f t="shared" si="2"/>
        <v>0</v>
      </c>
    </row>
    <row r="36" spans="1:10" x14ac:dyDescent="0.2">
      <c r="A36" s="91"/>
      <c r="B36" s="92"/>
      <c r="C36" s="73">
        <f>SUM(C4:C35)</f>
        <v>45955</v>
      </c>
      <c r="D36" s="73"/>
      <c r="E36" s="73">
        <f>SUM(E4:E35)</f>
        <v>29996</v>
      </c>
      <c r="F36" s="73"/>
      <c r="G36" s="59"/>
      <c r="H36" s="59"/>
      <c r="I36" s="69">
        <f>+E36+C36</f>
        <v>75951</v>
      </c>
      <c r="J36" s="16">
        <f>(C36*0.288)+(E36*0.177)</f>
        <v>18544.331999999999</v>
      </c>
    </row>
    <row r="37" spans="1:10" x14ac:dyDescent="0.2">
      <c r="A37" s="61">
        <f>COUNT(A4:A34)</f>
        <v>30</v>
      </c>
      <c r="G37" s="32"/>
    </row>
    <row r="38" spans="1:10" x14ac:dyDescent="0.2">
      <c r="H38" s="24" t="s">
        <v>34</v>
      </c>
    </row>
    <row r="39" spans="1:10" ht="15.75" x14ac:dyDescent="0.25">
      <c r="A39" s="63" t="s">
        <v>31</v>
      </c>
      <c r="H39" s="24" t="s">
        <v>35</v>
      </c>
    </row>
    <row r="40" spans="1:10" x14ac:dyDescent="0.2">
      <c r="H40" s="24" t="s">
        <v>32</v>
      </c>
    </row>
  </sheetData>
  <mergeCells count="2">
    <mergeCell ref="A36:B36"/>
    <mergeCell ref="D1:F1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  <col min="10" max="10" width="1.7109375" customWidth="1"/>
    <col min="11" max="11" width="11.42578125" customWidth="1"/>
    <col min="12" max="12" width="9" customWidth="1"/>
    <col min="13" max="13" width="0.85546875" customWidth="1"/>
  </cols>
  <sheetData>
    <row r="1" spans="1:15" ht="20.25" x14ac:dyDescent="0.3">
      <c r="A1" s="6" t="s">
        <v>36</v>
      </c>
      <c r="D1" s="93" t="s">
        <v>13</v>
      </c>
      <c r="E1" s="93"/>
      <c r="F1" s="93"/>
    </row>
    <row r="2" spans="1:15" ht="18" x14ac:dyDescent="0.25">
      <c r="A2" s="2"/>
      <c r="B2" s="7" t="s">
        <v>37</v>
      </c>
      <c r="C2" s="7" t="s">
        <v>38</v>
      </c>
      <c r="D2" s="7" t="s">
        <v>39</v>
      </c>
      <c r="E2" s="7" t="s">
        <v>38</v>
      </c>
      <c r="F2" s="7" t="s">
        <v>17</v>
      </c>
      <c r="G2" s="7" t="s">
        <v>18</v>
      </c>
      <c r="H2" s="7" t="s">
        <v>19</v>
      </c>
      <c r="I2" s="15" t="s">
        <v>20</v>
      </c>
      <c r="K2" s="7" t="s">
        <v>40</v>
      </c>
      <c r="L2" s="7" t="s">
        <v>41</v>
      </c>
      <c r="N2" s="74" t="s">
        <v>42</v>
      </c>
      <c r="O2" s="7" t="s">
        <v>41</v>
      </c>
    </row>
    <row r="3" spans="1:15" x14ac:dyDescent="0.2">
      <c r="A3" s="3"/>
      <c r="B3" s="7" t="s">
        <v>43</v>
      </c>
      <c r="C3" s="7" t="s">
        <v>43</v>
      </c>
      <c r="D3" s="7" t="s">
        <v>43</v>
      </c>
      <c r="E3" s="7" t="s">
        <v>43</v>
      </c>
      <c r="F3" s="7" t="s">
        <v>23</v>
      </c>
      <c r="G3" s="11"/>
      <c r="H3" s="7" t="s">
        <v>43</v>
      </c>
      <c r="I3" s="15" t="s">
        <v>25</v>
      </c>
      <c r="K3" s="11"/>
      <c r="L3" s="8"/>
      <c r="N3" s="11"/>
      <c r="O3" s="8"/>
    </row>
    <row r="4" spans="1:15" x14ac:dyDescent="0.2">
      <c r="A4" s="5">
        <v>44440</v>
      </c>
      <c r="B4" s="10">
        <v>43295</v>
      </c>
      <c r="C4" s="8">
        <f t="shared" ref="C4:C7" si="0">IF(B5-B4&lt;0,0,B5-B4)</f>
        <v>444</v>
      </c>
      <c r="D4" s="10">
        <v>15</v>
      </c>
      <c r="E4" s="8">
        <f t="shared" ref="E4:E6" si="1">IF(D5-D4&lt;0,0,D5-D4)</f>
        <v>0</v>
      </c>
      <c r="F4" s="70">
        <v>0</v>
      </c>
      <c r="G4" s="70" t="s">
        <v>26</v>
      </c>
      <c r="H4" s="8">
        <f>+E4+C4</f>
        <v>444</v>
      </c>
      <c r="I4" s="16">
        <f>(C4*1.35)+(E4*1.35)</f>
        <v>599.40000000000009</v>
      </c>
      <c r="K4" s="11">
        <v>6965</v>
      </c>
      <c r="L4" s="8">
        <f t="shared" ref="L4:L34" si="2">IF(K5-K4&lt;0,0,K5-K4)</f>
        <v>148</v>
      </c>
      <c r="N4" s="11">
        <v>1771</v>
      </c>
      <c r="O4" s="8">
        <f t="shared" ref="O4:O34" si="3">IF(N5-N4&lt;0,0,N5-N4)</f>
        <v>0</v>
      </c>
    </row>
    <row r="5" spans="1:15" x14ac:dyDescent="0.2">
      <c r="A5" s="5">
        <v>44441</v>
      </c>
      <c r="B5" s="10">
        <v>43739</v>
      </c>
      <c r="C5" s="8">
        <f t="shared" si="0"/>
        <v>441</v>
      </c>
      <c r="D5" s="10">
        <v>15</v>
      </c>
      <c r="E5" s="8">
        <f t="shared" si="1"/>
        <v>0</v>
      </c>
      <c r="F5" s="70">
        <v>0</v>
      </c>
      <c r="G5" s="70" t="s">
        <v>27</v>
      </c>
      <c r="H5" s="8">
        <f t="shared" ref="H5:H34" si="4">+E5+C5</f>
        <v>441</v>
      </c>
      <c r="I5" s="16">
        <f t="shared" ref="I5:I34" si="5">(C5*1.35)+(E5*1.35)</f>
        <v>595.35</v>
      </c>
      <c r="K5" s="11">
        <v>7113</v>
      </c>
      <c r="L5" s="8">
        <f t="shared" si="2"/>
        <v>224</v>
      </c>
      <c r="N5" s="11">
        <v>1771</v>
      </c>
      <c r="O5" s="8">
        <f t="shared" si="3"/>
        <v>0</v>
      </c>
    </row>
    <row r="6" spans="1:15" x14ac:dyDescent="0.2">
      <c r="A6" s="5">
        <v>44442</v>
      </c>
      <c r="B6" s="10">
        <v>44180</v>
      </c>
      <c r="C6" s="8">
        <f t="shared" si="0"/>
        <v>440</v>
      </c>
      <c r="D6" s="10">
        <v>15</v>
      </c>
      <c r="E6" s="8">
        <f t="shared" si="1"/>
        <v>0</v>
      </c>
      <c r="F6" s="70">
        <v>0</v>
      </c>
      <c r="G6" s="70" t="s">
        <v>28</v>
      </c>
      <c r="H6" s="8">
        <f t="shared" si="4"/>
        <v>440</v>
      </c>
      <c r="I6" s="16">
        <f>(C6*1.35)+(E6*1.35)</f>
        <v>594</v>
      </c>
      <c r="K6" s="11">
        <v>7337</v>
      </c>
      <c r="L6" s="8">
        <f t="shared" si="2"/>
        <v>249</v>
      </c>
      <c r="N6" s="11">
        <v>1771</v>
      </c>
      <c r="O6" s="8">
        <f t="shared" si="3"/>
        <v>0</v>
      </c>
    </row>
    <row r="7" spans="1:15" x14ac:dyDescent="0.2">
      <c r="A7" s="5">
        <v>44443</v>
      </c>
      <c r="B7" s="10">
        <v>44620</v>
      </c>
      <c r="C7" s="8">
        <f t="shared" si="0"/>
        <v>440</v>
      </c>
      <c r="D7" s="10">
        <v>15</v>
      </c>
      <c r="E7" s="8">
        <f>IF(D8-D7&lt;0,0,D8-D7)</f>
        <v>0</v>
      </c>
      <c r="F7" s="70">
        <v>0</v>
      </c>
      <c r="G7" s="70" t="s">
        <v>28</v>
      </c>
      <c r="H7" s="8">
        <f t="shared" si="4"/>
        <v>440</v>
      </c>
      <c r="I7" s="16">
        <f t="shared" si="5"/>
        <v>594</v>
      </c>
      <c r="K7" s="11">
        <v>7586</v>
      </c>
      <c r="L7" s="8">
        <f t="shared" si="2"/>
        <v>241</v>
      </c>
      <c r="N7" s="11">
        <v>1771</v>
      </c>
      <c r="O7" s="8">
        <f t="shared" si="3"/>
        <v>0</v>
      </c>
    </row>
    <row r="8" spans="1:15" x14ac:dyDescent="0.2">
      <c r="A8" s="5">
        <v>44444</v>
      </c>
      <c r="B8" s="10">
        <v>45060</v>
      </c>
      <c r="C8" s="8">
        <f>IF(B9-B8&lt;0,0,B9-B8)</f>
        <v>457</v>
      </c>
      <c r="D8" s="10">
        <v>15</v>
      </c>
      <c r="E8" s="8">
        <f>IF(D9-D8&lt;0,0,D9-D8)</f>
        <v>0</v>
      </c>
      <c r="F8" s="70">
        <v>0</v>
      </c>
      <c r="G8" s="70" t="s">
        <v>28</v>
      </c>
      <c r="H8" s="8">
        <f t="shared" si="4"/>
        <v>457</v>
      </c>
      <c r="I8" s="16">
        <f t="shared" si="5"/>
        <v>616.95000000000005</v>
      </c>
      <c r="K8" s="11">
        <v>7827</v>
      </c>
      <c r="L8" s="8">
        <f t="shared" si="2"/>
        <v>230</v>
      </c>
      <c r="N8" s="11">
        <v>1771</v>
      </c>
      <c r="O8" s="8">
        <f t="shared" si="3"/>
        <v>0</v>
      </c>
    </row>
    <row r="9" spans="1:15" x14ac:dyDescent="0.2">
      <c r="A9" s="5">
        <v>44445</v>
      </c>
      <c r="B9" s="10">
        <v>45517</v>
      </c>
      <c r="C9" s="8">
        <f t="shared" ref="C9:C33" si="6">IF(B10-B9&lt;0,0,B10-B9)</f>
        <v>415</v>
      </c>
      <c r="D9" s="10">
        <v>15</v>
      </c>
      <c r="E9" s="8">
        <f t="shared" ref="E9:E32" si="7">IF(D10-D9&lt;0,0,D10-D9)</f>
        <v>107</v>
      </c>
      <c r="F9" s="70">
        <v>0</v>
      </c>
      <c r="G9" s="70" t="s">
        <v>26</v>
      </c>
      <c r="H9" s="8">
        <f t="shared" si="4"/>
        <v>522</v>
      </c>
      <c r="I9" s="16">
        <f t="shared" si="5"/>
        <v>704.7</v>
      </c>
      <c r="K9" s="11">
        <v>8057</v>
      </c>
      <c r="L9" s="8">
        <f t="shared" si="2"/>
        <v>225</v>
      </c>
      <c r="N9" s="11">
        <v>1771</v>
      </c>
      <c r="O9" s="8">
        <f t="shared" si="3"/>
        <v>0</v>
      </c>
    </row>
    <row r="10" spans="1:15" x14ac:dyDescent="0.2">
      <c r="A10" s="5">
        <v>44446</v>
      </c>
      <c r="B10" s="10">
        <v>45932</v>
      </c>
      <c r="C10" s="8">
        <f t="shared" si="6"/>
        <v>398</v>
      </c>
      <c r="D10" s="10">
        <v>122</v>
      </c>
      <c r="E10" s="8">
        <f t="shared" si="7"/>
        <v>9</v>
      </c>
      <c r="F10" s="70">
        <v>0</v>
      </c>
      <c r="G10" s="70" t="s">
        <v>26</v>
      </c>
      <c r="H10" s="8">
        <f t="shared" si="4"/>
        <v>407</v>
      </c>
      <c r="I10" s="16">
        <f t="shared" si="5"/>
        <v>549.45000000000005</v>
      </c>
      <c r="K10" s="11">
        <v>8282</v>
      </c>
      <c r="L10" s="8">
        <f t="shared" si="2"/>
        <v>207</v>
      </c>
      <c r="N10" s="11">
        <v>1771</v>
      </c>
      <c r="O10" s="8">
        <f t="shared" si="3"/>
        <v>0</v>
      </c>
    </row>
    <row r="11" spans="1:15" x14ac:dyDescent="0.2">
      <c r="A11" s="5">
        <v>44447</v>
      </c>
      <c r="B11" s="10">
        <v>46330</v>
      </c>
      <c r="C11" s="8">
        <f t="shared" si="6"/>
        <v>545</v>
      </c>
      <c r="D11" s="10">
        <v>131</v>
      </c>
      <c r="E11" s="8">
        <f t="shared" si="7"/>
        <v>4</v>
      </c>
      <c r="F11" s="70">
        <v>0</v>
      </c>
      <c r="G11" s="70" t="s">
        <v>27</v>
      </c>
      <c r="H11" s="8">
        <f t="shared" si="4"/>
        <v>549</v>
      </c>
      <c r="I11" s="16">
        <f t="shared" si="5"/>
        <v>741.15</v>
      </c>
      <c r="K11" s="11">
        <v>8489</v>
      </c>
      <c r="L11" s="8">
        <f t="shared" si="2"/>
        <v>291</v>
      </c>
      <c r="N11" s="11">
        <v>1771</v>
      </c>
      <c r="O11" s="8">
        <f t="shared" si="3"/>
        <v>0</v>
      </c>
    </row>
    <row r="12" spans="1:15" x14ac:dyDescent="0.2">
      <c r="A12" s="5">
        <v>44448</v>
      </c>
      <c r="B12" s="10">
        <v>46875</v>
      </c>
      <c r="C12" s="8">
        <f t="shared" si="6"/>
        <v>386</v>
      </c>
      <c r="D12" s="10">
        <v>135</v>
      </c>
      <c r="E12" s="8">
        <f t="shared" si="7"/>
        <v>9</v>
      </c>
      <c r="F12" s="70">
        <v>0</v>
      </c>
      <c r="G12" s="70" t="s">
        <v>27</v>
      </c>
      <c r="H12" s="8">
        <f t="shared" si="4"/>
        <v>395</v>
      </c>
      <c r="I12" s="16">
        <f t="shared" si="5"/>
        <v>533.25</v>
      </c>
      <c r="K12" s="11">
        <v>8780</v>
      </c>
      <c r="L12" s="8">
        <f t="shared" si="2"/>
        <v>202</v>
      </c>
      <c r="N12" s="11">
        <v>1771</v>
      </c>
      <c r="O12" s="8">
        <f t="shared" si="3"/>
        <v>0</v>
      </c>
    </row>
    <row r="13" spans="1:15" x14ac:dyDescent="0.2">
      <c r="A13" s="5">
        <v>44449</v>
      </c>
      <c r="B13" s="10">
        <v>47261</v>
      </c>
      <c r="C13" s="8">
        <f t="shared" si="6"/>
        <v>1000</v>
      </c>
      <c r="D13" s="10">
        <v>144</v>
      </c>
      <c r="E13" s="8">
        <f t="shared" si="7"/>
        <v>1</v>
      </c>
      <c r="F13" s="70">
        <v>0</v>
      </c>
      <c r="G13" s="70" t="s">
        <v>26</v>
      </c>
      <c r="H13" s="8">
        <f t="shared" si="4"/>
        <v>1001</v>
      </c>
      <c r="I13" s="16">
        <f t="shared" si="5"/>
        <v>1351.35</v>
      </c>
      <c r="K13" s="11">
        <v>8982</v>
      </c>
      <c r="L13" s="8">
        <f t="shared" si="2"/>
        <v>522</v>
      </c>
      <c r="N13" s="11">
        <v>1771</v>
      </c>
      <c r="O13" s="8">
        <f t="shared" si="3"/>
        <v>0</v>
      </c>
    </row>
    <row r="14" spans="1:15" x14ac:dyDescent="0.2">
      <c r="A14" s="5">
        <v>44450</v>
      </c>
      <c r="B14" s="10">
        <v>48261</v>
      </c>
      <c r="C14" s="8">
        <f t="shared" si="6"/>
        <v>1098</v>
      </c>
      <c r="D14" s="10">
        <v>145</v>
      </c>
      <c r="E14" s="8">
        <f t="shared" si="7"/>
        <v>3</v>
      </c>
      <c r="F14" s="70">
        <v>0</v>
      </c>
      <c r="G14" s="70" t="s">
        <v>26</v>
      </c>
      <c r="H14" s="8">
        <f t="shared" si="4"/>
        <v>1101</v>
      </c>
      <c r="I14" s="16">
        <f t="shared" si="5"/>
        <v>1486.3500000000001</v>
      </c>
      <c r="K14" s="11">
        <v>9504</v>
      </c>
      <c r="L14" s="8">
        <f t="shared" si="2"/>
        <v>618</v>
      </c>
      <c r="N14" s="11">
        <v>1771</v>
      </c>
      <c r="O14" s="8">
        <f t="shared" si="3"/>
        <v>0</v>
      </c>
    </row>
    <row r="15" spans="1:15" x14ac:dyDescent="0.2">
      <c r="A15" s="5">
        <v>44451</v>
      </c>
      <c r="B15" s="10">
        <v>49359</v>
      </c>
      <c r="C15" s="8">
        <f t="shared" si="6"/>
        <v>1161</v>
      </c>
      <c r="D15" s="10">
        <v>148</v>
      </c>
      <c r="E15" s="8">
        <f t="shared" si="7"/>
        <v>3</v>
      </c>
      <c r="F15" s="70">
        <v>0</v>
      </c>
      <c r="G15" s="70" t="s">
        <v>26</v>
      </c>
      <c r="H15" s="8">
        <f t="shared" si="4"/>
        <v>1164</v>
      </c>
      <c r="I15" s="16">
        <f t="shared" si="5"/>
        <v>1571.4</v>
      </c>
      <c r="K15" s="11">
        <v>10122</v>
      </c>
      <c r="L15" s="8">
        <f t="shared" si="2"/>
        <v>695</v>
      </c>
      <c r="N15" s="11">
        <v>1771</v>
      </c>
      <c r="O15" s="8">
        <f t="shared" si="3"/>
        <v>0</v>
      </c>
    </row>
    <row r="16" spans="1:15" x14ac:dyDescent="0.2">
      <c r="A16" s="5">
        <v>44452</v>
      </c>
      <c r="B16" s="10">
        <v>50520</v>
      </c>
      <c r="C16" s="8">
        <f t="shared" si="6"/>
        <v>1072</v>
      </c>
      <c r="D16" s="10">
        <v>151</v>
      </c>
      <c r="E16" s="8">
        <f t="shared" si="7"/>
        <v>6</v>
      </c>
      <c r="F16" s="70">
        <v>0</v>
      </c>
      <c r="G16" s="70" t="s">
        <v>27</v>
      </c>
      <c r="H16" s="8">
        <f t="shared" si="4"/>
        <v>1078</v>
      </c>
      <c r="I16" s="16">
        <f t="shared" si="5"/>
        <v>1455.3</v>
      </c>
      <c r="K16" s="11">
        <v>10817</v>
      </c>
      <c r="L16" s="8">
        <f t="shared" si="2"/>
        <v>600</v>
      </c>
      <c r="N16" s="11">
        <v>1771</v>
      </c>
      <c r="O16" s="8">
        <f t="shared" si="3"/>
        <v>0</v>
      </c>
    </row>
    <row r="17" spans="1:15" x14ac:dyDescent="0.2">
      <c r="A17" s="5">
        <v>44453</v>
      </c>
      <c r="B17" s="10">
        <v>51592</v>
      </c>
      <c r="C17" s="8">
        <f t="shared" si="6"/>
        <v>1163</v>
      </c>
      <c r="D17" s="10">
        <v>157</v>
      </c>
      <c r="E17" s="8">
        <f t="shared" si="7"/>
        <v>3</v>
      </c>
      <c r="F17" s="12">
        <v>0</v>
      </c>
      <c r="G17" s="12" t="s">
        <v>26</v>
      </c>
      <c r="H17" s="8">
        <f t="shared" si="4"/>
        <v>1166</v>
      </c>
      <c r="I17" s="16">
        <f t="shared" si="5"/>
        <v>1574.1000000000001</v>
      </c>
      <c r="K17" s="11">
        <v>11417</v>
      </c>
      <c r="L17" s="8">
        <f t="shared" si="2"/>
        <v>583</v>
      </c>
      <c r="N17" s="11">
        <v>1771</v>
      </c>
      <c r="O17" s="8">
        <f t="shared" si="3"/>
        <v>0</v>
      </c>
    </row>
    <row r="18" spans="1:15" x14ac:dyDescent="0.2">
      <c r="A18" s="5">
        <v>44454</v>
      </c>
      <c r="B18" s="10">
        <v>52755</v>
      </c>
      <c r="C18" s="8">
        <f t="shared" si="6"/>
        <v>1196</v>
      </c>
      <c r="D18" s="10">
        <v>160</v>
      </c>
      <c r="E18" s="8">
        <f t="shared" si="7"/>
        <v>5</v>
      </c>
      <c r="F18" s="12">
        <v>0</v>
      </c>
      <c r="G18" s="12" t="s">
        <v>27</v>
      </c>
      <c r="H18" s="8">
        <f t="shared" si="4"/>
        <v>1201</v>
      </c>
      <c r="I18" s="16">
        <f t="shared" si="5"/>
        <v>1621.3500000000001</v>
      </c>
      <c r="K18" s="75">
        <v>12000</v>
      </c>
      <c r="L18" s="8">
        <f t="shared" si="2"/>
        <v>730</v>
      </c>
      <c r="N18" s="11">
        <v>1771</v>
      </c>
      <c r="O18" s="8">
        <f t="shared" si="3"/>
        <v>0</v>
      </c>
    </row>
    <row r="19" spans="1:15" x14ac:dyDescent="0.2">
      <c r="A19" s="5">
        <v>44455</v>
      </c>
      <c r="B19" s="10">
        <v>53951</v>
      </c>
      <c r="C19" s="8">
        <f t="shared" si="6"/>
        <v>1198</v>
      </c>
      <c r="D19" s="10">
        <v>165</v>
      </c>
      <c r="E19" s="8">
        <f t="shared" si="7"/>
        <v>5</v>
      </c>
      <c r="F19" s="77">
        <v>0.27</v>
      </c>
      <c r="G19" s="12" t="s">
        <v>29</v>
      </c>
      <c r="H19" s="8">
        <f t="shared" si="4"/>
        <v>1203</v>
      </c>
      <c r="I19" s="16">
        <f t="shared" si="5"/>
        <v>1624.0500000000002</v>
      </c>
      <c r="K19" s="11">
        <v>12730</v>
      </c>
      <c r="L19" s="8">
        <f t="shared" si="2"/>
        <v>762</v>
      </c>
      <c r="N19" s="11">
        <v>1771</v>
      </c>
      <c r="O19" s="8">
        <f t="shared" si="3"/>
        <v>0</v>
      </c>
    </row>
    <row r="20" spans="1:15" x14ac:dyDescent="0.2">
      <c r="A20" s="5">
        <v>44456</v>
      </c>
      <c r="B20" s="10">
        <v>55149</v>
      </c>
      <c r="C20" s="8">
        <f t="shared" si="6"/>
        <v>1239</v>
      </c>
      <c r="D20" s="10">
        <v>170</v>
      </c>
      <c r="E20" s="8">
        <f t="shared" si="7"/>
        <v>2</v>
      </c>
      <c r="F20" s="77">
        <v>0.43</v>
      </c>
      <c r="G20" s="12" t="s">
        <v>26</v>
      </c>
      <c r="H20" s="8">
        <f t="shared" si="4"/>
        <v>1241</v>
      </c>
      <c r="I20" s="16">
        <f t="shared" si="5"/>
        <v>1675.3500000000001</v>
      </c>
      <c r="K20" s="11">
        <v>13492</v>
      </c>
      <c r="L20" s="8">
        <f t="shared" si="2"/>
        <v>508</v>
      </c>
      <c r="N20" s="11">
        <v>1771</v>
      </c>
      <c r="O20" s="8">
        <f t="shared" si="3"/>
        <v>0</v>
      </c>
    </row>
    <row r="21" spans="1:15" x14ac:dyDescent="0.2">
      <c r="A21" s="5">
        <v>44457</v>
      </c>
      <c r="B21" s="10">
        <v>56388</v>
      </c>
      <c r="C21" s="8">
        <f t="shared" si="6"/>
        <v>1227</v>
      </c>
      <c r="D21" s="10">
        <v>172</v>
      </c>
      <c r="E21" s="8">
        <f t="shared" si="7"/>
        <v>4</v>
      </c>
      <c r="F21" s="77">
        <v>0.51</v>
      </c>
      <c r="G21" s="12" t="s">
        <v>26</v>
      </c>
      <c r="H21" s="8">
        <f t="shared" si="4"/>
        <v>1231</v>
      </c>
      <c r="I21" s="16">
        <f t="shared" si="5"/>
        <v>1661.8500000000001</v>
      </c>
      <c r="K21" s="11">
        <v>14000</v>
      </c>
      <c r="L21" s="8">
        <f t="shared" si="2"/>
        <v>774</v>
      </c>
      <c r="N21" s="11">
        <v>1771</v>
      </c>
      <c r="O21" s="8">
        <f t="shared" si="3"/>
        <v>0</v>
      </c>
    </row>
    <row r="22" spans="1:15" x14ac:dyDescent="0.2">
      <c r="A22" s="5">
        <v>44458</v>
      </c>
      <c r="B22" s="10">
        <v>57615</v>
      </c>
      <c r="C22" s="8">
        <f t="shared" si="6"/>
        <v>2561</v>
      </c>
      <c r="D22" s="10">
        <v>176</v>
      </c>
      <c r="E22" s="8">
        <f t="shared" si="7"/>
        <v>8</v>
      </c>
      <c r="F22" s="77">
        <v>0.21</v>
      </c>
      <c r="G22" s="12" t="s">
        <v>26</v>
      </c>
      <c r="H22" s="8">
        <f t="shared" si="4"/>
        <v>2569</v>
      </c>
      <c r="I22" s="16">
        <f t="shared" si="5"/>
        <v>3468.1500000000005</v>
      </c>
      <c r="K22" s="11">
        <v>14774</v>
      </c>
      <c r="L22" s="8">
        <f t="shared" si="2"/>
        <v>758</v>
      </c>
      <c r="N22" s="11">
        <v>1771</v>
      </c>
      <c r="O22" s="8">
        <f t="shared" si="3"/>
        <v>0</v>
      </c>
    </row>
    <row r="23" spans="1:15" x14ac:dyDescent="0.2">
      <c r="A23" s="5">
        <v>44459</v>
      </c>
      <c r="B23" s="10">
        <v>60176</v>
      </c>
      <c r="C23" s="8">
        <f t="shared" si="6"/>
        <v>1280</v>
      </c>
      <c r="D23" s="10">
        <v>184</v>
      </c>
      <c r="E23" s="8">
        <f t="shared" si="7"/>
        <v>4</v>
      </c>
      <c r="F23" s="77">
        <v>0.24</v>
      </c>
      <c r="G23" s="12" t="s">
        <v>26</v>
      </c>
      <c r="H23" s="8">
        <f t="shared" si="4"/>
        <v>1284</v>
      </c>
      <c r="I23" s="16">
        <f t="shared" si="5"/>
        <v>1733.4</v>
      </c>
      <c r="K23" s="11">
        <v>15532</v>
      </c>
      <c r="L23" s="8">
        <f t="shared" si="2"/>
        <v>738</v>
      </c>
      <c r="N23" s="11">
        <v>1771</v>
      </c>
      <c r="O23" s="8">
        <f t="shared" si="3"/>
        <v>0</v>
      </c>
    </row>
    <row r="24" spans="1:15" x14ac:dyDescent="0.2">
      <c r="A24" s="5">
        <v>44460</v>
      </c>
      <c r="B24" s="10">
        <v>61456</v>
      </c>
      <c r="C24" s="8">
        <f t="shared" si="6"/>
        <v>1458</v>
      </c>
      <c r="D24" s="10">
        <v>188</v>
      </c>
      <c r="E24" s="8">
        <f t="shared" si="7"/>
        <v>15</v>
      </c>
      <c r="F24" s="77">
        <v>0.24</v>
      </c>
      <c r="G24" s="12" t="s">
        <v>28</v>
      </c>
      <c r="H24" s="8">
        <f t="shared" si="4"/>
        <v>1473</v>
      </c>
      <c r="I24" s="16">
        <f t="shared" si="5"/>
        <v>1988.5500000000002</v>
      </c>
      <c r="K24" s="11">
        <v>16270</v>
      </c>
      <c r="L24" s="8">
        <f t="shared" si="2"/>
        <v>777</v>
      </c>
      <c r="N24" s="11">
        <v>1771</v>
      </c>
      <c r="O24" s="8">
        <f t="shared" si="3"/>
        <v>0</v>
      </c>
    </row>
    <row r="25" spans="1:15" x14ac:dyDescent="0.2">
      <c r="A25" s="5">
        <v>44461</v>
      </c>
      <c r="B25" s="10">
        <v>62914</v>
      </c>
      <c r="C25" s="8">
        <f t="shared" si="6"/>
        <v>1300</v>
      </c>
      <c r="D25" s="10">
        <v>203</v>
      </c>
      <c r="E25" s="8">
        <f t="shared" si="7"/>
        <v>33</v>
      </c>
      <c r="F25" s="77">
        <v>0.36</v>
      </c>
      <c r="G25" s="12" t="s">
        <v>26</v>
      </c>
      <c r="H25" s="8">
        <f t="shared" si="4"/>
        <v>1333</v>
      </c>
      <c r="I25" s="16">
        <f t="shared" si="5"/>
        <v>1799.5500000000002</v>
      </c>
      <c r="K25" s="11">
        <v>17047</v>
      </c>
      <c r="L25" s="8">
        <f t="shared" si="2"/>
        <v>854</v>
      </c>
      <c r="N25" s="11">
        <v>1771</v>
      </c>
      <c r="O25" s="8">
        <f t="shared" si="3"/>
        <v>0</v>
      </c>
    </row>
    <row r="26" spans="1:15" x14ac:dyDescent="0.2">
      <c r="A26" s="5">
        <v>44462</v>
      </c>
      <c r="B26" s="10">
        <v>64214</v>
      </c>
      <c r="C26" s="8">
        <f t="shared" si="6"/>
        <v>1444</v>
      </c>
      <c r="D26" s="10">
        <v>236</v>
      </c>
      <c r="E26" s="8">
        <f t="shared" si="7"/>
        <v>33</v>
      </c>
      <c r="F26" s="77">
        <v>0.35</v>
      </c>
      <c r="G26" s="18" t="s">
        <v>26</v>
      </c>
      <c r="H26" s="8">
        <f t="shared" si="4"/>
        <v>1477</v>
      </c>
      <c r="I26" s="16">
        <f t="shared" si="5"/>
        <v>1993.95</v>
      </c>
      <c r="K26" s="11">
        <v>17901</v>
      </c>
      <c r="L26" s="8">
        <f t="shared" si="2"/>
        <v>770</v>
      </c>
      <c r="N26" s="11">
        <v>1771</v>
      </c>
      <c r="O26" s="8">
        <f t="shared" si="3"/>
        <v>0</v>
      </c>
    </row>
    <row r="27" spans="1:15" x14ac:dyDescent="0.2">
      <c r="A27" s="5">
        <v>44463</v>
      </c>
      <c r="B27" s="10">
        <v>65658</v>
      </c>
      <c r="C27" s="8">
        <f t="shared" si="6"/>
        <v>1416</v>
      </c>
      <c r="D27" s="10">
        <v>269</v>
      </c>
      <c r="E27" s="8">
        <f t="shared" si="7"/>
        <v>33</v>
      </c>
      <c r="F27" s="77">
        <v>0.32</v>
      </c>
      <c r="G27" s="12" t="s">
        <v>26</v>
      </c>
      <c r="H27" s="8">
        <f t="shared" si="4"/>
        <v>1449</v>
      </c>
      <c r="I27" s="16">
        <f t="shared" si="5"/>
        <v>1956.15</v>
      </c>
      <c r="K27" s="11">
        <v>18671</v>
      </c>
      <c r="L27" s="8">
        <f t="shared" si="2"/>
        <v>883</v>
      </c>
      <c r="N27" s="11">
        <v>1771</v>
      </c>
      <c r="O27" s="8">
        <f t="shared" si="3"/>
        <v>0</v>
      </c>
    </row>
    <row r="28" spans="1:15" x14ac:dyDescent="0.2">
      <c r="A28" s="5">
        <v>44464</v>
      </c>
      <c r="B28" s="10">
        <v>67074</v>
      </c>
      <c r="C28" s="8">
        <f t="shared" si="6"/>
        <v>1341</v>
      </c>
      <c r="D28" s="10">
        <v>302</v>
      </c>
      <c r="E28" s="8">
        <f t="shared" si="7"/>
        <v>36</v>
      </c>
      <c r="F28" s="77">
        <v>0.34</v>
      </c>
      <c r="G28" s="12" t="s">
        <v>26</v>
      </c>
      <c r="H28" s="8">
        <f t="shared" si="4"/>
        <v>1377</v>
      </c>
      <c r="I28" s="16">
        <f t="shared" si="5"/>
        <v>1858.95</v>
      </c>
      <c r="K28" s="11">
        <v>19554</v>
      </c>
      <c r="L28" s="8">
        <f t="shared" si="2"/>
        <v>446</v>
      </c>
      <c r="N28" s="11">
        <v>1771</v>
      </c>
      <c r="O28" s="8">
        <f t="shared" si="3"/>
        <v>0</v>
      </c>
    </row>
    <row r="29" spans="1:15" x14ac:dyDescent="0.2">
      <c r="A29" s="5">
        <v>44465</v>
      </c>
      <c r="B29" s="10">
        <v>68415</v>
      </c>
      <c r="C29" s="8">
        <f t="shared" si="6"/>
        <v>1375</v>
      </c>
      <c r="D29" s="10">
        <v>338</v>
      </c>
      <c r="E29" s="8">
        <f t="shared" si="7"/>
        <v>36</v>
      </c>
      <c r="F29" s="77">
        <v>0.28000000000000003</v>
      </c>
      <c r="G29" s="12" t="s">
        <v>26</v>
      </c>
      <c r="H29" s="8">
        <f t="shared" si="4"/>
        <v>1411</v>
      </c>
      <c r="I29" s="16">
        <f t="shared" si="5"/>
        <v>1904.8500000000001</v>
      </c>
      <c r="K29" s="11">
        <v>20000</v>
      </c>
      <c r="L29" s="8">
        <f t="shared" si="2"/>
        <v>0</v>
      </c>
      <c r="N29" s="11">
        <v>1771</v>
      </c>
      <c r="O29" s="8">
        <f t="shared" si="3"/>
        <v>0</v>
      </c>
    </row>
    <row r="30" spans="1:15" x14ac:dyDescent="0.2">
      <c r="A30" s="5">
        <v>44466</v>
      </c>
      <c r="B30" s="10">
        <v>69790</v>
      </c>
      <c r="C30" s="8">
        <f t="shared" si="6"/>
        <v>1318</v>
      </c>
      <c r="D30" s="10">
        <v>374</v>
      </c>
      <c r="E30" s="8">
        <f t="shared" si="7"/>
        <v>33</v>
      </c>
      <c r="F30" s="12"/>
      <c r="G30" s="12"/>
      <c r="H30" s="8">
        <f t="shared" si="4"/>
        <v>1351</v>
      </c>
      <c r="I30" s="16">
        <f t="shared" si="5"/>
        <v>1823.8500000000001</v>
      </c>
      <c r="K30" s="11"/>
      <c r="L30" s="8">
        <f t="shared" si="2"/>
        <v>0</v>
      </c>
      <c r="N30" s="11">
        <v>1771</v>
      </c>
      <c r="O30" s="8">
        <f t="shared" si="3"/>
        <v>0</v>
      </c>
    </row>
    <row r="31" spans="1:15" x14ac:dyDescent="0.2">
      <c r="A31" s="5">
        <v>44467</v>
      </c>
      <c r="B31" s="10">
        <v>71108</v>
      </c>
      <c r="C31" s="8">
        <f t="shared" si="6"/>
        <v>1379</v>
      </c>
      <c r="D31" s="10">
        <v>407</v>
      </c>
      <c r="E31" s="8">
        <f t="shared" si="7"/>
        <v>43</v>
      </c>
      <c r="F31" s="12"/>
      <c r="G31" s="12"/>
      <c r="H31" s="8">
        <f t="shared" si="4"/>
        <v>1422</v>
      </c>
      <c r="I31" s="16">
        <f t="shared" si="5"/>
        <v>1919.7</v>
      </c>
      <c r="K31" s="11"/>
      <c r="L31" s="8">
        <f t="shared" si="2"/>
        <v>0</v>
      </c>
      <c r="N31" s="11"/>
      <c r="O31" s="8">
        <f t="shared" si="3"/>
        <v>0</v>
      </c>
    </row>
    <row r="32" spans="1:15" x14ac:dyDescent="0.2">
      <c r="A32" s="5">
        <v>44468</v>
      </c>
      <c r="B32" s="10">
        <v>72487</v>
      </c>
      <c r="C32" s="8">
        <f t="shared" si="6"/>
        <v>1423</v>
      </c>
      <c r="D32" s="10">
        <v>450</v>
      </c>
      <c r="E32" s="8">
        <f t="shared" si="7"/>
        <v>20</v>
      </c>
      <c r="F32" s="12"/>
      <c r="G32" s="12"/>
      <c r="H32" s="8">
        <f t="shared" si="4"/>
        <v>1443</v>
      </c>
      <c r="I32" s="16">
        <f t="shared" si="5"/>
        <v>1948.0500000000002</v>
      </c>
      <c r="K32" s="11"/>
      <c r="L32" s="8">
        <f t="shared" si="2"/>
        <v>0</v>
      </c>
      <c r="N32" s="11"/>
      <c r="O32" s="8">
        <f t="shared" si="3"/>
        <v>0</v>
      </c>
    </row>
    <row r="33" spans="1:15" x14ac:dyDescent="0.2">
      <c r="A33" s="5">
        <v>44469</v>
      </c>
      <c r="B33" s="10">
        <v>73910</v>
      </c>
      <c r="C33" s="8">
        <f t="shared" si="6"/>
        <v>0</v>
      </c>
      <c r="D33" s="10">
        <v>470</v>
      </c>
      <c r="E33" s="8"/>
      <c r="F33" s="77">
        <v>0.35</v>
      </c>
      <c r="G33" s="12"/>
      <c r="H33" s="8">
        <f t="shared" si="4"/>
        <v>0</v>
      </c>
      <c r="I33" s="16">
        <f t="shared" si="5"/>
        <v>0</v>
      </c>
      <c r="K33" s="11"/>
      <c r="L33" s="8">
        <f t="shared" si="2"/>
        <v>0</v>
      </c>
      <c r="N33" s="11"/>
      <c r="O33" s="8">
        <f t="shared" si="3"/>
        <v>0</v>
      </c>
    </row>
    <row r="34" spans="1:15" x14ac:dyDescent="0.2">
      <c r="A34" s="5"/>
      <c r="B34" s="10"/>
      <c r="C34" s="8"/>
      <c r="D34" s="10"/>
      <c r="E34" s="8"/>
      <c r="F34" s="12"/>
      <c r="G34" s="12"/>
      <c r="H34" s="8">
        <f t="shared" si="4"/>
        <v>0</v>
      </c>
      <c r="I34" s="16">
        <f t="shared" si="5"/>
        <v>0</v>
      </c>
      <c r="K34" s="11"/>
      <c r="L34" s="8">
        <f t="shared" si="2"/>
        <v>0</v>
      </c>
      <c r="N34" s="11"/>
      <c r="O34" s="8">
        <f t="shared" si="3"/>
        <v>0</v>
      </c>
    </row>
    <row r="35" spans="1:15" x14ac:dyDescent="0.2">
      <c r="A35" s="94"/>
      <c r="B35" s="95"/>
      <c r="C35" s="9">
        <f>SUM(C4:C34)</f>
        <v>30615</v>
      </c>
      <c r="D35" s="9"/>
      <c r="E35" s="9">
        <f>SUM(E4:E34)</f>
        <v>455</v>
      </c>
      <c r="F35" s="11"/>
      <c r="G35" s="11"/>
      <c r="H35" s="8">
        <f>SUM(H4:H34)</f>
        <v>31070</v>
      </c>
      <c r="I35" s="16">
        <f>SUM(I4:I34)</f>
        <v>41944.499999999993</v>
      </c>
      <c r="K35" s="11"/>
      <c r="L35" s="9">
        <f>SUM(L4:L34)</f>
        <v>13035</v>
      </c>
      <c r="N35" s="11"/>
      <c r="O35" s="9">
        <f>SUM(O4:O34)</f>
        <v>0</v>
      </c>
    </row>
    <row r="36" spans="1:15" x14ac:dyDescent="0.2">
      <c r="A36" s="17"/>
      <c r="F36" s="1"/>
    </row>
    <row r="38" spans="1:15" ht="15.75" x14ac:dyDescent="0.25">
      <c r="A38" s="13" t="s">
        <v>31</v>
      </c>
    </row>
  </sheetData>
  <mergeCells count="2">
    <mergeCell ref="A35:B35"/>
    <mergeCell ref="D1:F1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9"/>
  <sheetViews>
    <sheetView zoomScale="85" workbookViewId="0">
      <selection activeCell="D1" sqref="D1:F1"/>
    </sheetView>
  </sheetViews>
  <sheetFormatPr defaultRowHeight="12.75" x14ac:dyDescent="0.2"/>
  <cols>
    <col min="1" max="1" width="14" style="61" customWidth="1"/>
    <col min="2" max="2" width="12.140625" style="32" customWidth="1"/>
    <col min="3" max="3" width="12.5703125" style="32" customWidth="1"/>
    <col min="4" max="4" width="12.5703125" style="24" customWidth="1"/>
    <col min="5" max="5" width="9.42578125" style="14" customWidth="1"/>
    <col min="6" max="6" width="17.140625" style="33" bestFit="1" customWidth="1"/>
    <col min="7" max="7" width="16.7109375" style="33" customWidth="1"/>
    <col min="8" max="8" width="13.7109375" style="33" customWidth="1"/>
    <col min="9" max="9" width="10" style="33" customWidth="1"/>
    <col min="10" max="10" width="9" style="33" customWidth="1"/>
    <col min="11" max="11" width="9.140625" style="33" customWidth="1"/>
    <col min="12" max="256" width="9.140625" style="24"/>
    <col min="257" max="257" width="14" style="24" customWidth="1"/>
    <col min="258" max="258" width="12.140625" style="24" customWidth="1"/>
    <col min="259" max="260" width="12.5703125" style="24" customWidth="1"/>
    <col min="261" max="261" width="9.42578125" style="24" customWidth="1"/>
    <col min="262" max="262" width="17.140625" style="24" bestFit="1" customWidth="1"/>
    <col min="263" max="263" width="16.7109375" style="24" customWidth="1"/>
    <col min="264" max="264" width="13.7109375" style="24" customWidth="1"/>
    <col min="265" max="265" width="10" style="24" customWidth="1"/>
    <col min="266" max="266" width="9" style="24" customWidth="1"/>
    <col min="267" max="267" width="9.140625" style="24" customWidth="1"/>
    <col min="268" max="512" width="9.140625" style="24"/>
    <col min="513" max="513" width="14" style="24" customWidth="1"/>
    <col min="514" max="514" width="12.140625" style="24" customWidth="1"/>
    <col min="515" max="516" width="12.5703125" style="24" customWidth="1"/>
    <col min="517" max="517" width="9.42578125" style="24" customWidth="1"/>
    <col min="518" max="518" width="17.140625" style="24" bestFit="1" customWidth="1"/>
    <col min="519" max="519" width="16.7109375" style="24" customWidth="1"/>
    <col min="520" max="520" width="13.7109375" style="24" customWidth="1"/>
    <col min="521" max="521" width="10" style="24" customWidth="1"/>
    <col min="522" max="522" width="9" style="24" customWidth="1"/>
    <col min="523" max="523" width="9.140625" style="24" customWidth="1"/>
    <col min="524" max="768" width="9.140625" style="24"/>
    <col min="769" max="769" width="14" style="24" customWidth="1"/>
    <col min="770" max="770" width="12.140625" style="24" customWidth="1"/>
    <col min="771" max="772" width="12.5703125" style="24" customWidth="1"/>
    <col min="773" max="773" width="9.42578125" style="24" customWidth="1"/>
    <col min="774" max="774" width="17.140625" style="24" bestFit="1" customWidth="1"/>
    <col min="775" max="775" width="16.7109375" style="24" customWidth="1"/>
    <col min="776" max="776" width="13.7109375" style="24" customWidth="1"/>
    <col min="777" max="777" width="10" style="24" customWidth="1"/>
    <col min="778" max="778" width="9" style="24" customWidth="1"/>
    <col min="779" max="779" width="9.140625" style="24" customWidth="1"/>
    <col min="780" max="1024" width="9.140625" style="24"/>
    <col min="1025" max="1025" width="14" style="24" customWidth="1"/>
    <col min="1026" max="1026" width="12.140625" style="24" customWidth="1"/>
    <col min="1027" max="1028" width="12.5703125" style="24" customWidth="1"/>
    <col min="1029" max="1029" width="9.42578125" style="24" customWidth="1"/>
    <col min="1030" max="1030" width="17.140625" style="24" bestFit="1" customWidth="1"/>
    <col min="1031" max="1031" width="16.7109375" style="24" customWidth="1"/>
    <col min="1032" max="1032" width="13.7109375" style="24" customWidth="1"/>
    <col min="1033" max="1033" width="10" style="24" customWidth="1"/>
    <col min="1034" max="1034" width="9" style="24" customWidth="1"/>
    <col min="1035" max="1035" width="9.140625" style="24" customWidth="1"/>
    <col min="1036" max="1280" width="9.140625" style="24"/>
    <col min="1281" max="1281" width="14" style="24" customWidth="1"/>
    <col min="1282" max="1282" width="12.140625" style="24" customWidth="1"/>
    <col min="1283" max="1284" width="12.5703125" style="24" customWidth="1"/>
    <col min="1285" max="1285" width="9.42578125" style="24" customWidth="1"/>
    <col min="1286" max="1286" width="17.140625" style="24" bestFit="1" customWidth="1"/>
    <col min="1287" max="1287" width="16.7109375" style="24" customWidth="1"/>
    <col min="1288" max="1288" width="13.7109375" style="24" customWidth="1"/>
    <col min="1289" max="1289" width="10" style="24" customWidth="1"/>
    <col min="1290" max="1290" width="9" style="24" customWidth="1"/>
    <col min="1291" max="1291" width="9.140625" style="24" customWidth="1"/>
    <col min="1292" max="1536" width="9.140625" style="24"/>
    <col min="1537" max="1537" width="14" style="24" customWidth="1"/>
    <col min="1538" max="1538" width="12.140625" style="24" customWidth="1"/>
    <col min="1539" max="1540" width="12.5703125" style="24" customWidth="1"/>
    <col min="1541" max="1541" width="9.42578125" style="24" customWidth="1"/>
    <col min="1542" max="1542" width="17.140625" style="24" bestFit="1" customWidth="1"/>
    <col min="1543" max="1543" width="16.7109375" style="24" customWidth="1"/>
    <col min="1544" max="1544" width="13.7109375" style="24" customWidth="1"/>
    <col min="1545" max="1545" width="10" style="24" customWidth="1"/>
    <col min="1546" max="1546" width="9" style="24" customWidth="1"/>
    <col min="1547" max="1547" width="9.140625" style="24" customWidth="1"/>
    <col min="1548" max="1792" width="9.140625" style="24"/>
    <col min="1793" max="1793" width="14" style="24" customWidth="1"/>
    <col min="1794" max="1794" width="12.140625" style="24" customWidth="1"/>
    <col min="1795" max="1796" width="12.5703125" style="24" customWidth="1"/>
    <col min="1797" max="1797" width="9.42578125" style="24" customWidth="1"/>
    <col min="1798" max="1798" width="17.140625" style="24" bestFit="1" customWidth="1"/>
    <col min="1799" max="1799" width="16.7109375" style="24" customWidth="1"/>
    <col min="1800" max="1800" width="13.7109375" style="24" customWidth="1"/>
    <col min="1801" max="1801" width="10" style="24" customWidth="1"/>
    <col min="1802" max="1802" width="9" style="24" customWidth="1"/>
    <col min="1803" max="1803" width="9.140625" style="24" customWidth="1"/>
    <col min="1804" max="2048" width="9.140625" style="24"/>
    <col min="2049" max="2049" width="14" style="24" customWidth="1"/>
    <col min="2050" max="2050" width="12.140625" style="24" customWidth="1"/>
    <col min="2051" max="2052" width="12.5703125" style="24" customWidth="1"/>
    <col min="2053" max="2053" width="9.42578125" style="24" customWidth="1"/>
    <col min="2054" max="2054" width="17.140625" style="24" bestFit="1" customWidth="1"/>
    <col min="2055" max="2055" width="16.7109375" style="24" customWidth="1"/>
    <col min="2056" max="2056" width="13.7109375" style="24" customWidth="1"/>
    <col min="2057" max="2057" width="10" style="24" customWidth="1"/>
    <col min="2058" max="2058" width="9" style="24" customWidth="1"/>
    <col min="2059" max="2059" width="9.140625" style="24" customWidth="1"/>
    <col min="2060" max="2304" width="9.140625" style="24"/>
    <col min="2305" max="2305" width="14" style="24" customWidth="1"/>
    <col min="2306" max="2306" width="12.140625" style="24" customWidth="1"/>
    <col min="2307" max="2308" width="12.5703125" style="24" customWidth="1"/>
    <col min="2309" max="2309" width="9.42578125" style="24" customWidth="1"/>
    <col min="2310" max="2310" width="17.140625" style="24" bestFit="1" customWidth="1"/>
    <col min="2311" max="2311" width="16.7109375" style="24" customWidth="1"/>
    <col min="2312" max="2312" width="13.7109375" style="24" customWidth="1"/>
    <col min="2313" max="2313" width="10" style="24" customWidth="1"/>
    <col min="2314" max="2314" width="9" style="24" customWidth="1"/>
    <col min="2315" max="2315" width="9.140625" style="24" customWidth="1"/>
    <col min="2316" max="2560" width="9.140625" style="24"/>
    <col min="2561" max="2561" width="14" style="24" customWidth="1"/>
    <col min="2562" max="2562" width="12.140625" style="24" customWidth="1"/>
    <col min="2563" max="2564" width="12.5703125" style="24" customWidth="1"/>
    <col min="2565" max="2565" width="9.42578125" style="24" customWidth="1"/>
    <col min="2566" max="2566" width="17.140625" style="24" bestFit="1" customWidth="1"/>
    <col min="2567" max="2567" width="16.7109375" style="24" customWidth="1"/>
    <col min="2568" max="2568" width="13.7109375" style="24" customWidth="1"/>
    <col min="2569" max="2569" width="10" style="24" customWidth="1"/>
    <col min="2570" max="2570" width="9" style="24" customWidth="1"/>
    <col min="2571" max="2571" width="9.140625" style="24" customWidth="1"/>
    <col min="2572" max="2816" width="9.140625" style="24"/>
    <col min="2817" max="2817" width="14" style="24" customWidth="1"/>
    <col min="2818" max="2818" width="12.140625" style="24" customWidth="1"/>
    <col min="2819" max="2820" width="12.5703125" style="24" customWidth="1"/>
    <col min="2821" max="2821" width="9.42578125" style="24" customWidth="1"/>
    <col min="2822" max="2822" width="17.140625" style="24" bestFit="1" customWidth="1"/>
    <col min="2823" max="2823" width="16.7109375" style="24" customWidth="1"/>
    <col min="2824" max="2824" width="13.7109375" style="24" customWidth="1"/>
    <col min="2825" max="2825" width="10" style="24" customWidth="1"/>
    <col min="2826" max="2826" width="9" style="24" customWidth="1"/>
    <col min="2827" max="2827" width="9.140625" style="24" customWidth="1"/>
    <col min="2828" max="3072" width="9.140625" style="24"/>
    <col min="3073" max="3073" width="14" style="24" customWidth="1"/>
    <col min="3074" max="3074" width="12.140625" style="24" customWidth="1"/>
    <col min="3075" max="3076" width="12.5703125" style="24" customWidth="1"/>
    <col min="3077" max="3077" width="9.42578125" style="24" customWidth="1"/>
    <col min="3078" max="3078" width="17.140625" style="24" bestFit="1" customWidth="1"/>
    <col min="3079" max="3079" width="16.7109375" style="24" customWidth="1"/>
    <col min="3080" max="3080" width="13.7109375" style="24" customWidth="1"/>
    <col min="3081" max="3081" width="10" style="24" customWidth="1"/>
    <col min="3082" max="3082" width="9" style="24" customWidth="1"/>
    <col min="3083" max="3083" width="9.140625" style="24" customWidth="1"/>
    <col min="3084" max="3328" width="9.140625" style="24"/>
    <col min="3329" max="3329" width="14" style="24" customWidth="1"/>
    <col min="3330" max="3330" width="12.140625" style="24" customWidth="1"/>
    <col min="3331" max="3332" width="12.5703125" style="24" customWidth="1"/>
    <col min="3333" max="3333" width="9.42578125" style="24" customWidth="1"/>
    <col min="3334" max="3334" width="17.140625" style="24" bestFit="1" customWidth="1"/>
    <col min="3335" max="3335" width="16.7109375" style="24" customWidth="1"/>
    <col min="3336" max="3336" width="13.7109375" style="24" customWidth="1"/>
    <col min="3337" max="3337" width="10" style="24" customWidth="1"/>
    <col min="3338" max="3338" width="9" style="24" customWidth="1"/>
    <col min="3339" max="3339" width="9.140625" style="24" customWidth="1"/>
    <col min="3340" max="3584" width="9.140625" style="24"/>
    <col min="3585" max="3585" width="14" style="24" customWidth="1"/>
    <col min="3586" max="3586" width="12.140625" style="24" customWidth="1"/>
    <col min="3587" max="3588" width="12.5703125" style="24" customWidth="1"/>
    <col min="3589" max="3589" width="9.42578125" style="24" customWidth="1"/>
    <col min="3590" max="3590" width="17.140625" style="24" bestFit="1" customWidth="1"/>
    <col min="3591" max="3591" width="16.7109375" style="24" customWidth="1"/>
    <col min="3592" max="3592" width="13.7109375" style="24" customWidth="1"/>
    <col min="3593" max="3593" width="10" style="24" customWidth="1"/>
    <col min="3594" max="3594" width="9" style="24" customWidth="1"/>
    <col min="3595" max="3595" width="9.140625" style="24" customWidth="1"/>
    <col min="3596" max="3840" width="9.140625" style="24"/>
    <col min="3841" max="3841" width="14" style="24" customWidth="1"/>
    <col min="3842" max="3842" width="12.140625" style="24" customWidth="1"/>
    <col min="3843" max="3844" width="12.5703125" style="24" customWidth="1"/>
    <col min="3845" max="3845" width="9.42578125" style="24" customWidth="1"/>
    <col min="3846" max="3846" width="17.140625" style="24" bestFit="1" customWidth="1"/>
    <col min="3847" max="3847" width="16.7109375" style="24" customWidth="1"/>
    <col min="3848" max="3848" width="13.7109375" style="24" customWidth="1"/>
    <col min="3849" max="3849" width="10" style="24" customWidth="1"/>
    <col min="3850" max="3850" width="9" style="24" customWidth="1"/>
    <col min="3851" max="3851" width="9.140625" style="24" customWidth="1"/>
    <col min="3852" max="4096" width="9.140625" style="24"/>
    <col min="4097" max="4097" width="14" style="24" customWidth="1"/>
    <col min="4098" max="4098" width="12.140625" style="24" customWidth="1"/>
    <col min="4099" max="4100" width="12.5703125" style="24" customWidth="1"/>
    <col min="4101" max="4101" width="9.42578125" style="24" customWidth="1"/>
    <col min="4102" max="4102" width="17.140625" style="24" bestFit="1" customWidth="1"/>
    <col min="4103" max="4103" width="16.7109375" style="24" customWidth="1"/>
    <col min="4104" max="4104" width="13.7109375" style="24" customWidth="1"/>
    <col min="4105" max="4105" width="10" style="24" customWidth="1"/>
    <col min="4106" max="4106" width="9" style="24" customWidth="1"/>
    <col min="4107" max="4107" width="9.140625" style="24" customWidth="1"/>
    <col min="4108" max="4352" width="9.140625" style="24"/>
    <col min="4353" max="4353" width="14" style="24" customWidth="1"/>
    <col min="4354" max="4354" width="12.140625" style="24" customWidth="1"/>
    <col min="4355" max="4356" width="12.5703125" style="24" customWidth="1"/>
    <col min="4357" max="4357" width="9.42578125" style="24" customWidth="1"/>
    <col min="4358" max="4358" width="17.140625" style="24" bestFit="1" customWidth="1"/>
    <col min="4359" max="4359" width="16.7109375" style="24" customWidth="1"/>
    <col min="4360" max="4360" width="13.7109375" style="24" customWidth="1"/>
    <col min="4361" max="4361" width="10" style="24" customWidth="1"/>
    <col min="4362" max="4362" width="9" style="24" customWidth="1"/>
    <col min="4363" max="4363" width="9.140625" style="24" customWidth="1"/>
    <col min="4364" max="4608" width="9.140625" style="24"/>
    <col min="4609" max="4609" width="14" style="24" customWidth="1"/>
    <col min="4610" max="4610" width="12.140625" style="24" customWidth="1"/>
    <col min="4611" max="4612" width="12.5703125" style="24" customWidth="1"/>
    <col min="4613" max="4613" width="9.42578125" style="24" customWidth="1"/>
    <col min="4614" max="4614" width="17.140625" style="24" bestFit="1" customWidth="1"/>
    <col min="4615" max="4615" width="16.7109375" style="24" customWidth="1"/>
    <col min="4616" max="4616" width="13.7109375" style="24" customWidth="1"/>
    <col min="4617" max="4617" width="10" style="24" customWidth="1"/>
    <col min="4618" max="4618" width="9" style="24" customWidth="1"/>
    <col min="4619" max="4619" width="9.140625" style="24" customWidth="1"/>
    <col min="4620" max="4864" width="9.140625" style="24"/>
    <col min="4865" max="4865" width="14" style="24" customWidth="1"/>
    <col min="4866" max="4866" width="12.140625" style="24" customWidth="1"/>
    <col min="4867" max="4868" width="12.5703125" style="24" customWidth="1"/>
    <col min="4869" max="4869" width="9.42578125" style="24" customWidth="1"/>
    <col min="4870" max="4870" width="17.140625" style="24" bestFit="1" customWidth="1"/>
    <col min="4871" max="4871" width="16.7109375" style="24" customWidth="1"/>
    <col min="4872" max="4872" width="13.7109375" style="24" customWidth="1"/>
    <col min="4873" max="4873" width="10" style="24" customWidth="1"/>
    <col min="4874" max="4874" width="9" style="24" customWidth="1"/>
    <col min="4875" max="4875" width="9.140625" style="24" customWidth="1"/>
    <col min="4876" max="5120" width="9.140625" style="24"/>
    <col min="5121" max="5121" width="14" style="24" customWidth="1"/>
    <col min="5122" max="5122" width="12.140625" style="24" customWidth="1"/>
    <col min="5123" max="5124" width="12.5703125" style="24" customWidth="1"/>
    <col min="5125" max="5125" width="9.42578125" style="24" customWidth="1"/>
    <col min="5126" max="5126" width="17.140625" style="24" bestFit="1" customWidth="1"/>
    <col min="5127" max="5127" width="16.7109375" style="24" customWidth="1"/>
    <col min="5128" max="5128" width="13.7109375" style="24" customWidth="1"/>
    <col min="5129" max="5129" width="10" style="24" customWidth="1"/>
    <col min="5130" max="5130" width="9" style="24" customWidth="1"/>
    <col min="5131" max="5131" width="9.140625" style="24" customWidth="1"/>
    <col min="5132" max="5376" width="9.140625" style="24"/>
    <col min="5377" max="5377" width="14" style="24" customWidth="1"/>
    <col min="5378" max="5378" width="12.140625" style="24" customWidth="1"/>
    <col min="5379" max="5380" width="12.5703125" style="24" customWidth="1"/>
    <col min="5381" max="5381" width="9.42578125" style="24" customWidth="1"/>
    <col min="5382" max="5382" width="17.140625" style="24" bestFit="1" customWidth="1"/>
    <col min="5383" max="5383" width="16.7109375" style="24" customWidth="1"/>
    <col min="5384" max="5384" width="13.7109375" style="24" customWidth="1"/>
    <col min="5385" max="5385" width="10" style="24" customWidth="1"/>
    <col min="5386" max="5386" width="9" style="24" customWidth="1"/>
    <col min="5387" max="5387" width="9.140625" style="24" customWidth="1"/>
    <col min="5388" max="5632" width="9.140625" style="24"/>
    <col min="5633" max="5633" width="14" style="24" customWidth="1"/>
    <col min="5634" max="5634" width="12.140625" style="24" customWidth="1"/>
    <col min="5635" max="5636" width="12.5703125" style="24" customWidth="1"/>
    <col min="5637" max="5637" width="9.42578125" style="24" customWidth="1"/>
    <col min="5638" max="5638" width="17.140625" style="24" bestFit="1" customWidth="1"/>
    <col min="5639" max="5639" width="16.7109375" style="24" customWidth="1"/>
    <col min="5640" max="5640" width="13.7109375" style="24" customWidth="1"/>
    <col min="5641" max="5641" width="10" style="24" customWidth="1"/>
    <col min="5642" max="5642" width="9" style="24" customWidth="1"/>
    <col min="5643" max="5643" width="9.140625" style="24" customWidth="1"/>
    <col min="5644" max="5888" width="9.140625" style="24"/>
    <col min="5889" max="5889" width="14" style="24" customWidth="1"/>
    <col min="5890" max="5890" width="12.140625" style="24" customWidth="1"/>
    <col min="5891" max="5892" width="12.5703125" style="24" customWidth="1"/>
    <col min="5893" max="5893" width="9.42578125" style="24" customWidth="1"/>
    <col min="5894" max="5894" width="17.140625" style="24" bestFit="1" customWidth="1"/>
    <col min="5895" max="5895" width="16.7109375" style="24" customWidth="1"/>
    <col min="5896" max="5896" width="13.7109375" style="24" customWidth="1"/>
    <col min="5897" max="5897" width="10" style="24" customWidth="1"/>
    <col min="5898" max="5898" width="9" style="24" customWidth="1"/>
    <col min="5899" max="5899" width="9.140625" style="24" customWidth="1"/>
    <col min="5900" max="6144" width="9.140625" style="24"/>
    <col min="6145" max="6145" width="14" style="24" customWidth="1"/>
    <col min="6146" max="6146" width="12.140625" style="24" customWidth="1"/>
    <col min="6147" max="6148" width="12.5703125" style="24" customWidth="1"/>
    <col min="6149" max="6149" width="9.42578125" style="24" customWidth="1"/>
    <col min="6150" max="6150" width="17.140625" style="24" bestFit="1" customWidth="1"/>
    <col min="6151" max="6151" width="16.7109375" style="24" customWidth="1"/>
    <col min="6152" max="6152" width="13.7109375" style="24" customWidth="1"/>
    <col min="6153" max="6153" width="10" style="24" customWidth="1"/>
    <col min="6154" max="6154" width="9" style="24" customWidth="1"/>
    <col min="6155" max="6155" width="9.140625" style="24" customWidth="1"/>
    <col min="6156" max="6400" width="9.140625" style="24"/>
    <col min="6401" max="6401" width="14" style="24" customWidth="1"/>
    <col min="6402" max="6402" width="12.140625" style="24" customWidth="1"/>
    <col min="6403" max="6404" width="12.5703125" style="24" customWidth="1"/>
    <col min="6405" max="6405" width="9.42578125" style="24" customWidth="1"/>
    <col min="6406" max="6406" width="17.140625" style="24" bestFit="1" customWidth="1"/>
    <col min="6407" max="6407" width="16.7109375" style="24" customWidth="1"/>
    <col min="6408" max="6408" width="13.7109375" style="24" customWidth="1"/>
    <col min="6409" max="6409" width="10" style="24" customWidth="1"/>
    <col min="6410" max="6410" width="9" style="24" customWidth="1"/>
    <col min="6411" max="6411" width="9.140625" style="24" customWidth="1"/>
    <col min="6412" max="6656" width="9.140625" style="24"/>
    <col min="6657" max="6657" width="14" style="24" customWidth="1"/>
    <col min="6658" max="6658" width="12.140625" style="24" customWidth="1"/>
    <col min="6659" max="6660" width="12.5703125" style="24" customWidth="1"/>
    <col min="6661" max="6661" width="9.42578125" style="24" customWidth="1"/>
    <col min="6662" max="6662" width="17.140625" style="24" bestFit="1" customWidth="1"/>
    <col min="6663" max="6663" width="16.7109375" style="24" customWidth="1"/>
    <col min="6664" max="6664" width="13.7109375" style="24" customWidth="1"/>
    <col min="6665" max="6665" width="10" style="24" customWidth="1"/>
    <col min="6666" max="6666" width="9" style="24" customWidth="1"/>
    <col min="6667" max="6667" width="9.140625" style="24" customWidth="1"/>
    <col min="6668" max="6912" width="9.140625" style="24"/>
    <col min="6913" max="6913" width="14" style="24" customWidth="1"/>
    <col min="6914" max="6914" width="12.140625" style="24" customWidth="1"/>
    <col min="6915" max="6916" width="12.5703125" style="24" customWidth="1"/>
    <col min="6917" max="6917" width="9.42578125" style="24" customWidth="1"/>
    <col min="6918" max="6918" width="17.140625" style="24" bestFit="1" customWidth="1"/>
    <col min="6919" max="6919" width="16.7109375" style="24" customWidth="1"/>
    <col min="6920" max="6920" width="13.7109375" style="24" customWidth="1"/>
    <col min="6921" max="6921" width="10" style="24" customWidth="1"/>
    <col min="6922" max="6922" width="9" style="24" customWidth="1"/>
    <col min="6923" max="6923" width="9.140625" style="24" customWidth="1"/>
    <col min="6924" max="7168" width="9.140625" style="24"/>
    <col min="7169" max="7169" width="14" style="24" customWidth="1"/>
    <col min="7170" max="7170" width="12.140625" style="24" customWidth="1"/>
    <col min="7171" max="7172" width="12.5703125" style="24" customWidth="1"/>
    <col min="7173" max="7173" width="9.42578125" style="24" customWidth="1"/>
    <col min="7174" max="7174" width="17.140625" style="24" bestFit="1" customWidth="1"/>
    <col min="7175" max="7175" width="16.7109375" style="24" customWidth="1"/>
    <col min="7176" max="7176" width="13.7109375" style="24" customWidth="1"/>
    <col min="7177" max="7177" width="10" style="24" customWidth="1"/>
    <col min="7178" max="7178" width="9" style="24" customWidth="1"/>
    <col min="7179" max="7179" width="9.140625" style="24" customWidth="1"/>
    <col min="7180" max="7424" width="9.140625" style="24"/>
    <col min="7425" max="7425" width="14" style="24" customWidth="1"/>
    <col min="7426" max="7426" width="12.140625" style="24" customWidth="1"/>
    <col min="7427" max="7428" width="12.5703125" style="24" customWidth="1"/>
    <col min="7429" max="7429" width="9.42578125" style="24" customWidth="1"/>
    <col min="7430" max="7430" width="17.140625" style="24" bestFit="1" customWidth="1"/>
    <col min="7431" max="7431" width="16.7109375" style="24" customWidth="1"/>
    <col min="7432" max="7432" width="13.7109375" style="24" customWidth="1"/>
    <col min="7433" max="7433" width="10" style="24" customWidth="1"/>
    <col min="7434" max="7434" width="9" style="24" customWidth="1"/>
    <col min="7435" max="7435" width="9.140625" style="24" customWidth="1"/>
    <col min="7436" max="7680" width="9.140625" style="24"/>
    <col min="7681" max="7681" width="14" style="24" customWidth="1"/>
    <col min="7682" max="7682" width="12.140625" style="24" customWidth="1"/>
    <col min="7683" max="7684" width="12.5703125" style="24" customWidth="1"/>
    <col min="7685" max="7685" width="9.42578125" style="24" customWidth="1"/>
    <col min="7686" max="7686" width="17.140625" style="24" bestFit="1" customWidth="1"/>
    <col min="7687" max="7687" width="16.7109375" style="24" customWidth="1"/>
    <col min="7688" max="7688" width="13.7109375" style="24" customWidth="1"/>
    <col min="7689" max="7689" width="10" style="24" customWidth="1"/>
    <col min="7690" max="7690" width="9" style="24" customWidth="1"/>
    <col min="7691" max="7691" width="9.140625" style="24" customWidth="1"/>
    <col min="7692" max="7936" width="9.140625" style="24"/>
    <col min="7937" max="7937" width="14" style="24" customWidth="1"/>
    <col min="7938" max="7938" width="12.140625" style="24" customWidth="1"/>
    <col min="7939" max="7940" width="12.5703125" style="24" customWidth="1"/>
    <col min="7941" max="7941" width="9.42578125" style="24" customWidth="1"/>
    <col min="7942" max="7942" width="17.140625" style="24" bestFit="1" customWidth="1"/>
    <col min="7943" max="7943" width="16.7109375" style="24" customWidth="1"/>
    <col min="7944" max="7944" width="13.7109375" style="24" customWidth="1"/>
    <col min="7945" max="7945" width="10" style="24" customWidth="1"/>
    <col min="7946" max="7946" width="9" style="24" customWidth="1"/>
    <col min="7947" max="7947" width="9.140625" style="24" customWidth="1"/>
    <col min="7948" max="8192" width="9.140625" style="24"/>
    <col min="8193" max="8193" width="14" style="24" customWidth="1"/>
    <col min="8194" max="8194" width="12.140625" style="24" customWidth="1"/>
    <col min="8195" max="8196" width="12.5703125" style="24" customWidth="1"/>
    <col min="8197" max="8197" width="9.42578125" style="24" customWidth="1"/>
    <col min="8198" max="8198" width="17.140625" style="24" bestFit="1" customWidth="1"/>
    <col min="8199" max="8199" width="16.7109375" style="24" customWidth="1"/>
    <col min="8200" max="8200" width="13.7109375" style="24" customWidth="1"/>
    <col min="8201" max="8201" width="10" style="24" customWidth="1"/>
    <col min="8202" max="8202" width="9" style="24" customWidth="1"/>
    <col min="8203" max="8203" width="9.140625" style="24" customWidth="1"/>
    <col min="8204" max="8448" width="9.140625" style="24"/>
    <col min="8449" max="8449" width="14" style="24" customWidth="1"/>
    <col min="8450" max="8450" width="12.140625" style="24" customWidth="1"/>
    <col min="8451" max="8452" width="12.5703125" style="24" customWidth="1"/>
    <col min="8453" max="8453" width="9.42578125" style="24" customWidth="1"/>
    <col min="8454" max="8454" width="17.140625" style="24" bestFit="1" customWidth="1"/>
    <col min="8455" max="8455" width="16.7109375" style="24" customWidth="1"/>
    <col min="8456" max="8456" width="13.7109375" style="24" customWidth="1"/>
    <col min="8457" max="8457" width="10" style="24" customWidth="1"/>
    <col min="8458" max="8458" width="9" style="24" customWidth="1"/>
    <col min="8459" max="8459" width="9.140625" style="24" customWidth="1"/>
    <col min="8460" max="8704" width="9.140625" style="24"/>
    <col min="8705" max="8705" width="14" style="24" customWidth="1"/>
    <col min="8706" max="8706" width="12.140625" style="24" customWidth="1"/>
    <col min="8707" max="8708" width="12.5703125" style="24" customWidth="1"/>
    <col min="8709" max="8709" width="9.42578125" style="24" customWidth="1"/>
    <col min="8710" max="8710" width="17.140625" style="24" bestFit="1" customWidth="1"/>
    <col min="8711" max="8711" width="16.7109375" style="24" customWidth="1"/>
    <col min="8712" max="8712" width="13.7109375" style="24" customWidth="1"/>
    <col min="8713" max="8713" width="10" style="24" customWidth="1"/>
    <col min="8714" max="8714" width="9" style="24" customWidth="1"/>
    <col min="8715" max="8715" width="9.140625" style="24" customWidth="1"/>
    <col min="8716" max="8960" width="9.140625" style="24"/>
    <col min="8961" max="8961" width="14" style="24" customWidth="1"/>
    <col min="8962" max="8962" width="12.140625" style="24" customWidth="1"/>
    <col min="8963" max="8964" width="12.5703125" style="24" customWidth="1"/>
    <col min="8965" max="8965" width="9.42578125" style="24" customWidth="1"/>
    <col min="8966" max="8966" width="17.140625" style="24" bestFit="1" customWidth="1"/>
    <col min="8967" max="8967" width="16.7109375" style="24" customWidth="1"/>
    <col min="8968" max="8968" width="13.7109375" style="24" customWidth="1"/>
    <col min="8969" max="8969" width="10" style="24" customWidth="1"/>
    <col min="8970" max="8970" width="9" style="24" customWidth="1"/>
    <col min="8971" max="8971" width="9.140625" style="24" customWidth="1"/>
    <col min="8972" max="9216" width="9.140625" style="24"/>
    <col min="9217" max="9217" width="14" style="24" customWidth="1"/>
    <col min="9218" max="9218" width="12.140625" style="24" customWidth="1"/>
    <col min="9219" max="9220" width="12.5703125" style="24" customWidth="1"/>
    <col min="9221" max="9221" width="9.42578125" style="24" customWidth="1"/>
    <col min="9222" max="9222" width="17.140625" style="24" bestFit="1" customWidth="1"/>
    <col min="9223" max="9223" width="16.7109375" style="24" customWidth="1"/>
    <col min="9224" max="9224" width="13.7109375" style="24" customWidth="1"/>
    <col min="9225" max="9225" width="10" style="24" customWidth="1"/>
    <col min="9226" max="9226" width="9" style="24" customWidth="1"/>
    <col min="9227" max="9227" width="9.140625" style="24" customWidth="1"/>
    <col min="9228" max="9472" width="9.140625" style="24"/>
    <col min="9473" max="9473" width="14" style="24" customWidth="1"/>
    <col min="9474" max="9474" width="12.140625" style="24" customWidth="1"/>
    <col min="9475" max="9476" width="12.5703125" style="24" customWidth="1"/>
    <col min="9477" max="9477" width="9.42578125" style="24" customWidth="1"/>
    <col min="9478" max="9478" width="17.140625" style="24" bestFit="1" customWidth="1"/>
    <col min="9479" max="9479" width="16.7109375" style="24" customWidth="1"/>
    <col min="9480" max="9480" width="13.7109375" style="24" customWidth="1"/>
    <col min="9481" max="9481" width="10" style="24" customWidth="1"/>
    <col min="9482" max="9482" width="9" style="24" customWidth="1"/>
    <col min="9483" max="9483" width="9.140625" style="24" customWidth="1"/>
    <col min="9484" max="9728" width="9.140625" style="24"/>
    <col min="9729" max="9729" width="14" style="24" customWidth="1"/>
    <col min="9730" max="9730" width="12.140625" style="24" customWidth="1"/>
    <col min="9731" max="9732" width="12.5703125" style="24" customWidth="1"/>
    <col min="9733" max="9733" width="9.42578125" style="24" customWidth="1"/>
    <col min="9734" max="9734" width="17.140625" style="24" bestFit="1" customWidth="1"/>
    <col min="9735" max="9735" width="16.7109375" style="24" customWidth="1"/>
    <col min="9736" max="9736" width="13.7109375" style="24" customWidth="1"/>
    <col min="9737" max="9737" width="10" style="24" customWidth="1"/>
    <col min="9738" max="9738" width="9" style="24" customWidth="1"/>
    <col min="9739" max="9739" width="9.140625" style="24" customWidth="1"/>
    <col min="9740" max="9984" width="9.140625" style="24"/>
    <col min="9985" max="9985" width="14" style="24" customWidth="1"/>
    <col min="9986" max="9986" width="12.140625" style="24" customWidth="1"/>
    <col min="9987" max="9988" width="12.5703125" style="24" customWidth="1"/>
    <col min="9989" max="9989" width="9.42578125" style="24" customWidth="1"/>
    <col min="9990" max="9990" width="17.140625" style="24" bestFit="1" customWidth="1"/>
    <col min="9991" max="9991" width="16.7109375" style="24" customWidth="1"/>
    <col min="9992" max="9992" width="13.7109375" style="24" customWidth="1"/>
    <col min="9993" max="9993" width="10" style="24" customWidth="1"/>
    <col min="9994" max="9994" width="9" style="24" customWidth="1"/>
    <col min="9995" max="9995" width="9.140625" style="24" customWidth="1"/>
    <col min="9996" max="10240" width="9.140625" style="24"/>
    <col min="10241" max="10241" width="14" style="24" customWidth="1"/>
    <col min="10242" max="10242" width="12.140625" style="24" customWidth="1"/>
    <col min="10243" max="10244" width="12.5703125" style="24" customWidth="1"/>
    <col min="10245" max="10245" width="9.42578125" style="24" customWidth="1"/>
    <col min="10246" max="10246" width="17.140625" style="24" bestFit="1" customWidth="1"/>
    <col min="10247" max="10247" width="16.7109375" style="24" customWidth="1"/>
    <col min="10248" max="10248" width="13.7109375" style="24" customWidth="1"/>
    <col min="10249" max="10249" width="10" style="24" customWidth="1"/>
    <col min="10250" max="10250" width="9" style="24" customWidth="1"/>
    <col min="10251" max="10251" width="9.140625" style="24" customWidth="1"/>
    <col min="10252" max="10496" width="9.140625" style="24"/>
    <col min="10497" max="10497" width="14" style="24" customWidth="1"/>
    <col min="10498" max="10498" width="12.140625" style="24" customWidth="1"/>
    <col min="10499" max="10500" width="12.5703125" style="24" customWidth="1"/>
    <col min="10501" max="10501" width="9.42578125" style="24" customWidth="1"/>
    <col min="10502" max="10502" width="17.140625" style="24" bestFit="1" customWidth="1"/>
    <col min="10503" max="10503" width="16.7109375" style="24" customWidth="1"/>
    <col min="10504" max="10504" width="13.7109375" style="24" customWidth="1"/>
    <col min="10505" max="10505" width="10" style="24" customWidth="1"/>
    <col min="10506" max="10506" width="9" style="24" customWidth="1"/>
    <col min="10507" max="10507" width="9.140625" style="24" customWidth="1"/>
    <col min="10508" max="10752" width="9.140625" style="24"/>
    <col min="10753" max="10753" width="14" style="24" customWidth="1"/>
    <col min="10754" max="10754" width="12.140625" style="24" customWidth="1"/>
    <col min="10755" max="10756" width="12.5703125" style="24" customWidth="1"/>
    <col min="10757" max="10757" width="9.42578125" style="24" customWidth="1"/>
    <col min="10758" max="10758" width="17.140625" style="24" bestFit="1" customWidth="1"/>
    <col min="10759" max="10759" width="16.7109375" style="24" customWidth="1"/>
    <col min="10760" max="10760" width="13.7109375" style="24" customWidth="1"/>
    <col min="10761" max="10761" width="10" style="24" customWidth="1"/>
    <col min="10762" max="10762" width="9" style="24" customWidth="1"/>
    <col min="10763" max="10763" width="9.140625" style="24" customWidth="1"/>
    <col min="10764" max="11008" width="9.140625" style="24"/>
    <col min="11009" max="11009" width="14" style="24" customWidth="1"/>
    <col min="11010" max="11010" width="12.140625" style="24" customWidth="1"/>
    <col min="11011" max="11012" width="12.5703125" style="24" customWidth="1"/>
    <col min="11013" max="11013" width="9.42578125" style="24" customWidth="1"/>
    <col min="11014" max="11014" width="17.140625" style="24" bestFit="1" customWidth="1"/>
    <col min="11015" max="11015" width="16.7109375" style="24" customWidth="1"/>
    <col min="11016" max="11016" width="13.7109375" style="24" customWidth="1"/>
    <col min="11017" max="11017" width="10" style="24" customWidth="1"/>
    <col min="11018" max="11018" width="9" style="24" customWidth="1"/>
    <col min="11019" max="11019" width="9.140625" style="24" customWidth="1"/>
    <col min="11020" max="11264" width="9.140625" style="24"/>
    <col min="11265" max="11265" width="14" style="24" customWidth="1"/>
    <col min="11266" max="11266" width="12.140625" style="24" customWidth="1"/>
    <col min="11267" max="11268" width="12.5703125" style="24" customWidth="1"/>
    <col min="11269" max="11269" width="9.42578125" style="24" customWidth="1"/>
    <col min="11270" max="11270" width="17.140625" style="24" bestFit="1" customWidth="1"/>
    <col min="11271" max="11271" width="16.7109375" style="24" customWidth="1"/>
    <col min="11272" max="11272" width="13.7109375" style="24" customWidth="1"/>
    <col min="11273" max="11273" width="10" style="24" customWidth="1"/>
    <col min="11274" max="11274" width="9" style="24" customWidth="1"/>
    <col min="11275" max="11275" width="9.140625" style="24" customWidth="1"/>
    <col min="11276" max="11520" width="9.140625" style="24"/>
    <col min="11521" max="11521" width="14" style="24" customWidth="1"/>
    <col min="11522" max="11522" width="12.140625" style="24" customWidth="1"/>
    <col min="11523" max="11524" width="12.5703125" style="24" customWidth="1"/>
    <col min="11525" max="11525" width="9.42578125" style="24" customWidth="1"/>
    <col min="11526" max="11526" width="17.140625" style="24" bestFit="1" customWidth="1"/>
    <col min="11527" max="11527" width="16.7109375" style="24" customWidth="1"/>
    <col min="11528" max="11528" width="13.7109375" style="24" customWidth="1"/>
    <col min="11529" max="11529" width="10" style="24" customWidth="1"/>
    <col min="11530" max="11530" width="9" style="24" customWidth="1"/>
    <col min="11531" max="11531" width="9.140625" style="24" customWidth="1"/>
    <col min="11532" max="11776" width="9.140625" style="24"/>
    <col min="11777" max="11777" width="14" style="24" customWidth="1"/>
    <col min="11778" max="11778" width="12.140625" style="24" customWidth="1"/>
    <col min="11779" max="11780" width="12.5703125" style="24" customWidth="1"/>
    <col min="11781" max="11781" width="9.42578125" style="24" customWidth="1"/>
    <col min="11782" max="11782" width="17.140625" style="24" bestFit="1" customWidth="1"/>
    <col min="11783" max="11783" width="16.7109375" style="24" customWidth="1"/>
    <col min="11784" max="11784" width="13.7109375" style="24" customWidth="1"/>
    <col min="11785" max="11785" width="10" style="24" customWidth="1"/>
    <col min="11786" max="11786" width="9" style="24" customWidth="1"/>
    <col min="11787" max="11787" width="9.140625" style="24" customWidth="1"/>
    <col min="11788" max="12032" width="9.140625" style="24"/>
    <col min="12033" max="12033" width="14" style="24" customWidth="1"/>
    <col min="12034" max="12034" width="12.140625" style="24" customWidth="1"/>
    <col min="12035" max="12036" width="12.5703125" style="24" customWidth="1"/>
    <col min="12037" max="12037" width="9.42578125" style="24" customWidth="1"/>
    <col min="12038" max="12038" width="17.140625" style="24" bestFit="1" customWidth="1"/>
    <col min="12039" max="12039" width="16.7109375" style="24" customWidth="1"/>
    <col min="12040" max="12040" width="13.7109375" style="24" customWidth="1"/>
    <col min="12041" max="12041" width="10" style="24" customWidth="1"/>
    <col min="12042" max="12042" width="9" style="24" customWidth="1"/>
    <col min="12043" max="12043" width="9.140625" style="24" customWidth="1"/>
    <col min="12044" max="12288" width="9.140625" style="24"/>
    <col min="12289" max="12289" width="14" style="24" customWidth="1"/>
    <col min="12290" max="12290" width="12.140625" style="24" customWidth="1"/>
    <col min="12291" max="12292" width="12.5703125" style="24" customWidth="1"/>
    <col min="12293" max="12293" width="9.42578125" style="24" customWidth="1"/>
    <col min="12294" max="12294" width="17.140625" style="24" bestFit="1" customWidth="1"/>
    <col min="12295" max="12295" width="16.7109375" style="24" customWidth="1"/>
    <col min="12296" max="12296" width="13.7109375" style="24" customWidth="1"/>
    <col min="12297" max="12297" width="10" style="24" customWidth="1"/>
    <col min="12298" max="12298" width="9" style="24" customWidth="1"/>
    <col min="12299" max="12299" width="9.140625" style="24" customWidth="1"/>
    <col min="12300" max="12544" width="9.140625" style="24"/>
    <col min="12545" max="12545" width="14" style="24" customWidth="1"/>
    <col min="12546" max="12546" width="12.140625" style="24" customWidth="1"/>
    <col min="12547" max="12548" width="12.5703125" style="24" customWidth="1"/>
    <col min="12549" max="12549" width="9.42578125" style="24" customWidth="1"/>
    <col min="12550" max="12550" width="17.140625" style="24" bestFit="1" customWidth="1"/>
    <col min="12551" max="12551" width="16.7109375" style="24" customWidth="1"/>
    <col min="12552" max="12552" width="13.7109375" style="24" customWidth="1"/>
    <col min="12553" max="12553" width="10" style="24" customWidth="1"/>
    <col min="12554" max="12554" width="9" style="24" customWidth="1"/>
    <col min="12555" max="12555" width="9.140625" style="24" customWidth="1"/>
    <col min="12556" max="12800" width="9.140625" style="24"/>
    <col min="12801" max="12801" width="14" style="24" customWidth="1"/>
    <col min="12802" max="12802" width="12.140625" style="24" customWidth="1"/>
    <col min="12803" max="12804" width="12.5703125" style="24" customWidth="1"/>
    <col min="12805" max="12805" width="9.42578125" style="24" customWidth="1"/>
    <col min="12806" max="12806" width="17.140625" style="24" bestFit="1" customWidth="1"/>
    <col min="12807" max="12807" width="16.7109375" style="24" customWidth="1"/>
    <col min="12808" max="12808" width="13.7109375" style="24" customWidth="1"/>
    <col min="12809" max="12809" width="10" style="24" customWidth="1"/>
    <col min="12810" max="12810" width="9" style="24" customWidth="1"/>
    <col min="12811" max="12811" width="9.140625" style="24" customWidth="1"/>
    <col min="12812" max="13056" width="9.140625" style="24"/>
    <col min="13057" max="13057" width="14" style="24" customWidth="1"/>
    <col min="13058" max="13058" width="12.140625" style="24" customWidth="1"/>
    <col min="13059" max="13060" width="12.5703125" style="24" customWidth="1"/>
    <col min="13061" max="13061" width="9.42578125" style="24" customWidth="1"/>
    <col min="13062" max="13062" width="17.140625" style="24" bestFit="1" customWidth="1"/>
    <col min="13063" max="13063" width="16.7109375" style="24" customWidth="1"/>
    <col min="13064" max="13064" width="13.7109375" style="24" customWidth="1"/>
    <col min="13065" max="13065" width="10" style="24" customWidth="1"/>
    <col min="13066" max="13066" width="9" style="24" customWidth="1"/>
    <col min="13067" max="13067" width="9.140625" style="24" customWidth="1"/>
    <col min="13068" max="13312" width="9.140625" style="24"/>
    <col min="13313" max="13313" width="14" style="24" customWidth="1"/>
    <col min="13314" max="13314" width="12.140625" style="24" customWidth="1"/>
    <col min="13315" max="13316" width="12.5703125" style="24" customWidth="1"/>
    <col min="13317" max="13317" width="9.42578125" style="24" customWidth="1"/>
    <col min="13318" max="13318" width="17.140625" style="24" bestFit="1" customWidth="1"/>
    <col min="13319" max="13319" width="16.7109375" style="24" customWidth="1"/>
    <col min="13320" max="13320" width="13.7109375" style="24" customWidth="1"/>
    <col min="13321" max="13321" width="10" style="24" customWidth="1"/>
    <col min="13322" max="13322" width="9" style="24" customWidth="1"/>
    <col min="13323" max="13323" width="9.140625" style="24" customWidth="1"/>
    <col min="13324" max="13568" width="9.140625" style="24"/>
    <col min="13569" max="13569" width="14" style="24" customWidth="1"/>
    <col min="13570" max="13570" width="12.140625" style="24" customWidth="1"/>
    <col min="13571" max="13572" width="12.5703125" style="24" customWidth="1"/>
    <col min="13573" max="13573" width="9.42578125" style="24" customWidth="1"/>
    <col min="13574" max="13574" width="17.140625" style="24" bestFit="1" customWidth="1"/>
    <col min="13575" max="13575" width="16.7109375" style="24" customWidth="1"/>
    <col min="13576" max="13576" width="13.7109375" style="24" customWidth="1"/>
    <col min="13577" max="13577" width="10" style="24" customWidth="1"/>
    <col min="13578" max="13578" width="9" style="24" customWidth="1"/>
    <col min="13579" max="13579" width="9.140625" style="24" customWidth="1"/>
    <col min="13580" max="13824" width="9.140625" style="24"/>
    <col min="13825" max="13825" width="14" style="24" customWidth="1"/>
    <col min="13826" max="13826" width="12.140625" style="24" customWidth="1"/>
    <col min="13827" max="13828" width="12.5703125" style="24" customWidth="1"/>
    <col min="13829" max="13829" width="9.42578125" style="24" customWidth="1"/>
    <col min="13830" max="13830" width="17.140625" style="24" bestFit="1" customWidth="1"/>
    <col min="13831" max="13831" width="16.7109375" style="24" customWidth="1"/>
    <col min="13832" max="13832" width="13.7109375" style="24" customWidth="1"/>
    <col min="13833" max="13833" width="10" style="24" customWidth="1"/>
    <col min="13834" max="13834" width="9" style="24" customWidth="1"/>
    <col min="13835" max="13835" width="9.140625" style="24" customWidth="1"/>
    <col min="13836" max="14080" width="9.140625" style="24"/>
    <col min="14081" max="14081" width="14" style="24" customWidth="1"/>
    <col min="14082" max="14082" width="12.140625" style="24" customWidth="1"/>
    <col min="14083" max="14084" width="12.5703125" style="24" customWidth="1"/>
    <col min="14085" max="14085" width="9.42578125" style="24" customWidth="1"/>
    <col min="14086" max="14086" width="17.140625" style="24" bestFit="1" customWidth="1"/>
    <col min="14087" max="14087" width="16.7109375" style="24" customWidth="1"/>
    <col min="14088" max="14088" width="13.7109375" style="24" customWidth="1"/>
    <col min="14089" max="14089" width="10" style="24" customWidth="1"/>
    <col min="14090" max="14090" width="9" style="24" customWidth="1"/>
    <col min="14091" max="14091" width="9.140625" style="24" customWidth="1"/>
    <col min="14092" max="14336" width="9.140625" style="24"/>
    <col min="14337" max="14337" width="14" style="24" customWidth="1"/>
    <col min="14338" max="14338" width="12.140625" style="24" customWidth="1"/>
    <col min="14339" max="14340" width="12.5703125" style="24" customWidth="1"/>
    <col min="14341" max="14341" width="9.42578125" style="24" customWidth="1"/>
    <col min="14342" max="14342" width="17.140625" style="24" bestFit="1" customWidth="1"/>
    <col min="14343" max="14343" width="16.7109375" style="24" customWidth="1"/>
    <col min="14344" max="14344" width="13.7109375" style="24" customWidth="1"/>
    <col min="14345" max="14345" width="10" style="24" customWidth="1"/>
    <col min="14346" max="14346" width="9" style="24" customWidth="1"/>
    <col min="14347" max="14347" width="9.140625" style="24" customWidth="1"/>
    <col min="14348" max="14592" width="9.140625" style="24"/>
    <col min="14593" max="14593" width="14" style="24" customWidth="1"/>
    <col min="14594" max="14594" width="12.140625" style="24" customWidth="1"/>
    <col min="14595" max="14596" width="12.5703125" style="24" customWidth="1"/>
    <col min="14597" max="14597" width="9.42578125" style="24" customWidth="1"/>
    <col min="14598" max="14598" width="17.140625" style="24" bestFit="1" customWidth="1"/>
    <col min="14599" max="14599" width="16.7109375" style="24" customWidth="1"/>
    <col min="14600" max="14600" width="13.7109375" style="24" customWidth="1"/>
    <col min="14601" max="14601" width="10" style="24" customWidth="1"/>
    <col min="14602" max="14602" width="9" style="24" customWidth="1"/>
    <col min="14603" max="14603" width="9.140625" style="24" customWidth="1"/>
    <col min="14604" max="14848" width="9.140625" style="24"/>
    <col min="14849" max="14849" width="14" style="24" customWidth="1"/>
    <col min="14850" max="14850" width="12.140625" style="24" customWidth="1"/>
    <col min="14851" max="14852" width="12.5703125" style="24" customWidth="1"/>
    <col min="14853" max="14853" width="9.42578125" style="24" customWidth="1"/>
    <col min="14854" max="14854" width="17.140625" style="24" bestFit="1" customWidth="1"/>
    <col min="14855" max="14855" width="16.7109375" style="24" customWidth="1"/>
    <col min="14856" max="14856" width="13.7109375" style="24" customWidth="1"/>
    <col min="14857" max="14857" width="10" style="24" customWidth="1"/>
    <col min="14858" max="14858" width="9" style="24" customWidth="1"/>
    <col min="14859" max="14859" width="9.140625" style="24" customWidth="1"/>
    <col min="14860" max="15104" width="9.140625" style="24"/>
    <col min="15105" max="15105" width="14" style="24" customWidth="1"/>
    <col min="15106" max="15106" width="12.140625" style="24" customWidth="1"/>
    <col min="15107" max="15108" width="12.5703125" style="24" customWidth="1"/>
    <col min="15109" max="15109" width="9.42578125" style="24" customWidth="1"/>
    <col min="15110" max="15110" width="17.140625" style="24" bestFit="1" customWidth="1"/>
    <col min="15111" max="15111" width="16.7109375" style="24" customWidth="1"/>
    <col min="15112" max="15112" width="13.7109375" style="24" customWidth="1"/>
    <col min="15113" max="15113" width="10" style="24" customWidth="1"/>
    <col min="15114" max="15114" width="9" style="24" customWidth="1"/>
    <col min="15115" max="15115" width="9.140625" style="24" customWidth="1"/>
    <col min="15116" max="15360" width="9.140625" style="24"/>
    <col min="15361" max="15361" width="14" style="24" customWidth="1"/>
    <col min="15362" max="15362" width="12.140625" style="24" customWidth="1"/>
    <col min="15363" max="15364" width="12.5703125" style="24" customWidth="1"/>
    <col min="15365" max="15365" width="9.42578125" style="24" customWidth="1"/>
    <col min="15366" max="15366" width="17.140625" style="24" bestFit="1" customWidth="1"/>
    <col min="15367" max="15367" width="16.7109375" style="24" customWidth="1"/>
    <col min="15368" max="15368" width="13.7109375" style="24" customWidth="1"/>
    <col min="15369" max="15369" width="10" style="24" customWidth="1"/>
    <col min="15370" max="15370" width="9" style="24" customWidth="1"/>
    <col min="15371" max="15371" width="9.140625" style="24" customWidth="1"/>
    <col min="15372" max="15616" width="9.140625" style="24"/>
    <col min="15617" max="15617" width="14" style="24" customWidth="1"/>
    <col min="15618" max="15618" width="12.140625" style="24" customWidth="1"/>
    <col min="15619" max="15620" width="12.5703125" style="24" customWidth="1"/>
    <col min="15621" max="15621" width="9.42578125" style="24" customWidth="1"/>
    <col min="15622" max="15622" width="17.140625" style="24" bestFit="1" customWidth="1"/>
    <col min="15623" max="15623" width="16.7109375" style="24" customWidth="1"/>
    <col min="15624" max="15624" width="13.7109375" style="24" customWidth="1"/>
    <col min="15625" max="15625" width="10" style="24" customWidth="1"/>
    <col min="15626" max="15626" width="9" style="24" customWidth="1"/>
    <col min="15627" max="15627" width="9.140625" style="24" customWidth="1"/>
    <col min="15628" max="15872" width="9.140625" style="24"/>
    <col min="15873" max="15873" width="14" style="24" customWidth="1"/>
    <col min="15874" max="15874" width="12.140625" style="24" customWidth="1"/>
    <col min="15875" max="15876" width="12.5703125" style="24" customWidth="1"/>
    <col min="15877" max="15877" width="9.42578125" style="24" customWidth="1"/>
    <col min="15878" max="15878" width="17.140625" style="24" bestFit="1" customWidth="1"/>
    <col min="15879" max="15879" width="16.7109375" style="24" customWidth="1"/>
    <col min="15880" max="15880" width="13.7109375" style="24" customWidth="1"/>
    <col min="15881" max="15881" width="10" style="24" customWidth="1"/>
    <col min="15882" max="15882" width="9" style="24" customWidth="1"/>
    <col min="15883" max="15883" width="9.140625" style="24" customWidth="1"/>
    <col min="15884" max="16128" width="9.140625" style="24"/>
    <col min="16129" max="16129" width="14" style="24" customWidth="1"/>
    <col min="16130" max="16130" width="12.140625" style="24" customWidth="1"/>
    <col min="16131" max="16132" width="12.5703125" style="24" customWidth="1"/>
    <col min="16133" max="16133" width="9.42578125" style="24" customWidth="1"/>
    <col min="16134" max="16134" width="17.140625" style="24" bestFit="1" customWidth="1"/>
    <col min="16135" max="16135" width="16.7109375" style="24" customWidth="1"/>
    <col min="16136" max="16136" width="13.7109375" style="24" customWidth="1"/>
    <col min="16137" max="16137" width="10" style="24" customWidth="1"/>
    <col min="16138" max="16138" width="9" style="24" customWidth="1"/>
    <col min="16139" max="16139" width="9.140625" style="24" customWidth="1"/>
    <col min="16140" max="16384" width="9.140625" style="24"/>
  </cols>
  <sheetData>
    <row r="1" spans="1:12" ht="20.25" x14ac:dyDescent="0.3">
      <c r="A1" s="31" t="s">
        <v>44</v>
      </c>
      <c r="D1" s="93" t="s">
        <v>13</v>
      </c>
      <c r="E1" s="93"/>
      <c r="F1" s="93"/>
    </row>
    <row r="2" spans="1:12" ht="18" x14ac:dyDescent="0.25">
      <c r="A2" s="34"/>
      <c r="B2" s="35" t="s">
        <v>45</v>
      </c>
      <c r="C2" s="35" t="s">
        <v>46</v>
      </c>
      <c r="D2" s="35" t="s">
        <v>46</v>
      </c>
      <c r="E2" s="36" t="s">
        <v>41</v>
      </c>
      <c r="F2" s="37" t="s">
        <v>47</v>
      </c>
      <c r="G2" s="35" t="s">
        <v>47</v>
      </c>
      <c r="H2" s="35" t="s">
        <v>38</v>
      </c>
      <c r="I2" s="15" t="s">
        <v>20</v>
      </c>
      <c r="J2" s="38" t="s">
        <v>48</v>
      </c>
      <c r="K2" s="38"/>
      <c r="L2" s="39"/>
    </row>
    <row r="3" spans="1:12" ht="15" x14ac:dyDescent="0.25">
      <c r="A3" s="40"/>
      <c r="B3" s="35" t="s">
        <v>49</v>
      </c>
      <c r="C3" s="35" t="s">
        <v>50</v>
      </c>
      <c r="D3" s="35" t="s">
        <v>51</v>
      </c>
      <c r="E3" s="36" t="s">
        <v>52</v>
      </c>
      <c r="F3" s="37" t="s">
        <v>50</v>
      </c>
      <c r="G3" s="35" t="s">
        <v>51</v>
      </c>
      <c r="H3" s="35" t="s">
        <v>53</v>
      </c>
      <c r="I3" s="15" t="s">
        <v>25</v>
      </c>
      <c r="J3" s="38"/>
      <c r="K3" s="78"/>
      <c r="L3" s="39"/>
    </row>
    <row r="4" spans="1:12" x14ac:dyDescent="0.2">
      <c r="A4" s="5">
        <v>44440</v>
      </c>
      <c r="B4" s="79" t="s">
        <v>54</v>
      </c>
      <c r="C4" s="79"/>
      <c r="D4" s="79"/>
      <c r="E4" s="43"/>
      <c r="F4" s="80"/>
      <c r="G4" s="81"/>
      <c r="H4" s="46">
        <f t="shared" ref="H4:H34" si="0">G4-F4</f>
        <v>0</v>
      </c>
      <c r="I4" s="16">
        <f>(H4*[1]Summary!$C$6)</f>
        <v>0</v>
      </c>
      <c r="J4" s="47"/>
      <c r="K4" s="82">
        <v>1500</v>
      </c>
      <c r="L4" s="33"/>
    </row>
    <row r="5" spans="1:12" x14ac:dyDescent="0.2">
      <c r="A5" s="5">
        <v>44441</v>
      </c>
      <c r="B5" s="79" t="s">
        <v>54</v>
      </c>
      <c r="C5" s="83"/>
      <c r="D5" s="83"/>
      <c r="E5" s="43"/>
      <c r="F5" s="80"/>
      <c r="G5" s="81"/>
      <c r="H5" s="46">
        <f t="shared" si="0"/>
        <v>0</v>
      </c>
      <c r="I5" s="16">
        <f>(H5*[1]Summary!$C$6)</f>
        <v>0</v>
      </c>
      <c r="J5" s="47"/>
      <c r="K5" s="84"/>
      <c r="L5" s="33"/>
    </row>
    <row r="6" spans="1:12" x14ac:dyDescent="0.2">
      <c r="A6" s="5">
        <v>44442</v>
      </c>
      <c r="B6" s="79" t="s">
        <v>54</v>
      </c>
      <c r="C6" s="83"/>
      <c r="D6" s="83"/>
      <c r="E6" s="16"/>
      <c r="F6" s="85"/>
      <c r="G6" s="86"/>
      <c r="H6" s="46">
        <f t="shared" si="0"/>
        <v>0</v>
      </c>
      <c r="I6" s="16">
        <f>(H6*[1]Summary!$C$6)</f>
        <v>0</v>
      </c>
      <c r="J6" s="47"/>
      <c r="K6" s="84"/>
      <c r="L6" s="33"/>
    </row>
    <row r="7" spans="1:12" x14ac:dyDescent="0.2">
      <c r="A7" s="5">
        <v>44443</v>
      </c>
      <c r="B7" s="79" t="s">
        <v>54</v>
      </c>
      <c r="C7" s="83"/>
      <c r="D7" s="83"/>
      <c r="E7" s="16"/>
      <c r="F7" s="80"/>
      <c r="G7" s="81"/>
      <c r="H7" s="46">
        <f t="shared" si="0"/>
        <v>0</v>
      </c>
      <c r="I7" s="16">
        <f>(H7*[1]Summary!$C$6)</f>
        <v>0</v>
      </c>
      <c r="J7" s="47"/>
      <c r="K7" s="84"/>
      <c r="L7" s="33"/>
    </row>
    <row r="8" spans="1:12" x14ac:dyDescent="0.2">
      <c r="A8" s="5">
        <v>44444</v>
      </c>
      <c r="B8" s="79" t="s">
        <v>54</v>
      </c>
      <c r="C8" s="79"/>
      <c r="D8" s="79"/>
      <c r="E8" s="43"/>
      <c r="F8" s="80"/>
      <c r="G8" s="81"/>
      <c r="H8" s="46">
        <f t="shared" si="0"/>
        <v>0</v>
      </c>
      <c r="I8" s="43">
        <f>(H8*[1]Summary!$C$6)</f>
        <v>0</v>
      </c>
      <c r="J8" s="47"/>
      <c r="K8" s="84"/>
      <c r="L8" s="33"/>
    </row>
    <row r="9" spans="1:12" x14ac:dyDescent="0.2">
      <c r="A9" s="5">
        <v>44445</v>
      </c>
      <c r="B9" s="79" t="s">
        <v>54</v>
      </c>
      <c r="C9" s="79"/>
      <c r="D9" s="79"/>
      <c r="E9" s="43"/>
      <c r="F9" s="80"/>
      <c r="G9" s="87"/>
      <c r="H9" s="46">
        <f t="shared" si="0"/>
        <v>0</v>
      </c>
      <c r="I9" s="49">
        <f>(H9*[1]Summary!$C$6)</f>
        <v>0</v>
      </c>
      <c r="J9" s="50"/>
      <c r="K9" s="84"/>
      <c r="L9" s="33"/>
    </row>
    <row r="10" spans="1:12" x14ac:dyDescent="0.2">
      <c r="A10" s="5">
        <v>44446</v>
      </c>
      <c r="B10" s="79" t="s">
        <v>54</v>
      </c>
      <c r="C10" s="79"/>
      <c r="D10" s="79"/>
      <c r="E10" s="51"/>
      <c r="F10" s="80"/>
      <c r="G10" s="87"/>
      <c r="H10" s="46">
        <f t="shared" si="0"/>
        <v>0</v>
      </c>
      <c r="I10" s="49">
        <f>(H10*[1]Summary!$C$6)</f>
        <v>0</v>
      </c>
      <c r="J10" s="50"/>
      <c r="K10" s="84"/>
      <c r="L10" s="33"/>
    </row>
    <row r="11" spans="1:12" x14ac:dyDescent="0.2">
      <c r="A11" s="5">
        <v>44447</v>
      </c>
      <c r="B11" s="79" t="s">
        <v>54</v>
      </c>
      <c r="C11" s="83"/>
      <c r="D11" s="83"/>
      <c r="E11" s="52"/>
      <c r="F11" s="80"/>
      <c r="G11" s="87"/>
      <c r="H11" s="46">
        <f t="shared" si="0"/>
        <v>0</v>
      </c>
      <c r="I11" s="49">
        <f>(H11*[1]Summary!$C$6)</f>
        <v>0</v>
      </c>
      <c r="J11" s="50"/>
      <c r="K11" s="84"/>
      <c r="L11" s="33"/>
    </row>
    <row r="12" spans="1:12" x14ac:dyDescent="0.2">
      <c r="A12" s="5">
        <v>44448</v>
      </c>
      <c r="B12" s="79">
        <v>1</v>
      </c>
      <c r="C12" s="79">
        <v>9.4499999999999993</v>
      </c>
      <c r="D12" s="79">
        <v>12</v>
      </c>
      <c r="E12" s="51"/>
      <c r="F12" s="80">
        <v>1650514.8</v>
      </c>
      <c r="G12" s="87">
        <v>1650629</v>
      </c>
      <c r="H12" s="46">
        <f t="shared" si="0"/>
        <v>114.19999999995343</v>
      </c>
      <c r="I12" s="49">
        <f>(H12*[1]Summary!$C$6)</f>
        <v>324.32799999986776</v>
      </c>
      <c r="J12" s="50"/>
      <c r="K12" s="84"/>
      <c r="L12" s="33"/>
    </row>
    <row r="13" spans="1:12" x14ac:dyDescent="0.2">
      <c r="A13" s="5">
        <v>44449</v>
      </c>
      <c r="B13" s="79">
        <v>1</v>
      </c>
      <c r="C13" s="79">
        <v>10</v>
      </c>
      <c r="D13" s="79">
        <v>12</v>
      </c>
      <c r="E13" s="51"/>
      <c r="F13" s="80">
        <v>1650629</v>
      </c>
      <c r="G13" s="87">
        <v>1650726.9</v>
      </c>
      <c r="H13" s="46">
        <f t="shared" si="0"/>
        <v>97.899999999906868</v>
      </c>
      <c r="I13" s="49">
        <f>(H13*[1]Summary!$C$6)</f>
        <v>278.03599999973551</v>
      </c>
      <c r="J13" s="50"/>
      <c r="K13" s="84"/>
      <c r="L13" s="33"/>
    </row>
    <row r="14" spans="1:12" x14ac:dyDescent="0.2">
      <c r="A14" s="5">
        <v>44450</v>
      </c>
      <c r="B14" s="79">
        <v>1</v>
      </c>
      <c r="C14" s="79">
        <v>8.3000000000000007</v>
      </c>
      <c r="D14" s="79">
        <v>12</v>
      </c>
      <c r="E14" s="51"/>
      <c r="F14" s="80">
        <v>1650726.9</v>
      </c>
      <c r="G14" s="87">
        <v>1650895.5</v>
      </c>
      <c r="H14" s="46">
        <f t="shared" si="0"/>
        <v>168.60000000009313</v>
      </c>
      <c r="I14" s="49">
        <f>(H14*[1]Summary!$C$6)</f>
        <v>478.82400000026445</v>
      </c>
      <c r="J14" s="50"/>
      <c r="K14" s="84"/>
      <c r="L14" s="33"/>
    </row>
    <row r="15" spans="1:12" x14ac:dyDescent="0.2">
      <c r="A15" s="5">
        <v>44451</v>
      </c>
      <c r="B15" s="79">
        <v>1</v>
      </c>
      <c r="C15" s="79">
        <v>8.3000000000000007</v>
      </c>
      <c r="D15" s="79">
        <v>12</v>
      </c>
      <c r="E15" s="51"/>
      <c r="F15" s="80">
        <v>1650895.5</v>
      </c>
      <c r="G15" s="87">
        <v>1651041.7</v>
      </c>
      <c r="H15" s="46">
        <f t="shared" si="0"/>
        <v>146.19999999995343</v>
      </c>
      <c r="I15" s="49">
        <f>(H15*[1]Summary!$C$6)</f>
        <v>415.20799999986775</v>
      </c>
      <c r="J15" s="50"/>
      <c r="K15" s="84"/>
      <c r="L15" s="33"/>
    </row>
    <row r="16" spans="1:12" x14ac:dyDescent="0.2">
      <c r="A16" s="5">
        <v>44452</v>
      </c>
      <c r="B16" s="79">
        <v>1</v>
      </c>
      <c r="C16" s="79">
        <v>8.3000000000000007</v>
      </c>
      <c r="D16" s="79">
        <v>17.3</v>
      </c>
      <c r="E16" s="51"/>
      <c r="F16" s="80">
        <v>1651041.7</v>
      </c>
      <c r="G16" s="87">
        <v>1651449.2</v>
      </c>
      <c r="H16" s="46">
        <f>G16-F16</f>
        <v>407.5</v>
      </c>
      <c r="I16" s="49">
        <f>(H16*[1]Summary!$C$6)</f>
        <v>1157.3</v>
      </c>
      <c r="J16" s="50"/>
      <c r="K16" s="84"/>
      <c r="L16" s="33"/>
    </row>
    <row r="17" spans="1:12" x14ac:dyDescent="0.2">
      <c r="A17" s="5">
        <v>44453</v>
      </c>
      <c r="B17" s="88">
        <v>1</v>
      </c>
      <c r="C17" s="88">
        <v>8.3000000000000007</v>
      </c>
      <c r="D17" s="88">
        <v>17.2</v>
      </c>
      <c r="E17" s="49"/>
      <c r="F17" s="80">
        <v>1651449.2</v>
      </c>
      <c r="G17" s="87">
        <v>1651779.3</v>
      </c>
      <c r="H17" s="46">
        <f t="shared" ref="H17:H18" si="1">G17-F17</f>
        <v>330.10000000009313</v>
      </c>
      <c r="I17" s="49">
        <f>(H17*[1]Summary!$C$6)</f>
        <v>937.48400000026447</v>
      </c>
      <c r="J17" s="50"/>
      <c r="K17" s="84"/>
      <c r="L17" s="33"/>
    </row>
    <row r="18" spans="1:12" x14ac:dyDescent="0.2">
      <c r="A18" s="5">
        <v>44454</v>
      </c>
      <c r="B18" s="88">
        <v>1</v>
      </c>
      <c r="C18" s="88">
        <v>8.3000000000000007</v>
      </c>
      <c r="D18" s="88">
        <v>17.3</v>
      </c>
      <c r="E18" s="49"/>
      <c r="F18" s="80">
        <v>1651779.3</v>
      </c>
      <c r="G18" s="87">
        <v>1652079.5</v>
      </c>
      <c r="H18" s="46">
        <f t="shared" si="1"/>
        <v>300.19999999995343</v>
      </c>
      <c r="I18" s="49">
        <f>(H18*[1]Summary!$C$6)</f>
        <v>852.56799999986777</v>
      </c>
      <c r="J18" s="50"/>
      <c r="K18" s="84">
        <v>4600</v>
      </c>
      <c r="L18" s="33"/>
    </row>
    <row r="19" spans="1:12" x14ac:dyDescent="0.2">
      <c r="A19" s="5">
        <v>44455</v>
      </c>
      <c r="B19" s="88">
        <v>1</v>
      </c>
      <c r="C19" s="88">
        <v>8.3000000000000007</v>
      </c>
      <c r="D19" s="88">
        <v>10.3</v>
      </c>
      <c r="E19" s="49"/>
      <c r="F19" s="80">
        <v>1652079.5</v>
      </c>
      <c r="G19" s="87">
        <v>1652184.6</v>
      </c>
      <c r="H19" s="46">
        <f t="shared" si="0"/>
        <v>105.10000000009313</v>
      </c>
      <c r="I19" s="49">
        <f>(H19*[1]Summary!$C$6)</f>
        <v>298.48400000026447</v>
      </c>
      <c r="J19" s="50"/>
      <c r="K19" s="84"/>
      <c r="L19" s="33"/>
    </row>
    <row r="20" spans="1:12" x14ac:dyDescent="0.2">
      <c r="A20" s="5">
        <v>44456</v>
      </c>
      <c r="B20" s="53" t="s">
        <v>55</v>
      </c>
      <c r="C20" s="53"/>
      <c r="D20" s="53"/>
      <c r="E20" s="49"/>
      <c r="F20" s="44"/>
      <c r="G20" s="48"/>
      <c r="H20" s="46">
        <f t="shared" si="0"/>
        <v>0</v>
      </c>
      <c r="I20" s="49">
        <f>(H20*[1]Summary!$C$6)</f>
        <v>0</v>
      </c>
      <c r="J20" s="50"/>
      <c r="K20" s="84"/>
      <c r="L20" s="33"/>
    </row>
    <row r="21" spans="1:12" x14ac:dyDescent="0.2">
      <c r="A21" s="5">
        <v>44457</v>
      </c>
      <c r="B21" s="53">
        <v>2</v>
      </c>
      <c r="C21" s="53">
        <v>8.3000000000000007</v>
      </c>
      <c r="D21" s="53">
        <v>18</v>
      </c>
      <c r="E21" s="49"/>
      <c r="F21" s="46">
        <v>1573918.9</v>
      </c>
      <c r="G21" s="48">
        <v>1574305</v>
      </c>
      <c r="H21" s="46">
        <f>G21-F21</f>
        <v>386.10000000009313</v>
      </c>
      <c r="I21" s="49">
        <f>(H21*[1]Summary!$C$6)</f>
        <v>1096.5240000002646</v>
      </c>
      <c r="J21" s="54"/>
      <c r="K21" s="84"/>
      <c r="L21" s="33"/>
    </row>
    <row r="22" spans="1:12" x14ac:dyDescent="0.2">
      <c r="A22" s="5">
        <v>44458</v>
      </c>
      <c r="B22" s="53">
        <v>2</v>
      </c>
      <c r="C22" s="53">
        <v>8.3000000000000007</v>
      </c>
      <c r="D22" s="53">
        <v>15</v>
      </c>
      <c r="E22" s="49"/>
      <c r="F22" s="46">
        <v>1574305</v>
      </c>
      <c r="G22" s="48">
        <v>1574626</v>
      </c>
      <c r="H22" s="46">
        <f t="shared" si="0"/>
        <v>321</v>
      </c>
      <c r="I22" s="49">
        <f>(H22*[1]Summary!$C$6)</f>
        <v>911.64</v>
      </c>
      <c r="J22" s="50"/>
      <c r="K22" s="89"/>
      <c r="L22" s="54"/>
    </row>
    <row r="23" spans="1:12" x14ac:dyDescent="0.2">
      <c r="A23" s="5">
        <v>44459</v>
      </c>
      <c r="B23" s="53">
        <v>2</v>
      </c>
      <c r="C23" s="53">
        <v>8.3000000000000007</v>
      </c>
      <c r="D23" s="53">
        <v>18</v>
      </c>
      <c r="E23" s="49"/>
      <c r="F23" s="46">
        <v>1574629</v>
      </c>
      <c r="G23" s="48">
        <v>1575023.2</v>
      </c>
      <c r="H23" s="46">
        <f t="shared" si="0"/>
        <v>394.19999999995343</v>
      </c>
      <c r="I23" s="49">
        <f>(H23*[1]Summary!$C$6)</f>
        <v>1119.5279999998677</v>
      </c>
      <c r="J23" s="50"/>
      <c r="K23" s="84"/>
      <c r="L23" s="33"/>
    </row>
    <row r="24" spans="1:12" x14ac:dyDescent="0.2">
      <c r="A24" s="5">
        <v>44460</v>
      </c>
      <c r="B24" s="53" t="s">
        <v>56</v>
      </c>
      <c r="C24" s="53"/>
      <c r="D24" s="53"/>
      <c r="E24" s="49"/>
      <c r="F24" s="46"/>
      <c r="G24" s="48"/>
      <c r="H24" s="46">
        <f t="shared" si="0"/>
        <v>0</v>
      </c>
      <c r="I24" s="49">
        <f>(H24*[1]Summary!$C$6)</f>
        <v>0</v>
      </c>
      <c r="J24" s="50"/>
      <c r="K24" s="84"/>
      <c r="L24" s="33"/>
    </row>
    <row r="25" spans="1:12" x14ac:dyDescent="0.2">
      <c r="A25" s="5">
        <v>44461</v>
      </c>
      <c r="B25" s="53">
        <v>2</v>
      </c>
      <c r="C25" s="53">
        <v>8.4499999999999993</v>
      </c>
      <c r="D25" s="53">
        <v>17.3</v>
      </c>
      <c r="E25" s="49"/>
      <c r="F25" s="44">
        <v>1575023.2</v>
      </c>
      <c r="G25" s="48">
        <v>1575298.6</v>
      </c>
      <c r="H25" s="46">
        <f t="shared" si="0"/>
        <v>275.4000000001397</v>
      </c>
      <c r="I25" s="49">
        <f>(H25*[1]Summary!$C$6)</f>
        <v>782.13600000039673</v>
      </c>
      <c r="J25" s="50"/>
      <c r="K25" s="84"/>
      <c r="L25" s="33"/>
    </row>
    <row r="26" spans="1:12" x14ac:dyDescent="0.2">
      <c r="A26" s="5">
        <v>44462</v>
      </c>
      <c r="B26" s="53">
        <v>2</v>
      </c>
      <c r="C26" s="53">
        <v>9</v>
      </c>
      <c r="D26" s="53">
        <v>17.3</v>
      </c>
      <c r="E26" s="49"/>
      <c r="F26" s="44">
        <v>1575298.6</v>
      </c>
      <c r="G26" s="48">
        <v>1575596.9</v>
      </c>
      <c r="H26" s="46">
        <f t="shared" si="0"/>
        <v>298.29999999981374</v>
      </c>
      <c r="I26" s="49">
        <f>(H26*[1]Summary!$C$6)</f>
        <v>847.17199999947093</v>
      </c>
      <c r="J26" s="50"/>
      <c r="K26" s="84"/>
      <c r="L26" s="33"/>
    </row>
    <row r="27" spans="1:12" x14ac:dyDescent="0.2">
      <c r="A27" s="5">
        <v>44463</v>
      </c>
      <c r="B27" s="53" t="s">
        <v>56</v>
      </c>
      <c r="C27" s="53"/>
      <c r="D27" s="53"/>
      <c r="E27" s="49"/>
      <c r="F27" s="44"/>
      <c r="G27" s="48"/>
      <c r="H27" s="46">
        <f t="shared" si="0"/>
        <v>0</v>
      </c>
      <c r="I27" s="49">
        <f>(H27*[1]Summary!$C$6)</f>
        <v>0</v>
      </c>
      <c r="J27" s="50"/>
      <c r="K27" s="84"/>
      <c r="L27" s="33"/>
    </row>
    <row r="28" spans="1:12" x14ac:dyDescent="0.2">
      <c r="A28" s="5">
        <v>44464</v>
      </c>
      <c r="B28" s="53">
        <v>2</v>
      </c>
      <c r="C28" s="53">
        <v>8.3000000000000007</v>
      </c>
      <c r="D28" s="53">
        <v>17.399999999999999</v>
      </c>
      <c r="E28" s="49"/>
      <c r="F28" s="44">
        <v>1575596.9</v>
      </c>
      <c r="G28" s="48">
        <v>1575989.4</v>
      </c>
      <c r="H28" s="46">
        <f t="shared" si="0"/>
        <v>392.5</v>
      </c>
      <c r="I28" s="49">
        <f>(H28*[1]Summary!$C$6)</f>
        <v>1114.7</v>
      </c>
      <c r="J28" s="50"/>
      <c r="K28" s="84"/>
      <c r="L28" s="33"/>
    </row>
    <row r="29" spans="1:12" x14ac:dyDescent="0.2">
      <c r="A29" s="5">
        <v>44465</v>
      </c>
      <c r="B29" s="53">
        <v>2</v>
      </c>
      <c r="C29" s="53">
        <v>8.3000000000000007</v>
      </c>
      <c r="D29" s="53">
        <v>17.3</v>
      </c>
      <c r="E29" s="49"/>
      <c r="F29" s="44">
        <v>1575989.4</v>
      </c>
      <c r="G29" s="48">
        <v>1576396.1</v>
      </c>
      <c r="H29" s="46">
        <f t="shared" si="0"/>
        <v>406.70000000018626</v>
      </c>
      <c r="I29" s="49">
        <f>(H29*[1]Summary!$C$6)</f>
        <v>1155.0280000005289</v>
      </c>
      <c r="J29" s="50"/>
      <c r="K29" s="84"/>
      <c r="L29" s="33"/>
    </row>
    <row r="30" spans="1:12" x14ac:dyDescent="0.2">
      <c r="A30" s="5">
        <v>44466</v>
      </c>
      <c r="B30" s="42">
        <v>2</v>
      </c>
      <c r="C30" s="42">
        <v>8.3000000000000007</v>
      </c>
      <c r="D30" s="42">
        <v>17.399999999999999</v>
      </c>
      <c r="E30" s="43"/>
      <c r="F30" s="44">
        <v>1576396.1</v>
      </c>
      <c r="G30" s="45">
        <v>1576747.4</v>
      </c>
      <c r="H30" s="46">
        <f t="shared" si="0"/>
        <v>351.29999999981374</v>
      </c>
      <c r="I30" s="49">
        <f>(H30*[1]Summary!$C$6)</f>
        <v>997.69199999947091</v>
      </c>
      <c r="J30" s="50"/>
      <c r="K30" s="84"/>
      <c r="L30" s="33"/>
    </row>
    <row r="31" spans="1:12" x14ac:dyDescent="0.2">
      <c r="A31" s="5">
        <v>44467</v>
      </c>
      <c r="B31" s="42" t="s">
        <v>56</v>
      </c>
      <c r="C31" s="42"/>
      <c r="D31" s="42"/>
      <c r="E31" s="43"/>
      <c r="F31" s="44"/>
      <c r="G31" s="45"/>
      <c r="H31" s="46">
        <f t="shared" si="0"/>
        <v>0</v>
      </c>
      <c r="I31" s="49">
        <f>(H31*[1]Summary!$C$6)</f>
        <v>0</v>
      </c>
      <c r="J31" s="50"/>
      <c r="K31" s="84"/>
      <c r="L31" s="33"/>
    </row>
    <row r="32" spans="1:12" x14ac:dyDescent="0.2">
      <c r="A32" s="5">
        <v>44468</v>
      </c>
      <c r="B32" s="42">
        <v>2</v>
      </c>
      <c r="C32" s="42">
        <v>8.3000000000000007</v>
      </c>
      <c r="D32" s="42">
        <v>17.3</v>
      </c>
      <c r="E32" s="43"/>
      <c r="F32" s="44">
        <v>1576747.4</v>
      </c>
      <c r="G32" s="45">
        <v>1577154.6</v>
      </c>
      <c r="H32" s="46">
        <f t="shared" si="0"/>
        <v>407.20000000018626</v>
      </c>
      <c r="I32" s="49">
        <f>(H32*[1]Summary!$C$6)</f>
        <v>1156.448000000529</v>
      </c>
      <c r="J32" s="50"/>
      <c r="K32" s="84"/>
      <c r="L32" s="33"/>
    </row>
    <row r="33" spans="1:12" x14ac:dyDescent="0.2">
      <c r="A33" s="5">
        <v>44469</v>
      </c>
      <c r="B33" s="42">
        <v>2</v>
      </c>
      <c r="C33" s="42">
        <v>8.4499999999999993</v>
      </c>
      <c r="D33" s="42">
        <v>17.45</v>
      </c>
      <c r="E33" s="43"/>
      <c r="F33" s="44">
        <v>1577154.6</v>
      </c>
      <c r="G33" s="45">
        <v>1577513.8</v>
      </c>
      <c r="H33" s="46">
        <f t="shared" si="0"/>
        <v>359.19999999995343</v>
      </c>
      <c r="I33" s="43">
        <f>(H33*[1]Summary!$C$6)</f>
        <v>1020.1279999998677</v>
      </c>
      <c r="J33" s="47"/>
      <c r="K33" s="84"/>
      <c r="L33" s="33"/>
    </row>
    <row r="34" spans="1:12" x14ac:dyDescent="0.2">
      <c r="A34" s="5"/>
      <c r="B34" s="42"/>
      <c r="C34" s="42"/>
      <c r="D34" s="42"/>
      <c r="E34" s="43"/>
      <c r="F34" s="44"/>
      <c r="G34" s="45"/>
      <c r="H34" s="46">
        <f t="shared" si="0"/>
        <v>0</v>
      </c>
      <c r="I34" s="16"/>
      <c r="J34" s="47"/>
      <c r="K34" s="90"/>
      <c r="L34" s="33"/>
    </row>
    <row r="35" spans="1:12" x14ac:dyDescent="0.2">
      <c r="A35" s="41"/>
      <c r="B35" s="42"/>
      <c r="C35" s="42"/>
      <c r="D35" s="42"/>
      <c r="E35" s="16"/>
      <c r="F35" s="55"/>
      <c r="G35" s="45"/>
      <c r="H35" s="56"/>
      <c r="I35" s="16"/>
      <c r="J35" s="57"/>
      <c r="K35" s="97">
        <f>SUM(K4:K34)-H36</f>
        <v>838.29999999981374</v>
      </c>
      <c r="L35" s="99" t="s">
        <v>57</v>
      </c>
    </row>
    <row r="36" spans="1:12" x14ac:dyDescent="0.2">
      <c r="A36" s="91" t="s">
        <v>30</v>
      </c>
      <c r="B36" s="96"/>
      <c r="C36" s="42"/>
      <c r="D36" s="42"/>
      <c r="E36" s="16"/>
      <c r="F36" s="58"/>
      <c r="G36" s="59"/>
      <c r="H36" s="36">
        <f>SUM(H4:H34)</f>
        <v>5261.7000000001863</v>
      </c>
      <c r="I36" s="38">
        <f>SUM(I4:I34)</f>
        <v>14943.22800000053</v>
      </c>
      <c r="K36" s="98"/>
      <c r="L36" s="100"/>
    </row>
    <row r="37" spans="1:12" x14ac:dyDescent="0.2">
      <c r="A37" s="60">
        <f>COUNT(A4:A34)</f>
        <v>30</v>
      </c>
      <c r="D37" s="32"/>
    </row>
    <row r="38" spans="1:12" x14ac:dyDescent="0.2">
      <c r="F38" s="62"/>
      <c r="G38" s="39"/>
      <c r="H38" s="39"/>
    </row>
    <row r="39" spans="1:12" ht="15.75" x14ac:dyDescent="0.25">
      <c r="A39" s="63" t="s">
        <v>58</v>
      </c>
    </row>
  </sheetData>
  <mergeCells count="4">
    <mergeCell ref="A36:B36"/>
    <mergeCell ref="K35:K36"/>
    <mergeCell ref="L35:L36"/>
    <mergeCell ref="D1:F1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Sept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2022-01-19T10:00:38Z</dcterms:modified>
  <cp:category/>
  <cp:contentStatus/>
</cp:coreProperties>
</file>