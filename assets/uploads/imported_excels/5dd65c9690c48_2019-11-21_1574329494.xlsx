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Common\Marian\HEP Monthly 2019\"/>
    </mc:Choice>
  </mc:AlternateContent>
  <bookViews>
    <workbookView xWindow="-105" yWindow="-105" windowWidth="19425" windowHeight="10425"/>
  </bookViews>
  <sheets>
    <sheet name="Worksheet" sheetId="1" r:id="rId1"/>
    <sheet name="Sheet1" sheetId="2" r:id="rId2"/>
    <sheet name="Sheet2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3" l="1"/>
  <c r="C19" i="3"/>
  <c r="E20" i="3" s="1"/>
  <c r="D11" i="3"/>
  <c r="H11" i="3" s="1"/>
  <c r="D14" i="3"/>
  <c r="H14" i="3" s="1"/>
  <c r="D15" i="3"/>
  <c r="H15" i="3" s="1"/>
  <c r="D16" i="3"/>
  <c r="H16" i="3" s="1"/>
  <c r="D17" i="3"/>
  <c r="H17" i="3" s="1"/>
  <c r="D18" i="3"/>
  <c r="H18" i="3" s="1"/>
  <c r="F13" i="3"/>
  <c r="D13" i="3" s="1"/>
  <c r="H13" i="3" s="1"/>
  <c r="F14" i="3"/>
  <c r="I15" i="3"/>
  <c r="F12" i="3"/>
  <c r="D12" i="3" s="1"/>
  <c r="H12" i="3" s="1"/>
  <c r="F8" i="3"/>
  <c r="D8" i="3" s="1"/>
  <c r="H8" i="3" s="1"/>
  <c r="F9" i="3"/>
  <c r="D9" i="3" s="1"/>
  <c r="H9" i="3" s="1"/>
  <c r="F10" i="3"/>
  <c r="D10" i="3" s="1"/>
  <c r="H10" i="3" s="1"/>
  <c r="F7" i="3"/>
  <c r="D7" i="3" s="1"/>
  <c r="H7" i="3" s="1"/>
  <c r="F4" i="3"/>
  <c r="D4" i="3" s="1"/>
  <c r="H4" i="3" s="1"/>
  <c r="F5" i="3"/>
  <c r="D5" i="3" s="1"/>
  <c r="H5" i="3" s="1"/>
  <c r="F6" i="3"/>
  <c r="D6" i="3" s="1"/>
  <c r="H6" i="3" s="1"/>
  <c r="F3" i="3"/>
  <c r="F19" i="3" s="1"/>
  <c r="F20" i="3" s="1"/>
  <c r="I17" i="3"/>
  <c r="I11" i="3"/>
  <c r="I16" i="3"/>
  <c r="I18" i="3"/>
  <c r="G7" i="3"/>
  <c r="I3" i="3"/>
  <c r="J3" i="3" s="1"/>
  <c r="K3" i="3" s="1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3" i="3"/>
  <c r="O27" i="1"/>
  <c r="O28" i="1"/>
  <c r="O29" i="1"/>
  <c r="O30" i="1"/>
  <c r="O31" i="1"/>
  <c r="O32" i="1"/>
  <c r="O33" i="1"/>
  <c r="O34" i="1"/>
  <c r="O35" i="1"/>
  <c r="O36" i="1"/>
  <c r="O37" i="1"/>
  <c r="O26" i="1"/>
  <c r="G27" i="1"/>
  <c r="G28" i="1"/>
  <c r="G29" i="1"/>
  <c r="G30" i="1"/>
  <c r="G31" i="1"/>
  <c r="G32" i="1"/>
  <c r="G33" i="1"/>
  <c r="G34" i="1"/>
  <c r="G35" i="1"/>
  <c r="G36" i="1"/>
  <c r="G37" i="1"/>
  <c r="G26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" i="2"/>
  <c r="K27" i="1"/>
  <c r="K28" i="1"/>
  <c r="K29" i="1"/>
  <c r="K30" i="1"/>
  <c r="K31" i="1"/>
  <c r="K32" i="1"/>
  <c r="K33" i="1"/>
  <c r="K34" i="1"/>
  <c r="K35" i="1"/>
  <c r="K36" i="1"/>
  <c r="K37" i="1"/>
  <c r="K26" i="1"/>
  <c r="D3" i="3" l="1"/>
  <c r="N3" i="3" l="1"/>
  <c r="D19" i="3"/>
  <c r="D20" i="3" s="1"/>
  <c r="H3" i="3"/>
</calcChain>
</file>

<file path=xl/sharedStrings.xml><?xml version="1.0" encoding="utf-8"?>
<sst xmlns="http://schemas.openxmlformats.org/spreadsheetml/2006/main" count="228" uniqueCount="42">
  <si>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</si>
  <si>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</si>
  <si>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</si>
  <si>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</si>
  <si>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</si>
  <si>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</si>
  <si>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</si>
  <si>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</si>
  <si>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Water Utility Supply (m3) m3</t>
  </si>
  <si>
    <t>Water Utility Supply (m3) $/m3</t>
  </si>
  <si>
    <t>Water Total Budgeted</t>
  </si>
  <si>
    <t>Water Total Budgeted Cost ($)</t>
  </si>
  <si>
    <t>Room Nights</t>
  </si>
  <si>
    <t>District Energy Cooling Kwh</t>
  </si>
  <si>
    <t>District Energy Cooling $/Kwh</t>
  </si>
  <si>
    <t>Cooling District Energy Total Budgeted</t>
  </si>
  <si>
    <t>Cooling District Energy Total Budgeted Cost ($)</t>
  </si>
  <si>
    <t>Forex</t>
  </si>
  <si>
    <t xml:space="preserve"> </t>
  </si>
  <si>
    <t>Abu Dhabi</t>
  </si>
  <si>
    <t>Cooling Fixed Cost</t>
  </si>
  <si>
    <t>Hotel</t>
  </si>
  <si>
    <t>Galleria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</si>
  <si>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</si>
  <si>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</si>
  <si>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</si>
  <si>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</si>
  <si>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</si>
  <si>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</si>
  <si>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</si>
  <si>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</si>
  <si>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</si>
  <si>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</si>
  <si>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</si>
  <si>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</si>
  <si>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</si>
  <si>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</si>
  <si>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</si>
  <si>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</si>
  <si>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</si>
  <si>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TOTAL</t>
  </si>
  <si>
    <t>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</si>
</sst>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00;[Red]0.000"/>
    <numFmt numFmtId="165" formatCode="_(* #,##0_);_(* \(#,##0\);_(* &quot;-&quot;??_);_(@_)"/>
    <numFmt numFmtId="166" formatCode="0_);\(0\)"/>
    <numFmt numFmtId="167" formatCode="_(* #,##0.00000_);_(* \(#,##0.00000\);_(* &quot;-&quot;??_);_(@_)"/>
  </numFmts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</font>
    <font>
      <sz val="10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 applyFill="0" applyProtection="0"/>
    <xf numFmtId="43" fontId="5" fillId="0" borderId="0" applyFont="0" applyFill="0" applyBorder="0" applyAlignment="0" applyProtection="0"/>
    <xf numFmtId="0" fontId="2" fillId="0" borderId="0" applyFill="0" applyProtection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/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6" fontId="0" fillId="0" borderId="0" xfId="1" applyNumberFormat="1" applyFont="1"/>
    <xf numFmtId="0" fontId="2" fillId="0" borderId="0" xfId="0" applyFont="1"/>
    <xf numFmtId="1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1" fontId="7" fillId="2" borderId="0" xfId="0" applyNumberFormat="1" applyFont="1" applyFill="1" applyAlignment="1">
      <alignment horizontal="right"/>
    </xf>
    <xf numFmtId="1" fontId="6" fillId="0" borderId="0" xfId="1" applyNumberFormat="1" applyFont="1"/>
    <xf numFmtId="0" fontId="8" fillId="0" borderId="1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11" fillId="2" borderId="0" xfId="0" applyNumberFormat="1" applyFont="1" applyFill="1" applyAlignment="1">
      <alignment horizontal="center" vertical="top"/>
    </xf>
    <xf numFmtId="1" fontId="10" fillId="0" borderId="0" xfId="0" applyNumberFormat="1" applyFont="1" applyAlignment="1">
      <alignment horizontal="center"/>
    </xf>
    <xf numFmtId="1" fontId="11" fillId="2" borderId="0" xfId="0" applyNumberFormat="1" applyFont="1" applyFill="1" applyAlignment="1">
      <alignment horizontal="right"/>
    </xf>
    <xf numFmtId="1" fontId="8" fillId="0" borderId="0" xfId="1" applyNumberFormat="1" applyFont="1"/>
    <xf numFmtId="0" fontId="10" fillId="0" borderId="0" xfId="0" applyFont="1"/>
    <xf numFmtId="1" fontId="0" fillId="0" borderId="4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7" fontId="0" fillId="0" borderId="0" xfId="3" applyNumberFormat="1" applyFont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3" fillId="2" borderId="0" xfId="0" applyNumberFormat="1" applyFont="1" applyFill="1" applyAlignment="1">
      <alignment horizontal="center" vertical="top"/>
    </xf>
    <xf numFmtId="1" fontId="13" fillId="2" borderId="0" xfId="0" applyNumberFormat="1" applyFont="1" applyFill="1" applyAlignment="1">
      <alignment horizontal="right"/>
    </xf>
    <xf numFmtId="166" fontId="12" fillId="0" borderId="0" xfId="1" applyNumberFormat="1" applyFont="1"/>
    <xf numFmtId="1" fontId="12" fillId="0" borderId="0" xfId="1" applyNumberFormat="1" applyFont="1"/>
    <xf numFmtId="0" fontId="12" fillId="0" borderId="0" xfId="0" applyFont="1"/>
    <xf numFmtId="0" fontId="10" fillId="0" borderId="1" xfId="0" applyFont="1" applyBorder="1" applyAlignment="1">
      <alignment horizontal="center" vertical="center" wrapText="1"/>
    </xf>
    <xf numFmtId="166" fontId="12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Sheet2!$D$3:$D$18</c:f>
              <c:numCache>
                <c:formatCode>General</c:formatCode>
                <c:ptCount val="16"/>
                <c:pt idx="0">
                  <c:v>158411.63</c:v>
                </c:pt>
                <c:pt idx="1">
                  <c:v>163811.35999999999</c:v>
                </c:pt>
                <c:pt idx="2">
                  <c:v>245152.59999999998</c:v>
                </c:pt>
                <c:pt idx="3">
                  <c:v>243692.69</c:v>
                </c:pt>
                <c:pt idx="4">
                  <c:v>308320.2</c:v>
                </c:pt>
                <c:pt idx="5">
                  <c:v>525440.31000000006</c:v>
                </c:pt>
                <c:pt idx="6">
                  <c:v>596688.66999999993</c:v>
                </c:pt>
                <c:pt idx="7">
                  <c:v>615610.27</c:v>
                </c:pt>
                <c:pt idx="8">
                  <c:v>513490</c:v>
                </c:pt>
                <c:pt idx="9">
                  <c:v>449866.43</c:v>
                </c:pt>
                <c:pt idx="10">
                  <c:v>310196.20999999996</c:v>
                </c:pt>
                <c:pt idx="11">
                  <c:v>245729.46999999997</c:v>
                </c:pt>
                <c:pt idx="12">
                  <c:v>184055</c:v>
                </c:pt>
                <c:pt idx="13">
                  <c:v>144339</c:v>
                </c:pt>
                <c:pt idx="14">
                  <c:v>181549</c:v>
                </c:pt>
                <c:pt idx="15">
                  <c:v>305947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9-421F-8CFC-41E6494C4B0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Sheet2!$E$3:$E$18</c:f>
              <c:numCache>
                <c:formatCode>General</c:formatCode>
                <c:ptCount val="16"/>
                <c:pt idx="0">
                  <c:v>99520</c:v>
                </c:pt>
                <c:pt idx="1">
                  <c:v>98213</c:v>
                </c:pt>
                <c:pt idx="2">
                  <c:v>132846</c:v>
                </c:pt>
                <c:pt idx="3">
                  <c:v>249114</c:v>
                </c:pt>
                <c:pt idx="4">
                  <c:v>280847</c:v>
                </c:pt>
                <c:pt idx="5">
                  <c:v>288837</c:v>
                </c:pt>
                <c:pt idx="6">
                  <c:v>293444</c:v>
                </c:pt>
                <c:pt idx="7">
                  <c:v>302344</c:v>
                </c:pt>
                <c:pt idx="8">
                  <c:v>267654</c:v>
                </c:pt>
                <c:pt idx="9">
                  <c:v>265777</c:v>
                </c:pt>
                <c:pt idx="10">
                  <c:v>217922</c:v>
                </c:pt>
                <c:pt idx="11">
                  <c:v>176748</c:v>
                </c:pt>
                <c:pt idx="12">
                  <c:v>143537</c:v>
                </c:pt>
                <c:pt idx="13">
                  <c:v>125424</c:v>
                </c:pt>
                <c:pt idx="14">
                  <c:v>145470</c:v>
                </c:pt>
                <c:pt idx="15">
                  <c:v>177744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9-421F-8CFC-41E6494C4B0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Sheet2!$F$3:$F$18</c:f>
              <c:numCache>
                <c:formatCode>General</c:formatCode>
                <c:ptCount val="16"/>
                <c:pt idx="0">
                  <c:v>52829.37</c:v>
                </c:pt>
                <c:pt idx="1">
                  <c:v>53667.640000000007</c:v>
                </c:pt>
                <c:pt idx="2">
                  <c:v>77421.400000000009</c:v>
                </c:pt>
                <c:pt idx="3">
                  <c:v>100936.31000000001</c:v>
                </c:pt>
                <c:pt idx="4">
                  <c:v>120672.8</c:v>
                </c:pt>
                <c:pt idx="5">
                  <c:v>166779.69</c:v>
                </c:pt>
                <c:pt idx="6">
                  <c:v>182316.33000000002</c:v>
                </c:pt>
                <c:pt idx="7">
                  <c:v>188014.73</c:v>
                </c:pt>
                <c:pt idx="8">
                  <c:v>163000</c:v>
                </c:pt>
                <c:pt idx="9">
                  <c:v>146577.57</c:v>
                </c:pt>
                <c:pt idx="10">
                  <c:v>108168.79000000001</c:v>
                </c:pt>
                <c:pt idx="11">
                  <c:v>86531.530000000013</c:v>
                </c:pt>
                <c:pt idx="12">
                  <c:v>69820</c:v>
                </c:pt>
                <c:pt idx="13">
                  <c:v>52000</c:v>
                </c:pt>
                <c:pt idx="14">
                  <c:v>64000</c:v>
                </c:pt>
                <c:pt idx="15">
                  <c:v>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9-421F-8CFC-41E6494C4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83552"/>
        <c:axId val="456583944"/>
      </c:lineChart>
      <c:catAx>
        <c:axId val="4565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3944"/>
        <c:crosses val="autoZero"/>
        <c:auto val="1"/>
        <c:lblAlgn val="ctr"/>
        <c:lblOffset val="100"/>
        <c:noMultiLvlLbl val="0"/>
      </c:catAx>
      <c:valAx>
        <c:axId val="45658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35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773195876288657"/>
          <c:y val="0.90268597297820985"/>
          <c:w val="0.47628865979381441"/>
          <c:h val="7.04697986577180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438150</xdr:colOff>
      <xdr:row>3</xdr:row>
      <xdr:rowOff>47625</xdr:rowOff>
    </xdr:from>
    <xdr:to>
      <xdr:col>23</xdr:col>
      <xdr:colOff>180975</xdr:colOff>
      <xdr:row>18</xdr:row>
      <xdr:rowOff>28575</xdr:rowOff>
    </xdr:to>
    <xdr:graphicFrame macro="">
      <xdr:nvGraphicFramePr>
        <xdr:cNvPr id="2076" name="Chart 1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showRuler="0" zoomScaleNormal="100" workbookViewId="0">
      <pane xSplit="3" topLeftCell="J1" activePane="topRight" state="frozen"/>
      <selection activeCell="A2" sqref="A2"/>
      <selection pane="topRight" activeCell="V35" sqref="V35"/>
    </sheetView>
  </sheetViews>
  <sheetFormatPr defaultColWidth="8.5703125" defaultRowHeight="15" x14ac:dyDescent="0.25"/>
  <cols>
    <col min="1" max="3" width="15" style="3" customWidth="1"/>
    <col min="4" max="4" width="15" style="36" customWidth="1"/>
    <col min="5" max="6" width="15" style="3" customWidth="1"/>
    <col min="7" max="8" width="15" style="15" customWidth="1"/>
    <col min="9" max="10" width="15" style="3" customWidth="1"/>
    <col min="11" max="12" width="15" style="15" customWidth="1"/>
    <col min="13" max="14" width="15" style="3" customWidth="1"/>
    <col min="15" max="16" width="15" style="15" customWidth="1"/>
    <col min="17" max="17" width="15" style="5" customWidth="1"/>
    <col min="18" max="18" width="15" style="3" customWidth="1"/>
    <col min="19" max="19" width="15" customWidth="1"/>
    <col min="20" max="20" width="15" style="16" customWidth="1"/>
    <col min="21" max="21" width="15" style="15" customWidth="1"/>
    <col min="22" max="22" width="15" style="5" customWidth="1"/>
    <col min="23" max="23" width="15" style="3" customWidth="1"/>
  </cols>
  <sheetData>
    <row r="1" spans="1:23" s="1" customFormat="1" ht="70.349999999999994" customHeight="1" thickBot="1" x14ac:dyDescent="0.3">
      <c r="A1" s="2" t="s">
        <v>0</v>
      </c>
      <c r="B1" s="2" t="s">
        <v>1</v>
      </c>
      <c r="C1" s="2" t="s">
        <v>2</v>
      </c>
      <c r="D1" s="43" t="s">
        <v>3</v>
      </c>
      <c r="E1" s="2" t="s">
        <v>4</v>
      </c>
      <c r="F1" s="2" t="s">
        <v>5</v>
      </c>
      <c r="G1" s="20" t="s">
        <v>6</v>
      </c>
      <c r="H1" s="20" t="s">
        <v>7</v>
      </c>
      <c r="I1" s="2" t="s">
        <v>23</v>
      </c>
      <c r="J1" s="2" t="s">
        <v>24</v>
      </c>
      <c r="K1" s="20" t="s">
        <v>25</v>
      </c>
      <c r="L1" s="20" t="s">
        <v>26</v>
      </c>
      <c r="M1" s="9" t="s">
        <v>8</v>
      </c>
      <c r="N1" s="2" t="s">
        <v>9</v>
      </c>
      <c r="O1" s="20" t="s">
        <v>10</v>
      </c>
      <c r="P1" s="20" t="s">
        <v>11</v>
      </c>
      <c r="Q1" s="8" t="s">
        <v>13</v>
      </c>
      <c r="R1" s="2" t="s">
        <v>14</v>
      </c>
      <c r="S1" s="10" t="s">
        <v>20</v>
      </c>
      <c r="T1" s="22" t="s">
        <v>15</v>
      </c>
      <c r="U1" s="20" t="s">
        <v>16</v>
      </c>
      <c r="V1" s="8" t="s">
        <v>12</v>
      </c>
      <c r="W1" s="2" t="s">
        <v>17</v>
      </c>
    </row>
    <row r="2" spans="1:23" ht="15.75" thickTop="1" x14ac:dyDescent="0.25">
      <c r="A2" s="6" t="s">
        <v>19</v>
      </c>
      <c r="B2" s="3">
        <v>1</v>
      </c>
      <c r="C2" s="3">
        <v>2017</v>
      </c>
      <c r="D2" s="44">
        <v>1163755.05</v>
      </c>
      <c r="E2" s="4">
        <v>0.2</v>
      </c>
      <c r="F2" s="6" t="s">
        <v>18</v>
      </c>
      <c r="G2" s="16" t="s">
        <v>18</v>
      </c>
      <c r="H2" s="21" t="s">
        <v>18</v>
      </c>
      <c r="I2" s="14">
        <v>17378.351539225423</v>
      </c>
      <c r="J2" s="3">
        <v>10.07</v>
      </c>
      <c r="K2" s="16" t="s">
        <v>18</v>
      </c>
      <c r="L2" s="16" t="s">
        <v>18</v>
      </c>
      <c r="M2" s="13">
        <v>5007.3826530612241</v>
      </c>
      <c r="N2" s="3">
        <v>7.84</v>
      </c>
      <c r="Q2" s="5">
        <v>1151840.2845772642</v>
      </c>
      <c r="R2" s="3">
        <v>9.9522292993630565E-2</v>
      </c>
      <c r="S2" s="11">
        <v>240560</v>
      </c>
      <c r="T2" s="19" t="s">
        <v>18</v>
      </c>
      <c r="U2" s="23" t="s">
        <v>18</v>
      </c>
      <c r="V2" s="13">
        <v>2300</v>
      </c>
      <c r="W2" s="3">
        <v>0.27</v>
      </c>
    </row>
    <row r="3" spans="1:23" x14ac:dyDescent="0.25">
      <c r="A3" s="6" t="s">
        <v>19</v>
      </c>
      <c r="B3" s="3">
        <v>2</v>
      </c>
      <c r="C3" s="3">
        <v>2017</v>
      </c>
      <c r="D3" s="44">
        <v>625000</v>
      </c>
      <c r="E3" s="4">
        <v>0.2</v>
      </c>
      <c r="G3" s="16" t="s">
        <v>18</v>
      </c>
      <c r="H3" s="21" t="s">
        <v>18</v>
      </c>
      <c r="I3" s="14">
        <v>21741.649453823225</v>
      </c>
      <c r="J3" s="3">
        <v>10.07</v>
      </c>
      <c r="K3" s="16" t="s">
        <v>18</v>
      </c>
      <c r="L3" s="16" t="s">
        <v>18</v>
      </c>
      <c r="M3" s="13">
        <v>3826.5306122448978</v>
      </c>
      <c r="N3" s="3">
        <v>7.84</v>
      </c>
      <c r="Q3" s="5">
        <v>841516.71047660871</v>
      </c>
      <c r="R3" s="3">
        <v>9.9522292993630565E-2</v>
      </c>
      <c r="S3" s="11">
        <v>240560</v>
      </c>
      <c r="T3" s="19" t="s">
        <v>18</v>
      </c>
      <c r="U3" s="23" t="s">
        <v>18</v>
      </c>
      <c r="V3" s="13">
        <v>2150</v>
      </c>
      <c r="W3" s="3">
        <v>0.27</v>
      </c>
    </row>
    <row r="4" spans="1:23" x14ac:dyDescent="0.25">
      <c r="A4" s="6" t="s">
        <v>19</v>
      </c>
      <c r="B4" s="3">
        <v>3</v>
      </c>
      <c r="C4" s="3">
        <v>2017</v>
      </c>
      <c r="D4" s="44">
        <v>1515321.5499999998</v>
      </c>
      <c r="E4" s="4">
        <v>0.2</v>
      </c>
      <c r="G4" s="16" t="s">
        <v>18</v>
      </c>
      <c r="H4" s="21" t="s">
        <v>18</v>
      </c>
      <c r="I4" s="14">
        <v>27352.072492552135</v>
      </c>
      <c r="J4" s="3">
        <v>10.07</v>
      </c>
      <c r="K4" s="16" t="s">
        <v>18</v>
      </c>
      <c r="L4" s="16" t="s">
        <v>18</v>
      </c>
      <c r="M4" s="13">
        <v>10119.94005102041</v>
      </c>
      <c r="N4" s="3">
        <v>7.84</v>
      </c>
      <c r="O4" s="15" t="s">
        <v>18</v>
      </c>
      <c r="Q4" s="5">
        <v>951732.08131478494</v>
      </c>
      <c r="R4" s="3">
        <v>9.9522292993630565E-2</v>
      </c>
      <c r="S4" s="11">
        <v>240560</v>
      </c>
      <c r="T4" s="19" t="s">
        <v>18</v>
      </c>
      <c r="U4" s="23" t="s">
        <v>18</v>
      </c>
      <c r="V4" s="13">
        <v>2074</v>
      </c>
      <c r="W4" s="3">
        <v>0.27</v>
      </c>
    </row>
    <row r="5" spans="1:23" x14ac:dyDescent="0.25">
      <c r="A5" s="6" t="s">
        <v>19</v>
      </c>
      <c r="B5" s="3">
        <v>4</v>
      </c>
      <c r="C5" s="3">
        <v>2017</v>
      </c>
      <c r="D5" s="44">
        <v>1078183.9999999998</v>
      </c>
      <c r="E5" s="4">
        <v>0.2</v>
      </c>
      <c r="G5" s="16" t="s">
        <v>18</v>
      </c>
      <c r="H5" s="21" t="s">
        <v>18</v>
      </c>
      <c r="I5" s="14">
        <v>17885.958291956307</v>
      </c>
      <c r="J5" s="3">
        <v>10.07</v>
      </c>
      <c r="K5" s="16" t="s">
        <v>18</v>
      </c>
      <c r="L5" s="16" t="s">
        <v>18</v>
      </c>
      <c r="M5" s="13">
        <v>8861.6632653061224</v>
      </c>
      <c r="N5" s="3">
        <v>7.84</v>
      </c>
      <c r="Q5" s="5">
        <v>1470242.0522713996</v>
      </c>
      <c r="R5" s="3">
        <v>9.9522292993630565E-2</v>
      </c>
      <c r="S5" s="11">
        <v>240560</v>
      </c>
      <c r="T5" s="19" t="s">
        <v>18</v>
      </c>
      <c r="U5" s="23" t="s">
        <v>18</v>
      </c>
      <c r="V5" s="13">
        <v>2233</v>
      </c>
      <c r="W5" s="3">
        <v>0.27</v>
      </c>
    </row>
    <row r="6" spans="1:23" x14ac:dyDescent="0.25">
      <c r="A6" s="6" t="s">
        <v>19</v>
      </c>
      <c r="B6" s="3">
        <v>5</v>
      </c>
      <c r="C6" s="3">
        <v>2017</v>
      </c>
      <c r="D6" s="44">
        <v>1046701</v>
      </c>
      <c r="E6" s="4">
        <v>0.2</v>
      </c>
      <c r="G6" s="16" t="s">
        <v>18</v>
      </c>
      <c r="H6" s="21" t="s">
        <v>18</v>
      </c>
      <c r="I6" s="14">
        <v>10958.559086395233</v>
      </c>
      <c r="J6" s="3">
        <v>10.07</v>
      </c>
      <c r="K6" s="16" t="s">
        <v>18</v>
      </c>
      <c r="L6" s="16" t="s">
        <v>18</v>
      </c>
      <c r="M6" s="13">
        <v>5626</v>
      </c>
      <c r="N6" s="3">
        <v>7.84</v>
      </c>
      <c r="Q6" s="5">
        <v>2042634.240420409</v>
      </c>
      <c r="R6" s="3">
        <v>9.9522292993630565E-2</v>
      </c>
      <c r="S6" s="11">
        <v>240560</v>
      </c>
      <c r="T6" s="19" t="s">
        <v>18</v>
      </c>
      <c r="U6" s="23" t="s">
        <v>18</v>
      </c>
      <c r="V6" s="13">
        <v>1913</v>
      </c>
      <c r="W6" s="3">
        <v>0.27</v>
      </c>
    </row>
    <row r="7" spans="1:23" x14ac:dyDescent="0.25">
      <c r="A7" s="6" t="s">
        <v>19</v>
      </c>
      <c r="B7" s="3">
        <v>6</v>
      </c>
      <c r="C7" s="3">
        <v>2017</v>
      </c>
      <c r="D7" s="44">
        <v>516855.99999999994</v>
      </c>
      <c r="E7" s="4">
        <v>0.2</v>
      </c>
      <c r="G7" s="16" t="s">
        <v>18</v>
      </c>
      <c r="H7" s="21" t="s">
        <v>18</v>
      </c>
      <c r="I7" s="14">
        <v>12146.085402184706</v>
      </c>
      <c r="J7" s="3">
        <v>10.07</v>
      </c>
      <c r="K7" s="16" t="s">
        <v>18</v>
      </c>
      <c r="L7" s="16" t="s">
        <v>18</v>
      </c>
      <c r="M7" s="13">
        <v>5654</v>
      </c>
      <c r="N7" s="3">
        <v>7.84</v>
      </c>
      <c r="Q7" s="5">
        <v>2837426.9577455111</v>
      </c>
      <c r="R7" s="3">
        <v>9.9522292993630565E-2</v>
      </c>
      <c r="S7" s="11">
        <v>240560</v>
      </c>
      <c r="T7" s="19" t="s">
        <v>18</v>
      </c>
      <c r="U7" s="23" t="s">
        <v>18</v>
      </c>
      <c r="V7" s="13">
        <v>1222</v>
      </c>
      <c r="W7" s="3">
        <v>0.27</v>
      </c>
    </row>
    <row r="8" spans="1:23" x14ac:dyDescent="0.25">
      <c r="A8" s="6" t="s">
        <v>19</v>
      </c>
      <c r="B8" s="3">
        <v>7</v>
      </c>
      <c r="C8" s="3">
        <v>2017</v>
      </c>
      <c r="D8" s="44">
        <v>905140</v>
      </c>
      <c r="E8" s="4">
        <v>0.2</v>
      </c>
      <c r="G8" s="16" t="s">
        <v>18</v>
      </c>
      <c r="H8" s="21" t="s">
        <v>18</v>
      </c>
      <c r="I8" s="14">
        <v>17069.91857000993</v>
      </c>
      <c r="J8" s="3">
        <v>10.07</v>
      </c>
      <c r="K8" s="16" t="s">
        <v>18</v>
      </c>
      <c r="L8" s="16" t="s">
        <v>18</v>
      </c>
      <c r="M8" s="13">
        <v>5168</v>
      </c>
      <c r="N8" s="3">
        <v>7.84</v>
      </c>
      <c r="Q8" s="5">
        <v>3507840.4680705057</v>
      </c>
      <c r="R8" s="3">
        <v>9.9522292993630565E-2</v>
      </c>
      <c r="S8" s="11">
        <v>240560</v>
      </c>
      <c r="T8" s="19" t="s">
        <v>18</v>
      </c>
      <c r="U8" s="23" t="s">
        <v>18</v>
      </c>
      <c r="V8" s="13">
        <v>1601</v>
      </c>
      <c r="W8" s="3">
        <v>0.27</v>
      </c>
    </row>
    <row r="9" spans="1:23" x14ac:dyDescent="0.25">
      <c r="A9" s="6" t="s">
        <v>19</v>
      </c>
      <c r="B9" s="3">
        <v>8</v>
      </c>
      <c r="C9" s="3">
        <v>2017</v>
      </c>
      <c r="D9" s="44">
        <v>568426.05000000005</v>
      </c>
      <c r="E9" s="4">
        <v>0.2</v>
      </c>
      <c r="G9" s="16" t="s">
        <v>18</v>
      </c>
      <c r="H9" s="21" t="s">
        <v>18</v>
      </c>
      <c r="I9" s="14">
        <v>17285.91757696127</v>
      </c>
      <c r="J9" s="3">
        <v>10.07</v>
      </c>
      <c r="K9" s="16" t="s">
        <v>18</v>
      </c>
      <c r="L9" s="16" t="s">
        <v>18</v>
      </c>
      <c r="M9" s="13">
        <v>1698.4693877551022</v>
      </c>
      <c r="N9" s="3">
        <v>7.84</v>
      </c>
      <c r="Q9" s="5">
        <v>3377059.537397203</v>
      </c>
      <c r="R9" s="3">
        <v>9.9522292993630565E-2</v>
      </c>
      <c r="S9" s="11">
        <v>240560</v>
      </c>
      <c r="T9" s="19" t="s">
        <v>18</v>
      </c>
      <c r="U9" s="23" t="s">
        <v>18</v>
      </c>
      <c r="V9" s="13">
        <v>1562</v>
      </c>
      <c r="W9" s="3">
        <v>0.27</v>
      </c>
    </row>
    <row r="10" spans="1:23" x14ac:dyDescent="0.25">
      <c r="A10" s="6" t="s">
        <v>19</v>
      </c>
      <c r="B10" s="3">
        <v>9</v>
      </c>
      <c r="C10" s="3">
        <v>2017</v>
      </c>
      <c r="D10" s="44">
        <v>333909.74999999994</v>
      </c>
      <c r="E10" s="4">
        <v>0.2</v>
      </c>
      <c r="G10" s="16" t="s">
        <v>18</v>
      </c>
      <c r="H10" s="21" t="s">
        <v>18</v>
      </c>
      <c r="I10" s="14">
        <v>15576.193644488578</v>
      </c>
      <c r="J10" s="3">
        <v>10.07</v>
      </c>
      <c r="K10" s="16" t="s">
        <v>18</v>
      </c>
      <c r="L10" s="16" t="s">
        <v>18</v>
      </c>
      <c r="M10" s="13">
        <v>5353</v>
      </c>
      <c r="N10" s="3">
        <v>7.84</v>
      </c>
      <c r="Q10" s="5">
        <v>2545708.4981807703</v>
      </c>
      <c r="R10" s="3">
        <v>9.9522292993630565E-2</v>
      </c>
      <c r="S10" s="11">
        <v>240560</v>
      </c>
      <c r="T10" s="19" t="s">
        <v>18</v>
      </c>
      <c r="U10" s="23" t="s">
        <v>18</v>
      </c>
      <c r="V10" s="13">
        <v>2749</v>
      </c>
      <c r="W10" s="3">
        <v>0.27</v>
      </c>
    </row>
    <row r="11" spans="1:23" x14ac:dyDescent="0.25">
      <c r="A11" s="6" t="s">
        <v>19</v>
      </c>
      <c r="B11" s="3">
        <v>10</v>
      </c>
      <c r="C11" s="3">
        <v>2017</v>
      </c>
      <c r="D11" s="44">
        <v>836330</v>
      </c>
      <c r="E11" s="4">
        <v>0.2</v>
      </c>
      <c r="G11" s="16" t="s">
        <v>18</v>
      </c>
      <c r="H11" s="21" t="s">
        <v>18</v>
      </c>
      <c r="I11" s="14">
        <v>9225.3843098311809</v>
      </c>
      <c r="J11" s="3">
        <v>10.07</v>
      </c>
      <c r="K11" s="16" t="s">
        <v>18</v>
      </c>
      <c r="L11" s="16" t="s">
        <v>18</v>
      </c>
      <c r="M11" s="13">
        <v>6100</v>
      </c>
      <c r="N11" s="3">
        <v>7.84</v>
      </c>
      <c r="Q11" s="5">
        <v>2262527.3108142768</v>
      </c>
      <c r="R11" s="3">
        <v>9.9522292993630565E-2</v>
      </c>
      <c r="S11" s="11">
        <v>240560</v>
      </c>
      <c r="T11" s="19" t="s">
        <v>18</v>
      </c>
      <c r="U11" s="23" t="s">
        <v>18</v>
      </c>
      <c r="V11" s="13">
        <v>3779</v>
      </c>
      <c r="W11" s="3">
        <v>0.27</v>
      </c>
    </row>
    <row r="12" spans="1:23" x14ac:dyDescent="0.25">
      <c r="A12" s="6" t="s">
        <v>19</v>
      </c>
      <c r="B12" s="3">
        <v>11</v>
      </c>
      <c r="C12" s="3">
        <v>2017</v>
      </c>
      <c r="D12" s="44">
        <v>792548</v>
      </c>
      <c r="E12" s="4">
        <v>0.2</v>
      </c>
      <c r="G12" s="16" t="s">
        <v>18</v>
      </c>
      <c r="H12" s="21" t="s">
        <v>18</v>
      </c>
      <c r="I12" s="14">
        <v>14895.729890764647</v>
      </c>
      <c r="J12" s="3">
        <v>10.07</v>
      </c>
      <c r="K12" s="16" t="s">
        <v>18</v>
      </c>
      <c r="L12" s="16" t="s">
        <v>18</v>
      </c>
      <c r="M12" s="13">
        <v>7708</v>
      </c>
      <c r="N12" s="3">
        <v>7.84</v>
      </c>
      <c r="Q12" s="5">
        <v>1601972.0186796687</v>
      </c>
      <c r="R12" s="3">
        <v>9.9522292993630565E-2</v>
      </c>
      <c r="S12" s="11">
        <v>240560</v>
      </c>
      <c r="T12" s="19" t="s">
        <v>18</v>
      </c>
      <c r="U12" s="23" t="s">
        <v>18</v>
      </c>
      <c r="V12" s="13">
        <v>4146</v>
      </c>
      <c r="W12" s="3">
        <v>0.27</v>
      </c>
    </row>
    <row r="13" spans="1:23" x14ac:dyDescent="0.25">
      <c r="A13" s="6" t="s">
        <v>19</v>
      </c>
      <c r="B13" s="3">
        <v>12</v>
      </c>
      <c r="C13" s="3">
        <v>2017</v>
      </c>
      <c r="D13" s="44">
        <v>1905254.2499999998</v>
      </c>
      <c r="E13" s="4">
        <v>0.2</v>
      </c>
      <c r="G13" s="16" t="s">
        <v>18</v>
      </c>
      <c r="H13" s="21" t="s">
        <v>18</v>
      </c>
      <c r="I13" s="14">
        <v>15142.049652432968</v>
      </c>
      <c r="J13" s="3">
        <v>10.07</v>
      </c>
      <c r="K13" s="16" t="s">
        <v>18</v>
      </c>
      <c r="L13" s="16" t="s">
        <v>18</v>
      </c>
      <c r="M13" s="13">
        <v>8457</v>
      </c>
      <c r="N13" s="3">
        <v>7.84</v>
      </c>
      <c r="Q13" s="5">
        <v>829503.27559230907</v>
      </c>
      <c r="R13" s="3">
        <v>9.9522292993630565E-2</v>
      </c>
      <c r="S13" s="11">
        <v>240560</v>
      </c>
      <c r="T13" s="19" t="s">
        <v>18</v>
      </c>
      <c r="U13" s="23" t="s">
        <v>18</v>
      </c>
      <c r="V13" s="13">
        <v>4076.0000000000005</v>
      </c>
      <c r="W13" s="3">
        <v>0.27</v>
      </c>
    </row>
    <row r="14" spans="1:23" x14ac:dyDescent="0.25">
      <c r="A14" s="6" t="s">
        <v>19</v>
      </c>
      <c r="B14" s="3">
        <v>1</v>
      </c>
      <c r="C14" s="3">
        <v>2018</v>
      </c>
      <c r="D14" s="44">
        <v>967650</v>
      </c>
      <c r="E14" s="4">
        <v>0.2</v>
      </c>
      <c r="G14" s="16" t="s">
        <v>18</v>
      </c>
      <c r="H14" s="21" t="s">
        <v>18</v>
      </c>
      <c r="I14" s="14">
        <v>13647</v>
      </c>
      <c r="J14" s="3">
        <v>10.07</v>
      </c>
      <c r="K14" s="16" t="s">
        <v>18</v>
      </c>
      <c r="L14" s="16" t="s">
        <v>18</v>
      </c>
      <c r="M14" s="13">
        <v>7271</v>
      </c>
      <c r="N14" s="3">
        <v>7.84</v>
      </c>
      <c r="Q14" s="5">
        <v>578740.32459999993</v>
      </c>
      <c r="R14" s="3">
        <v>9.9522292993630565E-2</v>
      </c>
      <c r="S14" s="11">
        <v>240560</v>
      </c>
      <c r="T14" s="19" t="s">
        <v>18</v>
      </c>
      <c r="U14" s="23" t="s">
        <v>18</v>
      </c>
      <c r="V14" s="13">
        <v>3558.9999999999995</v>
      </c>
      <c r="W14" s="3">
        <v>0.27</v>
      </c>
    </row>
    <row r="15" spans="1:23" x14ac:dyDescent="0.25">
      <c r="A15" s="6" t="s">
        <v>19</v>
      </c>
      <c r="B15" s="3">
        <v>2</v>
      </c>
      <c r="C15" s="3">
        <v>2018</v>
      </c>
      <c r="D15" s="45">
        <v>846352</v>
      </c>
      <c r="E15" s="4">
        <v>0.2</v>
      </c>
      <c r="G15" s="16" t="s">
        <v>18</v>
      </c>
      <c r="H15" s="21" t="s">
        <v>18</v>
      </c>
      <c r="I15" s="14">
        <v>12979</v>
      </c>
      <c r="J15" s="3">
        <v>10.07</v>
      </c>
      <c r="K15" s="16" t="s">
        <v>18</v>
      </c>
      <c r="L15" s="16" t="s">
        <v>18</v>
      </c>
      <c r="M15" s="13">
        <v>6638</v>
      </c>
      <c r="N15" s="3">
        <v>7.84</v>
      </c>
      <c r="Q15" s="5">
        <v>598077.11119999853</v>
      </c>
      <c r="R15" s="3">
        <v>9.9522292993630565E-2</v>
      </c>
      <c r="S15" s="11">
        <v>240560</v>
      </c>
      <c r="T15" s="19" t="s">
        <v>18</v>
      </c>
      <c r="U15" s="23" t="s">
        <v>18</v>
      </c>
      <c r="V15" s="13">
        <v>4021.0000000000005</v>
      </c>
      <c r="W15" s="3">
        <v>0.27</v>
      </c>
    </row>
    <row r="16" spans="1:23" x14ac:dyDescent="0.25">
      <c r="A16" s="6" t="s">
        <v>19</v>
      </c>
      <c r="B16" s="3">
        <v>3</v>
      </c>
      <c r="C16" s="3">
        <v>2018</v>
      </c>
      <c r="D16" s="45">
        <v>928649</v>
      </c>
      <c r="E16" s="4">
        <v>0.2</v>
      </c>
      <c r="G16" s="16" t="s">
        <v>18</v>
      </c>
      <c r="H16" s="21" t="s">
        <v>18</v>
      </c>
      <c r="I16" s="14">
        <v>14854</v>
      </c>
      <c r="J16" s="3">
        <v>10.07</v>
      </c>
      <c r="K16" s="16" t="s">
        <v>18</v>
      </c>
      <c r="L16" s="16" t="s">
        <v>18</v>
      </c>
      <c r="M16" s="13">
        <v>7484</v>
      </c>
      <c r="N16" s="3">
        <v>7.84</v>
      </c>
      <c r="Q16" s="5">
        <v>893868.21200000122</v>
      </c>
      <c r="R16" s="3">
        <v>9.9522292993630565E-2</v>
      </c>
      <c r="S16" s="11">
        <v>240560</v>
      </c>
      <c r="T16" s="19" t="s">
        <v>18</v>
      </c>
      <c r="U16" s="23" t="s">
        <v>18</v>
      </c>
      <c r="V16" s="13">
        <v>3927</v>
      </c>
      <c r="W16" s="3">
        <v>0.27</v>
      </c>
    </row>
    <row r="17" spans="1:23" x14ac:dyDescent="0.25">
      <c r="A17" s="6" t="s">
        <v>19</v>
      </c>
      <c r="B17" s="3">
        <v>4</v>
      </c>
      <c r="C17" s="3">
        <v>2018</v>
      </c>
      <c r="D17" s="45">
        <v>851358</v>
      </c>
      <c r="E17" s="4">
        <v>0.2</v>
      </c>
      <c r="G17" s="16" t="s">
        <v>18</v>
      </c>
      <c r="H17" s="21" t="s">
        <v>18</v>
      </c>
      <c r="I17" s="14">
        <v>12952</v>
      </c>
      <c r="J17" s="3">
        <v>10.07</v>
      </c>
      <c r="K17" s="16" t="s">
        <v>18</v>
      </c>
      <c r="L17" s="16" t="s">
        <v>18</v>
      </c>
      <c r="M17" s="13">
        <v>7501</v>
      </c>
      <c r="N17" s="3">
        <v>7.84</v>
      </c>
      <c r="Q17" s="5">
        <v>898360.3297999996</v>
      </c>
      <c r="R17" s="3">
        <v>9.9522292993630565E-2</v>
      </c>
      <c r="S17" s="11">
        <v>240560</v>
      </c>
      <c r="T17" s="19" t="s">
        <v>18</v>
      </c>
      <c r="U17" s="23" t="s">
        <v>18</v>
      </c>
      <c r="V17" s="13">
        <v>4154</v>
      </c>
      <c r="W17" s="3">
        <v>0.27</v>
      </c>
    </row>
    <row r="18" spans="1:23" x14ac:dyDescent="0.25">
      <c r="A18" s="6" t="s">
        <v>19</v>
      </c>
      <c r="B18" s="3">
        <v>5</v>
      </c>
      <c r="C18" s="3">
        <v>2018</v>
      </c>
      <c r="D18" s="45">
        <v>854682</v>
      </c>
      <c r="E18" s="4">
        <v>0.2</v>
      </c>
      <c r="G18" s="16" t="s">
        <v>18</v>
      </c>
      <c r="H18" s="21" t="s">
        <v>18</v>
      </c>
      <c r="I18" s="14">
        <v>13068</v>
      </c>
      <c r="J18" s="3">
        <v>10.07</v>
      </c>
      <c r="K18" s="16" t="s">
        <v>18</v>
      </c>
      <c r="L18" s="16" t="s">
        <v>18</v>
      </c>
      <c r="M18" s="13">
        <v>6306</v>
      </c>
      <c r="N18" s="3">
        <v>7.84</v>
      </c>
      <c r="Q18" s="5">
        <v>1133727.8239999993</v>
      </c>
      <c r="R18" s="3">
        <v>9.9522292993630565E-2</v>
      </c>
      <c r="S18" s="11">
        <v>240560</v>
      </c>
      <c r="T18" s="19" t="s">
        <v>18</v>
      </c>
      <c r="U18" s="23" t="s">
        <v>18</v>
      </c>
      <c r="V18" s="13">
        <v>2422</v>
      </c>
      <c r="W18" s="3">
        <v>0.27</v>
      </c>
    </row>
    <row r="19" spans="1:23" x14ac:dyDescent="0.25">
      <c r="A19" s="6" t="s">
        <v>19</v>
      </c>
      <c r="B19" s="3">
        <v>6</v>
      </c>
      <c r="C19" s="3">
        <v>2018</v>
      </c>
      <c r="D19" s="45">
        <v>867945</v>
      </c>
      <c r="E19" s="4">
        <v>0.2</v>
      </c>
      <c r="G19" s="16" t="s">
        <v>18</v>
      </c>
      <c r="H19" s="21" t="s">
        <v>18</v>
      </c>
      <c r="I19" s="14">
        <v>12023</v>
      </c>
      <c r="J19" s="3">
        <v>10.07</v>
      </c>
      <c r="K19" s="16" t="s">
        <v>18</v>
      </c>
      <c r="L19" s="16" t="s">
        <v>18</v>
      </c>
      <c r="M19" s="13">
        <v>6141</v>
      </c>
      <c r="N19" s="3">
        <v>7.84</v>
      </c>
      <c r="Q19" s="5">
        <v>1647212.9502000005</v>
      </c>
      <c r="R19" s="3">
        <v>9.9522292993630565E-2</v>
      </c>
      <c r="S19" s="11">
        <v>240560</v>
      </c>
      <c r="T19" s="19" t="s">
        <v>18</v>
      </c>
      <c r="U19" s="23" t="s">
        <v>18</v>
      </c>
      <c r="V19" s="13">
        <v>1848</v>
      </c>
      <c r="W19" s="3">
        <v>0.27</v>
      </c>
    </row>
    <row r="20" spans="1:23" x14ac:dyDescent="0.25">
      <c r="A20" s="6" t="s">
        <v>19</v>
      </c>
      <c r="B20" s="3">
        <v>7</v>
      </c>
      <c r="C20" s="3">
        <v>2018</v>
      </c>
      <c r="D20" s="45">
        <v>979376</v>
      </c>
      <c r="E20" s="4">
        <v>0.2</v>
      </c>
      <c r="G20" s="16" t="s">
        <v>18</v>
      </c>
      <c r="H20" s="21" t="s">
        <v>18</v>
      </c>
      <c r="I20" s="14">
        <v>12558</v>
      </c>
      <c r="J20" s="3">
        <v>10.07</v>
      </c>
      <c r="K20" s="16" t="s">
        <v>18</v>
      </c>
      <c r="L20" s="16" t="s">
        <v>18</v>
      </c>
      <c r="M20" s="13">
        <v>7862</v>
      </c>
      <c r="N20" s="3">
        <v>7.84</v>
      </c>
      <c r="Q20" s="5">
        <v>2173121.0814</v>
      </c>
      <c r="R20" s="3">
        <v>9.9522292993630565E-2</v>
      </c>
      <c r="S20" s="11">
        <v>240560</v>
      </c>
      <c r="T20" s="19" t="s">
        <v>18</v>
      </c>
      <c r="U20" s="23" t="s">
        <v>18</v>
      </c>
      <c r="V20" s="13">
        <v>2660</v>
      </c>
      <c r="W20" s="3">
        <v>0.27</v>
      </c>
    </row>
    <row r="21" spans="1:23" x14ac:dyDescent="0.25">
      <c r="A21" s="6" t="s">
        <v>19</v>
      </c>
      <c r="B21" s="3">
        <v>8</v>
      </c>
      <c r="C21" s="3">
        <v>2018</v>
      </c>
      <c r="D21" s="45">
        <v>998483</v>
      </c>
      <c r="E21" s="4">
        <v>0.2</v>
      </c>
      <c r="G21" s="16" t="s">
        <v>18</v>
      </c>
      <c r="H21" s="21" t="s">
        <v>18</v>
      </c>
      <c r="I21" s="14">
        <v>10536</v>
      </c>
      <c r="J21" s="3">
        <v>10.07</v>
      </c>
      <c r="K21" s="16" t="s">
        <v>18</v>
      </c>
      <c r="L21" s="16" t="s">
        <v>18</v>
      </c>
      <c r="M21" s="13">
        <v>7049</v>
      </c>
      <c r="N21" s="3">
        <v>7.84</v>
      </c>
      <c r="Q21" s="5">
        <v>2241998.9534</v>
      </c>
      <c r="R21" s="3">
        <v>9.9522292993630565E-2</v>
      </c>
      <c r="S21" s="11">
        <v>240560</v>
      </c>
      <c r="T21" s="19" t="s">
        <v>18</v>
      </c>
      <c r="U21" s="23" t="s">
        <v>18</v>
      </c>
      <c r="V21" s="13">
        <v>2274</v>
      </c>
      <c r="W21" s="3">
        <v>0.27</v>
      </c>
    </row>
    <row r="22" spans="1:23" x14ac:dyDescent="0.25">
      <c r="A22" s="6" t="s">
        <v>19</v>
      </c>
      <c r="B22" s="3">
        <v>9</v>
      </c>
      <c r="C22" s="3">
        <v>2018</v>
      </c>
      <c r="D22" s="45">
        <v>1016643</v>
      </c>
      <c r="E22" s="4">
        <v>0.2</v>
      </c>
      <c r="G22" s="16" t="s">
        <v>18</v>
      </c>
      <c r="H22" s="21" t="s">
        <v>18</v>
      </c>
      <c r="I22" s="14">
        <v>10800</v>
      </c>
      <c r="J22" s="3">
        <v>10.07</v>
      </c>
      <c r="K22" s="16" t="s">
        <v>18</v>
      </c>
      <c r="L22" s="16" t="s">
        <v>18</v>
      </c>
      <c r="M22" s="13">
        <v>7036</v>
      </c>
      <c r="N22" s="3">
        <v>7.84</v>
      </c>
      <c r="Q22" s="5">
        <v>1880368.7584000009</v>
      </c>
      <c r="R22" s="3">
        <v>9.9522292993630565E-2</v>
      </c>
      <c r="S22" s="11">
        <v>240560</v>
      </c>
      <c r="T22" s="19" t="s">
        <v>18</v>
      </c>
      <c r="U22" s="23" t="s">
        <v>18</v>
      </c>
      <c r="V22" s="13">
        <v>2647</v>
      </c>
      <c r="W22" s="3">
        <v>0.27</v>
      </c>
    </row>
    <row r="23" spans="1:23" x14ac:dyDescent="0.25">
      <c r="A23" s="6" t="s">
        <v>19</v>
      </c>
      <c r="B23" s="3">
        <v>10</v>
      </c>
      <c r="C23" s="3">
        <v>2018</v>
      </c>
      <c r="D23" s="45">
        <v>1007190</v>
      </c>
      <c r="E23" s="4">
        <v>0.2</v>
      </c>
      <c r="G23" s="16" t="s">
        <v>18</v>
      </c>
      <c r="H23" s="21" t="s">
        <v>18</v>
      </c>
      <c r="I23" s="14">
        <v>13940</v>
      </c>
      <c r="J23" s="3">
        <v>10.07</v>
      </c>
      <c r="K23" s="16" t="s">
        <v>18</v>
      </c>
      <c r="L23" s="16" t="s">
        <v>18</v>
      </c>
      <c r="M23" s="13">
        <v>6781</v>
      </c>
      <c r="N23" s="3">
        <v>7.84</v>
      </c>
      <c r="Q23" s="5">
        <v>1642133.6805999994</v>
      </c>
      <c r="R23" s="3">
        <v>9.9522292993630565E-2</v>
      </c>
      <c r="S23" s="11">
        <v>240560</v>
      </c>
      <c r="T23" s="19" t="s">
        <v>18</v>
      </c>
      <c r="U23" s="23" t="s">
        <v>18</v>
      </c>
      <c r="V23" s="13">
        <v>4421</v>
      </c>
      <c r="W23" s="3">
        <v>0.27</v>
      </c>
    </row>
    <row r="24" spans="1:23" x14ac:dyDescent="0.25">
      <c r="A24" s="6" t="s">
        <v>19</v>
      </c>
      <c r="B24" s="3">
        <v>11</v>
      </c>
      <c r="C24" s="3">
        <v>2018</v>
      </c>
      <c r="D24" s="45">
        <v>1000097</v>
      </c>
      <c r="E24" s="4">
        <v>0.2</v>
      </c>
      <c r="G24" s="16" t="s">
        <v>18</v>
      </c>
      <c r="H24" s="21" t="s">
        <v>18</v>
      </c>
      <c r="I24" s="14">
        <v>13892</v>
      </c>
      <c r="J24" s="3">
        <v>10.07</v>
      </c>
      <c r="K24" s="16" t="s">
        <v>18</v>
      </c>
      <c r="L24" s="16" t="s">
        <v>18</v>
      </c>
      <c r="M24" s="13">
        <v>7528</v>
      </c>
      <c r="N24" s="3">
        <v>7.84</v>
      </c>
      <c r="Q24" s="5">
        <v>1135207.3281999987</v>
      </c>
      <c r="R24" s="3">
        <v>9.9522292993630565E-2</v>
      </c>
      <c r="S24" s="11">
        <v>240560</v>
      </c>
      <c r="T24" s="19" t="s">
        <v>18</v>
      </c>
      <c r="U24" s="23" t="s">
        <v>18</v>
      </c>
      <c r="V24" s="13">
        <v>4896</v>
      </c>
      <c r="W24" s="3">
        <v>0.27</v>
      </c>
    </row>
    <row r="25" spans="1:23" x14ac:dyDescent="0.25">
      <c r="A25" s="6" t="s">
        <v>19</v>
      </c>
      <c r="B25" s="3">
        <v>12</v>
      </c>
      <c r="C25" s="3">
        <v>2018</v>
      </c>
      <c r="D25" s="45">
        <v>1058997</v>
      </c>
      <c r="E25" s="4">
        <v>0.2</v>
      </c>
      <c r="G25" s="16" t="s">
        <v>18</v>
      </c>
      <c r="H25" s="16" t="s">
        <v>18</v>
      </c>
      <c r="I25" s="14">
        <v>13554</v>
      </c>
      <c r="J25" s="3">
        <v>10.07</v>
      </c>
      <c r="K25" s="16" t="s">
        <v>18</v>
      </c>
      <c r="L25" s="16" t="s">
        <v>18</v>
      </c>
      <c r="M25" s="13">
        <v>7835</v>
      </c>
      <c r="N25" s="3">
        <v>7.84</v>
      </c>
      <c r="Q25" s="5">
        <v>899624.29740000144</v>
      </c>
      <c r="R25" s="3">
        <v>9.9522292993630565E-2</v>
      </c>
      <c r="S25" s="11">
        <v>240560</v>
      </c>
      <c r="T25" s="19" t="s">
        <v>18</v>
      </c>
      <c r="U25" s="23" t="s">
        <v>18</v>
      </c>
      <c r="V25" s="13">
        <v>4880</v>
      </c>
      <c r="W25" s="3">
        <v>0.27</v>
      </c>
    </row>
    <row r="26" spans="1:23" x14ac:dyDescent="0.25">
      <c r="A26" s="6" t="s">
        <v>19</v>
      </c>
      <c r="B26" s="3">
        <v>1</v>
      </c>
      <c r="C26" s="3">
        <v>2019</v>
      </c>
      <c r="D26" s="45">
        <v>1014550</v>
      </c>
      <c r="E26" s="4">
        <v>0.2</v>
      </c>
      <c r="G26" s="16">
        <f>H26/0.2</f>
        <v>1045197.6499999999</v>
      </c>
      <c r="H26" s="17">
        <v>209039.53</v>
      </c>
      <c r="I26" s="14">
        <v>13508</v>
      </c>
      <c r="J26" s="3">
        <v>10.07</v>
      </c>
      <c r="K26" s="16">
        <f>L26/0.112</f>
        <v>82198.66071428571</v>
      </c>
      <c r="L26" s="16">
        <v>9206.25</v>
      </c>
      <c r="M26" s="13">
        <v>8058</v>
      </c>
      <c r="N26" s="3">
        <v>7.84</v>
      </c>
      <c r="O26" s="16">
        <f>P26/7.84</f>
        <v>6519.900510204081</v>
      </c>
      <c r="P26" s="18">
        <v>51116.02</v>
      </c>
      <c r="Q26" s="5">
        <v>682905.50320000062</v>
      </c>
      <c r="R26" s="3">
        <v>9.9522292993630565E-2</v>
      </c>
      <c r="S26" s="11">
        <v>250480</v>
      </c>
      <c r="T26" s="19">
        <v>931445.92609511595</v>
      </c>
      <c r="U26" s="18">
        <v>317000.71000000002</v>
      </c>
      <c r="V26" s="13">
        <v>3896</v>
      </c>
      <c r="W26" s="3">
        <v>0.27</v>
      </c>
    </row>
    <row r="27" spans="1:23" x14ac:dyDescent="0.25">
      <c r="A27" s="6" t="s">
        <v>19</v>
      </c>
      <c r="B27" s="3">
        <v>2</v>
      </c>
      <c r="C27" s="3">
        <v>2019</v>
      </c>
      <c r="D27" s="45">
        <v>906833</v>
      </c>
      <c r="E27" s="4">
        <v>0.2</v>
      </c>
      <c r="G27" s="16">
        <f t="shared" ref="G27:G37" si="0">H27/0.2</f>
        <v>944799.45000000007</v>
      </c>
      <c r="H27" s="17">
        <v>188959.89</v>
      </c>
      <c r="I27" s="14">
        <v>15143</v>
      </c>
      <c r="J27" s="3">
        <v>10.07</v>
      </c>
      <c r="K27" s="16">
        <f t="shared" ref="K27:K37" si="1">L27/0.112</f>
        <v>73391.607142857145</v>
      </c>
      <c r="L27" s="16">
        <v>8219.86</v>
      </c>
      <c r="M27" s="31">
        <v>8203</v>
      </c>
      <c r="N27" s="3">
        <v>7.84</v>
      </c>
      <c r="O27" s="16">
        <f t="shared" ref="O27:O37" si="2">P27/7.84</f>
        <v>5419.8596938775509</v>
      </c>
      <c r="P27" s="18">
        <v>42491.7</v>
      </c>
      <c r="Q27" s="5">
        <v>520520.9017999979</v>
      </c>
      <c r="R27" s="3">
        <v>9.9522292993630565E-2</v>
      </c>
      <c r="S27" s="11">
        <v>250480</v>
      </c>
      <c r="T27" s="19">
        <v>644536.54594722448</v>
      </c>
      <c r="U27" s="18">
        <v>337276.56</v>
      </c>
      <c r="V27" s="13">
        <v>4376</v>
      </c>
      <c r="W27" s="3">
        <v>0.27</v>
      </c>
    </row>
    <row r="28" spans="1:23" s="30" customFormat="1" x14ac:dyDescent="0.25">
      <c r="A28" s="32" t="s">
        <v>19</v>
      </c>
      <c r="B28" s="32">
        <v>3</v>
      </c>
      <c r="C28" s="32">
        <v>2019</v>
      </c>
      <c r="D28" s="45">
        <v>1000744</v>
      </c>
      <c r="E28" s="33">
        <v>0.2</v>
      </c>
      <c r="F28" s="24"/>
      <c r="G28" s="25">
        <f t="shared" si="0"/>
        <v>1162522.8999999999</v>
      </c>
      <c r="H28" s="26">
        <v>232504.58</v>
      </c>
      <c r="I28" s="24">
        <v>16372</v>
      </c>
      <c r="J28" s="24">
        <v>10.07</v>
      </c>
      <c r="K28" s="25">
        <f t="shared" si="1"/>
        <v>64974.107142857145</v>
      </c>
      <c r="L28" s="25">
        <v>7277.1</v>
      </c>
      <c r="M28" s="27">
        <v>9130</v>
      </c>
      <c r="N28" s="24">
        <v>7.84</v>
      </c>
      <c r="O28" s="25">
        <f t="shared" si="2"/>
        <v>7469.0076530612241</v>
      </c>
      <c r="P28" s="28">
        <v>58557.02</v>
      </c>
      <c r="Q28" s="27">
        <v>656999.38340000133</v>
      </c>
      <c r="R28" s="24">
        <v>9.9522292993630565E-2</v>
      </c>
      <c r="S28" s="11">
        <v>250480</v>
      </c>
      <c r="T28" s="29">
        <v>929452.198542414</v>
      </c>
      <c r="U28" s="28">
        <v>355696.24</v>
      </c>
      <c r="V28" s="27">
        <v>4511</v>
      </c>
      <c r="W28" s="24">
        <v>0.27</v>
      </c>
    </row>
    <row r="29" spans="1:23" s="42" customFormat="1" x14ac:dyDescent="0.25">
      <c r="A29" s="32" t="s">
        <v>19</v>
      </c>
      <c r="B29" s="32">
        <v>4</v>
      </c>
      <c r="C29" s="32">
        <v>2019</v>
      </c>
      <c r="D29" s="45">
        <v>978926</v>
      </c>
      <c r="E29" s="33">
        <v>0.2</v>
      </c>
      <c r="F29" s="36"/>
      <c r="G29" s="37">
        <f t="shared" si="0"/>
        <v>971866.04999999993</v>
      </c>
      <c r="H29" s="38">
        <v>194373.21</v>
      </c>
      <c r="I29" s="36">
        <v>16161</v>
      </c>
      <c r="J29" s="36">
        <v>10.07</v>
      </c>
      <c r="K29" s="37">
        <f t="shared" si="1"/>
        <v>75446.607142857145</v>
      </c>
      <c r="L29" s="37">
        <v>8450.02</v>
      </c>
      <c r="M29" s="37">
        <v>5336.3368000000009</v>
      </c>
      <c r="N29" s="36">
        <v>7.84</v>
      </c>
      <c r="O29" s="37">
        <f t="shared" si="2"/>
        <v>2976.0318877551022</v>
      </c>
      <c r="P29" s="39">
        <v>23332.09</v>
      </c>
      <c r="Q29" s="37">
        <v>1077478.5225999979</v>
      </c>
      <c r="R29" s="24">
        <v>9.9522292993630565E-2</v>
      </c>
      <c r="S29" s="40">
        <v>250480</v>
      </c>
      <c r="T29" s="41">
        <v>911038.21276407724</v>
      </c>
      <c r="U29" s="39">
        <v>439427.11</v>
      </c>
      <c r="V29" s="37">
        <v>4595</v>
      </c>
      <c r="W29" s="36">
        <v>0.27</v>
      </c>
    </row>
    <row r="30" spans="1:23" x14ac:dyDescent="0.25">
      <c r="A30" s="6" t="s">
        <v>19</v>
      </c>
      <c r="B30" s="3">
        <v>5</v>
      </c>
      <c r="C30" s="3">
        <v>2019</v>
      </c>
      <c r="D30" s="45">
        <v>939464</v>
      </c>
      <c r="E30" s="4">
        <v>0.2</v>
      </c>
      <c r="G30" s="16">
        <f t="shared" si="0"/>
        <v>581030.44999999995</v>
      </c>
      <c r="H30" s="17">
        <v>116206.09</v>
      </c>
      <c r="I30" s="3">
        <v>15714.6</v>
      </c>
      <c r="J30" s="3">
        <v>10.07</v>
      </c>
      <c r="K30" s="16">
        <f t="shared" si="1"/>
        <v>56756.16071428571</v>
      </c>
      <c r="L30" s="16">
        <v>6356.69</v>
      </c>
      <c r="M30" s="3">
        <v>5488.3880000000008</v>
      </c>
      <c r="N30" s="3">
        <v>7.84</v>
      </c>
      <c r="O30" s="16">
        <f t="shared" si="2"/>
        <v>7977.4987244897957</v>
      </c>
      <c r="P30" s="18">
        <v>62543.59</v>
      </c>
      <c r="Q30" s="5">
        <v>1351911.2374000028</v>
      </c>
      <c r="R30" s="24">
        <v>9.9522292993630565E-2</v>
      </c>
      <c r="S30" s="40">
        <v>250480</v>
      </c>
      <c r="T30" s="19">
        <v>1724123.2364970688</v>
      </c>
      <c r="U30" s="18">
        <v>485806.09</v>
      </c>
      <c r="V30" s="3">
        <v>1872</v>
      </c>
      <c r="W30" s="3">
        <v>0.27</v>
      </c>
    </row>
    <row r="31" spans="1:23" x14ac:dyDescent="0.25">
      <c r="A31" s="6" t="s">
        <v>19</v>
      </c>
      <c r="B31" s="3">
        <v>6</v>
      </c>
      <c r="C31" s="3">
        <v>2019</v>
      </c>
      <c r="D31" s="45">
        <v>892290</v>
      </c>
      <c r="E31" s="4">
        <v>0.2</v>
      </c>
      <c r="G31" s="16">
        <f t="shared" si="0"/>
        <v>1039014.9</v>
      </c>
      <c r="H31" s="17">
        <v>207802.98</v>
      </c>
      <c r="I31" s="3">
        <v>14493.799999999988</v>
      </c>
      <c r="J31" s="3">
        <v>10.07</v>
      </c>
      <c r="K31" s="16">
        <f t="shared" si="1"/>
        <v>46970.625</v>
      </c>
      <c r="L31" s="16">
        <v>5260.71</v>
      </c>
      <c r="M31" s="3">
        <v>5488.3880000000008</v>
      </c>
      <c r="N31" s="3">
        <v>7.84</v>
      </c>
      <c r="O31" s="16">
        <f t="shared" si="2"/>
        <v>5186.2397959183681</v>
      </c>
      <c r="P31" s="18">
        <v>40660.120000000003</v>
      </c>
      <c r="Q31" s="5">
        <v>1757962.2107999972</v>
      </c>
      <c r="R31" s="24">
        <v>9.9522292993630565E-2</v>
      </c>
      <c r="S31" s="40">
        <v>250480</v>
      </c>
      <c r="T31" s="19">
        <v>2557777.8480691761</v>
      </c>
      <c r="U31" s="18">
        <v>594589.31000000006</v>
      </c>
      <c r="V31" s="5">
        <v>3144</v>
      </c>
      <c r="W31" s="3">
        <v>0.27</v>
      </c>
    </row>
    <row r="32" spans="1:23" x14ac:dyDescent="0.25">
      <c r="A32" s="6" t="s">
        <v>19</v>
      </c>
      <c r="B32" s="3">
        <v>7</v>
      </c>
      <c r="C32" s="3">
        <v>2019</v>
      </c>
      <c r="D32" s="45">
        <v>938629</v>
      </c>
      <c r="E32" s="4">
        <v>0.2</v>
      </c>
      <c r="G32" s="16">
        <f t="shared" si="0"/>
        <v>923492.85</v>
      </c>
      <c r="H32" s="17">
        <v>184698.57</v>
      </c>
      <c r="I32" s="3">
        <v>14117</v>
      </c>
      <c r="J32" s="3">
        <v>10.07</v>
      </c>
      <c r="K32" s="16">
        <f t="shared" si="1"/>
        <v>46970.625</v>
      </c>
      <c r="L32" s="16">
        <v>5260.71</v>
      </c>
      <c r="M32" s="3">
        <v>5679.9920000000011</v>
      </c>
      <c r="N32" s="3">
        <v>7.84</v>
      </c>
      <c r="O32" s="16">
        <f t="shared" si="2"/>
        <v>5143.0778061224491</v>
      </c>
      <c r="P32" s="18">
        <v>40321.730000000003</v>
      </c>
      <c r="Q32" s="5">
        <v>1942608.0450000006</v>
      </c>
      <c r="R32" s="24">
        <v>9.5522292993630603E-2</v>
      </c>
      <c r="S32" s="40">
        <v>250480</v>
      </c>
      <c r="T32" s="19">
        <v>2642154.6899592471</v>
      </c>
      <c r="U32" s="18">
        <v>640348.17999999993</v>
      </c>
      <c r="V32" s="5">
        <v>3685</v>
      </c>
      <c r="W32" s="3">
        <v>0.27</v>
      </c>
    </row>
    <row r="33" spans="1:23" x14ac:dyDescent="0.25">
      <c r="A33" s="6" t="s">
        <v>19</v>
      </c>
      <c r="B33" s="3">
        <v>8</v>
      </c>
      <c r="C33" s="3">
        <v>2019</v>
      </c>
      <c r="D33" s="45">
        <v>959040</v>
      </c>
      <c r="E33" s="4">
        <v>0.2</v>
      </c>
      <c r="G33" s="16">
        <f t="shared" si="0"/>
        <v>910230.2</v>
      </c>
      <c r="H33" s="17">
        <v>182046.04</v>
      </c>
      <c r="I33" s="3">
        <v>13999.400000000023</v>
      </c>
      <c r="J33" s="3">
        <v>10.07</v>
      </c>
      <c r="K33" s="16">
        <f t="shared" si="1"/>
        <v>44035</v>
      </c>
      <c r="L33" s="16">
        <v>4931.92</v>
      </c>
      <c r="M33" s="3">
        <v>5739.2550000000001</v>
      </c>
      <c r="N33" s="3">
        <v>7.84</v>
      </c>
      <c r="O33" s="16">
        <f t="shared" si="2"/>
        <v>3448.5420918367349</v>
      </c>
      <c r="P33" s="18">
        <v>27036.57</v>
      </c>
      <c r="Q33" s="5">
        <v>801526.6925</v>
      </c>
      <c r="R33" s="24">
        <v>9.5522292993630603E-2</v>
      </c>
      <c r="S33" s="40">
        <v>250480</v>
      </c>
      <c r="T33" s="19">
        <v>2574327.8182331794</v>
      </c>
      <c r="U33" s="18">
        <v>641411.49</v>
      </c>
      <c r="V33" s="5">
        <v>3348</v>
      </c>
      <c r="W33" s="3">
        <v>0.27</v>
      </c>
    </row>
    <row r="34" spans="1:23" x14ac:dyDescent="0.25">
      <c r="A34" s="6" t="s">
        <v>19</v>
      </c>
      <c r="B34" s="3">
        <v>9</v>
      </c>
      <c r="C34" s="3">
        <v>2019</v>
      </c>
      <c r="D34" s="36">
        <v>994639</v>
      </c>
      <c r="E34" s="4">
        <v>0.2</v>
      </c>
      <c r="G34" s="16">
        <f t="shared" si="0"/>
        <v>875500</v>
      </c>
      <c r="H34" s="17">
        <v>175100</v>
      </c>
      <c r="I34" s="3">
        <v>14157.900000000023</v>
      </c>
      <c r="J34" s="3">
        <v>10.07</v>
      </c>
      <c r="K34" s="16">
        <f t="shared" si="1"/>
        <v>52841.96428571429</v>
      </c>
      <c r="L34" s="16">
        <v>5918.3</v>
      </c>
      <c r="M34" s="3">
        <v>5816.7440000000006</v>
      </c>
      <c r="N34" s="3">
        <v>7.84</v>
      </c>
      <c r="O34" s="16">
        <f t="shared" si="2"/>
        <v>5255.1020408163267</v>
      </c>
      <c r="P34" s="18">
        <v>41200</v>
      </c>
      <c r="Q34" s="5">
        <v>796235.95189999999</v>
      </c>
      <c r="R34" s="24">
        <v>9.5522292993630603E-2</v>
      </c>
      <c r="S34" s="40">
        <v>250480</v>
      </c>
      <c r="T34" s="19">
        <v>2628955.7397353966</v>
      </c>
      <c r="U34" s="18">
        <v>640348.17999999993</v>
      </c>
      <c r="V34" s="5">
        <v>4455</v>
      </c>
      <c r="W34" s="3">
        <v>0.27</v>
      </c>
    </row>
    <row r="35" spans="1:23" x14ac:dyDescent="0.25">
      <c r="A35" s="6" t="s">
        <v>19</v>
      </c>
      <c r="B35" s="3">
        <v>10</v>
      </c>
      <c r="C35" s="3">
        <v>2019</v>
      </c>
      <c r="D35" s="36">
        <v>1027780</v>
      </c>
      <c r="E35" s="4">
        <v>0.2</v>
      </c>
      <c r="G35" s="16">
        <f t="shared" si="0"/>
        <v>927000</v>
      </c>
      <c r="H35" s="17">
        <v>185400</v>
      </c>
      <c r="I35" s="3">
        <v>15461.599999999977</v>
      </c>
      <c r="J35" s="3">
        <v>10.07</v>
      </c>
      <c r="K35" s="16">
        <f t="shared" si="1"/>
        <v>64584.642857142855</v>
      </c>
      <c r="L35" s="16">
        <v>7233.48</v>
      </c>
      <c r="M35" s="3">
        <v>6142.7589999999991</v>
      </c>
      <c r="N35" s="3">
        <v>7.84</v>
      </c>
      <c r="O35" s="16">
        <f t="shared" si="2"/>
        <v>6568.8775510204086</v>
      </c>
      <c r="P35" s="18">
        <v>51500</v>
      </c>
      <c r="Q35" s="5">
        <v>940125</v>
      </c>
      <c r="R35" s="24">
        <v>9.5522292993630603E-2</v>
      </c>
      <c r="S35" s="40">
        <v>250480</v>
      </c>
      <c r="T35" s="19">
        <v>2287229.9287673081</v>
      </c>
      <c r="U35" s="18">
        <v>594589.31000000006</v>
      </c>
      <c r="V35" s="5">
        <v>5030</v>
      </c>
      <c r="W35" s="3">
        <v>0.27</v>
      </c>
    </row>
    <row r="36" spans="1:23" x14ac:dyDescent="0.25">
      <c r="A36" s="6" t="s">
        <v>19</v>
      </c>
      <c r="B36" s="3">
        <v>11</v>
      </c>
      <c r="C36" s="3">
        <v>2019</v>
      </c>
      <c r="D36" s="36">
        <v>0</v>
      </c>
      <c r="E36" s="4">
        <v>0.2</v>
      </c>
      <c r="G36" s="16">
        <f t="shared" si="0"/>
        <v>1236000</v>
      </c>
      <c r="H36" s="17">
        <v>247200</v>
      </c>
      <c r="J36" s="3">
        <v>10.07</v>
      </c>
      <c r="K36" s="16">
        <f t="shared" si="1"/>
        <v>68498.83928571429</v>
      </c>
      <c r="L36" s="16">
        <v>7671.87</v>
      </c>
      <c r="N36" s="3">
        <v>7.84</v>
      </c>
      <c r="O36" s="16">
        <f t="shared" si="2"/>
        <v>6568.8775510204086</v>
      </c>
      <c r="P36" s="18">
        <v>51500</v>
      </c>
      <c r="T36" s="19">
        <v>1837264.1066290585</v>
      </c>
      <c r="U36" s="18">
        <v>439427.11</v>
      </c>
      <c r="V36" s="5">
        <v>0</v>
      </c>
      <c r="W36" s="3">
        <v>0.27</v>
      </c>
    </row>
    <row r="37" spans="1:23" x14ac:dyDescent="0.25">
      <c r="A37" s="6" t="s">
        <v>19</v>
      </c>
      <c r="B37" s="3">
        <v>12</v>
      </c>
      <c r="C37" s="3">
        <v>2019</v>
      </c>
      <c r="D37" s="36">
        <v>0</v>
      </c>
      <c r="E37" s="4">
        <v>0.2</v>
      </c>
      <c r="G37" s="16">
        <f t="shared" si="0"/>
        <v>1236000</v>
      </c>
      <c r="H37" s="17">
        <v>247200</v>
      </c>
      <c r="J37" s="3">
        <v>10.07</v>
      </c>
      <c r="K37" s="16">
        <f t="shared" si="1"/>
        <v>68498.83928571429</v>
      </c>
      <c r="L37" s="16">
        <v>7671.87</v>
      </c>
      <c r="N37" s="3">
        <v>7.84</v>
      </c>
      <c r="O37" s="16">
        <f t="shared" si="2"/>
        <v>7882.6530612244896</v>
      </c>
      <c r="P37" s="18">
        <v>61800</v>
      </c>
      <c r="T37" s="19">
        <v>1217715.7050474028</v>
      </c>
      <c r="U37" s="18">
        <v>355696.24</v>
      </c>
      <c r="V37" s="5">
        <v>0</v>
      </c>
      <c r="W37" s="3">
        <v>0.27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29"/>
  <sheetViews>
    <sheetView topLeftCell="A13" workbookViewId="0">
      <selection activeCell="R21" sqref="R21"/>
    </sheetView>
  </sheetViews>
  <sheetFormatPr defaultRowHeight="15" x14ac:dyDescent="0.25"/>
  <sheetData>
    <row r="2" spans="2:41" x14ac:dyDescent="0.25">
      <c r="B2" s="12" t="s">
        <v>21</v>
      </c>
      <c r="D2" s="12" t="s">
        <v>22</v>
      </c>
    </row>
    <row r="3" spans="2:41" x14ac:dyDescent="0.25">
      <c r="B3">
        <v>379366.93393970316</v>
      </c>
      <c r="C3">
        <v>35655.292438830998</v>
      </c>
      <c r="E3">
        <f>B3+C3</f>
        <v>415022.22637853416</v>
      </c>
      <c r="F3" s="7"/>
    </row>
    <row r="4" spans="2:41" x14ac:dyDescent="0.25">
      <c r="B4">
        <v>277159.61890471756</v>
      </c>
      <c r="C4">
        <v>26049.205611191566</v>
      </c>
      <c r="E4">
        <f t="shared" ref="E4:E28" si="0">B4+C4</f>
        <v>303208.82451590913</v>
      </c>
      <c r="F4" s="7"/>
    </row>
    <row r="5" spans="2:41" x14ac:dyDescent="0.25">
      <c r="B5">
        <v>313459.84895202116</v>
      </c>
      <c r="C5">
        <v>29460.92972876889</v>
      </c>
      <c r="E5">
        <f t="shared" si="0"/>
        <v>342920.77868079004</v>
      </c>
      <c r="F5" s="7"/>
    </row>
    <row r="6" spans="2:41" x14ac:dyDescent="0.25">
      <c r="B6">
        <v>484234.86049901543</v>
      </c>
      <c r="C6">
        <v>45511.440285180783</v>
      </c>
      <c r="E6">
        <f t="shared" si="0"/>
        <v>529746.30078419624</v>
      </c>
      <c r="F6" s="7"/>
    </row>
    <row r="7" spans="2:41" x14ac:dyDescent="0.25">
      <c r="B7">
        <v>672756.37024011824</v>
      </c>
      <c r="C7">
        <v>63229.878450108758</v>
      </c>
      <c r="E7">
        <f t="shared" si="0"/>
        <v>735986.24869022705</v>
      </c>
      <c r="F7" s="7"/>
    </row>
    <row r="8" spans="2:41" x14ac:dyDescent="0.25">
      <c r="B8">
        <v>934527.10384481167</v>
      </c>
      <c r="C8">
        <v>81234.901867575027</v>
      </c>
      <c r="E8">
        <f t="shared" si="0"/>
        <v>1015762.0057123867</v>
      </c>
      <c r="F8" s="7"/>
    </row>
    <row r="9" spans="2:41" x14ac:dyDescent="0.25">
      <c r="B9">
        <v>1155332.6454543318</v>
      </c>
      <c r="C9">
        <v>85000</v>
      </c>
      <c r="E9">
        <f t="shared" si="0"/>
        <v>1240332.6454543318</v>
      </c>
      <c r="F9" s="7"/>
    </row>
    <row r="10" spans="2:41" x14ac:dyDescent="0.25">
      <c r="B10">
        <v>1112258.9994361945</v>
      </c>
      <c r="C10">
        <v>97939.264177722347</v>
      </c>
      <c r="E10">
        <f t="shared" si="0"/>
        <v>1210198.2636139169</v>
      </c>
      <c r="F10" s="7"/>
    </row>
    <row r="11" spans="2:41" x14ac:dyDescent="0.25">
      <c r="B11">
        <v>838447.51793303282</v>
      </c>
      <c r="C11">
        <v>88868.002866942159</v>
      </c>
      <c r="D11">
        <v>50592.290400000027</v>
      </c>
      <c r="E11">
        <f t="shared" si="0"/>
        <v>927315.52079997503</v>
      </c>
      <c r="F11" s="7">
        <v>50592.290400000027</v>
      </c>
    </row>
    <row r="12" spans="2:41" x14ac:dyDescent="0.25">
      <c r="B12">
        <v>745179.74440655054</v>
      </c>
      <c r="C12">
        <v>87277.191896652279</v>
      </c>
      <c r="D12">
        <v>52261.086619999995</v>
      </c>
      <c r="E12">
        <f t="shared" si="0"/>
        <v>832456.93630320276</v>
      </c>
      <c r="F12" s="7">
        <v>52261.086619999995</v>
      </c>
      <c r="N12">
        <v>50592.290400000027</v>
      </c>
      <c r="O12">
        <v>52261.086619999995</v>
      </c>
      <c r="P12">
        <v>55995.028360000004</v>
      </c>
      <c r="Q12">
        <v>58119.028550000017</v>
      </c>
      <c r="R12">
        <v>55312.526934000009</v>
      </c>
      <c r="S12">
        <v>40627.768450000003</v>
      </c>
      <c r="T12">
        <v>42144.426923999992</v>
      </c>
      <c r="U12">
        <v>121402.556763</v>
      </c>
      <c r="V12">
        <v>141884.40938999999</v>
      </c>
      <c r="W12">
        <v>161605.57565000004</v>
      </c>
      <c r="X12">
        <v>204814.64871000004</v>
      </c>
      <c r="Y12">
        <v>226446.08284300001</v>
      </c>
      <c r="Z12">
        <v>196415.63903799999</v>
      </c>
      <c r="AA12">
        <v>172559.619863</v>
      </c>
      <c r="AB12">
        <v>105882.28402599999</v>
      </c>
      <c r="AC12">
        <v>83435.257629</v>
      </c>
      <c r="AD12">
        <v>70038.972353999998</v>
      </c>
      <c r="AE12">
        <v>52478.035874000001</v>
      </c>
      <c r="AF12">
        <v>150696.24</v>
      </c>
      <c r="AG12">
        <v>234427.11</v>
      </c>
      <c r="AH12">
        <v>280806.09000000003</v>
      </c>
      <c r="AI12">
        <v>389589.31</v>
      </c>
      <c r="AJ12">
        <v>435348.18</v>
      </c>
      <c r="AK12">
        <v>436411.49</v>
      </c>
      <c r="AL12">
        <v>435348.18</v>
      </c>
      <c r="AM12">
        <v>389589.31</v>
      </c>
      <c r="AN12">
        <v>234427.11</v>
      </c>
      <c r="AO12">
        <v>150696.24</v>
      </c>
    </row>
    <row r="13" spans="2:41" x14ac:dyDescent="0.25">
      <c r="B13">
        <v>527621.07830492069</v>
      </c>
      <c r="C13">
        <v>68061.456111532578</v>
      </c>
      <c r="D13">
        <v>55995.028360000004</v>
      </c>
      <c r="E13">
        <f t="shared" si="0"/>
        <v>595682.53441645321</v>
      </c>
      <c r="F13" s="7">
        <v>55995.028360000004</v>
      </c>
      <c r="N13">
        <v>35655.292438830998</v>
      </c>
      <c r="O13">
        <v>26049.205611191566</v>
      </c>
      <c r="P13">
        <v>29460.92972876889</v>
      </c>
      <c r="Q13">
        <v>45511.440285180783</v>
      </c>
      <c r="R13">
        <v>63229.878450108758</v>
      </c>
      <c r="S13">
        <v>81234.901867575027</v>
      </c>
      <c r="T13">
        <v>85000</v>
      </c>
      <c r="U13">
        <v>97939.264177722347</v>
      </c>
      <c r="V13">
        <v>88868.002866942159</v>
      </c>
      <c r="W13">
        <v>87277.191896652279</v>
      </c>
      <c r="X13">
        <v>68061.456111532578</v>
      </c>
      <c r="Y13">
        <v>44850.325358622191</v>
      </c>
      <c r="Z13">
        <v>34689.419376626276</v>
      </c>
      <c r="AA13">
        <v>28894.977402742468</v>
      </c>
      <c r="AB13">
        <v>37311.021301183893</v>
      </c>
      <c r="AC13">
        <v>55601.501335663896</v>
      </c>
      <c r="AD13">
        <v>65732.695036442121</v>
      </c>
      <c r="AE13">
        <v>85103.322619203609</v>
      </c>
      <c r="AF13">
        <v>95099.05913231679</v>
      </c>
      <c r="AG13">
        <v>99723.712507261909</v>
      </c>
      <c r="AH13">
        <v>92117.412524938438</v>
      </c>
      <c r="AI13">
        <v>80119.497549757725</v>
      </c>
      <c r="AJ13">
        <v>65531.086483842184</v>
      </c>
      <c r="AK13">
        <v>45708.81569379264</v>
      </c>
      <c r="AL13">
        <v>40382.288709490334</v>
      </c>
    </row>
    <row r="14" spans="2:41" x14ac:dyDescent="0.25">
      <c r="B14">
        <v>273202.90718073607</v>
      </c>
      <c r="C14">
        <v>44850.325358622191</v>
      </c>
      <c r="D14">
        <v>58119.028550000017</v>
      </c>
      <c r="E14">
        <f t="shared" si="0"/>
        <v>318053.23253935826</v>
      </c>
      <c r="F14" s="7">
        <v>58119.028550000017</v>
      </c>
    </row>
    <row r="15" spans="2:41" x14ac:dyDescent="0.25">
      <c r="B15">
        <v>326382.75330684561</v>
      </c>
      <c r="C15">
        <v>34689.419376626276</v>
      </c>
      <c r="D15">
        <v>55312.526934000009</v>
      </c>
      <c r="E15">
        <f t="shared" si="0"/>
        <v>361072.17268347187</v>
      </c>
      <c r="F15" s="7">
        <v>55312.526934000009</v>
      </c>
    </row>
    <row r="16" spans="2:41" x14ac:dyDescent="0.25">
      <c r="B16">
        <v>185277.71291401659</v>
      </c>
      <c r="C16">
        <v>28894.977402742468</v>
      </c>
      <c r="D16">
        <v>40627.768450000003</v>
      </c>
      <c r="E16">
        <f t="shared" si="0"/>
        <v>214172.69031675905</v>
      </c>
      <c r="F16" s="7">
        <v>40627.768450000003</v>
      </c>
    </row>
    <row r="17" spans="2:6" x14ac:dyDescent="0.25">
      <c r="B17">
        <v>275453.96701531915</v>
      </c>
      <c r="C17">
        <v>37311.021301183893</v>
      </c>
      <c r="D17">
        <v>42144.426923999992</v>
      </c>
      <c r="E17">
        <f t="shared" si="0"/>
        <v>312764.98831650306</v>
      </c>
      <c r="F17" s="7">
        <v>42144.426923999992</v>
      </c>
    </row>
    <row r="18" spans="2:6" x14ac:dyDescent="0.25">
      <c r="B18">
        <v>204806.25693083246</v>
      </c>
      <c r="C18">
        <v>55601.501335663896</v>
      </c>
      <c r="D18">
        <v>121402.556763</v>
      </c>
      <c r="E18">
        <f t="shared" si="0"/>
        <v>260407.75826649636</v>
      </c>
      <c r="F18" s="7">
        <v>121402.556763</v>
      </c>
    </row>
    <row r="19" spans="2:6" x14ac:dyDescent="0.25">
      <c r="B19">
        <v>423377.07032032957</v>
      </c>
      <c r="C19">
        <v>65732.695036442121</v>
      </c>
      <c r="D19">
        <v>141884.40938999999</v>
      </c>
      <c r="E19">
        <f t="shared" si="0"/>
        <v>489109.76535677171</v>
      </c>
      <c r="F19" s="7">
        <v>141884.40938999999</v>
      </c>
    </row>
    <row r="20" spans="2:6" x14ac:dyDescent="0.25">
      <c r="B20">
        <v>573960.90564652451</v>
      </c>
      <c r="C20">
        <v>85103.322619203609</v>
      </c>
      <c r="D20">
        <v>161605.57565000004</v>
      </c>
      <c r="E20">
        <f t="shared" si="0"/>
        <v>659064.2282657281</v>
      </c>
      <c r="F20" s="7">
        <v>161605.57565000004</v>
      </c>
    </row>
    <row r="21" spans="2:6" x14ac:dyDescent="0.25">
      <c r="B21">
        <v>535722.09633061185</v>
      </c>
      <c r="C21">
        <v>95099.05913231679</v>
      </c>
      <c r="D21">
        <v>204814.64871000004</v>
      </c>
      <c r="E21">
        <f t="shared" si="0"/>
        <v>630821.15546292858</v>
      </c>
      <c r="F21" s="7">
        <v>204814.64871000004</v>
      </c>
    </row>
    <row r="22" spans="2:6" x14ac:dyDescent="0.25">
      <c r="B22">
        <v>512273.2843205806</v>
      </c>
      <c r="C22">
        <v>99723.712507261909</v>
      </c>
      <c r="D22">
        <v>226446.08284300001</v>
      </c>
      <c r="E22">
        <f t="shared" si="0"/>
        <v>611996.99682784255</v>
      </c>
      <c r="F22" s="7">
        <v>226446.08284300001</v>
      </c>
    </row>
    <row r="23" spans="2:6" x14ac:dyDescent="0.25">
      <c r="B23">
        <v>531368.85758551315</v>
      </c>
      <c r="C23">
        <v>92117.412524938438</v>
      </c>
      <c r="D23">
        <v>196415.63903799999</v>
      </c>
      <c r="E23">
        <f t="shared" si="0"/>
        <v>623486.27011045162</v>
      </c>
      <c r="F23" s="7">
        <v>196415.63903799999</v>
      </c>
    </row>
    <row r="24" spans="2:6" x14ac:dyDescent="0.25">
      <c r="B24">
        <v>478959.04473836423</v>
      </c>
      <c r="C24">
        <v>80119.497549757725</v>
      </c>
      <c r="D24">
        <v>172559.619863</v>
      </c>
      <c r="E24">
        <f t="shared" si="0"/>
        <v>559078.542288122</v>
      </c>
      <c r="F24" s="7">
        <v>172559.619863</v>
      </c>
    </row>
    <row r="25" spans="2:6" x14ac:dyDescent="0.25">
      <c r="B25">
        <v>547456.80922473804</v>
      </c>
      <c r="C25">
        <v>65531.086483842184</v>
      </c>
      <c r="D25">
        <v>105882.28402599999</v>
      </c>
      <c r="E25">
        <f t="shared" si="0"/>
        <v>612987.89570858027</v>
      </c>
      <c r="F25" s="7">
        <v>105882.28402599999</v>
      </c>
    </row>
    <row r="26" spans="2:6" x14ac:dyDescent="0.25">
      <c r="B26">
        <v>401315.79320842581</v>
      </c>
      <c r="C26">
        <v>45708.81569379264</v>
      </c>
      <c r="D26">
        <v>83435.257629</v>
      </c>
      <c r="E26">
        <f t="shared" si="0"/>
        <v>447024.60890221846</v>
      </c>
      <c r="F26" s="7">
        <v>83435.257629</v>
      </c>
    </row>
    <row r="27" spans="2:6" x14ac:dyDescent="0.25">
      <c r="B27">
        <v>458231.62605826207</v>
      </c>
      <c r="C27">
        <v>40382.288709490334</v>
      </c>
      <c r="D27">
        <v>70038.972353999998</v>
      </c>
      <c r="E27">
        <f t="shared" si="0"/>
        <v>498613.9147677524</v>
      </c>
      <c r="F27" s="7">
        <v>70038.972353999998</v>
      </c>
    </row>
    <row r="28" spans="2:6" x14ac:dyDescent="0.25">
      <c r="B28">
        <v>373473.68901926809</v>
      </c>
      <c r="D28">
        <v>52478.035874000001</v>
      </c>
      <c r="E28">
        <f t="shared" si="0"/>
        <v>373473.68901926809</v>
      </c>
      <c r="F28" s="7">
        <v>52478.035874000001</v>
      </c>
    </row>
    <row r="29" spans="2:6" x14ac:dyDescent="0.25">
      <c r="B2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topLeftCell="B1" workbookViewId="0">
      <selection activeCell="H3" sqref="H3:H18"/>
    </sheetView>
  </sheetViews>
  <sheetFormatPr defaultRowHeight="15" x14ac:dyDescent="0.25"/>
  <cols>
    <col min="10" max="10" width="6.5703125" bestFit="1" customWidth="1"/>
    <col min="11" max="11" width="9.5703125" bestFit="1" customWidth="1"/>
    <col min="13" max="13" width="15.5703125" bestFit="1" customWidth="1"/>
  </cols>
  <sheetData>
    <row r="1" spans="2:14" x14ac:dyDescent="0.25">
      <c r="I1">
        <v>3.5168499999999998</v>
      </c>
    </row>
    <row r="2" spans="2:14" x14ac:dyDescent="0.25">
      <c r="C2" s="12" t="s">
        <v>40</v>
      </c>
      <c r="D2" s="12"/>
      <c r="E2" s="12" t="s">
        <v>22</v>
      </c>
      <c r="F2" s="12" t="s">
        <v>41</v>
      </c>
    </row>
    <row r="3" spans="2:14" x14ac:dyDescent="0.25">
      <c r="B3" s="12" t="s">
        <v>27</v>
      </c>
      <c r="C3">
        <v>310761</v>
      </c>
      <c r="D3">
        <f>C3-E3-F3</f>
        <v>158411.63</v>
      </c>
      <c r="E3">
        <v>99520</v>
      </c>
      <c r="F3">
        <f t="shared" ref="F3:F10" si="0">C3*17%</f>
        <v>52829.37</v>
      </c>
      <c r="G3" s="34">
        <f t="shared" ref="G3:G18" si="1">E3/C3</f>
        <v>0.32024610552804245</v>
      </c>
      <c r="H3">
        <f>D3*3.51685</f>
        <v>557109.94096549996</v>
      </c>
      <c r="I3">
        <f>5800</f>
        <v>5800</v>
      </c>
      <c r="J3">
        <f>C3-E3-I3</f>
        <v>205441</v>
      </c>
      <c r="K3">
        <f>J3*3.51</f>
        <v>721097.90999999992</v>
      </c>
      <c r="L3">
        <v>990968.82152048685</v>
      </c>
      <c r="M3" s="35">
        <v>989038.64638438052</v>
      </c>
      <c r="N3">
        <f>D3</f>
        <v>158411.63</v>
      </c>
    </row>
    <row r="4" spans="2:14" x14ac:dyDescent="0.25">
      <c r="B4" s="12" t="s">
        <v>28</v>
      </c>
      <c r="C4">
        <v>315692</v>
      </c>
      <c r="D4">
        <f t="shared" ref="D4:D18" si="2">C4-E4-F4</f>
        <v>163811.35999999999</v>
      </c>
      <c r="E4">
        <v>98213</v>
      </c>
      <c r="F4">
        <f t="shared" si="0"/>
        <v>53667.640000000007</v>
      </c>
      <c r="G4" s="34">
        <f t="shared" si="1"/>
        <v>0.31110386072501045</v>
      </c>
      <c r="H4">
        <f t="shared" ref="H4:H18" si="3">D4*3.51685</f>
        <v>576099.98141599994</v>
      </c>
      <c r="L4">
        <v>562543.31750121654</v>
      </c>
      <c r="M4" s="35">
        <v>561447.61489095923</v>
      </c>
    </row>
    <row r="5" spans="2:14" x14ac:dyDescent="0.25">
      <c r="B5" s="12" t="s">
        <v>29</v>
      </c>
      <c r="C5">
        <v>455420</v>
      </c>
      <c r="D5">
        <f t="shared" si="2"/>
        <v>245152.59999999998</v>
      </c>
      <c r="E5">
        <v>132846</v>
      </c>
      <c r="F5">
        <f t="shared" si="0"/>
        <v>77421.400000000009</v>
      </c>
      <c r="G5" s="34">
        <f t="shared" si="1"/>
        <v>0.29169996925914543</v>
      </c>
      <c r="H5">
        <f t="shared" si="3"/>
        <v>862164.92130999989</v>
      </c>
      <c r="L5">
        <v>836337.98143643711</v>
      </c>
      <c r="M5" s="35">
        <v>834708.99095551251</v>
      </c>
    </row>
    <row r="6" spans="2:14" x14ac:dyDescent="0.25">
      <c r="B6" s="12" t="s">
        <v>30</v>
      </c>
      <c r="C6">
        <v>593743</v>
      </c>
      <c r="D6">
        <f t="shared" si="2"/>
        <v>243692.69</v>
      </c>
      <c r="E6">
        <v>249114</v>
      </c>
      <c r="F6">
        <f t="shared" si="0"/>
        <v>100936.31000000001</v>
      </c>
      <c r="G6" s="34">
        <f t="shared" si="1"/>
        <v>0.41956536750749063</v>
      </c>
      <c r="H6">
        <f t="shared" si="3"/>
        <v>857030.63682649995</v>
      </c>
      <c r="L6">
        <v>621836.21228282654</v>
      </c>
      <c r="M6" s="35">
        <v>620625.02100252255</v>
      </c>
    </row>
    <row r="7" spans="2:14" x14ac:dyDescent="0.25">
      <c r="B7" s="12" t="s">
        <v>31</v>
      </c>
      <c r="C7">
        <v>709840</v>
      </c>
      <c r="D7">
        <f t="shared" si="2"/>
        <v>308320.2</v>
      </c>
      <c r="E7">
        <v>280847</v>
      </c>
      <c r="F7">
        <f t="shared" si="0"/>
        <v>120672.8</v>
      </c>
      <c r="G7" s="34">
        <f t="shared" si="1"/>
        <v>0.39564831511326498</v>
      </c>
      <c r="H7">
        <f t="shared" si="3"/>
        <v>1084315.89537</v>
      </c>
      <c r="L7">
        <v>1285464.6030873272</v>
      </c>
      <c r="M7" s="35">
        <v>1282960.819152514</v>
      </c>
    </row>
    <row r="8" spans="2:14" x14ac:dyDescent="0.25">
      <c r="B8" s="12" t="s">
        <v>32</v>
      </c>
      <c r="C8">
        <v>981057</v>
      </c>
      <c r="D8">
        <f t="shared" si="2"/>
        <v>525440.31000000006</v>
      </c>
      <c r="E8">
        <v>288837</v>
      </c>
      <c r="F8">
        <f t="shared" si="0"/>
        <v>166779.69</v>
      </c>
      <c r="G8" s="34">
        <f t="shared" si="1"/>
        <v>0.29441408603169844</v>
      </c>
      <c r="H8">
        <f t="shared" si="3"/>
        <v>1847894.7542235001</v>
      </c>
      <c r="L8">
        <v>1742669.7841862899</v>
      </c>
      <c r="M8" s="35">
        <v>1739275.4716561348</v>
      </c>
    </row>
    <row r="9" spans="2:14" x14ac:dyDescent="0.25">
      <c r="B9" s="12" t="s">
        <v>33</v>
      </c>
      <c r="C9">
        <v>1072449</v>
      </c>
      <c r="D9">
        <f t="shared" si="2"/>
        <v>596688.66999999993</v>
      </c>
      <c r="E9">
        <v>293444</v>
      </c>
      <c r="F9">
        <f t="shared" si="0"/>
        <v>182316.33000000002</v>
      </c>
      <c r="G9" s="34">
        <f t="shared" si="1"/>
        <v>0.2736204705305334</v>
      </c>
      <c r="H9">
        <f t="shared" si="3"/>
        <v>2098464.5490894997</v>
      </c>
      <c r="L9">
        <v>1626568.4662698023</v>
      </c>
      <c r="M9" s="35">
        <v>1623400.291910945</v>
      </c>
    </row>
    <row r="10" spans="2:14" x14ac:dyDescent="0.25">
      <c r="B10" s="12" t="s">
        <v>34</v>
      </c>
      <c r="C10">
        <v>1105969</v>
      </c>
      <c r="D10">
        <f t="shared" si="2"/>
        <v>615610.27</v>
      </c>
      <c r="E10">
        <v>302344</v>
      </c>
      <c r="F10">
        <f t="shared" si="0"/>
        <v>188014.73</v>
      </c>
      <c r="G10" s="34">
        <f t="shared" si="1"/>
        <v>0.27337475101020009</v>
      </c>
      <c r="H10">
        <f t="shared" si="3"/>
        <v>2165008.9780494999</v>
      </c>
      <c r="L10">
        <v>1555372.7876740342</v>
      </c>
      <c r="M10" s="35">
        <v>1552343.2858199412</v>
      </c>
    </row>
    <row r="11" spans="2:14" x14ac:dyDescent="0.25">
      <c r="B11" s="12" t="s">
        <v>35</v>
      </c>
      <c r="C11">
        <v>944144</v>
      </c>
      <c r="D11">
        <f t="shared" si="2"/>
        <v>513490</v>
      </c>
      <c r="E11">
        <v>267654</v>
      </c>
      <c r="F11">
        <v>163000</v>
      </c>
      <c r="G11" s="34">
        <f t="shared" si="1"/>
        <v>0.28348853564710469</v>
      </c>
      <c r="H11">
        <f t="shared" si="3"/>
        <v>1805867.3064999999</v>
      </c>
      <c r="I11">
        <f>F11/C11</f>
        <v>0.17264315612872613</v>
      </c>
      <c r="L11">
        <v>1613351.0893547542</v>
      </c>
      <c r="M11" s="35">
        <v>1610208.6593500397</v>
      </c>
    </row>
    <row r="12" spans="2:14" x14ac:dyDescent="0.25">
      <c r="B12" s="12" t="s">
        <v>36</v>
      </c>
      <c r="C12">
        <v>862221</v>
      </c>
      <c r="D12">
        <f t="shared" si="2"/>
        <v>449866.43</v>
      </c>
      <c r="E12">
        <v>265777</v>
      </c>
      <c r="F12">
        <f>C12*17%</f>
        <v>146577.57</v>
      </c>
      <c r="G12" s="34">
        <f t="shared" si="1"/>
        <v>0.30824695756656356</v>
      </c>
      <c r="H12">
        <f t="shared" si="3"/>
        <v>1582112.7543454999</v>
      </c>
      <c r="L12">
        <v>1454223.5314582719</v>
      </c>
      <c r="M12" s="35">
        <v>1451391.0446617098</v>
      </c>
    </row>
    <row r="13" spans="2:14" x14ac:dyDescent="0.25">
      <c r="B13" s="12" t="s">
        <v>37</v>
      </c>
      <c r="C13">
        <v>636287</v>
      </c>
      <c r="D13">
        <f t="shared" si="2"/>
        <v>310196.20999999996</v>
      </c>
      <c r="E13">
        <v>217922</v>
      </c>
      <c r="F13">
        <f>C13*17%</f>
        <v>108168.79000000001</v>
      </c>
      <c r="G13" s="34">
        <f t="shared" si="1"/>
        <v>0.34249010273665814</v>
      </c>
      <c r="H13">
        <f t="shared" si="3"/>
        <v>1090913.5411384997</v>
      </c>
      <c r="L13">
        <v>1662197.5995182768</v>
      </c>
    </row>
    <row r="14" spans="2:14" x14ac:dyDescent="0.25">
      <c r="B14" s="12" t="s">
        <v>38</v>
      </c>
      <c r="C14">
        <v>509009</v>
      </c>
      <c r="D14">
        <f t="shared" si="2"/>
        <v>245729.46999999997</v>
      </c>
      <c r="E14">
        <v>176748</v>
      </c>
      <c r="F14">
        <f>C14*17%</f>
        <v>86531.530000000013</v>
      </c>
      <c r="G14" s="34">
        <f t="shared" si="1"/>
        <v>0.34723943977414939</v>
      </c>
      <c r="H14">
        <f t="shared" si="3"/>
        <v>864193.6865694999</v>
      </c>
      <c r="L14">
        <v>1218481.7813563431</v>
      </c>
    </row>
    <row r="15" spans="2:14" x14ac:dyDescent="0.25">
      <c r="B15" s="12" t="s">
        <v>39</v>
      </c>
      <c r="C15">
        <v>397412</v>
      </c>
      <c r="D15">
        <f t="shared" si="2"/>
        <v>184055</v>
      </c>
      <c r="E15">
        <v>143537</v>
      </c>
      <c r="F15">
        <v>69820</v>
      </c>
      <c r="G15" s="34">
        <f t="shared" si="1"/>
        <v>0.36117933026682636</v>
      </c>
      <c r="H15">
        <f t="shared" si="3"/>
        <v>647293.82675000001</v>
      </c>
      <c r="I15">
        <f>F15/C15</f>
        <v>0.17568669290308295</v>
      </c>
      <c r="L15">
        <v>1391290.5931995157</v>
      </c>
    </row>
    <row r="16" spans="2:14" x14ac:dyDescent="0.25">
      <c r="B16" s="12" t="s">
        <v>28</v>
      </c>
      <c r="C16">
        <v>321763</v>
      </c>
      <c r="D16">
        <f t="shared" si="2"/>
        <v>144339</v>
      </c>
      <c r="E16">
        <v>125424</v>
      </c>
      <c r="F16">
        <v>52000</v>
      </c>
      <c r="G16" s="34">
        <f t="shared" si="1"/>
        <v>0.38980243222496058</v>
      </c>
      <c r="H16">
        <f t="shared" si="3"/>
        <v>507618.61215</v>
      </c>
      <c r="I16">
        <f>F16/C16</f>
        <v>0.16160963193406327</v>
      </c>
      <c r="L16">
        <v>1133947.1149334479</v>
      </c>
    </row>
    <row r="17" spans="2:12" x14ac:dyDescent="0.25">
      <c r="B17" s="12" t="s">
        <v>29</v>
      </c>
      <c r="C17">
        <v>391019</v>
      </c>
      <c r="D17">
        <f t="shared" si="2"/>
        <v>181549</v>
      </c>
      <c r="E17">
        <v>145470</v>
      </c>
      <c r="F17">
        <v>64000</v>
      </c>
      <c r="G17" s="34">
        <f t="shared" si="1"/>
        <v>0.37202795772072456</v>
      </c>
      <c r="H17">
        <f t="shared" si="3"/>
        <v>638480.60064999992</v>
      </c>
      <c r="I17">
        <f>F17/C17</f>
        <v>0.16367491093783165</v>
      </c>
      <c r="L17">
        <v>567288.62275449093</v>
      </c>
    </row>
    <row r="18" spans="2:12" x14ac:dyDescent="0.25">
      <c r="B18" s="12" t="s">
        <v>30</v>
      </c>
      <c r="C18">
        <v>569691</v>
      </c>
      <c r="D18">
        <f t="shared" si="2"/>
        <v>305947</v>
      </c>
      <c r="E18">
        <v>177744</v>
      </c>
      <c r="F18">
        <v>86000</v>
      </c>
      <c r="G18" s="34">
        <f t="shared" si="1"/>
        <v>0.31200071617771741</v>
      </c>
      <c r="H18">
        <f t="shared" si="3"/>
        <v>1075969.70695</v>
      </c>
      <c r="I18">
        <f>F18/C18</f>
        <v>0.15095902866641742</v>
      </c>
    </row>
    <row r="19" spans="2:12" x14ac:dyDescent="0.25">
      <c r="B19" s="12" t="s">
        <v>18</v>
      </c>
      <c r="C19">
        <f>SUM(C3:C18)</f>
        <v>10176477</v>
      </c>
      <c r="D19">
        <f>SUM(D3:D18)</f>
        <v>5192299.84</v>
      </c>
      <c r="E19">
        <f>SUM(E3:E18)</f>
        <v>3265441</v>
      </c>
      <c r="F19">
        <f>SUM(F3:F18)</f>
        <v>1718736.1600000001</v>
      </c>
    </row>
    <row r="20" spans="2:12" x14ac:dyDescent="0.25">
      <c r="D20">
        <f>D19/C19</f>
        <v>0.51022567436648258</v>
      </c>
      <c r="E20">
        <f>E19/C19</f>
        <v>0.32088128337537636</v>
      </c>
      <c r="F20">
        <f>F19/C19</f>
        <v>0.16889304225814103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Marian Chitian</cp:lastModifiedBy>
  <dcterms:created xsi:type="dcterms:W3CDTF">2019-02-20T05:05:14Z</dcterms:created>
  <dcterms:modified xsi:type="dcterms:W3CDTF">2019-11-03T06:32:55Z</dcterms:modified>
</cp:coreProperties>
</file>