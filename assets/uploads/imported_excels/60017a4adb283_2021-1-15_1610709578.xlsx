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3" l="1"/>
  <c r="H9" i="3" l="1"/>
  <c r="H10" i="3"/>
  <c r="H11" i="3"/>
  <c r="K32" i="1" l="1"/>
  <c r="B32" i="1"/>
  <c r="K31" i="2"/>
  <c r="K32" i="2"/>
  <c r="B31" i="2"/>
  <c r="B32" i="2"/>
  <c r="K3" i="2" l="1"/>
  <c r="K3" i="1" s="1"/>
  <c r="K4" i="2"/>
  <c r="K4" i="1" s="1"/>
  <c r="K5" i="2"/>
  <c r="K5" i="1" s="1"/>
  <c r="K6" i="2"/>
  <c r="K6" i="1" s="1"/>
  <c r="K7" i="2"/>
  <c r="K7" i="1" s="1"/>
  <c r="K8" i="2"/>
  <c r="K8" i="1" s="1"/>
  <c r="K9" i="2"/>
  <c r="K9" i="1" s="1"/>
  <c r="K10" i="2"/>
  <c r="K10" i="1" s="1"/>
  <c r="K11" i="2"/>
  <c r="K11" i="1" s="1"/>
  <c r="K12" i="2"/>
  <c r="K12" i="1" s="1"/>
  <c r="K13" i="2"/>
  <c r="K13" i="1" s="1"/>
  <c r="K14" i="2"/>
  <c r="K14" i="1" s="1"/>
  <c r="K15" i="2"/>
  <c r="K15" i="1" s="1"/>
  <c r="K16" i="2"/>
  <c r="K16" i="1" s="1"/>
  <c r="K17" i="2"/>
  <c r="K17" i="1" s="1"/>
  <c r="K18" i="2"/>
  <c r="K18" i="1" s="1"/>
  <c r="K19" i="2"/>
  <c r="K19" i="1" s="1"/>
  <c r="K20" i="2"/>
  <c r="K20" i="1" s="1"/>
  <c r="K21" i="2"/>
  <c r="K21" i="1" s="1"/>
  <c r="K22" i="2"/>
  <c r="K22" i="1" s="1"/>
  <c r="K23" i="2"/>
  <c r="K23" i="1" s="1"/>
  <c r="K24" i="2"/>
  <c r="K24" i="1" s="1"/>
  <c r="K25" i="2"/>
  <c r="K25" i="1" s="1"/>
  <c r="K26" i="2"/>
  <c r="K26" i="1" s="1"/>
  <c r="K27" i="2"/>
  <c r="K27" i="1" s="1"/>
  <c r="K28" i="2"/>
  <c r="K28" i="1" s="1"/>
  <c r="K29" i="2"/>
  <c r="K29" i="1" s="1"/>
  <c r="K30" i="2"/>
  <c r="K30" i="1" s="1"/>
  <c r="K31" i="1"/>
  <c r="K2" i="2"/>
  <c r="K2" i="1" s="1"/>
  <c r="Y40" i="3" l="1"/>
  <c r="U39" i="3"/>
  <c r="P39" i="3"/>
  <c r="I32" i="2" s="1"/>
  <c r="N39" i="3"/>
  <c r="H32" i="2" s="1"/>
  <c r="G32" i="1" s="1"/>
  <c r="H39" i="3"/>
  <c r="G32" i="2" s="1"/>
  <c r="F39" i="3"/>
  <c r="F32" i="2" s="1"/>
  <c r="D39" i="3"/>
  <c r="E32" i="2" s="1"/>
  <c r="V39" i="3" l="1"/>
  <c r="J32" i="2"/>
  <c r="I32" i="1" s="1"/>
  <c r="E32" i="1"/>
  <c r="R39" i="3"/>
  <c r="K39" i="3"/>
  <c r="Q39" i="3"/>
  <c r="X39" i="3" l="1"/>
  <c r="Z39" i="3" s="1"/>
  <c r="U38" i="3"/>
  <c r="J31" i="2" s="1"/>
  <c r="P38" i="3"/>
  <c r="I31" i="2" s="1"/>
  <c r="N38" i="3"/>
  <c r="H38" i="3"/>
  <c r="G31" i="2" s="1"/>
  <c r="F38" i="3"/>
  <c r="F31" i="2" s="1"/>
  <c r="D38" i="3"/>
  <c r="E31" i="2" s="1"/>
  <c r="U37" i="3"/>
  <c r="J30" i="2" s="1"/>
  <c r="I30" i="1" s="1"/>
  <c r="P37" i="3"/>
  <c r="I30" i="2" s="1"/>
  <c r="N37" i="3"/>
  <c r="H30" i="2" s="1"/>
  <c r="H37" i="3"/>
  <c r="G30" i="2" s="1"/>
  <c r="F37" i="3"/>
  <c r="F30" i="2" s="1"/>
  <c r="D37" i="3"/>
  <c r="E30" i="2" s="1"/>
  <c r="U36" i="3"/>
  <c r="J29" i="2" s="1"/>
  <c r="I29" i="1" s="1"/>
  <c r="P36" i="3"/>
  <c r="I29" i="2" s="1"/>
  <c r="N36" i="3"/>
  <c r="H29" i="2" s="1"/>
  <c r="G29" i="1" s="1"/>
  <c r="H36" i="3"/>
  <c r="G29" i="2" s="1"/>
  <c r="F36" i="3"/>
  <c r="F29" i="2" s="1"/>
  <c r="D36" i="3"/>
  <c r="E29" i="2" s="1"/>
  <c r="U35" i="3"/>
  <c r="J28" i="2" s="1"/>
  <c r="I28" i="1" s="1"/>
  <c r="P35" i="3"/>
  <c r="I28" i="2" s="1"/>
  <c r="N35" i="3"/>
  <c r="H28" i="2" s="1"/>
  <c r="H35" i="3"/>
  <c r="G28" i="2" s="1"/>
  <c r="F35" i="3"/>
  <c r="F28" i="2" s="1"/>
  <c r="D35" i="3"/>
  <c r="E28" i="2" s="1"/>
  <c r="U34" i="3"/>
  <c r="P34" i="3"/>
  <c r="I27" i="2" s="1"/>
  <c r="N34" i="3"/>
  <c r="H27" i="2" s="1"/>
  <c r="G27" i="1" s="1"/>
  <c r="H34" i="3"/>
  <c r="G27" i="2" s="1"/>
  <c r="F34" i="3"/>
  <c r="F27" i="2" s="1"/>
  <c r="D34" i="3"/>
  <c r="E27" i="2" s="1"/>
  <c r="U33" i="3"/>
  <c r="J26" i="2" s="1"/>
  <c r="I26" i="1" s="1"/>
  <c r="P33" i="3"/>
  <c r="I26" i="2" s="1"/>
  <c r="N33" i="3"/>
  <c r="H26" i="2" s="1"/>
  <c r="H33" i="3"/>
  <c r="G26" i="2" s="1"/>
  <c r="F33" i="3"/>
  <c r="F26" i="2" s="1"/>
  <c r="D33" i="3"/>
  <c r="E26" i="2" s="1"/>
  <c r="U32" i="3"/>
  <c r="P32" i="3"/>
  <c r="I25" i="2" s="1"/>
  <c r="N32" i="3"/>
  <c r="H25" i="2" s="1"/>
  <c r="G25" i="1" s="1"/>
  <c r="H32" i="3"/>
  <c r="G25" i="2" s="1"/>
  <c r="F32" i="3"/>
  <c r="F25" i="2" s="1"/>
  <c r="D32" i="3"/>
  <c r="E25" i="2" s="1"/>
  <c r="U31" i="3"/>
  <c r="P31" i="3"/>
  <c r="I24" i="2" s="1"/>
  <c r="N31" i="3"/>
  <c r="H24" i="2" s="1"/>
  <c r="H31" i="3"/>
  <c r="G24" i="2" s="1"/>
  <c r="F31" i="3"/>
  <c r="F24" i="2" s="1"/>
  <c r="D31" i="3"/>
  <c r="E24" i="2" s="1"/>
  <c r="U30" i="3"/>
  <c r="J23" i="2" s="1"/>
  <c r="I23" i="1" s="1"/>
  <c r="P30" i="3"/>
  <c r="I23" i="2" s="1"/>
  <c r="N30" i="3"/>
  <c r="H23" i="2" s="1"/>
  <c r="G23" i="1" s="1"/>
  <c r="H30" i="3"/>
  <c r="G23" i="2" s="1"/>
  <c r="F30" i="3"/>
  <c r="F23" i="2" s="1"/>
  <c r="D30" i="3"/>
  <c r="E23" i="2" s="1"/>
  <c r="U29" i="3"/>
  <c r="P29" i="3"/>
  <c r="I22" i="2" s="1"/>
  <c r="N29" i="3"/>
  <c r="H22" i="2" s="1"/>
  <c r="H29" i="3"/>
  <c r="G22" i="2" s="1"/>
  <c r="F29" i="3"/>
  <c r="F22" i="2" s="1"/>
  <c r="D29" i="3"/>
  <c r="E22" i="2" s="1"/>
  <c r="U28" i="3"/>
  <c r="J21" i="2" s="1"/>
  <c r="I21" i="1" s="1"/>
  <c r="P28" i="3"/>
  <c r="I21" i="2" s="1"/>
  <c r="N28" i="3"/>
  <c r="H21" i="2" s="1"/>
  <c r="G21" i="1" s="1"/>
  <c r="H28" i="3"/>
  <c r="G21" i="2" s="1"/>
  <c r="F28" i="3"/>
  <c r="F21" i="2" s="1"/>
  <c r="D28" i="3"/>
  <c r="E21" i="2" s="1"/>
  <c r="U27" i="3"/>
  <c r="P27" i="3"/>
  <c r="I20" i="2" s="1"/>
  <c r="N27" i="3"/>
  <c r="H20" i="2" s="1"/>
  <c r="H27" i="3"/>
  <c r="G20" i="2" s="1"/>
  <c r="F27" i="3"/>
  <c r="F20" i="2" s="1"/>
  <c r="D27" i="3"/>
  <c r="E20" i="2" s="1"/>
  <c r="U26" i="3"/>
  <c r="J19" i="2" s="1"/>
  <c r="I19" i="1" s="1"/>
  <c r="P26" i="3"/>
  <c r="I19" i="2" s="1"/>
  <c r="N26" i="3"/>
  <c r="H19" i="2" s="1"/>
  <c r="G19" i="1" s="1"/>
  <c r="H26" i="3"/>
  <c r="G19" i="2" s="1"/>
  <c r="F26" i="3"/>
  <c r="F19" i="2" s="1"/>
  <c r="D26" i="3"/>
  <c r="E19" i="2" s="1"/>
  <c r="U25" i="3"/>
  <c r="J18" i="2" s="1"/>
  <c r="I18" i="1" s="1"/>
  <c r="P25" i="3"/>
  <c r="I18" i="2" s="1"/>
  <c r="N25" i="3"/>
  <c r="H18" i="2" s="1"/>
  <c r="H25" i="3"/>
  <c r="G18" i="2" s="1"/>
  <c r="F25" i="3"/>
  <c r="F18" i="2" s="1"/>
  <c r="D25" i="3"/>
  <c r="E18" i="2" s="1"/>
  <c r="U24" i="3"/>
  <c r="J17" i="2" s="1"/>
  <c r="I17" i="1" s="1"/>
  <c r="P24" i="3"/>
  <c r="I17" i="2" s="1"/>
  <c r="N24" i="3"/>
  <c r="H17" i="2" s="1"/>
  <c r="G17" i="1" s="1"/>
  <c r="H24" i="3"/>
  <c r="G17" i="2" s="1"/>
  <c r="F24" i="3"/>
  <c r="F17" i="2" s="1"/>
  <c r="D24" i="3"/>
  <c r="E17" i="2" s="1"/>
  <c r="U23" i="3"/>
  <c r="J16" i="2" s="1"/>
  <c r="I16" i="1" s="1"/>
  <c r="P23" i="3"/>
  <c r="I16" i="2" s="1"/>
  <c r="N23" i="3"/>
  <c r="H16" i="2" s="1"/>
  <c r="H23" i="3"/>
  <c r="G16" i="2" s="1"/>
  <c r="F23" i="3"/>
  <c r="F16" i="2" s="1"/>
  <c r="D23" i="3"/>
  <c r="E16" i="2" s="1"/>
  <c r="U22" i="3"/>
  <c r="J15" i="2" s="1"/>
  <c r="I15" i="1" s="1"/>
  <c r="P22" i="3"/>
  <c r="I15" i="2" s="1"/>
  <c r="N22" i="3"/>
  <c r="H15" i="2" s="1"/>
  <c r="G15" i="1" s="1"/>
  <c r="H22" i="3"/>
  <c r="G15" i="2" s="1"/>
  <c r="F22" i="3"/>
  <c r="F15" i="2" s="1"/>
  <c r="D22" i="3"/>
  <c r="E15" i="2" s="1"/>
  <c r="U21" i="3"/>
  <c r="P21" i="3"/>
  <c r="I14" i="2" s="1"/>
  <c r="N21" i="3"/>
  <c r="H14" i="2" s="1"/>
  <c r="H21" i="3"/>
  <c r="G14" i="2" s="1"/>
  <c r="F21" i="3"/>
  <c r="F14" i="2" s="1"/>
  <c r="D21" i="3"/>
  <c r="E14" i="2" s="1"/>
  <c r="U20" i="3"/>
  <c r="J13" i="2" s="1"/>
  <c r="I13" i="1" s="1"/>
  <c r="P20" i="3"/>
  <c r="I13" i="2" s="1"/>
  <c r="N20" i="3"/>
  <c r="H13" i="2" s="1"/>
  <c r="G13" i="1" s="1"/>
  <c r="H20" i="3"/>
  <c r="G13" i="2" s="1"/>
  <c r="F20" i="3"/>
  <c r="F13" i="2" s="1"/>
  <c r="D20" i="3"/>
  <c r="E13" i="2" s="1"/>
  <c r="U19" i="3"/>
  <c r="J12" i="2" s="1"/>
  <c r="I12" i="1" s="1"/>
  <c r="P19" i="3"/>
  <c r="I12" i="2" s="1"/>
  <c r="N19" i="3"/>
  <c r="H12" i="2" s="1"/>
  <c r="H19" i="3"/>
  <c r="G12" i="2" s="1"/>
  <c r="F19" i="3"/>
  <c r="F12" i="2" s="1"/>
  <c r="D19" i="3"/>
  <c r="E12" i="2" s="1"/>
  <c r="U18" i="3"/>
  <c r="J11" i="2" s="1"/>
  <c r="I11" i="1" s="1"/>
  <c r="P18" i="3"/>
  <c r="I11" i="2" s="1"/>
  <c r="N18" i="3"/>
  <c r="H11" i="2" s="1"/>
  <c r="G11" i="1" s="1"/>
  <c r="H18" i="3"/>
  <c r="G11" i="2" s="1"/>
  <c r="F18" i="3"/>
  <c r="F11" i="2" s="1"/>
  <c r="D18" i="3"/>
  <c r="E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J10" i="2" s="1"/>
  <c r="I10" i="1" s="1"/>
  <c r="P17" i="3"/>
  <c r="I10" i="2" s="1"/>
  <c r="N17" i="3"/>
  <c r="H10" i="2" s="1"/>
  <c r="H17" i="3"/>
  <c r="G10" i="2" s="1"/>
  <c r="F17" i="3"/>
  <c r="F10" i="2" s="1"/>
  <c r="D17" i="3"/>
  <c r="E10" i="2" s="1"/>
  <c r="U16" i="3"/>
  <c r="J9" i="2" s="1"/>
  <c r="I9" i="1" s="1"/>
  <c r="P16" i="3"/>
  <c r="I9" i="2" s="1"/>
  <c r="N16" i="3"/>
  <c r="H9" i="2" s="1"/>
  <c r="H16" i="3"/>
  <c r="G9" i="2" s="1"/>
  <c r="F16" i="3"/>
  <c r="F9" i="2" s="1"/>
  <c r="D16" i="3"/>
  <c r="E9" i="2" s="1"/>
  <c r="U15" i="3"/>
  <c r="J8" i="2" s="1"/>
  <c r="I8" i="1" s="1"/>
  <c r="P15" i="3"/>
  <c r="I8" i="2" s="1"/>
  <c r="N15" i="3"/>
  <c r="H8" i="2" s="1"/>
  <c r="H15" i="3"/>
  <c r="G8" i="2" s="1"/>
  <c r="F15" i="3"/>
  <c r="F8" i="2" s="1"/>
  <c r="D15" i="3"/>
  <c r="E8" i="2" s="1"/>
  <c r="U14" i="3"/>
  <c r="J7" i="2" s="1"/>
  <c r="I7" i="1" s="1"/>
  <c r="P14" i="3"/>
  <c r="I7" i="2" s="1"/>
  <c r="N14" i="3"/>
  <c r="H7" i="2" s="1"/>
  <c r="H14" i="3"/>
  <c r="G7" i="2" s="1"/>
  <c r="F14" i="3"/>
  <c r="F7" i="2" s="1"/>
  <c r="D14" i="3"/>
  <c r="E7" i="2" s="1"/>
  <c r="U13" i="3"/>
  <c r="J6" i="2" s="1"/>
  <c r="I6" i="1" s="1"/>
  <c r="P13" i="3"/>
  <c r="I6" i="2" s="1"/>
  <c r="N13" i="3"/>
  <c r="H6" i="2" s="1"/>
  <c r="H13" i="3"/>
  <c r="G6" i="2" s="1"/>
  <c r="F13" i="3"/>
  <c r="F6" i="2" s="1"/>
  <c r="D13" i="3"/>
  <c r="E6" i="2" s="1"/>
  <c r="U12" i="3"/>
  <c r="J5" i="2" s="1"/>
  <c r="I5" i="1" s="1"/>
  <c r="P12" i="3"/>
  <c r="I5" i="2" s="1"/>
  <c r="N12" i="3"/>
  <c r="H5" i="2" s="1"/>
  <c r="H12" i="3"/>
  <c r="G5" i="2" s="1"/>
  <c r="F12" i="3"/>
  <c r="F5" i="2" s="1"/>
  <c r="D12" i="3"/>
  <c r="E5" i="2" s="1"/>
  <c r="U11" i="3"/>
  <c r="J4" i="2" s="1"/>
  <c r="I4" i="1" s="1"/>
  <c r="P11" i="3"/>
  <c r="I4" i="2" s="1"/>
  <c r="N11" i="3"/>
  <c r="H4" i="2" s="1"/>
  <c r="G4" i="2"/>
  <c r="F11" i="3"/>
  <c r="F4" i="2" s="1"/>
  <c r="D11" i="3"/>
  <c r="E4" i="2" s="1"/>
  <c r="U10" i="3"/>
  <c r="J3" i="2" s="1"/>
  <c r="I3" i="1" s="1"/>
  <c r="P10" i="3"/>
  <c r="I3" i="2" s="1"/>
  <c r="N10" i="3"/>
  <c r="H3" i="2" s="1"/>
  <c r="G3" i="2"/>
  <c r="F10" i="3"/>
  <c r="F3" i="2" s="1"/>
  <c r="D10" i="3"/>
  <c r="E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G2" i="2"/>
  <c r="F9" i="3"/>
  <c r="F2" i="2" s="1"/>
  <c r="D9" i="3"/>
  <c r="E2" i="2" s="1"/>
  <c r="U6" i="3"/>
  <c r="V6" i="3" s="1"/>
  <c r="P6" i="3"/>
  <c r="N6" i="3"/>
  <c r="H6" i="3"/>
  <c r="B6" i="3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G12" i="1" l="1"/>
  <c r="G14" i="1"/>
  <c r="G16" i="1"/>
  <c r="G18" i="1"/>
  <c r="G20" i="1"/>
  <c r="G22" i="1"/>
  <c r="G24" i="1"/>
  <c r="G26" i="1"/>
  <c r="G28" i="1"/>
  <c r="G30" i="1"/>
  <c r="H31" i="2"/>
  <c r="G31" i="1" s="1"/>
  <c r="E3" i="1"/>
  <c r="E5" i="1"/>
  <c r="E7" i="1"/>
  <c r="E9" i="1"/>
  <c r="V21" i="3"/>
  <c r="J14" i="2"/>
  <c r="I14" i="1" s="1"/>
  <c r="E2" i="1"/>
  <c r="G4" i="1"/>
  <c r="G6" i="1"/>
  <c r="G8" i="1"/>
  <c r="G10" i="1"/>
  <c r="E11" i="1"/>
  <c r="E13" i="1"/>
  <c r="E15" i="1"/>
  <c r="E17" i="1"/>
  <c r="E19" i="1"/>
  <c r="E21" i="1"/>
  <c r="E4" i="1"/>
  <c r="E6" i="1"/>
  <c r="E8" i="1"/>
  <c r="E10" i="1"/>
  <c r="V27" i="3"/>
  <c r="J20" i="2"/>
  <c r="I20" i="1" s="1"/>
  <c r="G3" i="1"/>
  <c r="G5" i="1"/>
  <c r="G7" i="1"/>
  <c r="G9" i="1"/>
  <c r="E12" i="1"/>
  <c r="E14" i="1"/>
  <c r="E16" i="1"/>
  <c r="E18" i="1"/>
  <c r="E20" i="1"/>
  <c r="G2" i="1"/>
  <c r="V32" i="3"/>
  <c r="J25" i="2"/>
  <c r="I25" i="1" s="1"/>
  <c r="V34" i="3"/>
  <c r="J27" i="2"/>
  <c r="I27" i="1" s="1"/>
  <c r="V38" i="3"/>
  <c r="I31" i="1"/>
  <c r="V29" i="3"/>
  <c r="J22" i="2"/>
  <c r="I22" i="1" s="1"/>
  <c r="V31" i="3"/>
  <c r="J24" i="2"/>
  <c r="I24" i="1" s="1"/>
  <c r="E23" i="1"/>
  <c r="E25" i="1"/>
  <c r="E27" i="1"/>
  <c r="E29" i="1"/>
  <c r="E31" i="1"/>
  <c r="E22" i="1"/>
  <c r="E24" i="1"/>
  <c r="E26" i="1"/>
  <c r="E28" i="1"/>
  <c r="E30" i="1"/>
  <c r="C40" i="3"/>
  <c r="Q6" i="3"/>
  <c r="R6" i="3" s="1"/>
  <c r="V11" i="3"/>
  <c r="V13" i="3"/>
  <c r="V17" i="3"/>
  <c r="V15" i="3"/>
  <c r="V10" i="3"/>
  <c r="V12" i="3"/>
  <c r="V14" i="3"/>
  <c r="V16" i="3"/>
  <c r="V18" i="3"/>
  <c r="R10" i="3"/>
  <c r="R14" i="3"/>
  <c r="Q16" i="3"/>
  <c r="R13" i="3"/>
  <c r="K10" i="3"/>
  <c r="V37" i="3"/>
  <c r="V35" i="3"/>
  <c r="V30" i="3"/>
  <c r="V33" i="3"/>
  <c r="V36" i="3"/>
  <c r="R31" i="3"/>
  <c r="Q34" i="3"/>
  <c r="R35" i="3"/>
  <c r="Q30" i="3"/>
  <c r="Q33" i="3"/>
  <c r="Q35" i="3"/>
  <c r="Q38" i="3"/>
  <c r="R30" i="3"/>
  <c r="R32" i="3"/>
  <c r="Q37" i="3"/>
  <c r="K35" i="3"/>
  <c r="K34" i="3"/>
  <c r="V26" i="3"/>
  <c r="V20" i="3"/>
  <c r="V23" i="3"/>
  <c r="V28" i="3"/>
  <c r="V22" i="3"/>
  <c r="V25" i="3"/>
  <c r="V19" i="3"/>
  <c r="V24" i="3"/>
  <c r="R23" i="3"/>
  <c r="Q26" i="3"/>
  <c r="R27" i="3"/>
  <c r="R24" i="3"/>
  <c r="R26" i="3"/>
  <c r="R28" i="3"/>
  <c r="K27" i="3"/>
  <c r="Q10" i="3"/>
  <c r="Q12" i="3"/>
  <c r="Q14" i="3"/>
  <c r="R19" i="3"/>
  <c r="K11" i="3"/>
  <c r="K15" i="3"/>
  <c r="K12" i="3"/>
  <c r="K16" i="3"/>
  <c r="K19" i="3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R20" i="3"/>
  <c r="R11" i="3"/>
  <c r="R16" i="3"/>
  <c r="R18" i="3"/>
  <c r="Q24" i="3"/>
  <c r="R25" i="3"/>
  <c r="Q32" i="3"/>
  <c r="R33" i="3"/>
  <c r="K13" i="3"/>
  <c r="K14" i="3"/>
  <c r="K24" i="3"/>
  <c r="K25" i="3"/>
  <c r="K32" i="3"/>
  <c r="K33" i="3"/>
  <c r="K22" i="3"/>
  <c r="K23" i="3"/>
  <c r="K30" i="3"/>
  <c r="K31" i="3"/>
  <c r="K38" i="3"/>
  <c r="K21" i="3"/>
  <c r="K28" i="3"/>
  <c r="K29" i="3"/>
  <c r="K36" i="3"/>
  <c r="K37" i="3"/>
  <c r="E40" i="3"/>
  <c r="T40" i="3"/>
  <c r="V9" i="3"/>
  <c r="K17" i="3"/>
  <c r="G40" i="3"/>
  <c r="K18" i="3"/>
  <c r="Q21" i="3"/>
  <c r="K26" i="3"/>
  <c r="R17" i="3"/>
  <c r="O40" i="3"/>
  <c r="K6" i="3"/>
  <c r="J6" i="3"/>
  <c r="M40" i="3"/>
  <c r="Q9" i="3"/>
  <c r="Q17" i="3"/>
  <c r="K20" i="3"/>
  <c r="Q23" i="3"/>
  <c r="I40" i="3" l="1"/>
  <c r="X6" i="3"/>
  <c r="Z6" i="3" s="1"/>
  <c r="X36" i="3"/>
  <c r="Z36" i="3" s="1"/>
  <c r="X24" i="3"/>
  <c r="Z24" i="3" s="1"/>
  <c r="X27" i="3"/>
  <c r="Z27" i="3" s="1"/>
  <c r="X22" i="3"/>
  <c r="Z22" i="3" s="1"/>
  <c r="X34" i="3"/>
  <c r="Z34" i="3" s="1"/>
  <c r="X32" i="3"/>
  <c r="Z32" i="3" s="1"/>
  <c r="X15" i="3"/>
  <c r="Z15" i="3" s="1"/>
  <c r="X23" i="3"/>
  <c r="Z23" i="3" s="1"/>
  <c r="X14" i="3"/>
  <c r="Z14" i="3" s="1"/>
  <c r="X12" i="3"/>
  <c r="Z12" i="3" s="1"/>
  <c r="X10" i="3"/>
  <c r="Z10" i="3" s="1"/>
  <c r="X30" i="3"/>
  <c r="Z30" i="3" s="1"/>
  <c r="X13" i="3"/>
  <c r="Z13" i="3" s="1"/>
  <c r="X35" i="3"/>
  <c r="Z35" i="3" s="1"/>
  <c r="X16" i="3"/>
  <c r="Z16" i="3" s="1"/>
  <c r="X11" i="3"/>
  <c r="Z11" i="3" s="1"/>
  <c r="V40" i="3"/>
  <c r="X31" i="3"/>
  <c r="Z31" i="3" s="1"/>
  <c r="X38" i="3"/>
  <c r="Z38" i="3" s="1"/>
  <c r="X29" i="3"/>
  <c r="Z29" i="3" s="1"/>
  <c r="X26" i="3"/>
  <c r="Z26" i="3" s="1"/>
  <c r="X28" i="3"/>
  <c r="Z28" i="3" s="1"/>
  <c r="X20" i="3"/>
  <c r="Z20" i="3" s="1"/>
  <c r="X21" i="3"/>
  <c r="Z21" i="3" s="1"/>
  <c r="X25" i="3"/>
  <c r="Z25" i="3" s="1"/>
  <c r="R40" i="3"/>
  <c r="X19" i="3"/>
  <c r="Z19" i="3" s="1"/>
  <c r="X17" i="3"/>
  <c r="Z17" i="3" s="1"/>
  <c r="X37" i="3"/>
  <c r="Z37" i="3" s="1"/>
  <c r="X33" i="3"/>
  <c r="Z33" i="3" s="1"/>
  <c r="X18" i="3"/>
  <c r="Z18" i="3" s="1"/>
  <c r="Q40" i="3"/>
  <c r="K9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<sst xmlns="http://schemas.openxmlformats.org/spreadsheetml/2006/main" count="310" uniqueCount="123">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</sst>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62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8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8" fillId="0" borderId="6" xfId="0" applyNumberFormat="1" applyFont="1" applyBorder="1" applyAlignment="1">
      <alignment vertical="center"/>
    </xf>
    <xf numFmtId="3" fontId="30" fillId="0" borderId="6" xfId="0" applyNumberFormat="1" applyFont="1" applyBorder="1" applyAlignment="1">
      <alignment horizontal="right" vertical="center"/>
    </xf>
    <xf numFmtId="4" fontId="31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3" fontId="32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horizontal="center" vertical="center"/>
    </xf>
    <xf numFmtId="1" fontId="31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165" fontId="31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3" fontId="28" fillId="0" borderId="22" xfId="0" applyNumberFormat="1" applyFont="1" applyBorder="1" applyAlignment="1">
      <alignment vertical="center"/>
    </xf>
    <xf numFmtId="3" fontId="28" fillId="0" borderId="32" xfId="0" applyNumberFormat="1" applyFont="1" applyBorder="1" applyAlignment="1">
      <alignment vertical="center"/>
    </xf>
    <xf numFmtId="165" fontId="19" fillId="12" borderId="0" xfId="0" applyNumberFormat="1" applyFont="1" applyFill="1" applyBorder="1" applyAlignment="1">
      <alignment horizontal="center"/>
    </xf>
    <xf numFmtId="0" fontId="0" fillId="0" borderId="36" xfId="0" applyBorder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8" fillId="0" borderId="33" xfId="0" applyNumberFormat="1" applyFont="1" applyBorder="1" applyAlignment="1">
      <alignment horizontal="center" vertical="center"/>
    </xf>
    <xf numFmtId="3" fontId="28" fillId="0" borderId="26" xfId="0" applyNumberFormat="1" applyFont="1" applyBorder="1" applyAlignment="1">
      <alignment horizontal="center" vertical="center"/>
    </xf>
    <xf numFmtId="3" fontId="28" fillId="0" borderId="22" xfId="0" applyNumberFormat="1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E20" sqref="E20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1</v>
      </c>
      <c r="D2" s="7">
        <v>2021</v>
      </c>
      <c r="E2" s="9">
        <f>submetering!E2+submetering!F2+submetering!G2</f>
        <v>12999</v>
      </c>
      <c r="F2" s="7">
        <v>0.251</v>
      </c>
      <c r="G2" s="9">
        <f>submetering!H2+submetering!I2</f>
        <v>4269</v>
      </c>
      <c r="H2" s="7">
        <v>0.57181599999999999</v>
      </c>
      <c r="I2" s="9">
        <f>submetering!J2</f>
        <v>231</v>
      </c>
      <c r="J2" s="7">
        <v>2.855</v>
      </c>
      <c r="K2" s="9">
        <f>submetering!K2</f>
        <v>152</v>
      </c>
    </row>
    <row r="3" spans="1:11" s="12" customFormat="1" x14ac:dyDescent="0.25">
      <c r="A3" s="7" t="s">
        <v>11</v>
      </c>
      <c r="B3" s="11">
        <f>B2+1</f>
        <v>2</v>
      </c>
      <c r="C3" s="8">
        <v>1</v>
      </c>
      <c r="D3" s="7">
        <v>2021</v>
      </c>
      <c r="E3" s="9">
        <f>submetering!E3+submetering!F3+submetering!G3</f>
        <v>7041</v>
      </c>
      <c r="F3" s="7">
        <v>0.251</v>
      </c>
      <c r="G3" s="9">
        <f>submetering!H3+submetering!I3</f>
        <v>2146</v>
      </c>
      <c r="H3" s="7">
        <v>0.57181599999999999</v>
      </c>
      <c r="I3" s="9">
        <f>submetering!J3</f>
        <v>189</v>
      </c>
      <c r="J3" s="7">
        <v>2.855</v>
      </c>
      <c r="K3" s="9">
        <f>submetering!K3</f>
        <v>57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1</v>
      </c>
      <c r="D4" s="7">
        <v>2021</v>
      </c>
      <c r="E4" s="9">
        <f>submetering!E4+submetering!F4+submetering!G4</f>
        <v>6964</v>
      </c>
      <c r="F4" s="7">
        <v>0.251</v>
      </c>
      <c r="G4" s="9">
        <f>submetering!H4+submetering!I4</f>
        <v>2884</v>
      </c>
      <c r="H4" s="7">
        <v>0.57181599999999999</v>
      </c>
      <c r="I4" s="9">
        <f>submetering!J4</f>
        <v>246</v>
      </c>
      <c r="J4" s="7">
        <v>2.855</v>
      </c>
      <c r="K4" s="9">
        <f>submetering!K4</f>
        <v>53</v>
      </c>
    </row>
    <row r="5" spans="1:11" s="12" customFormat="1" x14ac:dyDescent="0.25">
      <c r="A5" s="7" t="s">
        <v>11</v>
      </c>
      <c r="B5" s="11">
        <f t="shared" si="0"/>
        <v>4</v>
      </c>
      <c r="C5" s="8">
        <v>1</v>
      </c>
      <c r="D5" s="7">
        <v>2021</v>
      </c>
      <c r="E5" s="9">
        <f>submetering!E5+submetering!F5+submetering!G5</f>
        <v>6768</v>
      </c>
      <c r="F5" s="7">
        <v>0.251</v>
      </c>
      <c r="G5" s="9">
        <f>submetering!H5+submetering!I5</f>
        <v>2917</v>
      </c>
      <c r="H5" s="7">
        <v>0.57181599999999999</v>
      </c>
      <c r="I5" s="9">
        <f>submetering!J5</f>
        <v>244</v>
      </c>
      <c r="J5" s="7">
        <v>2.855</v>
      </c>
      <c r="K5" s="9">
        <f>submetering!K5</f>
        <v>36</v>
      </c>
    </row>
    <row r="6" spans="1:11" s="12" customFormat="1" x14ac:dyDescent="0.25">
      <c r="A6" s="7" t="s">
        <v>11</v>
      </c>
      <c r="B6" s="11">
        <f t="shared" si="0"/>
        <v>5</v>
      </c>
      <c r="C6" s="8">
        <v>1</v>
      </c>
      <c r="D6" s="7">
        <v>2021</v>
      </c>
      <c r="E6" s="9">
        <f>submetering!E6+submetering!F6+submetering!G6</f>
        <v>6506</v>
      </c>
      <c r="F6" s="7">
        <v>0.251</v>
      </c>
      <c r="G6" s="9">
        <f>submetering!H6+submetering!I6</f>
        <v>2782</v>
      </c>
      <c r="H6" s="7">
        <v>0.57181599999999999</v>
      </c>
      <c r="I6" s="9">
        <f>submetering!J6</f>
        <v>238</v>
      </c>
      <c r="J6" s="7">
        <v>2.855</v>
      </c>
      <c r="K6" s="9">
        <f>submetering!K6</f>
        <v>28</v>
      </c>
    </row>
    <row r="7" spans="1:11" s="12" customFormat="1" x14ac:dyDescent="0.25">
      <c r="A7" s="7" t="s">
        <v>11</v>
      </c>
      <c r="B7" s="11">
        <f t="shared" si="0"/>
        <v>6</v>
      </c>
      <c r="C7" s="8">
        <v>1</v>
      </c>
      <c r="D7" s="7">
        <v>2021</v>
      </c>
      <c r="E7" s="9">
        <f>submetering!E7+submetering!F7+submetering!G7</f>
        <v>6454</v>
      </c>
      <c r="F7" s="7">
        <v>0.251</v>
      </c>
      <c r="G7" s="9">
        <f>submetering!H7+submetering!I7</f>
        <v>2762</v>
      </c>
      <c r="H7" s="7">
        <v>0.57181599999999999</v>
      </c>
      <c r="I7" s="9">
        <f>submetering!J7</f>
        <v>195</v>
      </c>
      <c r="J7" s="7">
        <v>2.855</v>
      </c>
      <c r="K7" s="9">
        <f>submetering!K7</f>
        <v>51</v>
      </c>
    </row>
    <row r="8" spans="1:11" s="12" customFormat="1" x14ac:dyDescent="0.25">
      <c r="A8" s="7" t="s">
        <v>11</v>
      </c>
      <c r="B8" s="11">
        <f t="shared" si="0"/>
        <v>7</v>
      </c>
      <c r="C8" s="8">
        <v>1</v>
      </c>
      <c r="D8" s="7">
        <v>2021</v>
      </c>
      <c r="E8" s="9">
        <f>submetering!E8+submetering!F8+submetering!G8</f>
        <v>6363</v>
      </c>
      <c r="F8" s="7">
        <v>0.251</v>
      </c>
      <c r="G8" s="9">
        <f>submetering!H8+submetering!I8</f>
        <v>2515</v>
      </c>
      <c r="H8" s="7">
        <v>0.57181599999999999</v>
      </c>
      <c r="I8" s="9">
        <f>submetering!J8</f>
        <v>198</v>
      </c>
      <c r="J8" s="7">
        <v>2.855</v>
      </c>
      <c r="K8" s="9">
        <f>submetering!K8</f>
        <v>22</v>
      </c>
    </row>
    <row r="9" spans="1:11" s="12" customFormat="1" x14ac:dyDescent="0.25">
      <c r="A9" s="7" t="s">
        <v>11</v>
      </c>
      <c r="B9" s="11">
        <f t="shared" si="0"/>
        <v>8</v>
      </c>
      <c r="C9" s="8">
        <v>1</v>
      </c>
      <c r="D9" s="7">
        <v>2021</v>
      </c>
      <c r="E9" s="9">
        <f>submetering!E9+submetering!F9+submetering!G9</f>
        <v>6440</v>
      </c>
      <c r="F9" s="7">
        <v>0.251</v>
      </c>
      <c r="G9" s="9">
        <f>submetering!H9+submetering!I9</f>
        <v>2658</v>
      </c>
      <c r="H9" s="7">
        <v>0.57181599999999999</v>
      </c>
      <c r="I9" s="9">
        <f>submetering!J9</f>
        <v>197</v>
      </c>
      <c r="J9" s="7">
        <v>2.855</v>
      </c>
      <c r="K9" s="9">
        <f>submetering!K9</f>
        <v>31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1</v>
      </c>
      <c r="D10" s="7">
        <v>2021</v>
      </c>
      <c r="E10" s="9">
        <f>submetering!E10+submetering!F10+submetering!G10</f>
        <v>6318</v>
      </c>
      <c r="F10" s="7">
        <v>0.251</v>
      </c>
      <c r="G10" s="9">
        <f>submetering!H10+submetering!I10</f>
        <v>2111</v>
      </c>
      <c r="H10" s="7">
        <v>0.57181599999999999</v>
      </c>
      <c r="I10" s="9">
        <f>submetering!J10</f>
        <v>257</v>
      </c>
      <c r="J10" s="7">
        <v>2.855</v>
      </c>
      <c r="K10" s="9">
        <f>submetering!K10</f>
        <v>46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1</v>
      </c>
      <c r="D11" s="7">
        <v>2021</v>
      </c>
      <c r="E11" s="9">
        <f>submetering!E11+submetering!F11+submetering!G11</f>
        <v>6232</v>
      </c>
      <c r="F11" s="7">
        <v>0.251</v>
      </c>
      <c r="G11" s="9">
        <f>submetering!H11+submetering!I11</f>
        <v>2049</v>
      </c>
      <c r="H11" s="7">
        <v>0.57181599999999999</v>
      </c>
      <c r="I11" s="9">
        <f>submetering!J11</f>
        <v>160</v>
      </c>
      <c r="J11" s="7">
        <v>2.855</v>
      </c>
      <c r="K11" s="9">
        <f>submetering!K11</f>
        <v>37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1</v>
      </c>
      <c r="D12" s="7">
        <v>2021</v>
      </c>
      <c r="E12" s="9">
        <f>submetering!E12+submetering!F12+submetering!G12</f>
        <v>6908</v>
      </c>
      <c r="F12" s="7">
        <v>0.251</v>
      </c>
      <c r="G12" s="9">
        <f>submetering!H12+submetering!I12</f>
        <v>2047</v>
      </c>
      <c r="H12" s="7">
        <v>0.57181599999999999</v>
      </c>
      <c r="I12" s="9">
        <f>submetering!J12</f>
        <v>165</v>
      </c>
      <c r="J12" s="7">
        <v>2.855</v>
      </c>
      <c r="K12" s="9">
        <f>submetering!K12</f>
        <v>25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1</v>
      </c>
      <c r="D13" s="7">
        <v>2021</v>
      </c>
      <c r="E13" s="9">
        <f>submetering!E13+submetering!F13+submetering!G13</f>
        <v>6239</v>
      </c>
      <c r="F13" s="7">
        <v>0.251</v>
      </c>
      <c r="G13" s="9">
        <f>submetering!H13+submetering!I13</f>
        <v>1852</v>
      </c>
      <c r="H13" s="7">
        <v>0.57181599999999999</v>
      </c>
      <c r="I13" s="9">
        <f>submetering!J13</f>
        <v>164</v>
      </c>
      <c r="J13" s="7">
        <v>2.855</v>
      </c>
      <c r="K13" s="9">
        <f>submetering!K13</f>
        <v>27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1</v>
      </c>
      <c r="D14" s="7">
        <v>2021</v>
      </c>
      <c r="E14" s="9">
        <f>submetering!E14+submetering!F14+submetering!G14</f>
        <v>6098</v>
      </c>
      <c r="F14" s="7">
        <v>0.251</v>
      </c>
      <c r="G14" s="9">
        <f>submetering!H14+submetering!I14</f>
        <v>2199</v>
      </c>
      <c r="H14" s="7">
        <v>0.57181599999999999</v>
      </c>
      <c r="I14" s="9">
        <f>submetering!J14</f>
        <v>150</v>
      </c>
      <c r="J14" s="7">
        <v>2.855</v>
      </c>
      <c r="K14" s="9">
        <f>submetering!K14</f>
        <v>30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1</v>
      </c>
      <c r="D15" s="7">
        <v>2021</v>
      </c>
      <c r="E15" s="9">
        <f>submetering!E15+submetering!F15+submetering!G15</f>
        <v>6304</v>
      </c>
      <c r="F15" s="7">
        <v>0.251</v>
      </c>
      <c r="G15" s="9">
        <f>submetering!H15+submetering!I15</f>
        <v>1917</v>
      </c>
      <c r="H15" s="7">
        <v>0.57181599999999999</v>
      </c>
      <c r="I15" s="9">
        <f>submetering!J15</f>
        <v>277</v>
      </c>
      <c r="J15" s="7">
        <v>2.855</v>
      </c>
      <c r="K15" s="9">
        <f>submetering!K15</f>
        <v>34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1</v>
      </c>
      <c r="D16" s="7">
        <v>2021</v>
      </c>
      <c r="E16" s="9">
        <f>submetering!E16+submetering!F16+submetering!G16</f>
        <v>6267</v>
      </c>
      <c r="F16" s="7">
        <v>0.251</v>
      </c>
      <c r="G16" s="9">
        <f>submetering!H16+submetering!I16</f>
        <v>1813</v>
      </c>
      <c r="H16" s="7">
        <v>0.57181599999999999</v>
      </c>
      <c r="I16" s="9">
        <f>submetering!J16</f>
        <v>191</v>
      </c>
      <c r="J16" s="7">
        <v>2.855</v>
      </c>
      <c r="K16" s="9">
        <f>submetering!K16</f>
        <v>38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1</v>
      </c>
      <c r="D17" s="7">
        <v>2021</v>
      </c>
      <c r="E17" s="9">
        <f>submetering!E17+submetering!F17+submetering!G17</f>
        <v>0</v>
      </c>
      <c r="F17" s="7">
        <v>0.251</v>
      </c>
      <c r="G17" s="9">
        <f>submetering!H17+submetering!I17</f>
        <v>0</v>
      </c>
      <c r="H17" s="7">
        <v>0.57181599999999999</v>
      </c>
      <c r="I17" s="9" t="str">
        <f>submetering!J17</f>
        <v>0</v>
      </c>
      <c r="J17" s="7">
        <v>2.855</v>
      </c>
      <c r="K17" s="9">
        <f>submetering!K17</f>
        <v>0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1</v>
      </c>
      <c r="D18" s="7">
        <v>2021</v>
      </c>
      <c r="E18" s="9">
        <f>submetering!E18+submetering!F18+submetering!G18</f>
        <v>0</v>
      </c>
      <c r="F18" s="7">
        <v>0.251</v>
      </c>
      <c r="G18" s="9">
        <f>submetering!H18+submetering!I18</f>
        <v>0</v>
      </c>
      <c r="H18" s="7">
        <v>0.57181599999999999</v>
      </c>
      <c r="I18" s="9">
        <f>submetering!J18</f>
        <v>0</v>
      </c>
      <c r="J18" s="7">
        <v>2.855</v>
      </c>
      <c r="K18" s="9">
        <f>submetering!K18</f>
        <v>0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1</v>
      </c>
      <c r="D19" s="7">
        <v>2021</v>
      </c>
      <c r="E19" s="9">
        <f>submetering!E19+submetering!F19+submetering!G19</f>
        <v>0</v>
      </c>
      <c r="F19" s="7">
        <v>0.251</v>
      </c>
      <c r="G19" s="9">
        <f>submetering!H19+submetering!I19</f>
        <v>0</v>
      </c>
      <c r="H19" s="7">
        <v>0.57181599999999999</v>
      </c>
      <c r="I19" s="9">
        <f>submetering!J19</f>
        <v>0</v>
      </c>
      <c r="J19" s="7">
        <v>2.855</v>
      </c>
      <c r="K19" s="9">
        <f>submetering!K19</f>
        <v>0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1</v>
      </c>
      <c r="D20" s="7">
        <v>2021</v>
      </c>
      <c r="E20" s="9">
        <f>submetering!E20+submetering!F20+submetering!G20</f>
        <v>0</v>
      </c>
      <c r="F20" s="7">
        <v>0.251</v>
      </c>
      <c r="G20" s="9">
        <f>submetering!H20+submetering!I20</f>
        <v>0</v>
      </c>
      <c r="H20" s="7">
        <v>0.57181599999999999</v>
      </c>
      <c r="I20" s="9">
        <f>submetering!J20</f>
        <v>0</v>
      </c>
      <c r="J20" s="7">
        <v>2.855</v>
      </c>
      <c r="K20" s="9">
        <f>submetering!K20</f>
        <v>0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1</v>
      </c>
      <c r="D21" s="7">
        <v>2021</v>
      </c>
      <c r="E21" s="9">
        <f>submetering!E21+submetering!F21+submetering!G21</f>
        <v>0</v>
      </c>
      <c r="F21" s="7">
        <v>0.251</v>
      </c>
      <c r="G21" s="9">
        <f>submetering!H21+submetering!I21</f>
        <v>0</v>
      </c>
      <c r="H21" s="7">
        <v>0.57181599999999999</v>
      </c>
      <c r="I21" s="9">
        <f>submetering!J21</f>
        <v>0</v>
      </c>
      <c r="J21" s="7">
        <v>2.855</v>
      </c>
      <c r="K21" s="9">
        <f>submetering!K21</f>
        <v>0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1</v>
      </c>
      <c r="D22" s="7">
        <v>2021</v>
      </c>
      <c r="E22" s="9">
        <f>submetering!E22+submetering!F22+submetering!G22</f>
        <v>0</v>
      </c>
      <c r="F22" s="7">
        <v>0.251</v>
      </c>
      <c r="G22" s="9">
        <f>submetering!H22+submetering!I22</f>
        <v>0</v>
      </c>
      <c r="H22" s="7">
        <v>0.57181599999999999</v>
      </c>
      <c r="I22" s="9">
        <f>submetering!J22</f>
        <v>0</v>
      </c>
      <c r="J22" s="7">
        <v>2.855</v>
      </c>
      <c r="K22" s="9">
        <f>submetering!K22</f>
        <v>0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1</v>
      </c>
      <c r="D23" s="7">
        <v>2021</v>
      </c>
      <c r="E23" s="9">
        <f>submetering!E23+submetering!F23+submetering!G23</f>
        <v>0</v>
      </c>
      <c r="F23" s="7">
        <v>0.251</v>
      </c>
      <c r="G23" s="9">
        <f>submetering!H23+submetering!I23</f>
        <v>0</v>
      </c>
      <c r="H23" s="7">
        <v>0.57181599999999999</v>
      </c>
      <c r="I23" s="9">
        <f>submetering!J23</f>
        <v>0</v>
      </c>
      <c r="J23" s="7">
        <v>2.855</v>
      </c>
      <c r="K23" s="9">
        <f>submetering!K23</f>
        <v>0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1</v>
      </c>
      <c r="D24" s="7">
        <v>2021</v>
      </c>
      <c r="E24" s="9">
        <f>submetering!E24+submetering!F24+submetering!G24</f>
        <v>0</v>
      </c>
      <c r="F24" s="7">
        <v>0.251</v>
      </c>
      <c r="G24" s="9">
        <f>submetering!H24+submetering!I24</f>
        <v>0</v>
      </c>
      <c r="H24" s="7">
        <v>0.57181599999999999</v>
      </c>
      <c r="I24" s="9">
        <f>submetering!J24</f>
        <v>0</v>
      </c>
      <c r="J24" s="7">
        <v>2.855</v>
      </c>
      <c r="K24" s="9">
        <f>submetering!K24</f>
        <v>0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1</v>
      </c>
      <c r="D25" s="7">
        <v>2021</v>
      </c>
      <c r="E25" s="9">
        <f>submetering!E25+submetering!F25+submetering!G25</f>
        <v>0</v>
      </c>
      <c r="F25" s="7">
        <v>0.251</v>
      </c>
      <c r="G25" s="9">
        <f>submetering!H25+submetering!I25</f>
        <v>0</v>
      </c>
      <c r="H25" s="7">
        <v>0.57181599999999999</v>
      </c>
      <c r="I25" s="9">
        <f>submetering!J25</f>
        <v>0</v>
      </c>
      <c r="J25" s="7">
        <v>2.855</v>
      </c>
      <c r="K25" s="9">
        <f>submetering!K25</f>
        <v>0</v>
      </c>
    </row>
    <row r="26" spans="1:11" s="12" customFormat="1" x14ac:dyDescent="0.25">
      <c r="A26" s="7" t="s">
        <v>11</v>
      </c>
      <c r="B26" s="11">
        <f>B25+1</f>
        <v>25</v>
      </c>
      <c r="C26" s="8">
        <v>1</v>
      </c>
      <c r="D26" s="7">
        <v>2021</v>
      </c>
      <c r="E26" s="9">
        <f>submetering!E26+submetering!F26+submetering!G26</f>
        <v>0</v>
      </c>
      <c r="F26" s="7">
        <v>0.251</v>
      </c>
      <c r="G26" s="9">
        <f>submetering!H26+submetering!I26</f>
        <v>0</v>
      </c>
      <c r="H26" s="7">
        <v>0.57181599999999999</v>
      </c>
      <c r="I26" s="9">
        <f>submetering!J26</f>
        <v>0</v>
      </c>
      <c r="J26" s="7">
        <v>2.855</v>
      </c>
      <c r="K26" s="9">
        <f>submetering!K26</f>
        <v>0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1</v>
      </c>
      <c r="D27" s="7">
        <v>2021</v>
      </c>
      <c r="E27" s="9">
        <f>submetering!E27+submetering!F27+submetering!G27</f>
        <v>0</v>
      </c>
      <c r="F27" s="7">
        <v>0.251</v>
      </c>
      <c r="G27" s="9">
        <f>submetering!H27+submetering!I27</f>
        <v>0</v>
      </c>
      <c r="H27" s="7">
        <v>0.57181599999999999</v>
      </c>
      <c r="I27" s="9">
        <f>submetering!J27</f>
        <v>0</v>
      </c>
      <c r="J27" s="7">
        <v>2.855</v>
      </c>
      <c r="K27" s="9">
        <f>submetering!K27</f>
        <v>0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1</v>
      </c>
      <c r="D28" s="7">
        <v>2021</v>
      </c>
      <c r="E28" s="9">
        <f>submetering!E28+submetering!F28+submetering!G28</f>
        <v>0</v>
      </c>
      <c r="F28" s="7">
        <v>0.251</v>
      </c>
      <c r="G28" s="9">
        <f>submetering!H28+submetering!I28</f>
        <v>0</v>
      </c>
      <c r="H28" s="7">
        <v>0.57181599999999999</v>
      </c>
      <c r="I28" s="9">
        <f>submetering!J28</f>
        <v>0</v>
      </c>
      <c r="J28" s="7">
        <v>2.855</v>
      </c>
      <c r="K28" s="9">
        <f>submetering!K28</f>
        <v>0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1</v>
      </c>
      <c r="D29" s="7">
        <v>2021</v>
      </c>
      <c r="E29" s="9">
        <f>submetering!E29+submetering!F29+submetering!G29</f>
        <v>0</v>
      </c>
      <c r="F29" s="7">
        <v>0.251</v>
      </c>
      <c r="G29" s="9">
        <f>submetering!H29+submetering!I29</f>
        <v>0</v>
      </c>
      <c r="H29" s="7">
        <v>0.57181599999999999</v>
      </c>
      <c r="I29" s="9">
        <f>submetering!J29</f>
        <v>0</v>
      </c>
      <c r="J29" s="7">
        <v>2.855</v>
      </c>
      <c r="K29" s="9">
        <f>submetering!K29</f>
        <v>0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1</v>
      </c>
      <c r="D30" s="7">
        <v>2021</v>
      </c>
      <c r="E30" s="9">
        <f>submetering!E30+submetering!F30+submetering!G30</f>
        <v>0</v>
      </c>
      <c r="F30" s="7">
        <v>0.251</v>
      </c>
      <c r="G30" s="9">
        <f>submetering!H30+submetering!I30</f>
        <v>0</v>
      </c>
      <c r="H30" s="7">
        <v>0.57181599999999999</v>
      </c>
      <c r="I30" s="9">
        <f>submetering!J30</f>
        <v>0</v>
      </c>
      <c r="J30" s="7">
        <v>2.855</v>
      </c>
      <c r="K30" s="9">
        <f>submetering!K30</f>
        <v>0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1</v>
      </c>
      <c r="D31" s="7">
        <v>2021</v>
      </c>
      <c r="E31" s="9">
        <f>submetering!E31+submetering!F31+submetering!G31</f>
        <v>0</v>
      </c>
      <c r="F31" s="7">
        <v>0.251</v>
      </c>
      <c r="G31" s="9">
        <f>submetering!H31+submetering!I31</f>
        <v>0</v>
      </c>
      <c r="H31" s="7">
        <v>0.57181599999999999</v>
      </c>
      <c r="I31" s="9">
        <f>submetering!J31</f>
        <v>0</v>
      </c>
      <c r="J31" s="7">
        <v>2.855</v>
      </c>
      <c r="K31" s="9">
        <f>submetering!K31</f>
        <v>0</v>
      </c>
    </row>
    <row r="32" spans="1:11" x14ac:dyDescent="0.25">
      <c r="A32" s="7" t="s">
        <v>11</v>
      </c>
      <c r="B32" s="11">
        <f t="shared" si="0"/>
        <v>31</v>
      </c>
      <c r="C32" s="8">
        <v>1</v>
      </c>
      <c r="D32" s="7">
        <v>2021</v>
      </c>
      <c r="E32" s="9">
        <f>submetering!E32+submetering!F32+submetering!G32</f>
        <v>0</v>
      </c>
      <c r="F32" s="7">
        <v>0.251</v>
      </c>
      <c r="G32" s="9">
        <f>submetering!H32+submetering!I32</f>
        <v>0</v>
      </c>
      <c r="H32" s="7">
        <v>0.57181599999999999</v>
      </c>
      <c r="I32" s="9">
        <f>submetering!J32</f>
        <v>0</v>
      </c>
      <c r="J32" s="7">
        <v>2.855</v>
      </c>
      <c r="K32" s="9">
        <f>submetering!K32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8"/>
  <sheetViews>
    <sheetView workbookViewId="0">
      <selection activeCell="E26" sqref="E26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1</v>
      </c>
      <c r="D2" s="13">
        <v>2021</v>
      </c>
      <c r="E2" s="16">
        <f>HOTEL!D9</f>
        <v>4492</v>
      </c>
      <c r="F2" s="16">
        <f>HOTEL!F9</f>
        <v>4353</v>
      </c>
      <c r="G2" s="16">
        <f>HOTEL!H9</f>
        <v>4154</v>
      </c>
      <c r="H2" s="16">
        <f>HOTEL!N9</f>
        <v>164</v>
      </c>
      <c r="I2" s="16">
        <f>HOTEL!P9</f>
        <v>4105</v>
      </c>
      <c r="J2" s="16">
        <f>HOTEL!U9</f>
        <v>231</v>
      </c>
      <c r="K2" s="16">
        <f>HOTEL!Y9</f>
        <v>152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1</v>
      </c>
      <c r="D3" s="13">
        <v>2021</v>
      </c>
      <c r="E3" s="16">
        <f>HOTEL!D10</f>
        <v>2278</v>
      </c>
      <c r="F3" s="16">
        <f>HOTEL!F10</f>
        <v>2442</v>
      </c>
      <c r="G3" s="16">
        <f>HOTEL!H10</f>
        <v>2321</v>
      </c>
      <c r="H3" s="16">
        <f>HOTEL!N10</f>
        <v>173</v>
      </c>
      <c r="I3" s="16">
        <f>HOTEL!P10</f>
        <v>1973</v>
      </c>
      <c r="J3" s="16">
        <f>HOTEL!U10</f>
        <v>189</v>
      </c>
      <c r="K3" s="16">
        <f>HOTEL!Y10</f>
        <v>57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2" si="0">B3+1</f>
        <v>3</v>
      </c>
      <c r="C4" s="13">
        <v>1</v>
      </c>
      <c r="D4" s="13">
        <v>2021</v>
      </c>
      <c r="E4" s="16">
        <f>HOTEL!D11</f>
        <v>2371</v>
      </c>
      <c r="F4" s="16">
        <f>HOTEL!F11</f>
        <v>2365</v>
      </c>
      <c r="G4" s="16">
        <f>HOTEL!H11</f>
        <v>2228</v>
      </c>
      <c r="H4" s="16">
        <f>HOTEL!N11</f>
        <v>160</v>
      </c>
      <c r="I4" s="16">
        <f>HOTEL!P11</f>
        <v>2724</v>
      </c>
      <c r="J4" s="16">
        <f>HOTEL!U11</f>
        <v>246</v>
      </c>
      <c r="K4" s="16">
        <f>HOTEL!Y11</f>
        <v>53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1</v>
      </c>
      <c r="D5" s="13">
        <v>2021</v>
      </c>
      <c r="E5" s="16">
        <f>HOTEL!D12</f>
        <v>2301</v>
      </c>
      <c r="F5" s="16">
        <f>HOTEL!F12</f>
        <v>2303</v>
      </c>
      <c r="G5" s="16">
        <f>HOTEL!H12</f>
        <v>2164</v>
      </c>
      <c r="H5" s="16">
        <f>HOTEL!N12</f>
        <v>126</v>
      </c>
      <c r="I5" s="16">
        <f>HOTEL!P12</f>
        <v>2791</v>
      </c>
      <c r="J5" s="16">
        <f>HOTEL!U12</f>
        <v>244</v>
      </c>
      <c r="K5" s="16">
        <f>HOTEL!Y12</f>
        <v>36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1</v>
      </c>
      <c r="D6" s="13">
        <v>2021</v>
      </c>
      <c r="E6" s="16">
        <f>HOTEL!D13</f>
        <v>2215</v>
      </c>
      <c r="F6" s="16">
        <f>HOTEL!F13</f>
        <v>2226</v>
      </c>
      <c r="G6" s="16">
        <f>HOTEL!H13</f>
        <v>2065</v>
      </c>
      <c r="H6" s="16">
        <f>HOTEL!N13</f>
        <v>138</v>
      </c>
      <c r="I6" s="16">
        <f>HOTEL!P13</f>
        <v>2644</v>
      </c>
      <c r="J6" s="16">
        <f>HOTEL!U13</f>
        <v>238</v>
      </c>
      <c r="K6" s="16">
        <f>HOTEL!Y13</f>
        <v>28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1</v>
      </c>
      <c r="D7" s="13">
        <v>2021</v>
      </c>
      <c r="E7" s="16">
        <f>HOTEL!D14</f>
        <v>2191</v>
      </c>
      <c r="F7" s="16">
        <f>HOTEL!F14</f>
        <v>2207</v>
      </c>
      <c r="G7" s="16">
        <f>HOTEL!H14</f>
        <v>2056</v>
      </c>
      <c r="H7" s="16">
        <f>HOTEL!N14</f>
        <v>121</v>
      </c>
      <c r="I7" s="16">
        <f>HOTEL!P14</f>
        <v>2641</v>
      </c>
      <c r="J7" s="16">
        <f>HOTEL!U14</f>
        <v>195</v>
      </c>
      <c r="K7" s="16">
        <f>HOTEL!Y14</f>
        <v>51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1</v>
      </c>
      <c r="D8" s="13">
        <v>2021</v>
      </c>
      <c r="E8" s="16">
        <f>HOTEL!D15</f>
        <v>2138</v>
      </c>
      <c r="F8" s="16">
        <f>HOTEL!F15</f>
        <v>2247</v>
      </c>
      <c r="G8" s="16">
        <f>HOTEL!H15</f>
        <v>1978</v>
      </c>
      <c r="H8" s="16">
        <f>HOTEL!N15</f>
        <v>122</v>
      </c>
      <c r="I8" s="16">
        <f>HOTEL!P15</f>
        <v>2393</v>
      </c>
      <c r="J8" s="16">
        <f>HOTEL!U15</f>
        <v>198</v>
      </c>
      <c r="K8" s="16">
        <f>HOTEL!Y15</f>
        <v>22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1</v>
      </c>
      <c r="D9" s="13">
        <v>2021</v>
      </c>
      <c r="E9" s="16">
        <f>HOTEL!D16</f>
        <v>2208</v>
      </c>
      <c r="F9" s="16">
        <f>HOTEL!F16</f>
        <v>2131</v>
      </c>
      <c r="G9" s="16">
        <f>HOTEL!H16</f>
        <v>2101</v>
      </c>
      <c r="H9" s="16">
        <f>HOTEL!N16</f>
        <v>133</v>
      </c>
      <c r="I9" s="16">
        <f>HOTEL!P16</f>
        <v>2525</v>
      </c>
      <c r="J9" s="16">
        <f>HOTEL!U16</f>
        <v>197</v>
      </c>
      <c r="K9" s="16">
        <f>HOTEL!Y16</f>
        <v>31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1</v>
      </c>
      <c r="D10" s="13">
        <v>2021</v>
      </c>
      <c r="E10" s="16">
        <f>HOTEL!D17</f>
        <v>2137</v>
      </c>
      <c r="F10" s="16">
        <f>HOTEL!F17</f>
        <v>2165</v>
      </c>
      <c r="G10" s="16">
        <f>HOTEL!H17</f>
        <v>2016</v>
      </c>
      <c r="H10" s="16">
        <f>HOTEL!N17</f>
        <v>129</v>
      </c>
      <c r="I10" s="16">
        <f>HOTEL!P17</f>
        <v>1982</v>
      </c>
      <c r="J10" s="16">
        <f>HOTEL!U17</f>
        <v>257</v>
      </c>
      <c r="K10" s="16">
        <f>HOTEL!Y17</f>
        <v>46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1</v>
      </c>
      <c r="D11" s="13">
        <v>2021</v>
      </c>
      <c r="E11" s="16">
        <f>HOTEL!D18</f>
        <v>2123</v>
      </c>
      <c r="F11" s="16">
        <f>HOTEL!F18</f>
        <v>2129</v>
      </c>
      <c r="G11" s="16">
        <f>HOTEL!H18</f>
        <v>1980</v>
      </c>
      <c r="H11" s="16">
        <f>HOTEL!N18</f>
        <v>138</v>
      </c>
      <c r="I11" s="16">
        <f>HOTEL!P18</f>
        <v>1911</v>
      </c>
      <c r="J11" s="16">
        <f>HOTEL!U18</f>
        <v>160</v>
      </c>
      <c r="K11" s="16">
        <f>HOTEL!Y18</f>
        <v>37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1</v>
      </c>
      <c r="D12" s="13">
        <v>2021</v>
      </c>
      <c r="E12" s="16">
        <f>HOTEL!D19</f>
        <v>2356</v>
      </c>
      <c r="F12" s="16">
        <f>HOTEL!F19</f>
        <v>2350</v>
      </c>
      <c r="G12" s="16">
        <f>HOTEL!H19</f>
        <v>2202</v>
      </c>
      <c r="H12" s="16">
        <f>HOTEL!N19</f>
        <v>126</v>
      </c>
      <c r="I12" s="16">
        <f>HOTEL!P19</f>
        <v>1921</v>
      </c>
      <c r="J12" s="16">
        <f>HOTEL!U19</f>
        <v>165</v>
      </c>
      <c r="K12" s="16">
        <f>HOTEL!Y19</f>
        <v>25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1</v>
      </c>
      <c r="D13" s="13">
        <v>2021</v>
      </c>
      <c r="E13" s="16">
        <f>HOTEL!D20</f>
        <v>2129</v>
      </c>
      <c r="F13" s="16">
        <f>HOTEL!F20</f>
        <v>2141</v>
      </c>
      <c r="G13" s="16">
        <f>HOTEL!H20</f>
        <v>1969</v>
      </c>
      <c r="H13" s="16">
        <f>HOTEL!N20</f>
        <v>130</v>
      </c>
      <c r="I13" s="16">
        <f>HOTEL!P20</f>
        <v>1722</v>
      </c>
      <c r="J13" s="16">
        <f>HOTEL!U20</f>
        <v>164</v>
      </c>
      <c r="K13" s="16">
        <f>HOTEL!Y20</f>
        <v>27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1</v>
      </c>
      <c r="D14" s="13">
        <v>2021</v>
      </c>
      <c r="E14" s="16">
        <f>HOTEL!D21</f>
        <v>2065</v>
      </c>
      <c r="F14" s="16">
        <f>HOTEL!F21</f>
        <v>2097</v>
      </c>
      <c r="G14" s="16">
        <f>HOTEL!H21</f>
        <v>1936</v>
      </c>
      <c r="H14" s="16">
        <f>HOTEL!N21</f>
        <v>121</v>
      </c>
      <c r="I14" s="16">
        <f>HOTEL!P21</f>
        <v>2078</v>
      </c>
      <c r="J14" s="16">
        <f>HOTEL!U21</f>
        <v>150</v>
      </c>
      <c r="K14" s="16">
        <f>HOTEL!Y21</f>
        <v>30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1</v>
      </c>
      <c r="D15" s="13">
        <v>2021</v>
      </c>
      <c r="E15" s="16">
        <f>HOTEL!D22</f>
        <v>2138</v>
      </c>
      <c r="F15" s="16">
        <f>HOTEL!F22</f>
        <v>2166</v>
      </c>
      <c r="G15" s="16">
        <f>HOTEL!H22</f>
        <v>2000</v>
      </c>
      <c r="H15" s="16">
        <f>HOTEL!N22</f>
        <v>120</v>
      </c>
      <c r="I15" s="16">
        <f>HOTEL!P22</f>
        <v>1797</v>
      </c>
      <c r="J15" s="16">
        <f>HOTEL!U22</f>
        <v>277</v>
      </c>
      <c r="K15" s="16">
        <f>HOTEL!Y22</f>
        <v>34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1</v>
      </c>
      <c r="D16" s="13">
        <v>2021</v>
      </c>
      <c r="E16" s="16">
        <f>HOTEL!D23</f>
        <v>2136</v>
      </c>
      <c r="F16" s="16">
        <f>HOTEL!F23</f>
        <v>2147</v>
      </c>
      <c r="G16" s="16">
        <f>HOTEL!H23</f>
        <v>1984</v>
      </c>
      <c r="H16" s="16">
        <f>HOTEL!N23</f>
        <v>134</v>
      </c>
      <c r="I16" s="16">
        <f>HOTEL!P23</f>
        <v>1679</v>
      </c>
      <c r="J16" s="16">
        <f>HOTEL!U23</f>
        <v>191</v>
      </c>
      <c r="K16" s="16">
        <f>HOTEL!Y23</f>
        <v>38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1</v>
      </c>
      <c r="D17" s="13">
        <v>2021</v>
      </c>
      <c r="E17" s="16" t="str">
        <f>HOTEL!D24</f>
        <v>0</v>
      </c>
      <c r="F17" s="16" t="str">
        <f>HOTEL!F24</f>
        <v>0</v>
      </c>
      <c r="G17" s="16" t="str">
        <f>HOTEL!H24</f>
        <v>0</v>
      </c>
      <c r="H17" s="16" t="str">
        <f>HOTEL!N24</f>
        <v>0</v>
      </c>
      <c r="I17" s="16" t="str">
        <f>HOTEL!P24</f>
        <v>0</v>
      </c>
      <c r="J17" s="16" t="str">
        <f>HOTEL!U24</f>
        <v>0</v>
      </c>
      <c r="K17" s="16">
        <f>HOTEL!Y24</f>
        <v>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1</v>
      </c>
      <c r="D18" s="13">
        <v>2021</v>
      </c>
      <c r="E18" s="16">
        <f>HOTEL!D25</f>
        <v>0</v>
      </c>
      <c r="F18" s="16">
        <f>HOTEL!F25</f>
        <v>0</v>
      </c>
      <c r="G18" s="16">
        <f>HOTEL!H25</f>
        <v>0</v>
      </c>
      <c r="H18" s="16">
        <f>HOTEL!N25</f>
        <v>0</v>
      </c>
      <c r="I18" s="16">
        <f>HOTEL!P25</f>
        <v>0</v>
      </c>
      <c r="J18" s="16">
        <f>HOTEL!U25</f>
        <v>0</v>
      </c>
      <c r="K18" s="16">
        <f>HOTEL!Y25</f>
        <v>0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1</v>
      </c>
      <c r="D19" s="13">
        <v>2021</v>
      </c>
      <c r="E19" s="16">
        <f>HOTEL!D26</f>
        <v>0</v>
      </c>
      <c r="F19" s="16">
        <f>HOTEL!F26</f>
        <v>0</v>
      </c>
      <c r="G19" s="16">
        <f>HOTEL!H26</f>
        <v>0</v>
      </c>
      <c r="H19" s="16">
        <f>HOTEL!N26</f>
        <v>0</v>
      </c>
      <c r="I19" s="16">
        <f>HOTEL!P26</f>
        <v>0</v>
      </c>
      <c r="J19" s="16">
        <f>HOTEL!U26</f>
        <v>0</v>
      </c>
      <c r="K19" s="16">
        <f>HOTEL!Y26</f>
        <v>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1</v>
      </c>
      <c r="D20" s="13">
        <v>2021</v>
      </c>
      <c r="E20" s="16">
        <f>HOTEL!D27</f>
        <v>0</v>
      </c>
      <c r="F20" s="16">
        <f>HOTEL!F27</f>
        <v>0</v>
      </c>
      <c r="G20" s="16">
        <f>HOTEL!H27</f>
        <v>0</v>
      </c>
      <c r="H20" s="16">
        <f>HOTEL!N27</f>
        <v>0</v>
      </c>
      <c r="I20" s="16">
        <f>HOTEL!P27</f>
        <v>0</v>
      </c>
      <c r="J20" s="16">
        <f>HOTEL!U27</f>
        <v>0</v>
      </c>
      <c r="K20" s="16">
        <f>HOTEL!Y27</f>
        <v>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1</v>
      </c>
      <c r="D21" s="13">
        <v>2021</v>
      </c>
      <c r="E21" s="16">
        <f>HOTEL!D28</f>
        <v>0</v>
      </c>
      <c r="F21" s="16">
        <f>HOTEL!F28</f>
        <v>0</v>
      </c>
      <c r="G21" s="16">
        <f>HOTEL!H28</f>
        <v>0</v>
      </c>
      <c r="H21" s="16">
        <f>HOTEL!N28</f>
        <v>0</v>
      </c>
      <c r="I21" s="16">
        <f>HOTEL!P28</f>
        <v>0</v>
      </c>
      <c r="J21" s="16">
        <f>HOTEL!U28</f>
        <v>0</v>
      </c>
      <c r="K21" s="16">
        <f>HOTEL!Y28</f>
        <v>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1</v>
      </c>
      <c r="D22" s="13">
        <v>2021</v>
      </c>
      <c r="E22" s="16">
        <f>HOTEL!D29</f>
        <v>0</v>
      </c>
      <c r="F22" s="16">
        <f>HOTEL!F29</f>
        <v>0</v>
      </c>
      <c r="G22" s="16">
        <f>HOTEL!H29</f>
        <v>0</v>
      </c>
      <c r="H22" s="16">
        <f>HOTEL!N29</f>
        <v>0</v>
      </c>
      <c r="I22" s="16">
        <f>HOTEL!P29</f>
        <v>0</v>
      </c>
      <c r="J22" s="16">
        <f>HOTEL!U29</f>
        <v>0</v>
      </c>
      <c r="K22" s="16">
        <f>HOTEL!Y29</f>
        <v>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1</v>
      </c>
      <c r="D23" s="13">
        <v>2021</v>
      </c>
      <c r="E23" s="16">
        <f>HOTEL!D30</f>
        <v>0</v>
      </c>
      <c r="F23" s="16">
        <f>HOTEL!F30</f>
        <v>0</v>
      </c>
      <c r="G23" s="16">
        <f>HOTEL!H30</f>
        <v>0</v>
      </c>
      <c r="H23" s="16">
        <f>HOTEL!N30</f>
        <v>0</v>
      </c>
      <c r="I23" s="16">
        <f>HOTEL!P30</f>
        <v>0</v>
      </c>
      <c r="J23" s="16">
        <f>HOTEL!U30</f>
        <v>0</v>
      </c>
      <c r="K23" s="16">
        <f>HOTEL!Y30</f>
        <v>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1</v>
      </c>
      <c r="D24" s="13">
        <v>2021</v>
      </c>
      <c r="E24" s="16">
        <f>HOTEL!D31</f>
        <v>0</v>
      </c>
      <c r="F24" s="16">
        <f>HOTEL!F31</f>
        <v>0</v>
      </c>
      <c r="G24" s="16">
        <f>HOTEL!H31</f>
        <v>0</v>
      </c>
      <c r="H24" s="16">
        <f>HOTEL!N31</f>
        <v>0</v>
      </c>
      <c r="I24" s="16">
        <f>HOTEL!P31</f>
        <v>0</v>
      </c>
      <c r="J24" s="16">
        <f>HOTEL!U31</f>
        <v>0</v>
      </c>
      <c r="K24" s="16">
        <f>HOTEL!Y31</f>
        <v>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1</v>
      </c>
      <c r="D25" s="13">
        <v>2021</v>
      </c>
      <c r="E25" s="16">
        <f>HOTEL!D32</f>
        <v>0</v>
      </c>
      <c r="F25" s="16">
        <f>HOTEL!F32</f>
        <v>0</v>
      </c>
      <c r="G25" s="16">
        <f>HOTEL!H32</f>
        <v>0</v>
      </c>
      <c r="H25" s="16">
        <f>HOTEL!N32</f>
        <v>0</v>
      </c>
      <c r="I25" s="16">
        <f>HOTEL!P32</f>
        <v>0</v>
      </c>
      <c r="J25" s="16">
        <f>HOTEL!U32</f>
        <v>0</v>
      </c>
      <c r="K25" s="16">
        <f>HOTEL!Y32</f>
        <v>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1</v>
      </c>
      <c r="D26" s="13">
        <v>2021</v>
      </c>
      <c r="E26" s="16">
        <f>HOTEL!D33</f>
        <v>0</v>
      </c>
      <c r="F26" s="16">
        <f>HOTEL!F33</f>
        <v>0</v>
      </c>
      <c r="G26" s="16">
        <f>HOTEL!H33</f>
        <v>0</v>
      </c>
      <c r="H26" s="16">
        <f>HOTEL!N33</f>
        <v>0</v>
      </c>
      <c r="I26" s="16">
        <f>HOTEL!P33</f>
        <v>0</v>
      </c>
      <c r="J26" s="16">
        <f>HOTEL!U33</f>
        <v>0</v>
      </c>
      <c r="K26" s="16">
        <f>HOTEL!Y33</f>
        <v>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1</v>
      </c>
      <c r="D27" s="13">
        <v>2021</v>
      </c>
      <c r="E27" s="16">
        <f>HOTEL!D34</f>
        <v>0</v>
      </c>
      <c r="F27" s="16">
        <f>HOTEL!F34</f>
        <v>0</v>
      </c>
      <c r="G27" s="16">
        <f>HOTEL!H34</f>
        <v>0</v>
      </c>
      <c r="H27" s="16">
        <f>HOTEL!N34</f>
        <v>0</v>
      </c>
      <c r="I27" s="16">
        <f>HOTEL!P34</f>
        <v>0</v>
      </c>
      <c r="J27" s="16">
        <f>HOTEL!U34</f>
        <v>0</v>
      </c>
      <c r="K27" s="16">
        <f>HOTEL!Y34</f>
        <v>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1</v>
      </c>
      <c r="D28" s="13">
        <v>2021</v>
      </c>
      <c r="E28" s="16">
        <f>HOTEL!D35</f>
        <v>0</v>
      </c>
      <c r="F28" s="16">
        <f>HOTEL!F35</f>
        <v>0</v>
      </c>
      <c r="G28" s="16">
        <f>HOTEL!H35</f>
        <v>0</v>
      </c>
      <c r="H28" s="16">
        <f>HOTEL!N35</f>
        <v>0</v>
      </c>
      <c r="I28" s="16">
        <f>HOTEL!P35</f>
        <v>0</v>
      </c>
      <c r="J28" s="16">
        <f>HOTEL!U35</f>
        <v>0</v>
      </c>
      <c r="K28" s="16">
        <f>HOTEL!Y35</f>
        <v>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1</v>
      </c>
      <c r="D29" s="13">
        <v>2021</v>
      </c>
      <c r="E29" s="16">
        <f>HOTEL!D36</f>
        <v>0</v>
      </c>
      <c r="F29" s="16">
        <f>HOTEL!F36</f>
        <v>0</v>
      </c>
      <c r="G29" s="16">
        <f>HOTEL!H36</f>
        <v>0</v>
      </c>
      <c r="H29" s="16">
        <f>HOTEL!N36</f>
        <v>0</v>
      </c>
      <c r="I29" s="16">
        <f>HOTEL!P36</f>
        <v>0</v>
      </c>
      <c r="J29" s="16">
        <f>HOTEL!U36</f>
        <v>0</v>
      </c>
      <c r="K29" s="16">
        <f>HOTEL!Y36</f>
        <v>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1</v>
      </c>
      <c r="D30" s="13">
        <v>2021</v>
      </c>
      <c r="E30" s="16">
        <f>HOTEL!D37</f>
        <v>0</v>
      </c>
      <c r="F30" s="16">
        <f>HOTEL!F37</f>
        <v>0</v>
      </c>
      <c r="G30" s="16">
        <f>HOTEL!H37</f>
        <v>0</v>
      </c>
      <c r="H30" s="16">
        <f>HOTEL!N37</f>
        <v>0</v>
      </c>
      <c r="I30" s="16">
        <f>HOTEL!P37</f>
        <v>0</v>
      </c>
      <c r="J30" s="16">
        <f>HOTEL!U37</f>
        <v>0</v>
      </c>
      <c r="K30" s="16">
        <f>HOTEL!Y37</f>
        <v>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1</v>
      </c>
      <c r="D31" s="13">
        <v>2021</v>
      </c>
      <c r="E31" s="16">
        <f>HOTEL!D38</f>
        <v>0</v>
      </c>
      <c r="F31" s="16">
        <f>HOTEL!F38</f>
        <v>0</v>
      </c>
      <c r="G31" s="16">
        <f>HOTEL!H38</f>
        <v>0</v>
      </c>
      <c r="H31" s="16">
        <f>HOTEL!N38</f>
        <v>0</v>
      </c>
      <c r="I31" s="16">
        <f>HOTEL!P38</f>
        <v>0</v>
      </c>
      <c r="J31" s="16">
        <f>HOTEL!U38</f>
        <v>0</v>
      </c>
      <c r="K31" s="16">
        <f>HOTEL!Y38</f>
        <v>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1</v>
      </c>
      <c r="D32" s="13">
        <v>2021</v>
      </c>
      <c r="E32" s="16">
        <f>HOTEL!D39</f>
        <v>0</v>
      </c>
      <c r="F32" s="16">
        <f>HOTEL!F39</f>
        <v>0</v>
      </c>
      <c r="G32" s="16">
        <f>HOTEL!H39</f>
        <v>0</v>
      </c>
      <c r="H32" s="16">
        <f>HOTEL!N39</f>
        <v>0</v>
      </c>
      <c r="I32" s="16">
        <f>HOTEL!P39</f>
        <v>0</v>
      </c>
      <c r="J32" s="16">
        <f>HOTEL!U39</f>
        <v>0</v>
      </c>
      <c r="K32" s="16">
        <f>HOTEL!Y39</f>
        <v>0</v>
      </c>
      <c r="L32" s="30"/>
      <c r="M32" s="30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workbookViewId="0">
      <selection activeCell="AB23" sqref="AB23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44"/>
      <c r="C1" s="144"/>
      <c r="D1" s="144"/>
      <c r="E1" s="144"/>
      <c r="F1" s="145" t="s">
        <v>95</v>
      </c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7"/>
      <c r="W1" s="145" t="s">
        <v>122</v>
      </c>
      <c r="X1" s="146"/>
      <c r="Y1" s="146"/>
      <c r="Z1" s="147"/>
    </row>
    <row r="2" spans="1:27" x14ac:dyDescent="0.25">
      <c r="A2" s="13"/>
      <c r="B2" s="144"/>
      <c r="C2" s="144"/>
      <c r="D2" s="144"/>
      <c r="E2" s="144"/>
      <c r="F2" s="148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48"/>
      <c r="X2" s="149"/>
      <c r="Y2" s="149"/>
      <c r="Z2" s="150"/>
    </row>
    <row r="3" spans="1:27" x14ac:dyDescent="0.25">
      <c r="A3" s="13"/>
      <c r="B3" s="144"/>
      <c r="C3" s="144"/>
      <c r="D3" s="144"/>
      <c r="E3" s="144"/>
      <c r="F3" s="148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148">
        <v>2021</v>
      </c>
      <c r="X3" s="149"/>
      <c r="Y3" s="149"/>
      <c r="Z3" s="150"/>
    </row>
    <row r="4" spans="1:27" x14ac:dyDescent="0.25">
      <c r="A4" s="13"/>
      <c r="B4" s="144"/>
      <c r="C4" s="144"/>
      <c r="D4" s="144"/>
      <c r="E4" s="144"/>
      <c r="F4" s="151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3"/>
      <c r="W4" s="151"/>
      <c r="X4" s="152"/>
      <c r="Y4" s="152"/>
      <c r="Z4" s="153"/>
    </row>
    <row r="5" spans="1:27" x14ac:dyDescent="0.25">
      <c r="A5" s="13"/>
      <c r="B5" s="13"/>
      <c r="C5" s="31"/>
      <c r="E5" s="31"/>
      <c r="G5" s="31"/>
      <c r="M5" s="31"/>
      <c r="O5" s="31"/>
      <c r="P5" s="32"/>
      <c r="Q5" s="32"/>
      <c r="R5" s="32"/>
      <c r="T5" s="31"/>
    </row>
    <row r="6" spans="1:27" x14ac:dyDescent="0.25">
      <c r="A6" s="33" t="s">
        <v>96</v>
      </c>
      <c r="B6" s="34">
        <f>B5+1</f>
        <v>1</v>
      </c>
      <c r="C6" s="35">
        <v>5019016</v>
      </c>
      <c r="D6" s="36"/>
      <c r="E6" s="37">
        <v>4970268</v>
      </c>
      <c r="F6" s="38"/>
      <c r="G6" s="35">
        <v>4703348</v>
      </c>
      <c r="H6" s="39">
        <f>G6-G5</f>
        <v>4703348</v>
      </c>
      <c r="I6" s="40"/>
      <c r="J6" s="41">
        <f>D6+F6+H6</f>
        <v>4703348</v>
      </c>
      <c r="K6" s="41" t="e">
        <f>D6*0.152+F6*0.238+H6*0.115+#REF!*0.218</f>
        <v>#REF!</v>
      </c>
      <c r="L6" s="42"/>
      <c r="M6" s="43">
        <v>122117</v>
      </c>
      <c r="N6" s="39" t="e">
        <f>M6-#REF!</f>
        <v>#REF!</v>
      </c>
      <c r="O6" s="44">
        <v>2011043</v>
      </c>
      <c r="P6" s="41" t="e">
        <f>O6-#REF!</f>
        <v>#REF!</v>
      </c>
      <c r="Q6" s="41" t="e">
        <f>N6+P6</f>
        <v>#REF!</v>
      </c>
      <c r="R6" s="39" t="e">
        <f>Q6*1.2285*10.033*0.0371</f>
        <v>#REF!</v>
      </c>
      <c r="S6" s="42"/>
      <c r="T6" s="45">
        <v>233260</v>
      </c>
      <c r="U6" s="46" t="e">
        <f>T6-#REF!</f>
        <v>#REF!</v>
      </c>
      <c r="V6" s="46" t="e">
        <f>U6*(1.025+1.028)</f>
        <v>#REF!</v>
      </c>
      <c r="W6" s="42"/>
      <c r="X6" s="39" t="e">
        <f>K6+R6+V6</f>
        <v>#REF!</v>
      </c>
      <c r="Y6" s="34">
        <v>100</v>
      </c>
      <c r="Z6" s="39" t="e">
        <f>X6/Y6</f>
        <v>#REF!</v>
      </c>
      <c r="AA6" s="47"/>
    </row>
    <row r="7" spans="1:27" x14ac:dyDescent="0.25">
      <c r="A7" s="13"/>
      <c r="B7" s="48"/>
      <c r="C7" s="154" t="s">
        <v>97</v>
      </c>
      <c r="D7" s="155"/>
      <c r="E7" s="155"/>
      <c r="F7" s="155"/>
      <c r="G7" s="155"/>
      <c r="H7" s="155"/>
      <c r="I7" s="155"/>
      <c r="J7" s="155"/>
      <c r="K7" s="156"/>
      <c r="L7" s="49"/>
      <c r="M7" s="154" t="s">
        <v>98</v>
      </c>
      <c r="N7" s="155"/>
      <c r="O7" s="155"/>
      <c r="P7" s="155"/>
      <c r="Q7" s="155"/>
      <c r="R7" s="156"/>
      <c r="S7" s="49"/>
      <c r="T7" s="157" t="s">
        <v>99</v>
      </c>
      <c r="U7" s="157"/>
      <c r="V7" s="158"/>
      <c r="W7" s="49"/>
      <c r="X7" s="50" t="s">
        <v>100</v>
      </c>
      <c r="Y7" s="51" t="s">
        <v>101</v>
      </c>
      <c r="Z7" s="52" t="s">
        <v>100</v>
      </c>
    </row>
    <row r="8" spans="1:27" x14ac:dyDescent="0.25">
      <c r="A8" s="13"/>
      <c r="B8" s="48"/>
      <c r="C8" s="53" t="s">
        <v>102</v>
      </c>
      <c r="D8" s="54" t="s">
        <v>103</v>
      </c>
      <c r="E8" s="53" t="s">
        <v>104</v>
      </c>
      <c r="F8" s="54" t="s">
        <v>103</v>
      </c>
      <c r="G8" s="53" t="s">
        <v>105</v>
      </c>
      <c r="H8" s="54" t="s">
        <v>103</v>
      </c>
      <c r="I8" s="53" t="s">
        <v>106</v>
      </c>
      <c r="J8" s="55" t="s">
        <v>107</v>
      </c>
      <c r="K8" s="56" t="s">
        <v>108</v>
      </c>
      <c r="L8" s="57"/>
      <c r="M8" s="58" t="s">
        <v>109</v>
      </c>
      <c r="N8" s="55" t="s">
        <v>103</v>
      </c>
      <c r="O8" s="59" t="s">
        <v>110</v>
      </c>
      <c r="P8" s="60" t="s">
        <v>103</v>
      </c>
      <c r="Q8" s="61" t="s">
        <v>111</v>
      </c>
      <c r="R8" s="60" t="s">
        <v>108</v>
      </c>
      <c r="S8" s="57"/>
      <c r="T8" s="53" t="s">
        <v>112</v>
      </c>
      <c r="U8" s="55" t="s">
        <v>103</v>
      </c>
      <c r="V8" s="62" t="s">
        <v>108</v>
      </c>
      <c r="W8" s="63"/>
      <c r="X8" s="64" t="s">
        <v>113</v>
      </c>
      <c r="Y8" s="65" t="s">
        <v>114</v>
      </c>
      <c r="Z8" s="66" t="s">
        <v>115</v>
      </c>
    </row>
    <row r="9" spans="1:27" x14ac:dyDescent="0.25">
      <c r="A9" s="13" t="s">
        <v>116</v>
      </c>
      <c r="B9" s="67">
        <v>1</v>
      </c>
      <c r="C9" s="104">
        <v>5023508</v>
      </c>
      <c r="D9" s="69">
        <f>IF((C9-C6&lt;0), "0",C9-C6)</f>
        <v>4492</v>
      </c>
      <c r="E9" s="105">
        <v>4974621</v>
      </c>
      <c r="F9" s="69">
        <f>IF((E9-E6&lt;0), "0",E9-E6)</f>
        <v>4353</v>
      </c>
      <c r="G9" s="88">
        <v>4707502</v>
      </c>
      <c r="H9" s="69">
        <f>IF((G9-G6&lt;0), "0",G9-G6)</f>
        <v>4154</v>
      </c>
      <c r="I9" s="104">
        <v>122281</v>
      </c>
      <c r="J9" s="72">
        <v>0.99</v>
      </c>
      <c r="K9" s="73">
        <f>I9*0.251</f>
        <v>30692.530999999999</v>
      </c>
      <c r="L9" s="74"/>
      <c r="M9" s="104">
        <v>122281</v>
      </c>
      <c r="N9" s="69">
        <f>IF((M9-M6&lt;0), "0",M9-M6)</f>
        <v>164</v>
      </c>
      <c r="O9" s="104">
        <v>2015148</v>
      </c>
      <c r="P9" s="69">
        <f>IF((O9-O6&lt;0), "0",O9-O6)</f>
        <v>4105</v>
      </c>
      <c r="Q9" s="75">
        <f t="shared" ref="Q9:Q39" si="0">N9+P9</f>
        <v>4269</v>
      </c>
      <c r="R9" s="76">
        <f>(P9+N9)*0.056*10.211</f>
        <v>2441.082504</v>
      </c>
      <c r="S9" s="77"/>
      <c r="T9" s="106">
        <v>233491</v>
      </c>
      <c r="U9" s="69">
        <f>IF((T9-T6&lt;0), "0",T9-T6)</f>
        <v>231</v>
      </c>
      <c r="V9" s="79">
        <f>U9*(1.315+1.54)</f>
        <v>659.505</v>
      </c>
      <c r="W9" s="80"/>
      <c r="X9" s="81">
        <f t="shared" ref="X9:X39" si="1">K9+R9+V9</f>
        <v>33793.118503999998</v>
      </c>
      <c r="Y9" s="82">
        <v>152</v>
      </c>
      <c r="Z9" s="83">
        <f>X9/Y9</f>
        <v>222.32314805263158</v>
      </c>
    </row>
    <row r="10" spans="1:27" x14ac:dyDescent="0.25">
      <c r="A10" s="13" t="s">
        <v>117</v>
      </c>
      <c r="B10" s="67">
        <f>B9+1</f>
        <v>2</v>
      </c>
      <c r="C10" s="68">
        <v>5025786</v>
      </c>
      <c r="D10" s="69">
        <f t="shared" ref="D10:D19" si="2">IF((C10-C9&lt;0), "0",C10-C9)</f>
        <v>2278</v>
      </c>
      <c r="E10" s="70">
        <v>4977063</v>
      </c>
      <c r="F10" s="69">
        <f>IF((E10-E9&lt;0), "0",E10-E9)</f>
        <v>2442</v>
      </c>
      <c r="G10" s="70">
        <v>4709823</v>
      </c>
      <c r="H10" s="69">
        <f t="shared" ref="H10:H39" si="3">IF((G10-G9&lt;0), "0",G10-G9)</f>
        <v>2321</v>
      </c>
      <c r="I10" s="70">
        <v>122454</v>
      </c>
      <c r="J10" s="72">
        <v>0.99</v>
      </c>
      <c r="K10" s="73">
        <f t="shared" ref="K10:K39" si="4">I10*0.251</f>
        <v>30735.954000000002</v>
      </c>
      <c r="L10" s="74"/>
      <c r="M10" s="70">
        <v>122454</v>
      </c>
      <c r="N10" s="69">
        <f>IF((M10-M9&lt;0), "0",M10-M9)</f>
        <v>173</v>
      </c>
      <c r="O10" s="70">
        <v>2017121</v>
      </c>
      <c r="P10" s="69">
        <f>IF((O10-O9&lt;0), "0",O10-O9)</f>
        <v>1973</v>
      </c>
      <c r="Q10" s="75">
        <f t="shared" si="0"/>
        <v>2146</v>
      </c>
      <c r="R10" s="76">
        <f t="shared" ref="R10:R39" si="5">(P10+N10)*0.056*10.211</f>
        <v>1227.1171360000001</v>
      </c>
      <c r="S10" s="77"/>
      <c r="T10" s="78">
        <v>233680</v>
      </c>
      <c r="U10" s="69">
        <f>IF((T10-T9&lt;0), "0",T10-T9)</f>
        <v>189</v>
      </c>
      <c r="V10" s="79">
        <f t="shared" ref="V10:V39" si="6">U10*(1.315+1.54)</f>
        <v>539.59500000000003</v>
      </c>
      <c r="W10" s="80"/>
      <c r="X10" s="84">
        <f t="shared" si="1"/>
        <v>32502.666136000003</v>
      </c>
      <c r="Y10" s="85">
        <v>57</v>
      </c>
      <c r="Z10" s="86">
        <f t="shared" ref="Z10:Z39" si="7">X10/Y10</f>
        <v>570.22221291228072</v>
      </c>
    </row>
    <row r="11" spans="1:27" x14ac:dyDescent="0.25">
      <c r="A11" s="13" t="s">
        <v>118</v>
      </c>
      <c r="B11" s="67">
        <f t="shared" ref="B11:B39" si="8">B10+1</f>
        <v>3</v>
      </c>
      <c r="C11" s="68">
        <v>5028157</v>
      </c>
      <c r="D11" s="69">
        <f t="shared" si="2"/>
        <v>2371</v>
      </c>
      <c r="E11" s="68">
        <v>4979428</v>
      </c>
      <c r="F11" s="69">
        <f t="shared" ref="F11:F39" si="9">IF((E11-E10&lt;0), "0",E11-E10)</f>
        <v>2365</v>
      </c>
      <c r="G11" s="70">
        <v>4712051</v>
      </c>
      <c r="H11" s="69">
        <f t="shared" si="3"/>
        <v>2228</v>
      </c>
      <c r="I11" s="70">
        <v>122614</v>
      </c>
      <c r="J11" s="72">
        <v>0.99</v>
      </c>
      <c r="K11" s="73">
        <f t="shared" si="4"/>
        <v>30776.114000000001</v>
      </c>
      <c r="L11" s="74"/>
      <c r="M11" s="70">
        <v>122614</v>
      </c>
      <c r="N11" s="69">
        <f t="shared" ref="N11:N39" si="10">IF((M11-M10&lt;0), "0",M11-M10)</f>
        <v>160</v>
      </c>
      <c r="O11" s="70">
        <v>2019845</v>
      </c>
      <c r="P11" s="69">
        <f t="shared" ref="P11:P39" si="11">IF((O11-O10&lt;0), "0",O11-O10)</f>
        <v>2724</v>
      </c>
      <c r="Q11" s="75">
        <f t="shared" si="0"/>
        <v>2884</v>
      </c>
      <c r="R11" s="76">
        <f t="shared" si="5"/>
        <v>1649.117344</v>
      </c>
      <c r="S11" s="77"/>
      <c r="T11" s="87">
        <v>233926</v>
      </c>
      <c r="U11" s="69">
        <f t="shared" ref="U11:U39" si="12">IF((T11-T10&lt;0), "0",T11-T10)</f>
        <v>246</v>
      </c>
      <c r="V11" s="79">
        <f t="shared" si="6"/>
        <v>702.33</v>
      </c>
      <c r="W11" s="80"/>
      <c r="X11" s="84">
        <f t="shared" si="1"/>
        <v>33127.561344000002</v>
      </c>
      <c r="Y11" s="85">
        <v>53</v>
      </c>
      <c r="Z11" s="86">
        <f t="shared" si="7"/>
        <v>625.04832724528308</v>
      </c>
    </row>
    <row r="12" spans="1:27" x14ac:dyDescent="0.25">
      <c r="A12" s="13" t="s">
        <v>119</v>
      </c>
      <c r="B12" s="67">
        <f t="shared" si="8"/>
        <v>4</v>
      </c>
      <c r="C12" s="68">
        <v>5030458</v>
      </c>
      <c r="D12" s="69">
        <f t="shared" si="2"/>
        <v>2301</v>
      </c>
      <c r="E12" s="68">
        <v>4981731</v>
      </c>
      <c r="F12" s="69">
        <f t="shared" si="9"/>
        <v>2303</v>
      </c>
      <c r="G12" s="70">
        <v>4714215</v>
      </c>
      <c r="H12" s="69">
        <f t="shared" si="3"/>
        <v>2164</v>
      </c>
      <c r="I12" s="70">
        <v>122740</v>
      </c>
      <c r="J12" s="72">
        <v>0.99</v>
      </c>
      <c r="K12" s="73">
        <f t="shared" si="4"/>
        <v>30807.74</v>
      </c>
      <c r="L12" s="74"/>
      <c r="M12" s="70">
        <v>122740</v>
      </c>
      <c r="N12" s="69">
        <f t="shared" si="10"/>
        <v>126</v>
      </c>
      <c r="O12" s="70">
        <v>2022636</v>
      </c>
      <c r="P12" s="69">
        <f t="shared" si="11"/>
        <v>2791</v>
      </c>
      <c r="Q12" s="75">
        <f t="shared" si="0"/>
        <v>2917</v>
      </c>
      <c r="R12" s="76">
        <f t="shared" si="5"/>
        <v>1667.9872720000001</v>
      </c>
      <c r="S12" s="77"/>
      <c r="T12" s="78">
        <v>234170</v>
      </c>
      <c r="U12" s="69">
        <f t="shared" si="12"/>
        <v>244</v>
      </c>
      <c r="V12" s="79">
        <f t="shared" si="6"/>
        <v>696.62</v>
      </c>
      <c r="W12" s="80"/>
      <c r="X12" s="84">
        <f t="shared" si="1"/>
        <v>33172.347271999999</v>
      </c>
      <c r="Y12" s="85">
        <v>36</v>
      </c>
      <c r="Z12" s="86">
        <f t="shared" si="7"/>
        <v>921.45409088888891</v>
      </c>
    </row>
    <row r="13" spans="1:27" x14ac:dyDescent="0.25">
      <c r="A13" s="13" t="s">
        <v>120</v>
      </c>
      <c r="B13" s="67">
        <f t="shared" si="8"/>
        <v>5</v>
      </c>
      <c r="C13" s="88">
        <v>5032673</v>
      </c>
      <c r="D13" s="69">
        <f t="shared" si="2"/>
        <v>2215</v>
      </c>
      <c r="E13" s="68">
        <v>4983957</v>
      </c>
      <c r="F13" s="69">
        <f t="shared" si="9"/>
        <v>2226</v>
      </c>
      <c r="G13" s="88">
        <v>4716280</v>
      </c>
      <c r="H13" s="69">
        <f t="shared" si="3"/>
        <v>2065</v>
      </c>
      <c r="I13" s="70">
        <v>122878</v>
      </c>
      <c r="J13" s="72">
        <v>0.99</v>
      </c>
      <c r="K13" s="73">
        <f t="shared" si="4"/>
        <v>30842.378000000001</v>
      </c>
      <c r="L13" s="74"/>
      <c r="M13" s="70">
        <v>122878</v>
      </c>
      <c r="N13" s="69">
        <f t="shared" si="10"/>
        <v>138</v>
      </c>
      <c r="O13" s="68">
        <v>2025280</v>
      </c>
      <c r="P13" s="69">
        <f t="shared" si="11"/>
        <v>2644</v>
      </c>
      <c r="Q13" s="75">
        <f t="shared" si="0"/>
        <v>2782</v>
      </c>
      <c r="R13" s="76">
        <f t="shared" si="5"/>
        <v>1590.7921120000001</v>
      </c>
      <c r="S13" s="77"/>
      <c r="T13" s="89">
        <v>234408</v>
      </c>
      <c r="U13" s="69">
        <f t="shared" si="12"/>
        <v>238</v>
      </c>
      <c r="V13" s="79">
        <f t="shared" si="6"/>
        <v>679.49</v>
      </c>
      <c r="W13" s="80"/>
      <c r="X13" s="84">
        <f t="shared" si="1"/>
        <v>33112.660111999998</v>
      </c>
      <c r="Y13" s="85">
        <v>28</v>
      </c>
      <c r="Z13" s="86">
        <f t="shared" si="7"/>
        <v>1182.595004</v>
      </c>
    </row>
    <row r="14" spans="1:27" x14ac:dyDescent="0.25">
      <c r="A14" s="13" t="s">
        <v>96</v>
      </c>
      <c r="B14" s="67">
        <f t="shared" si="8"/>
        <v>6</v>
      </c>
      <c r="C14" s="68">
        <v>5034864</v>
      </c>
      <c r="D14" s="69">
        <f t="shared" si="2"/>
        <v>2191</v>
      </c>
      <c r="E14" s="68">
        <v>4986164</v>
      </c>
      <c r="F14" s="69">
        <f t="shared" si="9"/>
        <v>2207</v>
      </c>
      <c r="G14" s="88">
        <v>4718336</v>
      </c>
      <c r="H14" s="69">
        <f t="shared" si="3"/>
        <v>2056</v>
      </c>
      <c r="I14" s="70">
        <v>122999</v>
      </c>
      <c r="J14" s="72">
        <v>0.99</v>
      </c>
      <c r="K14" s="73">
        <f t="shared" si="4"/>
        <v>30872.749</v>
      </c>
      <c r="L14" s="74"/>
      <c r="M14" s="70">
        <v>122999</v>
      </c>
      <c r="N14" s="69">
        <f t="shared" si="10"/>
        <v>121</v>
      </c>
      <c r="O14" s="68">
        <v>2027921</v>
      </c>
      <c r="P14" s="69">
        <f t="shared" si="11"/>
        <v>2641</v>
      </c>
      <c r="Q14" s="75">
        <f t="shared" si="0"/>
        <v>2762</v>
      </c>
      <c r="R14" s="76">
        <f t="shared" si="5"/>
        <v>1579.3557920000001</v>
      </c>
      <c r="S14" s="77"/>
      <c r="T14" s="89">
        <v>234603</v>
      </c>
      <c r="U14" s="69">
        <f t="shared" si="12"/>
        <v>195</v>
      </c>
      <c r="V14" s="79">
        <f t="shared" si="6"/>
        <v>556.72500000000002</v>
      </c>
      <c r="W14" s="80"/>
      <c r="X14" s="84">
        <f t="shared" si="1"/>
        <v>33008.829791999997</v>
      </c>
      <c r="Y14" s="85">
        <v>51</v>
      </c>
      <c r="Z14" s="86">
        <f t="shared" si="7"/>
        <v>647.23195670588234</v>
      </c>
    </row>
    <row r="15" spans="1:27" x14ac:dyDescent="0.25">
      <c r="A15" s="13" t="s">
        <v>121</v>
      </c>
      <c r="B15" s="67">
        <f t="shared" si="8"/>
        <v>7</v>
      </c>
      <c r="C15" s="68">
        <v>5037002</v>
      </c>
      <c r="D15" s="69">
        <f t="shared" si="2"/>
        <v>2138</v>
      </c>
      <c r="E15" s="68">
        <v>4988411</v>
      </c>
      <c r="F15" s="69">
        <f t="shared" si="9"/>
        <v>2247</v>
      </c>
      <c r="G15" s="68">
        <v>4720314</v>
      </c>
      <c r="H15" s="69">
        <f t="shared" si="3"/>
        <v>1978</v>
      </c>
      <c r="I15" s="70">
        <v>123121</v>
      </c>
      <c r="J15" s="72">
        <v>0.99</v>
      </c>
      <c r="K15" s="73">
        <f t="shared" si="4"/>
        <v>30903.370999999999</v>
      </c>
      <c r="L15" s="74"/>
      <c r="M15" s="70">
        <v>123121</v>
      </c>
      <c r="N15" s="69">
        <f t="shared" si="10"/>
        <v>122</v>
      </c>
      <c r="O15" s="68">
        <v>2030314</v>
      </c>
      <c r="P15" s="69">
        <f t="shared" si="11"/>
        <v>2393</v>
      </c>
      <c r="Q15" s="75">
        <f t="shared" si="0"/>
        <v>2515</v>
      </c>
      <c r="R15" s="76">
        <f t="shared" si="5"/>
        <v>1438.11724</v>
      </c>
      <c r="S15" s="77"/>
      <c r="T15" s="89">
        <v>234801</v>
      </c>
      <c r="U15" s="69">
        <f t="shared" si="12"/>
        <v>198</v>
      </c>
      <c r="V15" s="79">
        <f t="shared" si="6"/>
        <v>565.29</v>
      </c>
      <c r="W15" s="80"/>
      <c r="X15" s="84">
        <f t="shared" si="1"/>
        <v>32906.77824</v>
      </c>
      <c r="Y15" s="85">
        <v>22</v>
      </c>
      <c r="Z15" s="86">
        <f t="shared" si="7"/>
        <v>1495.7626472727272</v>
      </c>
    </row>
    <row r="16" spans="1:27" x14ac:dyDescent="0.25">
      <c r="A16" s="13" t="s">
        <v>116</v>
      </c>
      <c r="B16" s="67">
        <f t="shared" si="8"/>
        <v>8</v>
      </c>
      <c r="C16" s="68">
        <v>5039210</v>
      </c>
      <c r="D16" s="69">
        <f t="shared" si="2"/>
        <v>2208</v>
      </c>
      <c r="E16" s="68">
        <v>4990542</v>
      </c>
      <c r="F16" s="69">
        <f t="shared" si="9"/>
        <v>2131</v>
      </c>
      <c r="G16" s="68">
        <v>4722415</v>
      </c>
      <c r="H16" s="69">
        <f t="shared" si="3"/>
        <v>2101</v>
      </c>
      <c r="I16" s="70">
        <v>123254</v>
      </c>
      <c r="J16" s="72">
        <v>0.99</v>
      </c>
      <c r="K16" s="73">
        <f t="shared" si="4"/>
        <v>30936.754000000001</v>
      </c>
      <c r="L16" s="74"/>
      <c r="M16" s="70">
        <v>123254</v>
      </c>
      <c r="N16" s="69">
        <f t="shared" si="10"/>
        <v>133</v>
      </c>
      <c r="O16" s="68">
        <v>2032839</v>
      </c>
      <c r="P16" s="69">
        <f t="shared" si="11"/>
        <v>2525</v>
      </c>
      <c r="Q16" s="75">
        <f t="shared" si="0"/>
        <v>2658</v>
      </c>
      <c r="R16" s="76">
        <f t="shared" si="5"/>
        <v>1519.8869280000001</v>
      </c>
      <c r="S16" s="77"/>
      <c r="T16" s="89">
        <v>234998</v>
      </c>
      <c r="U16" s="69">
        <f t="shared" si="12"/>
        <v>197</v>
      </c>
      <c r="V16" s="79">
        <f t="shared" si="6"/>
        <v>562.43499999999995</v>
      </c>
      <c r="W16" s="80"/>
      <c r="X16" s="84">
        <f t="shared" si="1"/>
        <v>33019.075927999998</v>
      </c>
      <c r="Y16" s="85">
        <v>31</v>
      </c>
      <c r="Z16" s="86">
        <f t="shared" si="7"/>
        <v>1065.131481548387</v>
      </c>
    </row>
    <row r="17" spans="1:26" x14ac:dyDescent="0.25">
      <c r="A17" s="13" t="s">
        <v>117</v>
      </c>
      <c r="B17" s="67">
        <v>9</v>
      </c>
      <c r="C17" s="90">
        <v>5041347</v>
      </c>
      <c r="D17" s="69">
        <f t="shared" si="2"/>
        <v>2137</v>
      </c>
      <c r="E17" s="90">
        <v>4992707</v>
      </c>
      <c r="F17" s="69">
        <f t="shared" si="9"/>
        <v>2165</v>
      </c>
      <c r="G17" s="90">
        <v>4724431</v>
      </c>
      <c r="H17" s="69">
        <f t="shared" si="3"/>
        <v>2016</v>
      </c>
      <c r="I17" s="90">
        <v>123383</v>
      </c>
      <c r="J17" s="72">
        <v>0.99</v>
      </c>
      <c r="K17" s="73">
        <f t="shared" si="4"/>
        <v>30969.133000000002</v>
      </c>
      <c r="L17" s="74"/>
      <c r="M17" s="90">
        <v>123383</v>
      </c>
      <c r="N17" s="69">
        <f t="shared" si="10"/>
        <v>129</v>
      </c>
      <c r="O17" s="90">
        <v>2034821</v>
      </c>
      <c r="P17" s="69">
        <f t="shared" si="11"/>
        <v>1982</v>
      </c>
      <c r="Q17" s="75">
        <f t="shared" si="0"/>
        <v>2111</v>
      </c>
      <c r="R17" s="76">
        <f t="shared" si="5"/>
        <v>1207.1035760000002</v>
      </c>
      <c r="S17" s="77"/>
      <c r="T17" s="91">
        <v>235255</v>
      </c>
      <c r="U17" s="69">
        <f t="shared" si="12"/>
        <v>257</v>
      </c>
      <c r="V17" s="79">
        <f t="shared" si="6"/>
        <v>733.73500000000001</v>
      </c>
      <c r="W17" s="80"/>
      <c r="X17" s="84">
        <f t="shared" si="1"/>
        <v>32909.971576000004</v>
      </c>
      <c r="Y17" s="85">
        <v>46</v>
      </c>
      <c r="Z17" s="86">
        <f t="shared" si="7"/>
        <v>715.43416469565227</v>
      </c>
    </row>
    <row r="18" spans="1:26" x14ac:dyDescent="0.25">
      <c r="A18" s="13" t="s">
        <v>118</v>
      </c>
      <c r="B18" s="92">
        <f t="shared" si="8"/>
        <v>10</v>
      </c>
      <c r="C18" s="90">
        <v>5043470</v>
      </c>
      <c r="D18" s="69">
        <f t="shared" si="2"/>
        <v>2123</v>
      </c>
      <c r="E18" s="68">
        <v>4994836</v>
      </c>
      <c r="F18" s="69">
        <f t="shared" si="9"/>
        <v>2129</v>
      </c>
      <c r="G18" s="68">
        <v>4726411</v>
      </c>
      <c r="H18" s="69">
        <f t="shared" si="3"/>
        <v>1980</v>
      </c>
      <c r="I18" s="70">
        <v>123521</v>
      </c>
      <c r="J18" s="72">
        <v>0.99</v>
      </c>
      <c r="K18" s="73">
        <f t="shared" si="4"/>
        <v>31003.771000000001</v>
      </c>
      <c r="L18" s="93"/>
      <c r="M18" s="70">
        <v>123521</v>
      </c>
      <c r="N18" s="69">
        <f t="shared" si="10"/>
        <v>138</v>
      </c>
      <c r="O18" s="68">
        <v>2036732</v>
      </c>
      <c r="P18" s="69">
        <f t="shared" si="11"/>
        <v>1911</v>
      </c>
      <c r="Q18" s="75">
        <f t="shared" si="0"/>
        <v>2049</v>
      </c>
      <c r="R18" s="76">
        <f t="shared" si="5"/>
        <v>1171.6509840000001</v>
      </c>
      <c r="S18" s="94"/>
      <c r="T18" s="89">
        <v>235415</v>
      </c>
      <c r="U18" s="69">
        <f t="shared" si="12"/>
        <v>160</v>
      </c>
      <c r="V18" s="79">
        <f t="shared" si="6"/>
        <v>456.8</v>
      </c>
      <c r="W18" s="80"/>
      <c r="X18" s="84">
        <f t="shared" si="1"/>
        <v>32632.221984</v>
      </c>
      <c r="Y18" s="85">
        <v>37</v>
      </c>
      <c r="Z18" s="95">
        <f t="shared" si="7"/>
        <v>881.95194551351346</v>
      </c>
    </row>
    <row r="19" spans="1:26" x14ac:dyDescent="0.25">
      <c r="A19" s="13" t="s">
        <v>119</v>
      </c>
      <c r="B19" s="96">
        <f t="shared" si="8"/>
        <v>11</v>
      </c>
      <c r="C19" s="68">
        <v>5045826</v>
      </c>
      <c r="D19" s="69">
        <f t="shared" si="2"/>
        <v>2356</v>
      </c>
      <c r="E19" s="68">
        <v>4997186</v>
      </c>
      <c r="F19" s="69">
        <f t="shared" si="9"/>
        <v>2350</v>
      </c>
      <c r="G19" s="68">
        <v>4728613</v>
      </c>
      <c r="H19" s="69">
        <f t="shared" si="3"/>
        <v>2202</v>
      </c>
      <c r="I19" s="70">
        <v>123647</v>
      </c>
      <c r="J19" s="72">
        <v>0.99</v>
      </c>
      <c r="K19" s="73">
        <f t="shared" si="4"/>
        <v>31035.397000000001</v>
      </c>
      <c r="L19" s="74"/>
      <c r="M19" s="70">
        <v>123647</v>
      </c>
      <c r="N19" s="69">
        <f t="shared" si="10"/>
        <v>126</v>
      </c>
      <c r="O19" s="97">
        <v>2038653</v>
      </c>
      <c r="P19" s="69">
        <f t="shared" si="11"/>
        <v>1921</v>
      </c>
      <c r="Q19" s="75">
        <f t="shared" si="0"/>
        <v>2047</v>
      </c>
      <c r="R19" s="76">
        <f t="shared" si="5"/>
        <v>1170.5073520000001</v>
      </c>
      <c r="S19" s="77"/>
      <c r="T19" s="98">
        <v>235580</v>
      </c>
      <c r="U19" s="69">
        <f t="shared" si="12"/>
        <v>165</v>
      </c>
      <c r="V19" s="79">
        <f t="shared" si="6"/>
        <v>471.07499999999999</v>
      </c>
      <c r="W19" s="80"/>
      <c r="X19" s="84">
        <f t="shared" si="1"/>
        <v>32676.979352000002</v>
      </c>
      <c r="Y19" s="85">
        <v>25</v>
      </c>
      <c r="Z19" s="83">
        <f t="shared" si="7"/>
        <v>1307.07917408</v>
      </c>
    </row>
    <row r="20" spans="1:26" x14ac:dyDescent="0.25">
      <c r="A20" s="13" t="s">
        <v>120</v>
      </c>
      <c r="B20" s="67">
        <f t="shared" si="8"/>
        <v>12</v>
      </c>
      <c r="C20" s="68">
        <v>5047955</v>
      </c>
      <c r="D20" s="69">
        <f t="shared" ref="D20:D39" si="13">IF((C20-C19&lt;0), "0",C20-C19)</f>
        <v>2129</v>
      </c>
      <c r="E20" s="68">
        <v>4999327</v>
      </c>
      <c r="F20" s="69">
        <f t="shared" si="9"/>
        <v>2141</v>
      </c>
      <c r="G20" s="68">
        <v>4730582</v>
      </c>
      <c r="H20" s="69">
        <f t="shared" si="3"/>
        <v>1969</v>
      </c>
      <c r="I20" s="70">
        <v>123777</v>
      </c>
      <c r="J20" s="72">
        <v>0.99</v>
      </c>
      <c r="K20" s="73">
        <f t="shared" si="4"/>
        <v>31068.027000000002</v>
      </c>
      <c r="L20" s="74"/>
      <c r="M20" s="70">
        <v>123777</v>
      </c>
      <c r="N20" s="69">
        <f t="shared" si="10"/>
        <v>130</v>
      </c>
      <c r="O20" s="68">
        <v>2040375</v>
      </c>
      <c r="P20" s="69">
        <f t="shared" si="11"/>
        <v>1722</v>
      </c>
      <c r="Q20" s="75">
        <f t="shared" si="0"/>
        <v>1852</v>
      </c>
      <c r="R20" s="76">
        <f t="shared" si="5"/>
        <v>1059.003232</v>
      </c>
      <c r="S20" s="77"/>
      <c r="T20" s="89">
        <v>235744</v>
      </c>
      <c r="U20" s="69">
        <f t="shared" si="12"/>
        <v>164</v>
      </c>
      <c r="V20" s="79">
        <f t="shared" si="6"/>
        <v>468.21999999999997</v>
      </c>
      <c r="W20" s="80"/>
      <c r="X20" s="84">
        <f t="shared" si="1"/>
        <v>32595.250232000002</v>
      </c>
      <c r="Y20" s="85">
        <v>27</v>
      </c>
      <c r="Z20" s="86">
        <f t="shared" si="7"/>
        <v>1207.2314900740741</v>
      </c>
    </row>
    <row r="21" spans="1:26" x14ac:dyDescent="0.25">
      <c r="A21" s="13" t="s">
        <v>96</v>
      </c>
      <c r="B21" s="67">
        <f t="shared" si="8"/>
        <v>13</v>
      </c>
      <c r="C21" s="90">
        <v>5050020</v>
      </c>
      <c r="D21" s="69">
        <f t="shared" si="13"/>
        <v>2065</v>
      </c>
      <c r="E21" s="68">
        <v>5001424</v>
      </c>
      <c r="F21" s="69">
        <f t="shared" si="9"/>
        <v>2097</v>
      </c>
      <c r="G21" s="68">
        <v>4732518</v>
      </c>
      <c r="H21" s="69">
        <f t="shared" si="3"/>
        <v>1936</v>
      </c>
      <c r="I21" s="70">
        <v>123898</v>
      </c>
      <c r="J21" s="72">
        <v>0.99</v>
      </c>
      <c r="K21" s="73">
        <f t="shared" si="4"/>
        <v>31098.398000000001</v>
      </c>
      <c r="L21" s="74"/>
      <c r="M21" s="70">
        <v>123898</v>
      </c>
      <c r="N21" s="69">
        <f t="shared" si="10"/>
        <v>121</v>
      </c>
      <c r="O21" s="68">
        <v>2042453</v>
      </c>
      <c r="P21" s="69">
        <f t="shared" si="11"/>
        <v>2078</v>
      </c>
      <c r="Q21" s="75">
        <f t="shared" si="0"/>
        <v>2199</v>
      </c>
      <c r="R21" s="76">
        <f t="shared" si="5"/>
        <v>1257.4233840000002</v>
      </c>
      <c r="S21" s="77"/>
      <c r="T21" s="89">
        <v>235894</v>
      </c>
      <c r="U21" s="69">
        <f t="shared" si="12"/>
        <v>150</v>
      </c>
      <c r="V21" s="79">
        <f t="shared" si="6"/>
        <v>428.25</v>
      </c>
      <c r="W21" s="80"/>
      <c r="X21" s="84">
        <f t="shared" si="1"/>
        <v>32784.071384000003</v>
      </c>
      <c r="Y21" s="85">
        <v>30</v>
      </c>
      <c r="Z21" s="86">
        <f t="shared" si="7"/>
        <v>1092.8023794666667</v>
      </c>
    </row>
    <row r="22" spans="1:26" x14ac:dyDescent="0.25">
      <c r="A22" s="13" t="s">
        <v>121</v>
      </c>
      <c r="B22" s="67">
        <f t="shared" si="8"/>
        <v>14</v>
      </c>
      <c r="C22" s="90">
        <v>5052158</v>
      </c>
      <c r="D22" s="69">
        <f t="shared" si="13"/>
        <v>2138</v>
      </c>
      <c r="E22" s="68">
        <v>5003590</v>
      </c>
      <c r="F22" s="69">
        <f t="shared" si="9"/>
        <v>2166</v>
      </c>
      <c r="G22" s="68">
        <v>4734518</v>
      </c>
      <c r="H22" s="69">
        <f t="shared" si="3"/>
        <v>2000</v>
      </c>
      <c r="I22" s="70">
        <v>124018</v>
      </c>
      <c r="J22" s="72">
        <v>0.99</v>
      </c>
      <c r="K22" s="73">
        <f t="shared" si="4"/>
        <v>31128.518</v>
      </c>
      <c r="L22" s="74"/>
      <c r="M22" s="70">
        <v>124018</v>
      </c>
      <c r="N22" s="69">
        <f t="shared" si="10"/>
        <v>120</v>
      </c>
      <c r="O22" s="68">
        <v>2044250</v>
      </c>
      <c r="P22" s="69">
        <f t="shared" si="11"/>
        <v>1797</v>
      </c>
      <c r="Q22" s="75">
        <f t="shared" si="0"/>
        <v>1917</v>
      </c>
      <c r="R22" s="76">
        <f t="shared" si="5"/>
        <v>1096.171272</v>
      </c>
      <c r="S22" s="77"/>
      <c r="T22" s="89">
        <v>236171</v>
      </c>
      <c r="U22" s="69">
        <f t="shared" si="12"/>
        <v>277</v>
      </c>
      <c r="V22" s="79">
        <f t="shared" si="6"/>
        <v>790.83500000000004</v>
      </c>
      <c r="W22" s="80"/>
      <c r="X22" s="84">
        <f t="shared" si="1"/>
        <v>33015.524272000002</v>
      </c>
      <c r="Y22" s="85">
        <v>34</v>
      </c>
      <c r="Z22" s="86">
        <f t="shared" si="7"/>
        <v>971.04483152941179</v>
      </c>
    </row>
    <row r="23" spans="1:26" x14ac:dyDescent="0.25">
      <c r="A23" s="13" t="s">
        <v>116</v>
      </c>
      <c r="B23" s="67">
        <f t="shared" si="8"/>
        <v>15</v>
      </c>
      <c r="C23" s="68">
        <v>5054294</v>
      </c>
      <c r="D23" s="69">
        <f t="shared" si="13"/>
        <v>2136</v>
      </c>
      <c r="E23" s="68">
        <v>5005737</v>
      </c>
      <c r="F23" s="69">
        <f t="shared" si="9"/>
        <v>2147</v>
      </c>
      <c r="G23" s="68">
        <v>4736502</v>
      </c>
      <c r="H23" s="69">
        <f t="shared" si="3"/>
        <v>1984</v>
      </c>
      <c r="I23" s="70">
        <v>124152</v>
      </c>
      <c r="J23" s="72">
        <v>0.99</v>
      </c>
      <c r="K23" s="73">
        <f t="shared" si="4"/>
        <v>31162.152000000002</v>
      </c>
      <c r="L23" s="74"/>
      <c r="M23" s="70">
        <v>124152</v>
      </c>
      <c r="N23" s="69">
        <f t="shared" si="10"/>
        <v>134</v>
      </c>
      <c r="O23" s="68">
        <v>2045929</v>
      </c>
      <c r="P23" s="69">
        <f t="shared" si="11"/>
        <v>1679</v>
      </c>
      <c r="Q23" s="75">
        <f t="shared" si="0"/>
        <v>1813</v>
      </c>
      <c r="R23" s="76">
        <f t="shared" si="5"/>
        <v>1036.7024080000001</v>
      </c>
      <c r="S23" s="77"/>
      <c r="T23" s="89">
        <v>236362</v>
      </c>
      <c r="U23" s="69">
        <f t="shared" si="12"/>
        <v>191</v>
      </c>
      <c r="V23" s="79">
        <f t="shared" si="6"/>
        <v>545.30499999999995</v>
      </c>
      <c r="W23" s="80"/>
      <c r="X23" s="84">
        <f t="shared" si="1"/>
        <v>32744.159408000003</v>
      </c>
      <c r="Y23" s="85">
        <v>38</v>
      </c>
      <c r="Z23" s="86">
        <f t="shared" si="7"/>
        <v>861.68840547368427</v>
      </c>
    </row>
    <row r="24" spans="1:26" x14ac:dyDescent="0.25">
      <c r="A24" s="13" t="s">
        <v>117</v>
      </c>
      <c r="B24" s="67">
        <f t="shared" si="8"/>
        <v>16</v>
      </c>
      <c r="C24" s="68"/>
      <c r="D24" s="69" t="str">
        <f t="shared" si="13"/>
        <v>0</v>
      </c>
      <c r="E24" s="68"/>
      <c r="F24" s="69" t="str">
        <f t="shared" si="9"/>
        <v>0</v>
      </c>
      <c r="G24" s="68"/>
      <c r="H24" s="69" t="str">
        <f t="shared" si="3"/>
        <v>0</v>
      </c>
      <c r="I24" s="71"/>
      <c r="J24" s="72">
        <v>0.99</v>
      </c>
      <c r="K24" s="73">
        <f t="shared" si="4"/>
        <v>0</v>
      </c>
      <c r="L24" s="74"/>
      <c r="M24" s="70"/>
      <c r="N24" s="69" t="str">
        <f t="shared" si="10"/>
        <v>0</v>
      </c>
      <c r="O24" s="68"/>
      <c r="P24" s="69" t="str">
        <f t="shared" si="11"/>
        <v>0</v>
      </c>
      <c r="Q24" s="75">
        <f t="shared" si="0"/>
        <v>0</v>
      </c>
      <c r="R24" s="76">
        <f t="shared" si="5"/>
        <v>0</v>
      </c>
      <c r="S24" s="77"/>
      <c r="T24" s="89"/>
      <c r="U24" s="69" t="str">
        <f t="shared" si="12"/>
        <v>0</v>
      </c>
      <c r="V24" s="79">
        <f t="shared" si="6"/>
        <v>0</v>
      </c>
      <c r="W24" s="80"/>
      <c r="X24" s="84">
        <f t="shared" si="1"/>
        <v>0</v>
      </c>
      <c r="Y24" s="85"/>
      <c r="Z24" s="86" t="e">
        <f t="shared" si="7"/>
        <v>#DIV/0!</v>
      </c>
    </row>
    <row r="25" spans="1:26" x14ac:dyDescent="0.25">
      <c r="A25" s="13" t="s">
        <v>118</v>
      </c>
      <c r="B25" s="67">
        <f t="shared" si="8"/>
        <v>17</v>
      </c>
      <c r="C25" s="68"/>
      <c r="D25" s="69">
        <f t="shared" si="13"/>
        <v>0</v>
      </c>
      <c r="E25" s="68"/>
      <c r="F25" s="69">
        <f t="shared" si="9"/>
        <v>0</v>
      </c>
      <c r="G25" s="68"/>
      <c r="H25" s="69">
        <f t="shared" si="3"/>
        <v>0</v>
      </c>
      <c r="I25" s="71"/>
      <c r="J25" s="72">
        <v>0.99</v>
      </c>
      <c r="K25" s="73">
        <f t="shared" si="4"/>
        <v>0</v>
      </c>
      <c r="L25" s="74"/>
      <c r="M25" s="70"/>
      <c r="N25" s="69">
        <f t="shared" si="10"/>
        <v>0</v>
      </c>
      <c r="O25" s="68"/>
      <c r="P25" s="69">
        <f t="shared" si="11"/>
        <v>0</v>
      </c>
      <c r="Q25" s="75">
        <f t="shared" si="0"/>
        <v>0</v>
      </c>
      <c r="R25" s="76">
        <f t="shared" si="5"/>
        <v>0</v>
      </c>
      <c r="S25" s="77"/>
      <c r="T25" s="89"/>
      <c r="U25" s="69">
        <f t="shared" si="12"/>
        <v>0</v>
      </c>
      <c r="V25" s="79">
        <f t="shared" si="6"/>
        <v>0</v>
      </c>
      <c r="W25" s="80"/>
      <c r="X25" s="84">
        <f t="shared" si="1"/>
        <v>0</v>
      </c>
      <c r="Y25" s="85"/>
      <c r="Z25" s="86" t="e">
        <f t="shared" si="7"/>
        <v>#DIV/0!</v>
      </c>
    </row>
    <row r="26" spans="1:26" x14ac:dyDescent="0.25">
      <c r="A26" s="13" t="s">
        <v>119</v>
      </c>
      <c r="B26" s="67">
        <f t="shared" si="8"/>
        <v>18</v>
      </c>
      <c r="C26" s="68"/>
      <c r="D26" s="69">
        <f t="shared" si="13"/>
        <v>0</v>
      </c>
      <c r="E26" s="68"/>
      <c r="F26" s="69">
        <f t="shared" si="9"/>
        <v>0</v>
      </c>
      <c r="G26" s="68"/>
      <c r="H26" s="69">
        <f t="shared" si="3"/>
        <v>0</v>
      </c>
      <c r="I26" s="71"/>
      <c r="J26" s="72">
        <v>0.99</v>
      </c>
      <c r="K26" s="73">
        <f t="shared" si="4"/>
        <v>0</v>
      </c>
      <c r="L26" s="74"/>
      <c r="M26" s="70"/>
      <c r="N26" s="69">
        <f t="shared" si="10"/>
        <v>0</v>
      </c>
      <c r="O26" s="68"/>
      <c r="P26" s="69">
        <f t="shared" si="11"/>
        <v>0</v>
      </c>
      <c r="Q26" s="75">
        <f t="shared" si="0"/>
        <v>0</v>
      </c>
      <c r="R26" s="76">
        <f t="shared" si="5"/>
        <v>0</v>
      </c>
      <c r="S26" s="77"/>
      <c r="T26" s="89"/>
      <c r="U26" s="69">
        <f t="shared" si="12"/>
        <v>0</v>
      </c>
      <c r="V26" s="79">
        <f t="shared" si="6"/>
        <v>0</v>
      </c>
      <c r="W26" s="80"/>
      <c r="X26" s="84">
        <f t="shared" si="1"/>
        <v>0</v>
      </c>
      <c r="Y26" s="85"/>
      <c r="Z26" s="86" t="e">
        <f t="shared" si="7"/>
        <v>#DIV/0!</v>
      </c>
    </row>
    <row r="27" spans="1:26" x14ac:dyDescent="0.25">
      <c r="A27" s="13" t="s">
        <v>120</v>
      </c>
      <c r="B27" s="67">
        <f t="shared" si="8"/>
        <v>19</v>
      </c>
      <c r="C27" s="68"/>
      <c r="D27" s="69">
        <f t="shared" si="13"/>
        <v>0</v>
      </c>
      <c r="E27" s="68"/>
      <c r="F27" s="69">
        <f t="shared" si="9"/>
        <v>0</v>
      </c>
      <c r="G27" s="68"/>
      <c r="H27" s="69">
        <f t="shared" si="3"/>
        <v>0</v>
      </c>
      <c r="I27" s="71"/>
      <c r="J27" s="72">
        <v>0.99</v>
      </c>
      <c r="K27" s="73">
        <f t="shared" si="4"/>
        <v>0</v>
      </c>
      <c r="L27" s="99"/>
      <c r="M27" s="70"/>
      <c r="N27" s="69">
        <f t="shared" si="10"/>
        <v>0</v>
      </c>
      <c r="O27" s="68"/>
      <c r="P27" s="69">
        <f t="shared" si="11"/>
        <v>0</v>
      </c>
      <c r="Q27" s="75">
        <f t="shared" si="0"/>
        <v>0</v>
      </c>
      <c r="R27" s="76">
        <f t="shared" si="5"/>
        <v>0</v>
      </c>
      <c r="S27" s="77"/>
      <c r="T27" s="89"/>
      <c r="U27" s="69">
        <f t="shared" si="12"/>
        <v>0</v>
      </c>
      <c r="V27" s="79">
        <f t="shared" si="6"/>
        <v>0</v>
      </c>
      <c r="W27" s="80"/>
      <c r="X27" s="84">
        <f t="shared" si="1"/>
        <v>0</v>
      </c>
      <c r="Y27" s="85"/>
      <c r="Z27" s="86" t="e">
        <f t="shared" si="7"/>
        <v>#DIV/0!</v>
      </c>
    </row>
    <row r="28" spans="1:26" x14ac:dyDescent="0.25">
      <c r="A28" s="13" t="s">
        <v>96</v>
      </c>
      <c r="B28" s="92">
        <f t="shared" si="8"/>
        <v>20</v>
      </c>
      <c r="C28" s="90"/>
      <c r="D28" s="69">
        <f t="shared" si="13"/>
        <v>0</v>
      </c>
      <c r="E28" s="90"/>
      <c r="F28" s="69">
        <f t="shared" si="9"/>
        <v>0</v>
      </c>
      <c r="G28" s="90"/>
      <c r="H28" s="69">
        <f t="shared" si="3"/>
        <v>0</v>
      </c>
      <c r="I28" s="71"/>
      <c r="J28" s="72">
        <v>0.99</v>
      </c>
      <c r="K28" s="73">
        <f t="shared" si="4"/>
        <v>0</v>
      </c>
      <c r="L28" s="100"/>
      <c r="M28" s="70"/>
      <c r="N28" s="69">
        <f t="shared" si="10"/>
        <v>0</v>
      </c>
      <c r="O28" s="68"/>
      <c r="P28" s="69">
        <f t="shared" si="11"/>
        <v>0</v>
      </c>
      <c r="Q28" s="75">
        <f t="shared" si="0"/>
        <v>0</v>
      </c>
      <c r="R28" s="76">
        <f t="shared" si="5"/>
        <v>0</v>
      </c>
      <c r="S28" s="68"/>
      <c r="T28" s="89"/>
      <c r="U28" s="69">
        <f t="shared" si="12"/>
        <v>0</v>
      </c>
      <c r="V28" s="79">
        <f t="shared" si="6"/>
        <v>0</v>
      </c>
      <c r="W28" s="80"/>
      <c r="X28" s="101">
        <f t="shared" si="1"/>
        <v>0</v>
      </c>
      <c r="Y28" s="85"/>
      <c r="Z28" s="95" t="e">
        <f t="shared" si="7"/>
        <v>#DIV/0!</v>
      </c>
    </row>
    <row r="29" spans="1:26" x14ac:dyDescent="0.25">
      <c r="A29" s="13" t="s">
        <v>121</v>
      </c>
      <c r="B29" s="96">
        <f t="shared" si="8"/>
        <v>21</v>
      </c>
      <c r="C29" s="68"/>
      <c r="D29" s="69">
        <f t="shared" si="13"/>
        <v>0</v>
      </c>
      <c r="E29" s="68"/>
      <c r="F29" s="69">
        <f t="shared" si="9"/>
        <v>0</v>
      </c>
      <c r="G29" s="68"/>
      <c r="H29" s="69">
        <f t="shared" si="3"/>
        <v>0</v>
      </c>
      <c r="I29" s="71"/>
      <c r="J29" s="72">
        <v>0.99</v>
      </c>
      <c r="K29" s="73">
        <f t="shared" si="4"/>
        <v>0</v>
      </c>
      <c r="L29" s="74"/>
      <c r="M29" s="70"/>
      <c r="N29" s="69">
        <f t="shared" si="10"/>
        <v>0</v>
      </c>
      <c r="O29" s="68"/>
      <c r="P29" s="69">
        <f t="shared" si="11"/>
        <v>0</v>
      </c>
      <c r="Q29" s="75">
        <f t="shared" si="0"/>
        <v>0</v>
      </c>
      <c r="R29" s="76">
        <f t="shared" si="5"/>
        <v>0</v>
      </c>
      <c r="S29" s="77"/>
      <c r="T29" s="89"/>
      <c r="U29" s="69">
        <f t="shared" si="12"/>
        <v>0</v>
      </c>
      <c r="V29" s="79">
        <f t="shared" si="6"/>
        <v>0</v>
      </c>
      <c r="W29" s="80"/>
      <c r="X29" s="81">
        <f t="shared" si="1"/>
        <v>0</v>
      </c>
      <c r="Y29" s="85"/>
      <c r="Z29" s="83" t="e">
        <f t="shared" si="7"/>
        <v>#DIV/0!</v>
      </c>
    </row>
    <row r="30" spans="1:26" x14ac:dyDescent="0.25">
      <c r="A30" s="13" t="s">
        <v>116</v>
      </c>
      <c r="B30" s="67">
        <f t="shared" si="8"/>
        <v>22</v>
      </c>
      <c r="C30" s="68"/>
      <c r="D30" s="69">
        <f t="shared" si="13"/>
        <v>0</v>
      </c>
      <c r="E30" s="68"/>
      <c r="F30" s="69">
        <f t="shared" si="9"/>
        <v>0</v>
      </c>
      <c r="G30" s="68"/>
      <c r="H30" s="69">
        <f t="shared" si="3"/>
        <v>0</v>
      </c>
      <c r="I30" s="71"/>
      <c r="J30" s="72">
        <v>0.99</v>
      </c>
      <c r="K30" s="73">
        <f t="shared" si="4"/>
        <v>0</v>
      </c>
      <c r="L30" s="74"/>
      <c r="M30" s="70"/>
      <c r="N30" s="69">
        <f t="shared" si="10"/>
        <v>0</v>
      </c>
      <c r="O30" s="68"/>
      <c r="P30" s="69">
        <f t="shared" si="11"/>
        <v>0</v>
      </c>
      <c r="Q30" s="75">
        <f t="shared" si="0"/>
        <v>0</v>
      </c>
      <c r="R30" s="76">
        <f t="shared" si="5"/>
        <v>0</v>
      </c>
      <c r="S30" s="77"/>
      <c r="T30" s="89"/>
      <c r="U30" s="69">
        <f t="shared" si="12"/>
        <v>0</v>
      </c>
      <c r="V30" s="79">
        <f t="shared" si="6"/>
        <v>0</v>
      </c>
      <c r="W30" s="80"/>
      <c r="X30" s="84">
        <f t="shared" si="1"/>
        <v>0</v>
      </c>
      <c r="Y30" s="85"/>
      <c r="Z30" s="86" t="e">
        <f t="shared" si="7"/>
        <v>#DIV/0!</v>
      </c>
    </row>
    <row r="31" spans="1:26" x14ac:dyDescent="0.25">
      <c r="A31" s="13" t="s">
        <v>117</v>
      </c>
      <c r="B31" s="67">
        <f t="shared" si="8"/>
        <v>23</v>
      </c>
      <c r="C31" s="68"/>
      <c r="D31" s="69">
        <f t="shared" si="13"/>
        <v>0</v>
      </c>
      <c r="E31" s="68"/>
      <c r="F31" s="69">
        <f t="shared" si="9"/>
        <v>0</v>
      </c>
      <c r="G31" s="68"/>
      <c r="H31" s="69">
        <f t="shared" si="3"/>
        <v>0</v>
      </c>
      <c r="I31" s="71"/>
      <c r="J31" s="72">
        <v>0.99</v>
      </c>
      <c r="K31" s="73">
        <f t="shared" si="4"/>
        <v>0</v>
      </c>
      <c r="L31" s="74"/>
      <c r="M31" s="70"/>
      <c r="N31" s="69">
        <f t="shared" si="10"/>
        <v>0</v>
      </c>
      <c r="O31" s="68"/>
      <c r="P31" s="69">
        <f t="shared" si="11"/>
        <v>0</v>
      </c>
      <c r="Q31" s="75">
        <f t="shared" si="0"/>
        <v>0</v>
      </c>
      <c r="R31" s="76">
        <f t="shared" si="5"/>
        <v>0</v>
      </c>
      <c r="S31" s="77"/>
      <c r="T31" s="89"/>
      <c r="U31" s="69">
        <f t="shared" si="12"/>
        <v>0</v>
      </c>
      <c r="V31" s="79">
        <f t="shared" si="6"/>
        <v>0</v>
      </c>
      <c r="W31" s="80"/>
      <c r="X31" s="102">
        <f t="shared" si="1"/>
        <v>0</v>
      </c>
      <c r="Y31" s="85"/>
      <c r="Z31" s="86" t="e">
        <f t="shared" si="7"/>
        <v>#DIV/0!</v>
      </c>
    </row>
    <row r="32" spans="1:26" x14ac:dyDescent="0.25">
      <c r="A32" s="13" t="s">
        <v>118</v>
      </c>
      <c r="B32" s="67">
        <f t="shared" si="8"/>
        <v>24</v>
      </c>
      <c r="C32" s="68"/>
      <c r="D32" s="69">
        <f t="shared" si="13"/>
        <v>0</v>
      </c>
      <c r="E32" s="68"/>
      <c r="F32" s="69">
        <f t="shared" si="9"/>
        <v>0</v>
      </c>
      <c r="G32" s="68"/>
      <c r="H32" s="69">
        <f t="shared" si="3"/>
        <v>0</v>
      </c>
      <c r="I32" s="71"/>
      <c r="J32" s="72">
        <v>0.99</v>
      </c>
      <c r="K32" s="73">
        <f t="shared" si="4"/>
        <v>0</v>
      </c>
      <c r="L32" s="74"/>
      <c r="M32" s="70"/>
      <c r="N32" s="69">
        <f t="shared" si="10"/>
        <v>0</v>
      </c>
      <c r="O32" s="68"/>
      <c r="P32" s="69">
        <f t="shared" si="11"/>
        <v>0</v>
      </c>
      <c r="Q32" s="75">
        <f t="shared" si="0"/>
        <v>0</v>
      </c>
      <c r="R32" s="76">
        <f t="shared" si="5"/>
        <v>0</v>
      </c>
      <c r="S32" s="77"/>
      <c r="T32" s="89"/>
      <c r="U32" s="69">
        <f t="shared" si="12"/>
        <v>0</v>
      </c>
      <c r="V32" s="79">
        <f t="shared" si="6"/>
        <v>0</v>
      </c>
      <c r="W32" s="80"/>
      <c r="X32" s="102">
        <f t="shared" si="1"/>
        <v>0</v>
      </c>
      <c r="Y32" s="85"/>
      <c r="Z32" s="86" t="e">
        <f t="shared" si="7"/>
        <v>#DIV/0!</v>
      </c>
    </row>
    <row r="33" spans="1:26" x14ac:dyDescent="0.25">
      <c r="A33" s="13" t="s">
        <v>119</v>
      </c>
      <c r="B33" s="67">
        <f t="shared" si="8"/>
        <v>25</v>
      </c>
      <c r="C33" s="68"/>
      <c r="D33" s="69">
        <f t="shared" si="13"/>
        <v>0</v>
      </c>
      <c r="E33" s="68"/>
      <c r="F33" s="69">
        <f t="shared" si="9"/>
        <v>0</v>
      </c>
      <c r="G33" s="68"/>
      <c r="H33" s="69">
        <f t="shared" si="3"/>
        <v>0</v>
      </c>
      <c r="I33" s="71"/>
      <c r="J33" s="72">
        <v>0.99</v>
      </c>
      <c r="K33" s="73">
        <f t="shared" si="4"/>
        <v>0</v>
      </c>
      <c r="L33" s="74"/>
      <c r="M33" s="70"/>
      <c r="N33" s="69">
        <f t="shared" si="10"/>
        <v>0</v>
      </c>
      <c r="O33" s="68"/>
      <c r="P33" s="69">
        <f t="shared" si="11"/>
        <v>0</v>
      </c>
      <c r="Q33" s="75">
        <f t="shared" si="0"/>
        <v>0</v>
      </c>
      <c r="R33" s="76">
        <f t="shared" si="5"/>
        <v>0</v>
      </c>
      <c r="S33" s="77"/>
      <c r="T33" s="89"/>
      <c r="U33" s="69">
        <f t="shared" si="12"/>
        <v>0</v>
      </c>
      <c r="V33" s="79">
        <f t="shared" si="6"/>
        <v>0</v>
      </c>
      <c r="W33" s="80"/>
      <c r="X33" s="102">
        <f t="shared" si="1"/>
        <v>0</v>
      </c>
      <c r="Y33" s="85"/>
      <c r="Z33" s="86" t="e">
        <f t="shared" si="7"/>
        <v>#DIV/0!</v>
      </c>
    </row>
    <row r="34" spans="1:26" x14ac:dyDescent="0.25">
      <c r="A34" s="13" t="s">
        <v>120</v>
      </c>
      <c r="B34" s="67">
        <f t="shared" si="8"/>
        <v>26</v>
      </c>
      <c r="C34" s="90"/>
      <c r="D34" s="69">
        <f t="shared" si="13"/>
        <v>0</v>
      </c>
      <c r="E34" s="68"/>
      <c r="F34" s="69">
        <f t="shared" si="9"/>
        <v>0</v>
      </c>
      <c r="G34" s="68"/>
      <c r="H34" s="69">
        <f t="shared" si="3"/>
        <v>0</v>
      </c>
      <c r="I34" s="71"/>
      <c r="J34" s="72">
        <v>0.99</v>
      </c>
      <c r="K34" s="73">
        <f t="shared" si="4"/>
        <v>0</v>
      </c>
      <c r="L34" s="74"/>
      <c r="M34" s="70"/>
      <c r="N34" s="69">
        <f t="shared" si="10"/>
        <v>0</v>
      </c>
      <c r="O34" s="68"/>
      <c r="P34" s="69">
        <f t="shared" si="11"/>
        <v>0</v>
      </c>
      <c r="Q34" s="75">
        <f t="shared" si="0"/>
        <v>0</v>
      </c>
      <c r="R34" s="76">
        <f t="shared" si="5"/>
        <v>0</v>
      </c>
      <c r="S34" s="77"/>
      <c r="T34" s="89"/>
      <c r="U34" s="69">
        <f t="shared" si="12"/>
        <v>0</v>
      </c>
      <c r="V34" s="79">
        <f t="shared" si="6"/>
        <v>0</v>
      </c>
      <c r="W34" s="80"/>
      <c r="X34" s="102">
        <f t="shared" si="1"/>
        <v>0</v>
      </c>
      <c r="Y34" s="85"/>
      <c r="Z34" s="86" t="e">
        <f t="shared" si="7"/>
        <v>#DIV/0!</v>
      </c>
    </row>
    <row r="35" spans="1:26" x14ac:dyDescent="0.25">
      <c r="A35" s="13" t="s">
        <v>96</v>
      </c>
      <c r="B35" s="67">
        <f t="shared" si="8"/>
        <v>27</v>
      </c>
      <c r="C35" s="90"/>
      <c r="D35" s="69">
        <f t="shared" si="13"/>
        <v>0</v>
      </c>
      <c r="E35" s="68"/>
      <c r="F35" s="69">
        <f t="shared" si="9"/>
        <v>0</v>
      </c>
      <c r="G35" s="68"/>
      <c r="H35" s="69">
        <f t="shared" si="3"/>
        <v>0</v>
      </c>
      <c r="I35" s="71"/>
      <c r="J35" s="72">
        <v>0.99</v>
      </c>
      <c r="K35" s="73">
        <f t="shared" si="4"/>
        <v>0</v>
      </c>
      <c r="L35" s="74"/>
      <c r="M35" s="70"/>
      <c r="N35" s="69">
        <f t="shared" si="10"/>
        <v>0</v>
      </c>
      <c r="O35" s="68"/>
      <c r="P35" s="69">
        <f t="shared" si="11"/>
        <v>0</v>
      </c>
      <c r="Q35" s="75">
        <f t="shared" si="0"/>
        <v>0</v>
      </c>
      <c r="R35" s="76">
        <f t="shared" si="5"/>
        <v>0</v>
      </c>
      <c r="S35" s="77"/>
      <c r="T35" s="89"/>
      <c r="U35" s="69">
        <f t="shared" si="12"/>
        <v>0</v>
      </c>
      <c r="V35" s="79">
        <f t="shared" si="6"/>
        <v>0</v>
      </c>
      <c r="W35" s="80"/>
      <c r="X35" s="102">
        <f t="shared" si="1"/>
        <v>0</v>
      </c>
      <c r="Y35" s="85"/>
      <c r="Z35" s="86" t="e">
        <f t="shared" si="7"/>
        <v>#DIV/0!</v>
      </c>
    </row>
    <row r="36" spans="1:26" x14ac:dyDescent="0.25">
      <c r="A36" s="13" t="s">
        <v>121</v>
      </c>
      <c r="B36" s="67">
        <f>B35+1</f>
        <v>28</v>
      </c>
      <c r="C36" s="90"/>
      <c r="D36" s="69">
        <f t="shared" si="13"/>
        <v>0</v>
      </c>
      <c r="E36" s="68"/>
      <c r="F36" s="69">
        <f t="shared" si="9"/>
        <v>0</v>
      </c>
      <c r="G36" s="68"/>
      <c r="H36" s="69">
        <f t="shared" si="3"/>
        <v>0</v>
      </c>
      <c r="I36" s="71"/>
      <c r="J36" s="72">
        <v>0.99</v>
      </c>
      <c r="K36" s="73">
        <f t="shared" si="4"/>
        <v>0</v>
      </c>
      <c r="L36" s="74"/>
      <c r="M36" s="70"/>
      <c r="N36" s="69">
        <f t="shared" si="10"/>
        <v>0</v>
      </c>
      <c r="O36" s="68"/>
      <c r="P36" s="69">
        <f t="shared" si="11"/>
        <v>0</v>
      </c>
      <c r="Q36" s="75">
        <f t="shared" si="0"/>
        <v>0</v>
      </c>
      <c r="R36" s="76">
        <f t="shared" si="5"/>
        <v>0</v>
      </c>
      <c r="S36" s="77"/>
      <c r="T36" s="89"/>
      <c r="U36" s="69">
        <f t="shared" si="12"/>
        <v>0</v>
      </c>
      <c r="V36" s="79">
        <f t="shared" si="6"/>
        <v>0</v>
      </c>
      <c r="W36" s="80"/>
      <c r="X36" s="102">
        <f t="shared" si="1"/>
        <v>0</v>
      </c>
      <c r="Y36" s="85"/>
      <c r="Z36" s="86" t="e">
        <f t="shared" si="7"/>
        <v>#DIV/0!</v>
      </c>
    </row>
    <row r="37" spans="1:26" x14ac:dyDescent="0.25">
      <c r="A37" s="13" t="s">
        <v>116</v>
      </c>
      <c r="B37" s="67">
        <f t="shared" si="8"/>
        <v>29</v>
      </c>
      <c r="C37" s="90"/>
      <c r="D37" s="69">
        <f t="shared" si="13"/>
        <v>0</v>
      </c>
      <c r="E37" s="103"/>
      <c r="F37" s="69">
        <f t="shared" si="9"/>
        <v>0</v>
      </c>
      <c r="G37" s="103"/>
      <c r="H37" s="69">
        <f t="shared" si="3"/>
        <v>0</v>
      </c>
      <c r="I37" s="71"/>
      <c r="J37" s="72">
        <v>0.99</v>
      </c>
      <c r="K37" s="73">
        <f t="shared" si="4"/>
        <v>0</v>
      </c>
      <c r="L37" s="74"/>
      <c r="M37" s="70"/>
      <c r="N37" s="69">
        <f t="shared" si="10"/>
        <v>0</v>
      </c>
      <c r="O37" s="68"/>
      <c r="P37" s="69">
        <f t="shared" si="11"/>
        <v>0</v>
      </c>
      <c r="Q37" s="75">
        <f t="shared" si="0"/>
        <v>0</v>
      </c>
      <c r="R37" s="76">
        <f t="shared" si="5"/>
        <v>0</v>
      </c>
      <c r="S37" s="77"/>
      <c r="T37" s="89"/>
      <c r="U37" s="69">
        <f t="shared" si="12"/>
        <v>0</v>
      </c>
      <c r="V37" s="79">
        <f t="shared" si="6"/>
        <v>0</v>
      </c>
      <c r="W37" s="80"/>
      <c r="X37" s="102">
        <f t="shared" si="1"/>
        <v>0</v>
      </c>
      <c r="Y37" s="80"/>
      <c r="Z37" s="86" t="e">
        <f t="shared" si="7"/>
        <v>#DIV/0!</v>
      </c>
    </row>
    <row r="38" spans="1:26" x14ac:dyDescent="0.25">
      <c r="A38" s="13" t="s">
        <v>117</v>
      </c>
      <c r="B38" s="67">
        <f t="shared" si="8"/>
        <v>30</v>
      </c>
      <c r="C38" s="68"/>
      <c r="D38" s="69">
        <f t="shared" si="13"/>
        <v>0</v>
      </c>
      <c r="E38" s="90"/>
      <c r="F38" s="69">
        <f t="shared" si="9"/>
        <v>0</v>
      </c>
      <c r="G38" s="90"/>
      <c r="H38" s="69">
        <f t="shared" si="3"/>
        <v>0</v>
      </c>
      <c r="I38" s="71"/>
      <c r="J38" s="72">
        <v>0.99</v>
      </c>
      <c r="K38" s="73">
        <f t="shared" si="4"/>
        <v>0</v>
      </c>
      <c r="L38" s="74"/>
      <c r="M38" s="70"/>
      <c r="N38" s="69">
        <f t="shared" si="10"/>
        <v>0</v>
      </c>
      <c r="O38" s="68"/>
      <c r="P38" s="69">
        <f t="shared" si="11"/>
        <v>0</v>
      </c>
      <c r="Q38" s="75">
        <f t="shared" si="0"/>
        <v>0</v>
      </c>
      <c r="R38" s="76">
        <f t="shared" si="5"/>
        <v>0</v>
      </c>
      <c r="S38" s="77"/>
      <c r="T38" s="89"/>
      <c r="U38" s="69">
        <f t="shared" si="12"/>
        <v>0</v>
      </c>
      <c r="V38" s="79">
        <f t="shared" si="6"/>
        <v>0</v>
      </c>
      <c r="W38" s="80"/>
      <c r="X38" s="102">
        <f t="shared" si="1"/>
        <v>0</v>
      </c>
      <c r="Y38" s="80"/>
      <c r="Z38" s="86" t="e">
        <f t="shared" si="7"/>
        <v>#DIV/0!</v>
      </c>
    </row>
    <row r="39" spans="1:26" x14ac:dyDescent="0.25">
      <c r="A39" s="13" t="s">
        <v>118</v>
      </c>
      <c r="B39" s="67">
        <f t="shared" si="8"/>
        <v>31</v>
      </c>
      <c r="C39" s="104"/>
      <c r="D39" s="69">
        <f t="shared" si="13"/>
        <v>0</v>
      </c>
      <c r="E39" s="105"/>
      <c r="F39" s="69">
        <f t="shared" si="9"/>
        <v>0</v>
      </c>
      <c r="G39" s="88"/>
      <c r="H39" s="69">
        <f t="shared" si="3"/>
        <v>0</v>
      </c>
      <c r="I39" s="71"/>
      <c r="J39" s="72">
        <v>0.99</v>
      </c>
      <c r="K39" s="73">
        <f t="shared" si="4"/>
        <v>0</v>
      </c>
      <c r="L39" s="74"/>
      <c r="M39" s="104"/>
      <c r="N39" s="69">
        <f t="shared" si="10"/>
        <v>0</v>
      </c>
      <c r="O39" s="104"/>
      <c r="P39" s="69">
        <f t="shared" si="11"/>
        <v>0</v>
      </c>
      <c r="Q39" s="75">
        <f t="shared" si="0"/>
        <v>0</v>
      </c>
      <c r="R39" s="76">
        <f t="shared" si="5"/>
        <v>0</v>
      </c>
      <c r="S39" s="77"/>
      <c r="T39" s="106"/>
      <c r="U39" s="69">
        <f t="shared" si="12"/>
        <v>0</v>
      </c>
      <c r="V39" s="79">
        <f t="shared" si="6"/>
        <v>0</v>
      </c>
      <c r="W39" s="80"/>
      <c r="X39" s="102">
        <f t="shared" si="1"/>
        <v>0</v>
      </c>
      <c r="Y39" s="80"/>
      <c r="Z39" s="134" t="e">
        <f t="shared" si="7"/>
        <v>#DIV/0!</v>
      </c>
    </row>
    <row r="40" spans="1:26" x14ac:dyDescent="0.25">
      <c r="A40" s="13"/>
      <c r="B40" s="107"/>
      <c r="C40" s="132">
        <f>SUMIF(D9:D38,"&gt;0")</f>
        <v>35278</v>
      </c>
      <c r="D40" s="133"/>
      <c r="E40" s="159">
        <f>SUMIF(F9:F38,"&gt;0")</f>
        <v>35469</v>
      </c>
      <c r="F40" s="160"/>
      <c r="G40" s="161">
        <f>SUMIF(H9:H38,"&gt;0")</f>
        <v>33154</v>
      </c>
      <c r="H40" s="160"/>
      <c r="I40" s="108">
        <f>SUMIF(I9:I38,"&gt;0")</f>
        <v>1848737</v>
      </c>
      <c r="J40" s="109"/>
      <c r="K40" s="110">
        <f>SUMIF(K9:K38,"&gt;0")</f>
        <v>464032.98700000002</v>
      </c>
      <c r="L40" s="108"/>
      <c r="M40" s="161">
        <f>SUMIF(N9:N38,"&gt;0")</f>
        <v>2035</v>
      </c>
      <c r="N40" s="160"/>
      <c r="O40" s="161">
        <f>SUMIF(P9:P38,"&gt;0")</f>
        <v>34886</v>
      </c>
      <c r="P40" s="160"/>
      <c r="Q40" s="109">
        <f>SUMIF(Q9:Q38,"&gt;0")</f>
        <v>36921</v>
      </c>
      <c r="R40" s="110">
        <f>SUMIF(R9:R38,"&gt;0")</f>
        <v>21112.018536</v>
      </c>
      <c r="S40" s="111"/>
      <c r="T40" s="143">
        <f>SUMIF(U9:U38,"&gt;0")</f>
        <v>3102</v>
      </c>
      <c r="U40" s="143"/>
      <c r="V40" s="112">
        <f>SUMIF(V9:V38,"&gt;0")</f>
        <v>8856.2099999999991</v>
      </c>
      <c r="W40" s="113"/>
      <c r="X40" s="114">
        <f>SUMIF(X9:X38,"&gt;0")</f>
        <v>494001.21553600003</v>
      </c>
      <c r="Y40" s="115">
        <f>SUM(Y9:Y39)</f>
        <v>667</v>
      </c>
      <c r="Z40" s="116">
        <f>(SUMIF(Z9:Z36,"&gt;0")/31)</f>
        <v>444.09681482126081</v>
      </c>
    </row>
  </sheetData>
  <mergeCells count="12">
    <mergeCell ref="T40:U40"/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75" zoomScaleNormal="75" workbookViewId="0">
      <selection activeCell="J46" sqref="J46"/>
    </sheetView>
  </sheetViews>
  <sheetFormatPr defaultRowHeight="15" x14ac:dyDescent="0.25"/>
  <sheetData>
    <row r="6" spans="1:83" ht="15.75" thickBot="1" x14ac:dyDescent="0.3">
      <c r="B6" s="117">
        <v>49433</v>
      </c>
      <c r="C6" s="118">
        <v>79236</v>
      </c>
      <c r="D6" s="119">
        <v>15207</v>
      </c>
      <c r="E6" s="119">
        <v>13719</v>
      </c>
      <c r="F6" s="119">
        <v>189420</v>
      </c>
      <c r="G6" s="119">
        <v>3495</v>
      </c>
      <c r="H6" s="118">
        <v>1485</v>
      </c>
      <c r="I6" s="119">
        <v>380288</v>
      </c>
      <c r="J6" s="119">
        <v>68377</v>
      </c>
      <c r="K6" s="119">
        <v>7921</v>
      </c>
      <c r="L6" s="119">
        <v>29890</v>
      </c>
      <c r="M6" s="119">
        <v>52115</v>
      </c>
      <c r="N6" s="119">
        <v>38542</v>
      </c>
      <c r="O6" s="119">
        <v>181658</v>
      </c>
      <c r="P6" s="119">
        <v>375920</v>
      </c>
      <c r="Q6" s="119">
        <v>2808</v>
      </c>
      <c r="R6" s="119">
        <v>18050</v>
      </c>
      <c r="S6" s="119">
        <v>25503</v>
      </c>
      <c r="T6" s="119">
        <v>278413</v>
      </c>
      <c r="U6" s="119">
        <v>375407</v>
      </c>
      <c r="V6" s="119">
        <v>40159</v>
      </c>
      <c r="W6" s="119">
        <v>5416</v>
      </c>
      <c r="X6" s="119">
        <v>13927</v>
      </c>
      <c r="Y6" s="119">
        <v>86195</v>
      </c>
      <c r="Z6" s="118">
        <v>540</v>
      </c>
      <c r="AA6" s="119">
        <v>170186</v>
      </c>
      <c r="AB6" s="119">
        <v>7562</v>
      </c>
      <c r="AC6" s="119">
        <v>1974</v>
      </c>
      <c r="AD6" s="119">
        <v>17975</v>
      </c>
      <c r="AE6" s="119">
        <v>76508</v>
      </c>
      <c r="AF6" s="119">
        <v>205359</v>
      </c>
      <c r="AG6" s="119">
        <v>1125790</v>
      </c>
      <c r="AH6" s="119">
        <v>11123</v>
      </c>
      <c r="AI6" s="119">
        <v>483379</v>
      </c>
      <c r="AJ6" s="119">
        <v>637743</v>
      </c>
      <c r="AK6" s="119">
        <v>9334</v>
      </c>
      <c r="AL6" s="120">
        <v>29315</v>
      </c>
      <c r="AM6" s="119">
        <v>28542</v>
      </c>
      <c r="AN6" s="121">
        <v>596531</v>
      </c>
      <c r="AO6" s="121">
        <v>5246</v>
      </c>
      <c r="AP6" s="122">
        <v>0</v>
      </c>
      <c r="AQ6" s="119">
        <v>109712</v>
      </c>
      <c r="AR6" s="119">
        <v>217210</v>
      </c>
      <c r="AS6" s="119">
        <v>63112</v>
      </c>
      <c r="AT6" s="119">
        <v>560</v>
      </c>
      <c r="AU6" s="119">
        <v>107079</v>
      </c>
      <c r="AV6" s="119">
        <v>44534</v>
      </c>
      <c r="AW6" s="119">
        <v>38275</v>
      </c>
      <c r="AX6" s="119">
        <v>175158</v>
      </c>
      <c r="AY6" s="123">
        <v>481902</v>
      </c>
    </row>
    <row r="7" spans="1:83" ht="90" x14ac:dyDescent="0.25">
      <c r="A7" s="124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5" t="s">
        <v>63</v>
      </c>
      <c r="BA7" s="125" t="s">
        <v>64</v>
      </c>
      <c r="BB7" s="125" t="s">
        <v>65</v>
      </c>
      <c r="BC7" s="125" t="s">
        <v>66</v>
      </c>
      <c r="BD7" s="125" t="s">
        <v>67</v>
      </c>
      <c r="BE7" s="125" t="s">
        <v>68</v>
      </c>
      <c r="BF7" s="125" t="s">
        <v>69</v>
      </c>
      <c r="BG7" s="125" t="s">
        <v>70</v>
      </c>
      <c r="BH7" s="125" t="s">
        <v>71</v>
      </c>
      <c r="BI7" s="125" t="s">
        <v>72</v>
      </c>
      <c r="BJ7" s="125" t="s">
        <v>73</v>
      </c>
      <c r="BK7" s="125" t="s">
        <v>74</v>
      </c>
      <c r="BL7" s="125" t="s">
        <v>75</v>
      </c>
      <c r="BM7" s="125" t="s">
        <v>76</v>
      </c>
      <c r="BN7" s="125" t="s">
        <v>77</v>
      </c>
      <c r="BO7" s="125" t="s">
        <v>78</v>
      </c>
      <c r="BP7" s="125" t="s">
        <v>79</v>
      </c>
      <c r="BQ7" s="125" t="s">
        <v>80</v>
      </c>
      <c r="BR7" s="125" t="s">
        <v>81</v>
      </c>
      <c r="BS7" s="126" t="s">
        <v>82</v>
      </c>
      <c r="BT7" s="126" t="s">
        <v>83</v>
      </c>
      <c r="BU7" s="126" t="s">
        <v>84</v>
      </c>
      <c r="BV7" s="126" t="s">
        <v>85</v>
      </c>
      <c r="BW7" s="126" t="s">
        <v>86</v>
      </c>
      <c r="BX7" s="126" t="s">
        <v>87</v>
      </c>
      <c r="BY7" s="126" t="s">
        <v>88</v>
      </c>
      <c r="BZ7" s="126" t="s">
        <v>89</v>
      </c>
      <c r="CA7" s="126" t="s">
        <v>90</v>
      </c>
      <c r="CB7" s="126" t="s">
        <v>91</v>
      </c>
      <c r="CC7" s="126" t="s">
        <v>92</v>
      </c>
      <c r="CD7" s="126" t="s">
        <v>93</v>
      </c>
      <c r="CE7" s="126" t="s">
        <v>94</v>
      </c>
    </row>
    <row r="8" spans="1:83" ht="15.75" thickBot="1" x14ac:dyDescent="0.3">
      <c r="A8">
        <v>1</v>
      </c>
      <c r="B8" s="136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8"/>
      <c r="AM8" s="137"/>
      <c r="AN8" s="139"/>
      <c r="AO8" s="139"/>
      <c r="AP8" s="139"/>
      <c r="AQ8" s="137"/>
      <c r="AR8" s="137"/>
      <c r="AS8" s="137"/>
      <c r="AT8" s="137"/>
      <c r="AU8" s="137"/>
      <c r="AV8" s="137"/>
      <c r="AW8" s="137"/>
      <c r="AX8" s="137"/>
      <c r="AY8" s="140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</row>
    <row r="9" spans="1:83" x14ac:dyDescent="0.25">
      <c r="A9">
        <v>2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31"/>
      <c r="AM9" s="128"/>
      <c r="AN9" s="130"/>
      <c r="AO9" s="130"/>
      <c r="AP9" s="130"/>
      <c r="AQ9" s="128"/>
      <c r="AR9" s="128"/>
      <c r="AS9" s="128"/>
      <c r="AT9" s="128"/>
      <c r="AU9" s="128"/>
      <c r="AV9" s="128"/>
      <c r="AW9" s="128"/>
      <c r="AX9" s="128"/>
      <c r="AY9" s="128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</row>
    <row r="10" spans="1:83" x14ac:dyDescent="0.25">
      <c r="A10">
        <v>3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31"/>
      <c r="AM10" s="128"/>
      <c r="AN10" s="130"/>
      <c r="AO10" s="130"/>
      <c r="AP10" s="130"/>
      <c r="AQ10" s="128"/>
      <c r="AR10" s="128"/>
      <c r="AS10" s="128"/>
      <c r="AT10" s="128"/>
      <c r="AU10" s="128"/>
      <c r="AV10" s="128"/>
      <c r="AW10" s="128"/>
      <c r="AX10" s="128"/>
      <c r="AY10" s="128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7"/>
      <c r="CA10" s="127"/>
      <c r="CB10" s="127"/>
      <c r="CC10" s="127"/>
      <c r="CD10" s="127"/>
      <c r="CE10" s="127"/>
    </row>
    <row r="11" spans="1:83" x14ac:dyDescent="0.25">
      <c r="A11">
        <v>4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31"/>
      <c r="AM11" s="128"/>
      <c r="AN11" s="130"/>
      <c r="AO11" s="130"/>
      <c r="AP11" s="130"/>
      <c r="AQ11" s="128"/>
      <c r="AR11" s="128"/>
      <c r="AS11" s="128"/>
      <c r="AT11" s="128"/>
      <c r="AU11" s="128"/>
      <c r="AV11" s="128"/>
      <c r="AW11" s="128"/>
      <c r="AX11" s="128"/>
      <c r="AY11" s="128"/>
      <c r="AZ11" s="127"/>
      <c r="BA11" s="127"/>
      <c r="BB11" s="127"/>
      <c r="BC11" s="127"/>
      <c r="BD11" s="127"/>
      <c r="BE11" s="127"/>
      <c r="BF11" s="127"/>
      <c r="BG11" s="127"/>
      <c r="BH11" s="127"/>
      <c r="BI11" s="127"/>
      <c r="BJ11" s="127"/>
      <c r="BK11" s="127"/>
      <c r="BL11" s="127"/>
      <c r="BM11" s="127"/>
      <c r="BN11" s="127"/>
      <c r="BO11" s="127"/>
      <c r="BP11" s="127"/>
      <c r="BQ11" s="127"/>
      <c r="BR11" s="127"/>
      <c r="BS11" s="127"/>
      <c r="BT11" s="127"/>
      <c r="BU11" s="127"/>
      <c r="BV11" s="127"/>
      <c r="BW11" s="127"/>
      <c r="BX11" s="127"/>
      <c r="BY11" s="127"/>
      <c r="BZ11" s="127"/>
      <c r="CA11" s="127"/>
      <c r="CB11" s="127"/>
      <c r="CC11" s="127"/>
      <c r="CD11" s="127"/>
      <c r="CE11" s="127"/>
    </row>
    <row r="12" spans="1:83" x14ac:dyDescent="0.25">
      <c r="A12">
        <v>5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7"/>
      <c r="BM12" s="127"/>
      <c r="BN12" s="127"/>
      <c r="BO12" s="127"/>
      <c r="BP12" s="127"/>
      <c r="BQ12" s="127"/>
      <c r="BR12" s="127"/>
      <c r="BS12" s="127"/>
      <c r="BT12" s="127"/>
      <c r="BU12" s="127"/>
      <c r="BV12" s="127"/>
      <c r="BW12" s="127"/>
      <c r="BX12" s="127"/>
      <c r="BY12" s="127"/>
      <c r="BZ12" s="127"/>
      <c r="CA12" s="127"/>
      <c r="CB12" s="127"/>
      <c r="CC12" s="127"/>
      <c r="CD12" s="127"/>
      <c r="CE12" s="127"/>
    </row>
    <row r="13" spans="1:83" x14ac:dyDescent="0.25">
      <c r="A13">
        <v>6</v>
      </c>
      <c r="B13" s="128"/>
      <c r="C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31"/>
      <c r="AM13" s="128"/>
      <c r="AN13" s="130"/>
      <c r="AO13" s="130"/>
      <c r="AP13" s="130"/>
      <c r="AQ13" s="128"/>
      <c r="AR13" s="128"/>
      <c r="AS13" s="128"/>
      <c r="AT13" s="128"/>
      <c r="AU13" s="128"/>
      <c r="AV13" s="128"/>
      <c r="AW13" s="128"/>
      <c r="AX13" s="128"/>
      <c r="AY13" s="128"/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CB13" s="127"/>
      <c r="CC13" s="127"/>
      <c r="CD13" s="127"/>
      <c r="CE13" s="127"/>
    </row>
    <row r="14" spans="1:83" x14ac:dyDescent="0.25">
      <c r="A14">
        <v>7</v>
      </c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31"/>
      <c r="AM14" s="128"/>
      <c r="AN14" s="130"/>
      <c r="AO14" s="130"/>
      <c r="AP14" s="130"/>
      <c r="AQ14" s="128"/>
      <c r="AR14" s="128"/>
      <c r="AS14" s="128"/>
      <c r="AT14" s="128"/>
      <c r="AU14" s="128"/>
      <c r="AV14" s="128"/>
      <c r="AW14" s="128"/>
      <c r="AX14" s="128"/>
      <c r="AY14" s="128"/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  <c r="BZ14" s="127"/>
      <c r="CA14" s="127"/>
      <c r="CB14" s="127"/>
      <c r="CC14" s="127"/>
      <c r="CD14" s="127"/>
      <c r="CE14" s="127"/>
    </row>
    <row r="15" spans="1:83" x14ac:dyDescent="0.25">
      <c r="A15">
        <v>8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31"/>
      <c r="AM15" s="128"/>
      <c r="AN15" s="130"/>
      <c r="AO15" s="130"/>
      <c r="AP15" s="130"/>
      <c r="AQ15" s="128"/>
      <c r="AR15" s="128"/>
      <c r="AS15" s="128"/>
      <c r="AT15" s="128"/>
      <c r="AU15" s="128"/>
      <c r="AV15" s="128"/>
      <c r="AW15" s="128"/>
      <c r="AX15" s="128"/>
      <c r="AY15" s="128"/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127"/>
      <c r="CE15" s="127"/>
    </row>
    <row r="16" spans="1:83" x14ac:dyDescent="0.25">
      <c r="A16">
        <v>9</v>
      </c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31"/>
      <c r="AM16" s="128"/>
      <c r="AN16" s="130"/>
      <c r="AO16" s="130"/>
      <c r="AP16" s="130"/>
      <c r="AQ16" s="128"/>
      <c r="AR16" s="128"/>
      <c r="AS16" s="128"/>
      <c r="AT16" s="128"/>
      <c r="AU16" s="128"/>
      <c r="AV16" s="128"/>
      <c r="AW16" s="128"/>
      <c r="AX16" s="128"/>
      <c r="AY16" s="128"/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127"/>
      <c r="CB16" s="127"/>
      <c r="CC16" s="127"/>
      <c r="CD16" s="127"/>
      <c r="CE16" s="127"/>
    </row>
    <row r="17" spans="1:83" x14ac:dyDescent="0.25">
      <c r="A17">
        <v>10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31"/>
      <c r="AM17" s="128"/>
      <c r="AN17" s="130"/>
      <c r="AO17" s="130"/>
      <c r="AP17" s="130"/>
      <c r="AQ17" s="128"/>
      <c r="AR17" s="128"/>
      <c r="AS17" s="128"/>
      <c r="AT17" s="128"/>
      <c r="AU17" s="128"/>
      <c r="AV17" s="128"/>
      <c r="AW17" s="128"/>
      <c r="AX17" s="128"/>
      <c r="AY17" s="128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</row>
    <row r="18" spans="1:83" x14ac:dyDescent="0.25">
      <c r="A18">
        <v>11</v>
      </c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31"/>
      <c r="AM18" s="128"/>
      <c r="AN18" s="130"/>
      <c r="AO18" s="130"/>
      <c r="AP18" s="130"/>
      <c r="AQ18" s="128"/>
      <c r="AR18" s="128"/>
      <c r="AS18" s="128"/>
      <c r="AT18" s="128"/>
      <c r="AU18" s="128"/>
      <c r="AV18" s="128"/>
      <c r="AW18" s="128"/>
      <c r="AX18" s="128"/>
      <c r="AY18" s="128"/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7"/>
      <c r="BL18" s="127"/>
      <c r="BM18" s="127"/>
      <c r="BN18" s="127"/>
      <c r="BO18" s="127"/>
      <c r="BP18" s="127"/>
      <c r="BQ18" s="127"/>
      <c r="BR18" s="127"/>
      <c r="BS18" s="127"/>
      <c r="BT18" s="127"/>
      <c r="BU18" s="127"/>
      <c r="BV18" s="127"/>
      <c r="BW18" s="127"/>
      <c r="BX18" s="127"/>
      <c r="BY18" s="127"/>
      <c r="BZ18" s="127"/>
      <c r="CA18" s="127"/>
      <c r="CB18" s="127"/>
      <c r="CC18" s="127"/>
      <c r="CD18" s="127"/>
      <c r="CE18" s="127"/>
    </row>
    <row r="19" spans="1:83" x14ac:dyDescent="0.25">
      <c r="A19">
        <v>12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31"/>
      <c r="AM19" s="128"/>
      <c r="AN19" s="130"/>
      <c r="AO19" s="130"/>
      <c r="AP19" s="130"/>
      <c r="AQ19" s="128"/>
      <c r="AR19" s="128"/>
      <c r="AS19" s="128"/>
      <c r="AT19" s="128"/>
      <c r="AU19" s="128"/>
      <c r="AV19" s="128"/>
      <c r="AW19" s="128"/>
      <c r="AX19" s="128"/>
      <c r="AY19" s="128"/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7"/>
      <c r="BN19" s="127"/>
      <c r="BO19" s="127"/>
      <c r="BP19" s="127"/>
      <c r="BQ19" s="127"/>
      <c r="BR19" s="127"/>
      <c r="BS19" s="127"/>
      <c r="BT19" s="127"/>
      <c r="BU19" s="127"/>
      <c r="BV19" s="127"/>
      <c r="BW19" s="127"/>
      <c r="BX19" s="127"/>
      <c r="BY19" s="127"/>
      <c r="BZ19" s="127"/>
      <c r="CA19" s="127"/>
      <c r="CB19" s="127"/>
      <c r="CC19" s="127"/>
      <c r="CD19" s="127"/>
      <c r="CE19" s="127"/>
    </row>
    <row r="20" spans="1:83" x14ac:dyDescent="0.25">
      <c r="A20">
        <v>13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30"/>
      <c r="AK20" s="130"/>
      <c r="AL20" s="131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42"/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  <c r="BP20" s="127"/>
      <c r="BQ20" s="127"/>
      <c r="BR20" s="127"/>
      <c r="BS20" s="127"/>
      <c r="BT20" s="127"/>
      <c r="BU20" s="127"/>
      <c r="BV20" s="127"/>
      <c r="BW20" s="127"/>
      <c r="BX20" s="127"/>
      <c r="BY20" s="127"/>
      <c r="BZ20" s="127"/>
      <c r="CA20" s="127"/>
      <c r="CB20" s="127"/>
      <c r="CC20" s="127"/>
      <c r="CD20" s="127"/>
      <c r="CE20" s="127"/>
    </row>
    <row r="21" spans="1:83" x14ac:dyDescent="0.25">
      <c r="A21">
        <v>14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30"/>
      <c r="AK21" s="130"/>
      <c r="AL21" s="131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127"/>
      <c r="BZ21" s="127"/>
      <c r="CA21" s="127"/>
      <c r="CB21" s="127"/>
      <c r="CC21" s="127"/>
      <c r="CD21" s="127"/>
      <c r="CE21" s="127"/>
    </row>
    <row r="22" spans="1:83" x14ac:dyDescent="0.25">
      <c r="A22">
        <v>15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30"/>
      <c r="AK22" s="130"/>
      <c r="AL22" s="131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27"/>
      <c r="BN22" s="127"/>
      <c r="BO22" s="127"/>
      <c r="BP22" s="127"/>
      <c r="BQ22" s="127"/>
      <c r="BR22" s="127"/>
      <c r="BS22" s="127"/>
      <c r="BT22" s="127"/>
      <c r="BU22" s="127"/>
      <c r="BV22" s="127"/>
      <c r="BW22" s="127"/>
      <c r="BX22" s="127"/>
      <c r="BY22" s="127"/>
      <c r="BZ22" s="127"/>
      <c r="CA22" s="127"/>
      <c r="CB22" s="127"/>
      <c r="CC22" s="127"/>
      <c r="CD22" s="127"/>
      <c r="CE22" s="127"/>
    </row>
    <row r="23" spans="1:83" x14ac:dyDescent="0.25">
      <c r="A23">
        <v>16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31"/>
      <c r="AM23" s="128"/>
      <c r="AN23" s="130"/>
      <c r="AO23" s="130"/>
      <c r="AP23" s="130"/>
      <c r="AQ23" s="128"/>
      <c r="AR23" s="128"/>
      <c r="AS23" s="128"/>
      <c r="AT23" s="128"/>
      <c r="AU23" s="128"/>
      <c r="AV23" s="128"/>
      <c r="AW23" s="128"/>
      <c r="AX23" s="128"/>
      <c r="AY23" s="128"/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  <c r="BP23" s="127"/>
      <c r="BQ23" s="127"/>
      <c r="BR23" s="127"/>
      <c r="BS23" s="127"/>
      <c r="BT23" s="127"/>
      <c r="BU23" s="127"/>
      <c r="BV23" s="127"/>
      <c r="BW23" s="127"/>
      <c r="BX23" s="127"/>
      <c r="BY23" s="127"/>
      <c r="BZ23" s="127"/>
      <c r="CA23" s="127"/>
      <c r="CB23" s="127"/>
      <c r="CC23" s="127"/>
      <c r="CD23" s="127"/>
      <c r="CE23" s="127"/>
    </row>
    <row r="24" spans="1:83" x14ac:dyDescent="0.25">
      <c r="A24">
        <v>17</v>
      </c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31"/>
      <c r="AM24" s="128"/>
      <c r="AN24" s="130"/>
      <c r="AO24" s="130"/>
      <c r="AP24" s="130"/>
      <c r="AQ24" s="128"/>
      <c r="AR24" s="128"/>
      <c r="AS24" s="128"/>
      <c r="AT24" s="128"/>
      <c r="AU24" s="128"/>
      <c r="AV24" s="128"/>
      <c r="AW24" s="128"/>
      <c r="AX24" s="128"/>
      <c r="AY24" s="128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  <c r="BN24" s="127"/>
      <c r="BO24" s="127"/>
      <c r="BP24" s="127"/>
      <c r="BQ24" s="127"/>
      <c r="BR24" s="127"/>
      <c r="BS24" s="127"/>
      <c r="BT24" s="127"/>
      <c r="BU24" s="127"/>
      <c r="BV24" s="127"/>
      <c r="BW24" s="127"/>
      <c r="BX24" s="127"/>
      <c r="BY24" s="127"/>
      <c r="BZ24" s="127"/>
      <c r="CA24" s="127"/>
      <c r="CB24" s="127"/>
      <c r="CC24" s="127"/>
      <c r="CD24" s="127"/>
      <c r="CE24" s="127"/>
    </row>
    <row r="25" spans="1:83" x14ac:dyDescent="0.25">
      <c r="A25">
        <v>18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31"/>
      <c r="AM25" s="128"/>
      <c r="AN25" s="130"/>
      <c r="AO25" s="130"/>
      <c r="AP25" s="130"/>
      <c r="AQ25" s="128"/>
      <c r="AR25" s="128"/>
      <c r="AS25" s="128"/>
      <c r="AT25" s="128"/>
      <c r="AU25" s="128"/>
      <c r="AV25" s="128"/>
      <c r="AW25" s="128"/>
      <c r="AX25" s="128"/>
      <c r="AY25" s="128"/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  <c r="BM25" s="127"/>
      <c r="BN25" s="127"/>
      <c r="BO25" s="127"/>
      <c r="BP25" s="127"/>
      <c r="BQ25" s="127"/>
      <c r="BR25" s="127"/>
      <c r="BS25" s="127"/>
      <c r="BT25" s="127"/>
      <c r="BU25" s="127"/>
      <c r="BV25" s="127"/>
      <c r="BW25" s="127"/>
      <c r="BX25" s="127"/>
      <c r="BY25" s="127"/>
      <c r="BZ25" s="127"/>
      <c r="CA25" s="127"/>
      <c r="CB25" s="127"/>
      <c r="CC25" s="127"/>
      <c r="CD25" s="127"/>
      <c r="CE25" s="127"/>
    </row>
    <row r="26" spans="1:83" x14ac:dyDescent="0.25">
      <c r="A26">
        <v>19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31"/>
      <c r="AM26" s="128"/>
      <c r="AN26" s="130"/>
      <c r="AO26" s="130"/>
      <c r="AP26" s="130"/>
      <c r="AQ26" s="128"/>
      <c r="AR26" s="128"/>
      <c r="AS26" s="128"/>
      <c r="AT26" s="128"/>
      <c r="AU26" s="128"/>
      <c r="AV26" s="128"/>
      <c r="AW26" s="128"/>
      <c r="AX26" s="128"/>
      <c r="AY26" s="128"/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  <c r="BL26" s="127"/>
      <c r="BM26" s="127"/>
      <c r="BN26" s="127"/>
      <c r="BO26" s="127"/>
      <c r="BP26" s="127"/>
      <c r="BQ26" s="127"/>
      <c r="BR26" s="127"/>
      <c r="BS26" s="127"/>
      <c r="BT26" s="127"/>
      <c r="BU26" s="127"/>
      <c r="BV26" s="127"/>
      <c r="BW26" s="127"/>
      <c r="BX26" s="127"/>
      <c r="BY26" s="127"/>
      <c r="BZ26" s="127"/>
      <c r="CA26" s="127"/>
      <c r="CB26" s="127"/>
      <c r="CC26" s="127"/>
      <c r="CD26" s="127"/>
      <c r="CE26" s="127"/>
    </row>
    <row r="27" spans="1:83" x14ac:dyDescent="0.25">
      <c r="A27">
        <v>20</v>
      </c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31"/>
      <c r="AM27" s="128"/>
      <c r="AN27" s="130"/>
      <c r="AO27" s="130"/>
      <c r="AP27" s="130"/>
      <c r="AQ27" s="128"/>
      <c r="AR27" s="128"/>
      <c r="AS27" s="128"/>
      <c r="AT27" s="128"/>
      <c r="AU27" s="128"/>
      <c r="AV27" s="128"/>
      <c r="AW27" s="128"/>
      <c r="AX27" s="128"/>
      <c r="AY27" s="128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</row>
    <row r="28" spans="1:83" x14ac:dyDescent="0.25">
      <c r="A28">
        <v>21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31"/>
      <c r="AM28" s="128"/>
      <c r="AN28" s="130"/>
      <c r="AO28" s="130"/>
      <c r="AP28" s="130"/>
      <c r="AQ28" s="128"/>
      <c r="AR28" s="128"/>
      <c r="AS28" s="128"/>
      <c r="AT28" s="128"/>
      <c r="AU28" s="128"/>
      <c r="AV28" s="128"/>
      <c r="AW28" s="128"/>
      <c r="AX28" s="128"/>
      <c r="AY28" s="128"/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127"/>
      <c r="BZ28" s="127"/>
      <c r="CA28" s="127"/>
      <c r="CB28" s="127"/>
      <c r="CC28" s="127"/>
      <c r="CD28" s="127"/>
      <c r="CE28" s="127"/>
    </row>
    <row r="29" spans="1:83" x14ac:dyDescent="0.25">
      <c r="A29">
        <v>22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31"/>
      <c r="AM29" s="128"/>
      <c r="AN29" s="130"/>
      <c r="AO29" s="130"/>
      <c r="AP29" s="130"/>
      <c r="AQ29" s="128"/>
      <c r="AR29" s="128"/>
      <c r="AS29" s="128"/>
      <c r="AT29" s="128"/>
      <c r="AU29" s="128"/>
      <c r="AV29" s="128"/>
      <c r="AW29" s="128"/>
      <c r="AX29" s="128"/>
      <c r="AY29" s="128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CB29" s="127"/>
      <c r="CC29" s="127"/>
      <c r="CD29" s="127"/>
      <c r="CE29" s="127"/>
    </row>
    <row r="30" spans="1:83" x14ac:dyDescent="0.25">
      <c r="A30">
        <v>23</v>
      </c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42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31"/>
      <c r="AM30" s="128"/>
      <c r="AN30" s="130"/>
      <c r="AO30" s="130"/>
      <c r="AP30" s="130"/>
      <c r="AQ30" s="128"/>
      <c r="AR30" s="130"/>
      <c r="AS30" s="128"/>
      <c r="AT30" s="128"/>
      <c r="AU30" s="128"/>
      <c r="AV30" s="128"/>
      <c r="AW30" s="128"/>
      <c r="AX30" s="128"/>
      <c r="AY30" s="128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7"/>
    </row>
    <row r="31" spans="1:83" x14ac:dyDescent="0.25">
      <c r="A31">
        <v>24</v>
      </c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31"/>
      <c r="AM31" s="128"/>
      <c r="AN31" s="130"/>
      <c r="AO31" s="130"/>
      <c r="AP31" s="130"/>
      <c r="AQ31" s="128"/>
      <c r="AR31" s="128"/>
      <c r="AS31" s="128"/>
      <c r="AT31" s="128"/>
      <c r="AU31" s="128"/>
      <c r="AV31" s="128"/>
      <c r="AW31" s="128"/>
      <c r="AX31" s="128"/>
      <c r="AY31" s="128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  <c r="BP31" s="127"/>
      <c r="BQ31" s="127"/>
      <c r="BR31" s="127"/>
      <c r="BS31" s="127"/>
      <c r="BT31" s="127"/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7"/>
    </row>
    <row r="32" spans="1:83" x14ac:dyDescent="0.25">
      <c r="A32">
        <v>25</v>
      </c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31"/>
      <c r="AM32" s="128"/>
      <c r="AN32" s="130"/>
      <c r="AO32" s="130"/>
      <c r="AP32" s="130"/>
      <c r="AQ32" s="128"/>
      <c r="AR32" s="128"/>
      <c r="AS32" s="128"/>
      <c r="AT32" s="128"/>
      <c r="AU32" s="128"/>
      <c r="AV32" s="128"/>
      <c r="AW32" s="128"/>
      <c r="AX32" s="128"/>
      <c r="AY32" s="128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</row>
    <row r="33" spans="1:83" x14ac:dyDescent="0.25">
      <c r="A33">
        <v>26</v>
      </c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31"/>
      <c r="AM33" s="128"/>
      <c r="AN33" s="130"/>
      <c r="AO33" s="130"/>
      <c r="AP33" s="130"/>
      <c r="AQ33" s="128"/>
      <c r="AR33" s="128"/>
      <c r="AS33" s="128"/>
      <c r="AT33" s="128"/>
      <c r="AU33" s="128"/>
      <c r="AV33" s="128"/>
      <c r="AW33" s="128"/>
      <c r="AX33" s="128"/>
      <c r="AY33" s="128"/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7"/>
    </row>
    <row r="34" spans="1:83" x14ac:dyDescent="0.25">
      <c r="A34">
        <v>27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31"/>
      <c r="AM34" s="128"/>
      <c r="AN34" s="130"/>
      <c r="AO34" s="130"/>
      <c r="AP34" s="130"/>
      <c r="AQ34" s="128"/>
      <c r="AR34" s="128"/>
      <c r="AS34" s="128"/>
      <c r="AT34" s="128"/>
      <c r="AU34" s="128"/>
      <c r="AV34" s="128"/>
      <c r="AW34" s="128"/>
      <c r="AX34" s="128"/>
      <c r="AY34" s="128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7"/>
    </row>
    <row r="35" spans="1:83" x14ac:dyDescent="0.25">
      <c r="A35">
        <v>28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31"/>
      <c r="AM35" s="128"/>
      <c r="AN35" s="130"/>
      <c r="AO35" s="130"/>
      <c r="AP35" s="130"/>
      <c r="AQ35" s="128"/>
      <c r="AR35" s="128"/>
      <c r="AS35" s="128"/>
      <c r="AT35" s="128"/>
      <c r="AU35" s="128"/>
      <c r="AV35" s="128"/>
      <c r="AW35" s="128"/>
      <c r="AX35" s="128"/>
      <c r="AY35" s="128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</row>
    <row r="36" spans="1:83" x14ac:dyDescent="0.25">
      <c r="A36">
        <v>29</v>
      </c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31"/>
      <c r="AM36" s="128"/>
      <c r="AN36" s="130"/>
      <c r="AO36" s="130"/>
      <c r="AP36" s="130"/>
      <c r="AQ36" s="128"/>
      <c r="AR36" s="128"/>
      <c r="AS36" s="128"/>
      <c r="AT36" s="128"/>
      <c r="AU36" s="128"/>
      <c r="AV36" s="128"/>
      <c r="AW36" s="128"/>
      <c r="AX36" s="128"/>
      <c r="AY36" s="128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CB36" s="127"/>
      <c r="CC36" s="127"/>
      <c r="CD36" s="127"/>
      <c r="CE36" s="127"/>
    </row>
    <row r="37" spans="1:83" ht="15.75" thickBot="1" x14ac:dyDescent="0.3">
      <c r="A37">
        <v>30</v>
      </c>
      <c r="B37" s="129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31"/>
      <c r="AM37" s="128"/>
      <c r="AN37" s="130"/>
      <c r="AO37" s="130"/>
      <c r="AP37" s="130"/>
      <c r="AQ37" s="128"/>
      <c r="AR37" s="128"/>
      <c r="AS37" s="128"/>
      <c r="AT37" s="128"/>
      <c r="AU37" s="128"/>
      <c r="AV37" s="128"/>
      <c r="AW37" s="128"/>
      <c r="AX37" s="128"/>
      <c r="AY37" s="141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5"/>
      <c r="CB37" s="135"/>
      <c r="CC37" s="135"/>
      <c r="CD37" s="135"/>
      <c r="CE37" s="135"/>
    </row>
    <row r="38" spans="1:83" ht="15.75" thickBot="1" x14ac:dyDescent="0.3">
      <c r="A38">
        <v>31</v>
      </c>
      <c r="B38" s="117"/>
      <c r="C38" s="128"/>
      <c r="D38" s="119"/>
      <c r="E38" s="119"/>
      <c r="F38" s="119"/>
      <c r="G38" s="119"/>
      <c r="H38" s="128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28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20"/>
      <c r="AM38" s="119"/>
      <c r="AN38" s="121"/>
      <c r="AO38" s="121"/>
      <c r="AP38" s="130"/>
      <c r="AQ38" s="119"/>
      <c r="AR38" s="119"/>
      <c r="AS38" s="119"/>
      <c r="AT38" s="119"/>
      <c r="AU38" s="119"/>
      <c r="AV38" s="119"/>
      <c r="AW38" s="119"/>
      <c r="AX38" s="119"/>
      <c r="AY38" s="123"/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  <c r="BL38" s="127"/>
      <c r="BM38" s="127"/>
      <c r="BN38" s="127"/>
      <c r="BO38" s="127"/>
      <c r="BP38" s="127"/>
      <c r="BQ38" s="127"/>
      <c r="BR38" s="127"/>
      <c r="BS38" s="127"/>
      <c r="BT38" s="127"/>
      <c r="BU38" s="127"/>
      <c r="BV38" s="127"/>
      <c r="BW38" s="127"/>
      <c r="BX38" s="127"/>
      <c r="BY38" s="127"/>
      <c r="BZ38" s="127"/>
      <c r="CA38" s="127"/>
      <c r="CB38" s="127"/>
      <c r="CC38" s="127"/>
      <c r="CD38" s="127"/>
      <c r="CE38" s="127"/>
    </row>
    <row r="39" spans="1:83" x14ac:dyDescent="0.25">
      <c r="D39" s="30"/>
      <c r="E39" s="29"/>
    </row>
    <row r="40" spans="1:83" x14ac:dyDescent="0.25">
      <c r="D40" s="30"/>
      <c r="E40" s="29"/>
    </row>
    <row r="41" spans="1:83" x14ac:dyDescent="0.25">
      <c r="D41" s="30"/>
      <c r="E41" s="29"/>
    </row>
    <row r="42" spans="1:83" x14ac:dyDescent="0.25">
      <c r="D42" s="30"/>
      <c r="E42" s="29"/>
    </row>
    <row r="43" spans="1:83" x14ac:dyDescent="0.25">
      <c r="D43" s="30"/>
      <c r="E43" s="29"/>
    </row>
    <row r="44" spans="1:83" x14ac:dyDescent="0.25">
      <c r="D44" s="30"/>
      <c r="E44" s="29"/>
    </row>
    <row r="45" spans="1:83" x14ac:dyDescent="0.25">
      <c r="D45" s="30"/>
      <c r="E45" s="29"/>
    </row>
    <row r="46" spans="1:83" x14ac:dyDescent="0.25">
      <c r="D46" s="30"/>
      <c r="E46" s="29"/>
    </row>
    <row r="47" spans="1:83" x14ac:dyDescent="0.25">
      <c r="D47" s="30"/>
      <c r="E47" s="29"/>
    </row>
    <row r="48" spans="1:83" x14ac:dyDescent="0.25">
      <c r="D48" s="30"/>
      <c r="E48" s="29"/>
    </row>
    <row r="49" spans="4:5" x14ac:dyDescent="0.25">
      <c r="D49" s="30"/>
      <c r="E49" s="29"/>
    </row>
    <row r="50" spans="4:5" x14ac:dyDescent="0.25">
      <c r="D50" s="30"/>
      <c r="E50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2021-01-15T11:18:02Z</dcterms:modified>
</cp:coreProperties>
</file>