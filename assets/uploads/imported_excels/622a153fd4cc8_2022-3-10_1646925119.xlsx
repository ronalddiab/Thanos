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1" i="1" l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D8" i="1"/>
  <c r="AD9" i="1" s="1"/>
  <c r="AD10" i="1" s="1"/>
  <c r="AB5" i="1"/>
  <c r="AB9" i="1"/>
  <c r="AB10" i="1" s="1"/>
  <c r="AB15" i="1" s="1"/>
  <c r="AB16" i="1" s="1"/>
  <c r="AB20" i="1" s="1"/>
  <c r="AB21" i="1" s="1"/>
  <c r="AB22" i="1" s="1"/>
  <c r="AB25" i="1" s="1"/>
  <c r="AB26" i="1" s="1"/>
  <c r="AB27" i="1" s="1"/>
  <c r="AB28" i="1" s="1"/>
  <c r="AB29" i="1" s="1"/>
  <c r="AB33" i="1" s="1"/>
  <c r="AA33" i="1"/>
  <c r="Y33" i="1"/>
  <c r="R33" i="1"/>
  <c r="S33" i="1" s="1"/>
  <c r="O34" i="1"/>
  <c r="K26" i="1"/>
  <c r="L33" i="1" s="1"/>
  <c r="I33" i="1"/>
  <c r="F33" i="1"/>
  <c r="G33" i="1" s="1"/>
  <c r="C33" i="1"/>
  <c r="S2" i="1"/>
  <c r="P2" i="1"/>
  <c r="M2" i="1"/>
  <c r="J2" i="1"/>
  <c r="G2" i="1"/>
  <c r="D2" i="1"/>
  <c r="C33" i="5"/>
  <c r="G32" i="9" s="1"/>
  <c r="J2" i="3"/>
  <c r="K2" i="3" s="1"/>
  <c r="I33" i="3"/>
  <c r="H32" i="8" s="1"/>
  <c r="G33" i="3"/>
  <c r="I32" i="8" s="1"/>
  <c r="C33" i="3"/>
  <c r="T25" i="2"/>
  <c r="U33" i="2" s="1"/>
  <c r="P7" i="2"/>
  <c r="P8" i="2" s="1"/>
  <c r="P9" i="2" s="1"/>
  <c r="P10" i="2" s="1"/>
  <c r="P11" i="2" s="1"/>
  <c r="P13" i="2" s="1"/>
  <c r="P14" i="2" s="1"/>
  <c r="P26" i="2" s="1"/>
  <c r="P27" i="2" s="1"/>
  <c r="P28" i="2" s="1"/>
  <c r="P29" i="2" s="1"/>
  <c r="P30" i="2" s="1"/>
  <c r="P31" i="2" s="1"/>
  <c r="P33" i="2" s="1"/>
  <c r="Q33" i="2" s="1"/>
  <c r="AC32" i="8" s="1"/>
  <c r="O33" i="2"/>
  <c r="AB32" i="8" s="1"/>
  <c r="L26" i="2"/>
  <c r="M33" i="2" s="1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Z2" i="4"/>
  <c r="X2" i="4"/>
  <c r="I2" i="4"/>
  <c r="AD23" i="1" l="1"/>
  <c r="AD24" i="1" s="1"/>
  <c r="AD30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R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J3" i="2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34" i="2" s="1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<sst xmlns="http://schemas.openxmlformats.org/spreadsheetml/2006/main" count="444" uniqueCount="149">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</sst>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31" sqref="E31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51557.672727999998</v>
      </c>
      <c r="F13" s="144">
        <v>1.27</v>
      </c>
      <c r="G13" s="41">
        <f>Gas!C14*0.9147</f>
        <v>1610.7866999999999</v>
      </c>
      <c r="H13" s="145">
        <v>3.65</v>
      </c>
      <c r="I13" s="147">
        <f>Submetering!H13+Submetering!AD13+Submetering!AE13</f>
        <v>686</v>
      </c>
      <c r="J13" s="147">
        <v>10.029999999999999</v>
      </c>
      <c r="K13" s="41">
        <f>ELECT.!B14</f>
        <v>199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43457.121875999997</v>
      </c>
      <c r="F14" s="144">
        <v>1.27</v>
      </c>
      <c r="G14" s="41">
        <f>Gas!C15*0.9147</f>
        <v>4119.8087999999998</v>
      </c>
      <c r="H14" s="145">
        <v>3.65</v>
      </c>
      <c r="I14" s="147">
        <f>Submetering!H14+Submetering!AD14+Submetering!AE14</f>
        <v>586</v>
      </c>
      <c r="J14" s="147">
        <v>10.029999999999999</v>
      </c>
      <c r="K14" s="41">
        <f>ELECT.!B15</f>
        <v>209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69009.014328000005</v>
      </c>
      <c r="F15" s="144">
        <v>1.27</v>
      </c>
      <c r="G15" s="41">
        <f>Gas!C16*0.9147</f>
        <v>2058.0749999999998</v>
      </c>
      <c r="H15" s="145">
        <v>3.65</v>
      </c>
      <c r="I15" s="147">
        <f>Submetering!H15+Submetering!AD15+Submetering!AE15</f>
        <v>676</v>
      </c>
      <c r="J15" s="147">
        <v>10.029999999999999</v>
      </c>
      <c r="K15" s="41">
        <f>ELECT.!B16</f>
        <v>208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36719.182108000001</v>
      </c>
      <c r="F16" s="144">
        <v>1.27</v>
      </c>
      <c r="G16" s="41">
        <f>Gas!C17*0.9147</f>
        <v>2030.634</v>
      </c>
      <c r="H16" s="145">
        <v>3.65</v>
      </c>
      <c r="I16" s="147">
        <f>Submetering!H16+Submetering!AD16+Submetering!AE16</f>
        <v>576</v>
      </c>
      <c r="J16" s="147">
        <v>10.029999999999999</v>
      </c>
      <c r="K16" s="41">
        <f>ELECT.!B17</f>
        <v>191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46816.760496000003</v>
      </c>
      <c r="F17" s="144">
        <v>1.27</v>
      </c>
      <c r="G17" s="41">
        <f>Gas!C18*0.9147</f>
        <v>2133.9951000000001</v>
      </c>
      <c r="H17" s="145">
        <v>3.65</v>
      </c>
      <c r="I17" s="147">
        <f>Submetering!H17+Submetering!AD17+Submetering!AE17</f>
        <v>566</v>
      </c>
      <c r="J17" s="147">
        <v>10.029999999999999</v>
      </c>
      <c r="K17" s="41">
        <f>ELECT.!B18</f>
        <v>204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68280.151763999995</v>
      </c>
      <c r="F18" s="144">
        <v>1.27</v>
      </c>
      <c r="G18" s="41">
        <f>Gas!C19*0.9147</f>
        <v>2938.9310999999998</v>
      </c>
      <c r="H18" s="145">
        <v>3.65</v>
      </c>
      <c r="I18" s="147">
        <f>Submetering!H18+Submetering!AD18+Submetering!AE18</f>
        <v>536</v>
      </c>
      <c r="J18" s="147">
        <v>10.029999999999999</v>
      </c>
      <c r="K18" s="41">
        <f>ELECT.!B19</f>
        <v>241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34655.236015999995</v>
      </c>
      <c r="F19" s="144">
        <v>1.27</v>
      </c>
      <c r="G19" s="41">
        <f>Gas!C20*0.9147</f>
        <v>2543.7806999999998</v>
      </c>
      <c r="H19" s="145">
        <v>3.65</v>
      </c>
      <c r="I19" s="147">
        <f>Submetering!H19+Submetering!AD19+Submetering!AE19</f>
        <v>516</v>
      </c>
      <c r="J19" s="147">
        <v>10.029999999999999</v>
      </c>
      <c r="K19" s="41">
        <f>ELECT.!B20</f>
        <v>210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51874.825816000011</v>
      </c>
      <c r="F20" s="144">
        <v>1.27</v>
      </c>
      <c r="G20" s="41">
        <f>Gas!C21*0.9147</f>
        <v>3100.8329999999996</v>
      </c>
      <c r="H20" s="145">
        <v>3.65</v>
      </c>
      <c r="I20" s="147">
        <f>Submetering!H20+Submetering!AD20+Submetering!AE20</f>
        <v>606</v>
      </c>
      <c r="J20" s="147">
        <v>10.029999999999999</v>
      </c>
      <c r="K20" s="41">
        <f>ELECT.!B21</f>
        <v>256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50532.225019999998</v>
      </c>
      <c r="F21" s="144">
        <v>1.27</v>
      </c>
      <c r="G21" s="41">
        <f>Gas!C22*0.9147</f>
        <v>2628.8478</v>
      </c>
      <c r="H21" s="145">
        <v>3.65</v>
      </c>
      <c r="I21" s="147">
        <f>Submetering!H21+Submetering!AD21+Submetering!AE21</f>
        <v>506</v>
      </c>
      <c r="J21" s="147">
        <v>10.029999999999999</v>
      </c>
      <c r="K21" s="41">
        <f>ELECT.!B22</f>
        <v>247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32793.525460000004</v>
      </c>
      <c r="F22" s="144">
        <v>1.27</v>
      </c>
      <c r="G22" s="41">
        <f>Gas!C23*0.9147</f>
        <v>1883.3672999999999</v>
      </c>
      <c r="H22" s="145">
        <v>3.65</v>
      </c>
      <c r="I22" s="147">
        <f>Submetering!H22+Submetering!AD22+Submetering!AE22</f>
        <v>526</v>
      </c>
      <c r="J22" s="147">
        <v>10.029999999999999</v>
      </c>
      <c r="K22" s="41">
        <f>ELECT.!B23</f>
        <v>190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58213.827099999995</v>
      </c>
      <c r="F23" s="144">
        <v>1.27</v>
      </c>
      <c r="G23" s="41">
        <f>Gas!C24*0.9147</f>
        <v>2232.7826999999997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286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49303.606384000006</v>
      </c>
      <c r="F24" s="144">
        <v>1.27</v>
      </c>
      <c r="G24" s="41">
        <f>Gas!C25*0.9147</f>
        <v>4911.0243</v>
      </c>
      <c r="H24" s="145">
        <v>3.65</v>
      </c>
      <c r="I24" s="147">
        <f>Submetering!H24+Submetering!AD24+Submetering!AE24</f>
        <v>606</v>
      </c>
      <c r="J24" s="147">
        <v>10.029999999999999</v>
      </c>
      <c r="K24" s="41">
        <f>ELECT.!B25</f>
        <v>180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42465.5599</v>
      </c>
      <c r="F25" s="144">
        <v>1.27</v>
      </c>
      <c r="G25" s="41">
        <f>Gas!C26*0.9147</f>
        <v>2526.4013999999997</v>
      </c>
      <c r="H25" s="145">
        <v>3.65</v>
      </c>
      <c r="I25" s="147">
        <f>Submetering!H25+Submetering!AD25+Submetering!AE25</f>
        <v>606</v>
      </c>
      <c r="J25" s="147">
        <v>10.029999999999999</v>
      </c>
      <c r="K25" s="41">
        <f>ELECT.!B26</f>
        <v>190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40527.484087999997</v>
      </c>
      <c r="F26" s="144">
        <v>1.27</v>
      </c>
      <c r="G26" s="41">
        <f>Gas!C27*0.9147</f>
        <v>2290.4087999999997</v>
      </c>
      <c r="H26" s="145">
        <v>3.65</v>
      </c>
      <c r="I26" s="147">
        <f>Submetering!H26+Submetering!AD26+Submetering!AE26</f>
        <v>506.00000000000006</v>
      </c>
      <c r="J26" s="147">
        <v>10.029999999999999</v>
      </c>
      <c r="K26" s="41">
        <f>ELECT.!B27</f>
        <v>167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56436.976924000002</v>
      </c>
      <c r="F27" s="144">
        <v>1.27</v>
      </c>
      <c r="G27" s="41">
        <f>Gas!C28*0.9147</f>
        <v>2122.1039999999998</v>
      </c>
      <c r="H27" s="145">
        <v>3.65</v>
      </c>
      <c r="I27" s="147">
        <f>Submetering!H27+Submetering!AD27+Submetering!AE27</f>
        <v>606</v>
      </c>
      <c r="J27" s="147">
        <v>10.029999999999999</v>
      </c>
      <c r="K27" s="41">
        <f>ELECT.!B28</f>
        <v>134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39392.149116000001</v>
      </c>
      <c r="F28" s="144">
        <v>1.27</v>
      </c>
      <c r="G28" s="41">
        <f>Gas!C29*0.9147</f>
        <v>2486.1545999999998</v>
      </c>
      <c r="H28" s="145">
        <v>3.65</v>
      </c>
      <c r="I28" s="147">
        <f>Submetering!H28+Submetering!AD28+Submetering!AE28</f>
        <v>516</v>
      </c>
      <c r="J28" s="147">
        <v>10.029999999999999</v>
      </c>
      <c r="K28" s="41">
        <f>ELECT.!B29</f>
        <v>167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53422.317036</v>
      </c>
      <c r="F29" s="144">
        <v>1.27</v>
      </c>
      <c r="G29" s="41">
        <f>Gas!C30*0.9147</f>
        <v>5248.5486000000001</v>
      </c>
      <c r="H29" s="145">
        <v>3.65</v>
      </c>
      <c r="I29" s="147">
        <f>Submetering!H29+Submetering!AD29+Submetering!AE29</f>
        <v>566</v>
      </c>
      <c r="J29" s="147">
        <v>10.029999999999999</v>
      </c>
      <c r="K29" s="41">
        <f>ELECT.!B30</f>
        <v>270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25590.62966799999</v>
      </c>
      <c r="F30" s="144">
        <v>1.27</v>
      </c>
      <c r="G30" s="41">
        <f>Gas!C31*0.9147</f>
        <v>2930.6987999999997</v>
      </c>
      <c r="H30" s="145">
        <v>3.65</v>
      </c>
      <c r="I30" s="147">
        <f>Submetering!H30+Submetering!AD30+Submetering!AE30</f>
        <v>596</v>
      </c>
      <c r="J30" s="147">
        <v>10.029999999999999</v>
      </c>
      <c r="K30" s="41">
        <f>ELECT.!B31</f>
        <v>269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40581.033667999996</v>
      </c>
      <c r="F31" s="144">
        <v>1.27</v>
      </c>
      <c r="G31" s="41">
        <f>Gas!C32*0.9147</f>
        <v>2704.7678999999998</v>
      </c>
      <c r="H31" s="145">
        <v>3.65</v>
      </c>
      <c r="I31" s="147">
        <f>Submetering!H31+Submetering!AD31+Submetering!AE31</f>
        <v>596</v>
      </c>
      <c r="J31" s="147">
        <v>10.029999999999999</v>
      </c>
      <c r="K31" s="41">
        <f>ELECT.!B32</f>
        <v>254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31007.222543199998</v>
      </c>
      <c r="F32" s="145">
        <v>1.27</v>
      </c>
      <c r="G32" s="41">
        <f>Gas!C33*0.9147</f>
        <v>2916.0636</v>
      </c>
      <c r="H32" s="145">
        <v>3.65</v>
      </c>
      <c r="I32" s="147">
        <f>Submetering!H32+Submetering!AD32+Submetering!AE32</f>
        <v>586</v>
      </c>
      <c r="J32" s="147">
        <v>10.029999999999999</v>
      </c>
      <c r="K32" s="41">
        <f>ELECT.!B33</f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880</v>
      </c>
      <c r="F13" s="41">
        <f>Water!E14</f>
        <v>400</v>
      </c>
      <c r="G13" s="41">
        <f>Water!G14</f>
        <v>318.60000000000002</v>
      </c>
      <c r="H13" s="41">
        <f>Water!I14</f>
        <v>5.4809999999999999</v>
      </c>
      <c r="I13" s="41">
        <f>ELECT.!F14</f>
        <v>15152</v>
      </c>
      <c r="J13" s="41">
        <f>ELECT.!H14</f>
        <v>38726</v>
      </c>
      <c r="K13" s="41">
        <f>ELECT.!K14</f>
        <v>10844</v>
      </c>
      <c r="L13" s="41">
        <f>ELECT.!M14</f>
        <v>6235</v>
      </c>
      <c r="M13" s="41">
        <f>ELECT.!O14</f>
        <v>9754</v>
      </c>
      <c r="N13" s="41">
        <f>ELECT.!Q14</f>
        <v>2546</v>
      </c>
      <c r="O13" s="41">
        <f>ELECT.!S14</f>
        <v>5662</v>
      </c>
      <c r="P13" s="41">
        <f>ELECT.!W14*2</f>
        <v>20280</v>
      </c>
      <c r="Q13" s="41">
        <f>ELECT.!D14</f>
        <v>480</v>
      </c>
      <c r="R13" s="42">
        <f>BTU!C14</f>
        <v>3.8539999999993597</v>
      </c>
      <c r="S13" s="42">
        <f>BTU!F14</f>
        <v>1.218000000000302</v>
      </c>
      <c r="T13" s="42">
        <f>BTU!I14</f>
        <v>0</v>
      </c>
      <c r="U13" s="42">
        <f>BTU!O14</f>
        <v>1.44399999999996</v>
      </c>
      <c r="V13" s="42">
        <f>BTU!L14</f>
        <v>2.6100000000005821</v>
      </c>
      <c r="W13" s="42">
        <f>BTU!R14</f>
        <v>1.2899999999999636</v>
      </c>
      <c r="X13" s="39">
        <f>ELECT.!B14</f>
        <v>199</v>
      </c>
      <c r="Y13" s="39">
        <f t="shared" si="0"/>
        <v>-1443</v>
      </c>
      <c r="Z13">
        <f>'Mall, Citadel, Rotana'!C14+'Mall, Citadel, Rotana'!E14+'Mall, Citadel, Rotana'!G14+'Mall, Citadel, Rotana'!I14</f>
        <v>1195</v>
      </c>
      <c r="AA13">
        <f>'Mall, Citadel, Rotana'!K14+'Mall, Citadel, Rotana'!M14</f>
        <v>480</v>
      </c>
      <c r="AB13">
        <f>'Mall, Citadel, Rotana'!O14</f>
        <v>125</v>
      </c>
      <c r="AC13">
        <f>'Mall, Citadel, Rotana'!Q14+'Mall, Citadel, Rotana'!S14</f>
        <v>0</v>
      </c>
      <c r="AD13" s="39">
        <f t="shared" si="1"/>
        <v>89.692404199999999</v>
      </c>
      <c r="AE13" s="39">
        <f t="shared" si="2"/>
        <v>590.82659579999995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780</v>
      </c>
      <c r="F14" s="41">
        <f>Water!E15</f>
        <v>410</v>
      </c>
      <c r="G14" s="41">
        <f>Water!G15</f>
        <v>337.5</v>
      </c>
      <c r="H14" s="41">
        <f>Water!I15</f>
        <v>5.13</v>
      </c>
      <c r="I14" s="41">
        <f>ELECT.!F15</f>
        <v>13269</v>
      </c>
      <c r="J14" s="41">
        <f>ELECT.!H15</f>
        <v>33013</v>
      </c>
      <c r="K14" s="41">
        <f>ELECT.!K15</f>
        <v>8838</v>
      </c>
      <c r="L14" s="41">
        <f>ELECT.!M15</f>
        <v>5054</v>
      </c>
      <c r="M14" s="41">
        <f>ELECT.!O15</f>
        <v>7078</v>
      </c>
      <c r="N14" s="41">
        <f>ELECT.!Q15</f>
        <v>2139</v>
      </c>
      <c r="O14" s="41">
        <f>ELECT.!S15</f>
        <v>8191</v>
      </c>
      <c r="P14" s="41">
        <f>ELECT.!W15*2</f>
        <v>17548</v>
      </c>
      <c r="Q14" s="41">
        <f>ELECT.!D15</f>
        <v>480</v>
      </c>
      <c r="R14" s="42">
        <f>BTU!C15</f>
        <v>2.1749999999992724</v>
      </c>
      <c r="S14" s="42">
        <f>BTU!F15</f>
        <v>0.69200000000000728</v>
      </c>
      <c r="T14" s="42">
        <f>BTU!I15</f>
        <v>3</v>
      </c>
      <c r="U14" s="42">
        <f>BTU!O15</f>
        <v>0.78900000000021464</v>
      </c>
      <c r="V14" s="42">
        <f>BTU!L15</f>
        <v>0.3999999999996362</v>
      </c>
      <c r="W14" s="42">
        <f>BTU!R15</f>
        <v>0.47000000000025466</v>
      </c>
      <c r="X14" s="39">
        <f>ELECT.!B15</f>
        <v>209</v>
      </c>
      <c r="Y14" s="39">
        <f t="shared" si="0"/>
        <v>-2566</v>
      </c>
      <c r="Z14">
        <f>'Mall, Citadel, Rotana'!C15+'Mall, Citadel, Rotana'!E15+'Mall, Citadel, Rotana'!G15+'Mall, Citadel, Rotana'!I15</f>
        <v>1379</v>
      </c>
      <c r="AA14">
        <f>'Mall, Citadel, Rotana'!K15+'Mall, Citadel, Rotana'!M15</f>
        <v>640</v>
      </c>
      <c r="AB14">
        <f>'Mall, Citadel, Rotana'!O15</f>
        <v>121</v>
      </c>
      <c r="AC14">
        <f>'Mall, Citadel, Rotana'!Q15+'Mall, Citadel, Rotana'!S15</f>
        <v>306</v>
      </c>
      <c r="AD14" s="39">
        <f t="shared" si="1"/>
        <v>76.558666000000002</v>
      </c>
      <c r="AE14" s="39">
        <f t="shared" si="2"/>
        <v>504.31133399999999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870</v>
      </c>
      <c r="F15" s="41">
        <f>Water!E16</f>
        <v>380</v>
      </c>
      <c r="G15" s="41">
        <f>Water!G16</f>
        <v>359.1</v>
      </c>
      <c r="H15" s="41">
        <f>Water!I16</f>
        <v>4.8600000000000003</v>
      </c>
      <c r="I15" s="41">
        <f>ELECT.!F16</f>
        <v>20280</v>
      </c>
      <c r="J15" s="41">
        <f>ELECT.!H16</f>
        <v>51413</v>
      </c>
      <c r="K15" s="41">
        <f>ELECT.!K16</f>
        <v>14298</v>
      </c>
      <c r="L15" s="41">
        <f>ELECT.!M16</f>
        <v>8391</v>
      </c>
      <c r="M15" s="41">
        <f>ELECT.!O16</f>
        <v>11686</v>
      </c>
      <c r="N15" s="41">
        <f>ELECT.!Q16</f>
        <v>3341</v>
      </c>
      <c r="O15" s="41">
        <f>ELECT.!S16</f>
        <v>12814</v>
      </c>
      <c r="P15" s="41">
        <f>ELECT.!W16*2</f>
        <v>27028</v>
      </c>
      <c r="Q15" s="41">
        <f>ELECT.!D16</f>
        <v>480</v>
      </c>
      <c r="R15" s="42">
        <f>BTU!C16</f>
        <v>2.941000000002532</v>
      </c>
      <c r="S15" s="42">
        <f>BTU!F16</f>
        <v>0.85500000000001819</v>
      </c>
      <c r="T15" s="42">
        <f>BTU!I16</f>
        <v>4</v>
      </c>
      <c r="U15" s="42">
        <f>BTU!O16</f>
        <v>1.0629999999996471</v>
      </c>
      <c r="V15" s="42">
        <f>BTU!L16</f>
        <v>3.0499999999992724</v>
      </c>
      <c r="W15" s="42">
        <f>BTU!R16</f>
        <v>0.6499999999996362</v>
      </c>
      <c r="X15" s="39">
        <f>ELECT.!B16</f>
        <v>208</v>
      </c>
      <c r="Y15" s="39">
        <f t="shared" si="0"/>
        <v>-5865</v>
      </c>
      <c r="Z15">
        <f>'Mall, Citadel, Rotana'!C16+'Mall, Citadel, Rotana'!E16+'Mall, Citadel, Rotana'!G16+'Mall, Citadel, Rotana'!I16</f>
        <v>1354</v>
      </c>
      <c r="AA15">
        <f>'Mall, Citadel, Rotana'!K16+'Mall, Citadel, Rotana'!M16</f>
        <v>480</v>
      </c>
      <c r="AB15">
        <f>'Mall, Citadel, Rotana'!O16</f>
        <v>135</v>
      </c>
      <c r="AC15">
        <f>'Mall, Citadel, Rotana'!Q16+'Mall, Citadel, Rotana'!S16</f>
        <v>127</v>
      </c>
      <c r="AD15" s="39">
        <f t="shared" si="1"/>
        <v>88.456251999999992</v>
      </c>
      <c r="AE15" s="39">
        <f t="shared" si="2"/>
        <v>582.68374800000004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770</v>
      </c>
      <c r="F16" s="41">
        <f>Water!E17</f>
        <v>380</v>
      </c>
      <c r="G16" s="41">
        <f>Water!G17</f>
        <v>310.5</v>
      </c>
      <c r="H16" s="41">
        <f>Water!I17</f>
        <v>5.2919999999999998</v>
      </c>
      <c r="I16" s="41">
        <f>ELECT.!F17</f>
        <v>11757</v>
      </c>
      <c r="J16" s="41">
        <f>ELECT.!H17</f>
        <v>26948</v>
      </c>
      <c r="K16" s="41">
        <f>ELECT.!K17</f>
        <v>8040</v>
      </c>
      <c r="L16" s="41">
        <f>ELECT.!M17</f>
        <v>5269</v>
      </c>
      <c r="M16" s="41">
        <f>ELECT.!O17</f>
        <v>6340</v>
      </c>
      <c r="N16" s="41">
        <f>ELECT.!Q17</f>
        <v>2211</v>
      </c>
      <c r="O16" s="41">
        <f>ELECT.!S17</f>
        <v>8273</v>
      </c>
      <c r="P16" s="41">
        <f>ELECT.!W17*2</f>
        <v>16464</v>
      </c>
      <c r="Q16" s="41">
        <f>ELECT.!D17</f>
        <v>320</v>
      </c>
      <c r="R16" s="42">
        <f>BTU!C17</f>
        <v>2.672999999998865</v>
      </c>
      <c r="S16" s="42">
        <f>BTU!F17</f>
        <v>0.8589999999999236</v>
      </c>
      <c r="T16" s="42">
        <f>BTU!I17</f>
        <v>4</v>
      </c>
      <c r="U16" s="42">
        <f>BTU!O17</f>
        <v>1.0770000000002256</v>
      </c>
      <c r="V16" s="42">
        <f>BTU!L17</f>
        <v>1.5400000000008731</v>
      </c>
      <c r="W16" s="42">
        <f>BTU!R17</f>
        <v>0.26000000000021828</v>
      </c>
      <c r="X16" s="39">
        <f>ELECT.!B17</f>
        <v>191</v>
      </c>
      <c r="Y16" s="39">
        <f t="shared" si="0"/>
        <v>-7892</v>
      </c>
      <c r="Z16">
        <f>'Mall, Citadel, Rotana'!C17+'Mall, Citadel, Rotana'!E17+'Mall, Citadel, Rotana'!G17+'Mall, Citadel, Rotana'!I17</f>
        <v>1074</v>
      </c>
      <c r="AA16">
        <f>'Mall, Citadel, Rotana'!K17+'Mall, Citadel, Rotana'!M17</f>
        <v>480</v>
      </c>
      <c r="AB16">
        <f>'Mall, Citadel, Rotana'!O17</f>
        <v>121</v>
      </c>
      <c r="AC16">
        <f>'Mall, Citadel, Rotana'!Q17+'Mall, Citadel, Rotana'!S17</f>
        <v>116</v>
      </c>
      <c r="AD16" s="39">
        <f t="shared" si="1"/>
        <v>75.219314400000002</v>
      </c>
      <c r="AE16" s="39">
        <f t="shared" si="2"/>
        <v>495.48868559999994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760</v>
      </c>
      <c r="F17" s="41">
        <f>Water!E18</f>
        <v>380</v>
      </c>
      <c r="G17" s="41">
        <f>Water!G18</f>
        <v>359.1</v>
      </c>
      <c r="H17" s="41">
        <f>Water!I18</f>
        <v>5.7240000000000002</v>
      </c>
      <c r="I17" s="41">
        <f>ELECT.!F18</f>
        <v>11886</v>
      </c>
      <c r="J17" s="41">
        <f>ELECT.!H18</f>
        <v>37278</v>
      </c>
      <c r="K17" s="41">
        <f>ELECT.!K18</f>
        <v>7930</v>
      </c>
      <c r="L17" s="41">
        <f>ELECT.!M18</f>
        <v>5192</v>
      </c>
      <c r="M17" s="41">
        <f>ELECT.!O18</f>
        <v>6556</v>
      </c>
      <c r="N17" s="41">
        <f>ELECT.!Q18</f>
        <v>2299</v>
      </c>
      <c r="O17" s="41">
        <f>ELECT.!S18</f>
        <v>8480</v>
      </c>
      <c r="P17" s="41">
        <f>ELECT.!W18*2</f>
        <v>17164</v>
      </c>
      <c r="Q17" s="41">
        <f>ELECT.!D18</f>
        <v>320</v>
      </c>
      <c r="R17" s="42">
        <f>BTU!C18</f>
        <v>2.2900000000008731</v>
      </c>
      <c r="S17" s="42">
        <f>BTU!F18</f>
        <v>0.86000000000012733</v>
      </c>
      <c r="T17" s="42">
        <f>BTU!I18</f>
        <v>5</v>
      </c>
      <c r="U17" s="42">
        <f>BTU!O18</f>
        <v>1.0850000000000364</v>
      </c>
      <c r="V17" s="42">
        <f>BTU!L18</f>
        <v>1.7000000000007276</v>
      </c>
      <c r="W17" s="42">
        <f>BTU!R18</f>
        <v>0.23999999999978172</v>
      </c>
      <c r="X17" s="39">
        <f>ELECT.!B18</f>
        <v>204</v>
      </c>
      <c r="Y17" s="39">
        <f t="shared" si="0"/>
        <v>1543</v>
      </c>
      <c r="Z17">
        <f>'Mall, Citadel, Rotana'!C18+'Mall, Citadel, Rotana'!E18+'Mall, Citadel, Rotana'!G18+'Mall, Citadel, Rotana'!I18</f>
        <v>1095</v>
      </c>
      <c r="AA17">
        <f>'Mall, Citadel, Rotana'!K18+'Mall, Citadel, Rotana'!M18</f>
        <v>480</v>
      </c>
      <c r="AB17">
        <f>'Mall, Citadel, Rotana'!O18</f>
        <v>118</v>
      </c>
      <c r="AC17">
        <f>'Mall, Citadel, Rotana'!Q18+'Mall, Citadel, Rotana'!S18</f>
        <v>128</v>
      </c>
      <c r="AD17" s="39">
        <f t="shared" si="1"/>
        <v>73.844376799999992</v>
      </c>
      <c r="AE17" s="39">
        <f t="shared" si="2"/>
        <v>486.43162319999999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730</v>
      </c>
      <c r="F18" s="41">
        <f>Water!E19</f>
        <v>320</v>
      </c>
      <c r="G18" s="41">
        <f>Water!G19</f>
        <v>275.39999999999998</v>
      </c>
      <c r="H18" s="41">
        <f>Water!I19</f>
        <v>4.5090000000000003</v>
      </c>
      <c r="I18" s="41">
        <f>ELECT.!F19</f>
        <v>18580</v>
      </c>
      <c r="J18" s="41">
        <f>ELECT.!H19</f>
        <v>52371</v>
      </c>
      <c r="K18" s="41">
        <f>ELECT.!K19</f>
        <v>11016</v>
      </c>
      <c r="L18" s="41">
        <f>ELECT.!M19</f>
        <v>8044</v>
      </c>
      <c r="M18" s="41">
        <f>ELECT.!O19</f>
        <v>10316</v>
      </c>
      <c r="N18" s="41">
        <f>ELECT.!Q19</f>
        <v>3533</v>
      </c>
      <c r="O18" s="41">
        <f>ELECT.!S19</f>
        <v>13469</v>
      </c>
      <c r="P18" s="41">
        <f>ELECT.!W19*2</f>
        <v>28802</v>
      </c>
      <c r="Q18" s="41">
        <f>ELECT.!D19</f>
        <v>480</v>
      </c>
      <c r="R18" s="42">
        <f>BTU!C19</f>
        <v>2.3930000000000291</v>
      </c>
      <c r="S18" s="42">
        <f>BTU!F19</f>
        <v>0.62799999999970169</v>
      </c>
      <c r="T18" s="42">
        <f>BTU!I19</f>
        <v>5</v>
      </c>
      <c r="U18" s="42">
        <f>BTU!O19</f>
        <v>1.1449999999999818</v>
      </c>
      <c r="V18" s="42">
        <f>BTU!L19</f>
        <v>2.0299999999988358</v>
      </c>
      <c r="W18" s="42">
        <f>BTU!R19</f>
        <v>1.2700000000004366</v>
      </c>
      <c r="X18" s="39">
        <f>ELECT.!B19</f>
        <v>241</v>
      </c>
      <c r="Y18" s="39">
        <f t="shared" si="0"/>
        <v>-4229</v>
      </c>
      <c r="Z18">
        <f>'Mall, Citadel, Rotana'!C19+'Mall, Citadel, Rotana'!E19+'Mall, Citadel, Rotana'!G19+'Mall, Citadel, Rotana'!I19</f>
        <v>1342</v>
      </c>
      <c r="AA18">
        <f>'Mall, Citadel, Rotana'!K19+'Mall, Citadel, Rotana'!M19</f>
        <v>480</v>
      </c>
      <c r="AB18">
        <f>'Mall, Citadel, Rotana'!O19</f>
        <v>98</v>
      </c>
      <c r="AC18">
        <f>'Mall, Citadel, Rotana'!Q19+'Mall, Citadel, Rotana'!S19</f>
        <v>126</v>
      </c>
      <c r="AD18" s="39">
        <f t="shared" si="1"/>
        <v>70.050513800000004</v>
      </c>
      <c r="AE18" s="39">
        <f t="shared" si="2"/>
        <v>461.44048620000001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710</v>
      </c>
      <c r="F19" s="41">
        <f>Water!E20</f>
        <v>340</v>
      </c>
      <c r="G19" s="41">
        <f>Water!G20</f>
        <v>299.7</v>
      </c>
      <c r="H19" s="41">
        <f>Water!I20</f>
        <v>4.8600000000000003</v>
      </c>
      <c r="I19" s="41">
        <f>ELECT.!F20</f>
        <v>9699</v>
      </c>
      <c r="J19" s="41">
        <f>ELECT.!H20</f>
        <v>27285</v>
      </c>
      <c r="K19" s="41">
        <f>ELECT.!K20</f>
        <v>6326</v>
      </c>
      <c r="L19" s="41">
        <f>ELECT.!M20</f>
        <v>4586</v>
      </c>
      <c r="M19" s="41">
        <f>ELECT.!O20</f>
        <v>4992</v>
      </c>
      <c r="N19" s="41">
        <f>ELECT.!Q20</f>
        <v>1608</v>
      </c>
      <c r="O19" s="41">
        <f>ELECT.!S20</f>
        <v>6646</v>
      </c>
      <c r="P19" s="41">
        <f>ELECT.!W20*2</f>
        <v>15278</v>
      </c>
      <c r="Q19" s="41">
        <f>ELECT.!D20</f>
        <v>480</v>
      </c>
      <c r="R19" s="42">
        <f>BTU!C20</f>
        <v>2.2009999999972933</v>
      </c>
      <c r="S19" s="42">
        <f>BTU!F20</f>
        <v>0.47900000000026921</v>
      </c>
      <c r="T19" s="42">
        <f>BTU!I20</f>
        <v>4</v>
      </c>
      <c r="U19" s="42">
        <f>BTU!O20</f>
        <v>1.0259999999998399</v>
      </c>
      <c r="V19" s="42">
        <f>BTU!L20</f>
        <v>0.9500000000007276</v>
      </c>
      <c r="W19" s="42" t="str">
        <f>BTU!R20</f>
        <v>0</v>
      </c>
      <c r="X19" s="39">
        <f>ELECT.!B20</f>
        <v>210</v>
      </c>
      <c r="Y19" s="39">
        <f t="shared" si="0"/>
        <v>-2452</v>
      </c>
      <c r="Z19">
        <f>'Mall, Citadel, Rotana'!C20+'Mall, Citadel, Rotana'!E20+'Mall, Citadel, Rotana'!G20+'Mall, Citadel, Rotana'!I20</f>
        <v>1550</v>
      </c>
      <c r="AA19">
        <f>'Mall, Citadel, Rotana'!K20+'Mall, Citadel, Rotana'!M20</f>
        <v>320</v>
      </c>
      <c r="AB19">
        <f>'Mall, Citadel, Rotana'!O20</f>
        <v>93</v>
      </c>
      <c r="AC19">
        <f>'Mall, Citadel, Rotana'!Q20+'Mall, Citadel, Rotana'!S20</f>
        <v>104</v>
      </c>
      <c r="AD19" s="39">
        <f t="shared" si="1"/>
        <v>67.368251999999998</v>
      </c>
      <c r="AE19" s="39">
        <f t="shared" si="2"/>
        <v>443.771748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800</v>
      </c>
      <c r="F20" s="41">
        <f>Water!E21</f>
        <v>390</v>
      </c>
      <c r="G20" s="41">
        <f>Water!G21</f>
        <v>259.2</v>
      </c>
      <c r="H20" s="41">
        <f>Water!I21</f>
        <v>4.806</v>
      </c>
      <c r="I20" s="41">
        <f>ELECT.!F21</f>
        <v>13462</v>
      </c>
      <c r="J20" s="41">
        <f>ELECT.!H21</f>
        <v>40571</v>
      </c>
      <c r="K20" s="41">
        <f>ELECT.!K21</f>
        <v>9084</v>
      </c>
      <c r="L20" s="41">
        <f>ELECT.!M21</f>
        <v>6277</v>
      </c>
      <c r="M20" s="41">
        <f>ELECT.!O21</f>
        <v>7020</v>
      </c>
      <c r="N20" s="41">
        <f>ELECT.!Q21</f>
        <v>2336</v>
      </c>
      <c r="O20" s="41">
        <f>ELECT.!S21</f>
        <v>9960</v>
      </c>
      <c r="P20" s="41">
        <f>ELECT.!W21*2</f>
        <v>22914</v>
      </c>
      <c r="Q20" s="41">
        <f>ELECT.!D21</f>
        <v>480</v>
      </c>
      <c r="R20" s="42">
        <f>BTU!C21</f>
        <v>2.1700000000018917</v>
      </c>
      <c r="S20" s="42">
        <f>BTU!F21</f>
        <v>0.56899999999995998</v>
      </c>
      <c r="T20" s="42">
        <f>BTU!I21</f>
        <v>5</v>
      </c>
      <c r="U20" s="42">
        <f>BTU!O21</f>
        <v>0.87300000000004729</v>
      </c>
      <c r="V20" s="42">
        <f>BTU!L21</f>
        <v>0.40999999999985448</v>
      </c>
      <c r="W20" s="42">
        <f>BTU!R21</f>
        <v>0</v>
      </c>
      <c r="X20" s="39">
        <f>ELECT.!B21</f>
        <v>256</v>
      </c>
      <c r="Y20" s="39">
        <f t="shared" si="0"/>
        <v>-3558</v>
      </c>
      <c r="Z20">
        <f>'Mall, Citadel, Rotana'!C21+'Mall, Citadel, Rotana'!E21+'Mall, Citadel, Rotana'!G21+'Mall, Citadel, Rotana'!I21</f>
        <v>1039</v>
      </c>
      <c r="AA20">
        <f>'Mall, Citadel, Rotana'!K21+'Mall, Citadel, Rotana'!M21</f>
        <v>480</v>
      </c>
      <c r="AB20">
        <f>'Mall, Citadel, Rotana'!O21</f>
        <v>115</v>
      </c>
      <c r="AC20">
        <f>'Mall, Citadel, Rotana'!Q21+'Mall, Citadel, Rotana'!S21</f>
        <v>110</v>
      </c>
      <c r="AD20" s="39">
        <f t="shared" si="1"/>
        <v>79.237369199999989</v>
      </c>
      <c r="AE20" s="39">
        <f t="shared" si="2"/>
        <v>521.95663079999997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700</v>
      </c>
      <c r="F21" s="41">
        <f>Water!E22</f>
        <v>350</v>
      </c>
      <c r="G21" s="41">
        <f>Water!G22</f>
        <v>286.2</v>
      </c>
      <c r="H21" s="41">
        <f>Water!I22</f>
        <v>4.968</v>
      </c>
      <c r="I21" s="41">
        <f>ELECT.!F22</f>
        <v>12497</v>
      </c>
      <c r="J21" s="41">
        <f>ELECT.!H22</f>
        <v>40383</v>
      </c>
      <c r="K21" s="41">
        <f>ELECT.!K22</f>
        <v>9514</v>
      </c>
      <c r="L21" s="41">
        <f>ELECT.!M22</f>
        <v>5508</v>
      </c>
      <c r="M21" s="41">
        <f>ELECT.!O22</f>
        <v>6836</v>
      </c>
      <c r="N21" s="41">
        <f>ELECT.!Q22</f>
        <v>2411</v>
      </c>
      <c r="O21" s="41">
        <f>ELECT.!S22</f>
        <v>9655</v>
      </c>
      <c r="P21" s="41">
        <f>ELECT.!W22*2</f>
        <v>22650</v>
      </c>
      <c r="Q21" s="41">
        <f>ELECT.!D22</f>
        <v>320</v>
      </c>
      <c r="R21" s="42">
        <f>BTU!C22</f>
        <v>2.077000000001135</v>
      </c>
      <c r="S21" s="42">
        <f>BTU!F22</f>
        <v>0.63900000000012369</v>
      </c>
      <c r="T21" s="42">
        <f>BTU!I22</f>
        <v>4</v>
      </c>
      <c r="U21" s="42">
        <f>BTU!O22</f>
        <v>0.87200000000029831</v>
      </c>
      <c r="V21" s="42">
        <f>BTU!L22</f>
        <v>0</v>
      </c>
      <c r="W21" s="42">
        <f>BTU!R22</f>
        <v>0</v>
      </c>
      <c r="X21" s="39">
        <f>ELECT.!B22</f>
        <v>247</v>
      </c>
      <c r="Y21" s="39">
        <f t="shared" si="0"/>
        <v>-3694</v>
      </c>
      <c r="Z21">
        <f>'Mall, Citadel, Rotana'!C22+'Mall, Citadel, Rotana'!E22+'Mall, Citadel, Rotana'!G22+'Mall, Citadel, Rotana'!I22</f>
        <v>1192</v>
      </c>
      <c r="AA21">
        <f>'Mall, Citadel, Rotana'!K22+'Mall, Citadel, Rotana'!M22</f>
        <v>480</v>
      </c>
      <c r="AB21">
        <f>'Mall, Citadel, Rotana'!O22</f>
        <v>122</v>
      </c>
      <c r="AC21">
        <f>'Mall, Citadel, Rotana'!Q22+'Mall, Citadel, Rotana'!S22</f>
        <v>129</v>
      </c>
      <c r="AD21" s="39">
        <f t="shared" si="1"/>
        <v>66.036017600000008</v>
      </c>
      <c r="AE21" s="39">
        <f t="shared" si="2"/>
        <v>434.9959824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720</v>
      </c>
      <c r="F22" s="41">
        <f>Water!E23</f>
        <v>380</v>
      </c>
      <c r="G22" s="41">
        <f>Water!G23</f>
        <v>248.4</v>
      </c>
      <c r="H22" s="41">
        <f>Water!I23</f>
        <v>4.7249999999999996</v>
      </c>
      <c r="I22" s="41">
        <f>ELECT.!F23</f>
        <v>5727</v>
      </c>
      <c r="J22" s="41">
        <f>ELECT.!H23</f>
        <v>29404</v>
      </c>
      <c r="K22" s="41">
        <f>ELECT.!K23</f>
        <v>6900</v>
      </c>
      <c r="L22" s="41">
        <f>ELECT.!M23</f>
        <v>4386</v>
      </c>
      <c r="M22" s="41">
        <f>ELECT.!O23</f>
        <v>1236</v>
      </c>
      <c r="N22" s="41">
        <f>ELECT.!Q23</f>
        <v>3564</v>
      </c>
      <c r="O22" s="41">
        <f>ELECT.!S23</f>
        <v>6549</v>
      </c>
      <c r="P22" s="41">
        <f>ELECT.!W23*2</f>
        <v>15266</v>
      </c>
      <c r="Q22" s="41">
        <f>ELECT.!D23</f>
        <v>480</v>
      </c>
      <c r="R22" s="42">
        <f>BTU!C23</f>
        <v>2.4199999999982538</v>
      </c>
      <c r="S22" s="42">
        <f>BTU!F23</f>
        <v>0.74899999999979627</v>
      </c>
      <c r="T22" s="42">
        <f>BTU!I23</f>
        <v>6</v>
      </c>
      <c r="U22" s="42">
        <f>BTU!O23</f>
        <v>1.1279999999997017</v>
      </c>
      <c r="V22" s="42">
        <f>BTU!L23</f>
        <v>0</v>
      </c>
      <c r="W22" s="42">
        <f>BTU!R23</f>
        <v>0</v>
      </c>
      <c r="X22" s="39">
        <f>ELECT.!B23</f>
        <v>190</v>
      </c>
      <c r="Y22" s="39">
        <f t="shared" si="0"/>
        <v>-2770</v>
      </c>
      <c r="Z22">
        <f>'Mall, Citadel, Rotana'!C23+'Mall, Citadel, Rotana'!E23+'Mall, Citadel, Rotana'!G23+'Mall, Citadel, Rotana'!I23</f>
        <v>1213</v>
      </c>
      <c r="AA22">
        <f>'Mall, Citadel, Rotana'!K23+'Mall, Citadel, Rotana'!M23</f>
        <v>640</v>
      </c>
      <c r="AB22">
        <f>'Mall, Citadel, Rotana'!O23</f>
        <v>113</v>
      </c>
      <c r="AC22">
        <f>'Mall, Citadel, Rotana'!Q23+'Mall, Citadel, Rotana'!S23</f>
        <v>181</v>
      </c>
      <c r="AD22" s="39">
        <f t="shared" si="1"/>
        <v>68.704044999999994</v>
      </c>
      <c r="AE22" s="39">
        <f t="shared" si="2"/>
        <v>452.57095500000003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800</v>
      </c>
      <c r="F23" s="41">
        <f>Water!E24</f>
        <v>410</v>
      </c>
      <c r="G23" s="41">
        <f>Water!G24</f>
        <v>305.10000000000002</v>
      </c>
      <c r="H23" s="41">
        <f>Water!I24</f>
        <v>5.0490000000000004</v>
      </c>
      <c r="I23" s="41">
        <f>ELECT.!F24</f>
        <v>9614</v>
      </c>
      <c r="J23" s="41">
        <f>ELECT.!H24</f>
        <v>51044</v>
      </c>
      <c r="K23" s="41">
        <f>ELECT.!K24</f>
        <v>10960</v>
      </c>
      <c r="L23" s="41">
        <f>ELECT.!M24</f>
        <v>7089</v>
      </c>
      <c r="M23" s="41">
        <f>ELECT.!O24</f>
        <v>2314</v>
      </c>
      <c r="N23" s="41">
        <f>ELECT.!Q24</f>
        <v>7224</v>
      </c>
      <c r="O23" s="41">
        <f>ELECT.!S24</f>
        <v>11553</v>
      </c>
      <c r="P23" s="41">
        <f>ELECT.!W24*2</f>
        <v>25172</v>
      </c>
      <c r="Q23" s="41">
        <f>ELECT.!D24</f>
        <v>320</v>
      </c>
      <c r="R23" s="42">
        <f>BTU!C24</f>
        <v>2.0299999999988358</v>
      </c>
      <c r="S23" s="42">
        <f>BTU!F24</f>
        <v>0.6750000000001819</v>
      </c>
      <c r="T23" s="42">
        <f>BTU!I24</f>
        <v>5</v>
      </c>
      <c r="U23" s="42">
        <f>BTU!O24</f>
        <v>0.6089999999999236</v>
      </c>
      <c r="V23" s="42">
        <f>BTU!L24</f>
        <v>0</v>
      </c>
      <c r="W23" s="42">
        <f>BTU!R24</f>
        <v>0</v>
      </c>
      <c r="X23" s="39">
        <f>ELECT.!B24</f>
        <v>286</v>
      </c>
      <c r="Y23" s="39">
        <f t="shared" si="0"/>
        <v>-3654</v>
      </c>
      <c r="Z23">
        <f>'Mall, Citadel, Rotana'!C24+'Mall, Citadel, Rotana'!E24+'Mall, Citadel, Rotana'!G24+'Mall, Citadel, Rotana'!I24</f>
        <v>1200</v>
      </c>
      <c r="AA23">
        <f>'Mall, Citadel, Rotana'!K24+'Mall, Citadel, Rotana'!M24</f>
        <v>480</v>
      </c>
      <c r="AB23">
        <f>'Mall, Citadel, Rotana'!O24</f>
        <v>120</v>
      </c>
      <c r="AC23">
        <f>'Mall, Citadel, Rotana'!Q24+'Mall, Citadel, Rotana'!S24</f>
        <v>169</v>
      </c>
      <c r="AD23" s="39">
        <f t="shared" si="1"/>
        <v>79.205341799999999</v>
      </c>
      <c r="AE23" s="39">
        <f t="shared" si="2"/>
        <v>521.74565819999998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800</v>
      </c>
      <c r="F24" s="41">
        <f>Water!E25</f>
        <v>410</v>
      </c>
      <c r="G24" s="41">
        <f>Water!G25</f>
        <v>315.89999999999998</v>
      </c>
      <c r="H24" s="41">
        <f>Water!I25</f>
        <v>5.13</v>
      </c>
      <c r="I24" s="41">
        <f>ELECT.!F25</f>
        <v>7965</v>
      </c>
      <c r="J24" s="41">
        <f>ELECT.!H25</f>
        <v>44116</v>
      </c>
      <c r="K24" s="41">
        <f>ELECT.!K25</f>
        <v>9352</v>
      </c>
      <c r="L24" s="41">
        <f>ELECT.!M25</f>
        <v>6067</v>
      </c>
      <c r="M24" s="41">
        <f>ELECT.!O25</f>
        <v>3370</v>
      </c>
      <c r="N24" s="41">
        <f>ELECT.!Q25</f>
        <v>6285</v>
      </c>
      <c r="O24" s="41">
        <f>ELECT.!S25</f>
        <v>9942</v>
      </c>
      <c r="P24" s="41">
        <f>ELECT.!W25*2</f>
        <v>22934</v>
      </c>
      <c r="Q24" s="41">
        <f>ELECT.!D25</f>
        <v>480</v>
      </c>
      <c r="R24" s="42">
        <f>BTU!C25</f>
        <v>1.3950000000004366</v>
      </c>
      <c r="S24" s="42">
        <f>BTU!F25</f>
        <v>0.53299999999990177</v>
      </c>
      <c r="T24" s="42">
        <f>BTU!I25</f>
        <v>3</v>
      </c>
      <c r="U24" s="42">
        <f>BTU!O25</f>
        <v>0.74600000000009459</v>
      </c>
      <c r="V24" s="42">
        <f>BTU!L25</f>
        <v>0</v>
      </c>
      <c r="W24" s="42">
        <f>BTU!R25</f>
        <v>0.10999999999967258</v>
      </c>
      <c r="X24" s="39">
        <f>ELECT.!B25</f>
        <v>180</v>
      </c>
      <c r="Y24" s="39">
        <f t="shared" si="0"/>
        <v>-5869</v>
      </c>
      <c r="Z24">
        <f>'Mall, Citadel, Rotana'!C25+'Mall, Citadel, Rotana'!E25+'Mall, Citadel, Rotana'!G25+'Mall, Citadel, Rotana'!I25</f>
        <v>1382</v>
      </c>
      <c r="AA24">
        <f>'Mall, Citadel, Rotana'!K25+'Mall, Citadel, Rotana'!M25</f>
        <v>800</v>
      </c>
      <c r="AB24">
        <f>'Mall, Citadel, Rotana'!O25</f>
        <v>117</v>
      </c>
      <c r="AC24">
        <f>'Mall, Citadel, Rotana'!Q25+'Mall, Citadel, Rotana'!S25</f>
        <v>131</v>
      </c>
      <c r="AD24" s="39">
        <f t="shared" si="1"/>
        <v>79.194665999999998</v>
      </c>
      <c r="AE24" s="39">
        <f t="shared" si="2"/>
        <v>521.67533400000002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800</v>
      </c>
      <c r="F25" s="41">
        <f>Water!E26</f>
        <v>410</v>
      </c>
      <c r="G25" s="41">
        <f>Water!G26</f>
        <v>315.89999999999998</v>
      </c>
      <c r="H25" s="41">
        <f>Water!I26</f>
        <v>5.13</v>
      </c>
      <c r="I25" s="41">
        <f>ELECT.!F26</f>
        <v>6769</v>
      </c>
      <c r="J25" s="41">
        <f>ELECT.!H26</f>
        <v>37341</v>
      </c>
      <c r="K25" s="41">
        <f>ELECT.!K26</f>
        <v>7000</v>
      </c>
      <c r="L25" s="41">
        <f>ELECT.!M26</f>
        <v>4983</v>
      </c>
      <c r="M25" s="41">
        <f>ELECT.!O26</f>
        <v>116</v>
      </c>
      <c r="N25" s="41">
        <f>ELECT.!Q26</f>
        <v>5789</v>
      </c>
      <c r="O25" s="41">
        <f>ELECT.!S26</f>
        <v>8609</v>
      </c>
      <c r="P25" s="41">
        <f>ELECT.!W26*2</f>
        <v>18716</v>
      </c>
      <c r="Q25" s="41">
        <f>ELECT.!D26</f>
        <v>320</v>
      </c>
      <c r="R25" s="42">
        <f>BTU!C26</f>
        <v>1.989000000001397</v>
      </c>
      <c r="S25" s="42">
        <f>BTU!F26</f>
        <v>0.36200000000008004</v>
      </c>
      <c r="T25" s="42">
        <f>BTU!I26</f>
        <v>4</v>
      </c>
      <c r="U25" s="42">
        <f>BTU!O26</f>
        <v>1.1019999999998618</v>
      </c>
      <c r="V25" s="42">
        <f>BTU!L26</f>
        <v>0</v>
      </c>
      <c r="W25" s="42">
        <f>BTU!R26</f>
        <v>0.4499999999998181</v>
      </c>
      <c r="X25" s="39">
        <f>ELECT.!B26</f>
        <v>190</v>
      </c>
      <c r="Y25" s="39">
        <f t="shared" si="0"/>
        <v>-1103</v>
      </c>
      <c r="Z25">
        <f>'Mall, Citadel, Rotana'!C26+'Mall, Citadel, Rotana'!E26+'Mall, Citadel, Rotana'!G26+'Mall, Citadel, Rotana'!I26</f>
        <v>1219</v>
      </c>
      <c r="AA25">
        <f>'Mall, Citadel, Rotana'!K26+'Mall, Citadel, Rotana'!M26</f>
        <v>0</v>
      </c>
      <c r="AB25">
        <f>'Mall, Citadel, Rotana'!O26</f>
        <v>70</v>
      </c>
      <c r="AC25">
        <f>'Mall, Citadel, Rotana'!Q26+'Mall, Citadel, Rotana'!S26</f>
        <v>0</v>
      </c>
      <c r="AD25" s="39">
        <f t="shared" si="1"/>
        <v>79.194665999999998</v>
      </c>
      <c r="AE25" s="39">
        <f t="shared" si="2"/>
        <v>521.67533400000002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700</v>
      </c>
      <c r="F26" s="41">
        <f>Water!E27</f>
        <v>400</v>
      </c>
      <c r="G26" s="41">
        <f>Water!G27</f>
        <v>261.89999999999998</v>
      </c>
      <c r="H26" s="41">
        <f>Water!I27</f>
        <v>4.266</v>
      </c>
      <c r="I26" s="41">
        <f>ELECT.!F27</f>
        <v>5981</v>
      </c>
      <c r="J26" s="41">
        <f>ELECT.!H27</f>
        <v>36457</v>
      </c>
      <c r="K26" s="41">
        <f>ELECT.!K27</f>
        <v>7430</v>
      </c>
      <c r="L26" s="41">
        <f>ELECT.!M27</f>
        <v>4224</v>
      </c>
      <c r="M26" s="41">
        <f>ELECT.!O27</f>
        <v>1642</v>
      </c>
      <c r="N26" s="41">
        <f>ELECT.!Q27</f>
        <v>5519</v>
      </c>
      <c r="O26" s="41">
        <f>ELECT.!S27</f>
        <v>8594</v>
      </c>
      <c r="P26" s="41">
        <f>ELECT.!W27*2</f>
        <v>17888</v>
      </c>
      <c r="Q26" s="41">
        <f>ELECT.!D27</f>
        <v>480</v>
      </c>
      <c r="R26" s="42">
        <f>BTU!C27</f>
        <v>2.2239999999983411</v>
      </c>
      <c r="S26" s="42">
        <f>BTU!F27</f>
        <v>0.45299999999997453</v>
      </c>
      <c r="T26" s="42">
        <f>BTU!I27</f>
        <v>5</v>
      </c>
      <c r="U26" s="42">
        <f>BTU!O27</f>
        <v>1.2540000000003602</v>
      </c>
      <c r="V26" s="42">
        <f>BTU!L27</f>
        <v>0</v>
      </c>
      <c r="W26" s="42">
        <f>BTU!R27</f>
        <v>0.3000000000001819</v>
      </c>
      <c r="X26" s="39">
        <f>ELECT.!B27</f>
        <v>167</v>
      </c>
      <c r="Y26" s="39">
        <f t="shared" si="0"/>
        <v>-2859</v>
      </c>
      <c r="Z26">
        <f>'Mall, Citadel, Rotana'!C27+'Mall, Citadel, Rotana'!E27+'Mall, Citadel, Rotana'!G27+'Mall, Citadel, Rotana'!I27</f>
        <v>1185</v>
      </c>
      <c r="AA26">
        <f>'Mall, Citadel, Rotana'!K27+'Mall, Citadel, Rotana'!M27</f>
        <v>320</v>
      </c>
      <c r="AB26">
        <f>'Mall, Citadel, Rotana'!O27</f>
        <v>98</v>
      </c>
      <c r="AC26">
        <f>'Mall, Citadel, Rotana'!Q27+'Mall, Citadel, Rotana'!S27</f>
        <v>0</v>
      </c>
      <c r="AD26" s="39">
        <f t="shared" si="1"/>
        <v>66.128541200000001</v>
      </c>
      <c r="AE26" s="39">
        <f t="shared" si="2"/>
        <v>435.60545880000006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800</v>
      </c>
      <c r="F27" s="41">
        <f>Water!E28</f>
        <v>410</v>
      </c>
      <c r="G27" s="41">
        <f>Water!G28</f>
        <v>321.3</v>
      </c>
      <c r="H27" s="41">
        <f>Water!I28</f>
        <v>4.968</v>
      </c>
      <c r="I27" s="41">
        <f>ELECT.!F28</f>
        <v>9162</v>
      </c>
      <c r="J27" s="41">
        <f>ELECT.!H28</f>
        <v>49791</v>
      </c>
      <c r="K27" s="41">
        <f>ELECT.!K28</f>
        <v>10576</v>
      </c>
      <c r="L27" s="41">
        <f>ELECT.!M28</f>
        <v>6733</v>
      </c>
      <c r="M27" s="41">
        <f>ELECT.!O28</f>
        <v>2278</v>
      </c>
      <c r="N27" s="41">
        <f>ELECT.!Q28</f>
        <v>7321</v>
      </c>
      <c r="O27" s="41">
        <f>ELECT.!S28</f>
        <v>11801</v>
      </c>
      <c r="P27" s="41">
        <f>ELECT.!W28*2</f>
        <v>24360</v>
      </c>
      <c r="Q27" s="41">
        <f>ELECT.!D28</f>
        <v>480</v>
      </c>
      <c r="R27" s="42">
        <f>BTU!C28</f>
        <v>2.4580000000023574</v>
      </c>
      <c r="S27" s="42">
        <f>BTU!F28</f>
        <v>0.76199999999971624</v>
      </c>
      <c r="T27" s="42">
        <f>BTU!I28</f>
        <v>5</v>
      </c>
      <c r="U27" s="42">
        <f>BTU!O28</f>
        <v>1.5</v>
      </c>
      <c r="V27" s="42">
        <f>BTU!L28</f>
        <v>0</v>
      </c>
      <c r="W27" s="42">
        <f>BTU!R28</f>
        <v>0.6999999999998181</v>
      </c>
      <c r="X27" s="39">
        <f>ELECT.!B28</f>
        <v>134</v>
      </c>
      <c r="Y27" s="39">
        <f t="shared" si="0"/>
        <v>-4116</v>
      </c>
      <c r="Z27">
        <f>'Mall, Citadel, Rotana'!C28+'Mall, Citadel, Rotana'!E28+'Mall, Citadel, Rotana'!G28+'Mall, Citadel, Rotana'!I28</f>
        <v>1665</v>
      </c>
      <c r="AA27">
        <f>'Mall, Citadel, Rotana'!K28+'Mall, Citadel, Rotana'!M28</f>
        <v>320</v>
      </c>
      <c r="AB27">
        <f>'Mall, Citadel, Rotana'!O28</f>
        <v>98</v>
      </c>
      <c r="AC27">
        <f>'Mall, Citadel, Rotana'!Q28+'Mall, Citadel, Rotana'!S28</f>
        <v>0</v>
      </c>
      <c r="AD27" s="39">
        <f t="shared" si="1"/>
        <v>79.216017600000001</v>
      </c>
      <c r="AE27" s="39">
        <f t="shared" si="2"/>
        <v>521.81598240000005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710</v>
      </c>
      <c r="F28" s="41">
        <f>Water!E29</f>
        <v>370</v>
      </c>
      <c r="G28" s="41">
        <f>Water!G29</f>
        <v>294.3</v>
      </c>
      <c r="H28" s="41">
        <f>Water!I29</f>
        <v>4.59</v>
      </c>
      <c r="I28" s="41">
        <f>ELECT.!F29</f>
        <v>6407</v>
      </c>
      <c r="J28" s="41">
        <f>ELECT.!H29</f>
        <v>34953</v>
      </c>
      <c r="K28" s="41">
        <f>ELECT.!K29</f>
        <v>7974</v>
      </c>
      <c r="L28" s="41">
        <f>ELECT.!M29</f>
        <v>4756</v>
      </c>
      <c r="M28" s="41">
        <f>ELECT.!O29</f>
        <v>1530</v>
      </c>
      <c r="N28" s="41">
        <f>ELECT.!Q29</f>
        <v>5438</v>
      </c>
      <c r="O28" s="41">
        <f>ELECT.!S29</f>
        <v>7967</v>
      </c>
      <c r="P28" s="41">
        <f>ELECT.!W29*2</f>
        <v>16882</v>
      </c>
      <c r="Q28" s="41">
        <f>ELECT.!D29</f>
        <v>640</v>
      </c>
      <c r="R28" s="42">
        <f>BTU!C29</f>
        <v>2.0519999999996799</v>
      </c>
      <c r="S28" s="42">
        <f>BTU!F29</f>
        <v>0.6069999999999709</v>
      </c>
      <c r="T28" s="42">
        <f>BTU!I29</f>
        <v>4</v>
      </c>
      <c r="U28" s="42">
        <f>BTU!O29</f>
        <v>1.2169999999996435</v>
      </c>
      <c r="V28" s="42">
        <f>BTU!L29</f>
        <v>0</v>
      </c>
      <c r="W28" s="42">
        <f>BTU!R29</f>
        <v>0.4499999999998181</v>
      </c>
      <c r="X28" s="39">
        <f>ELECT.!B29</f>
        <v>167</v>
      </c>
      <c r="Y28" s="39">
        <f t="shared" si="0"/>
        <v>-3187</v>
      </c>
      <c r="Z28">
        <f>'Mall, Citadel, Rotana'!C29+'Mall, Citadel, Rotana'!E29+'Mall, Citadel, Rotana'!G29+'Mall, Citadel, Rotana'!I29</f>
        <v>922</v>
      </c>
      <c r="AA28">
        <f>'Mall, Citadel, Rotana'!K29+'Mall, Citadel, Rotana'!M29</f>
        <v>640</v>
      </c>
      <c r="AB28">
        <f>'Mall, Citadel, Rotana'!O29</f>
        <v>154</v>
      </c>
      <c r="AC28">
        <f>'Mall, Citadel, Rotana'!Q29+'Mall, Citadel, Rotana'!S29</f>
        <v>0</v>
      </c>
      <c r="AD28" s="39">
        <f t="shared" si="1"/>
        <v>67.403837999999993</v>
      </c>
      <c r="AE28" s="39">
        <f t="shared" si="2"/>
        <v>444.00616200000002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760</v>
      </c>
      <c r="F29" s="41">
        <f>Water!E30</f>
        <v>400</v>
      </c>
      <c r="G29" s="41">
        <f>Water!G30</f>
        <v>297</v>
      </c>
      <c r="H29" s="41">
        <f>Water!I30</f>
        <v>4.806</v>
      </c>
      <c r="I29" s="41">
        <f>ELECT.!F30</f>
        <v>8966</v>
      </c>
      <c r="J29" s="41">
        <f>ELECT.!H30</f>
        <v>46872</v>
      </c>
      <c r="K29" s="41">
        <f>ELECT.!K30</f>
        <v>10474</v>
      </c>
      <c r="L29" s="41">
        <f>ELECT.!M30</f>
        <v>6655</v>
      </c>
      <c r="M29" s="41">
        <f>ELECT.!O30</f>
        <v>2146</v>
      </c>
      <c r="N29" s="41">
        <f>ELECT.!Q30</f>
        <v>7689</v>
      </c>
      <c r="O29" s="41">
        <f>ELECT.!S30</f>
        <v>10575</v>
      </c>
      <c r="P29" s="41">
        <f>ELECT.!W30*2</f>
        <v>22354</v>
      </c>
      <c r="Q29" s="41">
        <f>ELECT.!D30</f>
        <v>160</v>
      </c>
      <c r="R29" s="42">
        <f>BTU!C30</f>
        <v>2.3159999999988941</v>
      </c>
      <c r="S29" s="42">
        <f>BTU!F30</f>
        <v>0.6590000000001055</v>
      </c>
      <c r="T29" s="42">
        <f>BTU!I30</f>
        <v>4</v>
      </c>
      <c r="U29" s="42">
        <f>BTU!O30</f>
        <v>1.3200000000001637</v>
      </c>
      <c r="V29" s="42">
        <f>BTU!L30</f>
        <v>0</v>
      </c>
      <c r="W29" s="42">
        <f>BTU!R30</f>
        <v>0.27000000000043656</v>
      </c>
      <c r="X29" s="39">
        <f>ELECT.!B30</f>
        <v>270</v>
      </c>
      <c r="Y29" s="39">
        <f t="shared" si="0"/>
        <v>-4055</v>
      </c>
      <c r="Z29">
        <f>'Mall, Citadel, Rotana'!C30+'Mall, Citadel, Rotana'!E30+'Mall, Citadel, Rotana'!G30+'Mall, Citadel, Rotana'!I30</f>
        <v>1194</v>
      </c>
      <c r="AA29">
        <f>'Mall, Citadel, Rotana'!K30+'Mall, Citadel, Rotana'!M30</f>
        <v>640</v>
      </c>
      <c r="AB29">
        <f>'Mall, Citadel, Rotana'!O30</f>
        <v>120</v>
      </c>
      <c r="AC29">
        <f>'Mall, Citadel, Rotana'!Q30+'Mall, Citadel, Rotana'!S30</f>
        <v>0</v>
      </c>
      <c r="AD29" s="39">
        <f t="shared" si="1"/>
        <v>73.965369199999998</v>
      </c>
      <c r="AE29" s="39">
        <f t="shared" si="2"/>
        <v>487.22863080000002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790</v>
      </c>
      <c r="F30" s="41">
        <f>Water!E31</f>
        <v>450</v>
      </c>
      <c r="G30" s="41">
        <f>Water!E31</f>
        <v>450</v>
      </c>
      <c r="H30" s="41">
        <f>Water!I31</f>
        <v>4.9950000000000001</v>
      </c>
      <c r="I30" s="41">
        <f>Water!G31</f>
        <v>372.6</v>
      </c>
      <c r="J30" s="41">
        <f>ELECT.!H31</f>
        <v>27725</v>
      </c>
      <c r="K30" s="41">
        <f>Water!I31</f>
        <v>4.9950000000000001</v>
      </c>
      <c r="L30" s="41">
        <f>Water!J31</f>
        <v>1617.5949999999998</v>
      </c>
      <c r="M30" s="41">
        <f>Water!K31</f>
        <v>9479.1066999999985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2.282999999999447</v>
      </c>
      <c r="S30" s="42">
        <f>BTU!F31</f>
        <v>0.60199999999986176</v>
      </c>
      <c r="T30" s="42">
        <f>BTU!I31</f>
        <v>5</v>
      </c>
      <c r="U30" s="42">
        <f>BTU!O31</f>
        <v>1.1709999999998217</v>
      </c>
      <c r="V30" s="42">
        <f>BTU!L31</f>
        <v>0</v>
      </c>
      <c r="W30" s="42">
        <f>BTU!R31</f>
        <v>0.3499999999994543</v>
      </c>
      <c r="X30" s="39">
        <f>ELECT.!B31</f>
        <v>269</v>
      </c>
      <c r="Y30" s="39">
        <f t="shared" si="0"/>
        <v>16995.903299999998</v>
      </c>
      <c r="Z30">
        <f>'Mall, Citadel, Rotana'!C31+'Mall, Citadel, Rotana'!E31+'Mall, Citadel, Rotana'!G31+'Mall, Citadel, Rotana'!I31</f>
        <v>1352</v>
      </c>
      <c r="AA30">
        <f>'Mall, Citadel, Rotana'!K31+'Mall, Citadel, Rotana'!M31</f>
        <v>160</v>
      </c>
      <c r="AB30">
        <f>'Mall, Citadel, Rotana'!O31</f>
        <v>116</v>
      </c>
      <c r="AC30">
        <f>'Mall, Citadel, Rotana'!Q31+'Mall, Citadel, Rotana'!S31</f>
        <v>0</v>
      </c>
      <c r="AD30" s="39">
        <f t="shared" si="1"/>
        <v>77.894458999999998</v>
      </c>
      <c r="AE30" s="39">
        <f t="shared" si="2"/>
        <v>513.11054100000001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790</v>
      </c>
      <c r="F31" s="41">
        <f>Water!E32</f>
        <v>450</v>
      </c>
      <c r="G31" s="41">
        <f>Water!E32</f>
        <v>450</v>
      </c>
      <c r="H31" s="41">
        <f>Water!I32</f>
        <v>4.9950000000000001</v>
      </c>
      <c r="I31" s="41">
        <f>Water!G32</f>
        <v>494.1</v>
      </c>
      <c r="J31" s="41">
        <f>ELECT.!H32</f>
        <v>44505</v>
      </c>
      <c r="K31" s="41">
        <f>Water!I32</f>
        <v>4.9950000000000001</v>
      </c>
      <c r="L31" s="41">
        <f>Water!J32</f>
        <v>1739.0949999999998</v>
      </c>
      <c r="M31" s="41">
        <f>Water!K32</f>
        <v>10191.0967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2.1779999999998836</v>
      </c>
      <c r="S31" s="42">
        <f>BTU!F32</f>
        <v>0.66499999999996362</v>
      </c>
      <c r="T31" s="42">
        <f>BTU!I32</f>
        <v>4</v>
      </c>
      <c r="U31" s="42">
        <f>BTU!O32</f>
        <v>0.96300000000019281</v>
      </c>
      <c r="V31" s="42">
        <f>BTU!L32</f>
        <v>0</v>
      </c>
      <c r="W31" s="42">
        <f>BTU!R32</f>
        <v>0.5</v>
      </c>
      <c r="X31" s="39">
        <f>ELECT.!B32</f>
        <v>254</v>
      </c>
      <c r="Y31" s="39">
        <f t="shared" si="0"/>
        <v>33063.9133</v>
      </c>
      <c r="Z31">
        <f>'Mall, Citadel, Rotana'!C32+'Mall, Citadel, Rotana'!E32+'Mall, Citadel, Rotana'!G32+'Mall, Citadel, Rotana'!I32</f>
        <v>1400</v>
      </c>
      <c r="AA31">
        <f>'Mall, Citadel, Rotana'!K32+'Mall, Citadel, Rotana'!M32</f>
        <v>800</v>
      </c>
      <c r="AB31">
        <f>'Mall, Citadel, Rotana'!O32</f>
        <v>120</v>
      </c>
      <c r="AC31">
        <f>'Mall, Citadel, Rotana'!Q32+'Mall, Citadel, Rotana'!S32</f>
        <v>662</v>
      </c>
      <c r="AD31" s="39">
        <f t="shared" si="1"/>
        <v>77.894458999999998</v>
      </c>
      <c r="AE31" s="39">
        <f t="shared" si="2"/>
        <v>513.11054100000001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780</v>
      </c>
      <c r="F32" s="41">
        <f>Water!E33</f>
        <v>280</v>
      </c>
      <c r="G32" s="41">
        <f>Water!E33</f>
        <v>280</v>
      </c>
      <c r="H32" s="41">
        <f>Water!I33</f>
        <v>3.2130000000000001</v>
      </c>
      <c r="I32" s="41">
        <f>Water!G33</f>
        <v>156.6</v>
      </c>
      <c r="J32" s="41">
        <f>ELECT.!H33</f>
        <v>33879</v>
      </c>
      <c r="K32" s="41">
        <f>Water!I33</f>
        <v>3.2130000000000001</v>
      </c>
      <c r="L32" s="41">
        <f>Water!J33</f>
        <v>1219.8129999999999</v>
      </c>
      <c r="M32" s="41">
        <f>Water!K33</f>
        <v>7148.1041799999994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1.5040000000008149</v>
      </c>
      <c r="S32" s="147">
        <f>BTU!F33</f>
        <v>0.25600000000031287</v>
      </c>
      <c r="T32" s="147">
        <f>BTU!I33</f>
        <v>3</v>
      </c>
      <c r="U32" s="147">
        <f>BTU!O33</f>
        <v>0.61400000000003274</v>
      </c>
      <c r="V32" s="147">
        <f>BTU!L33</f>
        <v>0</v>
      </c>
      <c r="W32" s="147">
        <f>BTU!R33</f>
        <v>0.25</v>
      </c>
      <c r="X32" s="39">
        <f>ELECT.!B33</f>
        <v>286</v>
      </c>
      <c r="Y32" s="39">
        <f t="shared" ref="Y32" si="4">I32+J32-(K32+L32+M32+N32+O32+P32)</f>
        <v>25664.469819999998</v>
      </c>
      <c r="Z32">
        <f>'Mall, Citadel, Rotana'!C33+'Mall, Citadel, Rotana'!E33+'Mall, Citadel, Rotana'!G33+'Mall, Citadel, Rotana'!I33</f>
        <v>1523</v>
      </c>
      <c r="AA32">
        <f>'Mall, Citadel, Rotana'!K33+'Mall, Citadel, Rotana'!M33</f>
        <v>320</v>
      </c>
      <c r="AB32">
        <f>'Mall, Citadel, Rotana'!O33</f>
        <v>96</v>
      </c>
      <c r="AC32">
        <f>'Mall, Citadel, Rotana'!Q33+'Mall, Citadel, Rotana'!S33</f>
        <v>0</v>
      </c>
      <c r="AD32" s="39">
        <f t="shared" ref="AD32" si="5">(E32-H32-194)*0.1318</f>
        <v>76.811326600000001</v>
      </c>
      <c r="AE32" s="39">
        <f t="shared" ref="AE32" si="6">E32-H32-AD32-194</f>
        <v>505.97567340000001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T33" sqref="T33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v>46329</v>
      </c>
      <c r="C14" s="16">
        <f t="shared" si="0"/>
        <v>640</v>
      </c>
      <c r="D14" s="36">
        <v>40118</v>
      </c>
      <c r="E14" s="16">
        <f t="shared" si="1"/>
        <v>480</v>
      </c>
      <c r="F14" s="36">
        <v>21097</v>
      </c>
      <c r="G14" s="16">
        <f t="shared" si="2"/>
        <v>60</v>
      </c>
      <c r="H14" s="36">
        <v>252717</v>
      </c>
      <c r="I14" s="16">
        <f t="shared" si="3"/>
        <v>15</v>
      </c>
      <c r="J14" s="36">
        <v>303517</v>
      </c>
      <c r="K14" s="16">
        <v>0</v>
      </c>
      <c r="L14" s="36">
        <v>25672</v>
      </c>
      <c r="M14" s="16">
        <f t="shared" si="4"/>
        <v>480</v>
      </c>
      <c r="N14" s="36">
        <v>216662</v>
      </c>
      <c r="O14" s="16">
        <f t="shared" si="5"/>
        <v>125</v>
      </c>
      <c r="P14" s="36">
        <f t="shared" si="9"/>
        <v>133974</v>
      </c>
      <c r="Q14" s="16">
        <f t="shared" si="6"/>
        <v>0</v>
      </c>
      <c r="R14" s="1">
        <f t="shared" ref="R14:R27" si="10">R13</f>
        <v>55047</v>
      </c>
      <c r="S14" s="16">
        <v>0</v>
      </c>
      <c r="T14" s="36">
        <v>3869</v>
      </c>
      <c r="U14" s="16">
        <f t="shared" si="8"/>
        <v>160</v>
      </c>
    </row>
    <row r="15" spans="1:24" ht="13.5" thickBot="1" x14ac:dyDescent="0.25">
      <c r="A15" s="10">
        <v>44543</v>
      </c>
      <c r="B15" s="36">
        <v>46334</v>
      </c>
      <c r="C15" s="16">
        <f t="shared" si="0"/>
        <v>800</v>
      </c>
      <c r="D15" s="36">
        <v>40121</v>
      </c>
      <c r="E15" s="16">
        <f t="shared" si="1"/>
        <v>480</v>
      </c>
      <c r="F15" s="36">
        <v>21101</v>
      </c>
      <c r="G15" s="16">
        <f t="shared" ref="G15" si="11">(F15-F14)*100/5</f>
        <v>80</v>
      </c>
      <c r="H15" s="36">
        <v>252736</v>
      </c>
      <c r="I15" s="16">
        <f t="shared" ref="I15" si="12">(H15-H14)</f>
        <v>19</v>
      </c>
      <c r="J15" s="36">
        <v>303517</v>
      </c>
      <c r="K15" s="16">
        <v>0</v>
      </c>
      <c r="L15" s="36">
        <v>25676</v>
      </c>
      <c r="M15" s="16">
        <f t="shared" ref="M15" si="13">(L15-L14)*800/5</f>
        <v>640</v>
      </c>
      <c r="N15" s="36">
        <v>216783</v>
      </c>
      <c r="O15" s="16">
        <f t="shared" ref="O15" si="14">N15-N14</f>
        <v>121</v>
      </c>
      <c r="P15" s="36">
        <v>134280</v>
      </c>
      <c r="Q15" s="16">
        <f t="shared" ref="Q15" si="15">P15-P14</f>
        <v>306</v>
      </c>
      <c r="R15" s="1">
        <f t="shared" si="10"/>
        <v>55047</v>
      </c>
      <c r="S15" s="16">
        <v>0</v>
      </c>
      <c r="T15" s="36">
        <v>3871</v>
      </c>
      <c r="U15" s="16">
        <f t="shared" ref="U15" si="16">(T15-T14)*800/5</f>
        <v>320</v>
      </c>
      <c r="X15" t="s">
        <v>12</v>
      </c>
    </row>
    <row r="16" spans="1:24" ht="13.5" thickBot="1" x14ac:dyDescent="0.25">
      <c r="A16" s="10">
        <v>44544</v>
      </c>
      <c r="B16" s="36">
        <v>46339</v>
      </c>
      <c r="C16" s="16">
        <f t="shared" si="0"/>
        <v>800</v>
      </c>
      <c r="D16" s="36">
        <v>40124</v>
      </c>
      <c r="E16" s="16">
        <f t="shared" si="1"/>
        <v>480</v>
      </c>
      <c r="F16" s="36">
        <v>21104</v>
      </c>
      <c r="G16" s="16">
        <f t="shared" si="2"/>
        <v>60</v>
      </c>
      <c r="H16" s="36">
        <v>252750</v>
      </c>
      <c r="I16" s="16">
        <f t="shared" si="3"/>
        <v>14</v>
      </c>
      <c r="J16" s="36">
        <v>303517</v>
      </c>
      <c r="K16" s="16">
        <v>0</v>
      </c>
      <c r="L16" s="36">
        <v>25679</v>
      </c>
      <c r="M16" s="16">
        <f t="shared" si="4"/>
        <v>480</v>
      </c>
      <c r="N16" s="36">
        <v>216918</v>
      </c>
      <c r="O16" s="16">
        <f t="shared" si="5"/>
        <v>135</v>
      </c>
      <c r="P16" s="36">
        <v>134407</v>
      </c>
      <c r="Q16" s="16">
        <f t="shared" si="6"/>
        <v>127</v>
      </c>
      <c r="R16" s="1">
        <v>55047</v>
      </c>
      <c r="S16" s="16">
        <f t="shared" si="7"/>
        <v>0</v>
      </c>
      <c r="T16" s="36">
        <v>3872</v>
      </c>
      <c r="U16" s="16">
        <f t="shared" si="8"/>
        <v>160</v>
      </c>
      <c r="W16" t="s">
        <v>12</v>
      </c>
    </row>
    <row r="17" spans="1:23" ht="13.5" thickBot="1" x14ac:dyDescent="0.25">
      <c r="A17" s="10">
        <v>44545</v>
      </c>
      <c r="B17" s="36">
        <v>46342</v>
      </c>
      <c r="C17" s="16">
        <f t="shared" si="0"/>
        <v>480</v>
      </c>
      <c r="D17" s="36">
        <v>40127</v>
      </c>
      <c r="E17" s="16">
        <f t="shared" si="1"/>
        <v>480</v>
      </c>
      <c r="F17" s="36">
        <v>21108</v>
      </c>
      <c r="G17" s="16">
        <f t="shared" si="2"/>
        <v>80</v>
      </c>
      <c r="H17" s="36">
        <v>252784</v>
      </c>
      <c r="I17" s="16">
        <f t="shared" si="3"/>
        <v>34</v>
      </c>
      <c r="J17" s="36">
        <v>303517</v>
      </c>
      <c r="K17" s="16">
        <v>0</v>
      </c>
      <c r="L17" s="36">
        <v>25682</v>
      </c>
      <c r="M17" s="16">
        <f t="shared" si="4"/>
        <v>480</v>
      </c>
      <c r="N17" s="36">
        <v>217039</v>
      </c>
      <c r="O17" s="16">
        <f t="shared" si="5"/>
        <v>121</v>
      </c>
      <c r="P17" s="36">
        <v>134523</v>
      </c>
      <c r="Q17" s="16">
        <f t="shared" si="6"/>
        <v>116</v>
      </c>
      <c r="R17" s="1">
        <f t="shared" si="10"/>
        <v>55047</v>
      </c>
      <c r="S17" s="16">
        <f>S16</f>
        <v>0</v>
      </c>
      <c r="T17" s="36">
        <v>3873</v>
      </c>
      <c r="U17" s="16">
        <f t="shared" si="8"/>
        <v>160</v>
      </c>
    </row>
    <row r="18" spans="1:23" ht="13.5" thickBot="1" x14ac:dyDescent="0.25">
      <c r="A18" s="10">
        <v>44546</v>
      </c>
      <c r="B18" s="36">
        <v>46345</v>
      </c>
      <c r="C18" s="16">
        <f t="shared" si="0"/>
        <v>480</v>
      </c>
      <c r="D18" s="36">
        <v>40130</v>
      </c>
      <c r="E18" s="16">
        <f t="shared" si="1"/>
        <v>480</v>
      </c>
      <c r="F18" s="36">
        <v>21113</v>
      </c>
      <c r="G18" s="16">
        <f t="shared" si="2"/>
        <v>100</v>
      </c>
      <c r="H18" s="36">
        <v>252819</v>
      </c>
      <c r="I18" s="16">
        <f t="shared" si="3"/>
        <v>35</v>
      </c>
      <c r="J18" s="36">
        <v>303517</v>
      </c>
      <c r="K18" s="16">
        <v>0</v>
      </c>
      <c r="L18" s="36">
        <v>25685</v>
      </c>
      <c r="M18" s="16">
        <f t="shared" si="4"/>
        <v>480</v>
      </c>
      <c r="N18" s="36">
        <v>217157</v>
      </c>
      <c r="O18" s="16">
        <f t="shared" si="5"/>
        <v>118</v>
      </c>
      <c r="P18" s="36">
        <v>134651</v>
      </c>
      <c r="Q18" s="16">
        <f t="shared" si="6"/>
        <v>128</v>
      </c>
      <c r="R18" s="1">
        <f t="shared" si="10"/>
        <v>55047</v>
      </c>
      <c r="S18" s="16">
        <f t="shared" si="7"/>
        <v>0</v>
      </c>
      <c r="T18" s="36">
        <v>3874</v>
      </c>
      <c r="U18" s="16">
        <f t="shared" si="8"/>
        <v>160</v>
      </c>
    </row>
    <row r="19" spans="1:23" ht="13.5" thickBot="1" x14ac:dyDescent="0.25">
      <c r="A19" s="10">
        <v>44547</v>
      </c>
      <c r="B19" s="36">
        <v>46352</v>
      </c>
      <c r="C19" s="16">
        <f t="shared" si="0"/>
        <v>1120</v>
      </c>
      <c r="D19" s="36">
        <v>40131</v>
      </c>
      <c r="E19" s="16">
        <f t="shared" si="1"/>
        <v>160</v>
      </c>
      <c r="F19" s="36">
        <v>21115</v>
      </c>
      <c r="G19" s="16">
        <f t="shared" si="2"/>
        <v>40</v>
      </c>
      <c r="H19" s="36">
        <v>252841</v>
      </c>
      <c r="I19" s="16">
        <f t="shared" si="3"/>
        <v>22</v>
      </c>
      <c r="J19" s="36">
        <v>303517</v>
      </c>
      <c r="K19" s="16">
        <v>0</v>
      </c>
      <c r="L19" s="36">
        <v>25688</v>
      </c>
      <c r="M19" s="16">
        <f t="shared" si="4"/>
        <v>480</v>
      </c>
      <c r="N19" s="36">
        <v>217255</v>
      </c>
      <c r="O19" s="16">
        <f t="shared" si="5"/>
        <v>98</v>
      </c>
      <c r="P19" s="36">
        <v>134777</v>
      </c>
      <c r="Q19" s="16">
        <f t="shared" si="6"/>
        <v>126</v>
      </c>
      <c r="R19" s="1">
        <v>55047</v>
      </c>
      <c r="S19" s="16">
        <f t="shared" si="7"/>
        <v>0</v>
      </c>
      <c r="T19" s="36">
        <v>3875</v>
      </c>
      <c r="U19" s="16">
        <f t="shared" si="8"/>
        <v>160</v>
      </c>
      <c r="W19" t="s">
        <v>12</v>
      </c>
    </row>
    <row r="20" spans="1:23" ht="13.5" thickBot="1" x14ac:dyDescent="0.25">
      <c r="A20" s="10">
        <v>44548</v>
      </c>
      <c r="B20" s="36">
        <v>46358</v>
      </c>
      <c r="C20" s="16">
        <f t="shared" si="0"/>
        <v>960</v>
      </c>
      <c r="D20" s="36">
        <v>40134</v>
      </c>
      <c r="E20" s="16">
        <f t="shared" si="1"/>
        <v>480</v>
      </c>
      <c r="F20" s="36">
        <v>21119</v>
      </c>
      <c r="G20" s="16">
        <f t="shared" si="2"/>
        <v>80</v>
      </c>
      <c r="H20" s="36">
        <v>252871</v>
      </c>
      <c r="I20" s="16">
        <f t="shared" si="3"/>
        <v>30</v>
      </c>
      <c r="J20" s="36">
        <v>303517</v>
      </c>
      <c r="K20" s="16">
        <v>0</v>
      </c>
      <c r="L20" s="36">
        <v>25690</v>
      </c>
      <c r="M20" s="16">
        <f t="shared" si="4"/>
        <v>320</v>
      </c>
      <c r="N20" s="36">
        <v>217348</v>
      </c>
      <c r="O20" s="16">
        <f t="shared" si="5"/>
        <v>93</v>
      </c>
      <c r="P20" s="36">
        <v>134881</v>
      </c>
      <c r="Q20" s="16">
        <f>P20-P19</f>
        <v>104</v>
      </c>
      <c r="R20" s="1">
        <v>55047</v>
      </c>
      <c r="S20" s="16">
        <f t="shared" si="7"/>
        <v>0</v>
      </c>
      <c r="T20" s="36">
        <v>3876</v>
      </c>
      <c r="U20" s="16">
        <f t="shared" si="8"/>
        <v>160</v>
      </c>
    </row>
    <row r="21" spans="1:23" ht="13.5" thickBot="1" x14ac:dyDescent="0.25">
      <c r="A21" s="10">
        <v>44549</v>
      </c>
      <c r="B21" s="36">
        <v>46362</v>
      </c>
      <c r="C21" s="16">
        <f t="shared" si="0"/>
        <v>640</v>
      </c>
      <c r="D21" s="36">
        <v>40136</v>
      </c>
      <c r="E21" s="16">
        <f t="shared" si="1"/>
        <v>320</v>
      </c>
      <c r="F21" s="36">
        <v>21122</v>
      </c>
      <c r="G21" s="16">
        <f t="shared" si="2"/>
        <v>60</v>
      </c>
      <c r="H21" s="36">
        <v>252890</v>
      </c>
      <c r="I21" s="16">
        <f t="shared" si="3"/>
        <v>19</v>
      </c>
      <c r="J21" s="36">
        <v>303517</v>
      </c>
      <c r="K21" s="16">
        <v>0</v>
      </c>
      <c r="L21" s="36">
        <v>25693</v>
      </c>
      <c r="M21" s="16">
        <f t="shared" si="4"/>
        <v>480</v>
      </c>
      <c r="N21" s="36">
        <v>217463</v>
      </c>
      <c r="O21" s="16">
        <f t="shared" si="5"/>
        <v>115</v>
      </c>
      <c r="P21" s="36">
        <v>134991</v>
      </c>
      <c r="Q21" s="16">
        <f t="shared" si="6"/>
        <v>110</v>
      </c>
      <c r="R21" s="1">
        <v>55047</v>
      </c>
      <c r="S21" s="16">
        <f t="shared" si="7"/>
        <v>0</v>
      </c>
      <c r="T21" s="36">
        <v>3877</v>
      </c>
      <c r="U21" s="16">
        <f t="shared" si="8"/>
        <v>160</v>
      </c>
    </row>
    <row r="22" spans="1:23" ht="13.5" thickBot="1" x14ac:dyDescent="0.25">
      <c r="A22" s="10">
        <v>44550</v>
      </c>
      <c r="B22" s="36">
        <v>46367</v>
      </c>
      <c r="C22" s="16">
        <f t="shared" si="0"/>
        <v>800</v>
      </c>
      <c r="D22" s="36">
        <v>40138</v>
      </c>
      <c r="E22" s="16">
        <f t="shared" si="1"/>
        <v>320</v>
      </c>
      <c r="F22" s="36">
        <v>21125</v>
      </c>
      <c r="G22" s="16">
        <f t="shared" si="2"/>
        <v>60</v>
      </c>
      <c r="H22" s="36">
        <v>252902</v>
      </c>
      <c r="I22" s="16">
        <f t="shared" si="3"/>
        <v>12</v>
      </c>
      <c r="J22" s="36">
        <v>303517</v>
      </c>
      <c r="K22" s="16">
        <v>0</v>
      </c>
      <c r="L22" s="36">
        <v>25696</v>
      </c>
      <c r="M22" s="16">
        <f t="shared" si="4"/>
        <v>480</v>
      </c>
      <c r="N22" s="36">
        <v>217585</v>
      </c>
      <c r="O22" s="16">
        <f t="shared" si="5"/>
        <v>122</v>
      </c>
      <c r="P22" s="36">
        <v>135120</v>
      </c>
      <c r="Q22" s="16">
        <f>P22-P21</f>
        <v>129</v>
      </c>
      <c r="R22" s="1">
        <v>55047</v>
      </c>
      <c r="S22" s="16">
        <f t="shared" si="7"/>
        <v>0</v>
      </c>
      <c r="T22" s="36">
        <v>3878</v>
      </c>
      <c r="U22" s="16">
        <f t="shared" si="8"/>
        <v>160</v>
      </c>
    </row>
    <row r="23" spans="1:23" ht="13.5" thickBot="1" x14ac:dyDescent="0.25">
      <c r="A23" s="10">
        <v>44551</v>
      </c>
      <c r="B23" s="36">
        <v>46371</v>
      </c>
      <c r="C23" s="16">
        <f t="shared" si="0"/>
        <v>640</v>
      </c>
      <c r="D23" s="36">
        <v>40141</v>
      </c>
      <c r="E23" s="16">
        <f t="shared" si="1"/>
        <v>480</v>
      </c>
      <c r="F23" s="36">
        <v>21129</v>
      </c>
      <c r="G23" s="16">
        <f t="shared" si="2"/>
        <v>80</v>
      </c>
      <c r="H23" s="36">
        <v>252915</v>
      </c>
      <c r="I23" s="16">
        <f t="shared" si="3"/>
        <v>13</v>
      </c>
      <c r="J23" s="36">
        <v>303517</v>
      </c>
      <c r="K23" s="16">
        <v>0</v>
      </c>
      <c r="L23" s="36">
        <v>25700</v>
      </c>
      <c r="M23" s="16">
        <f t="shared" si="4"/>
        <v>640</v>
      </c>
      <c r="N23" s="36">
        <v>217698</v>
      </c>
      <c r="O23" s="16">
        <f t="shared" si="5"/>
        <v>113</v>
      </c>
      <c r="P23" s="36">
        <v>135301</v>
      </c>
      <c r="Q23" s="16">
        <f t="shared" si="6"/>
        <v>181</v>
      </c>
      <c r="R23" s="1">
        <v>55047</v>
      </c>
      <c r="S23" s="16">
        <f t="shared" si="7"/>
        <v>0</v>
      </c>
      <c r="T23" s="36">
        <v>3879</v>
      </c>
      <c r="U23" s="16">
        <f t="shared" si="8"/>
        <v>160</v>
      </c>
    </row>
    <row r="24" spans="1:23" s="136" customFormat="1" ht="13.5" thickBot="1" x14ac:dyDescent="0.25">
      <c r="A24" s="10">
        <v>44552</v>
      </c>
      <c r="B24" s="36">
        <v>46376</v>
      </c>
      <c r="C24" s="16">
        <f t="shared" si="0"/>
        <v>800</v>
      </c>
      <c r="D24" s="36">
        <v>40143</v>
      </c>
      <c r="E24" s="16">
        <f t="shared" si="1"/>
        <v>320</v>
      </c>
      <c r="F24" s="36">
        <v>21132</v>
      </c>
      <c r="G24" s="16">
        <f t="shared" si="2"/>
        <v>60</v>
      </c>
      <c r="H24" s="36">
        <v>252935</v>
      </c>
      <c r="I24" s="16">
        <f t="shared" si="3"/>
        <v>20</v>
      </c>
      <c r="J24" s="36">
        <v>303517</v>
      </c>
      <c r="K24" s="16">
        <v>0</v>
      </c>
      <c r="L24" s="36">
        <v>25703</v>
      </c>
      <c r="M24" s="16">
        <f t="shared" si="4"/>
        <v>480</v>
      </c>
      <c r="N24" s="36">
        <v>217818</v>
      </c>
      <c r="O24" s="16">
        <f t="shared" si="5"/>
        <v>120</v>
      </c>
      <c r="P24" s="36">
        <v>135470</v>
      </c>
      <c r="Q24" s="16">
        <f t="shared" si="6"/>
        <v>169</v>
      </c>
      <c r="R24" s="1">
        <v>55047</v>
      </c>
      <c r="S24" s="16">
        <f t="shared" si="7"/>
        <v>0</v>
      </c>
      <c r="T24" s="36">
        <v>3879</v>
      </c>
      <c r="U24" s="16">
        <f t="shared" si="8"/>
        <v>0</v>
      </c>
    </row>
    <row r="25" spans="1:23" ht="13.5" thickBot="1" x14ac:dyDescent="0.25">
      <c r="A25" s="10">
        <v>44553</v>
      </c>
      <c r="B25" s="36">
        <v>46381</v>
      </c>
      <c r="C25" s="16">
        <f t="shared" si="0"/>
        <v>800</v>
      </c>
      <c r="D25" s="36">
        <v>40146</v>
      </c>
      <c r="E25" s="16">
        <f t="shared" si="1"/>
        <v>480</v>
      </c>
      <c r="F25" s="36">
        <v>21136</v>
      </c>
      <c r="G25" s="16">
        <f t="shared" si="2"/>
        <v>80</v>
      </c>
      <c r="H25" s="36">
        <v>252957</v>
      </c>
      <c r="I25" s="16">
        <f t="shared" si="3"/>
        <v>22</v>
      </c>
      <c r="J25" s="36">
        <v>303517</v>
      </c>
      <c r="K25" s="16">
        <v>0</v>
      </c>
      <c r="L25" s="36">
        <v>25708</v>
      </c>
      <c r="M25" s="16">
        <f t="shared" si="4"/>
        <v>800</v>
      </c>
      <c r="N25" s="36">
        <v>217935</v>
      </c>
      <c r="O25" s="16">
        <f t="shared" si="5"/>
        <v>117</v>
      </c>
      <c r="P25" s="36">
        <v>135601</v>
      </c>
      <c r="Q25" s="16">
        <f t="shared" si="6"/>
        <v>131</v>
      </c>
      <c r="R25" s="1">
        <v>55047</v>
      </c>
      <c r="S25" s="16">
        <f t="shared" si="7"/>
        <v>0</v>
      </c>
      <c r="T25" s="36">
        <f t="shared" ref="T25:T33" si="17">T24</f>
        <v>3879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v>46387</v>
      </c>
      <c r="C26" s="16">
        <f t="shared" si="0"/>
        <v>960</v>
      </c>
      <c r="D26" s="36">
        <v>40147</v>
      </c>
      <c r="E26" s="16">
        <f t="shared" si="1"/>
        <v>160</v>
      </c>
      <c r="F26" s="36">
        <v>21140</v>
      </c>
      <c r="G26" s="16">
        <f t="shared" si="2"/>
        <v>80</v>
      </c>
      <c r="H26" s="36">
        <v>252976</v>
      </c>
      <c r="I26" s="16">
        <f t="shared" si="3"/>
        <v>19</v>
      </c>
      <c r="J26" s="36">
        <v>303517</v>
      </c>
      <c r="K26" s="16">
        <v>0</v>
      </c>
      <c r="L26" s="36">
        <f t="shared" ref="L26:L33" si="18">L25</f>
        <v>25708</v>
      </c>
      <c r="M26" s="16">
        <f t="shared" si="4"/>
        <v>0</v>
      </c>
      <c r="N26" s="36">
        <v>218005</v>
      </c>
      <c r="O26" s="16">
        <f t="shared" si="5"/>
        <v>70</v>
      </c>
      <c r="P26" s="36">
        <f t="shared" si="9"/>
        <v>135601</v>
      </c>
      <c r="Q26" s="16">
        <f t="shared" si="6"/>
        <v>0</v>
      </c>
      <c r="R26" s="1">
        <v>55047</v>
      </c>
      <c r="S26" s="16">
        <f t="shared" si="7"/>
        <v>0</v>
      </c>
      <c r="T26" s="36">
        <v>3882</v>
      </c>
      <c r="U26" s="16">
        <f t="shared" si="8"/>
        <v>480</v>
      </c>
      <c r="W26" t="s">
        <v>12</v>
      </c>
    </row>
    <row r="27" spans="1:23" ht="13.5" thickBot="1" x14ac:dyDescent="0.25">
      <c r="A27" s="10">
        <v>44555</v>
      </c>
      <c r="B27" s="36">
        <v>46390</v>
      </c>
      <c r="C27" s="16">
        <f t="shared" si="0"/>
        <v>480</v>
      </c>
      <c r="D27" s="36">
        <v>40151</v>
      </c>
      <c r="E27" s="16">
        <f t="shared" si="1"/>
        <v>640</v>
      </c>
      <c r="F27" s="36">
        <v>21142</v>
      </c>
      <c r="G27" s="16">
        <f t="shared" si="2"/>
        <v>40</v>
      </c>
      <c r="H27" s="36">
        <v>253001</v>
      </c>
      <c r="I27" s="16">
        <f t="shared" si="3"/>
        <v>25</v>
      </c>
      <c r="J27" s="36">
        <v>303517</v>
      </c>
      <c r="K27" s="16">
        <v>0</v>
      </c>
      <c r="L27" s="36">
        <v>25710</v>
      </c>
      <c r="M27" s="16">
        <f t="shared" si="4"/>
        <v>320</v>
      </c>
      <c r="N27" s="36">
        <v>218103</v>
      </c>
      <c r="O27" s="16">
        <f t="shared" si="5"/>
        <v>98</v>
      </c>
      <c r="P27" s="36">
        <f t="shared" si="9"/>
        <v>135601</v>
      </c>
      <c r="Q27" s="16">
        <f t="shared" si="6"/>
        <v>0</v>
      </c>
      <c r="R27" s="1">
        <f t="shared" si="10"/>
        <v>55047</v>
      </c>
      <c r="S27" s="16">
        <f t="shared" si="7"/>
        <v>0</v>
      </c>
      <c r="T27" s="36">
        <v>3883</v>
      </c>
      <c r="U27" s="16">
        <f t="shared" si="8"/>
        <v>160</v>
      </c>
    </row>
    <row r="28" spans="1:23" ht="13.5" thickBot="1" x14ac:dyDescent="0.25">
      <c r="A28" s="10">
        <v>44556</v>
      </c>
      <c r="B28" s="36">
        <v>46395</v>
      </c>
      <c r="C28" s="16">
        <f t="shared" si="0"/>
        <v>800</v>
      </c>
      <c r="D28" s="36">
        <v>40156</v>
      </c>
      <c r="E28" s="16">
        <f t="shared" si="1"/>
        <v>800</v>
      </c>
      <c r="F28" s="36">
        <v>21144</v>
      </c>
      <c r="G28" s="16">
        <f t="shared" si="2"/>
        <v>40</v>
      </c>
      <c r="H28" s="36">
        <v>253026</v>
      </c>
      <c r="I28" s="16">
        <f t="shared" si="3"/>
        <v>25</v>
      </c>
      <c r="J28" s="36">
        <v>303517</v>
      </c>
      <c r="K28" s="16">
        <v>0</v>
      </c>
      <c r="L28" s="36">
        <v>25712</v>
      </c>
      <c r="M28" s="16">
        <f t="shared" si="4"/>
        <v>320</v>
      </c>
      <c r="N28" s="36">
        <v>218201</v>
      </c>
      <c r="O28" s="16">
        <f t="shared" si="5"/>
        <v>98</v>
      </c>
      <c r="P28" s="36">
        <f t="shared" si="9"/>
        <v>135601</v>
      </c>
      <c r="Q28" s="17">
        <f t="shared" si="6"/>
        <v>0</v>
      </c>
      <c r="R28" s="1">
        <v>55047</v>
      </c>
      <c r="S28" s="17">
        <f t="shared" si="7"/>
        <v>0</v>
      </c>
      <c r="T28" s="36">
        <v>3885</v>
      </c>
      <c r="U28" s="16">
        <f t="shared" si="8"/>
        <v>320</v>
      </c>
    </row>
    <row r="29" spans="1:23" ht="13.5" thickBot="1" x14ac:dyDescent="0.25">
      <c r="A29" s="10">
        <v>44557</v>
      </c>
      <c r="B29" s="36">
        <v>46400</v>
      </c>
      <c r="C29" s="16">
        <f t="shared" si="0"/>
        <v>800</v>
      </c>
      <c r="D29" s="36">
        <v>40156</v>
      </c>
      <c r="E29" s="16">
        <f t="shared" si="1"/>
        <v>0</v>
      </c>
      <c r="F29" s="36">
        <v>21150</v>
      </c>
      <c r="G29" s="16">
        <f t="shared" si="2"/>
        <v>120</v>
      </c>
      <c r="H29" s="36">
        <v>253028</v>
      </c>
      <c r="I29" s="16">
        <f t="shared" si="3"/>
        <v>2</v>
      </c>
      <c r="J29" s="36">
        <v>303517</v>
      </c>
      <c r="K29" s="16">
        <v>0</v>
      </c>
      <c r="L29" s="36">
        <v>25716</v>
      </c>
      <c r="M29" s="16">
        <f t="shared" si="4"/>
        <v>640</v>
      </c>
      <c r="N29" s="36">
        <v>218355</v>
      </c>
      <c r="O29" s="16">
        <f t="shared" si="5"/>
        <v>154</v>
      </c>
      <c r="P29" s="36">
        <f t="shared" si="9"/>
        <v>135601</v>
      </c>
      <c r="Q29" s="16">
        <f t="shared" si="6"/>
        <v>0</v>
      </c>
      <c r="R29" s="1">
        <v>55047</v>
      </c>
      <c r="S29" s="16">
        <f t="shared" si="7"/>
        <v>0</v>
      </c>
      <c r="T29" s="36">
        <v>3885</v>
      </c>
      <c r="U29" s="16">
        <f t="shared" si="8"/>
        <v>0</v>
      </c>
    </row>
    <row r="30" spans="1:23" ht="13.5" thickBot="1" x14ac:dyDescent="0.25">
      <c r="A30" s="10">
        <v>44558</v>
      </c>
      <c r="B30" s="36">
        <v>46404</v>
      </c>
      <c r="C30" s="16">
        <f t="shared" si="0"/>
        <v>640</v>
      </c>
      <c r="D30" s="36">
        <v>40159</v>
      </c>
      <c r="E30" s="16">
        <f t="shared" si="1"/>
        <v>480</v>
      </c>
      <c r="F30" s="36">
        <v>21153</v>
      </c>
      <c r="G30" s="16">
        <f t="shared" si="2"/>
        <v>60</v>
      </c>
      <c r="H30" s="36">
        <v>253042</v>
      </c>
      <c r="I30" s="16">
        <f t="shared" si="3"/>
        <v>14</v>
      </c>
      <c r="J30" s="36">
        <v>303517</v>
      </c>
      <c r="K30" s="16">
        <v>0</v>
      </c>
      <c r="L30" s="36">
        <v>25720</v>
      </c>
      <c r="M30" s="16">
        <f t="shared" si="4"/>
        <v>640</v>
      </c>
      <c r="N30" s="36">
        <v>218475</v>
      </c>
      <c r="O30" s="16">
        <f t="shared" si="5"/>
        <v>120</v>
      </c>
      <c r="P30" s="36">
        <f t="shared" si="9"/>
        <v>135601</v>
      </c>
      <c r="Q30" s="16">
        <f t="shared" si="6"/>
        <v>0</v>
      </c>
      <c r="R30" s="1">
        <v>55047</v>
      </c>
      <c r="S30" s="16">
        <f t="shared" si="7"/>
        <v>0</v>
      </c>
      <c r="T30" s="36">
        <v>3885</v>
      </c>
      <c r="U30" s="16">
        <f t="shared" si="8"/>
        <v>0</v>
      </c>
    </row>
    <row r="31" spans="1:23" ht="13.5" thickBot="1" x14ac:dyDescent="0.25">
      <c r="A31" s="10">
        <v>44559</v>
      </c>
      <c r="B31" s="36">
        <v>46409</v>
      </c>
      <c r="C31" s="16">
        <f t="shared" si="0"/>
        <v>800</v>
      </c>
      <c r="D31" s="36">
        <v>40162</v>
      </c>
      <c r="E31" s="16">
        <f t="shared" si="1"/>
        <v>480</v>
      </c>
      <c r="F31" s="36">
        <v>21156</v>
      </c>
      <c r="G31" s="16">
        <f t="shared" si="2"/>
        <v>60</v>
      </c>
      <c r="H31" s="36">
        <v>253054</v>
      </c>
      <c r="I31" s="16">
        <f t="shared" si="3"/>
        <v>12</v>
      </c>
      <c r="J31" s="36">
        <v>303517</v>
      </c>
      <c r="K31" s="16">
        <v>0</v>
      </c>
      <c r="L31" s="36">
        <v>25721</v>
      </c>
      <c r="M31" s="16">
        <f t="shared" si="4"/>
        <v>160</v>
      </c>
      <c r="N31" s="36">
        <v>218591</v>
      </c>
      <c r="O31" s="16">
        <f t="shared" si="5"/>
        <v>116</v>
      </c>
      <c r="P31" s="36">
        <f t="shared" si="9"/>
        <v>135601</v>
      </c>
      <c r="Q31" s="16">
        <f t="shared" si="6"/>
        <v>0</v>
      </c>
      <c r="R31" s="1">
        <v>55047</v>
      </c>
      <c r="S31" s="16">
        <f t="shared" si="7"/>
        <v>0</v>
      </c>
      <c r="T31" s="36">
        <v>3887</v>
      </c>
      <c r="U31" s="16">
        <f t="shared" si="8"/>
        <v>320</v>
      </c>
    </row>
    <row r="32" spans="1:23" ht="15" customHeight="1" thickBot="1" x14ac:dyDescent="0.25">
      <c r="A32" s="10">
        <v>44560</v>
      </c>
      <c r="B32" s="36">
        <v>46414</v>
      </c>
      <c r="C32" s="16">
        <f t="shared" si="0"/>
        <v>800</v>
      </c>
      <c r="D32" s="36">
        <v>40165</v>
      </c>
      <c r="E32" s="16">
        <f t="shared" si="1"/>
        <v>480</v>
      </c>
      <c r="F32" s="36">
        <v>21161</v>
      </c>
      <c r="G32" s="16">
        <f t="shared" si="2"/>
        <v>100</v>
      </c>
      <c r="H32" s="36">
        <v>253074</v>
      </c>
      <c r="I32" s="16">
        <f t="shared" si="3"/>
        <v>20</v>
      </c>
      <c r="J32" s="36">
        <v>303517</v>
      </c>
      <c r="K32" s="16">
        <v>0</v>
      </c>
      <c r="L32" s="36">
        <v>25726</v>
      </c>
      <c r="M32" s="16">
        <f t="shared" si="4"/>
        <v>800</v>
      </c>
      <c r="N32" s="36">
        <v>218711</v>
      </c>
      <c r="O32" s="16">
        <f t="shared" si="5"/>
        <v>120</v>
      </c>
      <c r="P32" s="36">
        <v>136263</v>
      </c>
      <c r="Q32" s="16">
        <f t="shared" si="6"/>
        <v>662</v>
      </c>
      <c r="R32" s="1">
        <v>55047</v>
      </c>
      <c r="S32" s="16">
        <v>0</v>
      </c>
      <c r="T32" s="36">
        <v>3889</v>
      </c>
      <c r="U32" s="16">
        <f t="shared" si="8"/>
        <v>320</v>
      </c>
      <c r="V32" t="s">
        <v>12</v>
      </c>
    </row>
    <row r="33" spans="1:21" ht="13.5" thickBot="1" x14ac:dyDescent="0.25">
      <c r="A33" s="10">
        <v>44561</v>
      </c>
      <c r="B33" s="36">
        <v>46419</v>
      </c>
      <c r="C33" s="16">
        <f t="shared" si="0"/>
        <v>800</v>
      </c>
      <c r="D33" s="36">
        <v>40169</v>
      </c>
      <c r="E33" s="16">
        <f t="shared" si="1"/>
        <v>640</v>
      </c>
      <c r="F33" s="36">
        <v>21164</v>
      </c>
      <c r="G33" s="16">
        <f t="shared" si="2"/>
        <v>60</v>
      </c>
      <c r="H33" s="36">
        <v>253097</v>
      </c>
      <c r="I33" s="16">
        <f t="shared" si="3"/>
        <v>23</v>
      </c>
      <c r="J33" s="36">
        <v>303517</v>
      </c>
      <c r="K33" s="16">
        <v>0</v>
      </c>
      <c r="L33" s="36">
        <v>25728</v>
      </c>
      <c r="M33" s="16">
        <f t="shared" si="4"/>
        <v>320</v>
      </c>
      <c r="N33" s="36">
        <v>218807</v>
      </c>
      <c r="O33" s="16">
        <f t="shared" si="5"/>
        <v>96</v>
      </c>
      <c r="P33" s="36">
        <f t="shared" si="9"/>
        <v>136263</v>
      </c>
      <c r="Q33" s="16">
        <f t="shared" si="6"/>
        <v>0</v>
      </c>
      <c r="R33" s="1">
        <v>55047</v>
      </c>
      <c r="S33" s="16">
        <v>0</v>
      </c>
      <c r="T33" s="36">
        <v>3889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22400</v>
      </c>
      <c r="D34" s="13"/>
      <c r="E34" s="11">
        <f>SUM(E4:E33)</f>
        <v>13120</v>
      </c>
      <c r="F34" s="13"/>
      <c r="G34" s="11">
        <f>SUM(G4:G33)</f>
        <v>2100</v>
      </c>
      <c r="H34" s="13"/>
      <c r="I34" s="11">
        <f>SUM(I4:I33)</f>
        <v>776</v>
      </c>
      <c r="J34" s="13"/>
      <c r="K34" s="11">
        <f>SUM(K4:K33)</f>
        <v>0</v>
      </c>
      <c r="L34" s="13"/>
      <c r="M34" s="11">
        <f>SUM(M4:M33)</f>
        <v>13760</v>
      </c>
      <c r="N34" s="37"/>
      <c r="O34" s="11">
        <f>SUM(O4:O33)</f>
        <v>2684</v>
      </c>
      <c r="P34" s="13"/>
      <c r="Q34" s="11">
        <f>SUM(Q4:Q33)</f>
        <v>3342</v>
      </c>
      <c r="R34" s="1"/>
      <c r="S34" s="11">
        <f>SUM(S4:S33)</f>
        <v>0</v>
      </c>
      <c r="T34" s="1"/>
      <c r="U34" s="11">
        <f>SUM(U4:U33)</f>
        <v>5120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D33" sqref="D33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199</v>
      </c>
      <c r="C14" s="150">
        <v>19212</v>
      </c>
      <c r="D14" s="43">
        <f t="shared" si="3"/>
        <v>480</v>
      </c>
      <c r="E14" s="151">
        <v>29187666</v>
      </c>
      <c r="F14" s="43">
        <f t="shared" si="4"/>
        <v>15152</v>
      </c>
      <c r="G14" s="152">
        <v>92631173</v>
      </c>
      <c r="H14" s="43">
        <f t="shared" si="5"/>
        <v>38726</v>
      </c>
      <c r="I14" s="153">
        <f t="shared" si="6"/>
        <v>53878</v>
      </c>
      <c r="J14" s="151">
        <v>9158911</v>
      </c>
      <c r="K14" s="43">
        <f t="shared" si="14"/>
        <v>10844</v>
      </c>
      <c r="L14" s="154">
        <v>9131232</v>
      </c>
      <c r="M14" s="43">
        <f t="shared" si="7"/>
        <v>6235</v>
      </c>
      <c r="N14" s="151">
        <v>6186988</v>
      </c>
      <c r="O14" s="43">
        <f t="shared" si="15"/>
        <v>9754</v>
      </c>
      <c r="P14" s="154">
        <v>5657258</v>
      </c>
      <c r="Q14" s="43">
        <f t="shared" si="8"/>
        <v>2546</v>
      </c>
      <c r="R14" s="151">
        <v>19566684</v>
      </c>
      <c r="S14" s="43">
        <f>IF((R14-R13)&lt;0,"0",(R14-R13))</f>
        <v>5662</v>
      </c>
      <c r="T14" s="151">
        <v>0</v>
      </c>
      <c r="U14" s="155"/>
      <c r="V14" s="151">
        <v>7439504</v>
      </c>
      <c r="W14" s="43">
        <f t="shared" si="10"/>
        <v>10140</v>
      </c>
      <c r="X14" s="21">
        <f t="shared" si="11"/>
        <v>45181</v>
      </c>
      <c r="Y14" s="156">
        <f t="shared" si="12"/>
        <v>8697</v>
      </c>
      <c r="Z14" s="3">
        <f t="shared" si="13"/>
        <v>5616.0319903999998</v>
      </c>
      <c r="AA14" s="3">
        <f t="shared" si="16"/>
        <v>25865.959287999998</v>
      </c>
    </row>
    <row r="15" spans="1:27" ht="16.5" thickBot="1" x14ac:dyDescent="0.3">
      <c r="A15" s="10">
        <v>44543</v>
      </c>
      <c r="B15" s="43">
        <v>209</v>
      </c>
      <c r="C15" s="150">
        <v>19215</v>
      </c>
      <c r="D15" s="43">
        <f t="shared" si="3"/>
        <v>480</v>
      </c>
      <c r="E15" s="151">
        <v>29200935</v>
      </c>
      <c r="F15" s="43">
        <f t="shared" si="4"/>
        <v>13269</v>
      </c>
      <c r="G15" s="152">
        <v>92664186</v>
      </c>
      <c r="H15" s="43">
        <f t="shared" si="5"/>
        <v>33013</v>
      </c>
      <c r="I15" s="153">
        <f t="shared" si="6"/>
        <v>46282</v>
      </c>
      <c r="J15" s="151">
        <v>9163330</v>
      </c>
      <c r="K15" s="43">
        <f t="shared" si="14"/>
        <v>8838</v>
      </c>
      <c r="L15" s="154">
        <v>9136286</v>
      </c>
      <c r="M15" s="43">
        <f t="shared" si="7"/>
        <v>5054</v>
      </c>
      <c r="N15" s="151">
        <v>6190527</v>
      </c>
      <c r="O15" s="43">
        <f t="shared" si="15"/>
        <v>7078</v>
      </c>
      <c r="P15" s="154">
        <v>5659397</v>
      </c>
      <c r="Q15" s="43">
        <f t="shared" si="8"/>
        <v>2139</v>
      </c>
      <c r="R15" s="151">
        <v>19574875</v>
      </c>
      <c r="S15" s="43">
        <f>IF((R15-R14)&lt;0,"0",(R15-R14))</f>
        <v>8191</v>
      </c>
      <c r="T15" s="151">
        <v>0</v>
      </c>
      <c r="U15" s="155"/>
      <c r="V15" s="151">
        <v>7448278</v>
      </c>
      <c r="W15" s="43">
        <f t="shared" si="10"/>
        <v>8774</v>
      </c>
      <c r="X15" s="21">
        <f t="shared" si="11"/>
        <v>40074</v>
      </c>
      <c r="Y15" s="156">
        <f t="shared" si="12"/>
        <v>6208</v>
      </c>
      <c r="Z15" s="3">
        <f t="shared" si="13"/>
        <v>5451.9900239999997</v>
      </c>
      <c r="AA15" s="3">
        <f t="shared" si="16"/>
        <v>25392.166321599998</v>
      </c>
    </row>
    <row r="16" spans="1:27" ht="16.5" thickBot="1" x14ac:dyDescent="0.3">
      <c r="A16" s="10">
        <v>44544</v>
      </c>
      <c r="B16" s="43">
        <v>208</v>
      </c>
      <c r="C16" s="150">
        <v>19218</v>
      </c>
      <c r="D16" s="43">
        <f t="shared" si="3"/>
        <v>480</v>
      </c>
      <c r="E16" s="151">
        <v>29221215</v>
      </c>
      <c r="F16" s="43">
        <f t="shared" si="4"/>
        <v>20280</v>
      </c>
      <c r="G16" s="152">
        <v>92715599</v>
      </c>
      <c r="H16" s="43">
        <f t="shared" si="5"/>
        <v>51413</v>
      </c>
      <c r="I16" s="153">
        <f t="shared" si="6"/>
        <v>71693</v>
      </c>
      <c r="J16" s="151">
        <v>9170479</v>
      </c>
      <c r="K16" s="43">
        <f t="shared" si="14"/>
        <v>14298</v>
      </c>
      <c r="L16" s="154">
        <v>9144677</v>
      </c>
      <c r="M16" s="43">
        <f t="shared" si="7"/>
        <v>8391</v>
      </c>
      <c r="N16" s="151">
        <v>6196370</v>
      </c>
      <c r="O16" s="43">
        <f t="shared" si="15"/>
        <v>11686</v>
      </c>
      <c r="P16" s="154">
        <v>5662738</v>
      </c>
      <c r="Q16" s="43">
        <f t="shared" si="8"/>
        <v>3341</v>
      </c>
      <c r="R16" s="151">
        <v>19587689</v>
      </c>
      <c r="S16" s="43">
        <f t="shared" si="9"/>
        <v>12814</v>
      </c>
      <c r="T16" s="151">
        <v>0</v>
      </c>
      <c r="U16" s="155"/>
      <c r="V16" s="151">
        <v>7461792</v>
      </c>
      <c r="W16" s="43">
        <f t="shared" si="10"/>
        <v>13514</v>
      </c>
      <c r="X16" s="21">
        <f t="shared" si="11"/>
        <v>64044</v>
      </c>
      <c r="Y16" s="156">
        <f t="shared" si="12"/>
        <v>7649</v>
      </c>
      <c r="Z16" s="3">
        <f t="shared" si="13"/>
        <v>8565.6345216000009</v>
      </c>
      <c r="AA16" s="3">
        <f t="shared" si="16"/>
        <v>26225.916620799999</v>
      </c>
    </row>
    <row r="17" spans="1:27" s="135" customFormat="1" ht="16.5" thickBot="1" x14ac:dyDescent="0.3">
      <c r="A17" s="10">
        <v>44545</v>
      </c>
      <c r="B17" s="43">
        <v>191</v>
      </c>
      <c r="C17" s="150">
        <v>19220</v>
      </c>
      <c r="D17" s="43">
        <f t="shared" si="3"/>
        <v>320</v>
      </c>
      <c r="E17" s="151">
        <v>29232972</v>
      </c>
      <c r="F17" s="43">
        <f t="shared" si="4"/>
        <v>11757</v>
      </c>
      <c r="G17" s="152">
        <v>92742547</v>
      </c>
      <c r="H17" s="43">
        <f t="shared" si="5"/>
        <v>26948</v>
      </c>
      <c r="I17" s="157">
        <f t="shared" si="6"/>
        <v>38705</v>
      </c>
      <c r="J17" s="151">
        <v>9174499</v>
      </c>
      <c r="K17" s="134">
        <f t="shared" si="14"/>
        <v>8040</v>
      </c>
      <c r="L17" s="154">
        <v>9149946</v>
      </c>
      <c r="M17" s="134">
        <f t="shared" si="7"/>
        <v>5269</v>
      </c>
      <c r="N17" s="151">
        <v>6199540</v>
      </c>
      <c r="O17" s="134">
        <f t="shared" si="15"/>
        <v>6340</v>
      </c>
      <c r="P17" s="154">
        <v>5664949</v>
      </c>
      <c r="Q17" s="134">
        <f t="shared" si="8"/>
        <v>2211</v>
      </c>
      <c r="R17" s="151">
        <v>19595962</v>
      </c>
      <c r="S17" s="134">
        <f t="shared" si="9"/>
        <v>8273</v>
      </c>
      <c r="T17" s="158">
        <v>0</v>
      </c>
      <c r="U17" s="155"/>
      <c r="V17" s="151">
        <v>7470024</v>
      </c>
      <c r="W17" s="134">
        <f t="shared" si="10"/>
        <v>8232</v>
      </c>
      <c r="X17" s="21">
        <f t="shared" si="11"/>
        <v>38365</v>
      </c>
      <c r="Y17" s="159">
        <f t="shared" si="12"/>
        <v>340</v>
      </c>
      <c r="Z17" s="160">
        <f t="shared" si="13"/>
        <v>5243.9255440000006</v>
      </c>
      <c r="AA17" s="160">
        <f t="shared" si="16"/>
        <v>24877.582080000004</v>
      </c>
    </row>
    <row r="18" spans="1:27" s="135" customFormat="1" ht="16.5" thickBot="1" x14ac:dyDescent="0.3">
      <c r="A18" s="10">
        <v>44546</v>
      </c>
      <c r="B18" s="43">
        <v>204</v>
      </c>
      <c r="C18" s="150">
        <v>19222</v>
      </c>
      <c r="D18" s="43">
        <f t="shared" si="3"/>
        <v>320</v>
      </c>
      <c r="E18" s="151">
        <v>29244858</v>
      </c>
      <c r="F18" s="43">
        <f t="shared" si="4"/>
        <v>11886</v>
      </c>
      <c r="G18" s="152">
        <v>92779825</v>
      </c>
      <c r="H18" s="43">
        <f t="shared" si="5"/>
        <v>37278</v>
      </c>
      <c r="I18" s="157">
        <f t="shared" si="6"/>
        <v>49164</v>
      </c>
      <c r="J18" s="151">
        <v>9178464</v>
      </c>
      <c r="K18" s="134">
        <f t="shared" si="14"/>
        <v>7930</v>
      </c>
      <c r="L18" s="154">
        <v>9155138</v>
      </c>
      <c r="M18" s="134">
        <f t="shared" si="7"/>
        <v>5192</v>
      </c>
      <c r="N18" s="151">
        <v>6202818</v>
      </c>
      <c r="O18" s="134">
        <f t="shared" si="15"/>
        <v>6556</v>
      </c>
      <c r="P18" s="154">
        <v>5667248</v>
      </c>
      <c r="Q18" s="134">
        <f t="shared" si="8"/>
        <v>2299</v>
      </c>
      <c r="R18" s="151">
        <v>19604442</v>
      </c>
      <c r="S18" s="134">
        <f t="shared" si="9"/>
        <v>8480</v>
      </c>
      <c r="T18" s="158">
        <v>0</v>
      </c>
      <c r="U18" s="155"/>
      <c r="V18" s="151">
        <v>7478606</v>
      </c>
      <c r="W18" s="134">
        <f t="shared" si="10"/>
        <v>8582</v>
      </c>
      <c r="X18" s="21">
        <f t="shared" si="11"/>
        <v>39039</v>
      </c>
      <c r="Y18" s="159">
        <f t="shared" si="12"/>
        <v>10125</v>
      </c>
      <c r="Z18" s="160">
        <f t="shared" si="13"/>
        <v>5423.1273824000009</v>
      </c>
      <c r="AA18" s="160">
        <f t="shared" si="16"/>
        <v>24684.677472000003</v>
      </c>
    </row>
    <row r="19" spans="1:27" s="135" customFormat="1" ht="16.5" thickBot="1" x14ac:dyDescent="0.3">
      <c r="A19" s="10">
        <v>44547</v>
      </c>
      <c r="B19" s="43">
        <v>241</v>
      </c>
      <c r="C19" s="150">
        <v>19225</v>
      </c>
      <c r="D19" s="43">
        <f t="shared" si="3"/>
        <v>480</v>
      </c>
      <c r="E19" s="151">
        <v>29263438</v>
      </c>
      <c r="F19" s="43">
        <f t="shared" si="4"/>
        <v>18580</v>
      </c>
      <c r="G19" s="152">
        <v>92832196</v>
      </c>
      <c r="H19" s="43">
        <f t="shared" si="5"/>
        <v>52371</v>
      </c>
      <c r="I19" s="157">
        <f t="shared" si="6"/>
        <v>70951</v>
      </c>
      <c r="J19" s="151">
        <v>9183972</v>
      </c>
      <c r="K19" s="134">
        <f t="shared" si="14"/>
        <v>11016</v>
      </c>
      <c r="L19" s="154">
        <v>9163182</v>
      </c>
      <c r="M19" s="134">
        <f t="shared" si="7"/>
        <v>8044</v>
      </c>
      <c r="N19" s="151">
        <v>6207976</v>
      </c>
      <c r="O19" s="134">
        <f t="shared" si="15"/>
        <v>10316</v>
      </c>
      <c r="P19" s="154">
        <v>5670781</v>
      </c>
      <c r="Q19" s="134">
        <f t="shared" si="8"/>
        <v>3533</v>
      </c>
      <c r="R19" s="151">
        <v>19617911</v>
      </c>
      <c r="S19" s="134">
        <f t="shared" si="9"/>
        <v>13469</v>
      </c>
      <c r="T19" s="158">
        <v>0</v>
      </c>
      <c r="U19" s="155"/>
      <c r="V19" s="151">
        <v>7493007</v>
      </c>
      <c r="W19" s="134">
        <f t="shared" si="10"/>
        <v>14401</v>
      </c>
      <c r="X19" s="21">
        <f t="shared" si="11"/>
        <v>60779</v>
      </c>
      <c r="Y19" s="159">
        <f t="shared" si="12"/>
        <v>10172</v>
      </c>
      <c r="Z19" s="160">
        <f t="shared" si="13"/>
        <v>8769.3646560000016</v>
      </c>
      <c r="AA19" s="160">
        <f t="shared" si="16"/>
        <v>28002.052104000006</v>
      </c>
    </row>
    <row r="20" spans="1:27" s="135" customFormat="1" ht="16.5" thickBot="1" x14ac:dyDescent="0.3">
      <c r="A20" s="10">
        <v>44548</v>
      </c>
      <c r="B20" s="43">
        <v>210</v>
      </c>
      <c r="C20" s="150">
        <v>19228</v>
      </c>
      <c r="D20" s="43">
        <f t="shared" si="3"/>
        <v>480</v>
      </c>
      <c r="E20" s="151">
        <v>29273137</v>
      </c>
      <c r="F20" s="43">
        <f t="shared" si="4"/>
        <v>9699</v>
      </c>
      <c r="G20" s="152">
        <v>92859481</v>
      </c>
      <c r="H20" s="43">
        <f t="shared" si="5"/>
        <v>27285</v>
      </c>
      <c r="I20" s="157">
        <f t="shared" si="6"/>
        <v>36984</v>
      </c>
      <c r="J20" s="151">
        <v>9187135</v>
      </c>
      <c r="K20" s="134">
        <f t="shared" si="14"/>
        <v>6326</v>
      </c>
      <c r="L20" s="154">
        <v>9167768</v>
      </c>
      <c r="M20" s="134">
        <f t="shared" si="7"/>
        <v>4586</v>
      </c>
      <c r="N20" s="151">
        <v>6210472</v>
      </c>
      <c r="O20" s="134">
        <f t="shared" si="15"/>
        <v>4992</v>
      </c>
      <c r="P20" s="154">
        <v>5672389</v>
      </c>
      <c r="Q20" s="134">
        <f t="shared" si="8"/>
        <v>1608</v>
      </c>
      <c r="R20" s="151">
        <v>19624557</v>
      </c>
      <c r="S20" s="134">
        <f t="shared" si="9"/>
        <v>6646</v>
      </c>
      <c r="T20" s="158">
        <v>0</v>
      </c>
      <c r="U20" s="155"/>
      <c r="V20" s="151">
        <v>7500646</v>
      </c>
      <c r="W20" s="134">
        <f t="shared" si="10"/>
        <v>7639</v>
      </c>
      <c r="X20" s="21">
        <f t="shared" si="11"/>
        <v>31797</v>
      </c>
      <c r="Y20" s="159">
        <f t="shared" si="12"/>
        <v>5187</v>
      </c>
      <c r="Z20" s="160">
        <f t="shared" si="13"/>
        <v>4422.6554320000005</v>
      </c>
      <c r="AA20" s="160">
        <f t="shared" si="16"/>
        <v>23859.073014400004</v>
      </c>
    </row>
    <row r="21" spans="1:27" s="135" customFormat="1" ht="16.5" thickBot="1" x14ac:dyDescent="0.3">
      <c r="A21" s="10">
        <v>44549</v>
      </c>
      <c r="B21" s="43">
        <v>256</v>
      </c>
      <c r="C21" s="150">
        <v>19231</v>
      </c>
      <c r="D21" s="43">
        <f t="shared" si="3"/>
        <v>480</v>
      </c>
      <c r="E21" s="151">
        <v>29286599</v>
      </c>
      <c r="F21" s="43">
        <f t="shared" si="4"/>
        <v>13462</v>
      </c>
      <c r="G21" s="152">
        <v>92900052</v>
      </c>
      <c r="H21" s="43">
        <f t="shared" si="5"/>
        <v>40571</v>
      </c>
      <c r="I21" s="157">
        <f t="shared" si="6"/>
        <v>54033</v>
      </c>
      <c r="J21" s="151">
        <v>9191677</v>
      </c>
      <c r="K21" s="134">
        <f t="shared" si="14"/>
        <v>9084</v>
      </c>
      <c r="L21" s="154">
        <v>9174045</v>
      </c>
      <c r="M21" s="134">
        <f t="shared" si="7"/>
        <v>6277</v>
      </c>
      <c r="N21" s="151">
        <v>6213982</v>
      </c>
      <c r="O21" s="134">
        <f t="shared" si="15"/>
        <v>7020</v>
      </c>
      <c r="P21" s="154">
        <v>5674725</v>
      </c>
      <c r="Q21" s="134">
        <f t="shared" si="8"/>
        <v>2336</v>
      </c>
      <c r="R21" s="151">
        <v>19634517</v>
      </c>
      <c r="S21" s="134">
        <f t="shared" si="9"/>
        <v>9960</v>
      </c>
      <c r="T21" s="158">
        <v>0</v>
      </c>
      <c r="U21" s="155"/>
      <c r="V21" s="151">
        <v>7512103</v>
      </c>
      <c r="W21" s="134">
        <f t="shared" si="10"/>
        <v>11457</v>
      </c>
      <c r="X21" s="21">
        <f t="shared" si="11"/>
        <v>46134</v>
      </c>
      <c r="Y21" s="159">
        <f t="shared" si="12"/>
        <v>7899</v>
      </c>
      <c r="Z21" s="160">
        <f t="shared" si="13"/>
        <v>6552.6808464000005</v>
      </c>
      <c r="AA21" s="160">
        <f t="shared" si="16"/>
        <v>25167.828316800005</v>
      </c>
    </row>
    <row r="22" spans="1:27" ht="16.5" thickBot="1" x14ac:dyDescent="0.3">
      <c r="A22" s="10">
        <v>44550</v>
      </c>
      <c r="B22" s="43">
        <v>247</v>
      </c>
      <c r="C22" s="150">
        <v>19233</v>
      </c>
      <c r="D22" s="43">
        <f t="shared" si="3"/>
        <v>320</v>
      </c>
      <c r="E22" s="151">
        <v>29299096</v>
      </c>
      <c r="F22" s="43">
        <f t="shared" si="4"/>
        <v>12497</v>
      </c>
      <c r="G22" s="152">
        <v>92940435</v>
      </c>
      <c r="H22" s="43">
        <f t="shared" si="5"/>
        <v>40383</v>
      </c>
      <c r="I22" s="153">
        <f t="shared" si="6"/>
        <v>52880</v>
      </c>
      <c r="J22" s="151">
        <v>9196434</v>
      </c>
      <c r="K22" s="43">
        <f t="shared" si="14"/>
        <v>9514</v>
      </c>
      <c r="L22" s="154">
        <v>9179553</v>
      </c>
      <c r="M22" s="43">
        <f t="shared" si="7"/>
        <v>5508</v>
      </c>
      <c r="N22" s="151">
        <v>6217400</v>
      </c>
      <c r="O22" s="43">
        <f t="shared" si="15"/>
        <v>6836</v>
      </c>
      <c r="P22" s="154">
        <v>5677136</v>
      </c>
      <c r="Q22" s="43">
        <f t="shared" si="8"/>
        <v>2411</v>
      </c>
      <c r="R22" s="151">
        <v>19644172</v>
      </c>
      <c r="S22" s="43">
        <f t="shared" si="9"/>
        <v>9655</v>
      </c>
      <c r="T22" s="151">
        <v>0</v>
      </c>
      <c r="U22" s="155"/>
      <c r="V22" s="151">
        <v>7523428</v>
      </c>
      <c r="W22" s="43">
        <f t="shared" si="10"/>
        <v>11325</v>
      </c>
      <c r="X22" s="21">
        <f t="shared" si="11"/>
        <v>45249</v>
      </c>
      <c r="Y22" s="156">
        <f t="shared" si="12"/>
        <v>7631</v>
      </c>
      <c r="Z22" s="3">
        <f t="shared" si="13"/>
        <v>6430.8345919999992</v>
      </c>
      <c r="AA22" s="3">
        <f t="shared" si="16"/>
        <v>26175.535526400003</v>
      </c>
    </row>
    <row r="23" spans="1:27" ht="16.5" thickBot="1" x14ac:dyDescent="0.3">
      <c r="A23" s="10">
        <v>44551</v>
      </c>
      <c r="B23" s="43">
        <v>190</v>
      </c>
      <c r="C23" s="150">
        <v>19236</v>
      </c>
      <c r="D23" s="43">
        <f t="shared" si="3"/>
        <v>480</v>
      </c>
      <c r="E23" s="151">
        <v>29304823</v>
      </c>
      <c r="F23" s="43">
        <f t="shared" si="4"/>
        <v>5727</v>
      </c>
      <c r="G23" s="152">
        <v>92969839</v>
      </c>
      <c r="H23" s="43">
        <f t="shared" si="5"/>
        <v>29404</v>
      </c>
      <c r="I23" s="153">
        <f t="shared" si="6"/>
        <v>35131</v>
      </c>
      <c r="J23" s="151">
        <v>9199884</v>
      </c>
      <c r="K23" s="43">
        <f t="shared" si="14"/>
        <v>6900</v>
      </c>
      <c r="L23" s="154">
        <v>9183939</v>
      </c>
      <c r="M23" s="43">
        <f t="shared" si="7"/>
        <v>4386</v>
      </c>
      <c r="N23" s="151">
        <v>6218018</v>
      </c>
      <c r="O23" s="43">
        <f t="shared" si="15"/>
        <v>1236</v>
      </c>
      <c r="P23" s="154">
        <v>5680700</v>
      </c>
      <c r="Q23" s="43">
        <f t="shared" si="8"/>
        <v>3564</v>
      </c>
      <c r="R23" s="151">
        <v>19650721</v>
      </c>
      <c r="S23" s="43">
        <f t="shared" si="9"/>
        <v>6549</v>
      </c>
      <c r="T23" s="151">
        <v>0</v>
      </c>
      <c r="U23" s="155"/>
      <c r="V23" s="151">
        <v>7531061</v>
      </c>
      <c r="W23" s="43">
        <f t="shared" si="10"/>
        <v>7633</v>
      </c>
      <c r="X23" s="21">
        <f t="shared" si="11"/>
        <v>30268</v>
      </c>
      <c r="Y23" s="156">
        <f t="shared" si="12"/>
        <v>4863</v>
      </c>
      <c r="Z23" s="3">
        <f t="shared" si="13"/>
        <v>4137.0733663999999</v>
      </c>
      <c r="AA23" s="3">
        <f t="shared" si="16"/>
        <v>21543.244236800001</v>
      </c>
    </row>
    <row r="24" spans="1:27" ht="16.5" thickBot="1" x14ac:dyDescent="0.3">
      <c r="A24" s="10">
        <v>44552</v>
      </c>
      <c r="B24" s="43">
        <v>286</v>
      </c>
      <c r="C24" s="150">
        <v>19238</v>
      </c>
      <c r="D24" s="43">
        <f t="shared" si="3"/>
        <v>320</v>
      </c>
      <c r="E24" s="151">
        <v>29314437</v>
      </c>
      <c r="F24" s="43">
        <f t="shared" si="4"/>
        <v>9614</v>
      </c>
      <c r="G24" s="152">
        <v>93020883</v>
      </c>
      <c r="H24" s="43">
        <f t="shared" si="5"/>
        <v>51044</v>
      </c>
      <c r="I24" s="153">
        <f t="shared" si="6"/>
        <v>60658</v>
      </c>
      <c r="J24" s="151">
        <v>9205364</v>
      </c>
      <c r="K24" s="43">
        <f t="shared" si="14"/>
        <v>10960</v>
      </c>
      <c r="L24" s="154">
        <v>9191028</v>
      </c>
      <c r="M24" s="43">
        <f t="shared" si="7"/>
        <v>7089</v>
      </c>
      <c r="N24" s="151">
        <v>6219175</v>
      </c>
      <c r="O24" s="43">
        <f t="shared" si="15"/>
        <v>2314</v>
      </c>
      <c r="P24" s="154">
        <v>5687924</v>
      </c>
      <c r="Q24" s="43">
        <f t="shared" si="8"/>
        <v>7224</v>
      </c>
      <c r="R24" s="151">
        <v>19662274</v>
      </c>
      <c r="S24" s="43">
        <f t="shared" si="9"/>
        <v>11553</v>
      </c>
      <c r="T24" s="151">
        <v>0</v>
      </c>
      <c r="U24" s="155"/>
      <c r="V24" s="151">
        <v>7543647</v>
      </c>
      <c r="W24" s="43">
        <f t="shared" si="10"/>
        <v>12586</v>
      </c>
      <c r="X24" s="21">
        <f t="shared" si="11"/>
        <v>51726</v>
      </c>
      <c r="Y24" s="156">
        <f t="shared" si="12"/>
        <v>8932</v>
      </c>
      <c r="Z24" s="3">
        <f t="shared" si="13"/>
        <v>7239.6993968000006</v>
      </c>
      <c r="AA24" s="3">
        <f t="shared" si="16"/>
        <v>24360.2882016</v>
      </c>
    </row>
    <row r="25" spans="1:27" ht="16.5" thickBot="1" x14ac:dyDescent="0.3">
      <c r="A25" s="10">
        <v>44553</v>
      </c>
      <c r="B25" s="43">
        <v>180</v>
      </c>
      <c r="C25" s="150">
        <v>19241</v>
      </c>
      <c r="D25" s="43">
        <f t="shared" si="3"/>
        <v>480</v>
      </c>
      <c r="E25" s="151">
        <v>29322402</v>
      </c>
      <c r="F25" s="43">
        <f t="shared" si="4"/>
        <v>7965</v>
      </c>
      <c r="G25" s="152">
        <v>93064999</v>
      </c>
      <c r="H25" s="43">
        <f t="shared" si="5"/>
        <v>44116</v>
      </c>
      <c r="I25" s="153">
        <f t="shared" si="6"/>
        <v>52081</v>
      </c>
      <c r="J25" s="151">
        <v>9210040</v>
      </c>
      <c r="K25" s="43">
        <f t="shared" si="14"/>
        <v>9352</v>
      </c>
      <c r="L25" s="154">
        <v>9197095</v>
      </c>
      <c r="M25" s="43">
        <f t="shared" si="7"/>
        <v>6067</v>
      </c>
      <c r="N25" s="151">
        <v>6220860</v>
      </c>
      <c r="O25" s="43">
        <f t="shared" si="15"/>
        <v>3370</v>
      </c>
      <c r="P25" s="154">
        <v>5694209</v>
      </c>
      <c r="Q25" s="43">
        <f t="shared" si="8"/>
        <v>6285</v>
      </c>
      <c r="R25" s="151">
        <v>19672216</v>
      </c>
      <c r="S25" s="43">
        <f t="shared" si="9"/>
        <v>9942</v>
      </c>
      <c r="T25" s="151">
        <v>0</v>
      </c>
      <c r="U25" s="155"/>
      <c r="V25" s="151">
        <v>7555114</v>
      </c>
      <c r="W25" s="43">
        <f t="shared" si="10"/>
        <v>11467</v>
      </c>
      <c r="X25" s="21">
        <f t="shared" si="11"/>
        <v>46483</v>
      </c>
      <c r="Y25" s="156">
        <f t="shared" si="12"/>
        <v>5598</v>
      </c>
      <c r="Z25" s="3">
        <f t="shared" si="13"/>
        <v>6594.0247567999995</v>
      </c>
      <c r="AA25" s="3">
        <f t="shared" si="16"/>
        <v>24401.632111999999</v>
      </c>
    </row>
    <row r="26" spans="1:27" ht="16.5" thickBot="1" x14ac:dyDescent="0.3">
      <c r="A26" s="10">
        <v>44554</v>
      </c>
      <c r="B26" s="43">
        <v>190</v>
      </c>
      <c r="C26" s="150">
        <v>19243</v>
      </c>
      <c r="D26" s="43">
        <f t="shared" si="3"/>
        <v>320</v>
      </c>
      <c r="E26" s="151">
        <v>29329171</v>
      </c>
      <c r="F26" s="43">
        <f t="shared" si="4"/>
        <v>6769</v>
      </c>
      <c r="G26" s="152">
        <v>93102340</v>
      </c>
      <c r="H26" s="43">
        <f t="shared" si="5"/>
        <v>37341</v>
      </c>
      <c r="I26" s="153">
        <f t="shared" si="6"/>
        <v>44110</v>
      </c>
      <c r="J26" s="151">
        <v>9213540</v>
      </c>
      <c r="K26" s="43">
        <f t="shared" si="14"/>
        <v>7000</v>
      </c>
      <c r="L26" s="154">
        <v>9202078</v>
      </c>
      <c r="M26" s="43">
        <f t="shared" si="7"/>
        <v>4983</v>
      </c>
      <c r="N26" s="151">
        <v>6220918</v>
      </c>
      <c r="O26" s="43">
        <f t="shared" si="15"/>
        <v>116</v>
      </c>
      <c r="P26" s="154">
        <v>5699998</v>
      </c>
      <c r="Q26" s="43">
        <f t="shared" si="8"/>
        <v>5789</v>
      </c>
      <c r="R26" s="151">
        <v>19680825</v>
      </c>
      <c r="S26" s="43">
        <f t="shared" si="9"/>
        <v>8609</v>
      </c>
      <c r="T26" s="151">
        <v>0</v>
      </c>
      <c r="U26" s="155"/>
      <c r="V26" s="151">
        <v>7564472</v>
      </c>
      <c r="W26" s="43">
        <f t="shared" si="10"/>
        <v>9358</v>
      </c>
      <c r="X26" s="21">
        <f t="shared" si="11"/>
        <v>35855</v>
      </c>
      <c r="Y26" s="156">
        <f t="shared" si="12"/>
        <v>8255</v>
      </c>
      <c r="Z26" s="3">
        <f t="shared" si="13"/>
        <v>5215.7190383999996</v>
      </c>
      <c r="AA26" s="3">
        <f t="shared" si="16"/>
        <v>23186.516558399999</v>
      </c>
    </row>
    <row r="27" spans="1:27" ht="16.5" thickBot="1" x14ac:dyDescent="0.3">
      <c r="A27" s="10">
        <v>44555</v>
      </c>
      <c r="B27" s="43">
        <v>167</v>
      </c>
      <c r="C27" s="150">
        <v>19246</v>
      </c>
      <c r="D27" s="43">
        <f t="shared" si="3"/>
        <v>480</v>
      </c>
      <c r="E27" s="151">
        <v>29335152</v>
      </c>
      <c r="F27" s="43">
        <f t="shared" si="4"/>
        <v>5981</v>
      </c>
      <c r="G27" s="152">
        <v>93138797</v>
      </c>
      <c r="H27" s="43">
        <f t="shared" si="5"/>
        <v>36457</v>
      </c>
      <c r="I27" s="153">
        <f t="shared" si="6"/>
        <v>42438</v>
      </c>
      <c r="J27" s="151">
        <v>9217255</v>
      </c>
      <c r="K27" s="43">
        <f t="shared" si="14"/>
        <v>7430</v>
      </c>
      <c r="L27" s="154">
        <v>9206302</v>
      </c>
      <c r="M27" s="43">
        <f t="shared" si="7"/>
        <v>4224</v>
      </c>
      <c r="N27" s="151">
        <v>6221739</v>
      </c>
      <c r="O27" s="43">
        <f t="shared" si="15"/>
        <v>1642</v>
      </c>
      <c r="P27" s="154">
        <v>5705517</v>
      </c>
      <c r="Q27" s="43">
        <f t="shared" si="8"/>
        <v>5519</v>
      </c>
      <c r="R27" s="151">
        <v>19689419</v>
      </c>
      <c r="S27" s="43">
        <f t="shared" si="9"/>
        <v>8594</v>
      </c>
      <c r="T27" s="151">
        <v>0</v>
      </c>
      <c r="U27" s="155"/>
      <c r="V27" s="151">
        <v>7573416</v>
      </c>
      <c r="W27" s="43">
        <f t="shared" si="10"/>
        <v>8944</v>
      </c>
      <c r="X27" s="21">
        <f t="shared" si="11"/>
        <v>36353</v>
      </c>
      <c r="Y27" s="156">
        <f t="shared" si="12"/>
        <v>6085</v>
      </c>
      <c r="Z27" s="3">
        <f t="shared" si="13"/>
        <v>5293.4228255999997</v>
      </c>
      <c r="AA27" s="3">
        <f t="shared" si="16"/>
        <v>24342.866017599998</v>
      </c>
    </row>
    <row r="28" spans="1:27" ht="16.5" thickBot="1" x14ac:dyDescent="0.3">
      <c r="A28" s="10">
        <v>44556</v>
      </c>
      <c r="B28" s="43">
        <v>134</v>
      </c>
      <c r="C28" s="150">
        <v>19249</v>
      </c>
      <c r="D28" s="43">
        <f t="shared" si="3"/>
        <v>480</v>
      </c>
      <c r="E28" s="151">
        <v>29344314</v>
      </c>
      <c r="F28" s="43">
        <f t="shared" si="4"/>
        <v>9162</v>
      </c>
      <c r="G28" s="152">
        <v>93188588</v>
      </c>
      <c r="H28" s="43">
        <f t="shared" si="5"/>
        <v>49791</v>
      </c>
      <c r="I28" s="153">
        <f t="shared" si="6"/>
        <v>58953</v>
      </c>
      <c r="J28" s="151">
        <v>9222543</v>
      </c>
      <c r="K28" s="43">
        <f t="shared" si="14"/>
        <v>10576</v>
      </c>
      <c r="L28" s="154">
        <v>9213035</v>
      </c>
      <c r="M28" s="43">
        <f t="shared" si="7"/>
        <v>6733</v>
      </c>
      <c r="N28" s="151">
        <v>6222878</v>
      </c>
      <c r="O28" s="43">
        <f t="shared" si="15"/>
        <v>2278</v>
      </c>
      <c r="P28" s="154">
        <v>5712838</v>
      </c>
      <c r="Q28" s="43">
        <f t="shared" si="8"/>
        <v>7321</v>
      </c>
      <c r="R28" s="151">
        <v>19701220</v>
      </c>
      <c r="S28" s="43">
        <f t="shared" si="9"/>
        <v>11801</v>
      </c>
      <c r="T28" s="151">
        <v>0</v>
      </c>
      <c r="U28" s="155"/>
      <c r="V28" s="151">
        <v>7585596</v>
      </c>
      <c r="W28" s="43">
        <f t="shared" si="10"/>
        <v>12180</v>
      </c>
      <c r="X28" s="21">
        <f t="shared" si="11"/>
        <v>50889</v>
      </c>
      <c r="Y28" s="156">
        <f t="shared" si="12"/>
        <v>8064</v>
      </c>
      <c r="Z28" s="3">
        <f t="shared" si="13"/>
        <v>7210.1812431999997</v>
      </c>
      <c r="AA28" s="3">
        <f t="shared" si="16"/>
        <v>24313.347863999999</v>
      </c>
    </row>
    <row r="29" spans="1:27" ht="16.5" thickBot="1" x14ac:dyDescent="0.3">
      <c r="A29" s="10">
        <v>44557</v>
      </c>
      <c r="B29" s="43">
        <v>167</v>
      </c>
      <c r="C29" s="150">
        <v>19253</v>
      </c>
      <c r="D29" s="43">
        <f t="shared" si="3"/>
        <v>640</v>
      </c>
      <c r="E29" s="151">
        <v>29350721</v>
      </c>
      <c r="F29" s="43">
        <f t="shared" si="4"/>
        <v>6407</v>
      </c>
      <c r="G29" s="152">
        <v>93223541</v>
      </c>
      <c r="H29" s="43">
        <f t="shared" si="5"/>
        <v>34953</v>
      </c>
      <c r="I29" s="153">
        <f t="shared" si="6"/>
        <v>41360</v>
      </c>
      <c r="J29" s="151">
        <v>9226530</v>
      </c>
      <c r="K29" s="43">
        <f t="shared" si="14"/>
        <v>7974</v>
      </c>
      <c r="L29" s="154">
        <v>9217791</v>
      </c>
      <c r="M29" s="43">
        <f t="shared" si="7"/>
        <v>4756</v>
      </c>
      <c r="N29" s="151">
        <v>6223643</v>
      </c>
      <c r="O29" s="43">
        <f t="shared" si="15"/>
        <v>1530</v>
      </c>
      <c r="P29" s="154">
        <v>5718276</v>
      </c>
      <c r="Q29" s="43">
        <f t="shared" si="8"/>
        <v>5438</v>
      </c>
      <c r="R29" s="151">
        <v>19709187</v>
      </c>
      <c r="S29" s="43">
        <f t="shared" si="9"/>
        <v>7967</v>
      </c>
      <c r="T29" s="151">
        <v>0</v>
      </c>
      <c r="U29" s="155"/>
      <c r="V29" s="151">
        <v>7594037</v>
      </c>
      <c r="W29" s="43">
        <f t="shared" si="10"/>
        <v>8441</v>
      </c>
      <c r="X29" s="21">
        <f t="shared" si="11"/>
        <v>36106</v>
      </c>
      <c r="Y29" s="156">
        <f t="shared" si="12"/>
        <v>5254</v>
      </c>
      <c r="Z29" s="3">
        <f t="shared" si="13"/>
        <v>4991.2144256000001</v>
      </c>
      <c r="AA29" s="3">
        <f t="shared" si="16"/>
        <v>22710.537532799997</v>
      </c>
    </row>
    <row r="30" spans="1:27" ht="16.5" thickBot="1" x14ac:dyDescent="0.3">
      <c r="A30" s="10">
        <v>44558</v>
      </c>
      <c r="B30" s="43">
        <v>270</v>
      </c>
      <c r="C30" s="150">
        <v>19254</v>
      </c>
      <c r="D30" s="43">
        <f t="shared" si="3"/>
        <v>160</v>
      </c>
      <c r="E30" s="151">
        <v>29359687</v>
      </c>
      <c r="F30" s="43">
        <f t="shared" si="4"/>
        <v>8966</v>
      </c>
      <c r="G30" s="152">
        <v>93270413</v>
      </c>
      <c r="H30" s="43">
        <f t="shared" si="5"/>
        <v>46872</v>
      </c>
      <c r="I30" s="153">
        <f t="shared" si="6"/>
        <v>55838</v>
      </c>
      <c r="J30" s="151">
        <v>9231767</v>
      </c>
      <c r="K30" s="43">
        <f t="shared" si="14"/>
        <v>10474</v>
      </c>
      <c r="L30" s="154">
        <v>9224446</v>
      </c>
      <c r="M30" s="43">
        <f t="shared" si="7"/>
        <v>6655</v>
      </c>
      <c r="N30" s="151">
        <v>6224716</v>
      </c>
      <c r="O30" s="43">
        <f t="shared" si="15"/>
        <v>2146</v>
      </c>
      <c r="P30" s="154">
        <v>5725965</v>
      </c>
      <c r="Q30" s="43">
        <f t="shared" si="8"/>
        <v>7689</v>
      </c>
      <c r="R30" s="151">
        <v>19719762</v>
      </c>
      <c r="S30" s="43">
        <f t="shared" si="9"/>
        <v>10575</v>
      </c>
      <c r="T30" s="151">
        <v>0</v>
      </c>
      <c r="U30" s="155"/>
      <c r="V30" s="151">
        <v>7605214</v>
      </c>
      <c r="W30" s="43">
        <f t="shared" si="10"/>
        <v>11177</v>
      </c>
      <c r="X30" s="21">
        <f t="shared" si="11"/>
        <v>48716</v>
      </c>
      <c r="Y30" s="156">
        <f t="shared" si="12"/>
        <v>7122</v>
      </c>
      <c r="Z30" s="3">
        <f t="shared" si="13"/>
        <v>6703.3343103999996</v>
      </c>
      <c r="AA30" s="3">
        <f t="shared" si="16"/>
        <v>24198.152804799996</v>
      </c>
    </row>
    <row r="31" spans="1:27" ht="16.5" thickBot="1" x14ac:dyDescent="0.3">
      <c r="A31" s="10">
        <v>44559</v>
      </c>
      <c r="B31" s="43">
        <v>269</v>
      </c>
      <c r="C31" s="150">
        <v>19257</v>
      </c>
      <c r="D31" s="43">
        <f t="shared" si="3"/>
        <v>480</v>
      </c>
      <c r="E31" s="151">
        <v>29368989</v>
      </c>
      <c r="F31" s="43">
        <f t="shared" si="4"/>
        <v>9302</v>
      </c>
      <c r="G31" s="152">
        <v>93298138</v>
      </c>
      <c r="H31" s="43">
        <f t="shared" si="5"/>
        <v>27725</v>
      </c>
      <c r="I31" s="153">
        <f t="shared" si="6"/>
        <v>37027</v>
      </c>
      <c r="J31" s="151">
        <v>9235242</v>
      </c>
      <c r="K31" s="43">
        <f t="shared" si="14"/>
        <v>6950</v>
      </c>
      <c r="L31" s="154">
        <v>9229235</v>
      </c>
      <c r="M31" s="43">
        <f t="shared" si="7"/>
        <v>4789</v>
      </c>
      <c r="N31" s="151">
        <v>6226916</v>
      </c>
      <c r="O31" s="43">
        <f t="shared" si="15"/>
        <v>4400</v>
      </c>
      <c r="P31" s="154">
        <v>5727868</v>
      </c>
      <c r="Q31" s="43">
        <f t="shared" si="8"/>
        <v>1903</v>
      </c>
      <c r="R31" s="151">
        <v>19726577</v>
      </c>
      <c r="S31" s="43">
        <f t="shared" si="9"/>
        <v>6815</v>
      </c>
      <c r="T31" s="151">
        <v>0</v>
      </c>
      <c r="U31" s="11"/>
      <c r="V31" s="151">
        <v>7612755</v>
      </c>
      <c r="W31" s="43">
        <f t="shared" si="10"/>
        <v>7541</v>
      </c>
      <c r="X31" s="21">
        <f t="shared" si="11"/>
        <v>32398</v>
      </c>
      <c r="Y31" s="156">
        <f t="shared" si="12"/>
        <v>4629</v>
      </c>
      <c r="Z31" s="3">
        <f t="shared" si="13"/>
        <v>4396.8921152000003</v>
      </c>
      <c r="AA31" s="3">
        <f t="shared" si="16"/>
        <v>23301.622094399998</v>
      </c>
    </row>
    <row r="32" spans="1:27" ht="16.5" thickBot="1" x14ac:dyDescent="0.3">
      <c r="A32" s="10">
        <v>44560</v>
      </c>
      <c r="B32" s="43">
        <v>254</v>
      </c>
      <c r="C32" s="150">
        <v>19260</v>
      </c>
      <c r="D32" s="43">
        <f t="shared" si="3"/>
        <v>480</v>
      </c>
      <c r="E32" s="151">
        <v>29383218</v>
      </c>
      <c r="F32" s="43">
        <f t="shared" si="4"/>
        <v>14229</v>
      </c>
      <c r="G32" s="152">
        <v>93342643</v>
      </c>
      <c r="H32" s="43">
        <f t="shared" si="5"/>
        <v>44505</v>
      </c>
      <c r="I32" s="21">
        <f>F32+H32</f>
        <v>58734</v>
      </c>
      <c r="J32" s="151">
        <v>9240561</v>
      </c>
      <c r="K32" s="43">
        <f t="shared" si="14"/>
        <v>10638</v>
      </c>
      <c r="L32" s="154">
        <v>9236288</v>
      </c>
      <c r="M32" s="43">
        <f t="shared" si="7"/>
        <v>7053</v>
      </c>
      <c r="N32" s="151">
        <v>6230422</v>
      </c>
      <c r="O32" s="43">
        <f t="shared" si="15"/>
        <v>7012</v>
      </c>
      <c r="P32" s="154">
        <v>5730864</v>
      </c>
      <c r="Q32" s="43">
        <f t="shared" si="8"/>
        <v>2996</v>
      </c>
      <c r="R32" s="151">
        <v>19737720</v>
      </c>
      <c r="S32" s="43">
        <f t="shared" si="9"/>
        <v>11143</v>
      </c>
      <c r="T32" s="151">
        <v>0</v>
      </c>
      <c r="U32" s="11"/>
      <c r="V32" s="151">
        <v>7624829</v>
      </c>
      <c r="W32" s="43">
        <f t="shared" si="10"/>
        <v>12074</v>
      </c>
      <c r="X32" s="21">
        <f t="shared" si="11"/>
        <v>50916</v>
      </c>
      <c r="Y32" s="156">
        <f t="shared" si="12"/>
        <v>7818</v>
      </c>
      <c r="Z32" s="3">
        <f t="shared" si="13"/>
        <v>7083.9569424000001</v>
      </c>
      <c r="AA32" s="3">
        <f t="shared" si="16"/>
        <v>23175.397793600001</v>
      </c>
    </row>
    <row r="33" spans="1:27" ht="16.5" thickBot="1" x14ac:dyDescent="0.3">
      <c r="A33" s="10">
        <v>44561</v>
      </c>
      <c r="B33" s="43">
        <v>286</v>
      </c>
      <c r="C33" s="150">
        <v>19263</v>
      </c>
      <c r="D33" s="43">
        <f t="shared" si="3"/>
        <v>480</v>
      </c>
      <c r="E33" s="151">
        <v>29394326</v>
      </c>
      <c r="F33" s="43">
        <f t="shared" si="4"/>
        <v>11108</v>
      </c>
      <c r="G33" s="152">
        <v>93376522</v>
      </c>
      <c r="H33" s="43">
        <f t="shared" si="5"/>
        <v>33879</v>
      </c>
      <c r="I33" s="21">
        <f>F33+H33</f>
        <v>44987</v>
      </c>
      <c r="J33" s="151">
        <v>9244110</v>
      </c>
      <c r="K33" s="43">
        <f t="shared" si="14"/>
        <v>7098</v>
      </c>
      <c r="L33" s="154">
        <v>9241929</v>
      </c>
      <c r="M33" s="43">
        <f t="shared" si="7"/>
        <v>5641</v>
      </c>
      <c r="N33" s="151">
        <v>6233074</v>
      </c>
      <c r="O33" s="43">
        <f t="shared" si="15"/>
        <v>5304</v>
      </c>
      <c r="P33" s="154">
        <v>5733151</v>
      </c>
      <c r="Q33" s="43">
        <f t="shared" si="8"/>
        <v>2287</v>
      </c>
      <c r="R33" s="151">
        <v>19746392</v>
      </c>
      <c r="S33" s="43">
        <f t="shared" si="9"/>
        <v>8672</v>
      </c>
      <c r="T33" s="151">
        <v>0</v>
      </c>
      <c r="U33" s="11"/>
      <c r="V33" s="151">
        <v>7634077</v>
      </c>
      <c r="W33" s="43">
        <f t="shared" si="10"/>
        <v>9248</v>
      </c>
      <c r="X33" s="21">
        <f t="shared" si="11"/>
        <v>38250</v>
      </c>
      <c r="Y33" s="156">
        <f t="shared" si="12"/>
        <v>6737</v>
      </c>
      <c r="Z33" s="3">
        <f t="shared" si="13"/>
        <v>5448.3902720000006</v>
      </c>
      <c r="AA33" s="3">
        <f t="shared" si="16"/>
        <v>23632.573639999999</v>
      </c>
    </row>
    <row r="34" spans="1:27" ht="16.5" thickBot="1" x14ac:dyDescent="0.3">
      <c r="A34" s="6" t="s">
        <v>23</v>
      </c>
      <c r="B34" s="142">
        <f>SUM(B3:B33)</f>
        <v>7073</v>
      </c>
      <c r="C34" s="142"/>
      <c r="D34" s="142">
        <f>SUM(D3:D33)</f>
        <v>14240</v>
      </c>
      <c r="E34" s="60">
        <v>0</v>
      </c>
      <c r="F34" s="60">
        <f>SUM(F3:F33)</f>
        <v>390728</v>
      </c>
      <c r="G34" s="60">
        <v>0</v>
      </c>
      <c r="H34" s="60">
        <f>SUM(H3:H33)</f>
        <v>1236612</v>
      </c>
      <c r="I34" s="60">
        <f>SUM(I6:I33)</f>
        <v>1445517</v>
      </c>
      <c r="J34" s="60">
        <v>0</v>
      </c>
      <c r="K34" s="60">
        <f>SUM(K3:K33)</f>
        <v>287874</v>
      </c>
      <c r="L34" s="60">
        <v>0</v>
      </c>
      <c r="M34" s="60">
        <f>SUM(M3:M33)</f>
        <v>189702</v>
      </c>
      <c r="N34" s="60">
        <v>0</v>
      </c>
      <c r="O34" s="60">
        <f>SUM(O3:O33)</f>
        <v>198256</v>
      </c>
      <c r="P34" s="60">
        <v>0</v>
      </c>
      <c r="Q34" s="60">
        <f>SUM(Q3:Q33)</f>
        <v>114595</v>
      </c>
      <c r="R34" s="60">
        <v>0</v>
      </c>
      <c r="S34" s="60">
        <f>SUM(S3:S33)</f>
        <v>299966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324849</v>
      </c>
      <c r="X34" s="60">
        <f>SUM(X6:X33)</f>
        <v>1255501</v>
      </c>
      <c r="Y34" s="60">
        <f>SUM(Y3:Y33)</f>
        <v>212098</v>
      </c>
      <c r="Z34" s="60">
        <f>SUM(Z3:Z33)</f>
        <v>196942.91125599999</v>
      </c>
      <c r="AA34" s="60">
        <f>SUM(AA3:AA33)</f>
        <v>744578.34705279989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H33" sqref="H3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v>434332</v>
      </c>
      <c r="C14" s="43">
        <f t="shared" si="8"/>
        <v>880</v>
      </c>
      <c r="D14" s="3">
        <v>560</v>
      </c>
      <c r="E14" s="43">
        <f t="shared" si="3"/>
        <v>400</v>
      </c>
      <c r="F14" s="3">
        <v>7163700</v>
      </c>
      <c r="G14" s="43">
        <f t="shared" si="6"/>
        <v>318.60000000000002</v>
      </c>
      <c r="H14" s="3">
        <v>762754</v>
      </c>
      <c r="I14" s="48">
        <f t="shared" si="7"/>
        <v>5.4809999999999999</v>
      </c>
      <c r="J14" s="21">
        <f t="shared" si="4"/>
        <v>1604.0809999999999</v>
      </c>
      <c r="K14" s="22">
        <f t="shared" si="5"/>
        <v>9399.9146600000004</v>
      </c>
    </row>
    <row r="15" spans="1:14" ht="16.5" thickBot="1" x14ac:dyDescent="0.3">
      <c r="A15" s="10">
        <v>44543</v>
      </c>
      <c r="B15" s="3">
        <v>434410</v>
      </c>
      <c r="C15" s="43">
        <f t="shared" si="8"/>
        <v>780</v>
      </c>
      <c r="D15" s="3">
        <v>601</v>
      </c>
      <c r="E15" s="43">
        <f t="shared" si="3"/>
        <v>410</v>
      </c>
      <c r="F15" s="3">
        <v>7176200</v>
      </c>
      <c r="G15" s="43">
        <f t="shared" si="6"/>
        <v>337.5</v>
      </c>
      <c r="H15" s="3">
        <v>762944</v>
      </c>
      <c r="I15" s="48">
        <f t="shared" si="7"/>
        <v>5.13</v>
      </c>
      <c r="J15" s="21">
        <f t="shared" si="4"/>
        <v>1532.63</v>
      </c>
      <c r="K15" s="22">
        <f t="shared" si="5"/>
        <v>8981.2118000000009</v>
      </c>
    </row>
    <row r="16" spans="1:14" ht="16.5" thickBot="1" x14ac:dyDescent="0.3">
      <c r="A16" s="10">
        <v>44544</v>
      </c>
      <c r="B16" s="3">
        <v>434497</v>
      </c>
      <c r="C16" s="43">
        <f t="shared" si="8"/>
        <v>870</v>
      </c>
      <c r="D16" s="3">
        <v>639</v>
      </c>
      <c r="E16" s="43">
        <f t="shared" si="3"/>
        <v>380</v>
      </c>
      <c r="F16" s="3">
        <v>7189500</v>
      </c>
      <c r="G16" s="43">
        <f t="shared" si="6"/>
        <v>359.1</v>
      </c>
      <c r="H16" s="3">
        <v>763124</v>
      </c>
      <c r="I16" s="48">
        <f t="shared" si="7"/>
        <v>4.8600000000000003</v>
      </c>
      <c r="J16" s="21">
        <f t="shared" si="4"/>
        <v>1613.9599999999998</v>
      </c>
      <c r="K16" s="22">
        <f t="shared" si="5"/>
        <v>9457.8055999999997</v>
      </c>
    </row>
    <row r="17" spans="1:25" ht="16.5" thickBot="1" x14ac:dyDescent="0.3">
      <c r="A17" s="10">
        <v>44545</v>
      </c>
      <c r="B17" s="3">
        <v>434574</v>
      </c>
      <c r="C17" s="43">
        <f t="shared" si="8"/>
        <v>770</v>
      </c>
      <c r="D17" s="3">
        <v>677</v>
      </c>
      <c r="E17" s="43">
        <f t="shared" si="3"/>
        <v>380</v>
      </c>
      <c r="F17" s="3">
        <v>7201000</v>
      </c>
      <c r="G17" s="43">
        <f t="shared" si="6"/>
        <v>310.5</v>
      </c>
      <c r="H17" s="3">
        <v>763320</v>
      </c>
      <c r="I17" s="48">
        <f t="shared" si="7"/>
        <v>5.2919999999999998</v>
      </c>
      <c r="J17" s="21">
        <f t="shared" si="4"/>
        <v>1465.7919999999999</v>
      </c>
      <c r="K17" s="22">
        <f t="shared" si="5"/>
        <v>8589.5411199999999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v>434650</v>
      </c>
      <c r="C18" s="43">
        <f t="shared" si="8"/>
        <v>760</v>
      </c>
      <c r="D18" s="3">
        <v>715</v>
      </c>
      <c r="E18" s="43">
        <f t="shared" si="3"/>
        <v>380</v>
      </c>
      <c r="F18" s="3">
        <v>7214300</v>
      </c>
      <c r="G18" s="43">
        <f t="shared" si="6"/>
        <v>359.1</v>
      </c>
      <c r="H18" s="3">
        <v>763532</v>
      </c>
      <c r="I18" s="48">
        <f t="shared" si="7"/>
        <v>5.7240000000000002</v>
      </c>
      <c r="J18" s="21">
        <f t="shared" si="4"/>
        <v>1504.8239999999998</v>
      </c>
      <c r="K18" s="22">
        <f t="shared" si="5"/>
        <v>8818.2686400000002</v>
      </c>
      <c r="Q18" t="s">
        <v>43</v>
      </c>
    </row>
    <row r="19" spans="1:25" ht="16.5" thickBot="1" x14ac:dyDescent="0.3">
      <c r="A19" s="10">
        <v>44547</v>
      </c>
      <c r="B19" s="3">
        <v>434723</v>
      </c>
      <c r="C19" s="43">
        <f t="shared" si="8"/>
        <v>730</v>
      </c>
      <c r="D19" s="3">
        <v>747</v>
      </c>
      <c r="E19" s="43">
        <f t="shared" si="3"/>
        <v>320</v>
      </c>
      <c r="F19" s="3">
        <v>7224500</v>
      </c>
      <c r="G19" s="43">
        <f t="shared" si="6"/>
        <v>275.39999999999998</v>
      </c>
      <c r="H19" s="3">
        <v>763699</v>
      </c>
      <c r="I19" s="48">
        <f t="shared" si="7"/>
        <v>4.5090000000000003</v>
      </c>
      <c r="J19" s="21">
        <f t="shared" si="4"/>
        <v>1329.9090000000001</v>
      </c>
      <c r="K19" s="22">
        <f t="shared" si="5"/>
        <v>7793.2667400000009</v>
      </c>
      <c r="Q19" t="s">
        <v>12</v>
      </c>
    </row>
    <row r="20" spans="1:25" ht="16.5" thickBot="1" x14ac:dyDescent="0.3">
      <c r="A20" s="10">
        <v>44548</v>
      </c>
      <c r="B20" s="3">
        <v>434794</v>
      </c>
      <c r="C20" s="43">
        <f t="shared" si="8"/>
        <v>710</v>
      </c>
      <c r="D20" s="3">
        <v>781</v>
      </c>
      <c r="E20" s="43">
        <f t="shared" si="3"/>
        <v>340</v>
      </c>
      <c r="F20" s="3">
        <v>7235600</v>
      </c>
      <c r="G20" s="43">
        <f t="shared" si="6"/>
        <v>299.7</v>
      </c>
      <c r="H20" s="3">
        <v>763879</v>
      </c>
      <c r="I20" s="48">
        <f t="shared" si="7"/>
        <v>4.8600000000000003</v>
      </c>
      <c r="J20" s="21">
        <f t="shared" si="4"/>
        <v>1354.56</v>
      </c>
      <c r="K20" s="22">
        <f t="shared" si="5"/>
        <v>7937.7215999999999</v>
      </c>
    </row>
    <row r="21" spans="1:25" ht="16.5" thickBot="1" x14ac:dyDescent="0.3">
      <c r="A21" s="10">
        <v>44549</v>
      </c>
      <c r="B21" s="3">
        <v>434874</v>
      </c>
      <c r="C21" s="43">
        <f t="shared" si="8"/>
        <v>800</v>
      </c>
      <c r="D21" s="3">
        <v>820</v>
      </c>
      <c r="E21" s="43">
        <f t="shared" si="3"/>
        <v>390</v>
      </c>
      <c r="F21" s="3">
        <v>7245200</v>
      </c>
      <c r="G21" s="43">
        <f t="shared" si="6"/>
        <v>259.2</v>
      </c>
      <c r="H21" s="3">
        <v>764057</v>
      </c>
      <c r="I21" s="48">
        <f t="shared" si="7"/>
        <v>4.806</v>
      </c>
      <c r="J21" s="21">
        <f t="shared" si="4"/>
        <v>1454.0060000000001</v>
      </c>
      <c r="K21" s="22">
        <f t="shared" si="5"/>
        <v>8520.4751600000018</v>
      </c>
    </row>
    <row r="22" spans="1:25" ht="16.5" thickBot="1" x14ac:dyDescent="0.3">
      <c r="A22" s="10">
        <v>44550</v>
      </c>
      <c r="B22" s="3">
        <v>434944</v>
      </c>
      <c r="C22" s="43">
        <f t="shared" si="8"/>
        <v>700</v>
      </c>
      <c r="D22" s="3">
        <v>855</v>
      </c>
      <c r="E22" s="43">
        <f t="shared" si="3"/>
        <v>350</v>
      </c>
      <c r="F22" s="3">
        <v>7255800</v>
      </c>
      <c r="G22" s="43">
        <f t="shared" si="6"/>
        <v>286.2</v>
      </c>
      <c r="H22" s="3">
        <v>764241</v>
      </c>
      <c r="I22" s="48">
        <f t="shared" si="7"/>
        <v>4.968</v>
      </c>
      <c r="J22" s="21">
        <f t="shared" si="4"/>
        <v>1341.1680000000001</v>
      </c>
      <c r="K22" s="22">
        <f t="shared" si="5"/>
        <v>7859.2444800000012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v>435016</v>
      </c>
      <c r="C23" s="43">
        <f t="shared" si="8"/>
        <v>720</v>
      </c>
      <c r="D23" s="3">
        <v>893</v>
      </c>
      <c r="E23" s="43">
        <f t="shared" si="3"/>
        <v>380</v>
      </c>
      <c r="F23" s="3">
        <v>7265000</v>
      </c>
      <c r="G23" s="43">
        <f t="shared" si="6"/>
        <v>248.4</v>
      </c>
      <c r="H23" s="3">
        <v>764416</v>
      </c>
      <c r="I23" s="48">
        <f t="shared" si="7"/>
        <v>4.7249999999999996</v>
      </c>
      <c r="J23" s="21">
        <f t="shared" si="4"/>
        <v>1353.125</v>
      </c>
      <c r="K23" s="22">
        <f t="shared" si="5"/>
        <v>7929.3125</v>
      </c>
      <c r="Q23" t="s">
        <v>12</v>
      </c>
    </row>
    <row r="24" spans="1:25" ht="16.5" thickBot="1" x14ac:dyDescent="0.3">
      <c r="A24" s="10">
        <v>44552</v>
      </c>
      <c r="B24" s="3">
        <v>435096</v>
      </c>
      <c r="C24" s="43">
        <f t="shared" si="8"/>
        <v>800</v>
      </c>
      <c r="D24" s="3">
        <v>934</v>
      </c>
      <c r="E24" s="43">
        <f t="shared" si="3"/>
        <v>410</v>
      </c>
      <c r="F24" s="3">
        <v>7276300</v>
      </c>
      <c r="G24" s="43">
        <f t="shared" si="6"/>
        <v>305.10000000000002</v>
      </c>
      <c r="H24" s="3">
        <v>764603</v>
      </c>
      <c r="I24" s="48">
        <f t="shared" si="7"/>
        <v>5.0490000000000004</v>
      </c>
      <c r="J24" s="21">
        <f t="shared" si="4"/>
        <v>1520.1489999999999</v>
      </c>
      <c r="K24" s="22">
        <f t="shared" si="5"/>
        <v>8908.0731400000004</v>
      </c>
    </row>
    <row r="25" spans="1:25" ht="17.25" customHeight="1" thickBot="1" x14ac:dyDescent="0.4">
      <c r="A25" s="10">
        <v>44553</v>
      </c>
      <c r="B25" s="3">
        <v>435176</v>
      </c>
      <c r="C25" s="43">
        <f t="shared" si="8"/>
        <v>800</v>
      </c>
      <c r="D25" s="3">
        <v>975</v>
      </c>
      <c r="E25" s="43">
        <f t="shared" si="3"/>
        <v>410</v>
      </c>
      <c r="F25" s="3">
        <v>7288000</v>
      </c>
      <c r="G25" s="43">
        <f t="shared" si="6"/>
        <v>315.89999999999998</v>
      </c>
      <c r="H25" s="3">
        <v>764793</v>
      </c>
      <c r="I25" s="48">
        <f t="shared" si="7"/>
        <v>5.13</v>
      </c>
      <c r="J25" s="21">
        <f t="shared" si="4"/>
        <v>1531.0300000000002</v>
      </c>
      <c r="K25" s="22">
        <f t="shared" si="5"/>
        <v>8971.8358000000026</v>
      </c>
      <c r="Y25" s="59"/>
    </row>
    <row r="26" spans="1:25" ht="16.5" thickBot="1" x14ac:dyDescent="0.3">
      <c r="A26" s="10">
        <v>44554</v>
      </c>
      <c r="B26" s="3">
        <v>435256</v>
      </c>
      <c r="C26" s="43">
        <f t="shared" si="8"/>
        <v>800</v>
      </c>
      <c r="D26" s="3">
        <v>1016</v>
      </c>
      <c r="E26" s="43">
        <f t="shared" si="3"/>
        <v>410</v>
      </c>
      <c r="F26" s="3">
        <v>7299700</v>
      </c>
      <c r="G26" s="43">
        <f t="shared" si="6"/>
        <v>315.89999999999998</v>
      </c>
      <c r="H26" s="3">
        <v>764983</v>
      </c>
      <c r="I26" s="48">
        <f t="shared" si="7"/>
        <v>5.13</v>
      </c>
      <c r="J26" s="21">
        <f t="shared" si="4"/>
        <v>1531.0300000000002</v>
      </c>
      <c r="K26" s="22">
        <f t="shared" si="5"/>
        <v>8971.8358000000026</v>
      </c>
      <c r="L26" t="s">
        <v>12</v>
      </c>
    </row>
    <row r="27" spans="1:25" ht="16.5" thickBot="1" x14ac:dyDescent="0.3">
      <c r="A27" s="10">
        <v>44555</v>
      </c>
      <c r="B27" s="3">
        <v>435326</v>
      </c>
      <c r="C27" s="43">
        <f t="shared" si="8"/>
        <v>700</v>
      </c>
      <c r="D27" s="3">
        <v>1056</v>
      </c>
      <c r="E27" s="43">
        <f t="shared" si="3"/>
        <v>400</v>
      </c>
      <c r="F27" s="3">
        <v>7309400</v>
      </c>
      <c r="G27" s="43">
        <f t="shared" si="6"/>
        <v>261.89999999999998</v>
      </c>
      <c r="H27" s="3">
        <v>765141</v>
      </c>
      <c r="I27" s="48">
        <f t="shared" si="7"/>
        <v>4.266</v>
      </c>
      <c r="J27" s="21">
        <f t="shared" si="4"/>
        <v>1366.1660000000002</v>
      </c>
      <c r="K27" s="22">
        <f t="shared" si="5"/>
        <v>8005.7327600000017</v>
      </c>
      <c r="O27" t="s">
        <v>12</v>
      </c>
    </row>
    <row r="28" spans="1:25" ht="16.5" thickBot="1" x14ac:dyDescent="0.3">
      <c r="A28" s="10">
        <v>44556</v>
      </c>
      <c r="B28" s="3">
        <v>435406</v>
      </c>
      <c r="C28" s="43">
        <f t="shared" si="8"/>
        <v>800</v>
      </c>
      <c r="D28" s="3">
        <v>1097</v>
      </c>
      <c r="E28" s="43">
        <f t="shared" si="3"/>
        <v>410</v>
      </c>
      <c r="F28" s="3">
        <v>7321300</v>
      </c>
      <c r="G28" s="43">
        <f t="shared" si="6"/>
        <v>321.3</v>
      </c>
      <c r="H28" s="3">
        <v>765325</v>
      </c>
      <c r="I28" s="48">
        <f t="shared" si="7"/>
        <v>4.968</v>
      </c>
      <c r="J28" s="21">
        <f t="shared" si="4"/>
        <v>1536.268</v>
      </c>
      <c r="K28" s="22">
        <f t="shared" si="5"/>
        <v>9002.5304800000013</v>
      </c>
    </row>
    <row r="29" spans="1:25" ht="16.5" thickBot="1" x14ac:dyDescent="0.3">
      <c r="A29" s="10">
        <v>44557</v>
      </c>
      <c r="B29" s="3">
        <v>435477</v>
      </c>
      <c r="C29" s="43">
        <f t="shared" si="8"/>
        <v>710</v>
      </c>
      <c r="D29" s="3">
        <v>1134</v>
      </c>
      <c r="E29" s="43">
        <f t="shared" si="3"/>
        <v>370</v>
      </c>
      <c r="F29" s="3">
        <v>7332200</v>
      </c>
      <c r="G29" s="43">
        <f t="shared" si="6"/>
        <v>294.3</v>
      </c>
      <c r="H29" s="3">
        <v>765495</v>
      </c>
      <c r="I29" s="48">
        <f t="shared" si="7"/>
        <v>4.59</v>
      </c>
      <c r="J29" s="21">
        <f t="shared" si="4"/>
        <v>1378.8899999999999</v>
      </c>
      <c r="K29" s="22">
        <f t="shared" si="5"/>
        <v>8080.2954</v>
      </c>
    </row>
    <row r="30" spans="1:25" ht="16.5" thickBot="1" x14ac:dyDescent="0.3">
      <c r="A30" s="10">
        <v>44558</v>
      </c>
      <c r="B30" s="3">
        <v>435553</v>
      </c>
      <c r="C30" s="43">
        <f t="shared" si="8"/>
        <v>760</v>
      </c>
      <c r="D30" s="3">
        <v>1174</v>
      </c>
      <c r="E30" s="43">
        <f t="shared" si="3"/>
        <v>400</v>
      </c>
      <c r="F30" s="3">
        <v>7343200</v>
      </c>
      <c r="G30" s="43">
        <f t="shared" si="6"/>
        <v>297</v>
      </c>
      <c r="H30" s="3">
        <v>765673</v>
      </c>
      <c r="I30" s="48">
        <f t="shared" si="7"/>
        <v>4.806</v>
      </c>
      <c r="J30" s="21">
        <f t="shared" si="4"/>
        <v>1461.806</v>
      </c>
      <c r="K30" s="22">
        <f t="shared" si="5"/>
        <v>8566.1831600000005</v>
      </c>
    </row>
    <row r="31" spans="1:25" ht="16.5" thickBot="1" x14ac:dyDescent="0.3">
      <c r="A31" s="10">
        <v>44559</v>
      </c>
      <c r="B31" s="3">
        <v>435632</v>
      </c>
      <c r="C31" s="43">
        <f t="shared" si="8"/>
        <v>790</v>
      </c>
      <c r="D31" s="3">
        <v>1219</v>
      </c>
      <c r="E31" s="43">
        <f t="shared" si="3"/>
        <v>450</v>
      </c>
      <c r="F31" s="3">
        <v>7357000</v>
      </c>
      <c r="G31" s="43">
        <f t="shared" si="6"/>
        <v>372.6</v>
      </c>
      <c r="H31" s="3">
        <v>765858</v>
      </c>
      <c r="I31" s="48">
        <f t="shared" si="7"/>
        <v>4.9950000000000001</v>
      </c>
      <c r="J31" s="21">
        <f t="shared" si="4"/>
        <v>1617.5949999999998</v>
      </c>
      <c r="K31" s="22">
        <f t="shared" si="5"/>
        <v>9479.1066999999985</v>
      </c>
    </row>
    <row r="32" spans="1:25" ht="16.5" thickBot="1" x14ac:dyDescent="0.3">
      <c r="A32" s="10">
        <v>44560</v>
      </c>
      <c r="B32" s="3">
        <v>435711</v>
      </c>
      <c r="C32" s="43">
        <f t="shared" si="8"/>
        <v>790</v>
      </c>
      <c r="D32" s="3">
        <v>1264</v>
      </c>
      <c r="E32" s="43">
        <f t="shared" si="3"/>
        <v>450</v>
      </c>
      <c r="F32" s="3">
        <v>7375300</v>
      </c>
      <c r="G32" s="43">
        <f t="shared" si="6"/>
        <v>494.1</v>
      </c>
      <c r="H32" s="3">
        <v>766043</v>
      </c>
      <c r="I32" s="48">
        <f t="shared" si="7"/>
        <v>4.9950000000000001</v>
      </c>
      <c r="J32" s="21">
        <f t="shared" si="4"/>
        <v>1739.0949999999998</v>
      </c>
      <c r="K32" s="22">
        <f t="shared" si="5"/>
        <v>10191.0967</v>
      </c>
    </row>
    <row r="33" spans="1:11" ht="16.5" thickBot="1" x14ac:dyDescent="0.3">
      <c r="A33" s="10">
        <v>44561</v>
      </c>
      <c r="B33" s="3">
        <v>435789</v>
      </c>
      <c r="C33" s="43">
        <f t="shared" si="8"/>
        <v>780</v>
      </c>
      <c r="D33" s="3">
        <v>1292</v>
      </c>
      <c r="E33" s="43">
        <f t="shared" si="3"/>
        <v>280</v>
      </c>
      <c r="F33" s="3">
        <v>7381100</v>
      </c>
      <c r="G33" s="43">
        <f t="shared" si="6"/>
        <v>156.6</v>
      </c>
      <c r="H33" s="3">
        <v>766162</v>
      </c>
      <c r="I33" s="48">
        <f t="shared" si="7"/>
        <v>3.2130000000000001</v>
      </c>
      <c r="J33" s="21">
        <f t="shared" si="4"/>
        <v>1219.8129999999999</v>
      </c>
      <c r="K33" s="22">
        <f t="shared" si="5"/>
        <v>7148.1041799999994</v>
      </c>
    </row>
    <row r="34" spans="1:11" ht="21" thickBot="1" x14ac:dyDescent="0.3">
      <c r="A34" s="9" t="s">
        <v>23</v>
      </c>
      <c r="B34" s="3"/>
      <c r="C34" s="60">
        <f>SUM(C4:C33)</f>
        <v>25480</v>
      </c>
      <c r="D34" s="3"/>
      <c r="E34" s="60">
        <f>SUM(E4:E33)</f>
        <v>11840</v>
      </c>
      <c r="F34" s="3"/>
      <c r="G34" s="60">
        <f>SUM(G4:G33)</f>
        <v>11445.3</v>
      </c>
      <c r="H34" s="3"/>
      <c r="I34" s="60">
        <f>SUM(I4:I33)</f>
        <v>146.74500000000003</v>
      </c>
      <c r="J34" s="60">
        <f>SUM(J4:J33)</f>
        <v>48912.045000000006</v>
      </c>
      <c r="K34" s="60">
        <f>SUM(K4:K33)</f>
        <v>286624.58370000002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pane xSplit="1" topLeftCell="B1" activePane="topRight" state="frozen"/>
      <selection pane="topRight" activeCell="D33" sqref="D3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v>17810950</v>
      </c>
      <c r="C14" s="49">
        <f t="shared" si="0"/>
        <v>1761</v>
      </c>
    </row>
    <row r="15" spans="1:9" ht="24" thickBot="1" x14ac:dyDescent="0.4">
      <c r="A15" s="10">
        <v>44543</v>
      </c>
      <c r="B15" s="137">
        <v>17815454</v>
      </c>
      <c r="C15" s="49">
        <f t="shared" si="0"/>
        <v>4504</v>
      </c>
      <c r="I15" t="s">
        <v>12</v>
      </c>
    </row>
    <row r="16" spans="1:9" ht="26.25" customHeight="1" thickBot="1" x14ac:dyDescent="0.4">
      <c r="A16" s="10">
        <v>44544</v>
      </c>
      <c r="B16" s="137">
        <v>17817704</v>
      </c>
      <c r="C16" s="49">
        <f t="shared" si="0"/>
        <v>2250</v>
      </c>
    </row>
    <row r="17" spans="1:9" ht="25.5" customHeight="1" thickBot="1" x14ac:dyDescent="0.4">
      <c r="A17" s="10">
        <v>44545</v>
      </c>
      <c r="B17" s="137">
        <v>17819924</v>
      </c>
      <c r="C17" s="49">
        <f t="shared" si="0"/>
        <v>2220</v>
      </c>
    </row>
    <row r="18" spans="1:9" ht="24" thickBot="1" x14ac:dyDescent="0.4">
      <c r="A18" s="10">
        <v>44546</v>
      </c>
      <c r="B18" s="137">
        <v>17822257</v>
      </c>
      <c r="C18" s="49">
        <f t="shared" si="0"/>
        <v>2333</v>
      </c>
    </row>
    <row r="19" spans="1:9" ht="24" thickBot="1" x14ac:dyDescent="0.4">
      <c r="A19" s="10">
        <v>44547</v>
      </c>
      <c r="B19" s="137">
        <v>17825470</v>
      </c>
      <c r="C19" s="49">
        <f t="shared" si="0"/>
        <v>3213</v>
      </c>
    </row>
    <row r="20" spans="1:9" ht="24" thickBot="1" x14ac:dyDescent="0.4">
      <c r="A20" s="10">
        <v>44548</v>
      </c>
      <c r="B20" s="137">
        <v>17828251</v>
      </c>
      <c r="C20" s="49">
        <f t="shared" si="0"/>
        <v>2781</v>
      </c>
    </row>
    <row r="21" spans="1:9" ht="24" thickBot="1" x14ac:dyDescent="0.4">
      <c r="A21" s="10">
        <v>44549</v>
      </c>
      <c r="B21" s="137">
        <v>17831641</v>
      </c>
      <c r="C21" s="49">
        <f t="shared" si="0"/>
        <v>3390</v>
      </c>
    </row>
    <row r="22" spans="1:9" ht="24" thickBot="1" x14ac:dyDescent="0.4">
      <c r="A22" s="10">
        <v>44550</v>
      </c>
      <c r="B22" s="137">
        <v>17834515</v>
      </c>
      <c r="C22" s="49">
        <f t="shared" si="0"/>
        <v>2874</v>
      </c>
    </row>
    <row r="23" spans="1:9" ht="24" thickBot="1" x14ac:dyDescent="0.4">
      <c r="A23" s="10">
        <v>44551</v>
      </c>
      <c r="B23" s="137">
        <v>17836574</v>
      </c>
      <c r="C23" s="49">
        <f t="shared" si="0"/>
        <v>2059</v>
      </c>
      <c r="F23" t="s">
        <v>12</v>
      </c>
    </row>
    <row r="24" spans="1:9" ht="24" thickBot="1" x14ac:dyDescent="0.4">
      <c r="A24" s="10">
        <v>44552</v>
      </c>
      <c r="B24" s="137">
        <v>17839015</v>
      </c>
      <c r="C24" s="49">
        <f t="shared" si="0"/>
        <v>2441</v>
      </c>
      <c r="E24" t="s">
        <v>12</v>
      </c>
    </row>
    <row r="25" spans="1:9" ht="24" thickBot="1" x14ac:dyDescent="0.4">
      <c r="A25" s="10">
        <v>44553</v>
      </c>
      <c r="B25" s="137">
        <v>17844384</v>
      </c>
      <c r="C25" s="49">
        <f t="shared" si="0"/>
        <v>5369</v>
      </c>
    </row>
    <row r="26" spans="1:9" ht="24" thickBot="1" x14ac:dyDescent="0.4">
      <c r="A26" s="10">
        <v>44554</v>
      </c>
      <c r="B26" s="137">
        <v>17847146</v>
      </c>
      <c r="C26" s="49">
        <f t="shared" si="0"/>
        <v>2762</v>
      </c>
    </row>
    <row r="27" spans="1:9" ht="24" thickBot="1" x14ac:dyDescent="0.4">
      <c r="A27" s="10">
        <v>44555</v>
      </c>
      <c r="B27" s="137">
        <v>17849650</v>
      </c>
      <c r="C27" s="49">
        <f t="shared" si="0"/>
        <v>2504</v>
      </c>
    </row>
    <row r="28" spans="1:9" ht="24" thickBot="1" x14ac:dyDescent="0.4">
      <c r="A28" s="10">
        <v>44556</v>
      </c>
      <c r="B28" s="137">
        <v>17851970</v>
      </c>
      <c r="C28" s="49">
        <f t="shared" si="0"/>
        <v>2320</v>
      </c>
      <c r="I28" t="s">
        <v>12</v>
      </c>
    </row>
    <row r="29" spans="1:9" ht="24" thickBot="1" x14ac:dyDescent="0.4">
      <c r="A29" s="10">
        <v>44557</v>
      </c>
      <c r="B29" s="137">
        <v>17854688</v>
      </c>
      <c r="C29" s="49">
        <f t="shared" si="0"/>
        <v>2718</v>
      </c>
    </row>
    <row r="30" spans="1:9" ht="24" thickBot="1" x14ac:dyDescent="0.4">
      <c r="A30" s="10">
        <v>44558</v>
      </c>
      <c r="B30" s="137">
        <v>17860426</v>
      </c>
      <c r="C30" s="49">
        <f t="shared" si="0"/>
        <v>5738</v>
      </c>
    </row>
    <row r="31" spans="1:9" ht="24" thickBot="1" x14ac:dyDescent="0.4">
      <c r="A31" s="10">
        <v>44559</v>
      </c>
      <c r="B31" s="137">
        <v>17863630</v>
      </c>
      <c r="C31" s="49">
        <f t="shared" si="0"/>
        <v>3204</v>
      </c>
    </row>
    <row r="32" spans="1:9" ht="24" thickBot="1" x14ac:dyDescent="0.4">
      <c r="A32" s="10">
        <v>44560</v>
      </c>
      <c r="B32" s="137">
        <v>17866587</v>
      </c>
      <c r="C32" s="49">
        <f t="shared" si="0"/>
        <v>2957</v>
      </c>
    </row>
    <row r="33" spans="1:3" ht="24" thickBot="1" x14ac:dyDescent="0.4">
      <c r="A33" s="10">
        <v>44561</v>
      </c>
      <c r="B33" s="137">
        <v>17869775</v>
      </c>
      <c r="C33" s="49">
        <f t="shared" si="0"/>
        <v>3188</v>
      </c>
    </row>
    <row r="34" spans="1:3" ht="24" thickBot="1" x14ac:dyDescent="0.4">
      <c r="A34" s="171" t="s">
        <v>138</v>
      </c>
      <c r="B34" s="172"/>
      <c r="C34" s="140">
        <f>SUM(C4:C33)</f>
        <v>83954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G32" sqref="AG32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44532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44533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44534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44535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44536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44537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44538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44539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44540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44541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v>22744.157999999999</v>
      </c>
      <c r="C14" s="48">
        <f t="shared" si="15"/>
        <v>3.8539999999993597</v>
      </c>
      <c r="D14" s="32">
        <f t="shared" si="16"/>
        <v>7322.5999999987826</v>
      </c>
      <c r="E14" s="1">
        <v>4071.9960000000001</v>
      </c>
      <c r="F14" s="48">
        <f t="shared" si="17"/>
        <v>1.218000000000302</v>
      </c>
      <c r="G14" s="32">
        <f t="shared" si="18"/>
        <v>2314.2000000005737</v>
      </c>
      <c r="H14" s="1">
        <v>4471</v>
      </c>
      <c r="I14" s="48">
        <f t="shared" si="19"/>
        <v>0</v>
      </c>
      <c r="J14" s="32">
        <f t="shared" si="20"/>
        <v>0</v>
      </c>
      <c r="K14" s="7">
        <v>13873.01</v>
      </c>
      <c r="L14" s="48">
        <f t="shared" si="21"/>
        <v>2.6100000000005821</v>
      </c>
      <c r="M14" s="32">
        <f t="shared" si="22"/>
        <v>4959.000000001105</v>
      </c>
      <c r="N14" s="7">
        <v>3349.4459999999999</v>
      </c>
      <c r="O14" s="48">
        <f>IF((N14-N13)&lt;0,"0",(N14-N13))</f>
        <v>1.44399999999996</v>
      </c>
      <c r="P14" s="32">
        <f t="shared" si="24"/>
        <v>2743.599999999924</v>
      </c>
      <c r="Q14" s="7">
        <v>5284.61</v>
      </c>
      <c r="R14" s="48">
        <f t="shared" si="25"/>
        <v>1.2899999999999636</v>
      </c>
      <c r="S14" s="32">
        <f t="shared" si="26"/>
        <v>2450.9999999999309</v>
      </c>
      <c r="T14" s="8">
        <f t="shared" si="34"/>
        <v>10.416000000000167</v>
      </c>
      <c r="U14" s="34">
        <f t="shared" si="27"/>
        <v>19790.400000000318</v>
      </c>
      <c r="W14" s="162">
        <v>44542</v>
      </c>
      <c r="X14" s="163">
        <v>162390</v>
      </c>
      <c r="Y14" s="169">
        <f t="shared" si="31"/>
        <v>23</v>
      </c>
      <c r="Z14" s="163">
        <v>8132</v>
      </c>
      <c r="AA14" s="169">
        <f t="shared" si="32"/>
        <v>13</v>
      </c>
      <c r="AB14" s="163">
        <v>16.47</v>
      </c>
      <c r="AC14" s="169">
        <f t="shared" si="36"/>
        <v>0.46999999999999886</v>
      </c>
      <c r="AD14" s="163">
        <v>33</v>
      </c>
      <c r="AE14" s="169">
        <f t="shared" si="29"/>
        <v>3</v>
      </c>
      <c r="AF14" s="163">
        <v>4935</v>
      </c>
      <c r="AG14" s="169">
        <f t="shared" si="30"/>
        <v>20</v>
      </c>
    </row>
    <row r="15" spans="1:33" ht="16.5" thickBot="1" x14ac:dyDescent="0.25">
      <c r="A15" s="10">
        <v>44543</v>
      </c>
      <c r="B15" s="165">
        <v>22746.332999999999</v>
      </c>
      <c r="C15" s="48">
        <f t="shared" ref="C15" si="37">IF((B15-B14)&lt;0,"0",(B15-B14))</f>
        <v>2.1749999999992724</v>
      </c>
      <c r="D15" s="32">
        <f t="shared" ref="D15" si="38">C15*1.9*1000</f>
        <v>4132.4999999986176</v>
      </c>
      <c r="E15" s="1">
        <v>4072.6880000000001</v>
      </c>
      <c r="F15" s="48">
        <f t="shared" ref="F15" si="39">IF((E15-E14)&lt;0,"0",(E15-E14))</f>
        <v>0.69200000000000728</v>
      </c>
      <c r="G15" s="32">
        <f t="shared" ref="G15" si="40">F15*1.9*1000</f>
        <v>1314.8000000000138</v>
      </c>
      <c r="H15" s="1">
        <v>4474</v>
      </c>
      <c r="I15" s="48">
        <f t="shared" ref="I15" si="41">IF((H15-H14)&lt;0,"0",(H15-H14))</f>
        <v>3</v>
      </c>
      <c r="J15" s="32">
        <f t="shared" ref="J15" si="42">I15*1.9*1000</f>
        <v>5699.9999999999991</v>
      </c>
      <c r="K15" s="7">
        <v>13873.41</v>
      </c>
      <c r="L15" s="48">
        <f t="shared" ref="L15" si="43">IF((K15-K14)&lt;0,"0",(K15-K14))</f>
        <v>0.3999999999996362</v>
      </c>
      <c r="M15" s="32">
        <f t="shared" ref="M15" si="44">L15*1.9*1000</f>
        <v>759.99999999930878</v>
      </c>
      <c r="N15" s="7">
        <v>3350.2350000000001</v>
      </c>
      <c r="O15" s="48">
        <f>IF((N15-N14)&lt;0,"0",(N15-N14))</f>
        <v>0.78900000000021464</v>
      </c>
      <c r="P15" s="32">
        <f t="shared" ref="P15" si="45">O15*1.9*1000</f>
        <v>1499.1000000004078</v>
      </c>
      <c r="Q15" s="7">
        <v>5285.08</v>
      </c>
      <c r="R15" s="48">
        <f t="shared" ref="R15" si="46">IF((Q15-Q14)&lt;0,"0",(Q15-Q14))</f>
        <v>0.47000000000025466</v>
      </c>
      <c r="S15" s="32">
        <f t="shared" ref="S15" si="47">R15*1.9*1000</f>
        <v>893.00000000048385</v>
      </c>
      <c r="T15" s="8">
        <f t="shared" ref="T15" si="48">C15+F15+I15+L15+O15+R15</f>
        <v>7.5259999999993852</v>
      </c>
      <c r="U15" s="34">
        <f t="shared" ref="U15" si="49">T15*1.9*1000</f>
        <v>14299.399999998832</v>
      </c>
      <c r="W15" s="162">
        <v>44543</v>
      </c>
      <c r="X15" s="163">
        <v>162412</v>
      </c>
      <c r="Y15" s="169">
        <f t="shared" ref="Y15" si="50">X15-X14</f>
        <v>22</v>
      </c>
      <c r="Z15" s="163">
        <v>8146</v>
      </c>
      <c r="AA15" s="169">
        <f t="shared" ref="AA15" si="51">Z15-Z14</f>
        <v>14</v>
      </c>
      <c r="AB15" s="163">
        <f t="shared" si="33"/>
        <v>16.47</v>
      </c>
      <c r="AC15" s="169">
        <f t="shared" ref="AC15" si="52">AB15-AB14</f>
        <v>0</v>
      </c>
      <c r="AD15" s="163">
        <v>36</v>
      </c>
      <c r="AE15" s="169">
        <f t="shared" si="29"/>
        <v>3</v>
      </c>
      <c r="AF15" s="163">
        <v>4945</v>
      </c>
      <c r="AG15" s="169">
        <f t="shared" si="30"/>
        <v>10</v>
      </c>
    </row>
    <row r="16" spans="1:33" ht="16.5" thickBot="1" x14ac:dyDescent="0.25">
      <c r="A16" s="10">
        <v>44544</v>
      </c>
      <c r="B16" s="165">
        <v>22749.274000000001</v>
      </c>
      <c r="C16" s="48">
        <f t="shared" si="15"/>
        <v>2.941000000002532</v>
      </c>
      <c r="D16" s="32">
        <f t="shared" si="16"/>
        <v>5587.9000000048109</v>
      </c>
      <c r="E16" s="1">
        <v>4073.5430000000001</v>
      </c>
      <c r="F16" s="48">
        <f t="shared" si="17"/>
        <v>0.85500000000001819</v>
      </c>
      <c r="G16" s="32">
        <f t="shared" si="18"/>
        <v>1624.5000000000346</v>
      </c>
      <c r="H16" s="1">
        <v>4478</v>
      </c>
      <c r="I16" s="48">
        <f t="shared" si="19"/>
        <v>4</v>
      </c>
      <c r="J16" s="32">
        <f t="shared" si="20"/>
        <v>7600</v>
      </c>
      <c r="K16" s="7">
        <v>13876.46</v>
      </c>
      <c r="L16" s="48">
        <f t="shared" si="21"/>
        <v>3.0499999999992724</v>
      </c>
      <c r="M16" s="32">
        <f t="shared" si="22"/>
        <v>5794.9999999986167</v>
      </c>
      <c r="N16" s="7">
        <v>3351.2979999999998</v>
      </c>
      <c r="O16" s="48">
        <f t="shared" si="23"/>
        <v>1.0629999999996471</v>
      </c>
      <c r="P16" s="32">
        <f t="shared" si="24"/>
        <v>2019.6999999993293</v>
      </c>
      <c r="Q16" s="7">
        <v>5285.73</v>
      </c>
      <c r="R16" s="48">
        <f t="shared" si="25"/>
        <v>0.6499999999996362</v>
      </c>
      <c r="S16" s="32">
        <f t="shared" si="26"/>
        <v>1234.9999999993086</v>
      </c>
      <c r="T16" s="8">
        <f t="shared" si="34"/>
        <v>12.559000000001106</v>
      </c>
      <c r="U16" s="34">
        <f t="shared" si="27"/>
        <v>23862.100000002101</v>
      </c>
      <c r="W16" s="162">
        <v>44544</v>
      </c>
      <c r="X16" s="163">
        <v>162520</v>
      </c>
      <c r="Y16" s="169">
        <f t="shared" si="31"/>
        <v>108</v>
      </c>
      <c r="Z16" s="163">
        <v>8151</v>
      </c>
      <c r="AA16" s="169">
        <f t="shared" si="32"/>
        <v>5</v>
      </c>
      <c r="AB16" s="163">
        <f t="shared" si="33"/>
        <v>16.47</v>
      </c>
      <c r="AC16" s="169">
        <f t="shared" si="36"/>
        <v>0</v>
      </c>
      <c r="AD16" s="163">
        <v>38</v>
      </c>
      <c r="AE16" s="169">
        <f t="shared" si="29"/>
        <v>2</v>
      </c>
      <c r="AF16" s="163">
        <v>4961</v>
      </c>
      <c r="AG16" s="169">
        <f t="shared" si="30"/>
        <v>16</v>
      </c>
    </row>
    <row r="17" spans="1:33" ht="16.5" thickBot="1" x14ac:dyDescent="0.25">
      <c r="A17" s="10">
        <v>44545</v>
      </c>
      <c r="B17" s="165">
        <v>22751.947</v>
      </c>
      <c r="C17" s="48">
        <f t="shared" si="15"/>
        <v>2.672999999998865</v>
      </c>
      <c r="D17" s="32">
        <f t="shared" si="16"/>
        <v>5078.6999999978434</v>
      </c>
      <c r="E17" s="1">
        <v>4074.402</v>
      </c>
      <c r="F17" s="48">
        <f t="shared" si="17"/>
        <v>0.8589999999999236</v>
      </c>
      <c r="G17" s="32">
        <f t="shared" si="18"/>
        <v>1632.0999999998546</v>
      </c>
      <c r="H17" s="1">
        <v>4482</v>
      </c>
      <c r="I17" s="48">
        <f t="shared" si="19"/>
        <v>4</v>
      </c>
      <c r="J17" s="32">
        <f t="shared" si="20"/>
        <v>7600</v>
      </c>
      <c r="K17" s="7">
        <v>13878</v>
      </c>
      <c r="L17" s="48">
        <f t="shared" si="21"/>
        <v>1.5400000000008731</v>
      </c>
      <c r="M17" s="32">
        <f t="shared" si="22"/>
        <v>2926.0000000016589</v>
      </c>
      <c r="N17" s="7">
        <v>3352.375</v>
      </c>
      <c r="O17" s="48">
        <f t="shared" si="23"/>
        <v>1.0770000000002256</v>
      </c>
      <c r="P17" s="32">
        <f t="shared" si="24"/>
        <v>2046.3000000004286</v>
      </c>
      <c r="Q17" s="7">
        <v>5285.99</v>
      </c>
      <c r="R17" s="48">
        <f t="shared" si="25"/>
        <v>0.26000000000021828</v>
      </c>
      <c r="S17" s="32">
        <f t="shared" si="26"/>
        <v>494.00000000041473</v>
      </c>
      <c r="T17" s="8">
        <f t="shared" si="34"/>
        <v>10.409000000000106</v>
      </c>
      <c r="U17" s="34">
        <f t="shared" si="27"/>
        <v>19777.100000000199</v>
      </c>
      <c r="W17" s="162">
        <v>44545</v>
      </c>
      <c r="X17" s="163">
        <v>162628</v>
      </c>
      <c r="Y17" s="169">
        <f t="shared" si="31"/>
        <v>108</v>
      </c>
      <c r="Z17" s="163">
        <v>8157</v>
      </c>
      <c r="AA17" s="169">
        <f t="shared" si="32"/>
        <v>6</v>
      </c>
      <c r="AB17" s="163">
        <v>17</v>
      </c>
      <c r="AC17" s="169">
        <f t="shared" si="36"/>
        <v>0.53000000000000114</v>
      </c>
      <c r="AD17" s="163">
        <v>41</v>
      </c>
      <c r="AE17" s="169">
        <f t="shared" si="29"/>
        <v>3</v>
      </c>
      <c r="AF17" s="163">
        <v>4978</v>
      </c>
      <c r="AG17" s="169">
        <f t="shared" si="30"/>
        <v>17</v>
      </c>
    </row>
    <row r="18" spans="1:33" ht="16.5" thickBot="1" x14ac:dyDescent="0.25">
      <c r="A18" s="10">
        <v>44546</v>
      </c>
      <c r="B18" s="165">
        <v>22754.237000000001</v>
      </c>
      <c r="C18" s="48">
        <f t="shared" si="15"/>
        <v>2.2900000000008731</v>
      </c>
      <c r="D18" s="32">
        <f t="shared" si="16"/>
        <v>4351.0000000016589</v>
      </c>
      <c r="E18" s="1">
        <v>4075.2620000000002</v>
      </c>
      <c r="F18" s="48">
        <f t="shared" si="17"/>
        <v>0.86000000000012733</v>
      </c>
      <c r="G18" s="32">
        <f t="shared" si="18"/>
        <v>1634.0000000002419</v>
      </c>
      <c r="H18" s="1">
        <v>4487</v>
      </c>
      <c r="I18" s="48">
        <f t="shared" si="19"/>
        <v>5</v>
      </c>
      <c r="J18" s="32">
        <f t="shared" si="20"/>
        <v>9500</v>
      </c>
      <c r="K18" s="7">
        <v>13879.7</v>
      </c>
      <c r="L18" s="48">
        <f t="shared" si="21"/>
        <v>1.7000000000007276</v>
      </c>
      <c r="M18" s="32">
        <f t="shared" si="22"/>
        <v>3230.0000000013824</v>
      </c>
      <c r="N18" s="7">
        <v>3353.46</v>
      </c>
      <c r="O18" s="48">
        <f t="shared" si="23"/>
        <v>1.0850000000000364</v>
      </c>
      <c r="P18" s="32">
        <f t="shared" si="24"/>
        <v>2061.5000000000691</v>
      </c>
      <c r="Q18" s="7">
        <v>5286.23</v>
      </c>
      <c r="R18" s="48">
        <f t="shared" si="25"/>
        <v>0.23999999999978172</v>
      </c>
      <c r="S18" s="32">
        <f t="shared" si="26"/>
        <v>455.99999999958521</v>
      </c>
      <c r="T18" s="8">
        <f t="shared" si="34"/>
        <v>11.175000000001546</v>
      </c>
      <c r="U18" s="34">
        <f t="shared" si="27"/>
        <v>21232.500000002936</v>
      </c>
      <c r="W18" s="162">
        <v>44546</v>
      </c>
      <c r="X18" s="163">
        <v>162698</v>
      </c>
      <c r="Y18" s="169">
        <f t="shared" si="31"/>
        <v>70</v>
      </c>
      <c r="Z18" s="163">
        <v>8167</v>
      </c>
      <c r="AA18" s="169">
        <f t="shared" si="32"/>
        <v>10</v>
      </c>
      <c r="AB18" s="163">
        <v>17.2</v>
      </c>
      <c r="AC18" s="169">
        <f t="shared" si="36"/>
        <v>0.19999999999999929</v>
      </c>
      <c r="AD18" s="163">
        <v>44</v>
      </c>
      <c r="AE18" s="169">
        <f t="shared" si="29"/>
        <v>3</v>
      </c>
      <c r="AF18" s="163">
        <v>4996</v>
      </c>
      <c r="AG18" s="169">
        <v>18</v>
      </c>
    </row>
    <row r="19" spans="1:33" ht="16.5" thickBot="1" x14ac:dyDescent="0.25">
      <c r="A19" s="10">
        <v>44547</v>
      </c>
      <c r="B19" s="165">
        <v>22756.63</v>
      </c>
      <c r="C19" s="48">
        <f t="shared" si="15"/>
        <v>2.3930000000000291</v>
      </c>
      <c r="D19" s="32">
        <f t="shared" si="16"/>
        <v>4546.7000000000553</v>
      </c>
      <c r="E19" s="1">
        <v>4075.89</v>
      </c>
      <c r="F19" s="48">
        <f t="shared" si="17"/>
        <v>0.62799999999970169</v>
      </c>
      <c r="G19" s="32">
        <f t="shared" si="18"/>
        <v>1193.1999999994332</v>
      </c>
      <c r="H19" s="1">
        <v>4492</v>
      </c>
      <c r="I19" s="48">
        <f t="shared" si="19"/>
        <v>5</v>
      </c>
      <c r="J19" s="32">
        <f t="shared" si="20"/>
        <v>9500</v>
      </c>
      <c r="K19" s="7">
        <v>13881.73</v>
      </c>
      <c r="L19" s="48">
        <f t="shared" si="21"/>
        <v>2.0299999999988358</v>
      </c>
      <c r="M19" s="32">
        <f t="shared" si="22"/>
        <v>3856.9999999977877</v>
      </c>
      <c r="N19" s="7">
        <v>3354.605</v>
      </c>
      <c r="O19" s="48">
        <f t="shared" si="23"/>
        <v>1.1449999999999818</v>
      </c>
      <c r="P19" s="32">
        <f t="shared" si="24"/>
        <v>2175.4999999999654</v>
      </c>
      <c r="Q19" s="7">
        <v>5287.5</v>
      </c>
      <c r="R19" s="48">
        <f t="shared" si="25"/>
        <v>1.2700000000004366</v>
      </c>
      <c r="S19" s="32">
        <f t="shared" si="26"/>
        <v>2413.0000000008295</v>
      </c>
      <c r="T19" s="8">
        <f t="shared" si="34"/>
        <v>12.465999999998985</v>
      </c>
      <c r="U19" s="34">
        <f t="shared" si="27"/>
        <v>23685.39999999807</v>
      </c>
      <c r="W19" s="162">
        <v>44547</v>
      </c>
      <c r="X19" s="163">
        <v>162753</v>
      </c>
      <c r="Y19" s="169">
        <f t="shared" si="31"/>
        <v>55</v>
      </c>
      <c r="Z19" s="163">
        <v>8172</v>
      </c>
      <c r="AA19" s="169">
        <f t="shared" si="32"/>
        <v>5</v>
      </c>
      <c r="AB19" s="163">
        <v>17.3</v>
      </c>
      <c r="AC19" s="169">
        <f t="shared" si="36"/>
        <v>0.10000000000000142</v>
      </c>
      <c r="AD19" s="163">
        <v>47</v>
      </c>
      <c r="AE19" s="169">
        <f t="shared" si="29"/>
        <v>3</v>
      </c>
      <c r="AF19" s="163">
        <v>5013</v>
      </c>
      <c r="AG19" s="169">
        <v>17</v>
      </c>
    </row>
    <row r="20" spans="1:33" ht="16.5" thickBot="1" x14ac:dyDescent="0.25">
      <c r="A20" s="10">
        <v>44548</v>
      </c>
      <c r="B20" s="165">
        <v>22758.830999999998</v>
      </c>
      <c r="C20" s="48">
        <f t="shared" si="15"/>
        <v>2.2009999999972933</v>
      </c>
      <c r="D20" s="32">
        <f t="shared" si="16"/>
        <v>4181.8999999948574</v>
      </c>
      <c r="E20" s="1">
        <v>4076.3690000000001</v>
      </c>
      <c r="F20" s="48">
        <f t="shared" si="17"/>
        <v>0.47900000000026921</v>
      </c>
      <c r="G20" s="32">
        <f t="shared" si="18"/>
        <v>910.1000000005115</v>
      </c>
      <c r="H20" s="1">
        <v>4496</v>
      </c>
      <c r="I20" s="48">
        <f t="shared" si="19"/>
        <v>4</v>
      </c>
      <c r="J20" s="32">
        <f t="shared" si="20"/>
        <v>7600</v>
      </c>
      <c r="K20" s="7">
        <v>13882.68</v>
      </c>
      <c r="L20" s="48">
        <f t="shared" si="21"/>
        <v>0.9500000000007276</v>
      </c>
      <c r="M20" s="32">
        <f t="shared" si="22"/>
        <v>1805.0000000013824</v>
      </c>
      <c r="N20" s="7">
        <v>3355.6309999999999</v>
      </c>
      <c r="O20" s="48">
        <f t="shared" si="23"/>
        <v>1.0259999999998399</v>
      </c>
      <c r="P20" s="32">
        <f t="shared" si="24"/>
        <v>1949.3999999996959</v>
      </c>
      <c r="Q20" s="7">
        <v>5286.52</v>
      </c>
      <c r="R20" s="48" t="str">
        <f t="shared" si="25"/>
        <v>0</v>
      </c>
      <c r="S20" s="32">
        <f t="shared" si="26"/>
        <v>0</v>
      </c>
      <c r="T20" s="8">
        <f t="shared" si="34"/>
        <v>8.6559999999981301</v>
      </c>
      <c r="U20" s="34">
        <f t="shared" si="27"/>
        <v>16446.399999996447</v>
      </c>
      <c r="W20" s="162">
        <v>44548</v>
      </c>
      <c r="X20" s="163">
        <v>162793</v>
      </c>
      <c r="Y20" s="169">
        <f t="shared" si="31"/>
        <v>40</v>
      </c>
      <c r="Z20" s="163">
        <v>8177</v>
      </c>
      <c r="AA20" s="169">
        <f t="shared" si="32"/>
        <v>5</v>
      </c>
      <c r="AB20" s="163">
        <f t="shared" si="33"/>
        <v>17.3</v>
      </c>
      <c r="AC20" s="169">
        <f t="shared" si="36"/>
        <v>0</v>
      </c>
      <c r="AD20" s="163">
        <v>49</v>
      </c>
      <c r="AE20" s="169">
        <v>2</v>
      </c>
      <c r="AF20" s="163">
        <v>5032</v>
      </c>
      <c r="AG20" s="169">
        <f t="shared" si="30"/>
        <v>19</v>
      </c>
    </row>
    <row r="21" spans="1:33" ht="16.5" thickBot="1" x14ac:dyDescent="0.25">
      <c r="A21" s="10">
        <v>44549</v>
      </c>
      <c r="B21" s="165">
        <v>22761.001</v>
      </c>
      <c r="C21" s="48">
        <f t="shared" si="15"/>
        <v>2.1700000000018917</v>
      </c>
      <c r="D21" s="32">
        <f t="shared" si="16"/>
        <v>4123.0000000035934</v>
      </c>
      <c r="E21" s="1">
        <v>4076.9380000000001</v>
      </c>
      <c r="F21" s="48">
        <f t="shared" si="17"/>
        <v>0.56899999999995998</v>
      </c>
      <c r="G21" s="32">
        <f t="shared" si="18"/>
        <v>1081.099999999924</v>
      </c>
      <c r="H21" s="1">
        <v>4501</v>
      </c>
      <c r="I21" s="48">
        <f t="shared" si="19"/>
        <v>5</v>
      </c>
      <c r="J21" s="32">
        <f t="shared" si="20"/>
        <v>9500</v>
      </c>
      <c r="K21" s="7">
        <v>13883.09</v>
      </c>
      <c r="L21" s="48">
        <f t="shared" si="21"/>
        <v>0.40999999999985448</v>
      </c>
      <c r="M21" s="32">
        <f t="shared" si="22"/>
        <v>778.99999999972351</v>
      </c>
      <c r="N21" s="7">
        <v>3356.5039999999999</v>
      </c>
      <c r="O21" s="48">
        <f t="shared" si="23"/>
        <v>0.87300000000004729</v>
      </c>
      <c r="P21" s="32">
        <f t="shared" si="24"/>
        <v>1658.7000000000899</v>
      </c>
      <c r="Q21" s="7">
        <v>5286.52</v>
      </c>
      <c r="R21" s="48">
        <f t="shared" si="25"/>
        <v>0</v>
      </c>
      <c r="S21" s="32">
        <f t="shared" si="26"/>
        <v>0</v>
      </c>
      <c r="T21" s="8">
        <f t="shared" si="34"/>
        <v>9.0220000000017535</v>
      </c>
      <c r="U21" s="34">
        <f t="shared" si="27"/>
        <v>17141.800000003332</v>
      </c>
      <c r="W21" s="162">
        <v>44549</v>
      </c>
      <c r="X21" s="163">
        <v>162843</v>
      </c>
      <c r="Y21" s="169">
        <f t="shared" si="31"/>
        <v>50</v>
      </c>
      <c r="Z21" s="163">
        <v>8183</v>
      </c>
      <c r="AA21" s="169">
        <f t="shared" si="32"/>
        <v>6</v>
      </c>
      <c r="AB21" s="163">
        <f t="shared" si="33"/>
        <v>17.3</v>
      </c>
      <c r="AC21" s="169">
        <f t="shared" si="36"/>
        <v>0</v>
      </c>
      <c r="AD21" s="163">
        <v>51</v>
      </c>
      <c r="AE21" s="169">
        <f t="shared" si="29"/>
        <v>2</v>
      </c>
      <c r="AF21" s="163">
        <v>5050</v>
      </c>
      <c r="AG21" s="169">
        <f t="shared" si="30"/>
        <v>18</v>
      </c>
    </row>
    <row r="22" spans="1:33" ht="16.5" thickBot="1" x14ac:dyDescent="0.25">
      <c r="A22" s="10">
        <v>44550</v>
      </c>
      <c r="B22" s="165">
        <v>22763.078000000001</v>
      </c>
      <c r="C22" s="48">
        <f t="shared" si="15"/>
        <v>2.077000000001135</v>
      </c>
      <c r="D22" s="32">
        <f t="shared" si="16"/>
        <v>3946.3000000021566</v>
      </c>
      <c r="E22" s="1">
        <v>4077.5770000000002</v>
      </c>
      <c r="F22" s="48">
        <f t="shared" si="17"/>
        <v>0.63900000000012369</v>
      </c>
      <c r="G22" s="32">
        <f t="shared" si="18"/>
        <v>1214.1000000002348</v>
      </c>
      <c r="H22" s="1">
        <v>4505</v>
      </c>
      <c r="I22" s="48">
        <f t="shared" si="19"/>
        <v>4</v>
      </c>
      <c r="J22" s="32">
        <f t="shared" si="20"/>
        <v>7600</v>
      </c>
      <c r="K22" s="7">
        <v>13883.09</v>
      </c>
      <c r="L22" s="48">
        <f t="shared" si="21"/>
        <v>0</v>
      </c>
      <c r="M22" s="32">
        <f t="shared" si="22"/>
        <v>0</v>
      </c>
      <c r="N22" s="7">
        <v>3357.3760000000002</v>
      </c>
      <c r="O22" s="48">
        <f t="shared" si="23"/>
        <v>0.87200000000029831</v>
      </c>
      <c r="P22" s="32">
        <f t="shared" si="24"/>
        <v>1656.8000000005668</v>
      </c>
      <c r="Q22" s="7">
        <v>5286.52</v>
      </c>
      <c r="R22" s="48">
        <f t="shared" si="25"/>
        <v>0</v>
      </c>
      <c r="S22" s="32">
        <f t="shared" si="26"/>
        <v>0</v>
      </c>
      <c r="T22" s="8">
        <f t="shared" si="34"/>
        <v>7.5880000000015571</v>
      </c>
      <c r="U22" s="34">
        <f t="shared" si="27"/>
        <v>14417.200000002957</v>
      </c>
      <c r="W22" s="162">
        <v>44550</v>
      </c>
      <c r="X22" s="163">
        <v>162878</v>
      </c>
      <c r="Y22" s="169">
        <f t="shared" si="31"/>
        <v>35</v>
      </c>
      <c r="Z22" s="163">
        <v>8188</v>
      </c>
      <c r="AA22" s="169">
        <f t="shared" si="32"/>
        <v>5</v>
      </c>
      <c r="AB22" s="163">
        <f t="shared" si="33"/>
        <v>17.3</v>
      </c>
      <c r="AC22" s="169">
        <f t="shared" si="36"/>
        <v>0</v>
      </c>
      <c r="AD22" s="163">
        <v>54</v>
      </c>
      <c r="AE22" s="169">
        <f t="shared" si="29"/>
        <v>3</v>
      </c>
      <c r="AF22" s="163">
        <v>5069</v>
      </c>
      <c r="AG22" s="169">
        <f t="shared" si="30"/>
        <v>19</v>
      </c>
    </row>
    <row r="23" spans="1:33" ht="16.5" thickBot="1" x14ac:dyDescent="0.25">
      <c r="A23" s="10">
        <v>44551</v>
      </c>
      <c r="B23" s="165">
        <v>22765.498</v>
      </c>
      <c r="C23" s="48">
        <f t="shared" si="15"/>
        <v>2.4199999999982538</v>
      </c>
      <c r="D23" s="32">
        <f t="shared" si="16"/>
        <v>4597.9999999966813</v>
      </c>
      <c r="E23" s="1">
        <v>4078.326</v>
      </c>
      <c r="F23" s="48">
        <f t="shared" si="17"/>
        <v>0.74899999999979627</v>
      </c>
      <c r="G23" s="32">
        <f t="shared" si="18"/>
        <v>1423.0999999996127</v>
      </c>
      <c r="H23" s="1">
        <v>4511</v>
      </c>
      <c r="I23" s="48">
        <f t="shared" si="19"/>
        <v>6</v>
      </c>
      <c r="J23" s="32">
        <f t="shared" si="20"/>
        <v>11399.999999999998</v>
      </c>
      <c r="K23" s="7">
        <v>13883.09</v>
      </c>
      <c r="L23" s="48">
        <f t="shared" si="21"/>
        <v>0</v>
      </c>
      <c r="M23" s="32">
        <f t="shared" si="22"/>
        <v>0</v>
      </c>
      <c r="N23" s="7">
        <v>3358.5039999999999</v>
      </c>
      <c r="O23" s="48">
        <f t="shared" si="23"/>
        <v>1.1279999999997017</v>
      </c>
      <c r="P23" s="32">
        <f t="shared" si="24"/>
        <v>2143.1999999994332</v>
      </c>
      <c r="Q23" s="7">
        <v>5286.52</v>
      </c>
      <c r="R23" s="48">
        <f t="shared" si="25"/>
        <v>0</v>
      </c>
      <c r="S23" s="32">
        <f t="shared" si="26"/>
        <v>0</v>
      </c>
      <c r="T23" s="8">
        <f t="shared" si="34"/>
        <v>10.296999999997752</v>
      </c>
      <c r="U23" s="34">
        <f t="shared" si="27"/>
        <v>19564.299999995728</v>
      </c>
      <c r="W23" s="162">
        <v>44551</v>
      </c>
      <c r="X23" s="163">
        <v>162895</v>
      </c>
      <c r="Y23" s="169">
        <f t="shared" si="31"/>
        <v>17</v>
      </c>
      <c r="Z23" s="163">
        <v>8194</v>
      </c>
      <c r="AA23" s="169">
        <f t="shared" si="32"/>
        <v>6</v>
      </c>
      <c r="AB23" s="163">
        <v>17.3</v>
      </c>
      <c r="AC23" s="169">
        <f t="shared" si="36"/>
        <v>0</v>
      </c>
      <c r="AD23" s="163">
        <f t="shared" si="35"/>
        <v>54</v>
      </c>
      <c r="AE23" s="169">
        <f t="shared" si="29"/>
        <v>0</v>
      </c>
      <c r="AF23" s="163">
        <v>5095</v>
      </c>
      <c r="AG23" s="169">
        <f t="shared" si="30"/>
        <v>26</v>
      </c>
    </row>
    <row r="24" spans="1:33" ht="16.5" thickBot="1" x14ac:dyDescent="0.25">
      <c r="A24" s="10">
        <v>44552</v>
      </c>
      <c r="B24" s="165">
        <v>22767.527999999998</v>
      </c>
      <c r="C24" s="48">
        <f t="shared" si="15"/>
        <v>2.0299999999988358</v>
      </c>
      <c r="D24" s="32">
        <f t="shared" si="16"/>
        <v>3856.9999999977877</v>
      </c>
      <c r="E24" s="1">
        <v>4079.0010000000002</v>
      </c>
      <c r="F24" s="48">
        <f t="shared" si="17"/>
        <v>0.6750000000001819</v>
      </c>
      <c r="G24" s="32">
        <f t="shared" si="18"/>
        <v>1282.5000000003454</v>
      </c>
      <c r="H24" s="1">
        <v>4516</v>
      </c>
      <c r="I24" s="48">
        <f t="shared" si="19"/>
        <v>5</v>
      </c>
      <c r="J24" s="32">
        <f t="shared" si="20"/>
        <v>9500</v>
      </c>
      <c r="K24" s="7">
        <v>13883.09</v>
      </c>
      <c r="L24" s="48">
        <f t="shared" si="21"/>
        <v>0</v>
      </c>
      <c r="M24" s="32">
        <f t="shared" si="22"/>
        <v>0</v>
      </c>
      <c r="N24" s="7">
        <v>3359.1129999999998</v>
      </c>
      <c r="O24" s="48">
        <f t="shared" si="23"/>
        <v>0.6089999999999236</v>
      </c>
      <c r="P24" s="32">
        <f t="shared" si="24"/>
        <v>1157.0999999998548</v>
      </c>
      <c r="Q24" s="7">
        <v>5286.52</v>
      </c>
      <c r="R24" s="48">
        <f t="shared" si="25"/>
        <v>0</v>
      </c>
      <c r="S24" s="32">
        <f t="shared" si="26"/>
        <v>0</v>
      </c>
      <c r="T24" s="8">
        <f t="shared" si="34"/>
        <v>8.3139999999989413</v>
      </c>
      <c r="U24" s="34">
        <f t="shared" si="27"/>
        <v>15796.599999997987</v>
      </c>
      <c r="W24" s="162">
        <v>44552</v>
      </c>
      <c r="X24" s="163">
        <v>162914</v>
      </c>
      <c r="Y24" s="169">
        <f t="shared" si="31"/>
        <v>19</v>
      </c>
      <c r="Z24" s="163">
        <v>8199</v>
      </c>
      <c r="AA24" s="169">
        <f t="shared" si="32"/>
        <v>5</v>
      </c>
      <c r="AB24" s="163">
        <v>17.3</v>
      </c>
      <c r="AC24" s="169">
        <f t="shared" si="36"/>
        <v>0</v>
      </c>
      <c r="AD24" s="163">
        <f t="shared" si="35"/>
        <v>54</v>
      </c>
      <c r="AE24" s="169">
        <f t="shared" si="29"/>
        <v>0</v>
      </c>
      <c r="AF24" s="163">
        <v>5116</v>
      </c>
      <c r="AG24" s="169">
        <f t="shared" si="30"/>
        <v>21</v>
      </c>
    </row>
    <row r="25" spans="1:33" ht="16.5" thickBot="1" x14ac:dyDescent="0.25">
      <c r="A25" s="10">
        <v>44553</v>
      </c>
      <c r="B25" s="165">
        <v>22768.922999999999</v>
      </c>
      <c r="C25" s="48">
        <f t="shared" si="15"/>
        <v>1.3950000000004366</v>
      </c>
      <c r="D25" s="32">
        <f t="shared" si="16"/>
        <v>2650.500000000829</v>
      </c>
      <c r="E25" s="1">
        <v>4079.5340000000001</v>
      </c>
      <c r="F25" s="48">
        <f t="shared" si="17"/>
        <v>0.53299999999990177</v>
      </c>
      <c r="G25" s="32">
        <f t="shared" si="18"/>
        <v>1012.6999999998134</v>
      </c>
      <c r="H25" s="1">
        <v>4519</v>
      </c>
      <c r="I25" s="48">
        <f t="shared" si="19"/>
        <v>3</v>
      </c>
      <c r="J25" s="32">
        <f t="shared" si="20"/>
        <v>5699.9999999999991</v>
      </c>
      <c r="K25" s="7">
        <v>13883.09</v>
      </c>
      <c r="L25" s="48">
        <f t="shared" si="21"/>
        <v>0</v>
      </c>
      <c r="M25" s="32">
        <f t="shared" si="22"/>
        <v>0</v>
      </c>
      <c r="N25" s="7">
        <v>3359.8589999999999</v>
      </c>
      <c r="O25" s="48">
        <f t="shared" si="23"/>
        <v>0.74600000000009459</v>
      </c>
      <c r="P25" s="32">
        <f t="shared" si="24"/>
        <v>1417.4000000001797</v>
      </c>
      <c r="Q25" s="7">
        <v>5286.63</v>
      </c>
      <c r="R25" s="48">
        <f t="shared" si="25"/>
        <v>0.10999999999967258</v>
      </c>
      <c r="S25" s="32">
        <f t="shared" si="26"/>
        <v>208.99999999937791</v>
      </c>
      <c r="T25" s="8">
        <f t="shared" si="34"/>
        <v>5.7840000000001055</v>
      </c>
      <c r="U25" s="34">
        <f t="shared" si="27"/>
        <v>10989.6000000002</v>
      </c>
      <c r="W25" s="162">
        <v>44553</v>
      </c>
      <c r="X25" s="163">
        <v>162953</v>
      </c>
      <c r="Y25" s="169">
        <f t="shared" si="31"/>
        <v>39</v>
      </c>
      <c r="Z25" s="163">
        <v>8203</v>
      </c>
      <c r="AA25" s="169">
        <f t="shared" si="32"/>
        <v>4</v>
      </c>
      <c r="AB25" s="163">
        <f t="shared" si="33"/>
        <v>17.3</v>
      </c>
      <c r="AC25" s="169">
        <f t="shared" si="36"/>
        <v>0</v>
      </c>
      <c r="AD25" s="163">
        <v>62</v>
      </c>
      <c r="AE25" s="169">
        <f t="shared" si="29"/>
        <v>8</v>
      </c>
      <c r="AF25" s="163">
        <v>5123</v>
      </c>
      <c r="AG25" s="169">
        <f t="shared" si="30"/>
        <v>7</v>
      </c>
    </row>
    <row r="26" spans="1:33" ht="16.5" thickBot="1" x14ac:dyDescent="0.25">
      <c r="A26" s="10">
        <v>44554</v>
      </c>
      <c r="B26" s="165">
        <v>22770.912</v>
      </c>
      <c r="C26" s="48">
        <f t="shared" si="15"/>
        <v>1.989000000001397</v>
      </c>
      <c r="D26" s="32">
        <f t="shared" si="16"/>
        <v>3779.1000000026538</v>
      </c>
      <c r="E26" s="1">
        <v>4079.8960000000002</v>
      </c>
      <c r="F26" s="48">
        <f t="shared" si="17"/>
        <v>0.36200000000008004</v>
      </c>
      <c r="G26" s="32">
        <f t="shared" si="18"/>
        <v>687.80000000015207</v>
      </c>
      <c r="H26" s="1">
        <v>4523</v>
      </c>
      <c r="I26" s="48">
        <f t="shared" si="19"/>
        <v>4</v>
      </c>
      <c r="J26" s="32">
        <f t="shared" si="20"/>
        <v>7600</v>
      </c>
      <c r="K26" s="7">
        <f t="shared" ref="K26:K33" si="53">K25</f>
        <v>13883.09</v>
      </c>
      <c r="L26" s="48">
        <f>IF((K26-K25)&lt;0,"0",(K26-K25))</f>
        <v>0</v>
      </c>
      <c r="M26" s="32">
        <f t="shared" si="22"/>
        <v>0</v>
      </c>
      <c r="N26" s="7">
        <v>3360.9609999999998</v>
      </c>
      <c r="O26" s="48">
        <f t="shared" si="23"/>
        <v>1.1019999999998618</v>
      </c>
      <c r="P26" s="32">
        <f t="shared" si="24"/>
        <v>2093.7999999997373</v>
      </c>
      <c r="Q26" s="7">
        <v>5287.08</v>
      </c>
      <c r="R26" s="48">
        <f t="shared" si="25"/>
        <v>0.4499999999998181</v>
      </c>
      <c r="S26" s="32">
        <f t="shared" si="26"/>
        <v>854.99999999965439</v>
      </c>
      <c r="T26" s="8">
        <f t="shared" si="34"/>
        <v>7.9030000000011569</v>
      </c>
      <c r="U26" s="34">
        <f t="shared" si="27"/>
        <v>15015.700000002198</v>
      </c>
      <c r="V26" t="s">
        <v>12</v>
      </c>
      <c r="W26" s="162">
        <v>44554</v>
      </c>
      <c r="X26" s="163">
        <v>163006</v>
      </c>
      <c r="Y26" s="169">
        <f t="shared" si="31"/>
        <v>53</v>
      </c>
      <c r="Z26" s="163">
        <v>8207</v>
      </c>
      <c r="AA26" s="169">
        <f t="shared" si="32"/>
        <v>4</v>
      </c>
      <c r="AB26" s="163">
        <f t="shared" si="33"/>
        <v>17.3</v>
      </c>
      <c r="AC26" s="169">
        <f t="shared" si="36"/>
        <v>0</v>
      </c>
      <c r="AD26" s="163">
        <v>66</v>
      </c>
      <c r="AE26" s="169">
        <f t="shared" si="29"/>
        <v>4</v>
      </c>
      <c r="AF26" s="163">
        <v>5136</v>
      </c>
      <c r="AG26" s="169">
        <f t="shared" si="30"/>
        <v>13</v>
      </c>
    </row>
    <row r="27" spans="1:33" ht="16.5" thickBot="1" x14ac:dyDescent="0.25">
      <c r="A27" s="10">
        <v>44555</v>
      </c>
      <c r="B27" s="165">
        <v>22773.135999999999</v>
      </c>
      <c r="C27" s="48">
        <f t="shared" si="15"/>
        <v>2.2239999999983411</v>
      </c>
      <c r="D27" s="32">
        <f t="shared" si="16"/>
        <v>4225.5999999968481</v>
      </c>
      <c r="E27" s="1">
        <v>4080.3490000000002</v>
      </c>
      <c r="F27" s="48">
        <f t="shared" si="17"/>
        <v>0.45299999999997453</v>
      </c>
      <c r="G27" s="32">
        <f t="shared" si="18"/>
        <v>860.69999999995161</v>
      </c>
      <c r="H27" s="1">
        <v>4528</v>
      </c>
      <c r="I27" s="48">
        <f t="shared" si="19"/>
        <v>5</v>
      </c>
      <c r="J27" s="32">
        <f t="shared" si="20"/>
        <v>9500</v>
      </c>
      <c r="K27" s="7">
        <v>13883.09</v>
      </c>
      <c r="L27" s="48">
        <f t="shared" si="21"/>
        <v>0</v>
      </c>
      <c r="M27" s="32">
        <f t="shared" si="22"/>
        <v>0</v>
      </c>
      <c r="N27" s="7">
        <v>3362.2150000000001</v>
      </c>
      <c r="O27" s="48">
        <f t="shared" si="23"/>
        <v>1.2540000000003602</v>
      </c>
      <c r="P27" s="32">
        <f t="shared" si="24"/>
        <v>2382.6000000006843</v>
      </c>
      <c r="Q27" s="7">
        <v>5287.38</v>
      </c>
      <c r="R27" s="48">
        <f t="shared" si="25"/>
        <v>0.3000000000001819</v>
      </c>
      <c r="S27" s="32">
        <f t="shared" si="26"/>
        <v>570.00000000034561</v>
      </c>
      <c r="T27" s="8">
        <f t="shared" si="34"/>
        <v>9.2309999999988577</v>
      </c>
      <c r="U27" s="34">
        <f t="shared" si="27"/>
        <v>17538.899999997826</v>
      </c>
      <c r="V27" t="s">
        <v>12</v>
      </c>
      <c r="W27" s="162">
        <v>44555</v>
      </c>
      <c r="X27" s="163">
        <v>163046</v>
      </c>
      <c r="Y27" s="169">
        <f t="shared" si="31"/>
        <v>40</v>
      </c>
      <c r="Z27" s="163">
        <v>8212</v>
      </c>
      <c r="AA27" s="169">
        <f t="shared" si="32"/>
        <v>5</v>
      </c>
      <c r="AB27" s="163">
        <f t="shared" si="33"/>
        <v>17.3</v>
      </c>
      <c r="AC27" s="169">
        <f t="shared" si="36"/>
        <v>0</v>
      </c>
      <c r="AD27" s="163">
        <v>69</v>
      </c>
      <c r="AE27" s="169">
        <f t="shared" si="29"/>
        <v>3</v>
      </c>
      <c r="AF27" s="163">
        <v>5151</v>
      </c>
      <c r="AG27" s="169">
        <f t="shared" si="30"/>
        <v>15</v>
      </c>
    </row>
    <row r="28" spans="1:33" ht="16.5" thickBot="1" x14ac:dyDescent="0.25">
      <c r="A28" s="10">
        <v>44556</v>
      </c>
      <c r="B28" s="165">
        <v>22775.594000000001</v>
      </c>
      <c r="C28" s="48">
        <f t="shared" si="15"/>
        <v>2.4580000000023574</v>
      </c>
      <c r="D28" s="32">
        <f t="shared" si="16"/>
        <v>4670.2000000044782</v>
      </c>
      <c r="E28" s="1">
        <v>4081.1109999999999</v>
      </c>
      <c r="F28" s="48">
        <f t="shared" si="17"/>
        <v>0.76199999999971624</v>
      </c>
      <c r="G28" s="32">
        <f t="shared" si="18"/>
        <v>1447.7999999994609</v>
      </c>
      <c r="H28" s="1">
        <v>4533</v>
      </c>
      <c r="I28" s="48">
        <f t="shared" si="19"/>
        <v>5</v>
      </c>
      <c r="J28" s="32">
        <f t="shared" si="20"/>
        <v>9500</v>
      </c>
      <c r="K28" s="7">
        <v>13883.09</v>
      </c>
      <c r="L28" s="48">
        <f t="shared" si="21"/>
        <v>0</v>
      </c>
      <c r="M28" s="32">
        <f t="shared" si="22"/>
        <v>0</v>
      </c>
      <c r="N28" s="7">
        <v>3363.7150000000001</v>
      </c>
      <c r="O28" s="48">
        <f t="shared" si="23"/>
        <v>1.5</v>
      </c>
      <c r="P28" s="32">
        <f t="shared" si="24"/>
        <v>2849.9999999999995</v>
      </c>
      <c r="Q28" s="7">
        <v>5288.08</v>
      </c>
      <c r="R28" s="48">
        <f t="shared" si="25"/>
        <v>0.6999999999998181</v>
      </c>
      <c r="S28" s="32">
        <f t="shared" si="26"/>
        <v>1329.9999999996544</v>
      </c>
      <c r="T28" s="8">
        <f t="shared" si="34"/>
        <v>10.420000000001892</v>
      </c>
      <c r="U28" s="34">
        <f t="shared" si="27"/>
        <v>19798.000000003594</v>
      </c>
      <c r="W28" s="162">
        <v>44556</v>
      </c>
      <c r="X28" s="163">
        <v>163112</v>
      </c>
      <c r="Y28" s="169">
        <f t="shared" si="31"/>
        <v>66</v>
      </c>
      <c r="Z28" s="163">
        <v>8219</v>
      </c>
      <c r="AA28" s="169">
        <f t="shared" si="32"/>
        <v>7</v>
      </c>
      <c r="AB28" s="163">
        <f t="shared" si="33"/>
        <v>17.3</v>
      </c>
      <c r="AC28" s="169">
        <f t="shared" si="36"/>
        <v>0</v>
      </c>
      <c r="AD28" s="163">
        <v>74</v>
      </c>
      <c r="AE28" s="169">
        <f t="shared" si="29"/>
        <v>5</v>
      </c>
      <c r="AF28" s="163">
        <v>5171</v>
      </c>
      <c r="AG28" s="169">
        <f t="shared" si="30"/>
        <v>20</v>
      </c>
    </row>
    <row r="29" spans="1:33" ht="16.5" thickBot="1" x14ac:dyDescent="0.25">
      <c r="A29" s="10">
        <v>44557</v>
      </c>
      <c r="B29" s="165">
        <v>22777.646000000001</v>
      </c>
      <c r="C29" s="48">
        <f t="shared" si="15"/>
        <v>2.0519999999996799</v>
      </c>
      <c r="D29" s="32">
        <f t="shared" si="16"/>
        <v>3898.7999999993917</v>
      </c>
      <c r="E29" s="1">
        <v>4081.7179999999998</v>
      </c>
      <c r="F29" s="48">
        <f t="shared" si="17"/>
        <v>0.6069999999999709</v>
      </c>
      <c r="G29" s="32">
        <f t="shared" si="18"/>
        <v>1153.2999999999447</v>
      </c>
      <c r="H29" s="1">
        <v>4537</v>
      </c>
      <c r="I29" s="48">
        <f t="shared" si="19"/>
        <v>4</v>
      </c>
      <c r="J29" s="32">
        <f t="shared" si="20"/>
        <v>7600</v>
      </c>
      <c r="K29" s="7">
        <v>13883.09</v>
      </c>
      <c r="L29" s="48">
        <f t="shared" si="21"/>
        <v>0</v>
      </c>
      <c r="M29" s="32">
        <f t="shared" si="22"/>
        <v>0</v>
      </c>
      <c r="N29" s="7">
        <v>3364.9319999999998</v>
      </c>
      <c r="O29" s="48">
        <f t="shared" si="23"/>
        <v>1.2169999999996435</v>
      </c>
      <c r="P29" s="32">
        <f t="shared" si="24"/>
        <v>2312.2999999993222</v>
      </c>
      <c r="Q29" s="7">
        <v>5288.53</v>
      </c>
      <c r="R29" s="48">
        <f t="shared" si="25"/>
        <v>0.4499999999998181</v>
      </c>
      <c r="S29" s="32">
        <f t="shared" si="26"/>
        <v>854.99999999965439</v>
      </c>
      <c r="T29" s="8">
        <f t="shared" si="34"/>
        <v>8.3259999999991123</v>
      </c>
      <c r="U29" s="34">
        <f t="shared" si="27"/>
        <v>15819.399999998312</v>
      </c>
      <c r="W29" s="162">
        <v>44557</v>
      </c>
      <c r="X29" s="163">
        <v>163144</v>
      </c>
      <c r="Y29" s="169">
        <f t="shared" si="31"/>
        <v>32</v>
      </c>
      <c r="Z29" s="163">
        <v>8223</v>
      </c>
      <c r="AA29" s="169">
        <f t="shared" si="32"/>
        <v>4</v>
      </c>
      <c r="AB29" s="163">
        <f t="shared" si="33"/>
        <v>17.3</v>
      </c>
      <c r="AC29" s="169">
        <f t="shared" si="36"/>
        <v>0</v>
      </c>
      <c r="AD29" s="163">
        <v>76</v>
      </c>
      <c r="AE29" s="169">
        <f t="shared" si="29"/>
        <v>2</v>
      </c>
      <c r="AF29" s="163">
        <v>5184</v>
      </c>
      <c r="AG29" s="169">
        <f t="shared" si="30"/>
        <v>13</v>
      </c>
    </row>
    <row r="30" spans="1:33" ht="16.5" thickBot="1" x14ac:dyDescent="0.25">
      <c r="A30" s="10">
        <v>44558</v>
      </c>
      <c r="B30" s="165">
        <v>22779.962</v>
      </c>
      <c r="C30" s="48">
        <f t="shared" si="15"/>
        <v>2.3159999999988941</v>
      </c>
      <c r="D30" s="32">
        <f t="shared" si="16"/>
        <v>4400.3999999978987</v>
      </c>
      <c r="E30" s="1">
        <v>4082.377</v>
      </c>
      <c r="F30" s="48">
        <f t="shared" si="17"/>
        <v>0.6590000000001055</v>
      </c>
      <c r="G30" s="32">
        <f t="shared" si="18"/>
        <v>1252.1000000002005</v>
      </c>
      <c r="H30" s="1">
        <v>4541</v>
      </c>
      <c r="I30" s="48">
        <f t="shared" si="19"/>
        <v>4</v>
      </c>
      <c r="J30" s="32">
        <f t="shared" si="20"/>
        <v>7600</v>
      </c>
      <c r="K30" s="7">
        <v>13883.09</v>
      </c>
      <c r="L30" s="48">
        <f t="shared" si="21"/>
        <v>0</v>
      </c>
      <c r="M30" s="32">
        <f t="shared" si="22"/>
        <v>0</v>
      </c>
      <c r="N30" s="7">
        <v>3366.252</v>
      </c>
      <c r="O30" s="48">
        <f t="shared" si="23"/>
        <v>1.3200000000001637</v>
      </c>
      <c r="P30" s="32">
        <f t="shared" si="24"/>
        <v>2508.000000000311</v>
      </c>
      <c r="Q30" s="7">
        <v>5288.8</v>
      </c>
      <c r="R30" s="48">
        <f t="shared" si="25"/>
        <v>0.27000000000043656</v>
      </c>
      <c r="S30" s="32">
        <f t="shared" si="26"/>
        <v>513.00000000082946</v>
      </c>
      <c r="T30" s="8">
        <f t="shared" si="34"/>
        <v>8.5649999999995998</v>
      </c>
      <c r="U30" s="34">
        <f t="shared" si="27"/>
        <v>16273.499999999238</v>
      </c>
      <c r="W30" s="162">
        <v>44558</v>
      </c>
      <c r="X30" s="163">
        <v>163184</v>
      </c>
      <c r="Y30" s="169">
        <f t="shared" si="31"/>
        <v>40</v>
      </c>
      <c r="Z30" s="163">
        <v>8227</v>
      </c>
      <c r="AA30" s="169">
        <f>Z30-Z29</f>
        <v>4</v>
      </c>
      <c r="AB30" s="163">
        <v>18.78</v>
      </c>
      <c r="AC30" s="169">
        <f t="shared" si="36"/>
        <v>1.4800000000000004</v>
      </c>
      <c r="AD30" s="163">
        <f t="shared" si="35"/>
        <v>76</v>
      </c>
      <c r="AE30" s="169">
        <f t="shared" si="29"/>
        <v>0</v>
      </c>
      <c r="AF30" s="163">
        <v>5198</v>
      </c>
      <c r="AG30" s="169">
        <f t="shared" si="30"/>
        <v>14</v>
      </c>
    </row>
    <row r="31" spans="1:33" ht="16.5" thickBot="1" x14ac:dyDescent="0.25">
      <c r="A31" s="10">
        <v>44559</v>
      </c>
      <c r="B31" s="165">
        <v>22782.244999999999</v>
      </c>
      <c r="C31" s="48">
        <f t="shared" si="15"/>
        <v>2.282999999999447</v>
      </c>
      <c r="D31" s="32">
        <f t="shared" si="16"/>
        <v>4337.6999999989494</v>
      </c>
      <c r="E31" s="1">
        <v>4082.9789999999998</v>
      </c>
      <c r="F31" s="48">
        <f t="shared" si="17"/>
        <v>0.60199999999986176</v>
      </c>
      <c r="G31" s="32">
        <f t="shared" si="18"/>
        <v>1143.7999999997373</v>
      </c>
      <c r="H31" s="1">
        <v>4546</v>
      </c>
      <c r="I31" s="48">
        <f t="shared" si="19"/>
        <v>5</v>
      </c>
      <c r="J31" s="32">
        <f t="shared" si="20"/>
        <v>9500</v>
      </c>
      <c r="K31" s="7">
        <v>13883.09</v>
      </c>
      <c r="L31" s="48">
        <f t="shared" si="21"/>
        <v>0</v>
      </c>
      <c r="M31" s="32">
        <f t="shared" si="22"/>
        <v>0</v>
      </c>
      <c r="N31" s="7">
        <v>3367.4229999999998</v>
      </c>
      <c r="O31" s="48">
        <f t="shared" si="23"/>
        <v>1.1709999999998217</v>
      </c>
      <c r="P31" s="32">
        <f t="shared" si="24"/>
        <v>2224.8999999996608</v>
      </c>
      <c r="Q31" s="7">
        <v>5289.15</v>
      </c>
      <c r="R31" s="48">
        <f t="shared" si="25"/>
        <v>0.3499999999994543</v>
      </c>
      <c r="S31" s="32">
        <f t="shared" si="26"/>
        <v>664.99999999896318</v>
      </c>
      <c r="T31" s="8">
        <f t="shared" si="34"/>
        <v>9.4059999999985848</v>
      </c>
      <c r="U31" s="34">
        <f t="shared" si="27"/>
        <v>17871.399999997313</v>
      </c>
      <c r="W31" s="162">
        <v>44559</v>
      </c>
      <c r="X31" s="163">
        <v>163257</v>
      </c>
      <c r="Y31" s="169">
        <f t="shared" si="31"/>
        <v>73</v>
      </c>
      <c r="Z31" s="163">
        <v>8234</v>
      </c>
      <c r="AA31" s="169">
        <f t="shared" si="32"/>
        <v>7</v>
      </c>
      <c r="AB31" s="163">
        <v>18.78</v>
      </c>
      <c r="AC31" s="169">
        <f t="shared" si="36"/>
        <v>0</v>
      </c>
      <c r="AD31" s="163">
        <v>80</v>
      </c>
      <c r="AE31" s="169">
        <f t="shared" si="29"/>
        <v>4</v>
      </c>
      <c r="AF31" s="163">
        <v>5211</v>
      </c>
      <c r="AG31" s="169">
        <f t="shared" si="30"/>
        <v>13</v>
      </c>
    </row>
    <row r="32" spans="1:33" ht="16.5" thickBot="1" x14ac:dyDescent="0.25">
      <c r="A32" s="10">
        <v>44560</v>
      </c>
      <c r="B32" s="165">
        <v>22784.422999999999</v>
      </c>
      <c r="C32" s="48">
        <f t="shared" si="15"/>
        <v>2.1779999999998836</v>
      </c>
      <c r="D32" s="32">
        <f t="shared" si="16"/>
        <v>4138.1999999997779</v>
      </c>
      <c r="E32" s="1">
        <v>4083.6439999999998</v>
      </c>
      <c r="F32" s="48">
        <f t="shared" si="17"/>
        <v>0.66499999999996362</v>
      </c>
      <c r="G32" s="32">
        <f t="shared" si="18"/>
        <v>1263.4999999999309</v>
      </c>
      <c r="H32" s="1">
        <v>4550</v>
      </c>
      <c r="I32" s="48">
        <f t="shared" si="19"/>
        <v>4</v>
      </c>
      <c r="J32" s="32">
        <f t="shared" si="20"/>
        <v>7600</v>
      </c>
      <c r="K32" s="7">
        <v>13883.09</v>
      </c>
      <c r="L32" s="48">
        <f t="shared" si="21"/>
        <v>0</v>
      </c>
      <c r="M32" s="32">
        <f t="shared" si="22"/>
        <v>0</v>
      </c>
      <c r="N32" s="7">
        <v>3368.386</v>
      </c>
      <c r="O32" s="48">
        <f t="shared" si="23"/>
        <v>0.96300000000019281</v>
      </c>
      <c r="P32" s="32">
        <f t="shared" si="24"/>
        <v>1829.7000000003663</v>
      </c>
      <c r="Q32" s="7">
        <v>5289.65</v>
      </c>
      <c r="R32" s="48">
        <f t="shared" si="25"/>
        <v>0.5</v>
      </c>
      <c r="S32" s="32">
        <f t="shared" si="26"/>
        <v>950</v>
      </c>
      <c r="T32" s="8">
        <f t="shared" si="34"/>
        <v>8.30600000000004</v>
      </c>
      <c r="U32" s="34">
        <f t="shared" si="27"/>
        <v>15781.400000000076</v>
      </c>
      <c r="W32" s="162">
        <v>44560</v>
      </c>
      <c r="X32" s="163">
        <v>163325</v>
      </c>
      <c r="Y32" s="169">
        <f t="shared" si="31"/>
        <v>68</v>
      </c>
      <c r="Z32" s="163">
        <v>8240</v>
      </c>
      <c r="AA32" s="169">
        <f t="shared" si="32"/>
        <v>6</v>
      </c>
      <c r="AB32" s="163">
        <v>18.78</v>
      </c>
      <c r="AC32" s="169">
        <v>0</v>
      </c>
      <c r="AD32" s="163">
        <v>83</v>
      </c>
      <c r="AE32" s="169">
        <f t="shared" si="29"/>
        <v>3</v>
      </c>
      <c r="AF32" s="163">
        <v>5226</v>
      </c>
      <c r="AG32" s="169">
        <f t="shared" si="30"/>
        <v>15</v>
      </c>
    </row>
    <row r="33" spans="1:33" s="24" customFormat="1" ht="16.5" thickBot="1" x14ac:dyDescent="0.25">
      <c r="A33" s="10">
        <v>44561</v>
      </c>
      <c r="B33" s="165">
        <v>22785.927</v>
      </c>
      <c r="C33" s="48">
        <f t="shared" si="15"/>
        <v>1.5040000000008149</v>
      </c>
      <c r="D33" s="32">
        <f t="shared" si="16"/>
        <v>2857.6000000015483</v>
      </c>
      <c r="E33" s="1">
        <v>4083.9</v>
      </c>
      <c r="F33" s="48">
        <f t="shared" si="17"/>
        <v>0.25600000000031287</v>
      </c>
      <c r="G33" s="32">
        <f t="shared" si="18"/>
        <v>486.40000000059439</v>
      </c>
      <c r="H33" s="1">
        <v>4553</v>
      </c>
      <c r="I33" s="48">
        <f t="shared" si="19"/>
        <v>3</v>
      </c>
      <c r="J33" s="32">
        <f t="shared" si="20"/>
        <v>5699.9999999999991</v>
      </c>
      <c r="K33" s="7">
        <v>13883.09</v>
      </c>
      <c r="L33" s="48">
        <f t="shared" si="21"/>
        <v>0</v>
      </c>
      <c r="M33" s="32">
        <f t="shared" si="22"/>
        <v>0</v>
      </c>
      <c r="N33" s="7">
        <v>3369</v>
      </c>
      <c r="O33" s="48">
        <f t="shared" si="23"/>
        <v>0.61400000000003274</v>
      </c>
      <c r="P33" s="32">
        <f t="shared" si="24"/>
        <v>1166.6000000000622</v>
      </c>
      <c r="Q33" s="7">
        <v>5289.9</v>
      </c>
      <c r="R33" s="48">
        <f t="shared" si="25"/>
        <v>0.25</v>
      </c>
      <c r="S33" s="32">
        <f t="shared" si="26"/>
        <v>475</v>
      </c>
      <c r="T33" s="8">
        <f t="shared" si="34"/>
        <v>5.6240000000011605</v>
      </c>
      <c r="U33" s="34">
        <f t="shared" si="27"/>
        <v>10685.600000002205</v>
      </c>
      <c r="V33"/>
      <c r="W33" s="162">
        <v>44561</v>
      </c>
      <c r="X33" s="163">
        <v>163330</v>
      </c>
      <c r="Y33" s="169">
        <f t="shared" si="31"/>
        <v>5</v>
      </c>
      <c r="Z33" s="163">
        <v>8244</v>
      </c>
      <c r="AA33" s="169">
        <f t="shared" si="32"/>
        <v>4</v>
      </c>
      <c r="AB33" s="163">
        <f t="shared" si="33"/>
        <v>18.78</v>
      </c>
      <c r="AC33" s="169">
        <v>0</v>
      </c>
      <c r="AD33" s="163">
        <v>85</v>
      </c>
      <c r="AE33" s="169">
        <f t="shared" si="29"/>
        <v>2</v>
      </c>
      <c r="AF33" s="163">
        <v>5234</v>
      </c>
      <c r="AG33" s="169">
        <f t="shared" si="30"/>
        <v>8</v>
      </c>
    </row>
    <row r="34" spans="1:33" s="24" customFormat="1" ht="16.5" thickBot="1" x14ac:dyDescent="0.25">
      <c r="A34" s="6" t="s">
        <v>23</v>
      </c>
      <c r="B34" s="166"/>
      <c r="C34" s="142">
        <f>SUM(C4:C33)</f>
        <v>73.757999999997992</v>
      </c>
      <c r="D34" s="142">
        <f>SUM(D3:D33)</f>
        <v>145338.59999999771</v>
      </c>
      <c r="E34" s="142">
        <v>0</v>
      </c>
      <c r="F34" s="142">
        <f>SUM(F3:F33)</f>
        <v>22.396999999999935</v>
      </c>
      <c r="G34" s="142">
        <f>SUM(G3:G33)</f>
        <v>42554.299999999872</v>
      </c>
      <c r="H34" s="142"/>
      <c r="I34" s="142">
        <f>SUM(I3:I33)</f>
        <v>134</v>
      </c>
      <c r="J34" s="142">
        <f>SUM(J3:J33)</f>
        <v>254600</v>
      </c>
      <c r="K34" s="142"/>
      <c r="L34" s="142">
        <f>SUM(L3:L33)</f>
        <v>36.530000000000655</v>
      </c>
      <c r="M34" s="142">
        <f>SUM(M3:M33)</f>
        <v>69407.000000001237</v>
      </c>
      <c r="N34" s="142"/>
      <c r="O34" s="48" t="str">
        <f t="shared" si="23"/>
        <v>0</v>
      </c>
      <c r="P34" s="142">
        <f>SUM(P3:P33)</f>
        <v>66270.099999999802</v>
      </c>
      <c r="Q34" s="142"/>
      <c r="R34" s="142">
        <f>SUM(R3:R33)</f>
        <v>9.9699999999993452</v>
      </c>
      <c r="S34" s="142">
        <f>SUM(S3:S33)</f>
        <v>18942.999999998756</v>
      </c>
      <c r="T34" s="142">
        <f>SUM(T3:T33)</f>
        <v>314.26999999999862</v>
      </c>
      <c r="U34" s="142">
        <f>SUM(U3:U33)</f>
        <v>597112.99999999732</v>
      </c>
      <c r="V34"/>
      <c r="W34" s="142" t="s">
        <v>143</v>
      </c>
      <c r="X34" s="142"/>
      <c r="Y34" s="142">
        <f>SUM(Y5:Y33)</f>
        <v>3095</v>
      </c>
      <c r="Z34" s="142"/>
      <c r="AA34" s="142">
        <f>SUM(AA5:AA33)</f>
        <v>225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28" sqref="F2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2022-01-01T00:52:19Z</dcterms:modified>
</cp:coreProperties>
</file>