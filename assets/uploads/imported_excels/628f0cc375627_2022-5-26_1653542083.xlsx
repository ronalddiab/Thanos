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V:\ENGINEERING\DEWA-ENERGY-DTCM-HLP\HLP Readings 2016,2017 &amp; 2018\Utilities-HEP\"/>
    </mc:Choice>
  </mc:AlternateContent>
  <bookViews>
    <workbookView xWindow="0" yWindow="0" windowWidth="28800" windowHeight="12435"/>
  </bookViews>
  <sheets>
    <sheet name="Total Daily " sheetId="3" r:id="rId1"/>
    <sheet name="Submetering Daily " sheetId="2" r:id="rId2"/>
    <sheet name="05 - 2022" sheetId="5" r:id="rId3"/>
  </sheets>
  <definedNames>
    <definedName name="_xlnm.Print_Area" localSheetId="2">'05 - 2022'!$A$1:$J$35</definedName>
  </definedNames>
  <calcPr calcId="162913"/>
</workbook>
</file>

<file path=xl/calcChain.xml><?xml version="1.0" encoding="utf-8"?>
<calcChain xmlns="http://schemas.openxmlformats.org/spreadsheetml/2006/main">
  <c r="L27" i="3" l="1"/>
  <c r="K27" i="3"/>
  <c r="I27" i="3"/>
  <c r="G27" i="3"/>
  <c r="E27" i="3"/>
  <c r="J27" i="2"/>
  <c r="I27" i="2"/>
  <c r="H27" i="2"/>
  <c r="F27" i="2"/>
  <c r="E27" i="2"/>
  <c r="J26" i="2" l="1"/>
  <c r="I26" i="2"/>
  <c r="H26" i="2"/>
  <c r="F26" i="2"/>
  <c r="E26" i="2"/>
  <c r="L26" i="3"/>
  <c r="K26" i="3"/>
  <c r="I26" i="3"/>
  <c r="G26" i="3"/>
  <c r="E26" i="3"/>
  <c r="L25" i="3" l="1"/>
  <c r="K25" i="3"/>
  <c r="I25" i="3"/>
  <c r="G25" i="3"/>
  <c r="E25" i="3"/>
  <c r="J25" i="2"/>
  <c r="I25" i="2"/>
  <c r="H25" i="2"/>
  <c r="F25" i="2"/>
  <c r="E25" i="2"/>
  <c r="L22" i="3" l="1"/>
  <c r="K22" i="3"/>
  <c r="I22" i="3"/>
  <c r="G22" i="3"/>
  <c r="E22" i="3"/>
  <c r="J22" i="2"/>
  <c r="I22" i="2"/>
  <c r="H22" i="2"/>
  <c r="F22" i="2"/>
  <c r="E22" i="2"/>
  <c r="L21" i="3" l="1"/>
  <c r="K21" i="3"/>
  <c r="I21" i="3"/>
  <c r="G21" i="3"/>
  <c r="E21" i="3"/>
  <c r="J21" i="2"/>
  <c r="I21" i="2"/>
  <c r="H21" i="2"/>
  <c r="F21" i="2"/>
  <c r="E21" i="2"/>
  <c r="L20" i="3" l="1"/>
  <c r="K20" i="3"/>
  <c r="I20" i="3"/>
  <c r="G20" i="3"/>
  <c r="E20" i="3"/>
  <c r="J20" i="2"/>
  <c r="I20" i="2"/>
  <c r="H20" i="2"/>
  <c r="F20" i="2"/>
  <c r="E20" i="2"/>
  <c r="J19" i="2" l="1"/>
  <c r="I19" i="2"/>
  <c r="H19" i="2"/>
  <c r="F19" i="2"/>
  <c r="E19" i="2"/>
  <c r="L19" i="3"/>
  <c r="K19" i="3"/>
  <c r="I19" i="3"/>
  <c r="G19" i="3"/>
  <c r="E19" i="3"/>
  <c r="L18" i="3" l="1"/>
  <c r="K18" i="3"/>
  <c r="I18" i="3"/>
  <c r="G18" i="3"/>
  <c r="E18" i="3"/>
  <c r="J18" i="2"/>
  <c r="I18" i="2"/>
  <c r="H18" i="2"/>
  <c r="F18" i="2"/>
  <c r="E18" i="2"/>
  <c r="L16" i="3" l="1"/>
  <c r="K16" i="3"/>
  <c r="I16" i="3"/>
  <c r="G16" i="3"/>
  <c r="E16" i="3"/>
  <c r="J16" i="2"/>
  <c r="I16" i="2"/>
  <c r="H16" i="2"/>
  <c r="F16" i="2"/>
  <c r="E16" i="2"/>
  <c r="L15" i="3" l="1"/>
  <c r="K15" i="3"/>
  <c r="I15" i="3"/>
  <c r="G15" i="3"/>
  <c r="E15" i="3"/>
  <c r="J15" i="2"/>
  <c r="I15" i="2"/>
  <c r="H15" i="2"/>
  <c r="F15" i="2"/>
  <c r="E15" i="2"/>
  <c r="J32" i="2" l="1"/>
  <c r="I32" i="2"/>
  <c r="H32" i="2"/>
  <c r="F32" i="2"/>
  <c r="E32" i="2"/>
  <c r="B32" i="2"/>
  <c r="L14" i="3"/>
  <c r="K14" i="3"/>
  <c r="I14" i="3"/>
  <c r="G14" i="3"/>
  <c r="E14" i="3"/>
  <c r="J14" i="2"/>
  <c r="I14" i="2"/>
  <c r="H14" i="2"/>
  <c r="F14" i="2"/>
  <c r="E14" i="2"/>
  <c r="L13" i="3" l="1"/>
  <c r="K13" i="3"/>
  <c r="I13" i="3"/>
  <c r="G13" i="3"/>
  <c r="E13" i="3"/>
  <c r="J13" i="2"/>
  <c r="I13" i="2"/>
  <c r="H13" i="2"/>
  <c r="F13" i="2"/>
  <c r="E13" i="2"/>
  <c r="J11" i="2" l="1"/>
  <c r="I11" i="2"/>
  <c r="H11" i="2"/>
  <c r="F11" i="2"/>
  <c r="E11" i="2"/>
  <c r="L11" i="3"/>
  <c r="K11" i="3"/>
  <c r="I11" i="3"/>
  <c r="G11" i="3"/>
  <c r="E11" i="3"/>
  <c r="L9" i="3" l="1"/>
  <c r="K9" i="3"/>
  <c r="I9" i="3"/>
  <c r="G9" i="3"/>
  <c r="E9" i="3"/>
  <c r="J9" i="2"/>
  <c r="I9" i="2"/>
  <c r="H9" i="2"/>
  <c r="F9" i="2"/>
  <c r="E9" i="2"/>
  <c r="L8" i="3" l="1"/>
  <c r="K8" i="3"/>
  <c r="I8" i="3"/>
  <c r="G8" i="3"/>
  <c r="E8" i="3"/>
  <c r="J8" i="2"/>
  <c r="I8" i="2"/>
  <c r="H8" i="2"/>
  <c r="F8" i="2"/>
  <c r="E8" i="2"/>
  <c r="L7" i="3" l="1"/>
  <c r="K7" i="3"/>
  <c r="I7" i="3"/>
  <c r="G7" i="3"/>
  <c r="E7" i="3"/>
  <c r="J7" i="2"/>
  <c r="I7" i="2"/>
  <c r="H7" i="2"/>
  <c r="F7" i="2"/>
  <c r="E7" i="2"/>
  <c r="L6" i="3" l="1"/>
  <c r="K6" i="3"/>
  <c r="I6" i="3"/>
  <c r="G6" i="3"/>
  <c r="E6" i="3"/>
  <c r="J6" i="2"/>
  <c r="I6" i="2"/>
  <c r="H6" i="2"/>
  <c r="F6" i="2"/>
  <c r="E6" i="2"/>
  <c r="J5" i="2" l="1"/>
  <c r="I5" i="2"/>
  <c r="H5" i="2"/>
  <c r="F5" i="2"/>
  <c r="E5" i="2"/>
  <c r="L5" i="3"/>
  <c r="K5" i="3"/>
  <c r="I5" i="3"/>
  <c r="G5" i="3"/>
  <c r="E5" i="3"/>
  <c r="J3" i="2" l="1"/>
  <c r="I3" i="2"/>
  <c r="H3" i="2"/>
  <c r="F3" i="2"/>
  <c r="E2" i="3"/>
  <c r="J39" i="5" l="1"/>
  <c r="I39" i="5"/>
  <c r="H39" i="5"/>
  <c r="G39" i="5"/>
  <c r="F39" i="5"/>
  <c r="E39" i="5"/>
  <c r="D39" i="5"/>
  <c r="C39" i="5"/>
  <c r="B39" i="5"/>
  <c r="A38" i="5"/>
  <c r="B32" i="3"/>
  <c r="K39" i="5" l="1"/>
  <c r="I40" i="5"/>
  <c r="H40" i="5"/>
  <c r="A8" i="5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L31" i="3" l="1"/>
  <c r="K31" i="3"/>
  <c r="I31" i="3"/>
  <c r="G31" i="3"/>
  <c r="E31" i="3"/>
  <c r="J31" i="2"/>
  <c r="I31" i="2"/>
  <c r="H31" i="2"/>
  <c r="F31" i="2"/>
  <c r="E31" i="2"/>
  <c r="L30" i="3" l="1"/>
  <c r="K30" i="3"/>
  <c r="I30" i="3"/>
  <c r="G30" i="3"/>
  <c r="E30" i="3"/>
  <c r="J30" i="2"/>
  <c r="I30" i="2"/>
  <c r="H30" i="2"/>
  <c r="F30" i="2"/>
  <c r="E30" i="2"/>
  <c r="J29" i="2" l="1"/>
  <c r="I29" i="2"/>
  <c r="H29" i="2"/>
  <c r="F29" i="2"/>
  <c r="E29" i="2"/>
  <c r="J24" i="2" l="1"/>
  <c r="I24" i="2"/>
  <c r="H24" i="2"/>
  <c r="F24" i="2"/>
  <c r="E24" i="2"/>
  <c r="L24" i="3"/>
  <c r="K24" i="3"/>
  <c r="I24" i="3"/>
  <c r="G24" i="3"/>
  <c r="E24" i="3"/>
  <c r="L23" i="3" l="1"/>
  <c r="K23" i="3"/>
  <c r="I23" i="3"/>
  <c r="G23" i="3"/>
  <c r="E23" i="3"/>
  <c r="J23" i="2"/>
  <c r="I23" i="2"/>
  <c r="H23" i="2"/>
  <c r="F23" i="2"/>
  <c r="E23" i="2"/>
  <c r="L17" i="3" l="1"/>
  <c r="K17" i="3"/>
  <c r="I17" i="3"/>
  <c r="G17" i="3"/>
  <c r="E17" i="3"/>
  <c r="J17" i="2"/>
  <c r="I17" i="2"/>
  <c r="H17" i="2"/>
  <c r="F17" i="2"/>
  <c r="E17" i="2"/>
  <c r="J12" i="2" l="1"/>
  <c r="I12" i="2"/>
  <c r="H12" i="2"/>
  <c r="F12" i="2"/>
  <c r="E12" i="2"/>
  <c r="L12" i="3"/>
  <c r="K12" i="3"/>
  <c r="I12" i="3"/>
  <c r="G12" i="3"/>
  <c r="E12" i="3"/>
  <c r="L10" i="3" l="1"/>
  <c r="K10" i="3"/>
  <c r="I10" i="3"/>
  <c r="G10" i="3"/>
  <c r="E10" i="3"/>
  <c r="J10" i="2"/>
  <c r="I10" i="2"/>
  <c r="H10" i="2"/>
  <c r="F10" i="2"/>
  <c r="E10" i="2"/>
  <c r="L4" i="3" l="1"/>
  <c r="K4" i="3"/>
  <c r="I4" i="3"/>
  <c r="G4" i="3"/>
  <c r="E4" i="3"/>
  <c r="J4" i="2"/>
  <c r="I4" i="2"/>
  <c r="H4" i="2"/>
  <c r="F4" i="2"/>
  <c r="E4" i="2"/>
  <c r="I41" i="5" l="1"/>
  <c r="H41" i="5"/>
  <c r="L29" i="3" l="1"/>
  <c r="K29" i="3"/>
  <c r="I29" i="3"/>
  <c r="G29" i="3"/>
  <c r="E29" i="3"/>
  <c r="L2" i="3" l="1"/>
  <c r="K2" i="3"/>
  <c r="I2" i="3"/>
  <c r="G2" i="3"/>
  <c r="J2" i="2"/>
  <c r="I2" i="2"/>
  <c r="H2" i="2"/>
  <c r="F2" i="2"/>
  <c r="E2" i="2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</calcChain>
</file>

<file path=xl/sharedStrings.xml><?xml version="1.0" encoding="utf-8"?>
<sst xmlns="http://schemas.openxmlformats.org/spreadsheetml/2006/main" count="107" uniqueCount="38">
  <si>
    <t>LPG (cu.m)</t>
  </si>
  <si>
    <t>Water (cu.m)</t>
  </si>
  <si>
    <t>BTU</t>
  </si>
  <si>
    <t>Date</t>
  </si>
  <si>
    <t>Main Meter %</t>
  </si>
  <si>
    <t>Main Kitchen</t>
  </si>
  <si>
    <t>Podium Kitchen</t>
  </si>
  <si>
    <t>Boiler</t>
  </si>
  <si>
    <t xml:space="preserve">Chilled Water (KWH)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</si>
  <si>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</si>
  <si>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</si>
  <si>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</si>
  <si>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</si>
  <si>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</si>
  <si>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</si>
  <si>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</si>
  <si>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</si>
  <si>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</si>
  <si>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</si>
  <si>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</si>
  <si>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</si>
  <si>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</si>
  <si>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Panel LV1  Kwh</t>
  </si>
  <si>
    <t>Panel LV2 Kwh</t>
  </si>
  <si>
    <t>Main Kitchen LPG (Kg)</t>
  </si>
  <si>
    <t>Podium Kitchen LPG (Kg)</t>
  </si>
  <si>
    <t>Boiler LPG (Kg)</t>
  </si>
  <si>
    <t>Dubai DIFC</t>
  </si>
  <si>
    <t>B-3 Water Meter (DIFC)</t>
  </si>
  <si>
    <t>MainWater Meter (DEWA)</t>
  </si>
  <si>
    <t xml:space="preserve">FOUR SEASONS HOTEL - DIFC </t>
  </si>
  <si>
    <t>Gas Received (Litres)</t>
  </si>
  <si>
    <t>Remark</t>
  </si>
  <si>
    <t xml:space="preserve">LV-01,  2025952759 </t>
  </si>
  <si>
    <t>LV-2, 2030235407</t>
  </si>
  <si>
    <t>Readings</t>
  </si>
  <si>
    <t>Electricity</t>
  </si>
  <si>
    <t>HLP READING MONTH OF May'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</si>
</sst>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[$-409]d\-mmm\-yy;@"/>
    <numFmt numFmtId="165" formatCode="0.000%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01">
    <xf numFmtId="0" fontId="0" fillId="0" borderId="0" xfId="0"/>
    <xf numFmtId="2" fontId="0" fillId="0" borderId="0" xfId="0" applyNumberFormat="1"/>
    <xf numFmtId="0" fontId="0" fillId="0" borderId="0" xfId="0" applyFont="1" applyAlignment="1">
      <alignment wrapText="1"/>
    </xf>
    <xf numFmtId="1" fontId="0" fillId="0" borderId="0" xfId="0" applyNumberFormat="1" applyFont="1" applyAlignment="1">
      <alignment wrapText="1"/>
    </xf>
    <xf numFmtId="1" fontId="0" fillId="0" borderId="0" xfId="0" applyNumberFormat="1"/>
    <xf numFmtId="2" fontId="0" fillId="0" borderId="0" xfId="0" applyNumberFormat="1" applyFont="1" applyAlignment="1">
      <alignment wrapText="1"/>
    </xf>
    <xf numFmtId="0" fontId="2" fillId="0" borderId="0" xfId="0" applyFont="1"/>
    <xf numFmtId="0" fontId="2" fillId="0" borderId="0" xfId="0" applyFont="1" applyBorder="1"/>
    <xf numFmtId="1" fontId="2" fillId="0" borderId="0" xfId="0" applyNumberFormat="1" applyFont="1" applyBorder="1" applyAlignment="1">
      <alignment wrapText="1"/>
    </xf>
    <xf numFmtId="0" fontId="2" fillId="0" borderId="0" xfId="0" applyFont="1" applyBorder="1" applyAlignment="1">
      <alignment wrapText="1"/>
    </xf>
    <xf numFmtId="1" fontId="1" fillId="0" borderId="0" xfId="1" applyNumberFormat="1" applyFont="1" applyBorder="1" applyAlignment="1">
      <alignment horizontal="center"/>
    </xf>
    <xf numFmtId="1" fontId="0" fillId="0" borderId="0" xfId="0" applyNumberFormat="1" applyBorder="1"/>
    <xf numFmtId="0" fontId="0" fillId="0" borderId="0" xfId="0" applyAlignment="1">
      <alignment horizontal="center"/>
    </xf>
    <xf numFmtId="1" fontId="3" fillId="0" borderId="0" xfId="0" applyNumberFormat="1" applyFont="1" applyAlignment="1">
      <alignment horizontal="center"/>
    </xf>
    <xf numFmtId="0" fontId="0" fillId="0" borderId="0" xfId="0"/>
    <xf numFmtId="2" fontId="0" fillId="0" borderId="0" xfId="0" applyNumberFormat="1"/>
    <xf numFmtId="1" fontId="0" fillId="0" borderId="0" xfId="0" applyNumberFormat="1"/>
    <xf numFmtId="1" fontId="0" fillId="0" borderId="0" xfId="0" applyNumberFormat="1" applyAlignment="1">
      <alignment horizontal="center"/>
    </xf>
    <xf numFmtId="1" fontId="7" fillId="0" borderId="0" xfId="1" applyNumberFormat="1" applyFont="1" applyBorder="1" applyAlignment="1">
      <alignment horizontal="right"/>
    </xf>
    <xf numFmtId="1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0" fillId="0" borderId="0" xfId="0" applyFont="1" applyAlignment="1">
      <alignment horizontal="center" wrapText="1"/>
    </xf>
    <xf numFmtId="0" fontId="3" fillId="0" borderId="0" xfId="0" applyFont="1" applyAlignment="1">
      <alignment wrapText="1"/>
    </xf>
    <xf numFmtId="1" fontId="3" fillId="0" borderId="0" xfId="0" applyNumberFormat="1" applyFont="1"/>
    <xf numFmtId="165" fontId="0" fillId="0" borderId="0" xfId="1" applyNumberFormat="1" applyFont="1"/>
    <xf numFmtId="10" fontId="0" fillId="0" borderId="0" xfId="1" applyNumberFormat="1" applyFont="1"/>
    <xf numFmtId="43" fontId="5" fillId="0" borderId="1" xfId="2" applyFont="1" applyFill="1" applyBorder="1" applyAlignment="1">
      <alignment horizontal="center" vertical="center"/>
    </xf>
    <xf numFmtId="1" fontId="7" fillId="0" borderId="0" xfId="0" applyNumberFormat="1" applyFont="1" applyAlignment="1">
      <alignment horizontal="center"/>
    </xf>
    <xf numFmtId="0" fontId="7" fillId="0" borderId="0" xfId="0" applyFont="1" applyAlignment="1">
      <alignment horizontal="center"/>
    </xf>
    <xf numFmtId="0" fontId="7" fillId="0" borderId="0" xfId="0" applyFont="1" applyBorder="1" applyAlignment="1">
      <alignment horizontal="center"/>
    </xf>
    <xf numFmtId="1" fontId="5" fillId="0" borderId="0" xfId="0" applyNumberFormat="1" applyFont="1" applyBorder="1" applyAlignment="1">
      <alignment horizontal="center" vertical="center"/>
    </xf>
    <xf numFmtId="1" fontId="7" fillId="0" borderId="0" xfId="0" applyNumberFormat="1" applyFont="1" applyBorder="1" applyAlignment="1">
      <alignment horizontal="center"/>
    </xf>
    <xf numFmtId="1" fontId="7" fillId="0" borderId="0" xfId="0" applyNumberFormat="1" applyFont="1" applyFill="1" applyBorder="1" applyAlignment="1">
      <alignment horizontal="center"/>
    </xf>
    <xf numFmtId="0" fontId="7" fillId="0" borderId="0" xfId="0" applyFont="1"/>
    <xf numFmtId="43" fontId="4" fillId="0" borderId="1" xfId="2" applyFont="1" applyBorder="1" applyAlignment="1">
      <alignment horizontal="center"/>
    </xf>
    <xf numFmtId="43" fontId="4" fillId="0" borderId="1" xfId="2" applyFont="1" applyFill="1" applyBorder="1" applyAlignment="1">
      <alignment horizontal="center" vertical="center"/>
    </xf>
    <xf numFmtId="43" fontId="4" fillId="0" borderId="1" xfId="2" applyFont="1" applyBorder="1" applyAlignment="1">
      <alignment horizontal="center" vertical="center"/>
    </xf>
    <xf numFmtId="0" fontId="0" fillId="2" borderId="0" xfId="0" applyFill="1"/>
    <xf numFmtId="0" fontId="0" fillId="2" borderId="0" xfId="0" applyFill="1" applyAlignment="1"/>
    <xf numFmtId="0" fontId="3" fillId="0" borderId="0" xfId="0" applyFont="1" applyAlignment="1">
      <alignment horizontal="center"/>
    </xf>
    <xf numFmtId="1" fontId="10" fillId="0" borderId="0" xfId="0" applyNumberFormat="1" applyFont="1" applyAlignment="1">
      <alignment horizontal="center"/>
    </xf>
    <xf numFmtId="43" fontId="4" fillId="0" borderId="1" xfId="2" applyFont="1" applyBorder="1" applyAlignment="1">
      <alignment horizontal="center" vertical="top"/>
    </xf>
    <xf numFmtId="43" fontId="5" fillId="0" borderId="1" xfId="2" applyFont="1" applyBorder="1" applyAlignment="1" applyProtection="1">
      <alignment horizontal="center" vertical="center"/>
      <protection locked="0"/>
    </xf>
    <xf numFmtId="43" fontId="5" fillId="0" borderId="1" xfId="2" applyFont="1" applyFill="1" applyBorder="1" applyAlignment="1" applyProtection="1">
      <alignment horizontal="center" vertical="center"/>
      <protection locked="0"/>
    </xf>
    <xf numFmtId="43" fontId="5" fillId="0" borderId="1" xfId="2" applyFont="1" applyBorder="1" applyAlignment="1" applyProtection="1">
      <alignment horizontal="center"/>
      <protection locked="0"/>
    </xf>
    <xf numFmtId="43" fontId="5" fillId="2" borderId="1" xfId="2" applyFont="1" applyFill="1" applyBorder="1" applyAlignment="1" applyProtection="1">
      <alignment horizontal="center" vertical="center"/>
      <protection locked="0"/>
    </xf>
    <xf numFmtId="43" fontId="4" fillId="0" borderId="3" xfId="2" applyFont="1" applyBorder="1" applyAlignment="1">
      <alignment horizontal="center" vertical="center"/>
    </xf>
    <xf numFmtId="43" fontId="4" fillId="2" borderId="3" xfId="2" applyFont="1" applyFill="1" applyBorder="1" applyAlignment="1">
      <alignment horizontal="center" vertical="center"/>
    </xf>
    <xf numFmtId="43" fontId="4" fillId="0" borderId="3" xfId="2" applyFont="1" applyFill="1" applyBorder="1" applyAlignment="1">
      <alignment horizontal="center" vertical="center"/>
    </xf>
    <xf numFmtId="43" fontId="6" fillId="0" borderId="1" xfId="2" applyFont="1" applyFill="1" applyBorder="1" applyAlignment="1">
      <alignment horizontal="center" vertical="center"/>
    </xf>
    <xf numFmtId="43" fontId="4" fillId="2" borderId="1" xfId="2" applyFont="1" applyFill="1" applyBorder="1" applyAlignment="1">
      <alignment horizontal="center" vertical="center"/>
    </xf>
    <xf numFmtId="43" fontId="5" fillId="0" borderId="4" xfId="2" applyFont="1" applyFill="1" applyBorder="1" applyAlignment="1">
      <alignment horizontal="center" vertical="center"/>
    </xf>
    <xf numFmtId="9" fontId="4" fillId="0" borderId="1" xfId="0" applyNumberFormat="1" applyFont="1" applyBorder="1" applyAlignment="1">
      <alignment horizontal="center" vertical="center"/>
    </xf>
    <xf numFmtId="43" fontId="5" fillId="0" borderId="5" xfId="2" applyFont="1" applyFill="1" applyBorder="1" applyAlignment="1">
      <alignment horizontal="center" vertical="center"/>
    </xf>
    <xf numFmtId="9" fontId="4" fillId="0" borderId="1" xfId="0" applyNumberFormat="1" applyFont="1" applyBorder="1" applyAlignment="1">
      <alignment horizontal="center"/>
    </xf>
    <xf numFmtId="43" fontId="6" fillId="0" borderId="1" xfId="2" applyFont="1" applyFill="1" applyBorder="1" applyAlignment="1" applyProtection="1">
      <alignment horizontal="center" vertical="center"/>
      <protection locked="0"/>
    </xf>
    <xf numFmtId="43" fontId="6" fillId="0" borderId="3" xfId="2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/>
    </xf>
    <xf numFmtId="9" fontId="4" fillId="0" borderId="3" xfId="0" applyNumberFormat="1" applyFont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4" borderId="9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164" fontId="5" fillId="0" borderId="14" xfId="0" applyNumberFormat="1" applyFont="1" applyBorder="1" applyAlignment="1">
      <alignment horizontal="center"/>
    </xf>
    <xf numFmtId="43" fontId="4" fillId="0" borderId="15" xfId="2" applyFont="1" applyBorder="1" applyAlignment="1">
      <alignment horizontal="center" vertical="center"/>
    </xf>
    <xf numFmtId="43" fontId="4" fillId="2" borderId="15" xfId="2" applyFont="1" applyFill="1" applyBorder="1" applyAlignment="1">
      <alignment horizontal="center" vertical="center"/>
    </xf>
    <xf numFmtId="9" fontId="4" fillId="0" borderId="15" xfId="0" applyNumberFormat="1" applyFont="1" applyBorder="1" applyAlignment="1">
      <alignment horizontal="center" vertical="center"/>
    </xf>
    <xf numFmtId="43" fontId="6" fillId="0" borderId="15" xfId="2" applyFont="1" applyFill="1" applyBorder="1" applyAlignment="1">
      <alignment horizontal="center" vertical="center"/>
    </xf>
    <xf numFmtId="43" fontId="4" fillId="0" borderId="15" xfId="2" applyFont="1" applyFill="1" applyBorder="1" applyAlignment="1">
      <alignment horizontal="center" vertical="center"/>
    </xf>
    <xf numFmtId="43" fontId="4" fillId="0" borderId="16" xfId="0" applyNumberFormat="1" applyFont="1" applyBorder="1" applyAlignment="1">
      <alignment horizontal="center" wrapText="1"/>
    </xf>
    <xf numFmtId="164" fontId="5" fillId="0" borderId="17" xfId="0" applyNumberFormat="1" applyFont="1" applyBorder="1" applyAlignment="1">
      <alignment horizontal="center"/>
    </xf>
    <xf numFmtId="43" fontId="4" fillId="0" borderId="4" xfId="2" applyFont="1" applyBorder="1" applyAlignment="1">
      <alignment horizontal="center"/>
    </xf>
    <xf numFmtId="9" fontId="4" fillId="0" borderId="4" xfId="0" applyNumberFormat="1" applyFont="1" applyBorder="1" applyAlignment="1">
      <alignment horizontal="center" vertical="center"/>
    </xf>
    <xf numFmtId="43" fontId="6" fillId="0" borderId="4" xfId="2" applyFont="1" applyFill="1" applyBorder="1" applyAlignment="1">
      <alignment horizontal="center" vertical="center"/>
    </xf>
    <xf numFmtId="0" fontId="4" fillId="0" borderId="18" xfId="0" applyFont="1" applyBorder="1" applyAlignment="1">
      <alignment horizontal="center"/>
    </xf>
    <xf numFmtId="1" fontId="4" fillId="0" borderId="0" xfId="0" applyNumberFormat="1" applyFont="1" applyAlignment="1">
      <alignment horizontal="center"/>
    </xf>
    <xf numFmtId="0" fontId="4" fillId="0" borderId="6" xfId="0" applyFont="1" applyBorder="1" applyAlignment="1">
      <alignment horizontal="center"/>
    </xf>
    <xf numFmtId="43" fontId="6" fillId="0" borderId="1" xfId="2" applyFont="1" applyBorder="1" applyAlignment="1">
      <alignment horizontal="center"/>
    </xf>
    <xf numFmtId="43" fontId="4" fillId="0" borderId="0" xfId="2" applyFont="1" applyBorder="1" applyAlignment="1">
      <alignment horizontal="center"/>
    </xf>
    <xf numFmtId="0" fontId="4" fillId="0" borderId="6" xfId="0" applyFont="1" applyBorder="1" applyAlignment="1">
      <alignment horizontal="center" wrapText="1"/>
    </xf>
    <xf numFmtId="1" fontId="4" fillId="0" borderId="6" xfId="0" applyNumberFormat="1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19" xfId="0" applyFont="1" applyBorder="1" applyAlignment="1">
      <alignment horizontal="center"/>
    </xf>
    <xf numFmtId="164" fontId="5" fillId="0" borderId="1" xfId="0" applyNumberFormat="1" applyFont="1" applyBorder="1" applyAlignment="1">
      <alignment horizontal="center"/>
    </xf>
    <xf numFmtId="164" fontId="5" fillId="0" borderId="3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2" fillId="3" borderId="20" xfId="0" applyFont="1" applyFill="1" applyBorder="1" applyAlignment="1">
      <alignment horizontal="center" vertical="center" wrapText="1"/>
    </xf>
    <xf numFmtId="0" fontId="4" fillId="0" borderId="15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43" fontId="4" fillId="0" borderId="0" xfId="2" applyFont="1" applyAlignment="1">
      <alignment horizontal="center"/>
    </xf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9" fillId="3" borderId="7" xfId="0" applyFont="1" applyFill="1" applyBorder="1" applyAlignment="1">
      <alignment horizontal="center"/>
    </xf>
    <xf numFmtId="0" fontId="9" fillId="3" borderId="8" xfId="0" applyFont="1" applyFill="1" applyBorder="1" applyAlignment="1">
      <alignment horizontal="center"/>
    </xf>
    <xf numFmtId="0" fontId="9" fillId="3" borderId="9" xfId="0" applyFont="1" applyFill="1" applyBorder="1" applyAlignment="1">
      <alignment horizontal="center"/>
    </xf>
    <xf numFmtId="0" fontId="9" fillId="3" borderId="10" xfId="0" applyFont="1" applyFill="1" applyBorder="1" applyAlignment="1">
      <alignment horizontal="center"/>
    </xf>
    <xf numFmtId="0" fontId="9" fillId="3" borderId="11" xfId="0" applyFont="1" applyFill="1" applyBorder="1" applyAlignment="1">
      <alignment horizontal="center"/>
    </xf>
    <xf numFmtId="0" fontId="9" fillId="3" borderId="12" xfId="0" applyFont="1" applyFill="1" applyBorder="1" applyAlignment="1">
      <alignment horizontal="center"/>
    </xf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2"/>
  <sheetViews>
    <sheetView tabSelected="1" topLeftCell="A4" workbookViewId="0">
      <selection activeCell="S22" sqref="S22"/>
    </sheetView>
  </sheetViews>
  <sheetFormatPr defaultColWidth="11.5703125" defaultRowHeight="15" x14ac:dyDescent="0.25"/>
  <cols>
    <col min="4" max="4" width="13.42578125" customWidth="1"/>
    <col min="5" max="5" width="12.5703125" style="4" customWidth="1"/>
    <col min="6" max="6" width="12.5703125" customWidth="1"/>
    <col min="7" max="7" width="11.5703125" style="4"/>
    <col min="9" max="9" width="11.5703125" style="4"/>
    <col min="13" max="13" width="11.5703125" style="1"/>
    <col min="14" max="14" width="11.5703125" style="20"/>
    <col min="251" max="251" width="13.42578125" customWidth="1"/>
    <col min="252" max="253" width="12.5703125" customWidth="1"/>
  </cols>
  <sheetData>
    <row r="1" spans="1:21" ht="60" x14ac:dyDescent="0.25">
      <c r="A1" t="s">
        <v>9</v>
      </c>
      <c r="B1" t="s">
        <v>10</v>
      </c>
      <c r="C1" t="s">
        <v>11</v>
      </c>
      <c r="D1" t="s">
        <v>12</v>
      </c>
      <c r="E1" s="3" t="s">
        <v>13</v>
      </c>
      <c r="F1" s="2" t="s">
        <v>14</v>
      </c>
      <c r="G1" s="3" t="s">
        <v>15</v>
      </c>
      <c r="H1" s="2" t="s">
        <v>16</v>
      </c>
      <c r="I1" s="3" t="s">
        <v>17</v>
      </c>
      <c r="J1" s="2" t="s">
        <v>18</v>
      </c>
      <c r="K1" s="22" t="s">
        <v>19</v>
      </c>
      <c r="L1" s="2" t="s">
        <v>19</v>
      </c>
      <c r="M1" s="5" t="s">
        <v>20</v>
      </c>
      <c r="N1" s="21" t="s">
        <v>21</v>
      </c>
      <c r="O1" s="2"/>
    </row>
    <row r="2" spans="1:21" x14ac:dyDescent="0.25">
      <c r="A2" t="s">
        <v>27</v>
      </c>
      <c r="B2">
        <v>1</v>
      </c>
      <c r="C2" s="14">
        <v>5</v>
      </c>
      <c r="D2" s="14">
        <v>2022</v>
      </c>
      <c r="E2" s="16">
        <f>'05 - 2022'!B8-'05 - 2022'!B7+'05 - 2022'!C8-'05 - 2022'!C7</f>
        <v>8934</v>
      </c>
      <c r="F2" s="14">
        <v>0.11799999999999999</v>
      </c>
      <c r="G2" s="16">
        <f>'05 - 2022'!D8-'05 - 2022'!D7+'05 - 2022'!E8-'05 - 2022'!E7</f>
        <v>28.309999999999945</v>
      </c>
      <c r="H2" s="14">
        <v>0.99</v>
      </c>
      <c r="I2" s="16">
        <f>'05 - 2022'!J8-'05 - 2022'!J7</f>
        <v>23847</v>
      </c>
      <c r="J2" s="14">
        <v>8.1000000000000003E-2</v>
      </c>
      <c r="K2" s="23">
        <f>'05 - 2022'!H8-'05 - 2022'!H7</f>
        <v>0</v>
      </c>
      <c r="L2" s="16">
        <f>'05 - 2022'!I8-'05 - 2022'!I7</f>
        <v>114</v>
      </c>
      <c r="M2" s="15">
        <v>4.393629424766913</v>
      </c>
      <c r="N2" s="16">
        <v>57</v>
      </c>
    </row>
    <row r="3" spans="1:21" x14ac:dyDescent="0.25">
      <c r="A3" t="s">
        <v>27</v>
      </c>
      <c r="B3">
        <f>B2+1</f>
        <v>2</v>
      </c>
      <c r="C3" s="14">
        <v>5</v>
      </c>
      <c r="D3" s="14">
        <v>2022</v>
      </c>
      <c r="E3" s="16">
        <v>8979</v>
      </c>
      <c r="F3" s="14">
        <v>0.11799999999999999</v>
      </c>
      <c r="G3" s="16">
        <v>28.309999999999945</v>
      </c>
      <c r="H3" s="14">
        <v>0.99</v>
      </c>
      <c r="I3" s="16">
        <v>23847</v>
      </c>
      <c r="J3" s="14">
        <v>8.1000000000000003E-2</v>
      </c>
      <c r="K3" s="23">
        <v>0</v>
      </c>
      <c r="L3" s="16">
        <v>114</v>
      </c>
      <c r="M3" s="15">
        <v>4.393629424766913</v>
      </c>
      <c r="N3" s="18">
        <v>41</v>
      </c>
    </row>
    <row r="4" spans="1:21" x14ac:dyDescent="0.25">
      <c r="A4" t="s">
        <v>27</v>
      </c>
      <c r="B4">
        <f t="shared" ref="B4:B32" si="0">B3+1</f>
        <v>3</v>
      </c>
      <c r="C4" s="14">
        <v>5</v>
      </c>
      <c r="D4" s="14">
        <v>2022</v>
      </c>
      <c r="E4" s="16">
        <f>'05 - 2022'!B10-'05 - 2022'!B9+'05 - 2022'!C10-'05 - 2022'!C9</f>
        <v>9055.5400000000373</v>
      </c>
      <c r="F4" s="14">
        <v>0.11799999999999999</v>
      </c>
      <c r="G4" s="16">
        <f>'05 - 2022'!D10-'05 - 2022'!D9+'05 - 2022'!E10-'05 - 2022'!E9</f>
        <v>23.079999999999927</v>
      </c>
      <c r="H4" s="14">
        <v>0.99</v>
      </c>
      <c r="I4" s="16">
        <f>'05 - 2022'!J10-'05 - 2022'!J9</f>
        <v>21721</v>
      </c>
      <c r="J4" s="14">
        <v>8.1000000000000003E-2</v>
      </c>
      <c r="K4" s="23">
        <f>'05 - 2022'!H10-'05 - 2022'!H9</f>
        <v>0</v>
      </c>
      <c r="L4" s="16">
        <f>'05 - 2022'!I10-'05 - 2022'!I9</f>
        <v>106</v>
      </c>
      <c r="M4" s="15">
        <v>4.393629424766913</v>
      </c>
      <c r="N4" s="18">
        <v>55</v>
      </c>
    </row>
    <row r="5" spans="1:21" x14ac:dyDescent="0.25">
      <c r="A5" t="s">
        <v>27</v>
      </c>
      <c r="B5">
        <f t="shared" si="0"/>
        <v>4</v>
      </c>
      <c r="C5" s="14">
        <v>5</v>
      </c>
      <c r="D5" s="14">
        <v>2022</v>
      </c>
      <c r="E5" s="16">
        <f>'05 - 2022'!B11-'05 - 2022'!B10+'05 - 2022'!C11-'05 - 2022'!C10</f>
        <v>9610.5899999999674</v>
      </c>
      <c r="F5" s="14">
        <v>0.11799999999999999</v>
      </c>
      <c r="G5" s="16">
        <f>'05 - 2022'!D11-'05 - 2022'!D10+'05 - 2022'!E11-'05 - 2022'!E10</f>
        <v>24.360000000000127</v>
      </c>
      <c r="H5" s="14">
        <v>0.99</v>
      </c>
      <c r="I5" s="16">
        <f>'05 - 2022'!J11-'05 - 2022'!J10</f>
        <v>23380</v>
      </c>
      <c r="J5" s="14">
        <v>8.1000000000000003E-2</v>
      </c>
      <c r="K5" s="23">
        <f>'05 - 2022'!H11-'05 - 2022'!H10</f>
        <v>0</v>
      </c>
      <c r="L5" s="16">
        <f>'05 - 2022'!I11-'05 - 2022'!I10</f>
        <v>90</v>
      </c>
      <c r="M5" s="15">
        <v>4.393629424766913</v>
      </c>
      <c r="N5" s="18">
        <v>69</v>
      </c>
      <c r="R5" s="14"/>
    </row>
    <row r="6" spans="1:21" x14ac:dyDescent="0.25">
      <c r="A6" t="s">
        <v>27</v>
      </c>
      <c r="B6">
        <f t="shared" si="0"/>
        <v>5</v>
      </c>
      <c r="C6" s="14">
        <v>5</v>
      </c>
      <c r="D6" s="14">
        <v>2022</v>
      </c>
      <c r="E6" s="16">
        <f>'05 - 2022'!B12-'05 - 2022'!B11+'05 - 2022'!C12-'05 - 2022'!C11</f>
        <v>9106.0899999999674</v>
      </c>
      <c r="F6" s="14">
        <v>0.11799999999999999</v>
      </c>
      <c r="G6" s="16">
        <f>'05 - 2022'!D12-'05 - 2022'!D11+'05 - 2022'!E12-'05 - 2022'!E11</f>
        <v>27.730000000000246</v>
      </c>
      <c r="H6" s="14">
        <v>0.99</v>
      </c>
      <c r="I6" s="16">
        <f>'05 - 2022'!J12-'05 - 2022'!J11</f>
        <v>23463</v>
      </c>
      <c r="J6" s="14">
        <v>8.1000000000000003E-2</v>
      </c>
      <c r="K6" s="23">
        <f>'05 - 2022'!H12-'05 - 2022'!H11</f>
        <v>0</v>
      </c>
      <c r="L6" s="16">
        <f>'05 - 2022'!I12-'05 - 2022'!I11</f>
        <v>111</v>
      </c>
      <c r="M6" s="15">
        <v>4.393629424766913</v>
      </c>
      <c r="N6" s="18">
        <v>70</v>
      </c>
    </row>
    <row r="7" spans="1:21" x14ac:dyDescent="0.25">
      <c r="A7" t="s">
        <v>27</v>
      </c>
      <c r="B7">
        <f t="shared" si="0"/>
        <v>6</v>
      </c>
      <c r="C7" s="14">
        <v>5</v>
      </c>
      <c r="D7" s="14">
        <v>2022</v>
      </c>
      <c r="E7" s="16">
        <f>'05 - 2022'!B13-'05 - 2022'!B12+'05 - 2022'!C13-'05 - 2022'!C12</f>
        <v>9517.6999999999534</v>
      </c>
      <c r="F7" s="14">
        <v>0.11799999999999999</v>
      </c>
      <c r="G7" s="16">
        <f>'05 - 2022'!D13-'05 - 2022'!D12+'05 - 2022'!E13-'05 - 2022'!E12</f>
        <v>25.919999999999845</v>
      </c>
      <c r="H7" s="14">
        <v>0.99</v>
      </c>
      <c r="I7" s="16">
        <f>'05 - 2022'!J13-'05 - 2022'!J12</f>
        <v>25787</v>
      </c>
      <c r="J7" s="14">
        <v>8.1000000000000003E-2</v>
      </c>
      <c r="K7" s="23">
        <f>'05 - 2022'!H13-'05 - 2022'!H12</f>
        <v>0</v>
      </c>
      <c r="L7" s="16">
        <f>'05 - 2022'!I13-'05 - 2022'!I12</f>
        <v>110</v>
      </c>
      <c r="M7" s="15">
        <v>4.393629424766913</v>
      </c>
      <c r="N7" s="18">
        <v>72</v>
      </c>
    </row>
    <row r="8" spans="1:21" x14ac:dyDescent="0.25">
      <c r="A8" t="s">
        <v>27</v>
      </c>
      <c r="B8">
        <f t="shared" si="0"/>
        <v>7</v>
      </c>
      <c r="C8" s="14">
        <v>5</v>
      </c>
      <c r="D8" s="14">
        <v>2022</v>
      </c>
      <c r="E8" s="16">
        <f>'05 - 2022'!B14-'05 - 2022'!B13+'05 - 2022'!C14-'05 - 2022'!C13</f>
        <v>9497</v>
      </c>
      <c r="F8" s="14">
        <v>0.11799999999999999</v>
      </c>
      <c r="G8" s="16">
        <f>'05 - 2022'!D14-'05 - 2022'!D13+'05 - 2022'!E14-'05 - 2022'!E13</f>
        <v>26.040000000000191</v>
      </c>
      <c r="H8" s="14">
        <v>0.99</v>
      </c>
      <c r="I8" s="16">
        <f>'05 - 2022'!J14-'05 - 2022'!J13</f>
        <v>24560</v>
      </c>
      <c r="J8" s="14">
        <v>8.1000000000000003E-2</v>
      </c>
      <c r="K8" s="23">
        <f>'05 - 2022'!H14-'05 - 2022'!H13</f>
        <v>0</v>
      </c>
      <c r="L8" s="16">
        <f>'05 - 2022'!I14-'05 - 2022'!I13</f>
        <v>115</v>
      </c>
      <c r="M8" s="15">
        <v>4.393629424766913</v>
      </c>
      <c r="N8" s="18">
        <v>79</v>
      </c>
      <c r="O8" s="16"/>
    </row>
    <row r="9" spans="1:21" x14ac:dyDescent="0.25">
      <c r="A9" t="s">
        <v>27</v>
      </c>
      <c r="B9">
        <f t="shared" si="0"/>
        <v>8</v>
      </c>
      <c r="C9" s="14">
        <v>5</v>
      </c>
      <c r="D9" s="14">
        <v>2022</v>
      </c>
      <c r="E9" s="16">
        <f>'05 - 2022'!B15-'05 - 2022'!B14+'05 - 2022'!C15-'05 - 2022'!C14</f>
        <v>9519.4000000000233</v>
      </c>
      <c r="F9" s="14">
        <v>0.11799999999999999</v>
      </c>
      <c r="G9" s="16">
        <f>'05 - 2022'!D15-'05 - 2022'!D14+'05 - 2022'!E15-'05 - 2022'!E14</f>
        <v>28.160000000000082</v>
      </c>
      <c r="H9" s="14">
        <v>0.99</v>
      </c>
      <c r="I9" s="16">
        <f>'05 - 2022'!J15-'05 - 2022'!J14</f>
        <v>26689</v>
      </c>
      <c r="J9" s="14">
        <v>8.1000000000000003E-2</v>
      </c>
      <c r="K9" s="23">
        <f>'05 - 2022'!H15-'05 - 2022'!H14</f>
        <v>0</v>
      </c>
      <c r="L9" s="16">
        <f>'05 - 2022'!I15-'05 - 2022'!I14</f>
        <v>112</v>
      </c>
      <c r="M9" s="15">
        <v>4.393629424766913</v>
      </c>
      <c r="N9" s="18">
        <v>71</v>
      </c>
    </row>
    <row r="10" spans="1:21" x14ac:dyDescent="0.25">
      <c r="A10" t="s">
        <v>27</v>
      </c>
      <c r="B10">
        <f t="shared" si="0"/>
        <v>9</v>
      </c>
      <c r="C10" s="14">
        <v>5</v>
      </c>
      <c r="D10" s="14">
        <v>2022</v>
      </c>
      <c r="E10" s="16">
        <f>'05 - 2022'!B16-'05 - 2022'!B15+'05 - 2022'!C16-'05 - 2022'!C15</f>
        <v>9471.0999999999767</v>
      </c>
      <c r="F10" s="14">
        <v>0.11799999999999999</v>
      </c>
      <c r="G10" s="16">
        <f>'05 - 2022'!D16-'05 - 2022'!D15+'05 - 2022'!E16-'05 - 2022'!E15</f>
        <v>24</v>
      </c>
      <c r="H10" s="14">
        <v>0.99</v>
      </c>
      <c r="I10" s="16">
        <f>'05 - 2022'!J16-'05 - 2022'!J15</f>
        <v>26067</v>
      </c>
      <c r="J10" s="14">
        <v>8.1000000000000003E-2</v>
      </c>
      <c r="K10" s="23">
        <f>'05 - 2022'!H16-'05 - 2022'!H15</f>
        <v>0</v>
      </c>
      <c r="L10" s="16">
        <f>'05 - 2022'!I16-'05 - 2022'!I15</f>
        <v>103</v>
      </c>
      <c r="M10" s="15">
        <v>4.393629424766913</v>
      </c>
      <c r="N10" s="18">
        <v>78</v>
      </c>
    </row>
    <row r="11" spans="1:21" x14ac:dyDescent="0.25">
      <c r="A11" t="s">
        <v>27</v>
      </c>
      <c r="B11">
        <f t="shared" si="0"/>
        <v>10</v>
      </c>
      <c r="C11" s="14">
        <v>5</v>
      </c>
      <c r="D11" s="14">
        <v>2022</v>
      </c>
      <c r="E11" s="16">
        <f>'05 - 2022'!B17-'05 - 2022'!B16+'05 - 2022'!C17-'05 - 2022'!C16</f>
        <v>9380.1999999999534</v>
      </c>
      <c r="F11" s="14">
        <v>0.11799999999999999</v>
      </c>
      <c r="G11" s="16">
        <f>'05 - 2022'!D17-'05 - 2022'!D16+'05 - 2022'!E17-'05 - 2022'!E16</f>
        <v>26.040000000000191</v>
      </c>
      <c r="H11" s="14">
        <v>0.99</v>
      </c>
      <c r="I11" s="16">
        <f>'05 - 2022'!J17-'05 - 2022'!J16</f>
        <v>24398</v>
      </c>
      <c r="J11" s="14">
        <v>8.1000000000000003E-2</v>
      </c>
      <c r="K11" s="23">
        <f>'05 - 2022'!H17-'05 - 2022'!H16</f>
        <v>0</v>
      </c>
      <c r="L11" s="16">
        <f>'05 - 2022'!I17-'05 - 2022'!I16</f>
        <v>111</v>
      </c>
      <c r="M11" s="15">
        <v>4.393629424766913</v>
      </c>
      <c r="N11" s="18">
        <v>93</v>
      </c>
    </row>
    <row r="12" spans="1:21" x14ac:dyDescent="0.25">
      <c r="A12" t="s">
        <v>27</v>
      </c>
      <c r="B12">
        <f t="shared" si="0"/>
        <v>11</v>
      </c>
      <c r="C12" s="14">
        <v>5</v>
      </c>
      <c r="D12" s="14">
        <v>2022</v>
      </c>
      <c r="E12" s="16">
        <f>'05 - 2022'!B18-'05 - 2022'!B17+'05 - 2022'!C18-'05 - 2022'!C17</f>
        <v>9626</v>
      </c>
      <c r="F12" s="14">
        <v>0.11799999999999999</v>
      </c>
      <c r="G12" s="16">
        <f>'05 - 2022'!D18-'05 - 2022'!D17+'05 - 2022'!E18-'05 - 2022'!E17</f>
        <v>23.379999999999882</v>
      </c>
      <c r="H12" s="14">
        <v>0.99</v>
      </c>
      <c r="I12" s="16">
        <f>'05 - 2022'!J18-'05 - 2022'!J17</f>
        <v>23920</v>
      </c>
      <c r="J12" s="14">
        <v>8.1000000000000003E-2</v>
      </c>
      <c r="K12" s="23">
        <f>'05 - 2022'!H18-'05 - 2022'!H17</f>
        <v>0</v>
      </c>
      <c r="L12" s="16">
        <f>'05 - 2022'!I18-'05 - 2022'!I17</f>
        <v>112</v>
      </c>
      <c r="M12" s="15">
        <v>4.393629424766913</v>
      </c>
      <c r="N12" s="16">
        <v>99</v>
      </c>
    </row>
    <row r="13" spans="1:21" x14ac:dyDescent="0.25">
      <c r="A13" t="s">
        <v>27</v>
      </c>
      <c r="B13">
        <f t="shared" si="0"/>
        <v>12</v>
      </c>
      <c r="C13" s="14">
        <v>5</v>
      </c>
      <c r="D13" s="14">
        <v>2022</v>
      </c>
      <c r="E13" s="16">
        <f>'05 - 2022'!B19-'05 - 2022'!B18+'05 - 2022'!C19-'05 - 2022'!C18</f>
        <v>9411.3000000000466</v>
      </c>
      <c r="F13" s="14">
        <v>0.11799999999999999</v>
      </c>
      <c r="G13" s="16">
        <f>'05 - 2022'!D19-'05 - 2022'!D18+'05 - 2022'!E19-'05 - 2022'!E18</f>
        <v>24.770000000000209</v>
      </c>
      <c r="H13" s="14">
        <v>0.99</v>
      </c>
      <c r="I13" s="16">
        <f>'05 - 2022'!J19-'05 - 2022'!J18</f>
        <v>25335</v>
      </c>
      <c r="J13" s="14">
        <v>8.1000000000000003E-2</v>
      </c>
      <c r="K13" s="23">
        <f>'05 - 2022'!H19-'05 - 2022'!H18</f>
        <v>0</v>
      </c>
      <c r="L13" s="16">
        <f>'05 - 2022'!I19-'05 - 2022'!I18</f>
        <v>108</v>
      </c>
      <c r="M13" s="15">
        <v>4.393629424766913</v>
      </c>
      <c r="N13" s="16">
        <v>103</v>
      </c>
    </row>
    <row r="14" spans="1:21" x14ac:dyDescent="0.25">
      <c r="A14" t="s">
        <v>27</v>
      </c>
      <c r="B14">
        <f t="shared" si="0"/>
        <v>13</v>
      </c>
      <c r="C14" s="14">
        <v>5</v>
      </c>
      <c r="D14" s="14">
        <v>2022</v>
      </c>
      <c r="E14" s="16">
        <f>'05 - 2022'!B20-'05 - 2022'!B19+'05 - 2022'!C20-'05 - 2022'!C19</f>
        <v>9315.5</v>
      </c>
      <c r="F14" s="14">
        <v>0.11799999999999999</v>
      </c>
      <c r="G14" s="16">
        <f>'05 - 2022'!D20-'05 - 2022'!D19+'05 - 2022'!E20-'05 - 2022'!E19</f>
        <v>27.129999999999882</v>
      </c>
      <c r="H14" s="14">
        <v>0.99</v>
      </c>
      <c r="I14" s="16">
        <f>'05 - 2022'!J20-'05 - 2022'!J19</f>
        <v>24822</v>
      </c>
      <c r="J14" s="14">
        <v>8.1000000000000003E-2</v>
      </c>
      <c r="K14" s="23">
        <f>'05 - 2022'!H20-'05 - 2022'!H19</f>
        <v>0</v>
      </c>
      <c r="L14" s="16">
        <f>'05 - 2022'!I20-'05 - 2022'!I19</f>
        <v>97</v>
      </c>
      <c r="M14" s="15">
        <v>4.393629424766913</v>
      </c>
      <c r="N14" s="16">
        <v>97</v>
      </c>
      <c r="O14" s="16"/>
    </row>
    <row r="15" spans="1:21" x14ac:dyDescent="0.25">
      <c r="A15" t="s">
        <v>27</v>
      </c>
      <c r="B15">
        <f t="shared" si="0"/>
        <v>14</v>
      </c>
      <c r="C15" s="14">
        <v>5</v>
      </c>
      <c r="D15" s="14">
        <v>2022</v>
      </c>
      <c r="E15" s="16">
        <f>'05 - 2022'!B21-'05 - 2022'!B20+'05 - 2022'!C21-'05 - 2022'!C20</f>
        <v>9321.4000000000233</v>
      </c>
      <c r="F15" s="14">
        <v>0.11799999999999999</v>
      </c>
      <c r="G15" s="16">
        <f>'05 - 2022'!D21-'05 - 2022'!D20+'05 - 2022'!E21-'05 - 2022'!E20</f>
        <v>24.420000000000073</v>
      </c>
      <c r="H15" s="14">
        <v>0.99</v>
      </c>
      <c r="I15" s="16">
        <f>'05 - 2022'!J21-'05 - 2022'!J20</f>
        <v>24498</v>
      </c>
      <c r="J15" s="14">
        <v>8.1000000000000003E-2</v>
      </c>
      <c r="K15" s="23">
        <f>'05 - 2022'!H21-'05 - 2022'!H20</f>
        <v>0</v>
      </c>
      <c r="L15" s="16">
        <f>'05 - 2022'!I21-'05 - 2022'!I20</f>
        <v>126</v>
      </c>
      <c r="M15" s="15">
        <v>4.393629424766913</v>
      </c>
      <c r="N15" s="16">
        <v>78</v>
      </c>
      <c r="R15" s="14"/>
    </row>
    <row r="16" spans="1:21" x14ac:dyDescent="0.25">
      <c r="A16" t="s">
        <v>27</v>
      </c>
      <c r="B16">
        <f t="shared" si="0"/>
        <v>15</v>
      </c>
      <c r="C16" s="14">
        <v>5</v>
      </c>
      <c r="D16" s="14">
        <v>2022</v>
      </c>
      <c r="E16" s="16">
        <f>'05 - 2022'!B22-'05 - 2022'!B21+'05 - 2022'!C22-'05 - 2022'!C21</f>
        <v>9090.5</v>
      </c>
      <c r="F16" s="14">
        <v>0.11799999999999999</v>
      </c>
      <c r="G16" s="16">
        <f>'05 - 2022'!D22-'05 - 2022'!D21+'05 - 2022'!E22-'05 - 2022'!E21</f>
        <v>25.550000000000182</v>
      </c>
      <c r="H16" s="14">
        <v>0.99</v>
      </c>
      <c r="I16" s="16">
        <f>'05 - 2022'!J22-'05 - 2022'!J21</f>
        <v>23221</v>
      </c>
      <c r="J16" s="14">
        <v>8.1000000000000003E-2</v>
      </c>
      <c r="K16" s="23">
        <f>'05 - 2022'!H22-'05 - 2022'!H21</f>
        <v>0</v>
      </c>
      <c r="L16" s="16">
        <f>'05 - 2022'!I22-'05 - 2022'!I21</f>
        <v>120</v>
      </c>
      <c r="M16" s="15">
        <v>4.393629424766913</v>
      </c>
      <c r="N16" s="16">
        <v>56</v>
      </c>
      <c r="U16" s="14"/>
    </row>
    <row r="17" spans="1:17" x14ac:dyDescent="0.25">
      <c r="A17" t="s">
        <v>27</v>
      </c>
      <c r="B17">
        <f t="shared" si="0"/>
        <v>16</v>
      </c>
      <c r="C17" s="14">
        <v>5</v>
      </c>
      <c r="D17" s="14">
        <v>2022</v>
      </c>
      <c r="E17" s="16">
        <f>'05 - 2022'!B23-'05 - 2022'!B22+'05 - 2022'!C23-'05 - 2022'!C22</f>
        <v>9066.6999999999534</v>
      </c>
      <c r="F17" s="14">
        <v>0.11799999999999999</v>
      </c>
      <c r="G17" s="16">
        <f>'05 - 2022'!D23-'05 - 2022'!D22+'05 - 2022'!E23-'05 - 2022'!E22</f>
        <v>22.900000000000091</v>
      </c>
      <c r="H17" s="14">
        <v>0.99</v>
      </c>
      <c r="I17" s="16">
        <f>'05 - 2022'!J23-'05 - 2022'!J22</f>
        <v>23017</v>
      </c>
      <c r="J17" s="14">
        <v>8.1000000000000003E-2</v>
      </c>
      <c r="K17" s="23">
        <f>'05 - 2022'!H23-'05 - 2022'!H22</f>
        <v>0</v>
      </c>
      <c r="L17" s="16">
        <f>'05 - 2022'!I23-'05 - 2022'!I22</f>
        <v>92</v>
      </c>
      <c r="M17" s="15">
        <v>4.393629424766913</v>
      </c>
      <c r="N17" s="16">
        <v>50</v>
      </c>
      <c r="O17" s="14"/>
    </row>
    <row r="18" spans="1:17" x14ac:dyDescent="0.25">
      <c r="A18" t="s">
        <v>27</v>
      </c>
      <c r="B18">
        <f t="shared" si="0"/>
        <v>17</v>
      </c>
      <c r="C18" s="14">
        <v>5</v>
      </c>
      <c r="D18" s="14">
        <v>2022</v>
      </c>
      <c r="E18" s="16">
        <f>'05 - 2022'!B24-'05 - 2022'!B23+'05 - 2022'!C24-'05 - 2022'!C23</f>
        <v>9382.5999999999767</v>
      </c>
      <c r="F18" s="14">
        <v>0.11799999999999999</v>
      </c>
      <c r="G18" s="16">
        <f>'05 - 2022'!D24-'05 - 2022'!D23+'05 - 2022'!E24-'05 - 2022'!E23</f>
        <v>25.369999999999891</v>
      </c>
      <c r="H18" s="14">
        <v>0.99</v>
      </c>
      <c r="I18" s="16">
        <f>'05 - 2022'!J24-'05 - 2022'!J23</f>
        <v>25809</v>
      </c>
      <c r="J18" s="14">
        <v>8.1000000000000003E-2</v>
      </c>
      <c r="K18" s="23">
        <f>'05 - 2022'!H24-'05 - 2022'!H23</f>
        <v>0</v>
      </c>
      <c r="L18" s="16">
        <f>'05 - 2022'!I24-'05 - 2022'!I23</f>
        <v>97</v>
      </c>
      <c r="M18" s="15">
        <v>4.393629424766913</v>
      </c>
      <c r="N18" s="16">
        <v>59</v>
      </c>
      <c r="Q18" s="14"/>
    </row>
    <row r="19" spans="1:17" x14ac:dyDescent="0.25">
      <c r="A19" t="s">
        <v>27</v>
      </c>
      <c r="B19">
        <f>B18+1</f>
        <v>18</v>
      </c>
      <c r="C19" s="14">
        <v>5</v>
      </c>
      <c r="D19" s="14">
        <v>2022</v>
      </c>
      <c r="E19" s="16">
        <f>'05 - 2022'!B25-'05 - 2022'!B24+'05 - 2022'!C25-'05 - 2022'!C24</f>
        <v>9594.0999999999767</v>
      </c>
      <c r="F19" s="14">
        <v>0.11799999999999999</v>
      </c>
      <c r="G19" s="16">
        <f>'05 - 2022'!D25-'05 - 2022'!D24+'05 - 2022'!E25-'05 - 2022'!E24</f>
        <v>26.210000000000264</v>
      </c>
      <c r="H19" s="14">
        <v>0.99</v>
      </c>
      <c r="I19" s="16">
        <f>'05 - 2022'!J25-'05 - 2022'!J24</f>
        <v>26282</v>
      </c>
      <c r="J19" s="14">
        <v>8.1000000000000003E-2</v>
      </c>
      <c r="K19" s="23">
        <f>'05 - 2022'!H25-'05 - 2022'!H24</f>
        <v>0</v>
      </c>
      <c r="L19" s="16">
        <f>'05 - 2022'!I25-'05 - 2022'!I24</f>
        <v>106</v>
      </c>
      <c r="M19" s="15">
        <v>4.393629424766913</v>
      </c>
      <c r="N19" s="16">
        <v>82</v>
      </c>
    </row>
    <row r="20" spans="1:17" x14ac:dyDescent="0.25">
      <c r="A20" t="s">
        <v>27</v>
      </c>
      <c r="B20">
        <f t="shared" si="0"/>
        <v>19</v>
      </c>
      <c r="C20" s="14">
        <v>5</v>
      </c>
      <c r="D20" s="14">
        <v>2022</v>
      </c>
      <c r="E20" s="16">
        <f>'05 - 2022'!B26-'05 - 2022'!B25+'05 - 2022'!C26-'05 - 2022'!C25</f>
        <v>9422.8000000000466</v>
      </c>
      <c r="F20" s="14">
        <v>0.11799999999999999</v>
      </c>
      <c r="G20" s="16">
        <f>'05 - 2022'!D26-'05 - 2022'!D25+'05 - 2022'!E26-'05 - 2022'!E25</f>
        <v>24.119999999999891</v>
      </c>
      <c r="H20" s="14">
        <v>0.99</v>
      </c>
      <c r="I20" s="16">
        <f>'05 - 2022'!J26-'05 - 2022'!J25</f>
        <v>26350</v>
      </c>
      <c r="J20" s="14">
        <v>8.1000000000000003E-2</v>
      </c>
      <c r="K20" s="23">
        <f>'05 - 2022'!H26-'05 - 2022'!H25</f>
        <v>0</v>
      </c>
      <c r="L20" s="16">
        <f>'05 - 2022'!I26-'05 - 2022'!I25</f>
        <v>109</v>
      </c>
      <c r="M20" s="15">
        <v>4.393629424766913</v>
      </c>
      <c r="N20" s="16">
        <v>96</v>
      </c>
    </row>
    <row r="21" spans="1:17" x14ac:dyDescent="0.25">
      <c r="A21" t="s">
        <v>27</v>
      </c>
      <c r="B21">
        <f t="shared" si="0"/>
        <v>20</v>
      </c>
      <c r="C21" s="14">
        <v>5</v>
      </c>
      <c r="D21" s="14">
        <v>2022</v>
      </c>
      <c r="E21" s="16">
        <f>'05 - 2022'!B27-'05 - 2022'!B26+'05 - 2022'!C27-'05 - 2022'!C26</f>
        <v>9717</v>
      </c>
      <c r="F21" s="14">
        <v>0.11799999999999999</v>
      </c>
      <c r="G21" s="16">
        <f>'05 - 2022'!D27-'05 - 2022'!D26+'05 - 2022'!E27-'05 - 2022'!E26</f>
        <v>25</v>
      </c>
      <c r="H21" s="14">
        <v>0.99</v>
      </c>
      <c r="I21" s="16">
        <f>'05 - 2022'!J27-'05 - 2022'!J26</f>
        <v>27576</v>
      </c>
      <c r="J21" s="14">
        <v>8.1000000000000003E-2</v>
      </c>
      <c r="K21" s="23">
        <f>'05 - 2022'!H27-'05 - 2022'!H26</f>
        <v>0</v>
      </c>
      <c r="L21" s="16">
        <f>'05 - 2022'!I27-'05 - 2022'!I26</f>
        <v>118</v>
      </c>
      <c r="M21" s="15">
        <v>4.393629424766913</v>
      </c>
      <c r="N21" s="16">
        <v>94</v>
      </c>
    </row>
    <row r="22" spans="1:17" x14ac:dyDescent="0.25">
      <c r="A22" t="s">
        <v>27</v>
      </c>
      <c r="B22">
        <f t="shared" si="0"/>
        <v>21</v>
      </c>
      <c r="C22" s="14">
        <v>5</v>
      </c>
      <c r="D22" s="14">
        <v>2022</v>
      </c>
      <c r="E22" s="16">
        <f>'05 - 2022'!B28-'05 - 2022'!B27+'05 - 2022'!C28-'05 - 2022'!C27</f>
        <v>9719.5999999999767</v>
      </c>
      <c r="F22" s="14">
        <v>0.11799999999999999</v>
      </c>
      <c r="G22" s="16">
        <f>'05 - 2022'!D28-'05 - 2022'!D27+'05 - 2022'!E28-'05 - 2022'!E27</f>
        <v>27.1400000000001</v>
      </c>
      <c r="H22" s="14">
        <v>0.99</v>
      </c>
      <c r="I22" s="16">
        <f>'05 - 2022'!J28-'05 - 2022'!J27</f>
        <v>29572</v>
      </c>
      <c r="J22" s="14">
        <v>8.1000000000000003E-2</v>
      </c>
      <c r="K22" s="23">
        <f>'05 - 2022'!H28-'05 - 2022'!H27</f>
        <v>0</v>
      </c>
      <c r="L22" s="16">
        <f>'05 - 2022'!I28-'05 - 2022'!I27</f>
        <v>119</v>
      </c>
      <c r="M22" s="15">
        <v>4.393629424766913</v>
      </c>
      <c r="N22" s="16">
        <v>96</v>
      </c>
    </row>
    <row r="23" spans="1:17" x14ac:dyDescent="0.25">
      <c r="A23" t="s">
        <v>27</v>
      </c>
      <c r="B23">
        <f t="shared" si="0"/>
        <v>22</v>
      </c>
      <c r="C23" s="14">
        <v>5</v>
      </c>
      <c r="D23" s="14">
        <v>2022</v>
      </c>
      <c r="E23" s="16">
        <f>'05 - 2022'!B29-'05 - 2022'!B28+'05 - 2022'!C29-'05 - 2022'!C28</f>
        <v>9716.3000000000466</v>
      </c>
      <c r="F23" s="14">
        <v>0.11799999999999999</v>
      </c>
      <c r="G23" s="16">
        <f>'05 - 2022'!D29-'05 - 2022'!D28+'05 - 2022'!E29-'05 - 2022'!E28</f>
        <v>24.790000000000191</v>
      </c>
      <c r="H23" s="14">
        <v>0.99</v>
      </c>
      <c r="I23" s="16">
        <f>'05 - 2022'!J29-'05 - 2022'!J28</f>
        <v>29953</v>
      </c>
      <c r="J23" s="14">
        <v>8.1000000000000003E-2</v>
      </c>
      <c r="K23" s="23">
        <f>'05 - 2022'!H29-'05 - 2022'!H28</f>
        <v>0</v>
      </c>
      <c r="L23" s="16">
        <f>'05 - 2022'!I29-'05 - 2022'!I28</f>
        <v>112</v>
      </c>
      <c r="M23" s="15">
        <v>4.393629424766913</v>
      </c>
      <c r="N23" s="16">
        <v>64</v>
      </c>
    </row>
    <row r="24" spans="1:17" x14ac:dyDescent="0.25">
      <c r="A24" t="s">
        <v>27</v>
      </c>
      <c r="B24">
        <f t="shared" si="0"/>
        <v>23</v>
      </c>
      <c r="C24" s="14">
        <v>5</v>
      </c>
      <c r="D24" s="14">
        <v>2022</v>
      </c>
      <c r="E24" s="16">
        <f>'05 - 2022'!B30-'05 - 2022'!B29+'05 - 2022'!C30-'05 - 2022'!C29</f>
        <v>9414.1999999999534</v>
      </c>
      <c r="F24" s="14">
        <v>0.11799999999999999</v>
      </c>
      <c r="G24" s="16">
        <f>'05 - 2022'!D30-'05 - 2022'!D29+'05 - 2022'!E30-'05 - 2022'!E29</f>
        <v>27.410000000000082</v>
      </c>
      <c r="H24" s="14">
        <v>0.99</v>
      </c>
      <c r="I24" s="16">
        <f>'05 - 2022'!J30-'05 - 2022'!J29</f>
        <v>29760</v>
      </c>
      <c r="J24" s="14">
        <v>8.1000000000000003E-2</v>
      </c>
      <c r="K24" s="23">
        <f>'05 - 2022'!H30-'05 - 2022'!H29</f>
        <v>0</v>
      </c>
      <c r="L24" s="16">
        <f>'05 - 2022'!I30-'05 - 2022'!I29</f>
        <v>111</v>
      </c>
      <c r="M24" s="15">
        <v>4.393629424766913</v>
      </c>
      <c r="N24" s="16">
        <v>66</v>
      </c>
    </row>
    <row r="25" spans="1:17" x14ac:dyDescent="0.25">
      <c r="A25" t="s">
        <v>27</v>
      </c>
      <c r="B25">
        <f t="shared" si="0"/>
        <v>24</v>
      </c>
      <c r="C25" s="14">
        <v>5</v>
      </c>
      <c r="D25" s="14">
        <v>2022</v>
      </c>
      <c r="E25" s="16">
        <f>'05 - 2022'!B31-'05 - 2022'!B30+'05 - 2022'!C31-'05 - 2022'!C30</f>
        <v>9508.9000000000233</v>
      </c>
      <c r="F25" s="14">
        <v>0.11799999999999999</v>
      </c>
      <c r="G25" s="16">
        <f>'05 - 2022'!D31-'05 - 2022'!D30+'05 - 2022'!E31-'05 - 2022'!E30</f>
        <v>25.069999999999936</v>
      </c>
      <c r="H25" s="14">
        <v>0.99</v>
      </c>
      <c r="I25" s="16">
        <f>'05 - 2022'!J31-'05 - 2022'!J30</f>
        <v>29815</v>
      </c>
      <c r="J25" s="14">
        <v>8.1000000000000003E-2</v>
      </c>
      <c r="K25" s="23">
        <f>'05 - 2022'!H31-'05 - 2022'!H30</f>
        <v>0</v>
      </c>
      <c r="L25" s="16">
        <f>'05 - 2022'!I31-'05 - 2022'!I30</f>
        <v>110</v>
      </c>
      <c r="M25" s="15">
        <v>4.393629424766913</v>
      </c>
      <c r="N25" s="16">
        <v>94</v>
      </c>
      <c r="P25" s="12"/>
    </row>
    <row r="26" spans="1:17" x14ac:dyDescent="0.25">
      <c r="A26" t="s">
        <v>27</v>
      </c>
      <c r="B26">
        <f>B25+1</f>
        <v>25</v>
      </c>
      <c r="C26" s="14">
        <v>5</v>
      </c>
      <c r="D26" s="14">
        <v>2022</v>
      </c>
      <c r="E26" s="16">
        <f>'05 - 2022'!B32-'05 - 2022'!B31+'05 - 2022'!C32-'05 - 2022'!C31</f>
        <v>9927.5</v>
      </c>
      <c r="F26" s="14">
        <v>0.11799999999999999</v>
      </c>
      <c r="G26" s="16">
        <f>'05 - 2022'!D32-'05 - 2022'!D31+'05 - 2022'!E32-'05 - 2022'!E31</f>
        <v>27.830000000000155</v>
      </c>
      <c r="H26" s="14">
        <v>0.99</v>
      </c>
      <c r="I26" s="16">
        <f>'05 - 2022'!J32-'05 - 2022'!J31</f>
        <v>29870</v>
      </c>
      <c r="J26" s="14">
        <v>8.1000000000000003E-2</v>
      </c>
      <c r="K26" s="23">
        <f>'05 - 2022'!H32-'05 - 2022'!H31</f>
        <v>0</v>
      </c>
      <c r="L26" s="16">
        <f>'05 - 2022'!I32-'05 - 2022'!I31</f>
        <v>113</v>
      </c>
      <c r="M26" s="15">
        <v>4.393629424766913</v>
      </c>
      <c r="N26" s="16">
        <v>94</v>
      </c>
    </row>
    <row r="27" spans="1:17" x14ac:dyDescent="0.25">
      <c r="A27" t="s">
        <v>27</v>
      </c>
      <c r="B27">
        <f t="shared" si="0"/>
        <v>26</v>
      </c>
      <c r="C27" s="14">
        <v>5</v>
      </c>
      <c r="D27" s="14">
        <v>2022</v>
      </c>
      <c r="E27" s="16">
        <f>'05 - 2022'!B33-'05 - 2022'!B32+'05 - 2022'!C33-'05 - 2022'!C32</f>
        <v>9384</v>
      </c>
      <c r="F27" s="14">
        <v>0.11799999999999999</v>
      </c>
      <c r="G27" s="16">
        <f>'05 - 2022'!D33-'05 - 2022'!D32+'05 - 2022'!E33-'05 - 2022'!E32</f>
        <v>26.230000000000018</v>
      </c>
      <c r="H27" s="14">
        <v>0.99</v>
      </c>
      <c r="I27" s="16">
        <f>'05 - 2022'!J33-'05 - 2022'!J32</f>
        <v>27210</v>
      </c>
      <c r="J27" s="14">
        <v>8.1000000000000003E-2</v>
      </c>
      <c r="K27" s="23">
        <f>'05 - 2022'!H33-'05 - 2022'!H32</f>
        <v>0</v>
      </c>
      <c r="L27" s="16">
        <f>'05 - 2022'!I33-'05 - 2022'!I32</f>
        <v>116</v>
      </c>
      <c r="M27" s="15">
        <v>4.393629424766913</v>
      </c>
      <c r="N27" s="16">
        <v>94</v>
      </c>
    </row>
    <row r="28" spans="1:17" x14ac:dyDescent="0.25">
      <c r="A28" t="s">
        <v>27</v>
      </c>
      <c r="B28">
        <f t="shared" si="0"/>
        <v>27</v>
      </c>
      <c r="C28" s="14">
        <v>5</v>
      </c>
      <c r="D28" s="14">
        <v>2022</v>
      </c>
      <c r="E28" s="16">
        <v>0</v>
      </c>
      <c r="F28" s="14">
        <v>0.11799999999999999</v>
      </c>
      <c r="G28" s="16">
        <v>0</v>
      </c>
      <c r="H28" s="14">
        <v>0.99</v>
      </c>
      <c r="I28" s="16">
        <v>0</v>
      </c>
      <c r="J28" s="14">
        <v>8.1000000000000003E-2</v>
      </c>
      <c r="K28" s="23">
        <v>0</v>
      </c>
      <c r="L28" s="16">
        <v>0</v>
      </c>
      <c r="M28" s="15">
        <v>4.393629424766913</v>
      </c>
      <c r="N28" s="19"/>
    </row>
    <row r="29" spans="1:17" x14ac:dyDescent="0.25">
      <c r="A29" t="s">
        <v>27</v>
      </c>
      <c r="B29">
        <f t="shared" si="0"/>
        <v>28</v>
      </c>
      <c r="C29" s="14">
        <v>5</v>
      </c>
      <c r="D29" s="14">
        <v>2022</v>
      </c>
      <c r="E29" s="16">
        <f>'05 - 2022'!B35-'05 - 2022'!B34+'05 - 2022'!C35-'05 - 2022'!C34</f>
        <v>0</v>
      </c>
      <c r="F29" s="14">
        <v>0.11799999999999999</v>
      </c>
      <c r="G29" s="16">
        <f>'05 - 2022'!D35-'05 - 2022'!D34+'05 - 2022'!E35-'05 - 2022'!E34</f>
        <v>0</v>
      </c>
      <c r="H29" s="14">
        <v>0.99</v>
      </c>
      <c r="I29" s="16">
        <f>'05 - 2022'!J35-'05 - 2022'!J34</f>
        <v>0</v>
      </c>
      <c r="J29" s="14">
        <v>8.1000000000000003E-2</v>
      </c>
      <c r="K29" s="23">
        <f>'05 - 2022'!H35-'05 - 2022'!H34</f>
        <v>0</v>
      </c>
      <c r="L29" s="16">
        <f>'05 - 2022'!I35-'05 - 2022'!I34</f>
        <v>0</v>
      </c>
      <c r="M29" s="15">
        <v>4.393629424766913</v>
      </c>
      <c r="N29" s="19"/>
    </row>
    <row r="30" spans="1:17" x14ac:dyDescent="0.25">
      <c r="A30" s="14" t="s">
        <v>27</v>
      </c>
      <c r="B30" s="14">
        <f t="shared" si="0"/>
        <v>29</v>
      </c>
      <c r="C30" s="14">
        <v>5</v>
      </c>
      <c r="D30" s="14">
        <v>2022</v>
      </c>
      <c r="E30" s="16">
        <f>'05 - 2022'!B36-'05 - 2022'!B35+'05 - 2022'!C36-'05 - 2022'!C35</f>
        <v>0</v>
      </c>
      <c r="F30" s="14">
        <v>0.11799999999999999</v>
      </c>
      <c r="G30" s="16">
        <f>'05 - 2022'!D36-'05 - 2022'!D35+'05 - 2022'!E36-'05 - 2022'!E35</f>
        <v>0</v>
      </c>
      <c r="H30" s="14">
        <v>0.99</v>
      </c>
      <c r="I30" s="16">
        <f>'05 - 2022'!J36-'05 - 2022'!J35</f>
        <v>0</v>
      </c>
      <c r="J30" s="14">
        <v>8.1000000000000003E-2</v>
      </c>
      <c r="K30" s="23">
        <f>'05 - 2022'!H36-'05 - 2022'!H35</f>
        <v>0</v>
      </c>
      <c r="L30" s="16">
        <f>'05 - 2022'!I36-'05 - 2022'!I35</f>
        <v>0</v>
      </c>
      <c r="M30" s="15">
        <v>4.393629424766913</v>
      </c>
    </row>
    <row r="31" spans="1:17" x14ac:dyDescent="0.25">
      <c r="A31" s="14" t="s">
        <v>27</v>
      </c>
      <c r="B31" s="14">
        <f t="shared" si="0"/>
        <v>30</v>
      </c>
      <c r="C31" s="14">
        <v>5</v>
      </c>
      <c r="D31" s="14">
        <v>2022</v>
      </c>
      <c r="E31" s="16">
        <f>'05 - 2022'!B37-'05 - 2022'!B36+'05 - 2022'!C37-'05 - 2022'!C36</f>
        <v>0</v>
      </c>
      <c r="F31" s="14">
        <v>0.11799999999999999</v>
      </c>
      <c r="G31" s="16">
        <f>'05 - 2022'!D37-'05 - 2022'!D36+'05 - 2022'!E37-'05 - 2022'!E36</f>
        <v>0</v>
      </c>
      <c r="H31" s="14">
        <v>0.99</v>
      </c>
      <c r="I31" s="16">
        <f>'05 - 2022'!J37-'05 - 2022'!J36</f>
        <v>0</v>
      </c>
      <c r="J31" s="14">
        <v>8.1000000000000003E-2</v>
      </c>
      <c r="K31" s="23">
        <f>'05 - 2022'!H37-'05 - 2022'!H36</f>
        <v>0</v>
      </c>
      <c r="L31" s="16">
        <f>'05 - 2022'!I37-'05 - 2022'!I36</f>
        <v>0</v>
      </c>
      <c r="M31" s="15">
        <v>4.393629424766913</v>
      </c>
    </row>
    <row r="32" spans="1:17" x14ac:dyDescent="0.25">
      <c r="A32" s="14" t="s">
        <v>27</v>
      </c>
      <c r="B32" s="14">
        <f t="shared" si="0"/>
        <v>31</v>
      </c>
      <c r="C32" s="14">
        <v>5</v>
      </c>
      <c r="D32" s="14">
        <v>2022</v>
      </c>
      <c r="E32" s="16">
        <v>0</v>
      </c>
      <c r="F32" s="14">
        <v>0.11799999999999999</v>
      </c>
      <c r="G32" s="16">
        <v>0</v>
      </c>
      <c r="H32" s="14">
        <v>0.99</v>
      </c>
      <c r="I32" s="16">
        <v>0</v>
      </c>
      <c r="J32" s="14">
        <v>8.1000000000000003E-2</v>
      </c>
      <c r="K32" s="23">
        <v>0</v>
      </c>
      <c r="L32" s="16">
        <v>0</v>
      </c>
      <c r="M32" s="15">
        <v>4.393629424766913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2"/>
  <sheetViews>
    <sheetView topLeftCell="A4" workbookViewId="0">
      <selection activeCell="J28" sqref="J28"/>
    </sheetView>
  </sheetViews>
  <sheetFormatPr defaultColWidth="12.5703125" defaultRowHeight="15" x14ac:dyDescent="0.25"/>
  <cols>
    <col min="1" max="3" width="11.5703125" customWidth="1"/>
    <col min="4" max="4" width="13.42578125" customWidth="1"/>
    <col min="5" max="6" width="12.5703125" style="4"/>
    <col min="8" max="10" width="11.5703125" style="4" customWidth="1"/>
    <col min="11" max="248" width="11.5703125" customWidth="1"/>
    <col min="249" max="249" width="13.42578125" customWidth="1"/>
  </cols>
  <sheetData>
    <row r="1" spans="1:13" s="6" customFormat="1" ht="45" x14ac:dyDescent="0.25">
      <c r="A1" s="7" t="s">
        <v>9</v>
      </c>
      <c r="B1" s="7" t="s">
        <v>10</v>
      </c>
      <c r="C1" s="7" t="s">
        <v>11</v>
      </c>
      <c r="D1" s="7" t="s">
        <v>12</v>
      </c>
      <c r="E1" s="8" t="s">
        <v>22</v>
      </c>
      <c r="F1" s="8" t="s">
        <v>23</v>
      </c>
      <c r="G1" s="9" t="s">
        <v>14</v>
      </c>
      <c r="H1" s="8" t="s">
        <v>24</v>
      </c>
      <c r="I1" s="8" t="s">
        <v>25</v>
      </c>
      <c r="J1" s="8" t="s">
        <v>26</v>
      </c>
      <c r="K1" s="9" t="s">
        <v>16</v>
      </c>
      <c r="L1" s="9" t="s">
        <v>21</v>
      </c>
      <c r="M1" s="9"/>
    </row>
    <row r="2" spans="1:13" x14ac:dyDescent="0.25">
      <c r="A2" t="s">
        <v>27</v>
      </c>
      <c r="B2">
        <v>1</v>
      </c>
      <c r="C2" s="14">
        <v>5</v>
      </c>
      <c r="D2">
        <v>2022</v>
      </c>
      <c r="E2" s="16">
        <f>'05 - 2022'!B8-'05 - 2022'!B7</f>
        <v>3695</v>
      </c>
      <c r="F2" s="16">
        <f>'05 - 2022'!C8-'05 - 2022'!C7</f>
        <v>5239</v>
      </c>
      <c r="G2" s="14">
        <v>0.11799999999999999</v>
      </c>
      <c r="H2" s="16">
        <f>'05 - 2022'!E8-'05 - 2022'!E7</f>
        <v>28.389999999999873</v>
      </c>
      <c r="I2" s="16">
        <f>'05 - 2022'!F8-'05 - 2022'!F7</f>
        <v>5.3099999999999454</v>
      </c>
      <c r="J2" s="16">
        <f>'05 - 2022'!G8-'05 - 2022'!G7</f>
        <v>40.209999999999127</v>
      </c>
      <c r="K2" s="14">
        <v>0.74</v>
      </c>
      <c r="L2" s="16">
        <v>57</v>
      </c>
      <c r="M2" s="10"/>
    </row>
    <row r="3" spans="1:13" x14ac:dyDescent="0.25">
      <c r="A3" t="s">
        <v>27</v>
      </c>
      <c r="B3">
        <f>B2+1</f>
        <v>2</v>
      </c>
      <c r="C3" s="14">
        <v>5</v>
      </c>
      <c r="D3" s="14">
        <v>2022</v>
      </c>
      <c r="E3" s="16">
        <v>3579</v>
      </c>
      <c r="F3" s="16">
        <f>'05 - 2022'!C9-'05 - 2022'!C8</f>
        <v>5400</v>
      </c>
      <c r="G3" s="14">
        <v>0.11799999999999999</v>
      </c>
      <c r="H3" s="16">
        <f>'05 - 2022'!E9-'05 - 2022'!E8</f>
        <v>16.430000000000064</v>
      </c>
      <c r="I3" s="16">
        <f>'05 - 2022'!F9-'05 - 2022'!F8</f>
        <v>6.6599999999998545</v>
      </c>
      <c r="J3" s="16">
        <f>'05 - 2022'!G9-'05 - 2022'!G8</f>
        <v>35.660000000003492</v>
      </c>
      <c r="K3" s="14">
        <v>0.74</v>
      </c>
      <c r="L3" s="18">
        <v>41</v>
      </c>
      <c r="M3" s="10"/>
    </row>
    <row r="4" spans="1:13" x14ac:dyDescent="0.25">
      <c r="A4" t="s">
        <v>27</v>
      </c>
      <c r="B4">
        <f t="shared" ref="B4:B32" si="0">B3+1</f>
        <v>3</v>
      </c>
      <c r="C4" s="14">
        <v>5</v>
      </c>
      <c r="D4" s="14">
        <v>2022</v>
      </c>
      <c r="E4" s="16">
        <f>'05 - 2022'!B10-'05 - 2022'!B9</f>
        <v>3667.54</v>
      </c>
      <c r="F4" s="16">
        <f>'05 - 2022'!C10-'05 - 2022'!C9</f>
        <v>5388</v>
      </c>
      <c r="G4" s="14">
        <v>0.11799999999999999</v>
      </c>
      <c r="H4" s="16">
        <f>'05 - 2022'!E10-'05 - 2022'!E9</f>
        <v>23.149999999999864</v>
      </c>
      <c r="I4" s="16">
        <f>'05 - 2022'!F10-'05 - 2022'!F9</f>
        <v>6.3400000000001455</v>
      </c>
      <c r="J4" s="16">
        <f>'05 - 2022'!G10-'05 - 2022'!G9</f>
        <v>29.629999999997381</v>
      </c>
      <c r="K4" s="14">
        <v>0.74</v>
      </c>
      <c r="L4" s="18">
        <v>55</v>
      </c>
      <c r="M4" s="10"/>
    </row>
    <row r="5" spans="1:13" x14ac:dyDescent="0.25">
      <c r="A5" t="s">
        <v>27</v>
      </c>
      <c r="B5">
        <f t="shared" si="0"/>
        <v>4</v>
      </c>
      <c r="C5" s="14">
        <v>5</v>
      </c>
      <c r="D5" s="14">
        <v>2022</v>
      </c>
      <c r="E5" s="16">
        <f>'05 - 2022'!B11-'05 - 2022'!B10</f>
        <v>3963.59</v>
      </c>
      <c r="F5" s="16">
        <f>'05 - 2022'!C11-'05 - 2022'!C10</f>
        <v>5647</v>
      </c>
      <c r="G5" s="14">
        <v>0.11799999999999999</v>
      </c>
      <c r="H5" s="16">
        <f>'05 - 2022'!E11-'05 - 2022'!E10</f>
        <v>24.440000000000055</v>
      </c>
      <c r="I5" s="16">
        <f>'05 - 2022'!F11-'05 - 2022'!F10</f>
        <v>7.75</v>
      </c>
      <c r="J5" s="16">
        <f>'05 - 2022'!G11-'05 - 2022'!G10</f>
        <v>44.880000000004657</v>
      </c>
      <c r="K5" s="14">
        <v>0.74</v>
      </c>
      <c r="L5" s="18">
        <v>69</v>
      </c>
      <c r="M5" s="10"/>
    </row>
    <row r="6" spans="1:13" x14ac:dyDescent="0.25">
      <c r="A6" t="s">
        <v>27</v>
      </c>
      <c r="B6">
        <f t="shared" si="0"/>
        <v>5</v>
      </c>
      <c r="C6" s="14">
        <v>5</v>
      </c>
      <c r="D6" s="14">
        <v>2022</v>
      </c>
      <c r="E6" s="16">
        <f>'05 - 2022'!B12-'05 - 2022'!B11</f>
        <v>3768.09</v>
      </c>
      <c r="F6" s="16">
        <f>'05 - 2022'!C12-'05 - 2022'!C11</f>
        <v>5338</v>
      </c>
      <c r="G6" s="14">
        <v>0.11799999999999999</v>
      </c>
      <c r="H6" s="16">
        <f>'05 - 2022'!E12-'05 - 2022'!E11</f>
        <v>27.830000000000155</v>
      </c>
      <c r="I6" s="16">
        <f>'05 - 2022'!F12-'05 - 2022'!F11</f>
        <v>6.5</v>
      </c>
      <c r="J6" s="16">
        <f>'05 - 2022'!G12-'05 - 2022'!G11</f>
        <v>37.25</v>
      </c>
      <c r="K6" s="14">
        <v>0.74</v>
      </c>
      <c r="L6" s="18">
        <v>70</v>
      </c>
      <c r="M6" s="11"/>
    </row>
    <row r="7" spans="1:13" x14ac:dyDescent="0.25">
      <c r="A7" t="s">
        <v>27</v>
      </c>
      <c r="B7">
        <f t="shared" si="0"/>
        <v>6</v>
      </c>
      <c r="C7" s="14">
        <v>5</v>
      </c>
      <c r="D7" s="14">
        <v>2022</v>
      </c>
      <c r="E7" s="16">
        <f>'05 - 2022'!B13-'05 - 2022'!B12</f>
        <v>3829.6999999999989</v>
      </c>
      <c r="F7" s="16">
        <f>'05 - 2022'!C13-'05 - 2022'!C12</f>
        <v>5688</v>
      </c>
      <c r="G7" s="14">
        <v>0.11799999999999999</v>
      </c>
      <c r="H7" s="16">
        <f>'05 - 2022'!E13-'05 - 2022'!E12</f>
        <v>25.429999999999836</v>
      </c>
      <c r="I7" s="16">
        <f>'05 - 2022'!F13-'05 - 2022'!F12</f>
        <v>7.0300000000002001</v>
      </c>
      <c r="J7" s="16">
        <f>'05 - 2022'!G13-'05 - 2022'!G12</f>
        <v>37.57999999999447</v>
      </c>
      <c r="K7" s="14">
        <v>0.74</v>
      </c>
      <c r="L7" s="18">
        <v>72</v>
      </c>
      <c r="M7" s="11"/>
    </row>
    <row r="8" spans="1:13" x14ac:dyDescent="0.25">
      <c r="A8" t="s">
        <v>27</v>
      </c>
      <c r="B8">
        <f t="shared" si="0"/>
        <v>7</v>
      </c>
      <c r="C8" s="14">
        <v>5</v>
      </c>
      <c r="D8" s="14">
        <v>2022</v>
      </c>
      <c r="E8" s="16">
        <f>'05 - 2022'!B14-'05 - 2022'!B13</f>
        <v>3883</v>
      </c>
      <c r="F8" s="16">
        <f>'05 - 2022'!C14-'05 - 2022'!C13</f>
        <v>5614</v>
      </c>
      <c r="G8" s="14">
        <v>0.11799999999999999</v>
      </c>
      <c r="H8" s="16">
        <f>'05 - 2022'!E14-'05 - 2022'!E13</f>
        <v>26.110000000000127</v>
      </c>
      <c r="I8" s="16">
        <f>'05 - 2022'!F14-'05 - 2022'!F13</f>
        <v>7.6999999999998181</v>
      </c>
      <c r="J8" s="16">
        <f>'05 - 2022'!G14-'05 - 2022'!G13</f>
        <v>34.42000000000553</v>
      </c>
      <c r="K8" s="14">
        <v>0.74</v>
      </c>
      <c r="L8" s="18">
        <v>79</v>
      </c>
      <c r="M8" s="11"/>
    </row>
    <row r="9" spans="1:13" x14ac:dyDescent="0.25">
      <c r="A9" t="s">
        <v>27</v>
      </c>
      <c r="B9">
        <f t="shared" si="0"/>
        <v>8</v>
      </c>
      <c r="C9" s="14">
        <v>5</v>
      </c>
      <c r="D9" s="14">
        <v>2022</v>
      </c>
      <c r="E9" s="16">
        <f>'05 - 2022'!B15-'05 - 2022'!B14</f>
        <v>3894.4000000000015</v>
      </c>
      <c r="F9" s="16">
        <f>'05 - 2022'!C15-'05 - 2022'!C14</f>
        <v>5625</v>
      </c>
      <c r="G9" s="14">
        <v>0.11799999999999999</v>
      </c>
      <c r="H9" s="16">
        <f>'05 - 2022'!E15-'05 - 2022'!E14</f>
        <v>28.259999999999991</v>
      </c>
      <c r="I9" s="16">
        <f>'05 - 2022'!F15-'05 - 2022'!F14</f>
        <v>7.3099999999999454</v>
      </c>
      <c r="J9" s="16">
        <f>'05 - 2022'!G15-'05 - 2022'!G14</f>
        <v>35.839999999996508</v>
      </c>
      <c r="K9" s="14">
        <v>0.74</v>
      </c>
      <c r="L9" s="18">
        <v>71</v>
      </c>
      <c r="M9" s="11"/>
    </row>
    <row r="10" spans="1:13" x14ac:dyDescent="0.25">
      <c r="A10" t="s">
        <v>27</v>
      </c>
      <c r="B10">
        <f t="shared" si="0"/>
        <v>9</v>
      </c>
      <c r="C10" s="14">
        <v>5</v>
      </c>
      <c r="D10" s="14">
        <v>2022</v>
      </c>
      <c r="E10" s="16">
        <f>'05 - 2022'!B16-'05 - 2022'!B15</f>
        <v>3895.0999999999985</v>
      </c>
      <c r="F10" s="16">
        <f>'05 - 2022'!C16-'05 - 2022'!C15</f>
        <v>5576</v>
      </c>
      <c r="G10" s="14">
        <v>0.11799999999999999</v>
      </c>
      <c r="H10" s="16">
        <f>'05 - 2022'!E16-'05 - 2022'!E15</f>
        <v>24.089999999999918</v>
      </c>
      <c r="I10" s="16">
        <f>'05 - 2022'!F16-'05 - 2022'!F15</f>
        <v>7.7400000000002365</v>
      </c>
      <c r="J10" s="16">
        <f>'05 - 2022'!G16-'05 - 2022'!G15</f>
        <v>36.110000000000582</v>
      </c>
      <c r="K10" s="14">
        <v>0.74</v>
      </c>
      <c r="L10" s="18">
        <v>78</v>
      </c>
      <c r="M10" s="11"/>
    </row>
    <row r="11" spans="1:13" x14ac:dyDescent="0.25">
      <c r="A11" t="s">
        <v>27</v>
      </c>
      <c r="B11">
        <f t="shared" si="0"/>
        <v>10</v>
      </c>
      <c r="C11" s="14">
        <v>5</v>
      </c>
      <c r="D11" s="14">
        <v>2022</v>
      </c>
      <c r="E11" s="16">
        <f>'05 - 2022'!B17-'05 - 2022'!B16</f>
        <v>3825.2000000000007</v>
      </c>
      <c r="F11" s="16">
        <f>'05 - 2022'!C17-'05 - 2022'!C16</f>
        <v>5555</v>
      </c>
      <c r="G11" s="14">
        <v>0.11799999999999999</v>
      </c>
      <c r="H11" s="16">
        <f>'05 - 2022'!E17-'05 - 2022'!E16</f>
        <v>26.120000000000118</v>
      </c>
      <c r="I11" s="16">
        <f>'05 - 2022'!F17-'05 - 2022'!F16</f>
        <v>7.2699999999999818</v>
      </c>
      <c r="J11" s="16">
        <f>'05 - 2022'!G17-'05 - 2022'!G16</f>
        <v>37.400000000001455</v>
      </c>
      <c r="K11" s="14">
        <v>0.74</v>
      </c>
      <c r="L11" s="18">
        <v>93</v>
      </c>
      <c r="M11" s="11"/>
    </row>
    <row r="12" spans="1:13" x14ac:dyDescent="0.25">
      <c r="A12" t="s">
        <v>27</v>
      </c>
      <c r="B12">
        <f t="shared" si="0"/>
        <v>11</v>
      </c>
      <c r="C12" s="14">
        <v>5</v>
      </c>
      <c r="D12" s="14">
        <v>2022</v>
      </c>
      <c r="E12" s="16">
        <f>'05 - 2022'!B18-'05 - 2022'!B17</f>
        <v>3851</v>
      </c>
      <c r="F12" s="16">
        <f>'05 - 2022'!C18-'05 - 2022'!C17</f>
        <v>5775</v>
      </c>
      <c r="G12" s="14">
        <v>0.11799999999999999</v>
      </c>
      <c r="H12" s="16">
        <f>'05 - 2022'!E18-'05 - 2022'!E17</f>
        <v>23.449999999999818</v>
      </c>
      <c r="I12" s="16">
        <f>'05 - 2022'!F18-'05 - 2022'!F17</f>
        <v>8.2599999999997635</v>
      </c>
      <c r="J12" s="16">
        <f>'05 - 2022'!G18-'05 - 2022'!G17</f>
        <v>38.799999999995634</v>
      </c>
      <c r="K12" s="14">
        <v>0.74</v>
      </c>
      <c r="L12" s="16">
        <v>99</v>
      </c>
      <c r="M12" s="11"/>
    </row>
    <row r="13" spans="1:13" x14ac:dyDescent="0.25">
      <c r="A13" t="s">
        <v>27</v>
      </c>
      <c r="B13">
        <f t="shared" si="0"/>
        <v>12</v>
      </c>
      <c r="C13" s="14">
        <v>5</v>
      </c>
      <c r="D13" s="14">
        <v>2022</v>
      </c>
      <c r="E13" s="16">
        <f>'05 - 2022'!B19-'05 - 2022'!B18</f>
        <v>3900.3000000000029</v>
      </c>
      <c r="F13" s="16">
        <f>'05 - 2022'!C19-'05 - 2022'!C18</f>
        <v>5511</v>
      </c>
      <c r="G13" s="14">
        <v>0.11799999999999999</v>
      </c>
      <c r="H13" s="16">
        <f>'05 - 2022'!E19-'05 - 2022'!E18</f>
        <v>24.850000000000136</v>
      </c>
      <c r="I13" s="16">
        <f>'05 - 2022'!F19-'05 - 2022'!F18</f>
        <v>7.25</v>
      </c>
      <c r="J13" s="16">
        <f>'05 - 2022'!G19-'05 - 2022'!G18</f>
        <v>37.529999999998836</v>
      </c>
      <c r="K13" s="14">
        <v>0.74</v>
      </c>
      <c r="L13" s="16">
        <v>103</v>
      </c>
      <c r="M13" s="11"/>
    </row>
    <row r="14" spans="1:13" x14ac:dyDescent="0.25">
      <c r="A14" t="s">
        <v>27</v>
      </c>
      <c r="B14">
        <f t="shared" si="0"/>
        <v>13</v>
      </c>
      <c r="C14" s="14">
        <v>5</v>
      </c>
      <c r="D14" s="14">
        <v>2022</v>
      </c>
      <c r="E14" s="16">
        <f>'05 - 2022'!B20-'05 - 2022'!B19</f>
        <v>3805.5</v>
      </c>
      <c r="F14" s="16">
        <f>'05 - 2022'!C20-'05 - 2022'!C19</f>
        <v>5510</v>
      </c>
      <c r="G14" s="14">
        <v>0.11799999999999999</v>
      </c>
      <c r="H14" s="16">
        <f>'05 - 2022'!E20-'05 - 2022'!E19</f>
        <v>26.579999999999927</v>
      </c>
      <c r="I14" s="16">
        <f>'05 - 2022'!F20-'05 - 2022'!F19</f>
        <v>7.1199999999998909</v>
      </c>
      <c r="J14" s="16">
        <f>'05 - 2022'!G20-'05 - 2022'!G19</f>
        <v>37.570000000006985</v>
      </c>
      <c r="K14" s="14">
        <v>0.74</v>
      </c>
      <c r="L14" s="16">
        <v>97</v>
      </c>
      <c r="M14" s="11"/>
    </row>
    <row r="15" spans="1:13" x14ac:dyDescent="0.25">
      <c r="A15" t="s">
        <v>27</v>
      </c>
      <c r="B15">
        <f t="shared" si="0"/>
        <v>14</v>
      </c>
      <c r="C15" s="14">
        <v>5</v>
      </c>
      <c r="D15" s="14">
        <v>2022</v>
      </c>
      <c r="E15" s="16">
        <f>'05 - 2022'!B21-'05 - 2022'!B20</f>
        <v>3752.3999999999942</v>
      </c>
      <c r="F15" s="16">
        <f>'05 - 2022'!C21-'05 - 2022'!C20</f>
        <v>5569</v>
      </c>
      <c r="G15" s="14">
        <v>0.11799999999999999</v>
      </c>
      <c r="H15" s="16">
        <f>'05 - 2022'!E21-'05 - 2022'!E20</f>
        <v>24.490000000000009</v>
      </c>
      <c r="I15" s="16">
        <f>'05 - 2022'!F21-'05 - 2022'!F20</f>
        <v>7.7000000000002728</v>
      </c>
      <c r="J15" s="16">
        <f>'05 - 2022'!G21-'05 - 2022'!G20</f>
        <v>34.849999999998545</v>
      </c>
      <c r="K15" s="14">
        <v>0.74</v>
      </c>
      <c r="L15" s="16">
        <v>78</v>
      </c>
      <c r="M15" s="11"/>
    </row>
    <row r="16" spans="1:13" x14ac:dyDescent="0.25">
      <c r="A16" t="s">
        <v>27</v>
      </c>
      <c r="B16">
        <f t="shared" si="0"/>
        <v>15</v>
      </c>
      <c r="C16" s="14">
        <v>5</v>
      </c>
      <c r="D16" s="14">
        <v>2022</v>
      </c>
      <c r="E16" s="16">
        <f>'05 - 2022'!B22-'05 - 2022'!B21</f>
        <v>3659.5</v>
      </c>
      <c r="F16" s="16">
        <f>'05 - 2022'!C22-'05 - 2022'!C21</f>
        <v>5431</v>
      </c>
      <c r="G16" s="14">
        <v>0.11799999999999999</v>
      </c>
      <c r="H16" s="16">
        <f>'05 - 2022'!E22-'05 - 2022'!E21</f>
        <v>25.620000000000118</v>
      </c>
      <c r="I16" s="16">
        <f>'05 - 2022'!F22-'05 - 2022'!F21</f>
        <v>7.0599999999999454</v>
      </c>
      <c r="J16" s="16">
        <f>'05 - 2022'!G22-'05 - 2022'!G21</f>
        <v>34.209999999999127</v>
      </c>
      <c r="K16" s="14">
        <v>0.74</v>
      </c>
      <c r="L16" s="16">
        <v>56</v>
      </c>
      <c r="M16" s="11"/>
    </row>
    <row r="17" spans="1:13" x14ac:dyDescent="0.25">
      <c r="A17" t="s">
        <v>27</v>
      </c>
      <c r="B17">
        <f t="shared" si="0"/>
        <v>16</v>
      </c>
      <c r="C17" s="14">
        <v>5</v>
      </c>
      <c r="D17" s="14">
        <v>2022</v>
      </c>
      <c r="E17" s="16">
        <f>'05 - 2022'!B23-'05 - 2022'!B22</f>
        <v>3693.7000000000044</v>
      </c>
      <c r="F17" s="16">
        <f>'05 - 2022'!C23-'05 - 2022'!C22</f>
        <v>5373</v>
      </c>
      <c r="G17" s="14">
        <v>0.11799999999999999</v>
      </c>
      <c r="H17" s="16">
        <f>'05 - 2022'!E23-'05 - 2022'!E22</f>
        <v>23.009999999999991</v>
      </c>
      <c r="I17" s="16">
        <f>'05 - 2022'!F23-'05 - 2022'!F22</f>
        <v>6.1300000000001091</v>
      </c>
      <c r="J17" s="16">
        <f>'05 - 2022'!G23-'05 - 2022'!G22</f>
        <v>34.779999999998836</v>
      </c>
      <c r="K17" s="14">
        <v>0.74</v>
      </c>
      <c r="L17" s="16">
        <v>50</v>
      </c>
      <c r="M17" s="11"/>
    </row>
    <row r="18" spans="1:13" x14ac:dyDescent="0.25">
      <c r="A18" t="s">
        <v>27</v>
      </c>
      <c r="B18">
        <f t="shared" si="0"/>
        <v>17</v>
      </c>
      <c r="C18" s="14">
        <v>5</v>
      </c>
      <c r="D18" s="14">
        <v>2022</v>
      </c>
      <c r="E18" s="16">
        <f>'05 - 2022'!B24-'05 - 2022'!B23</f>
        <v>3744.5999999999985</v>
      </c>
      <c r="F18" s="16">
        <f>'05 - 2022'!C24-'05 - 2022'!C23</f>
        <v>5638</v>
      </c>
      <c r="G18" s="14">
        <v>0.11799999999999999</v>
      </c>
      <c r="H18" s="16">
        <f>'05 - 2022'!E24-'05 - 2022'!E23</f>
        <v>25.439999999999827</v>
      </c>
      <c r="I18" s="16">
        <f>'05 - 2022'!F24-'05 - 2022'!F23</f>
        <v>6.2199999999997999</v>
      </c>
      <c r="J18" s="16">
        <f>'05 - 2022'!G24-'05 - 2022'!G23</f>
        <v>35.900000000001455</v>
      </c>
      <c r="K18" s="14">
        <v>0.74</v>
      </c>
      <c r="L18" s="16">
        <v>59</v>
      </c>
      <c r="M18" s="11"/>
    </row>
    <row r="19" spans="1:13" x14ac:dyDescent="0.25">
      <c r="A19" t="s">
        <v>27</v>
      </c>
      <c r="B19">
        <f>B18+1</f>
        <v>18</v>
      </c>
      <c r="C19" s="14">
        <v>5</v>
      </c>
      <c r="D19" s="14">
        <v>2022</v>
      </c>
      <c r="E19" s="16">
        <f>'05 - 2022'!B25-'05 - 2022'!B24</f>
        <v>3821.0999999999985</v>
      </c>
      <c r="F19" s="16">
        <f>'05 - 2022'!C25-'05 - 2022'!C24</f>
        <v>5773</v>
      </c>
      <c r="G19" s="14">
        <v>0.11799999999999999</v>
      </c>
      <c r="H19" s="16">
        <f>'05 - 2022'!E25-'05 - 2022'!E24</f>
        <v>26.290000000000191</v>
      </c>
      <c r="I19" s="16">
        <f>'05 - 2022'!F25-'05 - 2022'!F24</f>
        <v>8.8800000000001091</v>
      </c>
      <c r="J19" s="16">
        <f>'05 - 2022'!G25-'05 - 2022'!G24</f>
        <v>36.089999999996508</v>
      </c>
      <c r="K19" s="14">
        <v>0.74</v>
      </c>
      <c r="L19" s="16">
        <v>82</v>
      </c>
      <c r="M19" s="11"/>
    </row>
    <row r="20" spans="1:13" x14ac:dyDescent="0.25">
      <c r="A20" t="s">
        <v>27</v>
      </c>
      <c r="B20">
        <f t="shared" si="0"/>
        <v>19</v>
      </c>
      <c r="C20" s="14">
        <v>5</v>
      </c>
      <c r="D20" s="14">
        <v>2022</v>
      </c>
      <c r="E20" s="16">
        <f>'05 - 2022'!B26-'05 - 2022'!B25</f>
        <v>3751.7999999999956</v>
      </c>
      <c r="F20" s="16">
        <f>'05 - 2022'!C26-'05 - 2022'!C25</f>
        <v>5671</v>
      </c>
      <c r="G20" s="14">
        <v>0.11799999999999999</v>
      </c>
      <c r="H20" s="16">
        <f>'05 - 2022'!E26-'05 - 2022'!E25</f>
        <v>24.179999999999836</v>
      </c>
      <c r="I20" s="16">
        <f>'05 - 2022'!F26-'05 - 2022'!F25</f>
        <v>6.1999999999998181</v>
      </c>
      <c r="J20" s="16">
        <f>'05 - 2022'!G26-'05 - 2022'!G25</f>
        <v>37.709999999999127</v>
      </c>
      <c r="K20" s="14">
        <v>0.74</v>
      </c>
      <c r="L20" s="4">
        <v>96</v>
      </c>
      <c r="M20" s="11"/>
    </row>
    <row r="21" spans="1:13" x14ac:dyDescent="0.25">
      <c r="A21" t="s">
        <v>27</v>
      </c>
      <c r="B21">
        <f t="shared" si="0"/>
        <v>20</v>
      </c>
      <c r="C21" s="14">
        <v>5</v>
      </c>
      <c r="D21" s="14">
        <v>2022</v>
      </c>
      <c r="E21" s="16">
        <f>'05 - 2022'!B27-'05 - 2022'!B26</f>
        <v>3891</v>
      </c>
      <c r="F21" s="16">
        <f>'05 - 2022'!C27-'05 - 2022'!C26</f>
        <v>5826</v>
      </c>
      <c r="G21" s="14">
        <v>0.11799999999999999</v>
      </c>
      <c r="H21" s="16">
        <f>'05 - 2022'!E27-'05 - 2022'!E26</f>
        <v>24.539999999999964</v>
      </c>
      <c r="I21" s="16">
        <f>'05 - 2022'!F27-'05 - 2022'!F26</f>
        <v>6.4900000000002365</v>
      </c>
      <c r="J21" s="16">
        <f>'05 - 2022'!G27-'05 - 2022'!G26</f>
        <v>36.760000000002037</v>
      </c>
      <c r="K21" s="14">
        <v>0.74</v>
      </c>
      <c r="L21" s="4">
        <v>94</v>
      </c>
      <c r="M21" s="11"/>
    </row>
    <row r="22" spans="1:13" x14ac:dyDescent="0.25">
      <c r="A22" t="s">
        <v>27</v>
      </c>
      <c r="B22">
        <f t="shared" si="0"/>
        <v>21</v>
      </c>
      <c r="C22" s="14">
        <v>5</v>
      </c>
      <c r="D22" s="14">
        <v>2022</v>
      </c>
      <c r="E22" s="16">
        <f>'05 - 2022'!B28-'05 - 2022'!B27</f>
        <v>3850.6000000000058</v>
      </c>
      <c r="F22" s="16">
        <f>'05 - 2022'!C28-'05 - 2022'!C27</f>
        <v>5869</v>
      </c>
      <c r="G22" s="14">
        <v>0.11799999999999999</v>
      </c>
      <c r="H22" s="16">
        <f>'05 - 2022'!E28-'05 - 2022'!E27</f>
        <v>27.230000000000018</v>
      </c>
      <c r="I22" s="16">
        <f>'05 - 2022'!F28-'05 - 2022'!F27</f>
        <v>6.4200000000000728</v>
      </c>
      <c r="J22" s="16">
        <f>'05 - 2022'!G28-'05 - 2022'!G27</f>
        <v>40.260000000002037</v>
      </c>
      <c r="K22" s="14">
        <v>0.74</v>
      </c>
      <c r="L22" s="16">
        <v>96</v>
      </c>
      <c r="M22" s="11"/>
    </row>
    <row r="23" spans="1:13" x14ac:dyDescent="0.25">
      <c r="A23" t="s">
        <v>27</v>
      </c>
      <c r="B23">
        <f t="shared" si="0"/>
        <v>22</v>
      </c>
      <c r="C23" s="14">
        <v>5</v>
      </c>
      <c r="D23" s="14">
        <v>2022</v>
      </c>
      <c r="E23" s="16">
        <f>'05 - 2022'!B29-'05 - 2022'!B28</f>
        <v>3865.3000000000029</v>
      </c>
      <c r="F23" s="16">
        <f>'05 - 2022'!C29-'05 - 2022'!C28</f>
        <v>5851</v>
      </c>
      <c r="G23" s="14">
        <v>0.11799999999999999</v>
      </c>
      <c r="H23" s="16">
        <f>'05 - 2022'!E29-'05 - 2022'!E28</f>
        <v>24.860000000000127</v>
      </c>
      <c r="I23" s="16">
        <f>'05 - 2022'!F29-'05 - 2022'!F28</f>
        <v>6.4899999999997817</v>
      </c>
      <c r="J23" s="16">
        <f>'05 - 2022'!G29-'05 - 2022'!G28</f>
        <v>37.739999999997963</v>
      </c>
      <c r="K23" s="14">
        <v>0.74</v>
      </c>
      <c r="L23" s="16">
        <v>64</v>
      </c>
      <c r="M23" s="11"/>
    </row>
    <row r="24" spans="1:13" x14ac:dyDescent="0.25">
      <c r="A24" t="s">
        <v>27</v>
      </c>
      <c r="B24">
        <f t="shared" si="0"/>
        <v>23</v>
      </c>
      <c r="C24" s="14">
        <v>5</v>
      </c>
      <c r="D24" s="14">
        <v>2022</v>
      </c>
      <c r="E24" s="16">
        <f>'05 - 2022'!B30-'05 - 2022'!B29</f>
        <v>3803.1999999999971</v>
      </c>
      <c r="F24" s="16">
        <f>'05 - 2022'!C30-'05 - 2022'!C29</f>
        <v>5611</v>
      </c>
      <c r="G24" s="14">
        <v>0.11799999999999999</v>
      </c>
      <c r="H24" s="16">
        <f>'05 - 2022'!E30-'05 - 2022'!E29</f>
        <v>27.5</v>
      </c>
      <c r="I24" s="16">
        <f>'05 - 2022'!F30-'05 - 2022'!F29</f>
        <v>5.4400000000000546</v>
      </c>
      <c r="J24" s="16">
        <f>'05 - 2022'!G30-'05 - 2022'!G29</f>
        <v>36.709999999999127</v>
      </c>
      <c r="K24" s="14">
        <v>0.74</v>
      </c>
      <c r="L24" s="16">
        <v>66</v>
      </c>
      <c r="M24" s="11"/>
    </row>
    <row r="25" spans="1:13" x14ac:dyDescent="0.25">
      <c r="A25" t="s">
        <v>27</v>
      </c>
      <c r="B25">
        <f t="shared" si="0"/>
        <v>24</v>
      </c>
      <c r="C25" s="14">
        <v>5</v>
      </c>
      <c r="D25" s="14">
        <v>2022</v>
      </c>
      <c r="E25" s="16">
        <f>'05 - 2022'!B31-'05 - 2022'!B30</f>
        <v>3883.8999999999942</v>
      </c>
      <c r="F25" s="16">
        <f>'05 - 2022'!C31-'05 - 2022'!C30</f>
        <v>5625</v>
      </c>
      <c r="G25" s="14">
        <v>0.11799999999999999</v>
      </c>
      <c r="H25" s="16">
        <f>'05 - 2022'!E31-'05 - 2022'!E30</f>
        <v>25.139999999999873</v>
      </c>
      <c r="I25" s="16">
        <f>'05 - 2022'!F31-'05 - 2022'!F30</f>
        <v>6.3299999999999272</v>
      </c>
      <c r="J25" s="16">
        <f>'05 - 2022'!G31-'05 - 2022'!G30</f>
        <v>37</v>
      </c>
      <c r="K25" s="14">
        <v>0.74</v>
      </c>
      <c r="L25" s="4">
        <v>94</v>
      </c>
      <c r="M25" s="11"/>
    </row>
    <row r="26" spans="1:13" x14ac:dyDescent="0.25">
      <c r="A26" t="s">
        <v>27</v>
      </c>
      <c r="B26">
        <f>B25+1</f>
        <v>25</v>
      </c>
      <c r="C26" s="14">
        <v>5</v>
      </c>
      <c r="D26" s="14">
        <v>2022</v>
      </c>
      <c r="E26" s="16">
        <f>'05 - 2022'!B32-'05 - 2022'!B31</f>
        <v>3992.5</v>
      </c>
      <c r="F26" s="16">
        <f>'05 - 2022'!C32-'05 - 2022'!C31</f>
        <v>5935</v>
      </c>
      <c r="G26" s="14">
        <v>0.11799999999999999</v>
      </c>
      <c r="H26" s="16">
        <f>'05 - 2022'!E32-'05 - 2022'!E31</f>
        <v>27.910000000000082</v>
      </c>
      <c r="I26" s="16">
        <f>'05 - 2022'!F32-'05 - 2022'!F31</f>
        <v>7.5900000000001455</v>
      </c>
      <c r="J26" s="16">
        <f>'05 - 2022'!G32-'05 - 2022'!G31</f>
        <v>38.529999999998836</v>
      </c>
      <c r="K26" s="14">
        <v>0.74</v>
      </c>
      <c r="L26" s="4">
        <v>94</v>
      </c>
      <c r="M26" s="11"/>
    </row>
    <row r="27" spans="1:13" x14ac:dyDescent="0.25">
      <c r="A27" t="s">
        <v>27</v>
      </c>
      <c r="B27">
        <f t="shared" si="0"/>
        <v>26</v>
      </c>
      <c r="C27" s="14">
        <v>5</v>
      </c>
      <c r="D27" s="14">
        <v>2022</v>
      </c>
      <c r="E27" s="16">
        <f>'05 - 2022'!B33-'05 - 2022'!B32</f>
        <v>3800</v>
      </c>
      <c r="F27" s="16">
        <f>'05 - 2022'!C33-'05 - 2022'!C32</f>
        <v>5584</v>
      </c>
      <c r="G27" s="14">
        <v>0.11799999999999999</v>
      </c>
      <c r="H27" s="16">
        <f>'05 - 2022'!E33-'05 - 2022'!E32</f>
        <v>26.289999999999964</v>
      </c>
      <c r="I27" s="16">
        <f>'05 - 2022'!F33-'05 - 2022'!F32</f>
        <v>7.7799999999997453</v>
      </c>
      <c r="J27" s="16">
        <f>'05 - 2022'!G33-'05 - 2022'!G32</f>
        <v>36.370000000002619</v>
      </c>
      <c r="K27" s="14">
        <v>0.74</v>
      </c>
      <c r="L27" s="16">
        <v>94</v>
      </c>
      <c r="M27" s="11"/>
    </row>
    <row r="28" spans="1:13" x14ac:dyDescent="0.25">
      <c r="A28" t="s">
        <v>27</v>
      </c>
      <c r="B28">
        <f t="shared" si="0"/>
        <v>27</v>
      </c>
      <c r="C28" s="14">
        <v>5</v>
      </c>
      <c r="D28" s="14">
        <v>2022</v>
      </c>
      <c r="E28" s="16">
        <v>0</v>
      </c>
      <c r="F28" s="16">
        <v>0</v>
      </c>
      <c r="G28" s="14">
        <v>0.11799999999999999</v>
      </c>
      <c r="H28" s="16">
        <v>0</v>
      </c>
      <c r="I28" s="16">
        <v>0</v>
      </c>
      <c r="J28" s="16">
        <v>0</v>
      </c>
      <c r="K28" s="14">
        <v>0.74</v>
      </c>
      <c r="L28" s="4"/>
      <c r="M28" s="11"/>
    </row>
    <row r="29" spans="1:13" x14ac:dyDescent="0.25">
      <c r="A29" t="s">
        <v>27</v>
      </c>
      <c r="B29">
        <f t="shared" si="0"/>
        <v>28</v>
      </c>
      <c r="C29" s="14">
        <v>5</v>
      </c>
      <c r="D29" s="14">
        <v>2022</v>
      </c>
      <c r="E29" s="16">
        <f>'05 - 2022'!B35-'05 - 2022'!B34</f>
        <v>0</v>
      </c>
      <c r="F29" s="16">
        <f>'05 - 2022'!C35-'05 - 2022'!C34</f>
        <v>0</v>
      </c>
      <c r="G29" s="14">
        <v>0.11799999999999999</v>
      </c>
      <c r="H29" s="16">
        <f>'05 - 2022'!E35-'05 - 2022'!E34</f>
        <v>0</v>
      </c>
      <c r="I29" s="16">
        <f>'05 - 2022'!F35-'05 - 2022'!F34</f>
        <v>0</v>
      </c>
      <c r="J29" s="16">
        <f>'05 - 2022'!G35-'05 - 2022'!G34</f>
        <v>0</v>
      </c>
      <c r="K29" s="14">
        <v>0.74</v>
      </c>
      <c r="L29" s="4"/>
      <c r="M29" s="11"/>
    </row>
    <row r="30" spans="1:13" x14ac:dyDescent="0.25">
      <c r="A30" s="14" t="s">
        <v>27</v>
      </c>
      <c r="B30" s="14">
        <f t="shared" si="0"/>
        <v>29</v>
      </c>
      <c r="C30" s="14">
        <v>5</v>
      </c>
      <c r="D30" s="14">
        <v>2022</v>
      </c>
      <c r="E30" s="16">
        <f>'05 - 2022'!B36-'05 - 2022'!B35</f>
        <v>0</v>
      </c>
      <c r="F30" s="16">
        <f>'05 - 2022'!C36-'05 - 2022'!C35</f>
        <v>0</v>
      </c>
      <c r="G30" s="14">
        <v>0.11799999999999999</v>
      </c>
      <c r="H30" s="16">
        <f>'05 - 2022'!E36-'05 - 2022'!E35</f>
        <v>0</v>
      </c>
      <c r="I30" s="16">
        <f>'05 - 2022'!F36-'05 - 2022'!F35</f>
        <v>0</v>
      </c>
      <c r="J30" s="16">
        <f>'05 - 2022'!G36-'05 - 2022'!G35</f>
        <v>0</v>
      </c>
      <c r="K30" s="14">
        <v>0.74</v>
      </c>
      <c r="L30" s="16"/>
    </row>
    <row r="31" spans="1:13" x14ac:dyDescent="0.25">
      <c r="A31" s="14" t="s">
        <v>27</v>
      </c>
      <c r="B31" s="14">
        <f t="shared" si="0"/>
        <v>30</v>
      </c>
      <c r="C31" s="14">
        <v>5</v>
      </c>
      <c r="D31" s="14">
        <v>2022</v>
      </c>
      <c r="E31" s="16">
        <f>'05 - 2022'!B37-'05 - 2022'!B36</f>
        <v>0</v>
      </c>
      <c r="F31" s="16">
        <f>'05 - 2022'!C37-'05 - 2022'!C36</f>
        <v>0</v>
      </c>
      <c r="G31" s="14">
        <v>0.11799999999999999</v>
      </c>
      <c r="H31" s="16">
        <f>'05 - 2022'!E37-'05 - 2022'!E36</f>
        <v>0</v>
      </c>
      <c r="I31" s="16">
        <f>'05 - 2022'!F37-'05 - 2022'!F36</f>
        <v>0</v>
      </c>
      <c r="J31" s="16">
        <f>'05 - 2022'!G37-'05 - 2022'!G36</f>
        <v>0</v>
      </c>
      <c r="K31" s="14">
        <v>0.74</v>
      </c>
      <c r="L31" s="16"/>
    </row>
    <row r="32" spans="1:13" x14ac:dyDescent="0.25">
      <c r="A32" s="14" t="s">
        <v>27</v>
      </c>
      <c r="B32" s="14">
        <f t="shared" si="0"/>
        <v>31</v>
      </c>
      <c r="C32" s="14">
        <v>5</v>
      </c>
      <c r="D32" s="14">
        <v>2022</v>
      </c>
      <c r="E32" s="16">
        <f>'05 - 2022'!B38-'05 - 2022'!B37</f>
        <v>0</v>
      </c>
      <c r="F32" s="16">
        <f>'05 - 2022'!C38-'05 - 2022'!C37</f>
        <v>0</v>
      </c>
      <c r="G32" s="14">
        <v>0.11799999999999999</v>
      </c>
      <c r="H32" s="16">
        <f>'05 - 2022'!E38-'05 - 2022'!E37</f>
        <v>0</v>
      </c>
      <c r="I32" s="16">
        <f>'05 - 2022'!F38-'05 - 2022'!F37</f>
        <v>0</v>
      </c>
      <c r="J32" s="16">
        <f>'05 - 2022'!G38-'05 - 2022'!G37</f>
        <v>0</v>
      </c>
      <c r="K32" s="14">
        <v>0.74</v>
      </c>
    </row>
  </sheetData>
  <pageMargins left="0.7" right="0.7" top="0.75" bottom="0.75" header="0.3" footer="0.3"/>
  <pageSetup orientation="portrait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2"/>
  <sheetViews>
    <sheetView topLeftCell="A4" zoomScaleNormal="100" workbookViewId="0">
      <selection activeCell="L33" sqref="L33"/>
    </sheetView>
  </sheetViews>
  <sheetFormatPr defaultRowHeight="15" x14ac:dyDescent="0.25"/>
  <cols>
    <col min="1" max="1" width="13.5703125" style="14" customWidth="1"/>
    <col min="2" max="2" width="12.5703125" style="14" customWidth="1"/>
    <col min="3" max="3" width="13.140625" style="14" customWidth="1"/>
    <col min="4" max="4" width="9.85546875" style="14" customWidth="1"/>
    <col min="5" max="5" width="11.42578125" style="14" customWidth="1"/>
    <col min="6" max="6" width="11.7109375" style="14" customWidth="1"/>
    <col min="7" max="7" width="11.28515625" style="14" customWidth="1"/>
    <col min="8" max="9" width="13.5703125" style="14" customWidth="1"/>
    <col min="10" max="10" width="14.28515625" style="14" customWidth="1"/>
    <col min="11" max="11" width="16.42578125" style="14" customWidth="1"/>
    <col min="12" max="12" width="39" style="14" customWidth="1"/>
    <col min="13" max="13" width="14.140625" style="14" customWidth="1"/>
    <col min="14" max="16384" width="9.140625" style="14"/>
  </cols>
  <sheetData>
    <row r="1" spans="1:17" x14ac:dyDescent="0.25">
      <c r="H1" s="15"/>
      <c r="I1" s="15"/>
    </row>
    <row r="3" spans="1:17" ht="18.75" x14ac:dyDescent="0.3">
      <c r="A3" s="93" t="s">
        <v>30</v>
      </c>
      <c r="B3" s="93"/>
      <c r="C3" s="93"/>
      <c r="D3" s="93"/>
      <c r="E3" s="93"/>
      <c r="F3" s="93"/>
      <c r="G3" s="93"/>
      <c r="H3" s="93"/>
      <c r="I3" s="93"/>
      <c r="J3" s="93"/>
    </row>
    <row r="4" spans="1:17" ht="16.5" thickBot="1" x14ac:dyDescent="0.3">
      <c r="A4" s="94" t="s">
        <v>37</v>
      </c>
      <c r="B4" s="94"/>
      <c r="C4" s="94"/>
      <c r="D4" s="94"/>
      <c r="E4" s="94"/>
      <c r="F4" s="94"/>
      <c r="G4" s="94"/>
      <c r="H4" s="94"/>
      <c r="I4" s="94"/>
      <c r="J4" s="94"/>
    </row>
    <row r="5" spans="1:17" ht="16.5" thickBot="1" x14ac:dyDescent="0.3">
      <c r="A5" s="37"/>
      <c r="B5" s="95" t="s">
        <v>36</v>
      </c>
      <c r="C5" s="96"/>
      <c r="D5" s="95" t="s">
        <v>0</v>
      </c>
      <c r="E5" s="97"/>
      <c r="F5" s="97"/>
      <c r="G5" s="98"/>
      <c r="H5" s="99" t="s">
        <v>1</v>
      </c>
      <c r="I5" s="100"/>
      <c r="J5" s="57" t="s">
        <v>2</v>
      </c>
      <c r="K5" s="38"/>
    </row>
    <row r="6" spans="1:17" ht="12" customHeight="1" x14ac:dyDescent="0.25">
      <c r="A6" s="59" t="s">
        <v>3</v>
      </c>
      <c r="B6" s="60" t="s">
        <v>33</v>
      </c>
      <c r="C6" s="61" t="s">
        <v>34</v>
      </c>
      <c r="D6" s="61" t="s">
        <v>4</v>
      </c>
      <c r="E6" s="61" t="s">
        <v>5</v>
      </c>
      <c r="F6" s="61" t="s">
        <v>6</v>
      </c>
      <c r="G6" s="62" t="s">
        <v>7</v>
      </c>
      <c r="H6" s="61" t="s">
        <v>28</v>
      </c>
      <c r="I6" s="61" t="s">
        <v>29</v>
      </c>
      <c r="J6" s="61" t="s">
        <v>8</v>
      </c>
      <c r="K6" s="87" t="s">
        <v>31</v>
      </c>
      <c r="L6" s="63" t="s">
        <v>32</v>
      </c>
    </row>
    <row r="7" spans="1:17" s="12" customFormat="1" ht="12.95" customHeight="1" thickBot="1" x14ac:dyDescent="0.3">
      <c r="A7" s="64">
        <v>44681</v>
      </c>
      <c r="B7" s="65">
        <v>995016</v>
      </c>
      <c r="C7" s="66">
        <v>737597</v>
      </c>
      <c r="D7" s="67">
        <v>0.7</v>
      </c>
      <c r="E7" s="68">
        <v>1078.1500000000001</v>
      </c>
      <c r="F7" s="69">
        <v>2085.69</v>
      </c>
      <c r="G7" s="69">
        <v>41297.53</v>
      </c>
      <c r="H7" s="65">
        <v>14528</v>
      </c>
      <c r="I7" s="65">
        <v>155519</v>
      </c>
      <c r="J7" s="65">
        <v>55039783</v>
      </c>
      <c r="K7" s="88"/>
      <c r="L7" s="70"/>
      <c r="M7" s="17"/>
    </row>
    <row r="8" spans="1:17" s="28" customFormat="1" ht="12.95" customHeight="1" thickTop="1" x14ac:dyDescent="0.25">
      <c r="A8" s="71">
        <f>A7+1</f>
        <v>44682</v>
      </c>
      <c r="B8" s="72">
        <v>998711</v>
      </c>
      <c r="C8" s="72">
        <v>742836</v>
      </c>
      <c r="D8" s="73">
        <v>0.62</v>
      </c>
      <c r="E8" s="74">
        <v>1106.54</v>
      </c>
      <c r="F8" s="51">
        <v>2091</v>
      </c>
      <c r="G8" s="72">
        <v>41337.74</v>
      </c>
      <c r="H8" s="72">
        <v>14528</v>
      </c>
      <c r="I8" s="72">
        <v>155633</v>
      </c>
      <c r="J8" s="72">
        <v>55063630</v>
      </c>
      <c r="K8" s="89"/>
      <c r="L8" s="75"/>
      <c r="M8" s="76"/>
    </row>
    <row r="9" spans="1:17" s="28" customFormat="1" ht="12.95" customHeight="1" x14ac:dyDescent="0.25">
      <c r="A9" s="71">
        <f t="shared" ref="A9:A38" si="0">A8+1</f>
        <v>44683</v>
      </c>
      <c r="B9" s="36">
        <v>2290.88</v>
      </c>
      <c r="C9" s="36">
        <v>748236</v>
      </c>
      <c r="D9" s="52">
        <v>0.55000000000000004</v>
      </c>
      <c r="E9" s="49">
        <v>1122.97</v>
      </c>
      <c r="F9" s="26">
        <v>2097.66</v>
      </c>
      <c r="G9" s="26">
        <v>41373.4</v>
      </c>
      <c r="H9" s="34">
        <v>14528</v>
      </c>
      <c r="I9" s="36">
        <v>155720</v>
      </c>
      <c r="J9" s="53">
        <v>55086599</v>
      </c>
      <c r="K9" s="86"/>
      <c r="L9" s="77"/>
      <c r="M9" s="76"/>
    </row>
    <row r="10" spans="1:17" s="28" customFormat="1" ht="12.95" customHeight="1" x14ac:dyDescent="0.25">
      <c r="A10" s="71">
        <f t="shared" si="0"/>
        <v>44684</v>
      </c>
      <c r="B10" s="36">
        <v>5958.42</v>
      </c>
      <c r="C10" s="36">
        <v>753624</v>
      </c>
      <c r="D10" s="52">
        <v>0.48</v>
      </c>
      <c r="E10" s="49">
        <v>1146.1199999999999</v>
      </c>
      <c r="F10" s="26">
        <v>2104</v>
      </c>
      <c r="G10" s="26">
        <v>41403.03</v>
      </c>
      <c r="H10" s="34">
        <v>14528</v>
      </c>
      <c r="I10" s="36">
        <v>155826</v>
      </c>
      <c r="J10" s="53">
        <v>55108320</v>
      </c>
      <c r="K10" s="86"/>
      <c r="L10" s="77"/>
      <c r="M10" s="76"/>
    </row>
    <row r="11" spans="1:17" s="28" customFormat="1" ht="12.95" customHeight="1" x14ac:dyDescent="0.25">
      <c r="A11" s="71">
        <f t="shared" si="0"/>
        <v>44685</v>
      </c>
      <c r="B11" s="36">
        <v>9922.01</v>
      </c>
      <c r="C11" s="36">
        <v>759271</v>
      </c>
      <c r="D11" s="52">
        <v>0.4</v>
      </c>
      <c r="E11" s="49">
        <v>1170.56</v>
      </c>
      <c r="F11" s="26">
        <v>2111.75</v>
      </c>
      <c r="G11" s="26">
        <v>41447.910000000003</v>
      </c>
      <c r="H11" s="34">
        <v>14528</v>
      </c>
      <c r="I11" s="36">
        <v>155916</v>
      </c>
      <c r="J11" s="36">
        <v>55131700</v>
      </c>
      <c r="K11" s="86"/>
      <c r="L11" s="77"/>
      <c r="M11" s="76"/>
    </row>
    <row r="12" spans="1:17" s="28" customFormat="1" ht="12.95" customHeight="1" x14ac:dyDescent="0.25">
      <c r="A12" s="71">
        <f t="shared" si="0"/>
        <v>44686</v>
      </c>
      <c r="B12" s="34">
        <v>13690.1</v>
      </c>
      <c r="C12" s="34">
        <v>764609</v>
      </c>
      <c r="D12" s="52">
        <v>0.3</v>
      </c>
      <c r="E12" s="78">
        <v>1198.3900000000001</v>
      </c>
      <c r="F12" s="34">
        <v>2118.25</v>
      </c>
      <c r="G12" s="34">
        <v>41485.160000000003</v>
      </c>
      <c r="H12" s="34">
        <v>14528</v>
      </c>
      <c r="I12" s="34">
        <v>156027</v>
      </c>
      <c r="J12" s="34">
        <v>55155163</v>
      </c>
      <c r="K12" s="86">
        <v>3700</v>
      </c>
      <c r="L12" s="77"/>
      <c r="M12" s="76"/>
      <c r="N12" s="27"/>
    </row>
    <row r="13" spans="1:17" s="28" customFormat="1" ht="12.95" customHeight="1" x14ac:dyDescent="0.25">
      <c r="A13" s="71">
        <f t="shared" si="0"/>
        <v>44687</v>
      </c>
      <c r="B13" s="41">
        <v>17519.8</v>
      </c>
      <c r="C13" s="35">
        <v>770297</v>
      </c>
      <c r="D13" s="52">
        <v>0.79</v>
      </c>
      <c r="E13" s="49">
        <v>1223.82</v>
      </c>
      <c r="F13" s="26">
        <v>2125.2800000000002</v>
      </c>
      <c r="G13" s="26">
        <v>41522.74</v>
      </c>
      <c r="H13" s="36">
        <v>14528</v>
      </c>
      <c r="I13" s="35">
        <v>156137</v>
      </c>
      <c r="J13" s="35">
        <v>55180950</v>
      </c>
      <c r="K13" s="86"/>
      <c r="L13" s="77"/>
      <c r="M13" s="76"/>
      <c r="N13" s="29"/>
      <c r="O13" s="29"/>
      <c r="P13" s="29"/>
      <c r="Q13" s="29"/>
    </row>
    <row r="14" spans="1:17" s="28" customFormat="1" ht="12.95" customHeight="1" x14ac:dyDescent="0.25">
      <c r="A14" s="71">
        <f t="shared" si="0"/>
        <v>44688</v>
      </c>
      <c r="B14" s="41">
        <v>21402.799999999999</v>
      </c>
      <c r="C14" s="35">
        <v>775911</v>
      </c>
      <c r="D14" s="52">
        <v>0.72</v>
      </c>
      <c r="E14" s="49">
        <v>1249.93</v>
      </c>
      <c r="F14" s="26">
        <v>2132.98</v>
      </c>
      <c r="G14" s="26">
        <v>41557.160000000003</v>
      </c>
      <c r="H14" s="34">
        <v>14528</v>
      </c>
      <c r="I14" s="35">
        <v>156252</v>
      </c>
      <c r="J14" s="35">
        <v>55205510</v>
      </c>
      <c r="K14" s="86"/>
      <c r="L14" s="77"/>
      <c r="M14" s="76"/>
      <c r="N14" s="29"/>
      <c r="O14" s="29"/>
      <c r="P14" s="29"/>
      <c r="Q14" s="29"/>
    </row>
    <row r="15" spans="1:17" s="28" customFormat="1" ht="12.95" customHeight="1" x14ac:dyDescent="0.25">
      <c r="A15" s="71">
        <f t="shared" si="0"/>
        <v>44689</v>
      </c>
      <c r="B15" s="36">
        <v>25297.200000000001</v>
      </c>
      <c r="C15" s="36">
        <v>781536</v>
      </c>
      <c r="D15" s="52">
        <v>0.62</v>
      </c>
      <c r="E15" s="49">
        <v>1278.19</v>
      </c>
      <c r="F15" s="26">
        <v>2140.29</v>
      </c>
      <c r="G15" s="35">
        <v>41593</v>
      </c>
      <c r="H15" s="36">
        <v>14528</v>
      </c>
      <c r="I15" s="36">
        <v>156364</v>
      </c>
      <c r="J15" s="36">
        <v>55232199</v>
      </c>
      <c r="K15" s="86"/>
      <c r="L15" s="77"/>
      <c r="M15" s="76"/>
      <c r="N15" s="29"/>
      <c r="O15" s="29"/>
      <c r="P15" s="29"/>
      <c r="Q15" s="29"/>
    </row>
    <row r="16" spans="1:17" s="28" customFormat="1" ht="12.95" customHeight="1" x14ac:dyDescent="0.25">
      <c r="A16" s="71">
        <f t="shared" si="0"/>
        <v>44690</v>
      </c>
      <c r="B16" s="79">
        <v>29192.3</v>
      </c>
      <c r="C16" s="36">
        <v>787112</v>
      </c>
      <c r="D16" s="52">
        <v>0.53</v>
      </c>
      <c r="E16" s="49">
        <v>1302.28</v>
      </c>
      <c r="F16" s="26">
        <v>2148.0300000000002</v>
      </c>
      <c r="G16" s="35">
        <v>41629.11</v>
      </c>
      <c r="H16" s="36">
        <v>14528</v>
      </c>
      <c r="I16" s="36">
        <v>156467</v>
      </c>
      <c r="J16" s="36">
        <v>55258266</v>
      </c>
      <c r="K16" s="86"/>
      <c r="L16" s="77"/>
      <c r="M16" s="76"/>
      <c r="N16" s="29"/>
      <c r="O16" s="29"/>
      <c r="P16" s="29"/>
      <c r="Q16" s="29"/>
    </row>
    <row r="17" spans="1:19" s="28" customFormat="1" ht="12.95" customHeight="1" x14ac:dyDescent="0.25">
      <c r="A17" s="71">
        <f t="shared" si="0"/>
        <v>44691</v>
      </c>
      <c r="B17" s="35">
        <v>33017.5</v>
      </c>
      <c r="C17" s="35">
        <v>792667</v>
      </c>
      <c r="D17" s="54">
        <v>0.45</v>
      </c>
      <c r="E17" s="49">
        <v>1328.4</v>
      </c>
      <c r="F17" s="26">
        <v>2155.3000000000002</v>
      </c>
      <c r="G17" s="35">
        <v>41666.51</v>
      </c>
      <c r="H17" s="36">
        <v>14528</v>
      </c>
      <c r="I17" s="35">
        <v>156578</v>
      </c>
      <c r="J17" s="35">
        <v>55282664</v>
      </c>
      <c r="K17" s="86"/>
      <c r="L17" s="77"/>
      <c r="M17" s="76"/>
      <c r="N17" s="29"/>
      <c r="O17" s="29"/>
      <c r="P17" s="29"/>
      <c r="Q17" s="29"/>
    </row>
    <row r="18" spans="1:19" s="28" customFormat="1" ht="12.95" customHeight="1" x14ac:dyDescent="0.25">
      <c r="A18" s="71">
        <f t="shared" si="0"/>
        <v>44692</v>
      </c>
      <c r="B18" s="36">
        <v>36868.5</v>
      </c>
      <c r="C18" s="36">
        <v>798442</v>
      </c>
      <c r="D18" s="52">
        <v>0.38</v>
      </c>
      <c r="E18" s="49">
        <v>1351.85</v>
      </c>
      <c r="F18" s="26">
        <v>2163.56</v>
      </c>
      <c r="G18" s="35">
        <v>41705.31</v>
      </c>
      <c r="H18" s="36">
        <v>14528</v>
      </c>
      <c r="I18" s="36">
        <v>156690</v>
      </c>
      <c r="J18" s="36">
        <v>55306584</v>
      </c>
      <c r="K18" s="86"/>
      <c r="L18" s="77"/>
      <c r="M18" s="76"/>
      <c r="N18" s="29"/>
      <c r="O18" s="30"/>
      <c r="P18" s="29"/>
      <c r="Q18" s="29"/>
    </row>
    <row r="19" spans="1:19" s="28" customFormat="1" ht="12.95" customHeight="1" x14ac:dyDescent="0.25">
      <c r="A19" s="71">
        <f t="shared" si="0"/>
        <v>44693</v>
      </c>
      <c r="B19" s="42">
        <v>40768.800000000003</v>
      </c>
      <c r="C19" s="42">
        <v>803953</v>
      </c>
      <c r="D19" s="52">
        <v>0.3</v>
      </c>
      <c r="E19" s="55">
        <v>1376.7</v>
      </c>
      <c r="F19" s="26">
        <v>2170.81</v>
      </c>
      <c r="G19" s="43">
        <v>41742.839999999997</v>
      </c>
      <c r="H19" s="36">
        <v>14528</v>
      </c>
      <c r="I19" s="42">
        <v>156798</v>
      </c>
      <c r="J19" s="42">
        <v>55331919</v>
      </c>
      <c r="K19" s="86"/>
      <c r="L19" s="77"/>
      <c r="M19" s="76"/>
      <c r="N19" s="29"/>
      <c r="O19" s="30"/>
      <c r="P19" s="29"/>
      <c r="Q19" s="29"/>
    </row>
    <row r="20" spans="1:19" s="28" customFormat="1" ht="12.95" customHeight="1" x14ac:dyDescent="0.25">
      <c r="A20" s="71">
        <f t="shared" si="0"/>
        <v>44694</v>
      </c>
      <c r="B20" s="42">
        <v>44574.3</v>
      </c>
      <c r="C20" s="42">
        <v>809463</v>
      </c>
      <c r="D20" s="52">
        <v>0.85</v>
      </c>
      <c r="E20" s="55">
        <v>1403.28</v>
      </c>
      <c r="F20" s="26">
        <v>2177.9299999999998</v>
      </c>
      <c r="G20" s="43">
        <v>41780.410000000003</v>
      </c>
      <c r="H20" s="34">
        <v>14528</v>
      </c>
      <c r="I20" s="42">
        <v>156895</v>
      </c>
      <c r="J20" s="42">
        <v>55356741</v>
      </c>
      <c r="K20" s="86">
        <v>4300</v>
      </c>
      <c r="L20" s="77"/>
      <c r="M20" s="76"/>
      <c r="N20" s="31"/>
      <c r="O20" s="29"/>
      <c r="P20" s="29"/>
      <c r="Q20" s="29"/>
    </row>
    <row r="21" spans="1:19" s="28" customFormat="1" ht="12.95" customHeight="1" x14ac:dyDescent="0.25">
      <c r="A21" s="71">
        <f t="shared" si="0"/>
        <v>44695</v>
      </c>
      <c r="B21" s="42">
        <v>48326.7</v>
      </c>
      <c r="C21" s="42">
        <v>815032</v>
      </c>
      <c r="D21" s="52">
        <v>0.78</v>
      </c>
      <c r="E21" s="55">
        <v>1427.77</v>
      </c>
      <c r="F21" s="26">
        <v>2185.63</v>
      </c>
      <c r="G21" s="43">
        <v>41815.26</v>
      </c>
      <c r="H21" s="34">
        <v>14528</v>
      </c>
      <c r="I21" s="42">
        <v>157021</v>
      </c>
      <c r="J21" s="42">
        <v>55381239</v>
      </c>
      <c r="K21" s="86"/>
      <c r="L21" s="77"/>
      <c r="M21" s="76"/>
      <c r="N21" s="31"/>
      <c r="O21" s="31"/>
      <c r="P21" s="32"/>
      <c r="Q21" s="32"/>
      <c r="S21" s="27"/>
    </row>
    <row r="22" spans="1:19" s="28" customFormat="1" ht="12.95" customHeight="1" x14ac:dyDescent="0.25">
      <c r="A22" s="71">
        <f t="shared" si="0"/>
        <v>44696</v>
      </c>
      <c r="B22" s="92">
        <v>51986.2</v>
      </c>
      <c r="C22" s="92">
        <v>820463</v>
      </c>
      <c r="D22" s="52">
        <v>0.71</v>
      </c>
      <c r="E22" s="55">
        <v>1453.39</v>
      </c>
      <c r="F22" s="26">
        <v>2192.69</v>
      </c>
      <c r="G22" s="43">
        <v>41849.47</v>
      </c>
      <c r="H22" s="34">
        <v>14528</v>
      </c>
      <c r="I22" s="43">
        <v>157141</v>
      </c>
      <c r="J22" s="42">
        <v>55404460</v>
      </c>
      <c r="K22" s="86"/>
      <c r="L22" s="77"/>
      <c r="M22" s="76"/>
      <c r="N22" s="31"/>
      <c r="O22" s="31"/>
      <c r="P22" s="29"/>
      <c r="Q22" s="29"/>
    </row>
    <row r="23" spans="1:19" s="28" customFormat="1" ht="12.95" customHeight="1" x14ac:dyDescent="0.25">
      <c r="A23" s="71">
        <f t="shared" si="0"/>
        <v>44697</v>
      </c>
      <c r="B23" s="42">
        <v>55679.9</v>
      </c>
      <c r="C23" s="42">
        <v>825836</v>
      </c>
      <c r="D23" s="52">
        <v>0.6</v>
      </c>
      <c r="E23" s="55">
        <v>1476.4</v>
      </c>
      <c r="F23" s="26">
        <v>2198.8200000000002</v>
      </c>
      <c r="G23" s="43">
        <v>41884.25</v>
      </c>
      <c r="H23" s="34">
        <v>14528</v>
      </c>
      <c r="I23" s="42">
        <v>157233</v>
      </c>
      <c r="J23" s="42">
        <v>55427477</v>
      </c>
      <c r="K23" s="86"/>
      <c r="L23" s="77"/>
      <c r="M23" s="76"/>
      <c r="N23" s="31"/>
      <c r="O23" s="29"/>
      <c r="P23" s="29"/>
      <c r="Q23" s="29"/>
    </row>
    <row r="24" spans="1:19" s="28" customFormat="1" ht="12.95" customHeight="1" x14ac:dyDescent="0.25">
      <c r="A24" s="71">
        <f t="shared" si="0"/>
        <v>44698</v>
      </c>
      <c r="B24" s="42">
        <v>59424.5</v>
      </c>
      <c r="C24" s="42">
        <v>831474</v>
      </c>
      <c r="D24" s="52">
        <v>0.53</v>
      </c>
      <c r="E24" s="49">
        <v>1501.84</v>
      </c>
      <c r="F24" s="26">
        <v>2205.04</v>
      </c>
      <c r="G24" s="43">
        <v>41920.15</v>
      </c>
      <c r="H24" s="34">
        <v>14528</v>
      </c>
      <c r="I24" s="42">
        <v>157330</v>
      </c>
      <c r="J24" s="42">
        <v>55453286</v>
      </c>
      <c r="K24" s="86"/>
      <c r="L24" s="80"/>
      <c r="M24" s="76"/>
      <c r="N24" s="31"/>
      <c r="O24" s="31"/>
      <c r="P24" s="29"/>
      <c r="Q24" s="29"/>
    </row>
    <row r="25" spans="1:19" s="28" customFormat="1" ht="12.95" customHeight="1" x14ac:dyDescent="0.25">
      <c r="A25" s="71">
        <f t="shared" si="0"/>
        <v>44699</v>
      </c>
      <c r="B25" s="43">
        <v>63245.599999999999</v>
      </c>
      <c r="C25" s="43">
        <v>837247</v>
      </c>
      <c r="D25" s="54">
        <v>0.45</v>
      </c>
      <c r="E25" s="55">
        <v>1528.13</v>
      </c>
      <c r="F25" s="26">
        <v>2213.92</v>
      </c>
      <c r="G25" s="43">
        <v>41956.24</v>
      </c>
      <c r="H25" s="36">
        <v>14528</v>
      </c>
      <c r="I25" s="42">
        <v>157436</v>
      </c>
      <c r="J25" s="42">
        <v>55479568</v>
      </c>
      <c r="K25" s="90"/>
      <c r="L25" s="80"/>
      <c r="M25" s="76"/>
      <c r="N25" s="31"/>
      <c r="O25" s="31"/>
      <c r="P25" s="29"/>
      <c r="Q25" s="29"/>
    </row>
    <row r="26" spans="1:19" s="28" customFormat="1" ht="12.95" customHeight="1" x14ac:dyDescent="0.25">
      <c r="A26" s="71">
        <f t="shared" si="0"/>
        <v>44700</v>
      </c>
      <c r="B26" s="43">
        <v>66997.399999999994</v>
      </c>
      <c r="C26" s="43">
        <v>842918</v>
      </c>
      <c r="D26" s="54">
        <v>0.39</v>
      </c>
      <c r="E26" s="49">
        <v>1552.31</v>
      </c>
      <c r="F26" s="26">
        <v>2220.12</v>
      </c>
      <c r="G26" s="43">
        <v>41993.95</v>
      </c>
      <c r="H26" s="34">
        <v>14528</v>
      </c>
      <c r="I26" s="42">
        <v>157545</v>
      </c>
      <c r="J26" s="42">
        <v>55505918</v>
      </c>
      <c r="K26" s="86"/>
      <c r="L26" s="80"/>
      <c r="M26" s="76"/>
      <c r="N26" s="31"/>
      <c r="O26" s="31"/>
      <c r="P26" s="29"/>
      <c r="Q26" s="29"/>
    </row>
    <row r="27" spans="1:19" s="28" customFormat="1" ht="12.95" customHeight="1" x14ac:dyDescent="0.25">
      <c r="A27" s="71">
        <f t="shared" si="0"/>
        <v>44701</v>
      </c>
      <c r="B27" s="42">
        <v>70888.399999999994</v>
      </c>
      <c r="C27" s="42">
        <v>848744</v>
      </c>
      <c r="D27" s="52">
        <v>0.85</v>
      </c>
      <c r="E27" s="55">
        <v>1576.85</v>
      </c>
      <c r="F27" s="26">
        <v>2226.61</v>
      </c>
      <c r="G27" s="43">
        <v>42030.71</v>
      </c>
      <c r="H27" s="34">
        <v>14528</v>
      </c>
      <c r="I27" s="42">
        <v>157663</v>
      </c>
      <c r="J27" s="42">
        <v>55533494</v>
      </c>
      <c r="K27" s="86">
        <v>3600</v>
      </c>
      <c r="L27" s="77"/>
      <c r="M27" s="76"/>
    </row>
    <row r="28" spans="1:19" s="28" customFormat="1" ht="12.95" customHeight="1" x14ac:dyDescent="0.25">
      <c r="A28" s="71">
        <f t="shared" si="0"/>
        <v>44702</v>
      </c>
      <c r="B28" s="44">
        <v>74739</v>
      </c>
      <c r="C28" s="42">
        <v>854613</v>
      </c>
      <c r="D28" s="52">
        <v>0.76</v>
      </c>
      <c r="E28" s="55">
        <v>1604.08</v>
      </c>
      <c r="F28" s="26">
        <v>2233.0300000000002</v>
      </c>
      <c r="G28" s="43">
        <v>42070.97</v>
      </c>
      <c r="H28" s="34">
        <v>14528</v>
      </c>
      <c r="I28" s="42">
        <v>157782</v>
      </c>
      <c r="J28" s="42">
        <v>55563066</v>
      </c>
      <c r="K28" s="86"/>
      <c r="L28" s="77"/>
      <c r="M28" s="76"/>
    </row>
    <row r="29" spans="1:19" s="28" customFormat="1" ht="12.95" customHeight="1" x14ac:dyDescent="0.25">
      <c r="A29" s="71">
        <f t="shared" si="0"/>
        <v>44703</v>
      </c>
      <c r="B29" s="42">
        <v>78604.3</v>
      </c>
      <c r="C29" s="42">
        <v>860464</v>
      </c>
      <c r="D29" s="52">
        <v>0.69</v>
      </c>
      <c r="E29" s="55">
        <v>1628.94</v>
      </c>
      <c r="F29" s="26">
        <v>2239.52</v>
      </c>
      <c r="G29" s="43">
        <v>42108.71</v>
      </c>
      <c r="H29" s="34">
        <v>14528</v>
      </c>
      <c r="I29" s="42">
        <v>157894</v>
      </c>
      <c r="J29" s="42">
        <v>55593019</v>
      </c>
      <c r="K29" s="86"/>
      <c r="L29" s="77"/>
      <c r="M29" s="76"/>
      <c r="N29" s="27"/>
    </row>
    <row r="30" spans="1:19" s="28" customFormat="1" ht="12.95" customHeight="1" x14ac:dyDescent="0.25">
      <c r="A30" s="71">
        <f t="shared" si="0"/>
        <v>44704</v>
      </c>
      <c r="B30" s="42">
        <v>82407.5</v>
      </c>
      <c r="C30" s="42">
        <v>866075</v>
      </c>
      <c r="D30" s="52">
        <v>0.6</v>
      </c>
      <c r="E30" s="55">
        <v>1656.44</v>
      </c>
      <c r="F30" s="26">
        <v>2244.96</v>
      </c>
      <c r="G30" s="43">
        <v>42145.42</v>
      </c>
      <c r="H30" s="34">
        <v>14528</v>
      </c>
      <c r="I30" s="42">
        <v>158005</v>
      </c>
      <c r="J30" s="42">
        <v>55622779</v>
      </c>
      <c r="K30" s="86"/>
      <c r="L30" s="77"/>
      <c r="M30" s="76"/>
    </row>
    <row r="31" spans="1:19" s="28" customFormat="1" ht="12.95" customHeight="1" x14ac:dyDescent="0.25">
      <c r="A31" s="71">
        <f t="shared" si="0"/>
        <v>44705</v>
      </c>
      <c r="B31" s="42">
        <v>86291.4</v>
      </c>
      <c r="C31" s="42">
        <v>871700</v>
      </c>
      <c r="D31" s="52">
        <v>0.53</v>
      </c>
      <c r="E31" s="55">
        <v>1681.58</v>
      </c>
      <c r="F31" s="26">
        <v>2251.29</v>
      </c>
      <c r="G31" s="43">
        <v>42182.42</v>
      </c>
      <c r="H31" s="34">
        <v>14528</v>
      </c>
      <c r="I31" s="42">
        <v>158115</v>
      </c>
      <c r="J31" s="42">
        <v>55652594</v>
      </c>
      <c r="K31" s="86"/>
      <c r="L31" s="81"/>
      <c r="M31" s="76"/>
      <c r="N31" s="27"/>
      <c r="O31" s="27"/>
    </row>
    <row r="32" spans="1:19" s="28" customFormat="1" ht="12.95" customHeight="1" x14ac:dyDescent="0.25">
      <c r="A32" s="71">
        <f t="shared" si="0"/>
        <v>44706</v>
      </c>
      <c r="B32" s="42">
        <v>90283.9</v>
      </c>
      <c r="C32" s="42">
        <v>877635</v>
      </c>
      <c r="D32" s="52">
        <v>0.45</v>
      </c>
      <c r="E32" s="55">
        <v>1709.49</v>
      </c>
      <c r="F32" s="26">
        <v>2258.88</v>
      </c>
      <c r="G32" s="43">
        <v>42220.95</v>
      </c>
      <c r="H32" s="36">
        <v>14528</v>
      </c>
      <c r="I32" s="42">
        <v>158228</v>
      </c>
      <c r="J32" s="42">
        <v>55682464</v>
      </c>
      <c r="K32" s="86"/>
      <c r="L32" s="81"/>
      <c r="M32" s="76"/>
      <c r="N32" s="27"/>
      <c r="O32" s="27"/>
    </row>
    <row r="33" spans="1:16" s="28" customFormat="1" ht="12.95" customHeight="1" x14ac:dyDescent="0.25">
      <c r="A33" s="71">
        <f t="shared" si="0"/>
        <v>44707</v>
      </c>
      <c r="B33" s="42">
        <v>94083.9</v>
      </c>
      <c r="C33" s="42">
        <v>883219</v>
      </c>
      <c r="D33" s="52">
        <v>0.39</v>
      </c>
      <c r="E33" s="49">
        <v>1735.78</v>
      </c>
      <c r="F33" s="26">
        <v>2266.66</v>
      </c>
      <c r="G33" s="43">
        <v>42257.32</v>
      </c>
      <c r="H33" s="34">
        <v>14528</v>
      </c>
      <c r="I33" s="42">
        <v>158344</v>
      </c>
      <c r="J33" s="42">
        <v>55709674</v>
      </c>
      <c r="K33" s="86"/>
      <c r="L33" s="77"/>
      <c r="M33" s="82"/>
      <c r="N33" s="27"/>
      <c r="O33" s="27"/>
    </row>
    <row r="34" spans="1:16" s="28" customFormat="1" ht="12.95" customHeight="1" x14ac:dyDescent="0.25">
      <c r="A34" s="71">
        <f t="shared" si="0"/>
        <v>44708</v>
      </c>
      <c r="B34" s="43"/>
      <c r="C34" s="45"/>
      <c r="D34" s="54"/>
      <c r="E34" s="55"/>
      <c r="F34" s="26"/>
      <c r="G34" s="43"/>
      <c r="H34" s="36"/>
      <c r="I34" s="43"/>
      <c r="J34" s="43"/>
      <c r="K34" s="86"/>
      <c r="L34" s="77"/>
      <c r="M34" s="82"/>
      <c r="N34" s="27"/>
      <c r="P34" s="27"/>
    </row>
    <row r="35" spans="1:16" s="28" customFormat="1" ht="12.95" customHeight="1" x14ac:dyDescent="0.25">
      <c r="A35" s="71">
        <f>A34+1</f>
        <v>44709</v>
      </c>
      <c r="B35" s="36"/>
      <c r="C35" s="50"/>
      <c r="D35" s="52"/>
      <c r="E35" s="49"/>
      <c r="F35" s="35"/>
      <c r="G35" s="35"/>
      <c r="H35" s="36"/>
      <c r="I35" s="36"/>
      <c r="J35" s="36"/>
      <c r="K35" s="86"/>
      <c r="L35" s="77"/>
      <c r="M35" s="76"/>
      <c r="N35" s="27"/>
      <c r="O35" s="27"/>
    </row>
    <row r="36" spans="1:16" s="28" customFormat="1" ht="12.95" customHeight="1" x14ac:dyDescent="0.25">
      <c r="A36" s="84">
        <f t="shared" si="0"/>
        <v>44710</v>
      </c>
      <c r="B36" s="36"/>
      <c r="C36" s="50"/>
      <c r="D36" s="52"/>
      <c r="E36" s="49"/>
      <c r="F36" s="35"/>
      <c r="G36" s="35"/>
      <c r="H36" s="36"/>
      <c r="I36" s="36"/>
      <c r="J36" s="36"/>
      <c r="K36" s="86"/>
      <c r="L36" s="77"/>
      <c r="M36" s="76"/>
      <c r="N36" s="27"/>
      <c r="O36" s="27"/>
    </row>
    <row r="37" spans="1:16" s="28" customFormat="1" ht="12.95" customHeight="1" x14ac:dyDescent="0.25">
      <c r="A37" s="84">
        <f t="shared" si="0"/>
        <v>44711</v>
      </c>
      <c r="B37" s="36"/>
      <c r="C37" s="50"/>
      <c r="D37" s="52"/>
      <c r="E37" s="49"/>
      <c r="F37" s="35"/>
      <c r="G37" s="35"/>
      <c r="H37" s="36"/>
      <c r="I37" s="36"/>
      <c r="J37" s="36"/>
      <c r="K37" s="86"/>
      <c r="L37" s="77"/>
      <c r="M37" s="76"/>
      <c r="N37" s="27"/>
      <c r="O37" s="27"/>
    </row>
    <row r="38" spans="1:16" s="28" customFormat="1" ht="12.95" customHeight="1" thickBot="1" x14ac:dyDescent="0.3">
      <c r="A38" s="85">
        <f t="shared" si="0"/>
        <v>44712</v>
      </c>
      <c r="B38" s="46"/>
      <c r="C38" s="47"/>
      <c r="D38" s="58"/>
      <c r="E38" s="56"/>
      <c r="F38" s="48"/>
      <c r="G38" s="48"/>
      <c r="H38" s="46"/>
      <c r="I38" s="46"/>
      <c r="J38" s="46"/>
      <c r="K38" s="91"/>
      <c r="L38" s="83"/>
      <c r="M38" s="76"/>
      <c r="N38" s="27"/>
      <c r="O38" s="27"/>
    </row>
    <row r="39" spans="1:16" s="28" customFormat="1" ht="12.95" customHeight="1" x14ac:dyDescent="0.25">
      <c r="A39" s="39" t="s">
        <v>35</v>
      </c>
      <c r="B39" s="40">
        <f>B38-B7</f>
        <v>-995016</v>
      </c>
      <c r="C39" s="40">
        <f t="shared" ref="C39:J39" si="1">C38-C7</f>
        <v>-737597</v>
      </c>
      <c r="D39" s="40">
        <f t="shared" si="1"/>
        <v>-0.7</v>
      </c>
      <c r="E39" s="40">
        <f t="shared" si="1"/>
        <v>-1078.1500000000001</v>
      </c>
      <c r="F39" s="40">
        <f t="shared" si="1"/>
        <v>-2085.69</v>
      </c>
      <c r="G39" s="40">
        <f t="shared" si="1"/>
        <v>-41297.53</v>
      </c>
      <c r="H39" s="40">
        <f t="shared" si="1"/>
        <v>-14528</v>
      </c>
      <c r="I39" s="40">
        <f t="shared" si="1"/>
        <v>-155519</v>
      </c>
      <c r="J39" s="40">
        <f t="shared" si="1"/>
        <v>-55039783</v>
      </c>
      <c r="K39" s="40">
        <f>SUM(K7:K37)</f>
        <v>11600</v>
      </c>
      <c r="L39" s="14"/>
      <c r="M39" s="14"/>
      <c r="N39" s="27"/>
      <c r="O39" s="27"/>
    </row>
    <row r="40" spans="1:16" s="33" customFormat="1" x14ac:dyDescent="0.25">
      <c r="A40" s="14"/>
      <c r="B40" s="14"/>
      <c r="C40" s="40"/>
      <c r="D40" s="14"/>
      <c r="E40" s="16"/>
      <c r="F40" s="16"/>
      <c r="G40" s="16"/>
      <c r="H40" s="13">
        <f>H39*219.969</f>
        <v>-3195709.6319999998</v>
      </c>
      <c r="I40" s="40">
        <f>I39*219.969</f>
        <v>-34209358.910999998</v>
      </c>
      <c r="J40" s="16"/>
      <c r="K40" s="14"/>
      <c r="L40" s="14"/>
      <c r="M40" s="14"/>
    </row>
    <row r="41" spans="1:16" s="33" customFormat="1" x14ac:dyDescent="0.25">
      <c r="A41" s="14"/>
      <c r="B41" s="14"/>
      <c r="C41" s="40"/>
      <c r="D41" s="14"/>
      <c r="E41" s="16"/>
      <c r="F41" s="16"/>
      <c r="G41" s="16"/>
      <c r="H41" s="13">
        <f>H40*219.969</f>
        <v>-702957052.04140794</v>
      </c>
      <c r="I41" s="40">
        <f>I40*219.969</f>
        <v>-7524998470.2937584</v>
      </c>
      <c r="J41" s="16"/>
      <c r="K41" s="14"/>
      <c r="L41" s="14"/>
    </row>
    <row r="42" spans="1:16" x14ac:dyDescent="0.25">
      <c r="C42" s="25"/>
      <c r="I42" s="24"/>
    </row>
  </sheetData>
  <mergeCells count="5">
    <mergeCell ref="A3:J3"/>
    <mergeCell ref="A4:J4"/>
    <mergeCell ref="B5:C5"/>
    <mergeCell ref="D5:G5"/>
    <mergeCell ref="H5:I5"/>
  </mergeCells>
  <printOptions horizontalCentered="1"/>
  <pageMargins left="0.7" right="0.7" top="0.75" bottom="0.75" header="0.3" footer="0.3"/>
  <pageSetup scale="9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Total Daily </vt:lpstr>
      <vt:lpstr>Submetering Daily </vt:lpstr>
      <vt:lpstr>05 - 2022</vt:lpstr>
      <vt:lpstr>'05 - 2022'!Print_Area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Bethelrose Diumano</dc:creator>
  <cp:lastModifiedBy>Bethelrose Diumano</cp:lastModifiedBy>
  <cp:lastPrinted>2020-05-02T15:33:01Z</cp:lastPrinted>
  <dcterms:created xsi:type="dcterms:W3CDTF">2017-04-26T09:20:12Z</dcterms:created>
  <dcterms:modified xsi:type="dcterms:W3CDTF">2022-05-26T05:12:49Z</dcterms:modified>
</cp:coreProperties>
</file>