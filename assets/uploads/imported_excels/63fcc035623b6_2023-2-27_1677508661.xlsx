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45" documentId="8_{9B439D3B-B023-4087-B27B-CB56FE35C246}" xr6:coauthVersionLast="47" xr6:coauthVersionMax="47" xr10:uidLastSave="{862B6887-CFED-4EE7-9466-F05C8CB65BEA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V42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Q42" i="3" l="1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<sst xmlns="http://schemas.openxmlformats.org/spreadsheetml/2006/main" count="90" uniqueCount="53">
  <si>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</si>
  <si>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</si>
  <si>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</si>
  <si>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</si>
  <si>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</si>
  <si>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</si>
  <si>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</si>
  <si>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</si>
  <si>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</si>
  <si>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</si>
  <si>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</si>
  <si>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</si>
  <si>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</si>
  <si>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</si>
  <si>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</si>
  <si>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</si>
  <si>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JUNE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</si>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</sst>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N32" sqref="N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6</v>
      </c>
      <c r="D2" s="97">
        <v>2018</v>
      </c>
      <c r="E2" s="99">
        <f>'Localize Daily Bali Jimbaran'!P7</f>
        <v>5179.9999999994816</v>
      </c>
      <c r="F2" s="100">
        <f>'Localize Daily Bali Jimbaran'!O7/'Localize Daily Bali Jimbaran'!P7</f>
        <v>1520.0771351351773</v>
      </c>
      <c r="G2" s="99">
        <f>'Localize Daily Bali Jimbaran'!AC7</f>
        <v>519.91355999998711</v>
      </c>
      <c r="H2" s="100">
        <f>'Localize Daily Bali Jimbaran'!AD7/'Localize Daily Bali Jimbaran'!AC7</f>
        <v>10935.437757538022</v>
      </c>
      <c r="I2" s="99">
        <f>'Localize Daily Bali Jimbaran'!AH7</f>
        <v>539.80000000000291</v>
      </c>
      <c r="J2" s="101">
        <f>'Localize Daily Bali Jimbaran'!AI7/'Localize Daily Bali Jimbaran'!AH7</f>
        <v>9500</v>
      </c>
      <c r="K2" s="99">
        <f>'Localize Daily Bali Jimbaran'!Q7</f>
        <v>771</v>
      </c>
      <c r="L2" s="100">
        <f>'Localize Daily Bali Jimbaran'!V7/'Localize Daily Bali Jimbaran'!Q7</f>
        <v>8458.948482490272</v>
      </c>
      <c r="M2" s="99">
        <f>'Localize Daily Bali Jimbaran'!C7</f>
        <v>41</v>
      </c>
      <c r="N2" s="99">
        <v>128</v>
      </c>
    </row>
    <row r="3" spans="1:14" ht="15">
      <c r="A3" s="96" t="s">
        <v>14</v>
      </c>
      <c r="B3" s="97">
        <v>2</v>
      </c>
      <c r="C3" s="98">
        <v>6</v>
      </c>
      <c r="D3" s="97">
        <v>2018</v>
      </c>
      <c r="E3" s="99">
        <f>'Localize Daily Bali Jimbaran'!P8</f>
        <v>31980.000000000615</v>
      </c>
      <c r="F3" s="100">
        <f>'Localize Daily Bali Jimbaran'!O8/'Localize Daily Bali Jimbaran'!P8</f>
        <v>1160.0055844277651</v>
      </c>
      <c r="G3" s="99">
        <f>'Localize Daily Bali Jimbaran'!AC8</f>
        <v>417.7052800000082</v>
      </c>
      <c r="H3" s="100">
        <f>'Localize Daily Bali Jimbaran'!AD8/'Localize Daily Bali Jimbaran'!AC8</f>
        <v>11015.41189002924</v>
      </c>
      <c r="I3" s="99">
        <f>'Localize Daily Bali Jimbaran'!AH8</f>
        <v>466.7599999999984</v>
      </c>
      <c r="J3" s="101">
        <f>'Localize Daily Bali Jimbaran'!AI8/'Localize Daily Bali Jimbaran'!AH8</f>
        <v>9500</v>
      </c>
      <c r="K3" s="99">
        <f>'Localize Daily Bali Jimbaran'!Q8</f>
        <v>796.30000000000291</v>
      </c>
      <c r="L3" s="100">
        <f>'Localize Daily Bali Jimbaran'!V8/'Localize Daily Bali Jimbaran'!Q8</f>
        <v>8174.3533329147185</v>
      </c>
      <c r="M3" s="99">
        <f>'Localize Daily Bali Jimbaran'!C8</f>
        <v>42</v>
      </c>
      <c r="N3" s="99">
        <v>125</v>
      </c>
    </row>
    <row r="4" spans="1:14" ht="15">
      <c r="A4" s="96" t="s">
        <v>14</v>
      </c>
      <c r="B4" s="97">
        <v>3</v>
      </c>
      <c r="C4" s="98">
        <v>6</v>
      </c>
      <c r="D4" s="97">
        <v>2018</v>
      </c>
      <c r="E4" s="99">
        <f>'Localize Daily Bali Jimbaran'!P9</f>
        <v>24399.999999999793</v>
      </c>
      <c r="F4" s="100">
        <f>'Localize Daily Bali Jimbaran'!O9/'Localize Daily Bali Jimbaran'!P9</f>
        <v>1183.8456000000006</v>
      </c>
      <c r="G4" s="99">
        <f>'Localize Daily Bali Jimbaran'!AC9</f>
        <v>142.56343999998359</v>
      </c>
      <c r="H4" s="100">
        <f>'Localize Daily Bali Jimbaran'!AD9/'Localize Daily Bali Jimbaran'!AC9</f>
        <v>10509.683312355577</v>
      </c>
      <c r="I4" s="99">
        <f>'Localize Daily Bali Jimbaran'!AH9</f>
        <v>547.25</v>
      </c>
      <c r="J4" s="101">
        <f>'Localize Daily Bali Jimbaran'!AI9/'Localize Daily Bali Jimbaran'!AH9</f>
        <v>9500</v>
      </c>
      <c r="K4" s="99">
        <f>'Localize Daily Bali Jimbaran'!Q9</f>
        <v>754.79999999999563</v>
      </c>
      <c r="L4" s="100">
        <f>'Localize Daily Bali Jimbaran'!V9/'Localize Daily Bali Jimbaran'!Q9</f>
        <v>8118.0255882353131</v>
      </c>
      <c r="M4" s="99">
        <f>'Localize Daily Bali Jimbaran'!C9</f>
        <v>50</v>
      </c>
      <c r="N4" s="99">
        <v>144</v>
      </c>
    </row>
    <row r="5" spans="1:14" ht="15">
      <c r="A5" s="96" t="s">
        <v>14</v>
      </c>
      <c r="B5" s="97">
        <v>4</v>
      </c>
      <c r="C5" s="98">
        <v>6</v>
      </c>
      <c r="D5" s="97">
        <v>2018</v>
      </c>
      <c r="E5" s="99">
        <f>'Localize Daily Bali Jimbaran'!P10</f>
        <v>24939.999999999942</v>
      </c>
      <c r="F5" s="100">
        <f>'Localize Daily Bali Jimbaran'!O10/'Localize Daily Bali Jimbaran'!P10</f>
        <v>1183.9413933440248</v>
      </c>
      <c r="G5" s="99">
        <f>'Localize Daily Bali Jimbaran'!AC10</f>
        <v>89.784120000003512</v>
      </c>
      <c r="H5" s="100">
        <f>'Localize Daily Bali Jimbaran'!AD10/'Localize Daily Bali Jimbaran'!AC10</f>
        <v>10153</v>
      </c>
      <c r="I5" s="99">
        <f>'Localize Daily Bali Jimbaran'!AH10</f>
        <v>481.29999999999927</v>
      </c>
      <c r="J5" s="101">
        <f>'Localize Daily Bali Jimbaran'!AI10/'Localize Daily Bali Jimbaran'!AH10</f>
        <v>9500</v>
      </c>
      <c r="K5" s="99">
        <f>'Localize Daily Bali Jimbaran'!Q10</f>
        <v>798.70000000000437</v>
      </c>
      <c r="L5" s="100">
        <f>'Localize Daily Bali Jimbaran'!V10/'Localize Daily Bali Jimbaran'!Q10</f>
        <v>8164.0137611117889</v>
      </c>
      <c r="M5" s="99">
        <f>'Localize Daily Bali Jimbaran'!C10</f>
        <v>51</v>
      </c>
      <c r="N5" s="99">
        <v>139</v>
      </c>
    </row>
    <row r="6" spans="1:14" ht="15">
      <c r="A6" s="96" t="s">
        <v>14</v>
      </c>
      <c r="B6" s="97">
        <v>5</v>
      </c>
      <c r="C6" s="98">
        <v>6</v>
      </c>
      <c r="D6" s="97">
        <v>2018</v>
      </c>
      <c r="E6" s="99">
        <f>'Localize Daily Bali Jimbaran'!P11</f>
        <v>24419.999999999418</v>
      </c>
      <c r="F6" s="100">
        <f>'Localize Daily Bali Jimbaran'!O11/'Localize Daily Bali Jimbaran'!P11</f>
        <v>1187.3296289926311</v>
      </c>
      <c r="G6" s="99">
        <f>'Localize Daily Bali Jimbaran'!AC11</f>
        <v>98.15891999999765</v>
      </c>
      <c r="H6" s="100">
        <f>'Localize Daily Bali Jimbaran'!AD11/'Localize Daily Bali Jimbaran'!AC11</f>
        <v>10332.953080168369</v>
      </c>
      <c r="I6" s="99">
        <f>'Localize Daily Bali Jimbaran'!AH11</f>
        <v>403.45999999999913</v>
      </c>
      <c r="J6" s="101">
        <f>'Localize Daily Bali Jimbaran'!AI11/'Localize Daily Bali Jimbaran'!AH11</f>
        <v>9500</v>
      </c>
      <c r="K6" s="99">
        <f>'Localize Daily Bali Jimbaran'!Q11</f>
        <v>746.59999999999854</v>
      </c>
      <c r="L6" s="100">
        <f>'Localize Daily Bali Jimbaran'!V11/'Localize Daily Bali Jimbaran'!Q11</f>
        <v>8917.5620653629885</v>
      </c>
      <c r="M6" s="99">
        <f>'Localize Daily Bali Jimbaran'!C11</f>
        <v>42</v>
      </c>
      <c r="N6" s="99">
        <v>119</v>
      </c>
    </row>
    <row r="7" spans="1:14" ht="15">
      <c r="A7" s="96" t="s">
        <v>14</v>
      </c>
      <c r="B7" s="97">
        <v>6</v>
      </c>
      <c r="C7" s="98">
        <v>6</v>
      </c>
      <c r="D7" s="97">
        <v>2018</v>
      </c>
      <c r="E7" s="99">
        <f>'Localize Daily Bali Jimbaran'!P12</f>
        <v>24440.000000000011</v>
      </c>
      <c r="F7" s="100">
        <f>'Localize Daily Bali Jimbaran'!O12/'Localize Daily Bali Jimbaran'!P12</f>
        <v>1184.5780188216031</v>
      </c>
      <c r="G7" s="99">
        <f>'Localize Daily Bali Jimbaran'!AC12</f>
        <v>485.43387999999646</v>
      </c>
      <c r="H7" s="100">
        <f>'Localize Daily Bali Jimbaran'!AD12/'Localize Daily Bali Jimbaran'!AC12</f>
        <v>10991.013201715552</v>
      </c>
      <c r="I7" s="99">
        <f>'Localize Daily Bali Jimbaran'!AH12</f>
        <v>601.03000000000247</v>
      </c>
      <c r="J7" s="101">
        <f>'Localize Daily Bali Jimbaran'!AI12/'Localize Daily Bali Jimbaran'!AH12</f>
        <v>9500</v>
      </c>
      <c r="K7" s="99">
        <f>'Localize Daily Bali Jimbaran'!Q12</f>
        <v>604.09999999999854</v>
      </c>
      <c r="L7" s="100">
        <f>'Localize Daily Bali Jimbaran'!V12/'Localize Daily Bali Jimbaran'!Q12</f>
        <v>9685.4338073166819</v>
      </c>
      <c r="M7" s="99">
        <f>'Localize Daily Bali Jimbaran'!C12</f>
        <v>47</v>
      </c>
      <c r="N7" s="99">
        <v>134</v>
      </c>
    </row>
    <row r="8" spans="1:14" ht="15">
      <c r="A8" s="96" t="s">
        <v>14</v>
      </c>
      <c r="B8" s="97">
        <v>7</v>
      </c>
      <c r="C8" s="98">
        <v>6</v>
      </c>
      <c r="D8" s="97">
        <v>2018</v>
      </c>
      <c r="E8" s="99">
        <f>'Localize Daily Bali Jimbaran'!P13</f>
        <v>25780.000000000455</v>
      </c>
      <c r="F8" s="100">
        <f>'Localize Daily Bali Jimbaran'!O13/'Localize Daily Bali Jimbaran'!P13</f>
        <v>1179.5356570985241</v>
      </c>
      <c r="G8" s="99">
        <f>'Localize Daily Bali Jimbaran'!AC13</f>
        <v>340.63</v>
      </c>
      <c r="H8" s="100">
        <f>'Localize Daily Bali Jimbaran'!AD13/'Localize Daily Bali Jimbaran'!AC13</f>
        <v>10899.411061855972</v>
      </c>
      <c r="I8" s="99">
        <f>'Localize Daily Bali Jimbaran'!AH13</f>
        <v>811.95000000000209</v>
      </c>
      <c r="J8" s="101">
        <f>'Localize Daily Bali Jimbaran'!AI13/'Localize Daily Bali Jimbaran'!AH13</f>
        <v>9500</v>
      </c>
      <c r="K8" s="99">
        <f>'Localize Daily Bali Jimbaran'!Q13</f>
        <v>734.5</v>
      </c>
      <c r="L8" s="100">
        <f>'Localize Daily Bali Jimbaran'!V13/'Localize Daily Bali Jimbaran'!Q13</f>
        <v>8445.8472906739298</v>
      </c>
      <c r="M8" s="99">
        <f>'Localize Daily Bali Jimbaran'!C13</f>
        <v>48</v>
      </c>
      <c r="N8" s="99">
        <v>120</v>
      </c>
    </row>
    <row r="9" spans="1:14" ht="15">
      <c r="A9" s="96" t="s">
        <v>14</v>
      </c>
      <c r="B9" s="97">
        <v>8</v>
      </c>
      <c r="C9" s="98">
        <v>6</v>
      </c>
      <c r="D9" s="97">
        <v>2018</v>
      </c>
      <c r="E9" s="99">
        <f>'Localize Daily Bali Jimbaran'!P14</f>
        <v>23800.000000000382</v>
      </c>
      <c r="F9" s="100">
        <f>'Localize Daily Bali Jimbaran'!O14/'Localize Daily Bali Jimbaran'!P14</f>
        <v>1186.729702941175</v>
      </c>
      <c r="G9" s="99">
        <f>'Localize Daily Bali Jimbaran'!AC14</f>
        <v>109.03108000000233</v>
      </c>
      <c r="H9" s="100">
        <f>'Localize Daily Bali Jimbaran'!AD14/'Localize Daily Bali Jimbaran'!AC14</f>
        <v>10477.017702108418</v>
      </c>
      <c r="I9" s="99">
        <f>'Localize Daily Bali Jimbaran'!AH14</f>
        <v>680.54999999999927</v>
      </c>
      <c r="J9" s="101">
        <f>'Localize Daily Bali Jimbaran'!AI14/'Localize Daily Bali Jimbaran'!AH14</f>
        <v>9500</v>
      </c>
      <c r="K9" s="99">
        <f>'Localize Daily Bali Jimbaran'!Q14</f>
        <v>661.19999999999709</v>
      </c>
      <c r="L9" s="100">
        <f>'Localize Daily Bali Jimbaran'!V14/'Localize Daily Bali Jimbaran'!Q14</f>
        <v>8797.3444736842284</v>
      </c>
      <c r="M9" s="99">
        <f>'Localize Daily Bali Jimbaran'!C14</f>
        <v>47</v>
      </c>
      <c r="N9" s="99">
        <v>116</v>
      </c>
    </row>
    <row r="10" spans="1:14" ht="15">
      <c r="A10" s="96" t="s">
        <v>14</v>
      </c>
      <c r="B10" s="97">
        <v>9</v>
      </c>
      <c r="C10" s="98">
        <v>6</v>
      </c>
      <c r="D10" s="97">
        <v>2018</v>
      </c>
      <c r="E10" s="99">
        <f>'Localize Daily Bali Jimbaran'!P15</f>
        <v>24439.999999999724</v>
      </c>
      <c r="F10" s="100">
        <f>'Localize Daily Bali Jimbaran'!O15/'Localize Daily Bali Jimbaran'!P15</f>
        <v>1183.2430323240644</v>
      </c>
      <c r="G10" s="99">
        <f>'Localize Daily Bali Jimbaran'!AC15</f>
        <v>155.04680000002344</v>
      </c>
      <c r="H10" s="100">
        <f>'Localize Daily Bali Jimbaran'!AD15/'Localize Daily Bali Jimbaran'!AC15</f>
        <v>10594.892383460927</v>
      </c>
      <c r="I10" s="99">
        <f>'Localize Daily Bali Jimbaran'!AH15</f>
        <v>477.29999999999927</v>
      </c>
      <c r="J10" s="101">
        <f>'Localize Daily Bali Jimbaran'!AI15/'Localize Daily Bali Jimbaran'!AH15</f>
        <v>9500</v>
      </c>
      <c r="K10" s="99">
        <f>'Localize Daily Bali Jimbaran'!Q15</f>
        <v>580.80000000000291</v>
      </c>
      <c r="L10" s="100">
        <f>'Localize Daily Bali Jimbaran'!V15/'Localize Daily Bali Jimbaran'!Q15</f>
        <v>9542.2355268594802</v>
      </c>
      <c r="M10" s="99">
        <f>'Localize Daily Bali Jimbaran'!C15</f>
        <v>55</v>
      </c>
      <c r="N10" s="99">
        <v>146</v>
      </c>
    </row>
    <row r="11" spans="1:14" ht="15">
      <c r="A11" s="96" t="s">
        <v>14</v>
      </c>
      <c r="B11" s="97">
        <v>10</v>
      </c>
      <c r="C11" s="98">
        <v>6</v>
      </c>
      <c r="D11" s="97">
        <v>2018</v>
      </c>
      <c r="E11" s="99">
        <f>'Localize Daily Bali Jimbaran'!P16</f>
        <v>24840.000000000375</v>
      </c>
      <c r="F11" s="100">
        <f>'Localize Daily Bali Jimbaran'!O16/'Localize Daily Bali Jimbaran'!P16</f>
        <v>1183.4537065217376</v>
      </c>
      <c r="G11" s="99">
        <f>'Localize Daily Bali Jimbaran'!AC16</f>
        <v>106.08719999997655</v>
      </c>
      <c r="H11" s="100">
        <f>'Localize Daily Bali Jimbaran'!AD16/'Localize Daily Bali Jimbaran'!AC16</f>
        <v>10652.513607673798</v>
      </c>
      <c r="I11" s="99">
        <f>'Localize Daily Bali Jimbaran'!AH16</f>
        <v>668.40000000000146</v>
      </c>
      <c r="J11" s="101">
        <f>'Localize Daily Bali Jimbaran'!AI16/'Localize Daily Bali Jimbaran'!AH16</f>
        <v>9500</v>
      </c>
      <c r="K11" s="99">
        <f>'Localize Daily Bali Jimbaran'!Q16</f>
        <v>614</v>
      </c>
      <c r="L11" s="100">
        <f>'Localize Daily Bali Jimbaran'!V16/'Localize Daily Bali Jimbaran'!Q16</f>
        <v>9928.9621661237779</v>
      </c>
      <c r="M11" s="99">
        <f>'Localize Daily Bali Jimbaran'!C16</f>
        <v>44</v>
      </c>
      <c r="N11" s="99">
        <v>115</v>
      </c>
    </row>
    <row r="12" spans="1:14" ht="15">
      <c r="A12" s="96" t="s">
        <v>14</v>
      </c>
      <c r="B12" s="97">
        <v>11</v>
      </c>
      <c r="C12" s="98">
        <v>6</v>
      </c>
      <c r="D12" s="97">
        <v>2018</v>
      </c>
      <c r="E12" s="99">
        <f>'Localize Daily Bali Jimbaran'!P17</f>
        <v>24919.999999999363</v>
      </c>
      <c r="F12" s="100">
        <f>'Localize Daily Bali Jimbaran'!O17/'Localize Daily Bali Jimbaran'!P17</f>
        <v>1180.5273455056195</v>
      </c>
      <c r="G12" s="99">
        <f>'Localize Daily Bali Jimbaran'!AC17</f>
        <v>486.92080000002341</v>
      </c>
      <c r="H12" s="100">
        <f>'Localize Daily Bali Jimbaran'!AD17/'Localize Daily Bali Jimbaran'!AC17</f>
        <v>11024.731090559244</v>
      </c>
      <c r="I12" s="99">
        <f>'Localize Daily Bali Jimbaran'!AH17</f>
        <v>664.7099999999964</v>
      </c>
      <c r="J12" s="101">
        <f>'Localize Daily Bali Jimbaran'!AI17/'Localize Daily Bali Jimbaran'!AH17</f>
        <v>9500</v>
      </c>
      <c r="K12" s="99">
        <f>'Localize Daily Bali Jimbaran'!Q17</f>
        <v>625</v>
      </c>
      <c r="L12" s="100">
        <f>'Localize Daily Bali Jimbaran'!V17/'Localize Daily Bali Jimbaran'!Q17</f>
        <v>9032.7263999999996</v>
      </c>
      <c r="M12" s="99">
        <f>'Localize Daily Bali Jimbaran'!C17</f>
        <v>38</v>
      </c>
      <c r="N12" s="99">
        <v>128</v>
      </c>
    </row>
    <row r="13" spans="1:14" ht="15">
      <c r="A13" s="96" t="s">
        <v>14</v>
      </c>
      <c r="B13" s="97">
        <v>12</v>
      </c>
      <c r="C13" s="98">
        <v>6</v>
      </c>
      <c r="D13" s="97">
        <v>2018</v>
      </c>
      <c r="E13" s="99">
        <f>'Localize Daily Bali Jimbaran'!P18</f>
        <v>23320.000000000447</v>
      </c>
      <c r="F13" s="100">
        <f>'Localize Daily Bali Jimbaran'!O18/'Localize Daily Bali Jimbaran'!P18</f>
        <v>1185.9725415951948</v>
      </c>
      <c r="G13" s="99">
        <f>'Localize Daily Bali Jimbaran'!AC18</f>
        <v>355.85239999998242</v>
      </c>
      <c r="H13" s="100">
        <f>'Localize Daily Bali Jimbaran'!AD18/'Localize Daily Bali Jimbaran'!AC18</f>
        <v>10917.120180164622</v>
      </c>
      <c r="I13" s="99">
        <f>'Localize Daily Bali Jimbaran'!AH18</f>
        <v>395.62000000000035</v>
      </c>
      <c r="J13" s="101">
        <f>'Localize Daily Bali Jimbaran'!AI18/'Localize Daily Bali Jimbaran'!AH18</f>
        <v>9500</v>
      </c>
      <c r="K13" s="99">
        <f>'Localize Daily Bali Jimbaran'!Q18</f>
        <v>756</v>
      </c>
      <c r="L13" s="100">
        <f>'Localize Daily Bali Jimbaran'!V18/'Localize Daily Bali Jimbaran'!Q18</f>
        <v>8707.9567857142865</v>
      </c>
      <c r="M13" s="99">
        <f>'Localize Daily Bali Jimbaran'!C18</f>
        <v>37</v>
      </c>
      <c r="N13" s="99">
        <v>119</v>
      </c>
    </row>
    <row r="14" spans="1:14" ht="15">
      <c r="A14" s="96" t="s">
        <v>14</v>
      </c>
      <c r="B14" s="97">
        <v>13</v>
      </c>
      <c r="C14" s="98">
        <v>6</v>
      </c>
      <c r="D14" s="97">
        <v>2018</v>
      </c>
      <c r="E14" s="99">
        <f>'Localize Daily Bali Jimbaran'!P19</f>
        <v>23220.000000000109</v>
      </c>
      <c r="F14" s="100">
        <f>'Localize Daily Bali Jimbaran'!O19/'Localize Daily Bali Jimbaran'!P19</f>
        <v>1182.6493217054265</v>
      </c>
      <c r="G14" s="99">
        <f>'Localize Daily Bali Jimbaran'!AC19</f>
        <v>77.055640000018755</v>
      </c>
      <c r="H14" s="100">
        <f>'Localize Daily Bali Jimbaran'!AD19/'Localize Daily Bali Jimbaran'!AC19</f>
        <v>10153</v>
      </c>
      <c r="I14" s="99">
        <f>'Localize Daily Bali Jimbaran'!AH19</f>
        <v>512.81999999999971</v>
      </c>
      <c r="J14" s="101">
        <f>'Localize Daily Bali Jimbaran'!AI19/'Localize Daily Bali Jimbaran'!AH19</f>
        <v>9500</v>
      </c>
      <c r="K14" s="99">
        <f>'Localize Daily Bali Jimbaran'!Q19</f>
        <v>749</v>
      </c>
      <c r="L14" s="100">
        <f>'Localize Daily Bali Jimbaran'!V19/'Localize Daily Bali Jimbaran'!Q19</f>
        <v>8974.845220293726</v>
      </c>
      <c r="M14" s="99">
        <f>'Localize Daily Bali Jimbaran'!C19</f>
        <v>35</v>
      </c>
      <c r="N14" s="99">
        <v>102</v>
      </c>
    </row>
    <row r="15" spans="1:14" ht="15">
      <c r="A15" s="96" t="s">
        <v>14</v>
      </c>
      <c r="B15" s="97">
        <v>14</v>
      </c>
      <c r="C15" s="98">
        <v>6</v>
      </c>
      <c r="D15" s="97">
        <v>2018</v>
      </c>
      <c r="E15" s="99">
        <f>'Localize Daily Bali Jimbaran'!P20</f>
        <v>24160.00000000008</v>
      </c>
      <c r="F15" s="100">
        <f>'Localize Daily Bali Jimbaran'!O20/'Localize Daily Bali Jimbaran'!P20</f>
        <v>1179.400157284769</v>
      </c>
      <c r="G15" s="99">
        <f>'Localize Daily Bali Jimbaran'!AC20</f>
        <v>122.04151999998592</v>
      </c>
      <c r="H15" s="100">
        <f>'Localize Daily Bali Jimbaran'!AD20/'Localize Daily Bali Jimbaran'!AC20</f>
        <v>10442.475253995559</v>
      </c>
      <c r="I15" s="99">
        <f>'Localize Daily Bali Jimbaran'!AH20</f>
        <v>736.54999999999927</v>
      </c>
      <c r="J15" s="101">
        <f>'Localize Daily Bali Jimbaran'!AI20/'Localize Daily Bali Jimbaran'!AH20</f>
        <v>9500</v>
      </c>
      <c r="K15" s="99">
        <f>'Localize Daily Bali Jimbaran'!Q20</f>
        <v>556</v>
      </c>
      <c r="L15" s="100">
        <f>'Localize Daily Bali Jimbaran'!V20/'Localize Daily Bali Jimbaran'!Q20</f>
        <v>9328.2011330935256</v>
      </c>
      <c r="M15" s="99">
        <f>'Localize Daily Bali Jimbaran'!C20</f>
        <v>39</v>
      </c>
      <c r="N15" s="99">
        <v>118</v>
      </c>
    </row>
    <row r="16" spans="1:14" ht="15">
      <c r="A16" s="96" t="s">
        <v>14</v>
      </c>
      <c r="B16" s="97">
        <v>15</v>
      </c>
      <c r="C16" s="98">
        <v>6</v>
      </c>
      <c r="D16" s="97">
        <v>2018</v>
      </c>
      <c r="E16" s="99">
        <f>'Localize Daily Bali Jimbaran'!P21</f>
        <v>24539.999999999876</v>
      </c>
      <c r="F16" s="100">
        <f>'Localize Daily Bali Jimbaran'!O21/'Localize Daily Bali Jimbaran'!P21</f>
        <v>1182.8531625916871</v>
      </c>
      <c r="G16" s="99">
        <f>'Localize Daily Bali Jimbaran'!AC21</f>
        <v>163.82783999999532</v>
      </c>
      <c r="H16" s="100">
        <f>'Localize Daily Bali Jimbaran'!AD21/'Localize Daily Bali Jimbaran'!AC21</f>
        <v>10571.207308354928</v>
      </c>
      <c r="I16" s="99">
        <f>'Localize Daily Bali Jimbaran'!AH21</f>
        <v>579.68000000000029</v>
      </c>
      <c r="J16" s="101">
        <f>'Localize Daily Bali Jimbaran'!AI21/'Localize Daily Bali Jimbaran'!AH21</f>
        <v>9500</v>
      </c>
      <c r="K16" s="99">
        <f>'Localize Daily Bali Jimbaran'!Q21</f>
        <v>761</v>
      </c>
      <c r="L16" s="100">
        <f>'Localize Daily Bali Jimbaran'!V21/'Localize Daily Bali Jimbaran'!Q21</f>
        <v>8403.5407095926421</v>
      </c>
      <c r="M16" s="99">
        <f>'Localize Daily Bali Jimbaran'!C21</f>
        <v>44</v>
      </c>
      <c r="N16" s="99">
        <v>141</v>
      </c>
    </row>
    <row r="17" spans="1:14" ht="15">
      <c r="A17" s="96" t="s">
        <v>14</v>
      </c>
      <c r="B17" s="97">
        <v>16</v>
      </c>
      <c r="C17" s="98">
        <v>6</v>
      </c>
      <c r="D17" s="97">
        <v>2018</v>
      </c>
      <c r="E17" s="99">
        <f>'Localize Daily Bali Jimbaran'!P22</f>
        <v>23939.999999999345</v>
      </c>
      <c r="F17" s="100">
        <f>'Localize Daily Bali Jimbaran'!O22/'Localize Daily Bali Jimbaran'!P22</f>
        <v>1186.6041052631604</v>
      </c>
      <c r="G17" s="99">
        <f>'Localize Daily Bali Jimbaran'!AC22</f>
        <v>520.83656000001633</v>
      </c>
      <c r="H17" s="100">
        <f>'Localize Daily Bali Jimbaran'!AD22/'Localize Daily Bali Jimbaran'!AC22</f>
        <v>10967.96583112366</v>
      </c>
      <c r="I17" s="99">
        <f>'Localize Daily Bali Jimbaran'!AH22</f>
        <v>585.62000000000216</v>
      </c>
      <c r="J17" s="101">
        <f>'Localize Daily Bali Jimbaran'!AI22/'Localize Daily Bali Jimbaran'!AH22</f>
        <v>9500</v>
      </c>
      <c r="K17" s="99">
        <f>'Localize Daily Bali Jimbaran'!Q22</f>
        <v>709</v>
      </c>
      <c r="L17" s="100">
        <f>'Localize Daily Bali Jimbaran'!V22/'Localize Daily Bali Jimbaran'!Q22</f>
        <v>8803.4039069111441</v>
      </c>
      <c r="M17" s="99">
        <f>'Localize Daily Bali Jimbaran'!C22</f>
        <v>47</v>
      </c>
      <c r="N17" s="99">
        <v>159</v>
      </c>
    </row>
    <row r="18" spans="1:14" ht="15">
      <c r="A18" s="96" t="s">
        <v>14</v>
      </c>
      <c r="B18" s="97">
        <v>17</v>
      </c>
      <c r="C18" s="98">
        <v>6</v>
      </c>
      <c r="D18" s="97">
        <v>2018</v>
      </c>
      <c r="E18" s="99">
        <f>'Localize Daily Bali Jimbaran'!P23</f>
        <v>25960.00000000052</v>
      </c>
      <c r="F18" s="100">
        <f>'Localize Daily Bali Jimbaran'!O23/'Localize Daily Bali Jimbaran'!P23</f>
        <v>1181.4116255778085</v>
      </c>
      <c r="G18" s="99">
        <f>'Localize Daily Bali Jimbaran'!AC23</f>
        <v>384.68943999998356</v>
      </c>
      <c r="H18" s="100">
        <f>'Localize Daily Bali Jimbaran'!AD23/'Localize Daily Bali Jimbaran'!AC23</f>
        <v>10905.757860990447</v>
      </c>
      <c r="I18" s="99">
        <f>'Localize Daily Bali Jimbaran'!AH23</f>
        <v>472.45000000000073</v>
      </c>
      <c r="J18" s="101">
        <f>'Localize Daily Bali Jimbaran'!AI23/'Localize Daily Bali Jimbaran'!AH23</f>
        <v>9500</v>
      </c>
      <c r="K18" s="99">
        <f>'Localize Daily Bali Jimbaran'!Q23</f>
        <v>630.90000000000146</v>
      </c>
      <c r="L18" s="100">
        <f>'Localize Daily Bali Jimbaran'!V23/'Localize Daily Bali Jimbaran'!Q23</f>
        <v>8761.7324251069804</v>
      </c>
      <c r="M18" s="99">
        <f>'Localize Daily Bali Jimbaran'!C23</f>
        <v>48</v>
      </c>
      <c r="N18" s="99">
        <v>155</v>
      </c>
    </row>
    <row r="19" spans="1:14" ht="15">
      <c r="A19" s="96" t="s">
        <v>14</v>
      </c>
      <c r="B19" s="97">
        <v>18</v>
      </c>
      <c r="C19" s="98">
        <v>6</v>
      </c>
      <c r="D19" s="97">
        <v>2018</v>
      </c>
      <c r="E19" s="99">
        <f>'Localize Daily Bali Jimbaran'!P24</f>
        <v>25979.999999999876</v>
      </c>
      <c r="F19" s="100">
        <f>'Localize Daily Bali Jimbaran'!O24/'Localize Daily Bali Jimbaran'!P24</f>
        <v>1179.2462944572746</v>
      </c>
      <c r="G19" s="99">
        <f>'Localize Daily Bali Jimbaran'!AC24</f>
        <v>150.23408000000234</v>
      </c>
      <c r="H19" s="100">
        <f>'Localize Daily Bali Jimbaran'!AD24/'Localize Daily Bali Jimbaran'!AC24</f>
        <v>10505.729553773679</v>
      </c>
      <c r="I19" s="99">
        <f>'Localize Daily Bali Jimbaran'!AH24</f>
        <v>549.25</v>
      </c>
      <c r="J19" s="101">
        <f>'Localize Daily Bali Jimbaran'!AI24/'Localize Daily Bali Jimbaran'!AH24</f>
        <v>9500</v>
      </c>
      <c r="K19" s="99">
        <f>'Localize Daily Bali Jimbaran'!Q24</f>
        <v>656.40000000000146</v>
      </c>
      <c r="L19" s="100">
        <f>'Localize Daily Bali Jimbaran'!V24/'Localize Daily Bali Jimbaran'!Q24</f>
        <v>8464.0801371115085</v>
      </c>
      <c r="M19" s="99">
        <f>'Localize Daily Bali Jimbaran'!C24</f>
        <v>49</v>
      </c>
      <c r="N19" s="99">
        <v>144</v>
      </c>
    </row>
    <row r="20" spans="1:14" ht="15">
      <c r="A20" s="96" t="s">
        <v>14</v>
      </c>
      <c r="B20" s="97">
        <v>19</v>
      </c>
      <c r="C20" s="98">
        <v>6</v>
      </c>
      <c r="D20" s="97">
        <v>2018</v>
      </c>
      <c r="E20" s="99">
        <f>'Localize Daily Bali Jimbaran'!P25</f>
        <v>22100.000000000338</v>
      </c>
      <c r="F20" s="100">
        <f>'Localize Daily Bali Jimbaran'!O25/'Localize Daily Bali Jimbaran'!P25</f>
        <v>1188.9442099547489</v>
      </c>
      <c r="G20" s="99">
        <f>'Localize Daily Bali Jimbaran'!AC25</f>
        <v>132.63860000001756</v>
      </c>
      <c r="H20" s="100">
        <f>'Localize Daily Bali Jimbaran'!AD25/'Localize Daily Bali Jimbaran'!AC25</f>
        <v>10286.173902619583</v>
      </c>
      <c r="I20" s="99">
        <f>'Localize Daily Bali Jimbaran'!AH25</f>
        <v>521.15000000000146</v>
      </c>
      <c r="J20" s="101">
        <f>'Localize Daily Bali Jimbaran'!AI25/'Localize Daily Bali Jimbaran'!AH25</f>
        <v>9500</v>
      </c>
      <c r="K20" s="99">
        <f>'Localize Daily Bali Jimbaran'!Q25</f>
        <v>861.89999999999418</v>
      </c>
      <c r="L20" s="100">
        <f>'Localize Daily Bali Jimbaran'!V25/'Localize Daily Bali Jimbaran'!Q25</f>
        <v>8357.8330630003748</v>
      </c>
      <c r="M20" s="99">
        <f>'Localize Daily Bali Jimbaran'!C25</f>
        <v>49</v>
      </c>
      <c r="N20" s="99">
        <v>147</v>
      </c>
    </row>
    <row r="21" spans="1:14" ht="15">
      <c r="A21" s="96" t="s">
        <v>14</v>
      </c>
      <c r="B21" s="97">
        <v>20</v>
      </c>
      <c r="C21" s="98">
        <v>6</v>
      </c>
      <c r="D21" s="97">
        <v>2018</v>
      </c>
      <c r="E21" s="99">
        <f>'Localize Daily Bali Jimbaran'!P26</f>
        <v>23319.999999999851</v>
      </c>
      <c r="F21" s="100">
        <f>'Localize Daily Bali Jimbaran'!O26/'Localize Daily Bali Jimbaran'!P26</f>
        <v>1184.5734391080623</v>
      </c>
      <c r="G21" s="99">
        <f>'Localize Daily Bali Jimbaran'!AC26</f>
        <v>528.0466799999906</v>
      </c>
      <c r="H21" s="100">
        <f>'Localize Daily Bali Jimbaran'!AD26/'Localize Daily Bali Jimbaran'!AC26</f>
        <v>10956.838024320137</v>
      </c>
      <c r="I21" s="99">
        <f>'Localize Daily Bali Jimbaran'!AH26</f>
        <v>599.94999999999709</v>
      </c>
      <c r="J21" s="101">
        <f>'Localize Daily Bali Jimbaran'!AI26/'Localize Daily Bali Jimbaran'!AH26</f>
        <v>9500</v>
      </c>
      <c r="K21" s="99">
        <f>'Localize Daily Bali Jimbaran'!Q26</f>
        <v>584</v>
      </c>
      <c r="L21" s="100">
        <f>'Localize Daily Bali Jimbaran'!V26/'Localize Daily Bali Jimbaran'!Q26</f>
        <v>9153.2352226027397</v>
      </c>
      <c r="M21" s="99">
        <f>'Localize Daily Bali Jimbaran'!C26</f>
        <v>60</v>
      </c>
      <c r="N21" s="99">
        <v>179</v>
      </c>
    </row>
    <row r="22" spans="1:14" ht="15">
      <c r="A22" s="96" t="s">
        <v>14</v>
      </c>
      <c r="B22" s="97">
        <v>21</v>
      </c>
      <c r="C22" s="98">
        <v>6</v>
      </c>
      <c r="D22" s="97">
        <v>2018</v>
      </c>
      <c r="E22" s="99">
        <f>'Localize Daily Bali Jimbaran'!P27</f>
        <v>24379.999999999909</v>
      </c>
      <c r="F22" s="100">
        <f>'Localize Daily Bali Jimbaran'!O27/'Localize Daily Bali Jimbaran'!P27</f>
        <v>1180.8019454470877</v>
      </c>
      <c r="G22" s="99">
        <f>'Localize Daily Bali Jimbaran'!AC27</f>
        <v>158.0309599999988</v>
      </c>
      <c r="H22" s="100">
        <f>'Localize Daily Bali Jimbaran'!AD27/'Localize Daily Bali Jimbaran'!AC27</f>
        <v>10474.772391941431</v>
      </c>
      <c r="I22" s="99">
        <f>'Localize Daily Bali Jimbaran'!AH27</f>
        <v>684.89999999999918</v>
      </c>
      <c r="J22" s="101">
        <f>'Localize Daily Bali Jimbaran'!AI27/'Localize Daily Bali Jimbaran'!AH27</f>
        <v>9500</v>
      </c>
      <c r="K22" s="99">
        <f>'Localize Daily Bali Jimbaran'!Q27</f>
        <v>1340.8000000000029</v>
      </c>
      <c r="L22" s="100">
        <f>'Localize Daily Bali Jimbaran'!V27/'Localize Daily Bali Jimbaran'!Q27</f>
        <v>7043.5429922434314</v>
      </c>
      <c r="M22" s="99">
        <f>'Localize Daily Bali Jimbaran'!C27</f>
        <v>67</v>
      </c>
      <c r="N22" s="99">
        <v>196</v>
      </c>
    </row>
    <row r="23" spans="1:14" ht="15">
      <c r="A23" s="96" t="s">
        <v>14</v>
      </c>
      <c r="B23" s="97">
        <v>22</v>
      </c>
      <c r="C23" s="98">
        <v>6</v>
      </c>
      <c r="D23" s="97">
        <v>2018</v>
      </c>
      <c r="E23" s="99">
        <f>'Localize Daily Bali Jimbaran'!P28</f>
        <v>24319.99999999988</v>
      </c>
      <c r="F23" s="100">
        <f>'Localize Daily Bali Jimbaran'!O28/'Localize Daily Bali Jimbaran'!P28</f>
        <v>1181.479152138158</v>
      </c>
      <c r="G23" s="99">
        <f>'Localize Daily Bali Jimbaran'!AC28</f>
        <v>379.09395999999879</v>
      </c>
      <c r="H23" s="100">
        <f>'Localize Daily Bali Jimbaran'!AD28/'Localize Daily Bali Jimbaran'!AC28</f>
        <v>10870.273364102137</v>
      </c>
      <c r="I23" s="99">
        <f>'Localize Daily Bali Jimbaran'!AH28</f>
        <v>501.13000000000102</v>
      </c>
      <c r="J23" s="101">
        <f>'Localize Daily Bali Jimbaran'!AI28/'Localize Daily Bali Jimbaran'!AH28</f>
        <v>9500</v>
      </c>
      <c r="K23" s="99">
        <f>'Localize Daily Bali Jimbaran'!Q28</f>
        <v>590</v>
      </c>
      <c r="L23" s="100">
        <f>'Localize Daily Bali Jimbaran'!V28/'Localize Daily Bali Jimbaran'!Q28</f>
        <v>9377.5100847457634</v>
      </c>
      <c r="M23" s="99">
        <f>'Localize Daily Bali Jimbaran'!C28</f>
        <v>56</v>
      </c>
      <c r="N23" s="99">
        <v>175</v>
      </c>
    </row>
    <row r="24" spans="1:14" ht="15">
      <c r="A24" s="96" t="s">
        <v>14</v>
      </c>
      <c r="B24" s="97">
        <v>23</v>
      </c>
      <c r="C24" s="98">
        <v>6</v>
      </c>
      <c r="D24" s="97">
        <v>2018</v>
      </c>
      <c r="E24" s="99">
        <f>'Localize Daily Bali Jimbaran'!P29</f>
        <v>23580.000000000298</v>
      </c>
      <c r="F24" s="100">
        <f>'Localize Daily Bali Jimbaran'!O29/'Localize Daily Bali Jimbaran'!P29</f>
        <v>1184.426290076339</v>
      </c>
      <c r="G24" s="99">
        <f>'Localize Daily Bali Jimbaran'!AC29</f>
        <v>125.75071999999179</v>
      </c>
      <c r="H24" s="100">
        <f>'Localize Daily Bali Jimbaran'!AD29/'Localize Daily Bali Jimbaran'!AC29</f>
        <v>10293.468380618426</v>
      </c>
      <c r="I24" s="99">
        <f>'Localize Daily Bali Jimbaran'!AH29</f>
        <v>431.07999999999811</v>
      </c>
      <c r="J24" s="101">
        <f>'Localize Daily Bali Jimbaran'!AI29/'Localize Daily Bali Jimbaran'!AH29</f>
        <v>9500</v>
      </c>
      <c r="K24" s="99">
        <f>'Localize Daily Bali Jimbaran'!Q29</f>
        <v>559.19999999999709</v>
      </c>
      <c r="L24" s="100">
        <f>'Localize Daily Bali Jimbaran'!V29/'Localize Daily Bali Jimbaran'!Q29</f>
        <v>9396.5912124463775</v>
      </c>
      <c r="M24" s="99">
        <f>'Localize Daily Bali Jimbaran'!C29</f>
        <v>51</v>
      </c>
      <c r="N24" s="99">
        <v>165</v>
      </c>
    </row>
    <row r="25" spans="1:14" ht="15">
      <c r="A25" s="96" t="s">
        <v>14</v>
      </c>
      <c r="B25" s="97">
        <v>24</v>
      </c>
      <c r="C25" s="98">
        <v>6</v>
      </c>
      <c r="D25" s="97">
        <v>2018</v>
      </c>
      <c r="E25" s="99">
        <f>'Localize Daily Bali Jimbaran'!P30</f>
        <v>24440.000000000058</v>
      </c>
      <c r="F25" s="100">
        <f>'Localize Daily Bali Jimbaran'!O30/'Localize Daily Bali Jimbaran'!P30</f>
        <v>1183.2430323240576</v>
      </c>
      <c r="G25" s="99">
        <f>'Localize Daily Bali Jimbaran'!AC30</f>
        <v>146.9345600000164</v>
      </c>
      <c r="H25" s="100">
        <f>'Localize Daily Bali Jimbaran'!AD30/'Localize Daily Bali Jimbaran'!AC30</f>
        <v>10393.433564438456</v>
      </c>
      <c r="I25" s="99">
        <f>'Localize Daily Bali Jimbaran'!AH30</f>
        <v>549.7400000000016</v>
      </c>
      <c r="J25" s="101">
        <f>'Localize Daily Bali Jimbaran'!AI30/'Localize Daily Bali Jimbaran'!AH30</f>
        <v>9500</v>
      </c>
      <c r="K25" s="99">
        <f>'Localize Daily Bali Jimbaran'!Q30</f>
        <v>569.40000000000146</v>
      </c>
      <c r="L25" s="100">
        <f>'Localize Daily Bali Jimbaran'!V30/'Localize Daily Bali Jimbaran'!Q30</f>
        <v>9475.7851106427697</v>
      </c>
      <c r="M25" s="99">
        <f>'Localize Daily Bali Jimbaran'!C30</f>
        <v>61</v>
      </c>
      <c r="N25" s="99">
        <v>181</v>
      </c>
    </row>
    <row r="26" spans="1:14" ht="15">
      <c r="A26" s="96" t="s">
        <v>14</v>
      </c>
      <c r="B26" s="97">
        <v>25</v>
      </c>
      <c r="C26" s="98">
        <v>6</v>
      </c>
      <c r="D26" s="97">
        <v>2018</v>
      </c>
      <c r="E26" s="99">
        <f>'Localize Daily Bali Jimbaran'!P31</f>
        <v>23759.99999999948</v>
      </c>
      <c r="F26" s="100">
        <f>'Localize Daily Bali Jimbaran'!O31/'Localize Daily Bali Jimbaran'!P31</f>
        <v>1180.4884053030323</v>
      </c>
      <c r="G26" s="99">
        <f>'Localize Daily Bali Jimbaran'!AC31</f>
        <v>516.12723999997775</v>
      </c>
      <c r="H26" s="100">
        <f>'Localize Daily Bali Jimbaran'!AD31/'Localize Daily Bali Jimbaran'!AC31</f>
        <v>10941.177736947224</v>
      </c>
      <c r="I26" s="99">
        <f>'Localize Daily Bali Jimbaran'!AH31</f>
        <v>720.24999999999955</v>
      </c>
      <c r="J26" s="101">
        <f>'Localize Daily Bali Jimbaran'!AI31/'Localize Daily Bali Jimbaran'!AH31</f>
        <v>9500</v>
      </c>
      <c r="K26" s="99">
        <f>'Localize Daily Bali Jimbaran'!Q31</f>
        <v>546.80000000000291</v>
      </c>
      <c r="L26" s="100">
        <f>'Localize Daily Bali Jimbaran'!V31/'Localize Daily Bali Jimbaran'!Q31</f>
        <v>9478.1319019751027</v>
      </c>
      <c r="M26" s="99">
        <f>'Localize Daily Bali Jimbaran'!C31</f>
        <v>52</v>
      </c>
      <c r="N26" s="99">
        <v>150</v>
      </c>
    </row>
    <row r="27" spans="1:14" ht="15">
      <c r="A27" s="96" t="s">
        <v>14</v>
      </c>
      <c r="B27" s="97">
        <v>26</v>
      </c>
      <c r="C27" s="98">
        <v>6</v>
      </c>
      <c r="D27" s="97">
        <v>2018</v>
      </c>
      <c r="E27" s="99">
        <f>'Localize Daily Bali Jimbaran'!P32</f>
        <v>23240.000000000295</v>
      </c>
      <c r="F27" s="100">
        <f>'Localize Daily Bali Jimbaran'!O32/'Localize Daily Bali Jimbaran'!P32</f>
        <v>1183.5034427710823</v>
      </c>
      <c r="G27" s="99">
        <f>'Localize Daily Bali Jimbaran'!AC32</f>
        <v>118.06068000001991</v>
      </c>
      <c r="H27" s="100">
        <f>'Localize Daily Bali Jimbaran'!AD32/'Localize Daily Bali Jimbaran'!AC32</f>
        <v>10153</v>
      </c>
      <c r="I27" s="99">
        <f>'Localize Daily Bali Jimbaran'!AH32</f>
        <v>457.20000000000073</v>
      </c>
      <c r="J27" s="101">
        <f>'Localize Daily Bali Jimbaran'!AI32/'Localize Daily Bali Jimbaran'!AH32</f>
        <v>9500</v>
      </c>
      <c r="K27" s="99">
        <f>'Localize Daily Bali Jimbaran'!Q32</f>
        <v>749</v>
      </c>
      <c r="L27" s="100">
        <f>'Localize Daily Bali Jimbaran'!V32/'Localize Daily Bali Jimbaran'!Q32</f>
        <v>8868.8098397863814</v>
      </c>
      <c r="M27" s="99">
        <f>'Localize Daily Bali Jimbaran'!C32</f>
        <v>52</v>
      </c>
      <c r="N27" s="99">
        <v>145</v>
      </c>
    </row>
    <row r="28" spans="1:14" ht="15">
      <c r="A28" s="96" t="s">
        <v>14</v>
      </c>
      <c r="B28" s="97">
        <v>27</v>
      </c>
      <c r="C28" s="98">
        <v>6</v>
      </c>
      <c r="D28" s="97">
        <v>2018</v>
      </c>
      <c r="E28" s="99">
        <f>'Localize Daily Bali Jimbaran'!P33</f>
        <v>23039.999999999738</v>
      </c>
      <c r="F28" s="100">
        <f>'Localize Daily Bali Jimbaran'!O33/'Localize Daily Bali Jimbaran'!P33</f>
        <v>1182.9201015625003</v>
      </c>
      <c r="G28" s="99">
        <f>'Localize Daily Bali Jimbaran'!AC33</f>
        <v>413.10279999999415</v>
      </c>
      <c r="H28" s="100">
        <f>'Localize Daily Bali Jimbaran'!AD33/'Localize Daily Bali Jimbaran'!AC33</f>
        <v>10934.316418092552</v>
      </c>
      <c r="I28" s="99">
        <f>'Localize Daily Bali Jimbaran'!AH33</f>
        <v>639.52999999999884</v>
      </c>
      <c r="J28" s="101">
        <f>'Localize Daily Bali Jimbaran'!AI33/'Localize Daily Bali Jimbaran'!AH33</f>
        <v>9500</v>
      </c>
      <c r="K28" s="99">
        <f>'Localize Daily Bali Jimbaran'!Q33</f>
        <v>634.59999999999854</v>
      </c>
      <c r="L28" s="100">
        <f>'Localize Daily Bali Jimbaran'!V33/'Localize Daily Bali Jimbaran'!Q33</f>
        <v>8571.3783138985291</v>
      </c>
      <c r="M28" s="99">
        <f>'Localize Daily Bali Jimbaran'!C33</f>
        <v>55</v>
      </c>
      <c r="N28" s="99">
        <v>156</v>
      </c>
    </row>
    <row r="29" spans="1:14" ht="15">
      <c r="A29" s="96" t="s">
        <v>14</v>
      </c>
      <c r="B29" s="97">
        <v>28</v>
      </c>
      <c r="C29" s="98">
        <v>6</v>
      </c>
      <c r="D29" s="97">
        <v>2018</v>
      </c>
      <c r="E29" s="99">
        <f>'Localize Daily Bali Jimbaran'!P34</f>
        <v>23220</v>
      </c>
      <c r="F29" s="100">
        <f>'Localize Daily Bali Jimbaran'!O34/'Localize Daily Bali Jimbaran'!P34</f>
        <v>1187.3330813953482</v>
      </c>
      <c r="G29" s="99">
        <f>'Localize Daily Bali Jimbaran'!AC34</f>
        <v>112.09579999999413</v>
      </c>
      <c r="H29" s="100">
        <f>'Localize Daily Bali Jimbaran'!AD34/'Localize Daily Bali Jimbaran'!AC34</f>
        <v>10310.579498964285</v>
      </c>
      <c r="I29" s="99">
        <f>'Localize Daily Bali Jimbaran'!AH34</f>
        <v>840.52999999999884</v>
      </c>
      <c r="J29" s="101">
        <f>'Localize Daily Bali Jimbaran'!AI34/'Localize Daily Bali Jimbaran'!AH34</f>
        <v>9500</v>
      </c>
      <c r="K29" s="99">
        <f>'Localize Daily Bali Jimbaran'!Q34</f>
        <v>733.19999999999709</v>
      </c>
      <c r="L29" s="100">
        <f>'Localize Daily Bali Jimbaran'!V34/'Localize Daily Bali Jimbaran'!Q34</f>
        <v>8344.1092144026334</v>
      </c>
      <c r="M29" s="99">
        <f>'Localize Daily Bali Jimbaran'!C34</f>
        <v>56</v>
      </c>
      <c r="N29" s="99">
        <v>170</v>
      </c>
    </row>
    <row r="30" spans="1:14" ht="15">
      <c r="A30" s="96" t="s">
        <v>14</v>
      </c>
      <c r="B30" s="97">
        <v>29</v>
      </c>
      <c r="C30" s="98">
        <v>6</v>
      </c>
      <c r="D30" s="97">
        <v>2018</v>
      </c>
      <c r="E30" s="99">
        <f>'Localize Daily Bali Jimbaran'!P35</f>
        <v>24079.99999999984</v>
      </c>
      <c r="F30" s="100">
        <f>'Localize Daily Bali Jimbaran'!O35/'Localize Daily Bali Jimbaran'!P35</f>
        <v>1184.2217267441868</v>
      </c>
      <c r="G30" s="99">
        <f>'Localize Daily Bali Jimbaran'!AC35</f>
        <v>122.53175999999296</v>
      </c>
      <c r="H30" s="100">
        <f>'Localize Daily Bali Jimbaran'!AD35/'Localize Daily Bali Jimbaran'!AC35</f>
        <v>10153</v>
      </c>
      <c r="I30" s="99">
        <f>'Localize Daily Bali Jimbaran'!AH35</f>
        <v>641.34000000000015</v>
      </c>
      <c r="J30" s="101">
        <f>'Localize Daily Bali Jimbaran'!AI35/'Localize Daily Bali Jimbaran'!AH35</f>
        <v>9500</v>
      </c>
      <c r="K30" s="99">
        <f>'Localize Daily Bali Jimbaran'!Q35</f>
        <v>627.80000000000291</v>
      </c>
      <c r="L30" s="100">
        <f>'Localize Daily Bali Jimbaran'!V35/'Localize Daily Bali Jimbaran'!Q35</f>
        <v>7664.1535584580934</v>
      </c>
      <c r="M30" s="99">
        <f>'Localize Daily Bali Jimbaran'!C35</f>
        <v>66</v>
      </c>
      <c r="N30" s="99">
        <v>198</v>
      </c>
    </row>
    <row r="31" spans="1:14" ht="15">
      <c r="A31" s="96" t="s">
        <v>14</v>
      </c>
      <c r="B31" s="97">
        <v>30</v>
      </c>
      <c r="C31" s="98">
        <v>6</v>
      </c>
      <c r="D31" s="97">
        <v>2018</v>
      </c>
      <c r="E31" s="99">
        <f>'Localize Daily Bali Jimbaran'!P36</f>
        <v>34620.000000000437</v>
      </c>
      <c r="F31" s="100">
        <f>'Localize Daily Bali Jimbaran'!O36/'Localize Daily Bali Jimbaran'!P36</f>
        <v>1154.1676793760819</v>
      </c>
      <c r="G31" s="99">
        <f>'Localize Daily Bali Jimbaran'!AC36</f>
        <v>498.88740000001172</v>
      </c>
      <c r="H31" s="100">
        <f>'Localize Daily Bali Jimbaran'!AD36/'Localize Daily Bali Jimbaran'!AC36</f>
        <v>10968.414460256945</v>
      </c>
      <c r="I31" s="99">
        <f>'Localize Daily Bali Jimbaran'!AH36</f>
        <v>636.30000000000291</v>
      </c>
      <c r="J31" s="101">
        <f>'Localize Daily Bali Jimbaran'!AI36/'Localize Daily Bali Jimbaran'!AH36</f>
        <v>9500</v>
      </c>
      <c r="K31" s="99">
        <f>'Localize Daily Bali Jimbaran'!Q36</f>
        <v>828</v>
      </c>
      <c r="L31" s="100">
        <f>'Localize Daily Bali Jimbaran'!V36/'Localize Daily Bali Jimbaran'!Q36</f>
        <v>9161.6664130434801</v>
      </c>
      <c r="M31" s="99">
        <f>'Localize Daily Bali Jimbaran'!C36</f>
        <v>49</v>
      </c>
      <c r="N31" s="99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41</v>
      </c>
      <c r="D7" s="103">
        <v>457</v>
      </c>
      <c r="E7" s="156">
        <v>0</v>
      </c>
      <c r="F7" s="156">
        <v>0</v>
      </c>
      <c r="G7" s="116">
        <v>3600.0000000000086</v>
      </c>
      <c r="H7" s="157">
        <v>5872872.6000000145</v>
      </c>
      <c r="I7" s="105">
        <f>F7+H7</f>
        <v>5872872.6000000145</v>
      </c>
      <c r="J7" s="115">
        <v>1059.9999999994907</v>
      </c>
      <c r="K7" s="115">
        <v>1152823.1399994462</v>
      </c>
      <c r="L7" s="119">
        <v>519.99999999998181</v>
      </c>
      <c r="M7" s="121">
        <v>848303.81999997038</v>
      </c>
      <c r="N7" s="107">
        <f>K7+M7</f>
        <v>2001126.9599994165</v>
      </c>
      <c r="O7" s="105">
        <f>I7+N7</f>
        <v>7873999.5599994306</v>
      </c>
      <c r="P7" s="107">
        <f>E7+G7+J7+L7</f>
        <v>5179.9999999994816</v>
      </c>
      <c r="Q7" s="123">
        <f>R7+T7</f>
        <v>771</v>
      </c>
      <c r="R7" s="115">
        <v>217</v>
      </c>
      <c r="S7" s="115">
        <v>3899529.06</v>
      </c>
      <c r="T7" s="115">
        <v>554</v>
      </c>
      <c r="U7" s="115">
        <v>2622320.2200000002</v>
      </c>
      <c r="V7" s="115">
        <f>S7+U7</f>
        <v>6521849.2800000003</v>
      </c>
      <c r="W7" s="115">
        <v>119.91355999998709</v>
      </c>
      <c r="X7" s="106"/>
      <c r="Y7" s="110">
        <v>400</v>
      </c>
      <c r="Z7" s="108"/>
      <c r="AA7" s="108"/>
      <c r="AB7" s="112">
        <v>0</v>
      </c>
      <c r="AC7" s="123">
        <f>W7+X7+Y7+Z7+AA7+AB7</f>
        <v>519.91355999998711</v>
      </c>
      <c r="AD7" s="104">
        <v>5685482.374679869</v>
      </c>
      <c r="AE7" s="109"/>
      <c r="AF7" s="128">
        <v>539.80000000000291</v>
      </c>
      <c r="AG7" s="130">
        <v>0</v>
      </c>
      <c r="AH7" s="130">
        <f>AF7+AG7</f>
        <v>539.80000000000291</v>
      </c>
      <c r="AI7" s="132">
        <v>5128100.0000000279</v>
      </c>
      <c r="AJ7" s="18"/>
    </row>
    <row r="8" spans="1:36" ht="15">
      <c r="A8" s="19"/>
      <c r="B8" s="64">
        <v>2</v>
      </c>
      <c r="C8" s="65">
        <v>42</v>
      </c>
      <c r="D8" s="65">
        <v>435</v>
      </c>
      <c r="E8" s="124">
        <v>25439.999999999996</v>
      </c>
      <c r="F8" s="124">
        <v>27667755.359999996</v>
      </c>
      <c r="G8" s="111">
        <v>3719.9999999999991</v>
      </c>
      <c r="H8" s="111">
        <v>6068635.0199999986</v>
      </c>
      <c r="I8" s="105">
        <f>F8+H8</f>
        <v>33736390.379999995</v>
      </c>
      <c r="J8" s="158">
        <v>2280.0000000006548</v>
      </c>
      <c r="K8" s="158">
        <v>2479657.3200007123</v>
      </c>
      <c r="L8" s="120">
        <v>539.99999999996362</v>
      </c>
      <c r="M8" s="122">
        <v>880930.88999994064</v>
      </c>
      <c r="N8" s="107">
        <f>K8+M8</f>
        <v>3360588.2100006528</v>
      </c>
      <c r="O8" s="105">
        <f>I8+N8</f>
        <v>37096978.590000644</v>
      </c>
      <c r="P8" s="107">
        <f>E8+G8+J8+L8</f>
        <v>31980.000000000615</v>
      </c>
      <c r="Q8" s="123">
        <f>R8+T8</f>
        <v>796.30000000000291</v>
      </c>
      <c r="R8" s="124">
        <v>207</v>
      </c>
      <c r="S8" s="124">
        <v>3719827.2600000002</v>
      </c>
      <c r="T8" s="117">
        <v>589.30000000000291</v>
      </c>
      <c r="U8" s="117">
        <v>2789410.2990000141</v>
      </c>
      <c r="V8" s="115">
        <f>S8+U8</f>
        <v>6509237.5590000143</v>
      </c>
      <c r="W8" s="126">
        <v>95.705280000008202</v>
      </c>
      <c r="X8" s="112">
        <v>250</v>
      </c>
      <c r="Y8" s="110"/>
      <c r="Z8" s="112"/>
      <c r="AA8" s="112"/>
      <c r="AB8" s="112">
        <v>72</v>
      </c>
      <c r="AC8" s="123">
        <f>W8+X8+Y8+Z8+AA8+AB8</f>
        <v>417.7052800000082</v>
      </c>
      <c r="AD8" s="110">
        <v>4601195.7078400832</v>
      </c>
      <c r="AE8" s="113"/>
      <c r="AF8" s="129">
        <v>466.7599999999984</v>
      </c>
      <c r="AG8" s="131">
        <v>0</v>
      </c>
      <c r="AH8" s="130">
        <f>AF8+AG8</f>
        <v>466.7599999999984</v>
      </c>
      <c r="AI8" s="133">
        <v>4434219.9999999851</v>
      </c>
      <c r="AJ8" s="21"/>
    </row>
    <row r="9" spans="1:36" ht="15">
      <c r="A9" s="19"/>
      <c r="B9" s="81">
        <v>3</v>
      </c>
      <c r="C9" s="65">
        <v>50</v>
      </c>
      <c r="D9" s="65">
        <v>490</v>
      </c>
      <c r="E9" s="124">
        <v>17879.999999999996</v>
      </c>
      <c r="F9" s="124">
        <v>19445733.719999995</v>
      </c>
      <c r="G9" s="111">
        <v>3799.9999999999973</v>
      </c>
      <c r="H9" s="111">
        <v>6199143.2999999961</v>
      </c>
      <c r="I9" s="105">
        <f>F9+H9</f>
        <v>25644877.019999992</v>
      </c>
      <c r="J9" s="158">
        <v>2199.9999999998181</v>
      </c>
      <c r="K9" s="158">
        <v>2392651.7999998019</v>
      </c>
      <c r="L9" s="120">
        <v>519.99999999998181</v>
      </c>
      <c r="M9" s="122">
        <v>848303.81999997038</v>
      </c>
      <c r="N9" s="107">
        <f>K9+M9</f>
        <v>3240955.6199997724</v>
      </c>
      <c r="O9" s="105">
        <f>I9+N9</f>
        <v>28885832.639999766</v>
      </c>
      <c r="P9" s="107">
        <f>E9+G9+J9+L9</f>
        <v>24399.999999999793</v>
      </c>
      <c r="Q9" s="123">
        <f>R9+T9</f>
        <v>754.79999999999563</v>
      </c>
      <c r="R9" s="124">
        <v>193</v>
      </c>
      <c r="S9" s="124">
        <v>3468244.74</v>
      </c>
      <c r="T9" s="117">
        <v>561.79999999999563</v>
      </c>
      <c r="U9" s="117">
        <v>2659240.9739999794</v>
      </c>
      <c r="V9" s="115">
        <f>S9+U9</f>
        <v>6127485.7139999792</v>
      </c>
      <c r="W9" s="126">
        <v>92.563439999983572</v>
      </c>
      <c r="X9" s="112"/>
      <c r="Y9" s="110"/>
      <c r="Z9" s="112">
        <v>50</v>
      </c>
      <c r="AA9" s="112"/>
      <c r="AB9" s="112">
        <v>0</v>
      </c>
      <c r="AC9" s="123">
        <f>W9+X9+Y9+Z9+AA9+AB9</f>
        <v>142.56343999998359</v>
      </c>
      <c r="AD9" s="110">
        <v>1498296.6063198331</v>
      </c>
      <c r="AE9" s="113"/>
      <c r="AF9" s="129">
        <v>547.25</v>
      </c>
      <c r="AG9" s="131">
        <v>0</v>
      </c>
      <c r="AH9" s="130">
        <f>AF9+AG9</f>
        <v>547.25</v>
      </c>
      <c r="AI9" s="133">
        <v>5198875</v>
      </c>
      <c r="AJ9" s="21"/>
    </row>
    <row r="10" spans="1:36" ht="15">
      <c r="A10" s="19"/>
      <c r="B10" s="64">
        <v>4</v>
      </c>
      <c r="C10" s="65">
        <v>51</v>
      </c>
      <c r="D10" s="65">
        <v>417</v>
      </c>
      <c r="E10" s="124">
        <v>18480.000000000018</v>
      </c>
      <c r="F10" s="124">
        <v>20098275.12000002</v>
      </c>
      <c r="G10" s="111">
        <v>3879.9999999999955</v>
      </c>
      <c r="H10" s="111">
        <v>6329651.5799999926</v>
      </c>
      <c r="I10" s="105">
        <f>F10+H10</f>
        <v>26427926.70000001</v>
      </c>
      <c r="J10" s="158">
        <v>2039.9999999999636</v>
      </c>
      <c r="K10" s="158">
        <v>2218640.7599999607</v>
      </c>
      <c r="L10" s="120">
        <v>539.99999999996362</v>
      </c>
      <c r="M10" s="122">
        <v>880930.88999994064</v>
      </c>
      <c r="N10" s="107">
        <f>K10+M10</f>
        <v>3099571.6499999012</v>
      </c>
      <c r="O10" s="105">
        <f>I10+N10</f>
        <v>29527498.349999912</v>
      </c>
      <c r="P10" s="107">
        <f>E10+G10+J10+L10</f>
        <v>24939.999999999942</v>
      </c>
      <c r="Q10" s="123">
        <f>R10+T10</f>
        <v>798.70000000000437</v>
      </c>
      <c r="R10" s="124">
        <v>207</v>
      </c>
      <c r="S10" s="124">
        <v>3719827.2600000002</v>
      </c>
      <c r="T10" s="117">
        <v>591.70000000000437</v>
      </c>
      <c r="U10" s="117">
        <v>2800770.5310000209</v>
      </c>
      <c r="V10" s="115">
        <f>S10+U10</f>
        <v>6520597.7910000216</v>
      </c>
      <c r="W10" s="126">
        <v>89.784120000003512</v>
      </c>
      <c r="X10" s="112"/>
      <c r="Y10" s="110"/>
      <c r="Z10" s="112"/>
      <c r="AA10" s="112"/>
      <c r="AB10" s="112">
        <v>0</v>
      </c>
      <c r="AC10" s="123">
        <f>W10+X10+Y10+Z10+AA10+AB10</f>
        <v>89.784120000003512</v>
      </c>
      <c r="AD10" s="110">
        <v>911578.17036003561</v>
      </c>
      <c r="AE10" s="113"/>
      <c r="AF10" s="129">
        <v>481.29999999999927</v>
      </c>
      <c r="AG10" s="131">
        <v>0</v>
      </c>
      <c r="AH10" s="130">
        <f>AF10+AG10</f>
        <v>481.29999999999927</v>
      </c>
      <c r="AI10" s="133">
        <v>4572349.9999999935</v>
      </c>
      <c r="AJ10" s="21"/>
    </row>
    <row r="11" spans="1:36" ht="15">
      <c r="A11" s="19"/>
      <c r="B11" s="81">
        <v>5</v>
      </c>
      <c r="C11" s="65">
        <v>42</v>
      </c>
      <c r="D11" s="65">
        <v>402</v>
      </c>
      <c r="E11" s="124">
        <v>17839.999999999975</v>
      </c>
      <c r="F11" s="124">
        <v>19402230.959999971</v>
      </c>
      <c r="G11" s="111">
        <v>3960.0000000000082</v>
      </c>
      <c r="H11" s="111">
        <v>6460159.8600000143</v>
      </c>
      <c r="I11" s="105">
        <f>F11+H11</f>
        <v>25862390.819999985</v>
      </c>
      <c r="J11" s="158">
        <v>2099.9999999994543</v>
      </c>
      <c r="K11" s="158">
        <v>2283894.8999994067</v>
      </c>
      <c r="L11" s="120">
        <v>519.99999999998181</v>
      </c>
      <c r="M11" s="122">
        <v>848303.81999997038</v>
      </c>
      <c r="N11" s="107">
        <f>K11+M11</f>
        <v>3132198.7199993772</v>
      </c>
      <c r="O11" s="105">
        <f>I11+N11</f>
        <v>28994589.539999362</v>
      </c>
      <c r="P11" s="107">
        <f>E11+G11+J11+L11</f>
        <v>24419.999999999418</v>
      </c>
      <c r="Q11" s="123">
        <f>R11+T11</f>
        <v>746.59999999999854</v>
      </c>
      <c r="R11" s="124">
        <v>236</v>
      </c>
      <c r="S11" s="124">
        <v>4240962.4800000004</v>
      </c>
      <c r="T11" s="117">
        <v>510.59999999999854</v>
      </c>
      <c r="U11" s="117">
        <v>2416889.3579999935</v>
      </c>
      <c r="V11" s="115">
        <f>S11+U11</f>
        <v>6657851.8379999939</v>
      </c>
      <c r="W11" s="126">
        <v>86.15891999999765</v>
      </c>
      <c r="X11" s="112"/>
      <c r="Y11" s="110"/>
      <c r="Z11" s="112"/>
      <c r="AA11" s="112"/>
      <c r="AB11" s="112">
        <v>12</v>
      </c>
      <c r="AC11" s="123">
        <f>W11+X11+Y11+Z11+AA11+AB11</f>
        <v>98.15891999999765</v>
      </c>
      <c r="AD11" s="110">
        <v>1014271.5147599762</v>
      </c>
      <c r="AE11" s="113"/>
      <c r="AF11" s="129">
        <v>403.45999999999913</v>
      </c>
      <c r="AG11" s="131">
        <v>0</v>
      </c>
      <c r="AH11" s="130">
        <f>AF11+AG11</f>
        <v>403.45999999999913</v>
      </c>
      <c r="AI11" s="133">
        <v>3832869.9999999916</v>
      </c>
      <c r="AJ11" s="21"/>
    </row>
    <row r="12" spans="1:36" ht="15">
      <c r="A12" s="19"/>
      <c r="B12" s="64">
        <v>6</v>
      </c>
      <c r="C12" s="65">
        <v>47</v>
      </c>
      <c r="D12" s="65">
        <v>454</v>
      </c>
      <c r="E12" s="124">
        <v>18120.000000000004</v>
      </c>
      <c r="F12" s="124">
        <v>19706750.280000001</v>
      </c>
      <c r="G12" s="111">
        <v>3839.9999999999891</v>
      </c>
      <c r="H12" s="111">
        <v>6264397.4399999827</v>
      </c>
      <c r="I12" s="105">
        <f>F12+H12</f>
        <v>25971147.719999984</v>
      </c>
      <c r="J12" s="158">
        <v>1960.0000000000364</v>
      </c>
      <c r="K12" s="158">
        <v>2131635.2400000393</v>
      </c>
      <c r="L12" s="120">
        <v>519.99999999998181</v>
      </c>
      <c r="M12" s="122">
        <v>848303.81999997038</v>
      </c>
      <c r="N12" s="107">
        <f>K12+M12</f>
        <v>2979939.0600000098</v>
      </c>
      <c r="O12" s="105">
        <f>I12+N12</f>
        <v>28951086.779999994</v>
      </c>
      <c r="P12" s="107">
        <f>E12+G12+J12+L12</f>
        <v>24440.000000000011</v>
      </c>
      <c r="Q12" s="123">
        <f>R12+T12</f>
        <v>604.09999999999854</v>
      </c>
      <c r="R12" s="124">
        <v>226</v>
      </c>
      <c r="S12" s="124">
        <v>4061260.68</v>
      </c>
      <c r="T12" s="117">
        <v>378.09999999999854</v>
      </c>
      <c r="U12" s="117">
        <v>1789709.8829999932</v>
      </c>
      <c r="V12" s="115">
        <f>S12+U12</f>
        <v>5850970.5629999936</v>
      </c>
      <c r="W12" s="126">
        <v>85.433879999996478</v>
      </c>
      <c r="X12" s="112"/>
      <c r="Y12" s="110">
        <v>400</v>
      </c>
      <c r="Z12" s="112"/>
      <c r="AA12" s="112"/>
      <c r="AB12" s="112">
        <v>0</v>
      </c>
      <c r="AC12" s="123">
        <f>W12+X12+Y12+Z12+AA12+AB12</f>
        <v>485.43387999999646</v>
      </c>
      <c r="AD12" s="110">
        <v>5335410.1836399641</v>
      </c>
      <c r="AE12" s="113"/>
      <c r="AF12" s="129">
        <v>601.03000000000247</v>
      </c>
      <c r="AG12" s="131">
        <v>0</v>
      </c>
      <c r="AH12" s="130">
        <f>AF12+AG12</f>
        <v>601.03000000000247</v>
      </c>
      <c r="AI12" s="133">
        <v>5709785.0000000233</v>
      </c>
      <c r="AJ12" s="21"/>
    </row>
    <row r="13" spans="1:36" ht="15">
      <c r="A13" s="19"/>
      <c r="B13" s="81">
        <v>7</v>
      </c>
      <c r="C13" s="65">
        <v>48</v>
      </c>
      <c r="D13" s="65">
        <v>483</v>
      </c>
      <c r="E13" s="124">
        <v>19439.999999999996</v>
      </c>
      <c r="F13" s="124">
        <v>21142341.359999996</v>
      </c>
      <c r="G13" s="111">
        <v>3840.0000000000036</v>
      </c>
      <c r="H13" s="111">
        <v>6264397.4400000069</v>
      </c>
      <c r="I13" s="105">
        <f>F13+H13</f>
        <v>27406738.800000004</v>
      </c>
      <c r="J13" s="158">
        <v>1980.0000000004729</v>
      </c>
      <c r="K13" s="158">
        <v>2153386.6200005142</v>
      </c>
      <c r="L13" s="120">
        <v>519.99999999998181</v>
      </c>
      <c r="M13" s="122">
        <v>848303.81999997038</v>
      </c>
      <c r="N13" s="107">
        <f>K13+M13</f>
        <v>3001690.4400004847</v>
      </c>
      <c r="O13" s="105">
        <f>I13+N13</f>
        <v>30408429.24000049</v>
      </c>
      <c r="P13" s="107">
        <f>E13+G13+J13+L13</f>
        <v>25780.000000000455</v>
      </c>
      <c r="Q13" s="123">
        <f>R13+T13</f>
        <v>734.5</v>
      </c>
      <c r="R13" s="124">
        <v>206</v>
      </c>
      <c r="S13" s="124">
        <v>3701857.08</v>
      </c>
      <c r="T13" s="117">
        <v>528.5</v>
      </c>
      <c r="U13" s="117">
        <v>2501617.7550000004</v>
      </c>
      <c r="V13" s="115">
        <f>S13+U13</f>
        <v>6203474.8350000009</v>
      </c>
      <c r="W13" s="126">
        <v>90.63</v>
      </c>
      <c r="X13" s="112">
        <v>250</v>
      </c>
      <c r="Y13" s="110"/>
      <c r="Z13" s="112"/>
      <c r="AA13" s="112"/>
      <c r="AB13" s="112">
        <v>0</v>
      </c>
      <c r="AC13" s="123">
        <f>W13+X13+Y13+Z13+AA13+AB13</f>
        <v>340.63</v>
      </c>
      <c r="AD13" s="110">
        <v>3712666.3899999997</v>
      </c>
      <c r="AE13" s="113"/>
      <c r="AF13" s="129">
        <v>755.95000000000073</v>
      </c>
      <c r="AG13" s="131">
        <v>56.000000000001364</v>
      </c>
      <c r="AH13" s="130">
        <f>AF13+AG13</f>
        <v>811.95000000000209</v>
      </c>
      <c r="AI13" s="133">
        <v>7713525.0000000196</v>
      </c>
      <c r="AJ13" s="21"/>
    </row>
    <row r="14" spans="1:36" ht="15">
      <c r="A14" s="19"/>
      <c r="B14" s="64">
        <v>8</v>
      </c>
      <c r="C14" s="65">
        <v>47</v>
      </c>
      <c r="D14" s="65">
        <v>501</v>
      </c>
      <c r="E14" s="124">
        <v>17320.000000000051</v>
      </c>
      <c r="F14" s="124">
        <v>18836695.080000058</v>
      </c>
      <c r="G14" s="111">
        <v>3840.0000000000036</v>
      </c>
      <c r="H14" s="111">
        <v>6264397.4400000069</v>
      </c>
      <c r="I14" s="105">
        <f>F14+H14</f>
        <v>25101092.520000063</v>
      </c>
      <c r="J14" s="158">
        <v>2140.0000000003274</v>
      </c>
      <c r="K14" s="158">
        <v>2327397.6600003564</v>
      </c>
      <c r="L14" s="120">
        <v>500</v>
      </c>
      <c r="M14" s="122">
        <v>815676.75</v>
      </c>
      <c r="N14" s="107">
        <f>K14+M14</f>
        <v>3143074.4100003564</v>
      </c>
      <c r="O14" s="105">
        <f>I14+N14</f>
        <v>28244166.930000421</v>
      </c>
      <c r="P14" s="107">
        <f>E14+G14+J14+L14</f>
        <v>23800.000000000382</v>
      </c>
      <c r="Q14" s="123">
        <f>R14+T14</f>
        <v>661.19999999999709</v>
      </c>
      <c r="R14" s="124">
        <v>203</v>
      </c>
      <c r="S14" s="124">
        <v>3647946.54</v>
      </c>
      <c r="T14" s="117">
        <v>458.19999999999709</v>
      </c>
      <c r="U14" s="117">
        <v>2168857.6259999862</v>
      </c>
      <c r="V14" s="115">
        <f>S14+U14</f>
        <v>5816804.1659999862</v>
      </c>
      <c r="W14" s="126">
        <v>85.031080000002333</v>
      </c>
      <c r="X14" s="112"/>
      <c r="Y14" s="110"/>
      <c r="Z14" s="112"/>
      <c r="AA14" s="112"/>
      <c r="AB14" s="112">
        <v>24</v>
      </c>
      <c r="AC14" s="123">
        <f>W14+X14+Y14+Z14+AA14+AB14</f>
        <v>109.03108000000233</v>
      </c>
      <c r="AD14" s="110">
        <v>1142320.5552400236</v>
      </c>
      <c r="AE14" s="113"/>
      <c r="AF14" s="129">
        <v>680.54999999999927</v>
      </c>
      <c r="AG14" s="131">
        <v>0</v>
      </c>
      <c r="AH14" s="130">
        <f>AF14+AG14</f>
        <v>680.54999999999927</v>
      </c>
      <c r="AI14" s="133">
        <v>6465224.9999999935</v>
      </c>
      <c r="AJ14" s="21"/>
    </row>
    <row r="15" spans="1:36" ht="15">
      <c r="A15" s="19"/>
      <c r="B15" s="81">
        <v>9</v>
      </c>
      <c r="C15" s="65">
        <v>55</v>
      </c>
      <c r="D15" s="65">
        <v>597</v>
      </c>
      <c r="E15" s="124">
        <v>18120.000000000004</v>
      </c>
      <c r="F15" s="124">
        <v>19706750.280000001</v>
      </c>
      <c r="G15" s="111">
        <v>3760.000000000005</v>
      </c>
      <c r="H15" s="111">
        <v>6133889.1600000085</v>
      </c>
      <c r="I15" s="105">
        <f>F15+H15</f>
        <v>25840639.440000009</v>
      </c>
      <c r="J15" s="158">
        <v>2019.9999999995271</v>
      </c>
      <c r="K15" s="158">
        <v>2196889.3799994858</v>
      </c>
      <c r="L15" s="120">
        <v>540.00000000019099</v>
      </c>
      <c r="M15" s="122">
        <v>880930.89000031166</v>
      </c>
      <c r="N15" s="107">
        <f>K15+M15</f>
        <v>3077820.2699997975</v>
      </c>
      <c r="O15" s="105">
        <f>I15+N15</f>
        <v>28918459.709999807</v>
      </c>
      <c r="P15" s="107">
        <f>E15+G15+J15+L15</f>
        <v>24439.999999999724</v>
      </c>
      <c r="Q15" s="123">
        <f>R15+T15</f>
        <v>580.80000000000291</v>
      </c>
      <c r="R15" s="124">
        <v>211</v>
      </c>
      <c r="S15" s="124">
        <v>3791707.98</v>
      </c>
      <c r="T15" s="117">
        <v>369.80000000000291</v>
      </c>
      <c r="U15" s="117">
        <v>1750422.4140000138</v>
      </c>
      <c r="V15" s="115">
        <f>S15+U15</f>
        <v>5542130.3940000143</v>
      </c>
      <c r="W15" s="126">
        <v>93.046800000023438</v>
      </c>
      <c r="X15" s="112"/>
      <c r="Y15" s="110"/>
      <c r="Z15" s="112">
        <v>50</v>
      </c>
      <c r="AA15" s="112"/>
      <c r="AB15" s="112">
        <v>12</v>
      </c>
      <c r="AC15" s="123">
        <f>W15+X15+Y15+Z15+AA15+AB15</f>
        <v>155.04680000002344</v>
      </c>
      <c r="AD15" s="110">
        <v>1642704.1604002379</v>
      </c>
      <c r="AE15" s="113"/>
      <c r="AF15" s="129">
        <v>477.29999999999927</v>
      </c>
      <c r="AG15" s="131">
        <v>0</v>
      </c>
      <c r="AH15" s="130">
        <f>AF15+AG15</f>
        <v>477.29999999999927</v>
      </c>
      <c r="AI15" s="133">
        <v>4534349.9999999935</v>
      </c>
      <c r="AJ15" s="21"/>
    </row>
    <row r="16" spans="1:36" ht="15">
      <c r="A16" s="19"/>
      <c r="B16" s="64">
        <v>10</v>
      </c>
      <c r="C16" s="65">
        <v>44</v>
      </c>
      <c r="D16" s="65">
        <v>489</v>
      </c>
      <c r="E16" s="124">
        <v>18399.999999999978</v>
      </c>
      <c r="F16" s="124">
        <v>20011269.599999979</v>
      </c>
      <c r="G16" s="111">
        <v>3879.9999999999955</v>
      </c>
      <c r="H16" s="111">
        <v>6329651.5799999926</v>
      </c>
      <c r="I16" s="105">
        <f>F16+H16</f>
        <v>26340921.17999997</v>
      </c>
      <c r="J16" s="158">
        <v>2060.0000000004002</v>
      </c>
      <c r="K16" s="158">
        <v>2240392.1400004351</v>
      </c>
      <c r="L16" s="120">
        <v>500</v>
      </c>
      <c r="M16" s="122">
        <v>815676.75</v>
      </c>
      <c r="N16" s="107">
        <f>K16+M16</f>
        <v>3056068.8900004351</v>
      </c>
      <c r="O16" s="105">
        <f>I16+N16</f>
        <v>29396990.070000406</v>
      </c>
      <c r="P16" s="107">
        <f>E16+G16+J16+L16</f>
        <v>24840.000000000375</v>
      </c>
      <c r="Q16" s="123">
        <f>R16+T16</f>
        <v>614</v>
      </c>
      <c r="R16" s="124">
        <v>241</v>
      </c>
      <c r="S16" s="124">
        <v>4330813.38</v>
      </c>
      <c r="T16" s="117">
        <v>373</v>
      </c>
      <c r="U16" s="117">
        <v>1765569.3900000001</v>
      </c>
      <c r="V16" s="115">
        <f>S16+U16</f>
        <v>6096382.7699999996</v>
      </c>
      <c r="W16" s="126">
        <v>70.087199999976548</v>
      </c>
      <c r="X16" s="112"/>
      <c r="Y16" s="110"/>
      <c r="Z16" s="112"/>
      <c r="AA16" s="112"/>
      <c r="AB16" s="112">
        <v>36</v>
      </c>
      <c r="AC16" s="123">
        <f>W16+X16+Y16+Z16+AA16+AB16</f>
        <v>106.08719999997655</v>
      </c>
      <c r="AD16" s="110">
        <v>1130095.341599762</v>
      </c>
      <c r="AE16" s="113"/>
      <c r="AF16" s="129">
        <v>668.40000000000146</v>
      </c>
      <c r="AG16" s="131">
        <v>0</v>
      </c>
      <c r="AH16" s="130">
        <f>AF16+AG16</f>
        <v>668.40000000000146</v>
      </c>
      <c r="AI16" s="133">
        <v>6349800.000000014</v>
      </c>
      <c r="AJ16" s="21"/>
    </row>
    <row r="17" spans="1:36" ht="15">
      <c r="A17" s="19"/>
      <c r="B17" s="81">
        <v>11</v>
      </c>
      <c r="C17" s="65">
        <v>38</v>
      </c>
      <c r="D17" s="65">
        <v>412</v>
      </c>
      <c r="E17" s="124">
        <v>18559.999999999945</v>
      </c>
      <c r="F17" s="124">
        <v>20185280.639999937</v>
      </c>
      <c r="G17" s="111">
        <v>3719.9999999999991</v>
      </c>
      <c r="H17" s="111">
        <v>6068635.0199999986</v>
      </c>
      <c r="I17" s="105">
        <f>F17+H17</f>
        <v>26253915.659999937</v>
      </c>
      <c r="J17" s="158">
        <v>2099.9999999994543</v>
      </c>
      <c r="K17" s="158">
        <v>2283894.8999994067</v>
      </c>
      <c r="L17" s="120">
        <v>539.99999999996362</v>
      </c>
      <c r="M17" s="122">
        <v>880930.88999994064</v>
      </c>
      <c r="N17" s="107">
        <f>K17+M17</f>
        <v>3164825.7899993472</v>
      </c>
      <c r="O17" s="105">
        <f>I17+N17</f>
        <v>29418741.449999284</v>
      </c>
      <c r="P17" s="107">
        <f>E17+G17+J17+L17</f>
        <v>24919.999999999363</v>
      </c>
      <c r="Q17" s="123">
        <f>R17+T17</f>
        <v>625</v>
      </c>
      <c r="R17" s="124">
        <v>203</v>
      </c>
      <c r="S17" s="124">
        <v>3647946.54</v>
      </c>
      <c r="T17" s="117">
        <v>422</v>
      </c>
      <c r="U17" s="117">
        <v>1997507.4600000002</v>
      </c>
      <c r="V17" s="115">
        <f>S17+U17</f>
        <v>5645454</v>
      </c>
      <c r="W17" s="126">
        <v>74.920800000023434</v>
      </c>
      <c r="X17" s="112"/>
      <c r="Y17" s="110">
        <v>400</v>
      </c>
      <c r="Z17" s="112"/>
      <c r="AA17" s="112"/>
      <c r="AB17" s="112">
        <v>12</v>
      </c>
      <c r="AC17" s="123">
        <f>W17+X17+Y17+Z17+AA17+AB17</f>
        <v>486.92080000002341</v>
      </c>
      <c r="AD17" s="110">
        <v>5368170.882400238</v>
      </c>
      <c r="AE17" s="113"/>
      <c r="AF17" s="129">
        <v>469.10999999999694</v>
      </c>
      <c r="AG17" s="131">
        <v>195.59999999999945</v>
      </c>
      <c r="AH17" s="130">
        <f>AF17+AG17</f>
        <v>664.7099999999964</v>
      </c>
      <c r="AI17" s="133">
        <v>6314744.9999999655</v>
      </c>
      <c r="AJ17" s="21"/>
    </row>
    <row r="18" spans="1:36" ht="15">
      <c r="A18" s="19"/>
      <c r="B18" s="64">
        <v>12</v>
      </c>
      <c r="C18" s="65">
        <v>37</v>
      </c>
      <c r="D18" s="65">
        <v>406</v>
      </c>
      <c r="E18" s="124">
        <v>17040.000000000076</v>
      </c>
      <c r="F18" s="124">
        <v>18532175.760000084</v>
      </c>
      <c r="G18" s="111">
        <v>3680.0000000000068</v>
      </c>
      <c r="H18" s="111">
        <v>6003380.880000012</v>
      </c>
      <c r="I18" s="105">
        <f>F18+H18</f>
        <v>24535556.640000097</v>
      </c>
      <c r="J18" s="158">
        <v>2060.0000000004002</v>
      </c>
      <c r="K18" s="158">
        <v>2240392.1400004351</v>
      </c>
      <c r="L18" s="120">
        <v>539.99999999996362</v>
      </c>
      <c r="M18" s="122">
        <v>880930.88999994064</v>
      </c>
      <c r="N18" s="107">
        <f>K18+M18</f>
        <v>3121323.0300003756</v>
      </c>
      <c r="O18" s="105">
        <f>I18+N18</f>
        <v>27656879.670000471</v>
      </c>
      <c r="P18" s="107">
        <f>E18+G18+J18+L18</f>
        <v>23320.000000000447</v>
      </c>
      <c r="Q18" s="123">
        <f>R18+T18</f>
        <v>756</v>
      </c>
      <c r="R18" s="124">
        <v>227</v>
      </c>
      <c r="S18" s="124">
        <v>4079230.86</v>
      </c>
      <c r="T18" s="117">
        <v>529</v>
      </c>
      <c r="U18" s="117">
        <v>2503984.4700000002</v>
      </c>
      <c r="V18" s="115">
        <f>S18+U18</f>
        <v>6583215.3300000001</v>
      </c>
      <c r="W18" s="126">
        <v>93.85239999998241</v>
      </c>
      <c r="X18" s="112">
        <v>250</v>
      </c>
      <c r="Y18" s="110"/>
      <c r="Z18" s="112"/>
      <c r="AA18" s="112"/>
      <c r="AB18" s="112">
        <v>12</v>
      </c>
      <c r="AC18" s="123">
        <f>W18+X18+Y18+Z18+AA18+AB18</f>
        <v>355.85239999998242</v>
      </c>
      <c r="AD18" s="110">
        <v>3884883.4171998212</v>
      </c>
      <c r="AE18" s="113"/>
      <c r="AF18" s="129">
        <v>394.72000000000116</v>
      </c>
      <c r="AG18" s="131">
        <v>0.89999999999918145</v>
      </c>
      <c r="AH18" s="130">
        <f>AF18+AG18</f>
        <v>395.62000000000035</v>
      </c>
      <c r="AI18" s="133">
        <v>3758390.0000000033</v>
      </c>
      <c r="AJ18" s="21"/>
    </row>
    <row r="19" spans="1:36" ht="15">
      <c r="A19" s="19"/>
      <c r="B19" s="81">
        <v>13</v>
      </c>
      <c r="C19" s="65">
        <v>35</v>
      </c>
      <c r="D19" s="65">
        <v>394</v>
      </c>
      <c r="E19" s="124">
        <v>17279.999999999971</v>
      </c>
      <c r="F19" s="124">
        <v>18793192.319999967</v>
      </c>
      <c r="G19" s="111">
        <v>3599.9999999999945</v>
      </c>
      <c r="H19" s="111">
        <v>5872872.5999999912</v>
      </c>
      <c r="I19" s="105">
        <f>F19+H19</f>
        <v>24666064.919999957</v>
      </c>
      <c r="J19" s="158">
        <v>1880.0000000001091</v>
      </c>
      <c r="K19" s="158">
        <v>2044629.7200001187</v>
      </c>
      <c r="L19" s="120">
        <v>460.00000000003638</v>
      </c>
      <c r="M19" s="122">
        <v>750422.61000005936</v>
      </c>
      <c r="N19" s="107">
        <f>K19+M19</f>
        <v>2795052.330000178</v>
      </c>
      <c r="O19" s="105">
        <f>I19+N19</f>
        <v>27461117.250000134</v>
      </c>
      <c r="P19" s="107">
        <f>E19+G19+J19+L19</f>
        <v>23220.000000000109</v>
      </c>
      <c r="Q19" s="123">
        <f>R19+T19</f>
        <v>749</v>
      </c>
      <c r="R19" s="124">
        <v>240</v>
      </c>
      <c r="S19" s="124">
        <v>4312843.2</v>
      </c>
      <c r="T19" s="117">
        <v>509</v>
      </c>
      <c r="U19" s="117">
        <v>2409315.87</v>
      </c>
      <c r="V19" s="115">
        <f>S19+U19</f>
        <v>6722159.0700000003</v>
      </c>
      <c r="W19" s="126">
        <v>77.055640000018755</v>
      </c>
      <c r="X19" s="112"/>
      <c r="Y19" s="110"/>
      <c r="Z19" s="112"/>
      <c r="AA19" s="112"/>
      <c r="AB19" s="112">
        <v>0</v>
      </c>
      <c r="AC19" s="123">
        <f>W19+X19+Y19+Z19+AA19+AB19</f>
        <v>77.055640000018755</v>
      </c>
      <c r="AD19" s="110">
        <v>782345.91292019037</v>
      </c>
      <c r="AE19" s="113"/>
      <c r="AF19" s="129">
        <v>512.81999999999971</v>
      </c>
      <c r="AG19" s="131">
        <v>0</v>
      </c>
      <c r="AH19" s="130">
        <f>AF19+AG19</f>
        <v>512.81999999999971</v>
      </c>
      <c r="AI19" s="133">
        <v>4871789.9999999972</v>
      </c>
      <c r="AJ19" s="21"/>
    </row>
    <row r="20" spans="1:36" ht="15">
      <c r="A20" s="19"/>
      <c r="B20" s="64">
        <v>14</v>
      </c>
      <c r="C20" s="65">
        <v>39</v>
      </c>
      <c r="D20" s="65">
        <v>412</v>
      </c>
      <c r="E20" s="124">
        <v>18199.999999999931</v>
      </c>
      <c r="F20" s="124">
        <v>19793755.799999926</v>
      </c>
      <c r="G20" s="111">
        <v>3639.9999999999864</v>
      </c>
      <c r="H20" s="111">
        <v>5938126.7399999788</v>
      </c>
      <c r="I20" s="105">
        <f>F20+H20</f>
        <v>25731882.539999906</v>
      </c>
      <c r="J20" s="158">
        <v>1880.0000000001091</v>
      </c>
      <c r="K20" s="158">
        <v>2044629.7200001187</v>
      </c>
      <c r="L20" s="120">
        <v>440.00000000005457</v>
      </c>
      <c r="M20" s="122">
        <v>717795.54000008909</v>
      </c>
      <c r="N20" s="107">
        <f>K20+M20</f>
        <v>2762425.2600002079</v>
      </c>
      <c r="O20" s="105">
        <f>I20+N20</f>
        <v>28494307.800000113</v>
      </c>
      <c r="P20" s="107">
        <f>E20+G20+J20+L20</f>
        <v>24160.00000000008</v>
      </c>
      <c r="Q20" s="123">
        <f>R20+T20</f>
        <v>556</v>
      </c>
      <c r="R20" s="124">
        <v>193</v>
      </c>
      <c r="S20" s="124">
        <v>3468244.74</v>
      </c>
      <c r="T20" s="117">
        <v>363</v>
      </c>
      <c r="U20" s="117">
        <v>1718235.09</v>
      </c>
      <c r="V20" s="115">
        <f>S20+U20</f>
        <v>5186479.83</v>
      </c>
      <c r="W20" s="126">
        <v>98.041519999985923</v>
      </c>
      <c r="X20" s="112"/>
      <c r="Y20" s="110"/>
      <c r="Z20" s="112"/>
      <c r="AA20" s="112"/>
      <c r="AB20" s="112">
        <v>24</v>
      </c>
      <c r="AC20" s="123">
        <f>W20+X20+Y20+Z20+AA20+AB20</f>
        <v>122.04151999998592</v>
      </c>
      <c r="AD20" s="110">
        <v>1274415.552559857</v>
      </c>
      <c r="AE20" s="113"/>
      <c r="AF20" s="129">
        <v>736.54999999999927</v>
      </c>
      <c r="AG20" s="131">
        <v>0</v>
      </c>
      <c r="AH20" s="130">
        <f>AF20+AG20</f>
        <v>736.54999999999927</v>
      </c>
      <c r="AI20" s="133">
        <v>6997224.9999999935</v>
      </c>
      <c r="AJ20" s="21"/>
    </row>
    <row r="21" spans="1:36" ht="15">
      <c r="A21" s="19"/>
      <c r="B21" s="81">
        <v>15</v>
      </c>
      <c r="C21" s="71">
        <v>44</v>
      </c>
      <c r="D21" s="71">
        <v>506</v>
      </c>
      <c r="E21" s="117">
        <v>18080.00000000004</v>
      </c>
      <c r="F21" s="117">
        <v>19663247.520000041</v>
      </c>
      <c r="G21" s="114">
        <v>3760.0000000000191</v>
      </c>
      <c r="H21" s="114">
        <v>6133889.1600000318</v>
      </c>
      <c r="I21" s="105">
        <f>F21+H21</f>
        <v>25797136.680000074</v>
      </c>
      <c r="J21" s="114">
        <v>2159.9999999998545</v>
      </c>
      <c r="K21" s="114">
        <v>2349149.0399998422</v>
      </c>
      <c r="L21" s="114">
        <v>539.99999999996362</v>
      </c>
      <c r="M21" s="117">
        <v>880930.88999994064</v>
      </c>
      <c r="N21" s="107">
        <f>K21+M21</f>
        <v>3230079.9299997827</v>
      </c>
      <c r="O21" s="105">
        <f>I21+N21</f>
        <v>29027216.609999858</v>
      </c>
      <c r="P21" s="107">
        <f>E21+G21+J21+L21</f>
        <v>24539.999999999876</v>
      </c>
      <c r="Q21" s="123">
        <f>R21+T21</f>
        <v>761</v>
      </c>
      <c r="R21" s="124">
        <v>211</v>
      </c>
      <c r="S21" s="124">
        <v>3791707.98</v>
      </c>
      <c r="T21" s="117">
        <v>550</v>
      </c>
      <c r="U21" s="117">
        <v>2603386.5</v>
      </c>
      <c r="V21" s="115">
        <f>S21+U21</f>
        <v>6395094.4800000004</v>
      </c>
      <c r="W21" s="126">
        <v>101.82783999999531</v>
      </c>
      <c r="X21" s="112"/>
      <c r="Y21" s="110"/>
      <c r="Z21" s="112">
        <v>50</v>
      </c>
      <c r="AA21" s="112"/>
      <c r="AB21" s="112">
        <v>12</v>
      </c>
      <c r="AC21" s="123">
        <f>W21+X21+Y21+Z21+AA21+AB21</f>
        <v>163.82783999999532</v>
      </c>
      <c r="AD21" s="110">
        <v>1731858.0595199522</v>
      </c>
      <c r="AE21" s="113"/>
      <c r="AF21" s="129">
        <v>579.68000000000029</v>
      </c>
      <c r="AG21" s="131">
        <v>0</v>
      </c>
      <c r="AH21" s="130">
        <f>AF21+AG21</f>
        <v>579.68000000000029</v>
      </c>
      <c r="AI21" s="133">
        <v>5506960.0000000028</v>
      </c>
      <c r="AJ21" s="21"/>
    </row>
    <row r="22" spans="1:36" ht="15">
      <c r="A22" s="19"/>
      <c r="B22" s="64">
        <v>16</v>
      </c>
      <c r="C22" s="71">
        <v>47</v>
      </c>
      <c r="D22" s="71">
        <v>558</v>
      </c>
      <c r="E22" s="117">
        <v>17360.000000000015</v>
      </c>
      <c r="F22" s="117">
        <v>18880197.840000018</v>
      </c>
      <c r="G22" s="114">
        <v>3840.0000000000036</v>
      </c>
      <c r="H22" s="114">
        <v>6264397.4400000069</v>
      </c>
      <c r="I22" s="105">
        <f>F22+H22</f>
        <v>25144595.280000024</v>
      </c>
      <c r="J22" s="114">
        <v>2219.9999999993452</v>
      </c>
      <c r="K22" s="114">
        <v>2414403.1799992877</v>
      </c>
      <c r="L22" s="114">
        <v>519.99999999998181</v>
      </c>
      <c r="M22" s="117">
        <v>848303.81999997038</v>
      </c>
      <c r="N22" s="107">
        <f>K22+M22</f>
        <v>3262706.9999992582</v>
      </c>
      <c r="O22" s="105">
        <f>I22+N22</f>
        <v>28407302.279999282</v>
      </c>
      <c r="P22" s="107">
        <f>E22+G22+J22+L22</f>
        <v>23939.999999999345</v>
      </c>
      <c r="Q22" s="123">
        <f>R22+T22</f>
        <v>709</v>
      </c>
      <c r="R22" s="124">
        <v>218</v>
      </c>
      <c r="S22" s="124">
        <v>3917499.24</v>
      </c>
      <c r="T22" s="117">
        <v>491</v>
      </c>
      <c r="U22" s="117">
        <v>2324114.1300000004</v>
      </c>
      <c r="V22" s="115">
        <f>S22+U22</f>
        <v>6241613.370000001</v>
      </c>
      <c r="W22" s="126">
        <v>108.83656000001641</v>
      </c>
      <c r="X22" s="112"/>
      <c r="Y22" s="110">
        <v>400</v>
      </c>
      <c r="Z22" s="112"/>
      <c r="AA22" s="112"/>
      <c r="AB22" s="112">
        <v>12</v>
      </c>
      <c r="AC22" s="123">
        <f>W22+X22+Y22+Z22+AA22+AB22</f>
        <v>520.83656000001633</v>
      </c>
      <c r="AD22" s="110">
        <v>5712517.5936801666</v>
      </c>
      <c r="AE22" s="113"/>
      <c r="AF22" s="129">
        <v>582.52000000000044</v>
      </c>
      <c r="AG22" s="131">
        <v>3.100000000001728</v>
      </c>
      <c r="AH22" s="130">
        <f>AF22+AG22</f>
        <v>585.62000000000216</v>
      </c>
      <c r="AI22" s="133">
        <v>5563390.0000000205</v>
      </c>
      <c r="AJ22" s="21"/>
    </row>
    <row r="23" spans="1:36" ht="15">
      <c r="A23" s="19"/>
      <c r="B23" s="81">
        <v>17</v>
      </c>
      <c r="C23" s="71">
        <v>48</v>
      </c>
      <c r="D23" s="71">
        <v>598</v>
      </c>
      <c r="E23" s="117">
        <v>19120.000000000004</v>
      </c>
      <c r="F23" s="117">
        <v>20794319.280000001</v>
      </c>
      <c r="G23" s="114">
        <v>3919.9999999999873</v>
      </c>
      <c r="H23" s="114">
        <v>6394905.7199999802</v>
      </c>
      <c r="I23" s="105">
        <f>F23+H23</f>
        <v>27189224.999999981</v>
      </c>
      <c r="J23" s="114">
        <v>2360.0000000005821</v>
      </c>
      <c r="K23" s="114">
        <v>2566662.8400006332</v>
      </c>
      <c r="L23" s="114">
        <v>559.99999999994543</v>
      </c>
      <c r="M23" s="117">
        <v>913557.95999991102</v>
      </c>
      <c r="N23" s="107">
        <f>K23+M23</f>
        <v>3480220.8000005442</v>
      </c>
      <c r="O23" s="105">
        <f>I23+N23</f>
        <v>30669445.800000526</v>
      </c>
      <c r="P23" s="107">
        <f>E23+G23+J23+L23</f>
        <v>25960.00000000052</v>
      </c>
      <c r="Q23" s="123">
        <f>R23+T23</f>
        <v>630.90000000000146</v>
      </c>
      <c r="R23" s="124">
        <v>192</v>
      </c>
      <c r="S23" s="124">
        <v>3450274.56</v>
      </c>
      <c r="T23" s="117">
        <v>438.90000000000146</v>
      </c>
      <c r="U23" s="117">
        <v>2077502.4270000071</v>
      </c>
      <c r="V23" s="115">
        <f>S23+U23</f>
        <v>5527776.9870000072</v>
      </c>
      <c r="W23" s="126">
        <v>110.68943999998358</v>
      </c>
      <c r="X23" s="112">
        <v>250</v>
      </c>
      <c r="Y23" s="110"/>
      <c r="Z23" s="112"/>
      <c r="AA23" s="112"/>
      <c r="AB23" s="112">
        <v>24</v>
      </c>
      <c r="AC23" s="123">
        <f>W23+X23+Y23+Z23+AA23+AB23</f>
        <v>384.68943999998356</v>
      </c>
      <c r="AD23" s="110">
        <v>4195329.8843198335</v>
      </c>
      <c r="AE23" s="113"/>
      <c r="AF23" s="129">
        <v>472.45000000000073</v>
      </c>
      <c r="AG23" s="131">
        <v>0</v>
      </c>
      <c r="AH23" s="130">
        <f>AF23+AG23</f>
        <v>472.45000000000073</v>
      </c>
      <c r="AI23" s="133">
        <v>4488275.0000000065</v>
      </c>
      <c r="AJ23" s="21"/>
    </row>
    <row r="24" spans="1:36" ht="15">
      <c r="A24" s="19"/>
      <c r="B24" s="64">
        <v>18</v>
      </c>
      <c r="C24" s="71">
        <v>49</v>
      </c>
      <c r="D24" s="71">
        <v>546</v>
      </c>
      <c r="E24" s="117">
        <v>19480.000000000018</v>
      </c>
      <c r="F24" s="117">
        <v>21185844.12000002</v>
      </c>
      <c r="G24" s="114">
        <v>3840.0000000000036</v>
      </c>
      <c r="H24" s="114">
        <v>6264397.4400000069</v>
      </c>
      <c r="I24" s="105">
        <f>F24+H24</f>
        <v>27450241.560000025</v>
      </c>
      <c r="J24" s="114">
        <v>2119.9999999998909</v>
      </c>
      <c r="K24" s="118">
        <v>2305646.2799998815</v>
      </c>
      <c r="L24" s="114">
        <v>539.99999999996362</v>
      </c>
      <c r="M24" s="117">
        <v>880930.88999994064</v>
      </c>
      <c r="N24" s="107">
        <f>K24+M24</f>
        <v>3186577.169999822</v>
      </c>
      <c r="O24" s="105">
        <f>I24+N24</f>
        <v>30636818.729999848</v>
      </c>
      <c r="P24" s="107">
        <f>E24+G24+J24+L24</f>
        <v>25979.999999999876</v>
      </c>
      <c r="Q24" s="123">
        <f>R24+T24</f>
        <v>656.40000000000146</v>
      </c>
      <c r="R24" s="124">
        <v>185</v>
      </c>
      <c r="S24" s="124">
        <v>3324483.3000000003</v>
      </c>
      <c r="T24" s="117">
        <v>471.40000000000146</v>
      </c>
      <c r="U24" s="117">
        <v>2231338.9020000072</v>
      </c>
      <c r="V24" s="115">
        <f>S24+U24</f>
        <v>5555822.202000007</v>
      </c>
      <c r="W24" s="126">
        <v>114.23408000000234</v>
      </c>
      <c r="X24" s="112"/>
      <c r="Y24" s="110"/>
      <c r="Z24" s="112"/>
      <c r="AA24" s="112"/>
      <c r="AB24" s="112">
        <v>36</v>
      </c>
      <c r="AC24" s="123">
        <f>W24+X24+Y24+Z24+AA24+AB24</f>
        <v>150.23408000000234</v>
      </c>
      <c r="AD24" s="110">
        <v>1578318.6142400238</v>
      </c>
      <c r="AE24" s="113"/>
      <c r="AF24" s="129">
        <v>549.25</v>
      </c>
      <c r="AG24" s="131">
        <v>0</v>
      </c>
      <c r="AH24" s="130">
        <f>AF24+AG24</f>
        <v>549.25</v>
      </c>
      <c r="AI24" s="133">
        <v>5217875</v>
      </c>
      <c r="AJ24" s="21"/>
    </row>
    <row r="25" spans="1:36" ht="15">
      <c r="A25" s="19"/>
      <c r="B25" s="81">
        <v>19</v>
      </c>
      <c r="C25" s="71">
        <v>49</v>
      </c>
      <c r="D25" s="71">
        <v>477</v>
      </c>
      <c r="E25" s="117">
        <v>15840.000000000033</v>
      </c>
      <c r="F25" s="117">
        <v>17227092.960000034</v>
      </c>
      <c r="G25" s="114">
        <v>3599.9999999999945</v>
      </c>
      <c r="H25" s="114">
        <v>5872872.5999999912</v>
      </c>
      <c r="I25" s="105">
        <f>F25+H25</f>
        <v>23099965.560000025</v>
      </c>
      <c r="J25" s="114">
        <v>2140.0000000003274</v>
      </c>
      <c r="K25" s="114">
        <v>2327397.6600003564</v>
      </c>
      <c r="L25" s="114">
        <v>519.99999999998181</v>
      </c>
      <c r="M25" s="117">
        <v>848303.81999997038</v>
      </c>
      <c r="N25" s="107">
        <f>K25+M25</f>
        <v>3175701.4800003269</v>
      </c>
      <c r="O25" s="105">
        <f>I25+N25</f>
        <v>26275667.040000353</v>
      </c>
      <c r="P25" s="107">
        <f>E25+G25+J25+L25</f>
        <v>22100.000000000338</v>
      </c>
      <c r="Q25" s="123">
        <f>R25+T25</f>
        <v>861.89999999999418</v>
      </c>
      <c r="R25" s="124">
        <v>236</v>
      </c>
      <c r="S25" s="124">
        <v>4240962.4800000004</v>
      </c>
      <c r="T25" s="117">
        <v>625.89999999999418</v>
      </c>
      <c r="U25" s="117">
        <v>2962653.8369999728</v>
      </c>
      <c r="V25" s="115">
        <f>S25+U25</f>
        <v>7203616.3169999737</v>
      </c>
      <c r="W25" s="126">
        <v>120.63860000001758</v>
      </c>
      <c r="X25" s="112"/>
      <c r="Y25" s="110"/>
      <c r="Z25" s="112"/>
      <c r="AA25" s="112"/>
      <c r="AB25" s="112">
        <v>12</v>
      </c>
      <c r="AC25" s="123">
        <f>W25+X25+Y25+Z25+AA25+AB25</f>
        <v>132.63860000001756</v>
      </c>
      <c r="AD25" s="110">
        <v>1364343.7058001785</v>
      </c>
      <c r="AE25" s="113"/>
      <c r="AF25" s="129">
        <v>521.15000000000146</v>
      </c>
      <c r="AG25" s="131">
        <v>0</v>
      </c>
      <c r="AH25" s="130">
        <f>AF25+AG25</f>
        <v>521.15000000000146</v>
      </c>
      <c r="AI25" s="133">
        <v>4950925.000000014</v>
      </c>
      <c r="AJ25" s="21"/>
    </row>
    <row r="26" spans="1:36" ht="15">
      <c r="A26" s="19"/>
      <c r="B26" s="64">
        <v>20</v>
      </c>
      <c r="C26" s="71">
        <v>60</v>
      </c>
      <c r="D26" s="71">
        <v>563</v>
      </c>
      <c r="E26" s="117">
        <v>17000</v>
      </c>
      <c r="F26" s="117">
        <v>18488673</v>
      </c>
      <c r="G26" s="114">
        <v>3640.0000000000146</v>
      </c>
      <c r="H26" s="114">
        <v>5938126.7400000244</v>
      </c>
      <c r="I26" s="105">
        <f>F26+H26</f>
        <v>24426799.740000024</v>
      </c>
      <c r="J26" s="114">
        <v>2159.9999999998545</v>
      </c>
      <c r="K26" s="114">
        <v>2349149.0399998422</v>
      </c>
      <c r="L26" s="114">
        <v>519.99999999998181</v>
      </c>
      <c r="M26" s="117">
        <v>848303.81999997038</v>
      </c>
      <c r="N26" s="107">
        <f>K26+M26</f>
        <v>3197452.8599998127</v>
      </c>
      <c r="O26" s="105">
        <f>I26+N26</f>
        <v>27624252.599999838</v>
      </c>
      <c r="P26" s="107">
        <f>E26+G26+J26+L26</f>
        <v>23319.999999999851</v>
      </c>
      <c r="Q26" s="123">
        <f>R26+T26</f>
        <v>584</v>
      </c>
      <c r="R26" s="124">
        <v>195</v>
      </c>
      <c r="S26" s="124">
        <v>3504185.1</v>
      </c>
      <c r="T26" s="117">
        <v>389</v>
      </c>
      <c r="U26" s="117">
        <v>1841304.27</v>
      </c>
      <c r="V26" s="115">
        <f>S26+U26</f>
        <v>5345489.37</v>
      </c>
      <c r="W26" s="126">
        <v>116.04667999999062</v>
      </c>
      <c r="X26" s="112"/>
      <c r="Y26" s="110">
        <v>400</v>
      </c>
      <c r="Z26" s="112"/>
      <c r="AA26" s="112"/>
      <c r="AB26" s="112">
        <v>12</v>
      </c>
      <c r="AC26" s="123">
        <f>W26+X26+Y26+Z26+AA26+AB26</f>
        <v>528.0466799999906</v>
      </c>
      <c r="AD26" s="110">
        <v>5785721.9420399051</v>
      </c>
      <c r="AE26" s="113"/>
      <c r="AF26" s="129">
        <v>599.94999999999709</v>
      </c>
      <c r="AG26" s="131">
        <v>0</v>
      </c>
      <c r="AH26" s="130">
        <f>AF26+AG26</f>
        <v>599.94999999999709</v>
      </c>
      <c r="AI26" s="133">
        <v>5699524.9999999721</v>
      </c>
      <c r="AJ26" s="21"/>
    </row>
    <row r="27" spans="1:36" ht="15">
      <c r="A27" s="19"/>
      <c r="B27" s="81">
        <v>21</v>
      </c>
      <c r="C27" s="65">
        <v>67</v>
      </c>
      <c r="D27" s="65">
        <v>579</v>
      </c>
      <c r="E27" s="124">
        <v>18199.999999999931</v>
      </c>
      <c r="F27" s="124">
        <v>19793755.799999926</v>
      </c>
      <c r="G27" s="111">
        <v>3679.9999999999782</v>
      </c>
      <c r="H27" s="111">
        <v>6003380.8799999645</v>
      </c>
      <c r="I27" s="105">
        <f>F27+H27</f>
        <v>25797136.679999892</v>
      </c>
      <c r="J27" s="158">
        <v>2000</v>
      </c>
      <c r="K27" s="158">
        <v>2175138</v>
      </c>
      <c r="L27" s="120">
        <v>500</v>
      </c>
      <c r="M27" s="122">
        <v>815676.75</v>
      </c>
      <c r="N27" s="107">
        <f>K27+M27</f>
        <v>2990814.75</v>
      </c>
      <c r="O27" s="105">
        <f>I27+N27</f>
        <v>28787951.429999892</v>
      </c>
      <c r="P27" s="107">
        <f>E27+G27+J27+L27</f>
        <v>24379.999999999909</v>
      </c>
      <c r="Q27" s="123">
        <f>R27+T27</f>
        <v>1340.8000000000029</v>
      </c>
      <c r="R27" s="124">
        <v>234</v>
      </c>
      <c r="S27" s="124">
        <v>4205022.12</v>
      </c>
      <c r="T27" s="117">
        <v>1106.8000000000029</v>
      </c>
      <c r="U27" s="117">
        <v>5238960.324000014</v>
      </c>
      <c r="V27" s="115">
        <f>S27+U27</f>
        <v>9443982.4440000132</v>
      </c>
      <c r="W27" s="126">
        <v>108.03095999999881</v>
      </c>
      <c r="X27" s="112"/>
      <c r="Y27" s="110"/>
      <c r="Z27" s="112">
        <v>50</v>
      </c>
      <c r="AA27" s="112"/>
      <c r="AB27" s="112">
        <v>0</v>
      </c>
      <c r="AC27" s="123">
        <f>W27+X27+Y27+Z27+AA27+AB27</f>
        <v>158.0309599999988</v>
      </c>
      <c r="AD27" s="110">
        <v>1655338.336879988</v>
      </c>
      <c r="AE27" s="113"/>
      <c r="AF27" s="129">
        <v>680.70000000000073</v>
      </c>
      <c r="AG27" s="131">
        <v>4.1999999999984539</v>
      </c>
      <c r="AH27" s="130">
        <f>AF27+AG27</f>
        <v>684.89999999999918</v>
      </c>
      <c r="AI27" s="133">
        <v>6506549.9999999925</v>
      </c>
      <c r="AJ27" s="21"/>
    </row>
    <row r="28" spans="1:36" ht="15">
      <c r="A28" s="19"/>
      <c r="B28" s="64">
        <v>22</v>
      </c>
      <c r="C28" s="65">
        <v>56</v>
      </c>
      <c r="D28" s="65">
        <v>648</v>
      </c>
      <c r="E28" s="124">
        <v>17960.000000000036</v>
      </c>
      <c r="F28" s="124">
        <v>19532739.240000039</v>
      </c>
      <c r="G28" s="111">
        <v>3680.0000000000068</v>
      </c>
      <c r="H28" s="111">
        <v>6003380.880000012</v>
      </c>
      <c r="I28" s="105">
        <f>F28+H28</f>
        <v>25536120.120000049</v>
      </c>
      <c r="J28" s="158">
        <v>2159.9999999998545</v>
      </c>
      <c r="K28" s="158">
        <v>2349149.0399998422</v>
      </c>
      <c r="L28" s="120">
        <v>519.99999999998181</v>
      </c>
      <c r="M28" s="122">
        <v>848303.81999997038</v>
      </c>
      <c r="N28" s="107">
        <f>K28+M28</f>
        <v>3197452.8599998127</v>
      </c>
      <c r="O28" s="105">
        <f>I28+N28</f>
        <v>28733572.979999863</v>
      </c>
      <c r="P28" s="107">
        <f>E28+G28+J28+L28</f>
        <v>24319.99999999988</v>
      </c>
      <c r="Q28" s="123">
        <f>R28+T28</f>
        <v>590</v>
      </c>
      <c r="R28" s="124">
        <v>207</v>
      </c>
      <c r="S28" s="124">
        <v>3719827.2600000002</v>
      </c>
      <c r="T28" s="117">
        <v>383</v>
      </c>
      <c r="U28" s="117">
        <v>1812903.6900000002</v>
      </c>
      <c r="V28" s="115">
        <f>S28+U28</f>
        <v>5532730.9500000002</v>
      </c>
      <c r="W28" s="126">
        <v>117.09395999999882</v>
      </c>
      <c r="X28" s="112">
        <v>250</v>
      </c>
      <c r="Y28" s="110"/>
      <c r="Z28" s="112"/>
      <c r="AA28" s="112"/>
      <c r="AB28" s="112">
        <v>12</v>
      </c>
      <c r="AC28" s="123">
        <f>W28+X28+Y28+Z28+AA28+AB28</f>
        <v>379.09395999999879</v>
      </c>
      <c r="AD28" s="110">
        <v>4120854.9758799877</v>
      </c>
      <c r="AE28" s="113"/>
      <c r="AF28" s="129">
        <v>501.13000000000102</v>
      </c>
      <c r="AG28" s="131">
        <v>0</v>
      </c>
      <c r="AH28" s="130">
        <f>AF28+AG28</f>
        <v>501.13000000000102</v>
      </c>
      <c r="AI28" s="133">
        <v>4760735.0000000093</v>
      </c>
      <c r="AJ28" s="21"/>
    </row>
    <row r="29" spans="1:36" ht="15">
      <c r="A29" s="19"/>
      <c r="B29" s="81">
        <v>23</v>
      </c>
      <c r="C29" s="65">
        <v>51</v>
      </c>
      <c r="D29" s="65">
        <v>573</v>
      </c>
      <c r="E29" s="124">
        <v>17000</v>
      </c>
      <c r="F29" s="124">
        <v>18488673</v>
      </c>
      <c r="G29" s="111">
        <v>3640.0000000000146</v>
      </c>
      <c r="H29" s="111">
        <v>5938126.7400000244</v>
      </c>
      <c r="I29" s="105">
        <f>F29+H29</f>
        <v>24426799.740000024</v>
      </c>
      <c r="J29" s="158">
        <v>2380.0000000001091</v>
      </c>
      <c r="K29" s="158">
        <v>2588414.2200001189</v>
      </c>
      <c r="L29" s="120">
        <v>560.0000000001728</v>
      </c>
      <c r="M29" s="122">
        <v>913557.96000028204</v>
      </c>
      <c r="N29" s="107">
        <f>K29+M29</f>
        <v>3501972.1800004011</v>
      </c>
      <c r="O29" s="105">
        <f>I29+N29</f>
        <v>27928771.920000426</v>
      </c>
      <c r="P29" s="107">
        <f>E29+G29+J29+L29</f>
        <v>23580.000000000298</v>
      </c>
      <c r="Q29" s="123">
        <f>R29+T29</f>
        <v>559.19999999999709</v>
      </c>
      <c r="R29" s="124">
        <v>197</v>
      </c>
      <c r="S29" s="124">
        <v>3540125.46</v>
      </c>
      <c r="T29" s="117">
        <v>362.19999999999709</v>
      </c>
      <c r="U29" s="117">
        <v>1714448.3459999864</v>
      </c>
      <c r="V29" s="115">
        <f>S29+U29</f>
        <v>5254573.8059999868</v>
      </c>
      <c r="W29" s="126">
        <v>113.75071999999179</v>
      </c>
      <c r="X29" s="112"/>
      <c r="Y29" s="110"/>
      <c r="Z29" s="112"/>
      <c r="AA29" s="112"/>
      <c r="AB29" s="112">
        <v>12</v>
      </c>
      <c r="AC29" s="123">
        <f>W29+X29+Y29+Z29+AA29+AB29</f>
        <v>125.75071999999179</v>
      </c>
      <c r="AD29" s="110">
        <v>1294411.0601599165</v>
      </c>
      <c r="AE29" s="113"/>
      <c r="AF29" s="129">
        <v>431.07999999999811</v>
      </c>
      <c r="AG29" s="131">
        <v>0</v>
      </c>
      <c r="AH29" s="130">
        <f>AF29+AG29</f>
        <v>431.07999999999811</v>
      </c>
      <c r="AI29" s="133">
        <v>4095259.9999999818</v>
      </c>
      <c r="AJ29" s="21"/>
    </row>
    <row r="30" spans="1:36" ht="15">
      <c r="A30" s="19"/>
      <c r="B30" s="64">
        <v>24</v>
      </c>
      <c r="C30" s="65">
        <v>61</v>
      </c>
      <c r="D30" s="65">
        <v>659</v>
      </c>
      <c r="E30" s="124">
        <v>17799.999999999956</v>
      </c>
      <c r="F30" s="124">
        <v>19358728.199999955</v>
      </c>
      <c r="G30" s="111">
        <v>3759.9999999999909</v>
      </c>
      <c r="H30" s="111">
        <v>6133889.1599999862</v>
      </c>
      <c r="I30" s="105">
        <f>F30+H30</f>
        <v>25492617.35999994</v>
      </c>
      <c r="J30" s="158">
        <v>2340.0000000001455</v>
      </c>
      <c r="K30" s="158">
        <v>2544911.4600001583</v>
      </c>
      <c r="L30" s="120">
        <v>539.99999999996362</v>
      </c>
      <c r="M30" s="122">
        <v>880930.88999994064</v>
      </c>
      <c r="N30" s="107">
        <f>K30+M30</f>
        <v>3425842.3500000988</v>
      </c>
      <c r="O30" s="105">
        <f>I30+N30</f>
        <v>28918459.710000038</v>
      </c>
      <c r="P30" s="107">
        <f>E30+G30+J30+L30</f>
        <v>24440.000000000058</v>
      </c>
      <c r="Q30" s="123">
        <f>R30+T30</f>
        <v>569.40000000000146</v>
      </c>
      <c r="R30" s="124">
        <v>204</v>
      </c>
      <c r="S30" s="124">
        <v>3665916.72</v>
      </c>
      <c r="T30" s="117">
        <v>365.40000000000146</v>
      </c>
      <c r="U30" s="117">
        <v>1729595.3220000069</v>
      </c>
      <c r="V30" s="115">
        <f>S30+U30</f>
        <v>5395512.0420000069</v>
      </c>
      <c r="W30" s="126">
        <v>122.9345600000164</v>
      </c>
      <c r="X30" s="112"/>
      <c r="Y30" s="110"/>
      <c r="Z30" s="112"/>
      <c r="AA30" s="112"/>
      <c r="AB30" s="112">
        <v>24</v>
      </c>
      <c r="AC30" s="123">
        <f>W30+X30+Y30+Z30+AA30+AB30</f>
        <v>146.9345600000164</v>
      </c>
      <c r="AD30" s="110">
        <v>1527154.5876801666</v>
      </c>
      <c r="AE30" s="113"/>
      <c r="AF30" s="129">
        <v>549.7400000000016</v>
      </c>
      <c r="AG30" s="131">
        <v>0</v>
      </c>
      <c r="AH30" s="130">
        <f>AF30+AG30</f>
        <v>549.7400000000016</v>
      </c>
      <c r="AI30" s="133">
        <v>5222530.0000000149</v>
      </c>
      <c r="AJ30" s="21"/>
    </row>
    <row r="31" spans="1:36" ht="15">
      <c r="A31" s="19"/>
      <c r="B31" s="81">
        <v>25</v>
      </c>
      <c r="C31" s="65">
        <v>52</v>
      </c>
      <c r="D31" s="65">
        <v>584</v>
      </c>
      <c r="E31" s="124">
        <v>17639.999999999985</v>
      </c>
      <c r="F31" s="124">
        <v>19184717.159999985</v>
      </c>
      <c r="G31" s="111">
        <v>3560.0000000000023</v>
      </c>
      <c r="H31" s="111">
        <v>5807618.4600000046</v>
      </c>
      <c r="I31" s="105">
        <f>F31+H31</f>
        <v>24992335.61999999</v>
      </c>
      <c r="J31" s="158">
        <v>2059.9999999994907</v>
      </c>
      <c r="K31" s="158">
        <v>2240392.139999446</v>
      </c>
      <c r="L31" s="120">
        <v>500</v>
      </c>
      <c r="M31" s="122">
        <v>815676.75</v>
      </c>
      <c r="N31" s="107">
        <f>K31+M31</f>
        <v>3056068.889999446</v>
      </c>
      <c r="O31" s="105">
        <f>I31+N31</f>
        <v>28048404.509999435</v>
      </c>
      <c r="P31" s="107">
        <f>E31+G31+J31+L31</f>
        <v>23759.99999999948</v>
      </c>
      <c r="Q31" s="123">
        <f>R31+T31</f>
        <v>546.80000000000291</v>
      </c>
      <c r="R31" s="124">
        <v>196</v>
      </c>
      <c r="S31" s="124">
        <v>3522155.2800000003</v>
      </c>
      <c r="T31" s="117">
        <v>350.80000000000291</v>
      </c>
      <c r="U31" s="117">
        <v>1660487.2440000139</v>
      </c>
      <c r="V31" s="115">
        <f>S31+U31</f>
        <v>5182642.5240000142</v>
      </c>
      <c r="W31" s="126">
        <v>116.12723999997772</v>
      </c>
      <c r="X31" s="112"/>
      <c r="Y31" s="110">
        <v>400</v>
      </c>
      <c r="Z31" s="112"/>
      <c r="AA31" s="112"/>
      <c r="AB31" s="112">
        <v>0</v>
      </c>
      <c r="AC31" s="123">
        <f>W31+X31+Y31+Z31+AA31+AB31</f>
        <v>516.12723999997775</v>
      </c>
      <c r="AD31" s="110">
        <v>5647039.8677197732</v>
      </c>
      <c r="AE31" s="113"/>
      <c r="AF31" s="129">
        <v>632.25</v>
      </c>
      <c r="AG31" s="131">
        <v>87.999999999999545</v>
      </c>
      <c r="AH31" s="130">
        <f>AF31+AG31</f>
        <v>720.24999999999955</v>
      </c>
      <c r="AI31" s="133">
        <v>6842374.9999999953</v>
      </c>
      <c r="AJ31" s="21"/>
    </row>
    <row r="32" spans="1:36" ht="15">
      <c r="A32" s="19"/>
      <c r="B32" s="64">
        <v>26</v>
      </c>
      <c r="C32" s="65">
        <v>52</v>
      </c>
      <c r="D32" s="65">
        <v>484</v>
      </c>
      <c r="E32" s="124">
        <v>16920.000000000073</v>
      </c>
      <c r="F32" s="124">
        <v>18401667.480000082</v>
      </c>
      <c r="G32" s="111">
        <v>3560.0000000000023</v>
      </c>
      <c r="H32" s="111">
        <v>5807618.4600000046</v>
      </c>
      <c r="I32" s="105">
        <f>F32+H32</f>
        <v>24209285.940000087</v>
      </c>
      <c r="J32" s="158">
        <v>2220.0000000002547</v>
      </c>
      <c r="K32" s="158">
        <v>2414403.1800002768</v>
      </c>
      <c r="L32" s="120">
        <v>539.99999999996362</v>
      </c>
      <c r="M32" s="122">
        <v>880930.88999994064</v>
      </c>
      <c r="N32" s="107">
        <f>K32+M32</f>
        <v>3295334.0700002173</v>
      </c>
      <c r="O32" s="105">
        <f>I32+N32</f>
        <v>27504620.010000303</v>
      </c>
      <c r="P32" s="107">
        <f>E32+G32+J32+L32</f>
        <v>23240.000000000295</v>
      </c>
      <c r="Q32" s="123">
        <f>R32+T32</f>
        <v>749</v>
      </c>
      <c r="R32" s="124">
        <v>234</v>
      </c>
      <c r="S32" s="124">
        <v>4205022.12</v>
      </c>
      <c r="T32" s="117">
        <v>515</v>
      </c>
      <c r="U32" s="117">
        <v>2437716.4500000002</v>
      </c>
      <c r="V32" s="115">
        <f>S32+U32</f>
        <v>6642738.5700000003</v>
      </c>
      <c r="W32" s="126">
        <v>118.06068000001991</v>
      </c>
      <c r="X32" s="112"/>
      <c r="Y32" s="110"/>
      <c r="Z32" s="112"/>
      <c r="AA32" s="112"/>
      <c r="AB32" s="112">
        <v>0</v>
      </c>
      <c r="AC32" s="123">
        <f>W32+X32+Y32+Z32+AA32+AB32</f>
        <v>118.06068000001991</v>
      </c>
      <c r="AD32" s="110">
        <v>1198670.0840402022</v>
      </c>
      <c r="AE32" s="113"/>
      <c r="AF32" s="129">
        <v>457.20000000000073</v>
      </c>
      <c r="AG32" s="131">
        <v>0</v>
      </c>
      <c r="AH32" s="130">
        <f>AF32+AG32</f>
        <v>457.20000000000073</v>
      </c>
      <c r="AI32" s="133">
        <v>4343400.0000000065</v>
      </c>
      <c r="AJ32" s="21"/>
    </row>
    <row r="33" spans="1:36" ht="15">
      <c r="A33" s="19"/>
      <c r="B33" s="81">
        <v>27</v>
      </c>
      <c r="C33" s="65">
        <v>55</v>
      </c>
      <c r="D33" s="65">
        <v>494</v>
      </c>
      <c r="E33" s="124">
        <v>16839.99999999992</v>
      </c>
      <c r="F33" s="124">
        <v>18314661.959999915</v>
      </c>
      <c r="G33" s="111">
        <v>3519.9999999999818</v>
      </c>
      <c r="H33" s="111">
        <v>5742364.3199999714</v>
      </c>
      <c r="I33" s="105">
        <f>F33+H33</f>
        <v>24057026.279999886</v>
      </c>
      <c r="J33" s="158">
        <v>2159.9999999998545</v>
      </c>
      <c r="K33" s="158">
        <v>2349149.0399998422</v>
      </c>
      <c r="L33" s="120">
        <v>519.99999999998181</v>
      </c>
      <c r="M33" s="122">
        <v>848303.81999997038</v>
      </c>
      <c r="N33" s="107">
        <f>K33+M33</f>
        <v>3197452.8599998127</v>
      </c>
      <c r="O33" s="105">
        <f>I33+N33</f>
        <v>27254479.139999699</v>
      </c>
      <c r="P33" s="107">
        <f>E33+G33+J33+L33</f>
        <v>23039.999999999738</v>
      </c>
      <c r="Q33" s="123">
        <f>R33+T33</f>
        <v>634.59999999999854</v>
      </c>
      <c r="R33" s="124">
        <v>184</v>
      </c>
      <c r="S33" s="124">
        <v>3306513.12</v>
      </c>
      <c r="T33" s="117">
        <v>450.59999999999854</v>
      </c>
      <c r="U33" s="117">
        <v>2132883.5579999932</v>
      </c>
      <c r="V33" s="115">
        <f>S33+U33</f>
        <v>5439396.6779999938</v>
      </c>
      <c r="W33" s="126">
        <v>101.10279999999413</v>
      </c>
      <c r="X33" s="112">
        <v>250</v>
      </c>
      <c r="Y33" s="110"/>
      <c r="Z33" s="112">
        <v>50</v>
      </c>
      <c r="AA33" s="112"/>
      <c r="AB33" s="112">
        <v>12</v>
      </c>
      <c r="AC33" s="123">
        <f>W33+X33+Y33+Z33+AA33+AB33</f>
        <v>413.10279999999415</v>
      </c>
      <c r="AD33" s="110">
        <v>4516996.7283999398</v>
      </c>
      <c r="AE33" s="113"/>
      <c r="AF33" s="129">
        <v>639.52999999999884</v>
      </c>
      <c r="AG33" s="131">
        <v>0</v>
      </c>
      <c r="AH33" s="130">
        <f>AF33+AG33</f>
        <v>639.52999999999884</v>
      </c>
      <c r="AI33" s="133">
        <v>6075534.9999999888</v>
      </c>
      <c r="AJ33" s="21"/>
    </row>
    <row r="34" spans="1:36" ht="15">
      <c r="A34" s="19"/>
      <c r="B34" s="64">
        <v>28</v>
      </c>
      <c r="C34" s="65">
        <v>56</v>
      </c>
      <c r="D34" s="65">
        <v>518</v>
      </c>
      <c r="E34" s="124">
        <v>16920.000000000073</v>
      </c>
      <c r="F34" s="124">
        <v>18401667.480000082</v>
      </c>
      <c r="G34" s="111">
        <v>3719.9999999999991</v>
      </c>
      <c r="H34" s="111">
        <v>6068635.0199999986</v>
      </c>
      <c r="I34" s="105">
        <f>F34+H34</f>
        <v>24470302.500000082</v>
      </c>
      <c r="J34" s="158">
        <v>2039.9999999999636</v>
      </c>
      <c r="K34" s="158">
        <v>2218640.7599999607</v>
      </c>
      <c r="L34" s="120">
        <v>539.99999999996362</v>
      </c>
      <c r="M34" s="122">
        <v>880930.88999994064</v>
      </c>
      <c r="N34" s="107">
        <f>K34+M34</f>
        <v>3099571.6499999012</v>
      </c>
      <c r="O34" s="105">
        <f>I34+N34</f>
        <v>27569874.149999984</v>
      </c>
      <c r="P34" s="107">
        <f>E34+G34+J34+L34</f>
        <v>23220</v>
      </c>
      <c r="Q34" s="123">
        <f>R34+T34</f>
        <v>733.19999999999709</v>
      </c>
      <c r="R34" s="124">
        <v>200</v>
      </c>
      <c r="S34" s="124">
        <v>3594036</v>
      </c>
      <c r="T34" s="117">
        <v>533.19999999999709</v>
      </c>
      <c r="U34" s="117">
        <v>2523864.8759999862</v>
      </c>
      <c r="V34" s="115">
        <f>S34+U34</f>
        <v>6117900.8759999862</v>
      </c>
      <c r="W34" s="126">
        <v>100.09579999999413</v>
      </c>
      <c r="X34" s="112"/>
      <c r="Y34" s="110"/>
      <c r="Z34" s="112"/>
      <c r="AA34" s="112"/>
      <c r="AB34" s="112">
        <v>12</v>
      </c>
      <c r="AC34" s="123">
        <f>W34+X34+Y34+Z34+AA34+AB34</f>
        <v>112.09579999999413</v>
      </c>
      <c r="AD34" s="110">
        <v>1155772.6573999403</v>
      </c>
      <c r="AE34" s="113"/>
      <c r="AF34" s="129">
        <v>840.52999999999884</v>
      </c>
      <c r="AG34" s="131">
        <v>0</v>
      </c>
      <c r="AH34" s="130">
        <f>AF34+AG34</f>
        <v>840.52999999999884</v>
      </c>
      <c r="AI34" s="133">
        <v>7985034.9999999888</v>
      </c>
      <c r="AJ34" s="21"/>
    </row>
    <row r="35" spans="1:36" ht="15">
      <c r="A35" s="19"/>
      <c r="B35" s="81">
        <v>29</v>
      </c>
      <c r="C35" s="65">
        <v>66</v>
      </c>
      <c r="D35" s="65">
        <v>522</v>
      </c>
      <c r="E35" s="124">
        <v>17600.000000000022</v>
      </c>
      <c r="F35" s="124">
        <v>19141214.400000025</v>
      </c>
      <c r="G35" s="111">
        <v>3760.0000000000191</v>
      </c>
      <c r="H35" s="111">
        <v>6133889.1600000318</v>
      </c>
      <c r="I35" s="105">
        <f>F35+H35</f>
        <v>25275103.560000055</v>
      </c>
      <c r="J35" s="158">
        <v>2199.9999999998181</v>
      </c>
      <c r="K35" s="158">
        <v>2392651.7999998019</v>
      </c>
      <c r="L35" s="120">
        <v>519.99999999998181</v>
      </c>
      <c r="M35" s="122">
        <v>848303.81999997038</v>
      </c>
      <c r="N35" s="107">
        <f>K35+M35</f>
        <v>3240955.6199997724</v>
      </c>
      <c r="O35" s="105">
        <f>I35+N35</f>
        <v>28516059.179999828</v>
      </c>
      <c r="P35" s="107">
        <f>E35+G35+J35+L35</f>
        <v>24079.99999999984</v>
      </c>
      <c r="Q35" s="123">
        <f>R35+T35</f>
        <v>627.80000000000291</v>
      </c>
      <c r="R35" s="124">
        <v>139</v>
      </c>
      <c r="S35" s="124">
        <v>2497855.02</v>
      </c>
      <c r="T35" s="117">
        <v>488.80000000000291</v>
      </c>
      <c r="U35" s="117">
        <v>2313700.5840000138</v>
      </c>
      <c r="V35" s="115">
        <f>S35+U35</f>
        <v>4811555.6040000133</v>
      </c>
      <c r="W35" s="126">
        <v>122.53175999999296</v>
      </c>
      <c r="X35" s="112"/>
      <c r="Y35" s="110"/>
      <c r="Z35" s="112"/>
      <c r="AA35" s="112"/>
      <c r="AB35" s="112">
        <v>0</v>
      </c>
      <c r="AC35" s="123">
        <f>W35+X35+Y35+Z35+AA35+AB35</f>
        <v>122.53175999999296</v>
      </c>
      <c r="AD35" s="110">
        <v>1244064.9592799286</v>
      </c>
      <c r="AE35" s="113"/>
      <c r="AF35" s="129">
        <v>641.34000000000015</v>
      </c>
      <c r="AG35" s="131">
        <v>0</v>
      </c>
      <c r="AH35" s="130">
        <f>AF35+AG35</f>
        <v>641.34000000000015</v>
      </c>
      <c r="AI35" s="133">
        <v>6092730.0000000009</v>
      </c>
      <c r="AJ35" s="21"/>
    </row>
    <row r="36" spans="1:36" ht="15">
      <c r="A36" s="19"/>
      <c r="B36" s="64">
        <v>30</v>
      </c>
      <c r="C36" s="65">
        <v>49</v>
      </c>
      <c r="D36" s="65">
        <v>574</v>
      </c>
      <c r="E36" s="124">
        <v>27399.999999999978</v>
      </c>
      <c r="F36" s="124">
        <v>29799390.599999979</v>
      </c>
      <c r="G36" s="111">
        <v>3719.9999999999991</v>
      </c>
      <c r="H36" s="111">
        <v>6068635.0199999986</v>
      </c>
      <c r="I36" s="105">
        <f>F36+H36</f>
        <v>35868025.619999975</v>
      </c>
      <c r="J36" s="158">
        <v>2980.0000000004729</v>
      </c>
      <c r="K36" s="158">
        <v>3240955.6200005142</v>
      </c>
      <c r="L36" s="120">
        <v>519.99999999998181</v>
      </c>
      <c r="M36" s="122">
        <v>848303.81999997038</v>
      </c>
      <c r="N36" s="107">
        <f>K36+M36</f>
        <v>4089259.4400004847</v>
      </c>
      <c r="O36" s="105">
        <f>I36+N36</f>
        <v>39957285.060000457</v>
      </c>
      <c r="P36" s="107">
        <f>E36+G36+J36+L36</f>
        <v>34620.000000000437</v>
      </c>
      <c r="Q36" s="123">
        <f>R36+T36</f>
        <v>828</v>
      </c>
      <c r="R36" s="124">
        <v>277</v>
      </c>
      <c r="S36" s="124">
        <v>4977739.8600000003</v>
      </c>
      <c r="T36" s="117">
        <v>551</v>
      </c>
      <c r="U36" s="117">
        <v>2608119.9300000002</v>
      </c>
      <c r="V36" s="115">
        <f>S36+U36</f>
        <v>7585859.790000001</v>
      </c>
      <c r="W36" s="126">
        <v>98.887400000011709</v>
      </c>
      <c r="X36" s="112"/>
      <c r="Y36" s="110">
        <v>400</v>
      </c>
      <c r="Z36" s="112"/>
      <c r="AA36" s="112"/>
      <c r="AB36" s="112">
        <v>0</v>
      </c>
      <c r="AC36" s="123">
        <f>W36+X36+Y36+Z36+AA36+AB36</f>
        <v>498.88740000001172</v>
      </c>
      <c r="AD36" s="110">
        <v>5472003.7722001188</v>
      </c>
      <c r="AE36" s="113"/>
      <c r="AF36" s="129">
        <v>636.30000000000291</v>
      </c>
      <c r="AG36" s="131">
        <v>0</v>
      </c>
      <c r="AH36" s="130">
        <f>AF36+AG36</f>
        <v>636.30000000000291</v>
      </c>
      <c r="AI36" s="133">
        <v>6044850.0000000279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1478</v>
      </c>
      <c r="D42" s="134">
        <f>SUM(D7:D36)</f>
        <v>15232</v>
      </c>
      <c r="E42" s="135">
        <f>SUM(E7:E36)</f>
        <v>533280</v>
      </c>
      <c r="F42" s="135">
        <f>SUM(F7:F36)</f>
        <v>579978796.31999993</v>
      </c>
      <c r="G42" s="135">
        <f>SUM(G7:G36)</f>
        <v>111960</v>
      </c>
      <c r="H42" s="135">
        <f>SUM(H7:H36)</f>
        <v>182646337.86000007</v>
      </c>
      <c r="I42" s="135">
        <f>SUM(I7:I36)</f>
        <v>762625134.18000007</v>
      </c>
      <c r="J42" s="135">
        <f>SUM(J7:J36)</f>
        <v>63460.000000000036</v>
      </c>
      <c r="K42" s="135">
        <f>SUM(K7:K36)</f>
        <v>69017128.740000039</v>
      </c>
      <c r="L42" s="135">
        <f>SUM(L7:L36)</f>
        <v>15659.999999999854</v>
      </c>
      <c r="M42" s="135">
        <f>SUM(M7:M36)</f>
        <v>25546995.809999764</v>
      </c>
      <c r="N42" s="135">
        <f>SUM(N7:N36)</f>
        <v>94564124.549999788</v>
      </c>
      <c r="O42" s="136">
        <f>SUM(O7:O36)</f>
        <v>857189258.7299999</v>
      </c>
      <c r="P42" s="137">
        <f>SUM(P7:P36)</f>
        <v>724360.00000000023</v>
      </c>
      <c r="Q42" s="138">
        <f>SUM(Q7:Q36)</f>
        <v>21130</v>
      </c>
      <c r="R42" s="135">
        <f>SUM(R7:R36)</f>
        <v>6319</v>
      </c>
      <c r="S42" s="135">
        <f>SUM(S7:S36)</f>
        <v>113553567.42000002</v>
      </c>
      <c r="T42" s="135">
        <f>SUM(T7:T36)</f>
        <v>14811</v>
      </c>
      <c r="U42" s="135">
        <f>SUM(U7:U36)</f>
        <v>70106831.730000019</v>
      </c>
      <c r="V42" s="139">
        <f>SUM(V7:V37)</f>
        <v>183660399.14999998</v>
      </c>
      <c r="W42" s="140">
        <f>SUM(W7:W36)</f>
        <v>3043.1137199999916</v>
      </c>
      <c r="X42" s="135">
        <f>SUM(X7:X36)</f>
        <v>1500</v>
      </c>
      <c r="Y42" s="135">
        <f>SUM(Y7:Y36)</f>
        <v>2800</v>
      </c>
      <c r="Z42" s="135">
        <f>SUM(Z7:Z36)</f>
        <v>250</v>
      </c>
      <c r="AA42" s="135">
        <f>SUM(AA7:AA36)</f>
        <v>0</v>
      </c>
      <c r="AB42" s="135">
        <f>SUM(AB7:AB36)</f>
        <v>384</v>
      </c>
      <c r="AC42" s="141">
        <f>SUM(AC7:AC36)</f>
        <v>7977.1137199999903</v>
      </c>
      <c r="AD42" s="141">
        <f>SUM(AD7:AD36)</f>
        <v>86184233.599159896</v>
      </c>
      <c r="AE42" s="142">
        <f>SUM(AE8:AE38)</f>
        <v>0</v>
      </c>
      <c r="AF42" s="135">
        <f>SUM(AF7:AF36)</f>
        <v>17049.800000000003</v>
      </c>
      <c r="AG42" s="135">
        <f>SUM(AG7:AG36)</f>
        <v>347.79999999999973</v>
      </c>
      <c r="AH42" s="143">
        <f>SUM(AH7:AH36)</f>
        <v>17397.600000000006</v>
      </c>
      <c r="AI42" s="143">
        <f>SUM(AI7:AI36)</f>
        <v>165277200.00000003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1183.3746462118279</v>
      </c>
      <c r="Q44" s="43"/>
      <c r="R44" s="43"/>
      <c r="S44" s="43"/>
      <c r="T44" s="36"/>
      <c r="U44" s="36"/>
      <c r="V44" s="43">
        <f>V42/Q42</f>
        <v>8691.9261310932307</v>
      </c>
      <c r="W44" s="43"/>
      <c r="X44" s="36"/>
      <c r="Y44" s="43"/>
      <c r="Z44" s="43"/>
      <c r="AA44" s="43"/>
      <c r="AB44" s="43"/>
      <c r="AC44" s="36"/>
      <c r="AD44" s="36">
        <f>AD42/AC42</f>
        <v>10803.936940635716</v>
      </c>
      <c r="AE44" s="40"/>
      <c r="AF44" s="40"/>
      <c r="AG44" s="40"/>
      <c r="AH44" s="40"/>
      <c r="AI44" s="43">
        <f>AI42/AH42</f>
        <v>9499.9999999999982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