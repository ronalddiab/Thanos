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535" windowHeight="10530" tabRatio="584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7" sheetId="85" r:id="rId18"/>
    <sheet name="Sheet6" sheetId="84" r:id="rId19"/>
    <sheet name="Sheet2" sheetId="83" state="hidden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T20" i="3"/>
  <c r="L20"/>
  <c r="L14"/>
  <c r="T40" i="74"/>
  <c r="T39"/>
  <c r="T38"/>
  <c r="T37"/>
  <c r="T36"/>
  <c r="T35"/>
  <c r="T34"/>
  <c r="T33"/>
  <c r="T32"/>
  <c r="T31"/>
  <c r="T30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T11"/>
  <c r="T10"/>
  <c r="X40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W29" i="76" l="1"/>
  <c r="W28"/>
  <c r="W27"/>
  <c r="Z69"/>
  <c r="Z67"/>
  <c r="AD54"/>
  <c r="V54"/>
  <c r="AD53"/>
  <c r="V53"/>
  <c r="AD52"/>
  <c r="I17"/>
  <c r="M17" s="1"/>
  <c r="I18"/>
  <c r="M18" s="1"/>
  <c r="K16"/>
  <c r="I16"/>
  <c r="G16"/>
  <c r="C16"/>
  <c r="K14"/>
  <c r="I14"/>
  <c r="G14"/>
  <c r="C14"/>
  <c r="L13" i="3"/>
  <c r="AE15" i="1"/>
  <c r="AI14"/>
  <c r="C18" i="76" l="1"/>
  <c r="G18"/>
  <c r="K18"/>
  <c r="N18" s="1"/>
  <c r="K17"/>
  <c r="N17" s="1"/>
  <c r="G17"/>
  <c r="C17"/>
  <c r="S12" i="3"/>
  <c r="I19" i="76" l="1"/>
  <c r="M19" s="1"/>
  <c r="D17"/>
  <c r="E17" s="1"/>
  <c r="L17"/>
  <c r="K19"/>
  <c r="N19" s="1"/>
  <c r="D18"/>
  <c r="E18" s="1"/>
  <c r="L18"/>
  <c r="C19"/>
  <c r="G19"/>
  <c r="AQ11" i="1"/>
  <c r="Y5" i="2"/>
  <c r="W5"/>
  <c r="H6" i="77"/>
  <c r="I20" i="76" l="1"/>
  <c r="M20" s="1"/>
  <c r="G20"/>
  <c r="D19"/>
  <c r="E19" s="1"/>
  <c r="L19"/>
  <c r="C20"/>
  <c r="K20"/>
  <c r="N20" s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C48"/>
  <c r="B48"/>
  <c r="H12" i="79"/>
  <c r="H17" s="1"/>
  <c r="H24" s="1"/>
  <c r="H25" s="1"/>
  <c r="H26" s="1"/>
  <c r="H27" s="1"/>
  <c r="H28" s="1"/>
  <c r="H29" s="1"/>
  <c r="H30" s="1"/>
  <c r="H31" s="1"/>
  <c r="H32" s="1"/>
  <c r="H33" s="1"/>
  <c r="H34" s="1"/>
  <c r="H35" s="1"/>
  <c r="D18" i="77"/>
  <c r="D17"/>
  <c r="I21" i="76" l="1"/>
  <c r="M21" s="1"/>
  <c r="C21"/>
  <c r="G21"/>
  <c r="K21"/>
  <c r="N21" s="1"/>
  <c r="D20"/>
  <c r="E20" s="1"/>
  <c r="L20"/>
  <c r="C19" i="77"/>
  <c r="C18"/>
  <c r="C17"/>
  <c r="C16"/>
  <c r="C15"/>
  <c r="C14"/>
  <c r="H23" i="76" l="1"/>
  <c r="I22"/>
  <c r="M22" s="1"/>
  <c r="D21"/>
  <c r="E21" s="1"/>
  <c r="L21"/>
  <c r="B23"/>
  <c r="C22"/>
  <c r="F23"/>
  <c r="G22"/>
  <c r="J23"/>
  <c r="K22"/>
  <c r="N22" s="1"/>
  <c r="I6" i="77"/>
  <c r="V10" i="74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R38"/>
  <c r="R37"/>
  <c r="R36"/>
  <c r="R35"/>
  <c r="R34"/>
  <c r="R33"/>
  <c r="R32"/>
  <c r="R31"/>
  <c r="R30"/>
  <c r="R29"/>
  <c r="R28"/>
  <c r="R27"/>
  <c r="R26"/>
  <c r="R25"/>
  <c r="R24"/>
  <c r="R23"/>
  <c r="R22"/>
  <c r="R21"/>
  <c r="R20"/>
  <c r="R19"/>
  <c r="R18"/>
  <c r="R17"/>
  <c r="R16"/>
  <c r="R15"/>
  <c r="R14"/>
  <c r="R13"/>
  <c r="R12"/>
  <c r="R11"/>
  <c r="R10"/>
  <c r="O5" i="79"/>
  <c r="N5"/>
  <c r="M5"/>
  <c r="I5"/>
  <c r="H5"/>
  <c r="G5"/>
  <c r="F5"/>
  <c r="E5"/>
  <c r="D5"/>
  <c r="C5"/>
  <c r="B5"/>
  <c r="AA5" i="76"/>
  <c r="Z19"/>
  <c r="AA19"/>
  <c r="AC20"/>
  <c r="AC17"/>
  <c r="AC16"/>
  <c r="AB17"/>
  <c r="AB16"/>
  <c r="Y17"/>
  <c r="Y16"/>
  <c r="X17"/>
  <c r="X16"/>
  <c r="W17"/>
  <c r="W16"/>
  <c r="V17"/>
  <c r="V16"/>
  <c r="V14"/>
  <c r="V13"/>
  <c r="W13"/>
  <c r="X13"/>
  <c r="Y13"/>
  <c r="Z11"/>
  <c r="Z10"/>
  <c r="Z9"/>
  <c r="Y11"/>
  <c r="Y10"/>
  <c r="Y9"/>
  <c r="X11"/>
  <c r="X10"/>
  <c r="X9"/>
  <c r="W11"/>
  <c r="W10"/>
  <c r="W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D5" i="5"/>
  <c r="BC5"/>
  <c r="BA5"/>
  <c r="AZ5"/>
  <c r="AX5"/>
  <c r="AW5"/>
  <c r="AV5"/>
  <c r="AU5"/>
  <c r="AT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L5"/>
  <c r="K5"/>
  <c r="J5"/>
  <c r="I5"/>
  <c r="H5"/>
  <c r="G5"/>
  <c r="F5"/>
  <c r="E5"/>
  <c r="D5"/>
  <c r="C5"/>
  <c r="B5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I23" i="76" l="1"/>
  <c r="M23" s="1"/>
  <c r="H24"/>
  <c r="X39" i="74"/>
  <c r="X13"/>
  <c r="K23" i="76"/>
  <c r="N23" s="1"/>
  <c r="J24"/>
  <c r="G23"/>
  <c r="F24"/>
  <c r="L22"/>
  <c r="D22"/>
  <c r="E22" s="1"/>
  <c r="C23"/>
  <c r="B24"/>
  <c r="W10" i="74"/>
  <c r="X10" s="1"/>
  <c r="W39"/>
  <c r="W38"/>
  <c r="X38" s="1"/>
  <c r="W37"/>
  <c r="X37" s="1"/>
  <c r="W36"/>
  <c r="X36" s="1"/>
  <c r="W35"/>
  <c r="X35" s="1"/>
  <c r="W34"/>
  <c r="X34" s="1"/>
  <c r="W33"/>
  <c r="X33" s="1"/>
  <c r="W32"/>
  <c r="X32" s="1"/>
  <c r="W31"/>
  <c r="X31" s="1"/>
  <c r="W30"/>
  <c r="X30" s="1"/>
  <c r="W29"/>
  <c r="X29" s="1"/>
  <c r="W28"/>
  <c r="X28" s="1"/>
  <c r="W27"/>
  <c r="X27" s="1"/>
  <c r="W26"/>
  <c r="X26" s="1"/>
  <c r="W25"/>
  <c r="X25" s="1"/>
  <c r="W24"/>
  <c r="X24" s="1"/>
  <c r="W23"/>
  <c r="X23" s="1"/>
  <c r="W22"/>
  <c r="X22" s="1"/>
  <c r="W21"/>
  <c r="X21" s="1"/>
  <c r="W20"/>
  <c r="X20" s="1"/>
  <c r="W19"/>
  <c r="X19" s="1"/>
  <c r="W18"/>
  <c r="X18" s="1"/>
  <c r="W17"/>
  <c r="X17" s="1"/>
  <c r="W16"/>
  <c r="X16" s="1"/>
  <c r="W15"/>
  <c r="X15" s="1"/>
  <c r="W14"/>
  <c r="X14" s="1"/>
  <c r="W13"/>
  <c r="W12"/>
  <c r="X12" s="1"/>
  <c r="W11"/>
  <c r="X11" s="1"/>
  <c r="AK37" i="5"/>
  <c r="A32" i="76"/>
  <c r="H25" l="1"/>
  <c r="I24"/>
  <c r="M24" s="1"/>
  <c r="K24"/>
  <c r="N24" s="1"/>
  <c r="J25"/>
  <c r="D23"/>
  <c r="E23" s="1"/>
  <c r="L23"/>
  <c r="C24"/>
  <c r="B25"/>
  <c r="G24"/>
  <c r="F25"/>
  <c r="G30" i="73"/>
  <c r="D30"/>
  <c r="H26" i="76" l="1"/>
  <c r="I25"/>
  <c r="M25" s="1"/>
  <c r="F26"/>
  <c r="G25"/>
  <c r="B26"/>
  <c r="C25"/>
  <c r="D24"/>
  <c r="E24" s="1"/>
  <c r="L24"/>
  <c r="J26"/>
  <c r="K25"/>
  <c r="N25" s="1"/>
  <c r="F14"/>
  <c r="T16" i="3"/>
  <c r="T17" s="1"/>
  <c r="T18" s="1"/>
  <c r="T19" s="1"/>
  <c r="T21" s="1"/>
  <c r="T22" s="1"/>
  <c r="T23" s="1"/>
  <c r="T24" s="1"/>
  <c r="T25" s="1"/>
  <c r="T26" s="1"/>
  <c r="T27" s="1"/>
  <c r="T28" s="1"/>
  <c r="T29" s="1"/>
  <c r="T30" s="1"/>
  <c r="T31" s="1"/>
  <c r="T32" s="1"/>
  <c r="R3"/>
  <c r="R4" s="1"/>
  <c r="R6" s="1"/>
  <c r="R7" s="1"/>
  <c r="R8" s="1"/>
  <c r="R9" s="1"/>
  <c r="R10" s="1"/>
  <c r="R15" s="1"/>
  <c r="R17" s="1"/>
  <c r="R18" s="1"/>
  <c r="R19" s="1"/>
  <c r="R21" s="1"/>
  <c r="R22" s="1"/>
  <c r="R23" s="1"/>
  <c r="R24" s="1"/>
  <c r="R25" s="1"/>
  <c r="R26" s="1"/>
  <c r="R27" s="1"/>
  <c r="R28" s="1"/>
  <c r="R29" s="1"/>
  <c r="R30" s="1"/>
  <c r="R31" s="1"/>
  <c r="R32" s="1"/>
  <c r="G7" i="5"/>
  <c r="G10" s="1"/>
  <c r="G11" s="1"/>
  <c r="G12" s="1"/>
  <c r="G19" s="1"/>
  <c r="G20" s="1"/>
  <c r="G22" s="1"/>
  <c r="G24" s="1"/>
  <c r="G25" s="1"/>
  <c r="G26" s="1"/>
  <c r="G27" s="1"/>
  <c r="G28" s="1"/>
  <c r="G29" s="1"/>
  <c r="G30" s="1"/>
  <c r="G31" s="1"/>
  <c r="G32" s="1"/>
  <c r="G33" s="1"/>
  <c r="G34" s="1"/>
  <c r="G35" s="1"/>
  <c r="V9"/>
  <c r="V10" s="1"/>
  <c r="V11" s="1"/>
  <c r="V12" s="1"/>
  <c r="V13" s="1"/>
  <c r="V17" s="1"/>
  <c r="V18" s="1"/>
  <c r="V19" s="1"/>
  <c r="V21" s="1"/>
  <c r="V22" s="1"/>
  <c r="V24" s="1"/>
  <c r="V25" s="1"/>
  <c r="V26" s="1"/>
  <c r="V27" s="1"/>
  <c r="V28" s="1"/>
  <c r="V29" s="1"/>
  <c r="V30" s="1"/>
  <c r="V31" s="1"/>
  <c r="V32" s="1"/>
  <c r="V33" s="1"/>
  <c r="V34" s="1"/>
  <c r="V35" s="1"/>
  <c r="X6"/>
  <c r="X7" s="1"/>
  <c r="X11" s="1"/>
  <c r="X19" s="1"/>
  <c r="X20" s="1"/>
  <c r="X24" s="1"/>
  <c r="X25" s="1"/>
  <c r="X26" s="1"/>
  <c r="X27" s="1"/>
  <c r="X28" s="1"/>
  <c r="X29" s="1"/>
  <c r="X30" s="1"/>
  <c r="X31" s="1"/>
  <c r="X32" s="1"/>
  <c r="X33" s="1"/>
  <c r="X34" s="1"/>
  <c r="X35" s="1"/>
  <c r="Z6"/>
  <c r="Z7" s="1"/>
  <c r="Z11" s="1"/>
  <c r="Z12" s="1"/>
  <c r="Z13" s="1"/>
  <c r="Z17" s="1"/>
  <c r="Z18" s="1"/>
  <c r="Z19" s="1"/>
  <c r="Z20" s="1"/>
  <c r="Z24" s="1"/>
  <c r="Z25" s="1"/>
  <c r="Z26" s="1"/>
  <c r="Z27" s="1"/>
  <c r="Z28" s="1"/>
  <c r="Z29" s="1"/>
  <c r="Z30" s="1"/>
  <c r="Z31" s="1"/>
  <c r="Z32" s="1"/>
  <c r="Z33" s="1"/>
  <c r="Z34" s="1"/>
  <c r="Z35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6"/>
  <c r="AC7" s="1"/>
  <c r="AC8" s="1"/>
  <c r="AC9" s="1"/>
  <c r="AC10" s="1"/>
  <c r="AC11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7"/>
  <c r="AE10" s="1"/>
  <c r="AE11" s="1"/>
  <c r="AE12" s="1"/>
  <c r="AE13" s="1"/>
  <c r="AE14" s="1"/>
  <c r="AE17" s="1"/>
  <c r="AE18" s="1"/>
  <c r="AE19" s="1"/>
  <c r="AE21" s="1"/>
  <c r="AE22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12"/>
  <c r="AG21" s="1"/>
  <c r="AG24" s="1"/>
  <c r="AG25" s="1"/>
  <c r="AG26" s="1"/>
  <c r="AG27" s="1"/>
  <c r="AG28" s="1"/>
  <c r="AG29" s="1"/>
  <c r="AG30" s="1"/>
  <c r="AG31" s="1"/>
  <c r="AT6"/>
  <c r="AT11" s="1"/>
  <c r="AT12" s="1"/>
  <c r="AT18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V24"/>
  <c r="AV25" s="1"/>
  <c r="AV26" s="1"/>
  <c r="AV27" s="1"/>
  <c r="AV28" s="1"/>
  <c r="AV29" s="1"/>
  <c r="AV30" s="1"/>
  <c r="AV31" s="1"/>
  <c r="AV32" s="1"/>
  <c r="AV33" s="1"/>
  <c r="AV34" s="1"/>
  <c r="AV35" s="1"/>
  <c r="AX24"/>
  <c r="AX25" s="1"/>
  <c r="AX26" s="1"/>
  <c r="AX27" s="1"/>
  <c r="AX28" s="1"/>
  <c r="AX29" s="1"/>
  <c r="AX30" s="1"/>
  <c r="AX31" s="1"/>
  <c r="AX32" s="1"/>
  <c r="AX33" s="1"/>
  <c r="AX34" s="1"/>
  <c r="AX35" s="1"/>
  <c r="B6"/>
  <c r="B7" s="1"/>
  <c r="B9" s="1"/>
  <c r="B10" s="1"/>
  <c r="B11" s="1"/>
  <c r="B12" s="1"/>
  <c r="B13" s="1"/>
  <c r="B18" s="1"/>
  <c r="B19" s="1"/>
  <c r="B20" s="1"/>
  <c r="B21" s="1"/>
  <c r="B22" s="1"/>
  <c r="B24" s="1"/>
  <c r="B25" s="1"/>
  <c r="B26" s="1"/>
  <c r="B27" s="1"/>
  <c r="B28" s="1"/>
  <c r="B29" s="1"/>
  <c r="B30" s="1"/>
  <c r="B31" s="1"/>
  <c r="B32" s="1"/>
  <c r="B33" s="1"/>
  <c r="B34" s="1"/>
  <c r="B35" s="1"/>
  <c r="F21" i="2"/>
  <c r="F22" s="1"/>
  <c r="F23" s="1"/>
  <c r="F24" s="1"/>
  <c r="F25" s="1"/>
  <c r="F26" s="1"/>
  <c r="F27" s="1"/>
  <c r="F28" s="1"/>
  <c r="F29" s="1"/>
  <c r="F30" s="1"/>
  <c r="F31" s="1"/>
  <c r="F32" s="1"/>
  <c r="H21"/>
  <c r="H22" s="1"/>
  <c r="H23" s="1"/>
  <c r="H24" s="1"/>
  <c r="H25" s="1"/>
  <c r="H26" s="1"/>
  <c r="H27" s="1"/>
  <c r="H28" s="1"/>
  <c r="H29" s="1"/>
  <c r="H30" s="1"/>
  <c r="H31" s="1"/>
  <c r="H32" s="1"/>
  <c r="J21"/>
  <c r="J22" s="1"/>
  <c r="J23" s="1"/>
  <c r="J24" s="1"/>
  <c r="J25" s="1"/>
  <c r="J26" s="1"/>
  <c r="J27" s="1"/>
  <c r="J28" s="1"/>
  <c r="J29" s="1"/>
  <c r="J30" s="1"/>
  <c r="J31" s="1"/>
  <c r="J32" s="1"/>
  <c r="L21"/>
  <c r="L22" s="1"/>
  <c r="L23" s="1"/>
  <c r="L24" s="1"/>
  <c r="L25" s="1"/>
  <c r="L26" s="1"/>
  <c r="L27" s="1"/>
  <c r="L28" s="1"/>
  <c r="L29" s="1"/>
  <c r="L30" s="1"/>
  <c r="L31" s="1"/>
  <c r="L32" s="1"/>
  <c r="P21"/>
  <c r="P22" s="1"/>
  <c r="P23" s="1"/>
  <c r="P24" s="1"/>
  <c r="P25" s="1"/>
  <c r="P26" s="1"/>
  <c r="P27" s="1"/>
  <c r="P28" s="1"/>
  <c r="P29" s="1"/>
  <c r="P30" s="1"/>
  <c r="P31" s="1"/>
  <c r="P32" s="1"/>
  <c r="S21"/>
  <c r="S22" s="1"/>
  <c r="S23" s="1"/>
  <c r="S24" s="1"/>
  <c r="S25" s="1"/>
  <c r="S26" s="1"/>
  <c r="S27" s="1"/>
  <c r="S28" s="1"/>
  <c r="S29" s="1"/>
  <c r="S30" s="1"/>
  <c r="S31" s="1"/>
  <c r="S32" s="1"/>
  <c r="U18"/>
  <c r="U21" s="1"/>
  <c r="U22" s="1"/>
  <c r="U23" s="1"/>
  <c r="U24" s="1"/>
  <c r="U25" s="1"/>
  <c r="U26" s="1"/>
  <c r="U27" s="1"/>
  <c r="U28" s="1"/>
  <c r="U29" s="1"/>
  <c r="U30" s="1"/>
  <c r="U31" s="1"/>
  <c r="U32" s="1"/>
  <c r="W4"/>
  <c r="W6" s="1"/>
  <c r="W7" s="1"/>
  <c r="W8" s="1"/>
  <c r="W10" s="1"/>
  <c r="W14" s="1"/>
  <c r="W15" s="1"/>
  <c r="W16" s="1"/>
  <c r="W17" s="1"/>
  <c r="W18" s="1"/>
  <c r="W19" s="1"/>
  <c r="W21" s="1"/>
  <c r="W22" s="1"/>
  <c r="W23" s="1"/>
  <c r="W24" s="1"/>
  <c r="W25" s="1"/>
  <c r="W26" s="1"/>
  <c r="W27" s="1"/>
  <c r="W28" s="1"/>
  <c r="W29" s="1"/>
  <c r="W30" s="1"/>
  <c r="W31" s="1"/>
  <c r="Y4"/>
  <c r="Y6" s="1"/>
  <c r="Y7" s="1"/>
  <c r="Y8" s="1"/>
  <c r="Y9" s="1"/>
  <c r="Y10" s="1"/>
  <c r="Y11" s="1"/>
  <c r="Y12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4"/>
  <c r="AA7" s="1"/>
  <c r="AA10" s="1"/>
  <c r="AA18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C4"/>
  <c r="AC7" s="1"/>
  <c r="AC10" s="1"/>
  <c r="AC18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D21"/>
  <c r="D22" s="1"/>
  <c r="D23" s="1"/>
  <c r="D24" s="1"/>
  <c r="D25" s="1"/>
  <c r="D26" s="1"/>
  <c r="D27" s="1"/>
  <c r="D28" s="1"/>
  <c r="D29" s="1"/>
  <c r="D30" s="1"/>
  <c r="D31" s="1"/>
  <c r="D32" s="1"/>
  <c r="A2"/>
  <c r="C23" i="1"/>
  <c r="C24" s="1"/>
  <c r="C25" s="1"/>
  <c r="C26" s="1"/>
  <c r="C27" s="1"/>
  <c r="C28" s="1"/>
  <c r="C29" s="1"/>
  <c r="C30" s="1"/>
  <c r="C31" s="1"/>
  <c r="C32" s="1"/>
  <c r="C33" s="1"/>
  <c r="C34" s="1"/>
  <c r="F16"/>
  <c r="F17" s="1"/>
  <c r="F18" s="1"/>
  <c r="F20" s="1"/>
  <c r="F21" s="1"/>
  <c r="F23" s="1"/>
  <c r="F24" s="1"/>
  <c r="F25" s="1"/>
  <c r="F26" s="1"/>
  <c r="F27" s="1"/>
  <c r="F28" s="1"/>
  <c r="F29" s="1"/>
  <c r="F30" s="1"/>
  <c r="F31" s="1"/>
  <c r="F32" s="1"/>
  <c r="F33" s="1"/>
  <c r="F34" s="1"/>
  <c r="H16"/>
  <c r="H17" s="1"/>
  <c r="H18" s="1"/>
  <c r="H19" s="1"/>
  <c r="H21" s="1"/>
  <c r="H23" s="1"/>
  <c r="H24" s="1"/>
  <c r="H25" s="1"/>
  <c r="H26" s="1"/>
  <c r="H27" s="1"/>
  <c r="H28" s="1"/>
  <c r="H29" s="1"/>
  <c r="H30" s="1"/>
  <c r="H31" s="1"/>
  <c r="H32" s="1"/>
  <c r="H33" s="1"/>
  <c r="H34" s="1"/>
  <c r="K5"/>
  <c r="K8" s="1"/>
  <c r="K11" s="1"/>
  <c r="K23" s="1"/>
  <c r="K24" s="1"/>
  <c r="K25" s="1"/>
  <c r="K26" s="1"/>
  <c r="K27" s="1"/>
  <c r="K28" s="1"/>
  <c r="K29" s="1"/>
  <c r="K30" s="1"/>
  <c r="K31" s="1"/>
  <c r="K32" s="1"/>
  <c r="K33" s="1"/>
  <c r="K34" s="1"/>
  <c r="M5"/>
  <c r="M8" s="1"/>
  <c r="M11" s="1"/>
  <c r="M23" s="1"/>
  <c r="M24" s="1"/>
  <c r="M25" s="1"/>
  <c r="M26" s="1"/>
  <c r="M27" s="1"/>
  <c r="M28" s="1"/>
  <c r="M29" s="1"/>
  <c r="M30" s="1"/>
  <c r="M31" s="1"/>
  <c r="M32" s="1"/>
  <c r="M33" s="1"/>
  <c r="M34" s="1"/>
  <c r="P6"/>
  <c r="P9" s="1"/>
  <c r="P10" s="1"/>
  <c r="P11" s="1"/>
  <c r="P12" s="1"/>
  <c r="P17" s="1"/>
  <c r="P18" s="1"/>
  <c r="P19" s="1"/>
  <c r="P20" s="1"/>
  <c r="P21" s="1"/>
  <c r="P23" s="1"/>
  <c r="P24" s="1"/>
  <c r="P25" s="1"/>
  <c r="P26" s="1"/>
  <c r="P27" s="1"/>
  <c r="P28" s="1"/>
  <c r="P29" s="1"/>
  <c r="P30" s="1"/>
  <c r="P31" s="1"/>
  <c r="P32" s="1"/>
  <c r="P33" s="1"/>
  <c r="P34" s="1"/>
  <c r="Q17"/>
  <c r="Q18" s="1"/>
  <c r="Q19" s="1"/>
  <c r="Q20" s="1"/>
  <c r="Q21" s="1"/>
  <c r="Q23" s="1"/>
  <c r="Q24" s="1"/>
  <c r="Q25" s="1"/>
  <c r="Q26" s="1"/>
  <c r="Q27" s="1"/>
  <c r="Q28" s="1"/>
  <c r="Q29" s="1"/>
  <c r="Q30" s="1"/>
  <c r="Q31" s="1"/>
  <c r="Q32" s="1"/>
  <c r="Q33" s="1"/>
  <c r="Q34" s="1"/>
  <c r="X5"/>
  <c r="X6" s="1"/>
  <c r="X8" s="1"/>
  <c r="X9" s="1"/>
  <c r="X10" s="1"/>
  <c r="X11" s="1"/>
  <c r="X12" s="1"/>
  <c r="X17" s="1"/>
  <c r="X18" s="1"/>
  <c r="X19" s="1"/>
  <c r="X20" s="1"/>
  <c r="X21" s="1"/>
  <c r="X23" s="1"/>
  <c r="X24" s="1"/>
  <c r="X25" s="1"/>
  <c r="X26" s="1"/>
  <c r="X27" s="1"/>
  <c r="X28" s="1"/>
  <c r="X29" s="1"/>
  <c r="X30" s="1"/>
  <c r="X31" s="1"/>
  <c r="X32" s="1"/>
  <c r="X33" s="1"/>
  <c r="X34" s="1"/>
  <c r="Z5"/>
  <c r="Z6" s="1"/>
  <c r="Z8" s="1"/>
  <c r="AC5"/>
  <c r="AC6" s="1"/>
  <c r="AC9" s="1"/>
  <c r="AC10" s="1"/>
  <c r="AC11" s="1"/>
  <c r="AC12" s="1"/>
  <c r="AC17" s="1"/>
  <c r="AC18" s="1"/>
  <c r="AC19" s="1"/>
  <c r="AC20" s="1"/>
  <c r="AC21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E5"/>
  <c r="AE6" s="1"/>
  <c r="AE9" s="1"/>
  <c r="AE10" s="1"/>
  <c r="AE11" s="1"/>
  <c r="AE12" s="1"/>
  <c r="AE16" s="1"/>
  <c r="AE17" s="1"/>
  <c r="AE18" s="1"/>
  <c r="AE19" s="1"/>
  <c r="AE20" s="1"/>
  <c r="AE21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N9"/>
  <c r="AN18" s="1"/>
  <c r="AN21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P9"/>
  <c r="AP21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R11"/>
  <c r="AR18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X4"/>
  <c r="B23"/>
  <c r="B24" s="1"/>
  <c r="B25" s="1"/>
  <c r="B26" s="1"/>
  <c r="B27" s="1"/>
  <c r="B28" s="1"/>
  <c r="B29" s="1"/>
  <c r="B30" s="1"/>
  <c r="B31" s="1"/>
  <c r="B32" s="1"/>
  <c r="B33" s="1"/>
  <c r="B34" s="1"/>
  <c r="H27" i="76" l="1"/>
  <c r="I26"/>
  <c r="M26" s="1"/>
  <c r="F27"/>
  <c r="G26"/>
  <c r="D25"/>
  <c r="E25" s="1"/>
  <c r="L25"/>
  <c r="J27"/>
  <c r="K26"/>
  <c r="N26" s="1"/>
  <c r="B27"/>
  <c r="C26"/>
  <c r="Z9" i="1"/>
  <c r="Z10" s="1"/>
  <c r="Z11" s="1"/>
  <c r="Z12" s="1"/>
  <c r="Z17" s="1"/>
  <c r="Z18" s="1"/>
  <c r="Z19" s="1"/>
  <c r="Z20" s="1"/>
  <c r="Z21" s="1"/>
  <c r="Z23" s="1"/>
  <c r="Z24" s="1"/>
  <c r="Z25" s="1"/>
  <c r="Z26" s="1"/>
  <c r="Z27" s="1"/>
  <c r="Z28" s="1"/>
  <c r="Z29" s="1"/>
  <c r="Z30" s="1"/>
  <c r="Z31" s="1"/>
  <c r="Z32" s="1"/>
  <c r="Z33" s="1"/>
  <c r="Z34" s="1"/>
  <c r="AA8"/>
  <c r="X31" i="2"/>
  <c r="W32"/>
  <c r="AG32" i="5"/>
  <c r="AG33" s="1"/>
  <c r="AG34" s="1"/>
  <c r="AG35" s="1"/>
  <c r="AH31"/>
  <c r="U8"/>
  <c r="I27" i="76" l="1"/>
  <c r="M27" s="1"/>
  <c r="H28"/>
  <c r="K27"/>
  <c r="N27" s="1"/>
  <c r="J28"/>
  <c r="G27"/>
  <c r="F28"/>
  <c r="C27"/>
  <c r="B28"/>
  <c r="D26"/>
  <c r="E26" s="1"/>
  <c r="L26"/>
  <c r="U9" i="5"/>
  <c r="I28" i="76" l="1"/>
  <c r="M28" s="1"/>
  <c r="H29"/>
  <c r="C28"/>
  <c r="B29"/>
  <c r="F29"/>
  <c r="G28"/>
  <c r="K28"/>
  <c r="N28" s="1"/>
  <c r="J29"/>
  <c r="D27"/>
  <c r="E27" s="1"/>
  <c r="L27"/>
  <c r="T22" i="5"/>
  <c r="T24" s="1"/>
  <c r="T25" s="1"/>
  <c r="T26" s="1"/>
  <c r="T27" s="1"/>
  <c r="T28" s="1"/>
  <c r="T29" s="1"/>
  <c r="T30" s="1"/>
  <c r="T31" s="1"/>
  <c r="T32" s="1"/>
  <c r="T33" s="1"/>
  <c r="T34" s="1"/>
  <c r="T35" s="1"/>
  <c r="U10"/>
  <c r="H30" i="76" l="1"/>
  <c r="I29"/>
  <c r="M29" s="1"/>
  <c r="F30"/>
  <c r="G29"/>
  <c r="J30"/>
  <c r="K29"/>
  <c r="N29" s="1"/>
  <c r="D28"/>
  <c r="E28" s="1"/>
  <c r="L28"/>
  <c r="B30"/>
  <c r="C29"/>
  <c r="M40" i="74"/>
  <c r="I40"/>
  <c r="E40"/>
  <c r="M39"/>
  <c r="I39"/>
  <c r="E39"/>
  <c r="M38"/>
  <c r="I38"/>
  <c r="E38"/>
  <c r="M37"/>
  <c r="I37"/>
  <c r="E37"/>
  <c r="M36"/>
  <c r="I36"/>
  <c r="E36"/>
  <c r="M35"/>
  <c r="I35"/>
  <c r="E35"/>
  <c r="M34"/>
  <c r="I34"/>
  <c r="E34"/>
  <c r="M33"/>
  <c r="I33"/>
  <c r="E33"/>
  <c r="M32"/>
  <c r="I32"/>
  <c r="E32"/>
  <c r="M31"/>
  <c r="I31"/>
  <c r="E31"/>
  <c r="M30"/>
  <c r="I30"/>
  <c r="E30"/>
  <c r="M29"/>
  <c r="I29"/>
  <c r="E29"/>
  <c r="M28"/>
  <c r="I28"/>
  <c r="E28"/>
  <c r="M27"/>
  <c r="I27"/>
  <c r="E27"/>
  <c r="M26"/>
  <c r="I26"/>
  <c r="E26"/>
  <c r="M25"/>
  <c r="I25"/>
  <c r="E25"/>
  <c r="M24"/>
  <c r="I24"/>
  <c r="E24"/>
  <c r="M23"/>
  <c r="I23"/>
  <c r="E23"/>
  <c r="M22"/>
  <c r="I22"/>
  <c r="E22"/>
  <c r="M21"/>
  <c r="I21"/>
  <c r="E21"/>
  <c r="M20"/>
  <c r="I20"/>
  <c r="E20"/>
  <c r="M19"/>
  <c r="I19"/>
  <c r="E19"/>
  <c r="M18"/>
  <c r="I18"/>
  <c r="E18"/>
  <c r="M17"/>
  <c r="I17"/>
  <c r="E17"/>
  <c r="M16"/>
  <c r="I16"/>
  <c r="E16"/>
  <c r="M15"/>
  <c r="I15"/>
  <c r="E15"/>
  <c r="M14"/>
  <c r="I14"/>
  <c r="E14"/>
  <c r="M13"/>
  <c r="I13"/>
  <c r="E13"/>
  <c r="M12"/>
  <c r="I12"/>
  <c r="E12"/>
  <c r="M11"/>
  <c r="I11"/>
  <c r="E11"/>
  <c r="M10"/>
  <c r="I10"/>
  <c r="E10"/>
  <c r="AB8" i="76"/>
  <c r="AC19"/>
  <c r="AB12"/>
  <c r="AC12"/>
  <c r="L4" i="3"/>
  <c r="L5" s="1"/>
  <c r="L6" s="1"/>
  <c r="L10" s="1"/>
  <c r="L11" s="1"/>
  <c r="L12" s="1"/>
  <c r="L15" s="1"/>
  <c r="L16" s="1"/>
  <c r="L17" s="1"/>
  <c r="L18" s="1"/>
  <c r="L19" s="1"/>
  <c r="L21" s="1"/>
  <c r="L22" s="1"/>
  <c r="L23" s="1"/>
  <c r="L24" s="1"/>
  <c r="L25" s="1"/>
  <c r="L26" s="1"/>
  <c r="L27" s="1"/>
  <c r="L28" s="1"/>
  <c r="L29" s="1"/>
  <c r="L30" s="1"/>
  <c r="L31" s="1"/>
  <c r="L32" s="1"/>
  <c r="J3"/>
  <c r="D7"/>
  <c r="D21" s="1"/>
  <c r="D22" s="1"/>
  <c r="D23" s="1"/>
  <c r="D24" s="1"/>
  <c r="D25" s="1"/>
  <c r="D26" s="1"/>
  <c r="D27" s="1"/>
  <c r="D28" s="1"/>
  <c r="D29" s="1"/>
  <c r="D30" s="1"/>
  <c r="D31" s="1"/>
  <c r="D32" s="1"/>
  <c r="B7"/>
  <c r="B21" s="1"/>
  <c r="B22" s="1"/>
  <c r="B23" s="1"/>
  <c r="B24" s="1"/>
  <c r="B25" s="1"/>
  <c r="B26" s="1"/>
  <c r="B27" s="1"/>
  <c r="B28" s="1"/>
  <c r="B29" s="1"/>
  <c r="B30" s="1"/>
  <c r="B31" s="1"/>
  <c r="B32" s="1"/>
  <c r="I30" i="76" l="1"/>
  <c r="M30" s="1"/>
  <c r="H31"/>
  <c r="B31"/>
  <c r="C30"/>
  <c r="G30"/>
  <c r="F31"/>
  <c r="D29"/>
  <c r="E29" s="1"/>
  <c r="L29"/>
  <c r="J31"/>
  <c r="K30"/>
  <c r="N30" s="1"/>
  <c r="M6" i="79"/>
  <c r="I6" s="1"/>
  <c r="J4" i="3"/>
  <c r="H32" i="76" l="1"/>
  <c r="I31"/>
  <c r="M31" s="1"/>
  <c r="G31"/>
  <c r="F32"/>
  <c r="K31"/>
  <c r="N31" s="1"/>
  <c r="J32"/>
  <c r="C31"/>
  <c r="B32"/>
  <c r="L30"/>
  <c r="D30"/>
  <c r="E30" s="1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I32" i="76" l="1"/>
  <c r="M32" s="1"/>
  <c r="H33"/>
  <c r="C32"/>
  <c r="B33"/>
  <c r="G32"/>
  <c r="F33"/>
  <c r="L31"/>
  <c r="D31"/>
  <c r="E31" s="1"/>
  <c r="J33"/>
  <c r="K32"/>
  <c r="N32" s="1"/>
  <c r="J6" i="3"/>
  <c r="M8" i="79"/>
  <c r="O7"/>
  <c r="AS29" i="1"/>
  <c r="E26" i="2"/>
  <c r="U24" i="3"/>
  <c r="U25"/>
  <c r="H34" i="76" l="1"/>
  <c r="I33"/>
  <c r="M33" s="1"/>
  <c r="J34"/>
  <c r="K33"/>
  <c r="N33" s="1"/>
  <c r="F34"/>
  <c r="G33"/>
  <c r="B34"/>
  <c r="C34" s="1"/>
  <c r="C33"/>
  <c r="D32"/>
  <c r="E32" s="1"/>
  <c r="L32"/>
  <c r="M9" i="79"/>
  <c r="O8"/>
  <c r="I7"/>
  <c r="K7" i="5"/>
  <c r="D21" i="1"/>
  <c r="E21" s="1"/>
  <c r="Q19" i="2"/>
  <c r="K34" i="76" l="1"/>
  <c r="N34" s="1"/>
  <c r="W52"/>
  <c r="I34"/>
  <c r="M34" s="1"/>
  <c r="W53"/>
  <c r="AA53" s="1"/>
  <c r="AB53" s="1"/>
  <c r="G34"/>
  <c r="L34" s="1"/>
  <c r="W54"/>
  <c r="AA54" s="1"/>
  <c r="AB54" s="1"/>
  <c r="AE54" s="1"/>
  <c r="AF54" s="1"/>
  <c r="D33"/>
  <c r="E33" s="1"/>
  <c r="L33"/>
  <c r="M10" i="79"/>
  <c r="O9"/>
  <c r="I8"/>
  <c r="K8" i="5"/>
  <c r="I12" i="77"/>
  <c r="Q3" i="2"/>
  <c r="D34" i="76" l="1"/>
  <c r="E34" s="1"/>
  <c r="M11" i="79"/>
  <c r="O10"/>
  <c r="K9" i="5"/>
  <c r="I9" i="79"/>
  <c r="H12" i="77"/>
  <c r="J10" i="3" l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Q10" i="3" l="1"/>
  <c r="M13" i="79"/>
  <c r="O12"/>
  <c r="K11" i="5"/>
  <c r="I11" i="79"/>
  <c r="D31" i="1"/>
  <c r="E31" s="1"/>
  <c r="E23" i="3"/>
  <c r="U16"/>
  <c r="M14" i="79" l="1"/>
  <c r="O13"/>
  <c r="K12" i="5"/>
  <c r="I12" i="79"/>
  <c r="J12" i="3"/>
  <c r="E24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J15" i="3"/>
  <c r="M17" i="79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J5" i="79"/>
  <c r="I16" l="1"/>
  <c r="K16" i="5"/>
  <c r="M18" i="79"/>
  <c r="O17"/>
  <c r="W43" i="74"/>
  <c r="S43"/>
  <c r="O43"/>
  <c r="R43"/>
  <c r="AA14" s="1"/>
  <c r="N43"/>
  <c r="AA13" s="1"/>
  <c r="J43"/>
  <c r="F43"/>
  <c r="AA12" s="1"/>
  <c r="A10" i="3"/>
  <c r="A11"/>
  <c r="A12"/>
  <c r="A13"/>
  <c r="W59" i="76" l="1"/>
  <c r="AB15" i="74"/>
  <c r="B14" i="77" s="1"/>
  <c r="J17" i="3"/>
  <c r="M19" i="79"/>
  <c r="O18"/>
  <c r="K17" i="5"/>
  <c r="I17" i="79"/>
  <c r="A3" i="76"/>
  <c r="A5" i="7"/>
  <c r="J18" i="3" l="1"/>
  <c r="M20" i="79"/>
  <c r="O19"/>
  <c r="K18" i="5"/>
  <c r="I18" i="79"/>
  <c r="AB14" i="74"/>
  <c r="AB13"/>
  <c r="AB12"/>
  <c r="AB11"/>
  <c r="AB10"/>
  <c r="AA11"/>
  <c r="J19" i="3" l="1"/>
  <c r="M21" i="79"/>
  <c r="O20"/>
  <c r="K19" i="5"/>
  <c r="I19" i="79"/>
  <c r="W18" i="76"/>
  <c r="M22" i="79" l="1"/>
  <c r="O21"/>
  <c r="K20" i="5"/>
  <c r="I20" i="79"/>
  <c r="A2" i="3"/>
  <c r="A5" i="73"/>
  <c r="K21" i="5" l="1"/>
  <c r="I21" i="79"/>
  <c r="M23"/>
  <c r="O22"/>
  <c r="J21" i="3"/>
  <c r="N7" i="1"/>
  <c r="V28" i="76"/>
  <c r="V29"/>
  <c r="V27"/>
  <c r="K22" i="5" l="1"/>
  <c r="I22" i="79"/>
  <c r="J22" i="3"/>
  <c r="M24" i="79"/>
  <c r="O23"/>
  <c r="AS36" i="7"/>
  <c r="AU36" s="1"/>
  <c r="B6"/>
  <c r="F37" i="5"/>
  <c r="F38"/>
  <c r="F36"/>
  <c r="B38"/>
  <c r="AH7"/>
  <c r="AH6"/>
  <c r="AF6"/>
  <c r="J23" i="3" l="1"/>
  <c r="K23" i="5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D35"/>
  <c r="A4" i="76"/>
  <c r="A5"/>
  <c r="A6"/>
  <c r="A7"/>
  <c r="A8"/>
  <c r="A9"/>
  <c r="A10"/>
  <c r="A11"/>
  <c r="A12"/>
  <c r="A13"/>
  <c r="A14"/>
  <c r="A16"/>
  <c r="A17"/>
  <c r="A18"/>
  <c r="A19"/>
  <c r="A20"/>
  <c r="A21"/>
  <c r="A22"/>
  <c r="A23"/>
  <c r="A24"/>
  <c r="A25"/>
  <c r="A26"/>
  <c r="A27"/>
  <c r="A28"/>
  <c r="A29"/>
  <c r="A30"/>
  <c r="A31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J24" i="3" l="1"/>
  <c r="I24" i="79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C4"/>
  <c r="A37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6" i="73"/>
  <c r="W56" i="76" s="1"/>
  <c r="J9" i="63"/>
  <c r="K9" i="73"/>
  <c r="G9"/>
  <c r="C6" i="76"/>
  <c r="K4"/>
  <c r="N4" s="1"/>
  <c r="K3" i="3"/>
  <c r="C6" i="5"/>
  <c r="E6" s="1"/>
  <c r="AS35" i="1"/>
  <c r="AW37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6" i="7"/>
  <c r="B8" i="77" s="1"/>
  <c r="J11" i="63"/>
  <c r="D7" i="77"/>
  <c r="P33" i="3"/>
  <c r="F2" i="63"/>
  <c r="AU6" i="5"/>
  <c r="AZ6" s="1"/>
  <c r="BC6" s="1"/>
  <c r="AV35" i="1"/>
  <c r="AV38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7" i="1"/>
  <c r="AH36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5"/>
  <c r="G4"/>
  <c r="L4" s="1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K37" i="76" l="1"/>
  <c r="AL6" i="5"/>
  <c r="AZ9"/>
  <c r="BC9" s="1"/>
  <c r="J25" i="3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1" i="76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7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AA10" s="1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7"/>
  <c r="X66" i="74"/>
  <c r="AM23" i="5"/>
  <c r="P64" i="74"/>
  <c r="X63"/>
  <c r="P62"/>
  <c r="X62"/>
  <c r="P61"/>
  <c r="X61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6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N14" i="76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O17" i="81" l="1"/>
  <c r="BC10" i="5"/>
  <c r="I4" i="3"/>
  <c r="H5"/>
  <c r="J26"/>
  <c r="M28" i="79"/>
  <c r="O27"/>
  <c r="K26" i="5"/>
  <c r="I26" i="79"/>
  <c r="AU6" i="1"/>
  <c r="I3" i="81" s="1"/>
  <c r="AH14" i="1"/>
  <c r="C14" i="65" s="1"/>
  <c r="U6" i="1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K43" i="74"/>
  <c r="J81"/>
  <c r="W33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K81"/>
  <c r="W34" i="76" s="1"/>
  <c r="V52" s="1"/>
  <c r="AA52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N16" i="76"/>
  <c r="M14"/>
  <c r="L13"/>
  <c r="D13"/>
  <c r="E13" s="1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A55" i="76" l="1"/>
  <c r="AB52"/>
  <c r="AB56" s="1"/>
  <c r="W58"/>
  <c r="AA15" i="74"/>
  <c r="H6" i="3"/>
  <c r="I5"/>
  <c r="J27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J4" i="81"/>
  <c r="AX8" i="1"/>
  <c r="H5" i="81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AB23" i="74"/>
  <c r="D12" i="65"/>
  <c r="AI11" i="3"/>
  <c r="AI12"/>
  <c r="D14" i="65" s="1"/>
  <c r="AH3" i="3"/>
  <c r="O86" i="74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M16" i="76"/>
  <c r="L14"/>
  <c r="D14"/>
  <c r="E14" s="1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N86" i="74"/>
  <c r="I7" i="7"/>
  <c r="J7"/>
  <c r="G9"/>
  <c r="H9"/>
  <c r="G6"/>
  <c r="H6"/>
  <c r="G15"/>
  <c r="H15"/>
  <c r="AE8"/>
  <c r="AF8"/>
  <c r="G8"/>
  <c r="H8"/>
  <c r="AA23" i="74" l="1"/>
  <c r="B15" i="77"/>
  <c r="E15" s="1"/>
  <c r="W66" i="76"/>
  <c r="W68"/>
  <c r="H7" i="3"/>
  <c r="I6"/>
  <c r="J28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X9" i="1"/>
  <c r="J5" i="81"/>
  <c r="H6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L16" i="76"/>
  <c r="D16"/>
  <c r="E16" s="1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H8" i="3" l="1"/>
  <c r="I7"/>
  <c r="J29"/>
  <c r="I29" i="79"/>
  <c r="K29" i="5"/>
  <c r="M31" i="79"/>
  <c r="O30"/>
  <c r="AJ7" i="7"/>
  <c r="AK7" s="1"/>
  <c r="F7" i="3"/>
  <c r="AB7" s="1"/>
  <c r="AO6" i="7"/>
  <c r="AN6" s="1"/>
  <c r="AF17" i="5"/>
  <c r="AI17" s="1"/>
  <c r="AF16"/>
  <c r="AI16" s="1"/>
  <c r="P8" i="3"/>
  <c r="Q8" s="1"/>
  <c r="AX10" i="1"/>
  <c r="J6" i="81"/>
  <c r="H7"/>
  <c r="E8" i="3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H9" i="3" l="1"/>
  <c r="I8"/>
  <c r="J30"/>
  <c r="I30" i="79"/>
  <c r="K30" i="5"/>
  <c r="M32" i="79"/>
  <c r="O31"/>
  <c r="AL7" i="7"/>
  <c r="AM7" s="1"/>
  <c r="AO7" s="1"/>
  <c r="AN7" s="1"/>
  <c r="F8" i="3"/>
  <c r="AB8" s="1"/>
  <c r="P9"/>
  <c r="Q9" s="1"/>
  <c r="J7" i="81"/>
  <c r="AX11" i="1"/>
  <c r="AO9" i="7"/>
  <c r="H8" i="81"/>
  <c r="E9" i="3"/>
  <c r="AA9" s="1"/>
  <c r="F8" i="63"/>
  <c r="AC8" i="3"/>
  <c r="AE8"/>
  <c r="AF8" s="1"/>
  <c r="AG8" s="1"/>
  <c r="AK8"/>
  <c r="C11"/>
  <c r="C10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R14" i="2"/>
  <c r="S16" i="76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O15" i="2" l="1"/>
  <c r="S17" i="76"/>
  <c r="F9" i="3"/>
  <c r="AB9" s="1"/>
  <c r="J31"/>
  <c r="H10"/>
  <c r="I9"/>
  <c r="M33" i="79"/>
  <c r="O32"/>
  <c r="I31"/>
  <c r="K31" i="5"/>
  <c r="AN14" i="7"/>
  <c r="AN12"/>
  <c r="AN13"/>
  <c r="AN10"/>
  <c r="AN9"/>
  <c r="AX12" i="1"/>
  <c r="J8" i="81"/>
  <c r="AO8" i="7"/>
  <c r="H9" i="81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O16" i="2" l="1"/>
  <c r="S18" i="76"/>
  <c r="F10" i="3"/>
  <c r="AB10" s="1"/>
  <c r="J32"/>
  <c r="H11"/>
  <c r="I10"/>
  <c r="M34" i="79"/>
  <c r="O33"/>
  <c r="K32" i="5"/>
  <c r="I32" i="79"/>
  <c r="AN11" i="7"/>
  <c r="AN8"/>
  <c r="F11" i="3"/>
  <c r="AB11" s="1"/>
  <c r="P11"/>
  <c r="Q11" s="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D13" i="75" s="1"/>
  <c r="E13" s="1"/>
  <c r="U12" i="1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O17" i="2" l="1"/>
  <c r="S19" i="76"/>
  <c r="H12" i="3"/>
  <c r="I11"/>
  <c r="M35" i="79"/>
  <c r="O34"/>
  <c r="K33" i="5"/>
  <c r="I33" i="79"/>
  <c r="AN15" i="7"/>
  <c r="P12" i="3"/>
  <c r="Q12" s="1"/>
  <c r="J10" i="81"/>
  <c r="AX14" i="1"/>
  <c r="H11" i="8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E22" i="3"/>
  <c r="C21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20" i="76"/>
  <c r="I12" i="3"/>
  <c r="H13"/>
  <c r="O35" i="79"/>
  <c r="K34" i="5"/>
  <c r="I34" i="79"/>
  <c r="AN16" i="7"/>
  <c r="P13" i="3"/>
  <c r="Q13" s="1"/>
  <c r="J11" i="81"/>
  <c r="AX15" i="1"/>
  <c r="H12" i="8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O19" i="2" l="1"/>
  <c r="S21" i="76"/>
  <c r="I13" i="3"/>
  <c r="H14"/>
  <c r="K35" i="5"/>
  <c r="I35" i="79"/>
  <c r="AN17" i="7"/>
  <c r="P14" i="3"/>
  <c r="J12" i="81"/>
  <c r="AX16" i="1"/>
  <c r="H13" i="8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AW15" i="7"/>
  <c r="G10" i="81"/>
  <c r="AJ13" i="1"/>
  <c r="AK13" s="1"/>
  <c r="AT24"/>
  <c r="AU24" s="1"/>
  <c r="I21" i="81" s="1"/>
  <c r="Y8" i="7"/>
  <c r="X7"/>
  <c r="Y13"/>
  <c r="Y10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AI18"/>
  <c r="J20" i="65"/>
  <c r="C18" i="63"/>
  <c r="D18" s="1"/>
  <c r="E18" i="81"/>
  <c r="R19" i="2"/>
  <c r="AQ7" i="7"/>
  <c r="X12"/>
  <c r="Y6"/>
  <c r="O20" i="2" l="1"/>
  <c r="S22" i="76"/>
  <c r="Q14" i="3"/>
  <c r="Q18"/>
  <c r="I14"/>
  <c r="H15"/>
  <c r="AX15" i="7"/>
  <c r="X13"/>
  <c r="AR13"/>
  <c r="AS14" s="1"/>
  <c r="AX14" s="1"/>
  <c r="X10"/>
  <c r="AR10"/>
  <c r="BC10" s="1"/>
  <c r="AN18"/>
  <c r="AR8"/>
  <c r="BC8" s="1"/>
  <c r="P15" i="3"/>
  <c r="Q15" s="1"/>
  <c r="X9" i="7"/>
  <c r="X15"/>
  <c r="J13" i="81"/>
  <c r="AX17" i="1"/>
  <c r="AB20" i="3"/>
  <c r="H14" i="81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R6"/>
  <c r="AQ6" s="1"/>
  <c r="AQ9"/>
  <c r="AS12"/>
  <c r="AX12" s="1"/>
  <c r="AQ12"/>
  <c r="AQ11"/>
  <c r="BC12"/>
  <c r="O21" i="2" l="1"/>
  <c r="S23" i="76"/>
  <c r="T23" s="1"/>
  <c r="I15" i="3"/>
  <c r="H16"/>
  <c r="AQ8" i="7"/>
  <c r="BC9"/>
  <c r="AS8"/>
  <c r="AX8" s="1"/>
  <c r="AY8" s="1"/>
  <c r="AS9"/>
  <c r="AX9" s="1"/>
  <c r="Q7" i="76" s="1"/>
  <c r="AN19" i="7"/>
  <c r="P16" i="3"/>
  <c r="Q16" s="1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S6"/>
  <c r="AS7"/>
  <c r="AX7" s="1"/>
  <c r="AY12"/>
  <c r="Q10" i="76"/>
  <c r="O22" i="2" l="1"/>
  <c r="S24" i="76"/>
  <c r="T24" s="1"/>
  <c r="I16" i="3"/>
  <c r="H17"/>
  <c r="Q6" i="76"/>
  <c r="AY9" i="7"/>
  <c r="AN20"/>
  <c r="X16"/>
  <c r="AR16"/>
  <c r="AS16" s="1"/>
  <c r="AX16" s="1"/>
  <c r="AL26" i="5"/>
  <c r="P17" i="3"/>
  <c r="Q17" s="1"/>
  <c r="Q9" i="76"/>
  <c r="AB22" i="3"/>
  <c r="J15" i="81"/>
  <c r="AX19" i="1"/>
  <c r="H16" i="8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X6" i="7"/>
  <c r="Q4" i="76" s="1"/>
  <c r="AY7" i="7"/>
  <c r="Q5" i="76"/>
  <c r="O23" i="2" l="1"/>
  <c r="S25" i="76"/>
  <c r="T25" s="1"/>
  <c r="I17" i="3"/>
  <c r="H18"/>
  <c r="H26"/>
  <c r="I25"/>
  <c r="AN21" i="7"/>
  <c r="P18" i="3"/>
  <c r="P19" s="1"/>
  <c r="Q19" s="1"/>
  <c r="AX20" i="1"/>
  <c r="J16" i="81"/>
  <c r="H17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AY6" i="7"/>
  <c r="O24" i="2" l="1"/>
  <c r="S26" i="76"/>
  <c r="T26" s="1"/>
  <c r="I18" i="3"/>
  <c r="H19"/>
  <c r="H27"/>
  <c r="I26"/>
  <c r="X18" i="7"/>
  <c r="AR18"/>
  <c r="AQ18" s="1"/>
  <c r="AN22"/>
  <c r="P20" i="3"/>
  <c r="Q20" s="1"/>
  <c r="AX21" i="1"/>
  <c r="J17" i="81"/>
  <c r="H18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O25" l="1"/>
  <c r="S27" i="76"/>
  <c r="T27" s="1"/>
  <c r="I19" i="3"/>
  <c r="H20"/>
  <c r="H28"/>
  <c r="I27"/>
  <c r="AN23" i="7"/>
  <c r="P21" i="3"/>
  <c r="Q21" s="1"/>
  <c r="J18" i="81"/>
  <c r="AX22" i="1"/>
  <c r="H19" i="81"/>
  <c r="AU27" i="5"/>
  <c r="AZ26"/>
  <c r="BC26" s="1"/>
  <c r="BC18" i="7"/>
  <c r="AS18"/>
  <c r="AX18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B31"/>
  <c r="I27"/>
  <c r="J27"/>
  <c r="M25"/>
  <c r="N25"/>
  <c r="Q23"/>
  <c r="R23"/>
  <c r="S22"/>
  <c r="T22"/>
  <c r="K26"/>
  <c r="L26"/>
  <c r="Q16" i="76"/>
  <c r="AY17" i="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R25" i="2"/>
  <c r="C24" i="63"/>
  <c r="D24" s="1"/>
  <c r="O26" i="2" l="1"/>
  <c r="S28" i="76"/>
  <c r="T28" s="1"/>
  <c r="AY18" i="7"/>
  <c r="Q17" i="76"/>
  <c r="H21" i="3"/>
  <c r="I20"/>
  <c r="J27" i="82"/>
  <c r="H29" i="3"/>
  <c r="I28"/>
  <c r="AN24" i="7"/>
  <c r="X20"/>
  <c r="AR20"/>
  <c r="AS20" s="1"/>
  <c r="AX20" s="1"/>
  <c r="Q19" i="76" s="1"/>
  <c r="P22" i="3"/>
  <c r="Q22" s="1"/>
  <c r="AX23" i="1"/>
  <c r="J19" i="81"/>
  <c r="H20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Q18" i="76" s="1"/>
  <c r="BC19" i="7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9" i="76"/>
  <c r="T29" s="1"/>
  <c r="I21" i="3"/>
  <c r="H22"/>
  <c r="J28" i="82"/>
  <c r="H30" i="3"/>
  <c r="I29"/>
  <c r="AN25" i="7"/>
  <c r="AS21"/>
  <c r="AX21" s="1"/>
  <c r="Q20" i="76" s="1"/>
  <c r="P23" i="3"/>
  <c r="J20" i="81"/>
  <c r="AX24" i="1"/>
  <c r="H21" i="8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AY20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30" i="76"/>
  <c r="T30" s="1"/>
  <c r="P24" i="3"/>
  <c r="Q24" s="1"/>
  <c r="Q23"/>
  <c r="I22"/>
  <c r="H23"/>
  <c r="J29" i="82"/>
  <c r="H31" i="3"/>
  <c r="I30"/>
  <c r="AN26" i="7"/>
  <c r="AR22"/>
  <c r="AQ22" s="1"/>
  <c r="T33" i="1"/>
  <c r="AA29" i="3"/>
  <c r="V29"/>
  <c r="AX25" i="1"/>
  <c r="J21" i="81"/>
  <c r="H22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AY21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Y1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1" i="76"/>
  <c r="T31" s="1"/>
  <c r="I23" i="3"/>
  <c r="H24"/>
  <c r="I24" s="1"/>
  <c r="H32"/>
  <c r="I31"/>
  <c r="BC22" i="7"/>
  <c r="AS22"/>
  <c r="AX22" s="1"/>
  <c r="Q21" i="76" s="1"/>
  <c r="AN27" i="7"/>
  <c r="P25" i="3"/>
  <c r="Q25" s="1"/>
  <c r="T34" i="1"/>
  <c r="AB29" i="3"/>
  <c r="H36" i="5"/>
  <c r="B7" i="77" s="1"/>
  <c r="J22" i="81"/>
  <c r="AX26" i="1"/>
  <c r="H23" i="8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S24" s="1"/>
  <c r="AT34" i="1"/>
  <c r="AU34" s="1"/>
  <c r="Y35" i="5"/>
  <c r="J31" i="82" s="1"/>
  <c r="X23" i="7"/>
  <c r="AA27" i="76"/>
  <c r="N37"/>
  <c r="U31" i="3"/>
  <c r="S34"/>
  <c r="Z30"/>
  <c r="AE30" s="1"/>
  <c r="AF30" s="1"/>
  <c r="AG30" s="1"/>
  <c r="N30"/>
  <c r="K31"/>
  <c r="AC29"/>
  <c r="AH29" s="1"/>
  <c r="F29" i="63"/>
  <c r="AK29" i="3"/>
  <c r="BA35" i="5"/>
  <c r="BD35" s="1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C34" i="65" s="1"/>
  <c r="AM33" i="1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O30" l="1"/>
  <c r="S32" i="76"/>
  <c r="T32" s="1"/>
  <c r="I32" i="3"/>
  <c r="X24" i="7"/>
  <c r="AN28"/>
  <c r="AB27" i="76"/>
  <c r="P26" i="3"/>
  <c r="Q26" s="1"/>
  <c r="AA31"/>
  <c r="V31"/>
  <c r="J23" i="81"/>
  <c r="AX27" i="1"/>
  <c r="H24" i="81"/>
  <c r="AU32" i="5"/>
  <c r="AZ31"/>
  <c r="BC31" s="1"/>
  <c r="AG32" i="2"/>
  <c r="AB30" i="3"/>
  <c r="U36" i="5"/>
  <c r="B25" i="65"/>
  <c r="E25" s="1"/>
  <c r="AI25" i="1"/>
  <c r="AW26" i="7" s="1"/>
  <c r="AJ24" i="1"/>
  <c r="AK24" s="1"/>
  <c r="G21" i="81"/>
  <c r="N26" i="1"/>
  <c r="V26" s="1"/>
  <c r="I31" i="81"/>
  <c r="AO29" i="7"/>
  <c r="Y25"/>
  <c r="AR25" s="1"/>
  <c r="AS25" s="1"/>
  <c r="C34" i="3"/>
  <c r="Y36" i="5"/>
  <c r="M37" i="76"/>
  <c r="AA28"/>
  <c r="AA29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8" s="1"/>
  <c r="I35"/>
  <c r="C36"/>
  <c r="K30" i="81"/>
  <c r="J34" i="5"/>
  <c r="L30" i="81" s="1"/>
  <c r="AM34" i="1"/>
  <c r="F35" i="75" s="1"/>
  <c r="G35" s="1"/>
  <c r="AG34" i="1"/>
  <c r="AL34"/>
  <c r="D35" i="75" s="1"/>
  <c r="E35" s="1"/>
  <c r="J34" i="1"/>
  <c r="J35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AN29" i="7" l="1"/>
  <c r="O31" i="2"/>
  <c r="S33" i="76"/>
  <c r="T33" s="1"/>
  <c r="O34" i="1"/>
  <c r="O15"/>
  <c r="O5"/>
  <c r="O16"/>
  <c r="O14"/>
  <c r="O6"/>
  <c r="O17"/>
  <c r="O18"/>
  <c r="O19"/>
  <c r="O9"/>
  <c r="O20"/>
  <c r="O10"/>
  <c r="O21"/>
  <c r="O22"/>
  <c r="O12"/>
  <c r="O13"/>
  <c r="O23"/>
  <c r="O24"/>
  <c r="O25"/>
  <c r="O26"/>
  <c r="O27"/>
  <c r="O28"/>
  <c r="O29"/>
  <c r="O30"/>
  <c r="O31"/>
  <c r="O32"/>
  <c r="O33"/>
  <c r="AB28" i="76"/>
  <c r="F4" i="77"/>
  <c r="AB31" i="3"/>
  <c r="P27"/>
  <c r="Q27" s="1"/>
  <c r="I36" i="5"/>
  <c r="G38" s="1"/>
  <c r="J24" i="81"/>
  <c r="AX28" i="1"/>
  <c r="E37" i="5"/>
  <c r="H25" i="81"/>
  <c r="AU33" i="5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5" i="1"/>
  <c r="AU37" s="1"/>
  <c r="BC25" i="7"/>
  <c r="Y26"/>
  <c r="AR26" s="1"/>
  <c r="AS26" s="1"/>
  <c r="AQ24"/>
  <c r="AO30"/>
  <c r="AB29" i="76"/>
  <c r="AA30"/>
  <c r="L37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7" i="5"/>
  <c r="H38" s="1"/>
  <c r="D36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AX25"/>
  <c r="Q24" i="76" s="1"/>
  <c r="V27" i="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O32" i="2" l="1"/>
  <c r="S34" i="76"/>
  <c r="T34" s="1"/>
  <c r="X26" i="7"/>
  <c r="BC26"/>
  <c r="AN30"/>
  <c r="P28" i="3"/>
  <c r="I37" i="5"/>
  <c r="J25" i="81"/>
  <c r="AX29" i="1"/>
  <c r="H26" i="81"/>
  <c r="I37" i="76"/>
  <c r="AU34" i="5"/>
  <c r="AZ33"/>
  <c r="BC33" s="1"/>
  <c r="AB32" i="3"/>
  <c r="D37" i="73"/>
  <c r="B16" i="77" s="1"/>
  <c r="E8"/>
  <c r="G37" i="76"/>
  <c r="C37"/>
  <c r="K38" s="1"/>
  <c r="AL36" i="5"/>
  <c r="AO31" i="7"/>
  <c r="AN31" s="1"/>
  <c r="AX24"/>
  <c r="Q23" i="76" s="1"/>
  <c r="B27" i="65"/>
  <c r="E27" s="1"/>
  <c r="AI27" i="1"/>
  <c r="AW28" i="7" s="1"/>
  <c r="G23" i="81"/>
  <c r="AJ26" i="1"/>
  <c r="AK26" s="1"/>
  <c r="N28"/>
  <c r="V28" s="1"/>
  <c r="AE29" i="76"/>
  <c r="AF29" s="1"/>
  <c r="AB31"/>
  <c r="AH31" i="3"/>
  <c r="AK32"/>
  <c r="AC32"/>
  <c r="K34"/>
  <c r="U33" s="1"/>
  <c r="W32" i="76" s="1"/>
  <c r="AE32" i="3"/>
  <c r="AF32" s="1"/>
  <c r="AG32" s="1"/>
  <c r="AJ36" i="5"/>
  <c r="Z37" s="1"/>
  <c r="D6" i="77"/>
  <c r="G6"/>
  <c r="AJ38" i="5"/>
  <c r="AM38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AS27" s="1"/>
  <c r="I34"/>
  <c r="J34"/>
  <c r="S29"/>
  <c r="T29"/>
  <c r="R30"/>
  <c r="Q30"/>
  <c r="R32" i="2"/>
  <c r="AI32" s="1"/>
  <c r="E31" i="81"/>
  <c r="C31" i="63"/>
  <c r="D31" s="1"/>
  <c r="J33" i="65"/>
  <c r="AI31" i="2"/>
  <c r="W41" i="76" l="1"/>
  <c r="W43"/>
  <c r="P29" i="3"/>
  <c r="Q28"/>
  <c r="E16" i="77"/>
  <c r="X32" i="76"/>
  <c r="AX30" i="1"/>
  <c r="J26" i="81"/>
  <c r="H27"/>
  <c r="AU35" i="5"/>
  <c r="AZ34"/>
  <c r="BC34" s="1"/>
  <c r="E6" i="77"/>
  <c r="F7"/>
  <c r="G38" i="76"/>
  <c r="AD29" s="1"/>
  <c r="AD27"/>
  <c r="I38"/>
  <c r="AD28" s="1"/>
  <c r="E9" i="77"/>
  <c r="G9" s="1"/>
  <c r="AY24" i="7"/>
  <c r="N29" i="1"/>
  <c r="V29" s="1"/>
  <c r="AI28"/>
  <c r="AW29" i="7" s="1"/>
  <c r="B28" i="65"/>
  <c r="E28" s="1"/>
  <c r="AQ26" i="7"/>
  <c r="K38" i="5"/>
  <c r="G8" i="77"/>
  <c r="F8"/>
  <c r="Z33" i="3"/>
  <c r="AH32"/>
  <c r="AG35" i="7"/>
  <c r="AH35"/>
  <c r="AK33"/>
  <c r="AL33"/>
  <c r="AM33" s="1"/>
  <c r="AJ34"/>
  <c r="AI34"/>
  <c r="AO32"/>
  <c r="AN32" s="1"/>
  <c r="Y28"/>
  <c r="AR28" s="1"/>
  <c r="AS28" s="1"/>
  <c r="X27"/>
  <c r="M33"/>
  <c r="N33"/>
  <c r="K34"/>
  <c r="L34"/>
  <c r="R31"/>
  <c r="Q31"/>
  <c r="AY25"/>
  <c r="P32"/>
  <c r="O32"/>
  <c r="I35"/>
  <c r="J35"/>
  <c r="V29"/>
  <c r="W29" s="1"/>
  <c r="U29"/>
  <c r="S30"/>
  <c r="T30"/>
  <c r="B18" i="77" l="1"/>
  <c r="E18" s="1"/>
  <c r="W57" i="76"/>
  <c r="X57" s="1"/>
  <c r="Y57" s="1"/>
  <c r="P30" i="3"/>
  <c r="Q29"/>
  <c r="Y32" i="76"/>
  <c r="J27" i="81"/>
  <c r="AX31" i="1"/>
  <c r="H28" i="81"/>
  <c r="F6" i="77"/>
  <c r="AZ35" i="5"/>
  <c r="BC35" s="1"/>
  <c r="F9" i="77"/>
  <c r="C38" i="76"/>
  <c r="AX26" i="7"/>
  <c r="AJ27" i="1"/>
  <c r="AK27" s="1"/>
  <c r="G24" i="81"/>
  <c r="AJ28" i="1"/>
  <c r="AK28" s="1"/>
  <c r="G25" i="81"/>
  <c r="B29" i="65"/>
  <c r="E29" s="1"/>
  <c r="AI29" i="1"/>
  <c r="N30"/>
  <c r="V30" s="1"/>
  <c r="AO33" i="7"/>
  <c r="AN33" s="1"/>
  <c r="AJ35"/>
  <c r="AI35"/>
  <c r="AK34"/>
  <c r="AL34"/>
  <c r="AM34" s="1"/>
  <c r="X28"/>
  <c r="AQ28"/>
  <c r="AX28"/>
  <c r="Q27" i="76" s="1"/>
  <c r="U30" i="7"/>
  <c r="V30"/>
  <c r="W30" s="1"/>
  <c r="Y29"/>
  <c r="AR29" s="1"/>
  <c r="AS29" s="1"/>
  <c r="AQ27"/>
  <c r="BC28"/>
  <c r="AX27"/>
  <c r="Q26" i="76" s="1"/>
  <c r="BC27" i="7"/>
  <c r="P33"/>
  <c r="O33"/>
  <c r="M34"/>
  <c r="N34"/>
  <c r="Q32"/>
  <c r="R32"/>
  <c r="K35"/>
  <c r="L35"/>
  <c r="S31"/>
  <c r="T31"/>
  <c r="AY26" l="1"/>
  <c r="Q25" i="76"/>
  <c r="F18" i="77"/>
  <c r="B19"/>
  <c r="P31" i="3"/>
  <c r="Q30"/>
  <c r="AX32" i="1"/>
  <c r="J28" i="81"/>
  <c r="H29"/>
  <c r="O37" i="76"/>
  <c r="AW30" i="7"/>
  <c r="N31" i="1"/>
  <c r="V31" s="1"/>
  <c r="B30" i="65"/>
  <c r="E30" s="1"/>
  <c r="AI30" i="1"/>
  <c r="AW31" i="7" s="1"/>
  <c r="Y30"/>
  <c r="AR30" s="1"/>
  <c r="AS30" s="1"/>
  <c r="AO34"/>
  <c r="AN34" s="1"/>
  <c r="AK35"/>
  <c r="AL35"/>
  <c r="AM35" s="1"/>
  <c r="Q33"/>
  <c r="R33"/>
  <c r="O34"/>
  <c r="P34"/>
  <c r="T32"/>
  <c r="S32"/>
  <c r="U31"/>
  <c r="V31"/>
  <c r="W31" s="1"/>
  <c r="X29"/>
  <c r="AY28"/>
  <c r="AY27"/>
  <c r="N35"/>
  <c r="M35"/>
  <c r="P32" i="3" l="1"/>
  <c r="Q32" s="1"/>
  <c r="Q31"/>
  <c r="X30" i="7"/>
  <c r="AQ30"/>
  <c r="J29" i="81"/>
  <c r="AX33" i="1"/>
  <c r="H30" i="81"/>
  <c r="AO35" i="7"/>
  <c r="AN35" s="1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AX29"/>
  <c r="Q28" i="76" s="1"/>
  <c r="AQ29" i="7"/>
  <c r="BC29"/>
  <c r="V32"/>
  <c r="W32" s="1"/>
  <c r="U32"/>
  <c r="AX30" l="1"/>
  <c r="Q29" i="76" s="1"/>
  <c r="AS31" i="7"/>
  <c r="AX31" s="1"/>
  <c r="J30" i="81"/>
  <c r="AX34" i="1"/>
  <c r="H31" i="81"/>
  <c r="AI32" i="1"/>
  <c r="AW33" i="7" s="1"/>
  <c r="B32" i="65"/>
  <c r="E32" s="1"/>
  <c r="AW32" i="7"/>
  <c r="N33" i="1"/>
  <c r="V33" s="1"/>
  <c r="BC30" i="7"/>
  <c r="Y32"/>
  <c r="AR32" s="1"/>
  <c r="BC31"/>
  <c r="X31"/>
  <c r="T34"/>
  <c r="S34"/>
  <c r="AQ31"/>
  <c r="U33"/>
  <c r="V33"/>
  <c r="W33" s="1"/>
  <c r="R35"/>
  <c r="Q35"/>
  <c r="AY31" l="1"/>
  <c r="Q30" i="76"/>
  <c r="X32" i="7"/>
  <c r="BC32"/>
  <c r="J31" i="81"/>
  <c r="AY29" i="7"/>
  <c r="AJ32" i="1"/>
  <c r="AK32" s="1"/>
  <c r="G29" i="81"/>
  <c r="N34" i="1"/>
  <c r="V34" s="1"/>
  <c r="AI33"/>
  <c r="B33" i="65"/>
  <c r="E33" s="1"/>
  <c r="G28" i="81"/>
  <c r="AJ31" i="1"/>
  <c r="AK31" s="1"/>
  <c r="AY30" i="7"/>
  <c r="Y33"/>
  <c r="AR33" s="1"/>
  <c r="V34"/>
  <c r="W34" s="1"/>
  <c r="U34"/>
  <c r="T35"/>
  <c r="S35"/>
  <c r="AI34" i="1" l="1"/>
  <c r="AW35" i="7" s="1"/>
  <c r="B34" i="65"/>
  <c r="E34" s="1"/>
  <c r="AW34" i="7"/>
  <c r="AS32"/>
  <c r="AQ32"/>
  <c r="X33"/>
  <c r="Y34"/>
  <c r="AR34" s="1"/>
  <c r="AS33"/>
  <c r="AX33" s="1"/>
  <c r="Q32" i="76" s="1"/>
  <c r="AQ33" i="7"/>
  <c r="U35"/>
  <c r="V35"/>
  <c r="W35" s="1"/>
  <c r="BC33"/>
  <c r="AX32" l="1"/>
  <c r="Y35"/>
  <c r="AI36" i="1"/>
  <c r="AJ34"/>
  <c r="AK34" s="1"/>
  <c r="G31" i="81"/>
  <c r="AJ33" i="1"/>
  <c r="AK33" s="1"/>
  <c r="G30" i="81"/>
  <c r="X34" i="7"/>
  <c r="AQ34"/>
  <c r="AS34"/>
  <c r="AX34" s="1"/>
  <c r="Q33" i="76" s="1"/>
  <c r="AY33" i="7"/>
  <c r="BC34"/>
  <c r="AY32" l="1"/>
  <c r="Q31" i="76"/>
  <c r="AR35" i="7"/>
  <c r="BC35" s="1"/>
  <c r="X35"/>
  <c r="AY34"/>
  <c r="AQ35" l="1"/>
  <c r="AS35"/>
  <c r="AX35" s="1"/>
  <c r="Q34" i="76" s="1"/>
  <c r="AY35" i="7" l="1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AK2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H28" i="63" l="1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6" i="5"/>
  <c r="AK36" s="1"/>
  <c r="O40" i="74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M5" i="5" l="1"/>
  <c r="M6" s="1"/>
  <c r="O5"/>
  <c r="O6" s="1"/>
  <c r="M7" l="1"/>
  <c r="N6"/>
  <c r="O7"/>
  <c r="P6"/>
  <c r="M8" l="1"/>
  <c r="N7"/>
  <c r="O8"/>
  <c r="P7"/>
  <c r="Q6"/>
  <c r="M2" i="81" s="1"/>
  <c r="M9" i="5" l="1"/>
  <c r="N8"/>
  <c r="O9"/>
  <c r="P8"/>
  <c r="Q7"/>
  <c r="M3" i="81" s="1"/>
  <c r="M10" i="5" l="1"/>
  <c r="N9"/>
  <c r="O10"/>
  <c r="P9"/>
  <c r="Q8"/>
  <c r="M4" i="81" s="1"/>
  <c r="M11" i="5" l="1"/>
  <c r="N10"/>
  <c r="O11"/>
  <c r="P10"/>
  <c r="Q9"/>
  <c r="M5" i="81" s="1"/>
  <c r="AV5" i="7"/>
  <c r="M12" i="5" l="1"/>
  <c r="N11"/>
  <c r="O12"/>
  <c r="P11"/>
  <c r="Q10"/>
  <c r="M6" i="81" s="1"/>
  <c r="O13" i="5" l="1"/>
  <c r="P12"/>
  <c r="Q12" s="1"/>
  <c r="M8" i="81" s="1"/>
  <c r="Q11" i="5"/>
  <c r="M7" i="81" s="1"/>
  <c r="M13" i="5"/>
  <c r="N12"/>
  <c r="O14" l="1"/>
  <c r="P13"/>
  <c r="Q13" s="1"/>
  <c r="M9" i="81" s="1"/>
  <c r="M14" i="5"/>
  <c r="N13"/>
  <c r="M15" l="1"/>
  <c r="N14"/>
  <c r="O15"/>
  <c r="P14"/>
  <c r="M16" l="1"/>
  <c r="N15"/>
  <c r="O16"/>
  <c r="P15"/>
  <c r="Q14"/>
  <c r="M10" i="81" s="1"/>
  <c r="M17" i="5" l="1"/>
  <c r="N16"/>
  <c r="O17"/>
  <c r="P16"/>
  <c r="Q15"/>
  <c r="M11" i="81" s="1"/>
  <c r="V10" i="76"/>
  <c r="V11"/>
  <c r="V9"/>
  <c r="M18" i="5" l="1"/>
  <c r="N17"/>
  <c r="O18"/>
  <c r="P17"/>
  <c r="Q16"/>
  <c r="M12" i="81" s="1"/>
  <c r="M19" i="5" l="1"/>
  <c r="N18"/>
  <c r="O19"/>
  <c r="P18"/>
  <c r="Q17"/>
  <c r="M13" i="81" s="1"/>
  <c r="M20" i="5" l="1"/>
  <c r="N19"/>
  <c r="O20"/>
  <c r="P19"/>
  <c r="Q18"/>
  <c r="M14" i="81" s="1"/>
  <c r="AC11" i="76"/>
  <c r="AC10"/>
  <c r="AC9"/>
  <c r="AC29" l="1"/>
  <c r="AC54"/>
  <c r="AC28"/>
  <c r="AC53"/>
  <c r="AC27"/>
  <c r="AC31" s="1"/>
  <c r="AC52"/>
  <c r="O21" i="5"/>
  <c r="P20"/>
  <c r="Q20" s="1"/>
  <c r="M16" i="81" s="1"/>
  <c r="Q19" i="5"/>
  <c r="M15" i="81" s="1"/>
  <c r="M21" i="5"/>
  <c r="N20"/>
  <c r="W40" i="76" l="1"/>
  <c r="W42" s="1"/>
  <c r="W44" s="1"/>
  <c r="AC56"/>
  <c r="AC32"/>
  <c r="AB32" s="1"/>
  <c r="O22" i="5"/>
  <c r="P21"/>
  <c r="M22"/>
  <c r="N21"/>
  <c r="AC57" i="76" l="1"/>
  <c r="AB57" s="1"/>
  <c r="W65"/>
  <c r="W67" s="1"/>
  <c r="W69" s="1"/>
  <c r="Q21" i="5"/>
  <c r="M17" i="81" s="1"/>
  <c r="O19" i="76"/>
  <c r="P19" s="1"/>
  <c r="R19" s="1"/>
  <c r="T19" s="1"/>
  <c r="O23"/>
  <c r="P23" s="1"/>
  <c r="R23" s="1"/>
  <c r="O27"/>
  <c r="P27" s="1"/>
  <c r="R27" s="1"/>
  <c r="O31"/>
  <c r="P31" s="1"/>
  <c r="R31" s="1"/>
  <c r="O21"/>
  <c r="P21" s="1"/>
  <c r="R21" s="1"/>
  <c r="T21" s="1"/>
  <c r="O29"/>
  <c r="P29" s="1"/>
  <c r="R29" s="1"/>
  <c r="O30"/>
  <c r="P30" s="1"/>
  <c r="R30" s="1"/>
  <c r="O20"/>
  <c r="P20" s="1"/>
  <c r="R20" s="1"/>
  <c r="T20" s="1"/>
  <c r="F17" i="81" s="1"/>
  <c r="O24" i="76"/>
  <c r="P24" s="1"/>
  <c r="R24" s="1"/>
  <c r="O28"/>
  <c r="P28" s="1"/>
  <c r="R28" s="1"/>
  <c r="O32"/>
  <c r="P32" s="1"/>
  <c r="R32" s="1"/>
  <c r="O25"/>
  <c r="P25" s="1"/>
  <c r="R25" s="1"/>
  <c r="O33"/>
  <c r="P33" s="1"/>
  <c r="R33" s="1"/>
  <c r="O34"/>
  <c r="P34" s="1"/>
  <c r="R34" s="1"/>
  <c r="O17"/>
  <c r="P17" s="1"/>
  <c r="R17" s="1"/>
  <c r="T17" s="1"/>
  <c r="F14" i="81" s="1"/>
  <c r="O18" i="76"/>
  <c r="P18" s="1"/>
  <c r="R18" s="1"/>
  <c r="T18" s="1"/>
  <c r="F15" i="81" s="1"/>
  <c r="O22" i="76"/>
  <c r="P22" s="1"/>
  <c r="O26"/>
  <c r="P26" s="1"/>
  <c r="R26" s="1"/>
  <c r="O12"/>
  <c r="P12" s="1"/>
  <c r="R12" s="1"/>
  <c r="T12" s="1"/>
  <c r="F10" i="81" s="1"/>
  <c r="F26"/>
  <c r="O10" i="76"/>
  <c r="P10" s="1"/>
  <c r="R10" s="1"/>
  <c r="T10" s="1"/>
  <c r="F8" i="81" s="1"/>
  <c r="F16"/>
  <c r="F22"/>
  <c r="O14" i="76"/>
  <c r="AB36"/>
  <c r="AB37" s="1"/>
  <c r="O4"/>
  <c r="P4" s="1"/>
  <c r="R4" s="1"/>
  <c r="T4" s="1"/>
  <c r="F2" i="81" s="1"/>
  <c r="F20"/>
  <c r="F29"/>
  <c r="O5" i="76"/>
  <c r="P5" s="1"/>
  <c r="R5" s="1"/>
  <c r="T5" s="1"/>
  <c r="F3" i="81" s="1"/>
  <c r="O11" i="76"/>
  <c r="P11" s="1"/>
  <c r="R11" s="1"/>
  <c r="T11" s="1"/>
  <c r="F9" i="81" s="1"/>
  <c r="F24"/>
  <c r="O16" i="76"/>
  <c r="P16" s="1"/>
  <c r="R16" s="1"/>
  <c r="T16" s="1"/>
  <c r="F13" i="81" s="1"/>
  <c r="O9" i="76"/>
  <c r="P9" s="1"/>
  <c r="R9" s="1"/>
  <c r="T9" s="1"/>
  <c r="F7" i="81" s="1"/>
  <c r="F31"/>
  <c r="F25"/>
  <c r="O8" i="76"/>
  <c r="P8" s="1"/>
  <c r="R8" s="1"/>
  <c r="T8" s="1"/>
  <c r="F6" i="81" s="1"/>
  <c r="F23"/>
  <c r="O6" i="76"/>
  <c r="P6" s="1"/>
  <c r="R6" s="1"/>
  <c r="T6" s="1"/>
  <c r="F4" i="81" s="1"/>
  <c r="F27"/>
  <c r="F28"/>
  <c r="O13" i="76"/>
  <c r="P13" s="1"/>
  <c r="R13" s="1"/>
  <c r="T13" s="1"/>
  <c r="F11" i="81" s="1"/>
  <c r="F30"/>
  <c r="O7" i="76"/>
  <c r="P7" s="1"/>
  <c r="R7" s="1"/>
  <c r="T7" s="1"/>
  <c r="F5" i="81" s="1"/>
  <c r="F21"/>
  <c r="F18"/>
  <c r="O23" i="5"/>
  <c r="P22"/>
  <c r="M23"/>
  <c r="N22"/>
  <c r="AA67" i="76" l="1"/>
  <c r="AB61"/>
  <c r="AB62" s="1"/>
  <c r="AB63"/>
  <c r="AB65" s="1"/>
  <c r="Z66" s="1"/>
  <c r="Z68" s="1"/>
  <c r="Z70" s="1"/>
  <c r="P14"/>
  <c r="R14" s="1"/>
  <c r="T14" s="1"/>
  <c r="F12" i="81" s="1"/>
  <c r="AA42" i="76"/>
  <c r="AB42" s="1"/>
  <c r="AB43" s="1"/>
  <c r="D10" i="77"/>
  <c r="E10" s="1"/>
  <c r="F10" s="1"/>
  <c r="F12" s="1"/>
  <c r="AB38" i="76"/>
  <c r="AB40" s="1"/>
  <c r="Z41" s="1"/>
  <c r="O24" i="5"/>
  <c r="P23"/>
  <c r="Q22"/>
  <c r="M18" i="81" s="1"/>
  <c r="M24" i="5"/>
  <c r="N23"/>
  <c r="AB67" i="76" l="1"/>
  <c r="AB68" s="1"/>
  <c r="AA68"/>
  <c r="AA43"/>
  <c r="E12" i="77"/>
  <c r="G10"/>
  <c r="G12" s="1"/>
  <c r="I14" s="1"/>
  <c r="M25" i="5"/>
  <c r="N24"/>
  <c r="O25"/>
  <c r="P24"/>
  <c r="Q23"/>
  <c r="M19" i="81" s="1"/>
  <c r="H14" i="77" l="1"/>
  <c r="M26" i="5"/>
  <c r="N25"/>
  <c r="O26"/>
  <c r="P25"/>
  <c r="Q24"/>
  <c r="M20" i="81" s="1"/>
  <c r="M27" i="5" l="1"/>
  <c r="N26"/>
  <c r="O27"/>
  <c r="P26"/>
  <c r="Q25"/>
  <c r="M21" i="81" s="1"/>
  <c r="M28" i="5" l="1"/>
  <c r="N27"/>
  <c r="O28"/>
  <c r="P27"/>
  <c r="Q26"/>
  <c r="M22" i="81" s="1"/>
  <c r="O29" i="5" l="1"/>
  <c r="P28"/>
  <c r="Q28" s="1"/>
  <c r="M24" i="81" s="1"/>
  <c r="M29" i="5"/>
  <c r="N28"/>
  <c r="Q27"/>
  <c r="M23" i="81" s="1"/>
  <c r="M30" i="5" l="1"/>
  <c r="N29"/>
  <c r="O30"/>
  <c r="P29"/>
  <c r="M31" l="1"/>
  <c r="N30"/>
  <c r="O31"/>
  <c r="P30"/>
  <c r="Q29"/>
  <c r="M25" i="81" s="1"/>
  <c r="O32" i="5" l="1"/>
  <c r="P31"/>
  <c r="Q31" s="1"/>
  <c r="M27" i="81" s="1"/>
  <c r="Q30" i="5"/>
  <c r="M26" i="81" s="1"/>
  <c r="M32" i="5"/>
  <c r="N31"/>
  <c r="O33" l="1"/>
  <c r="P32"/>
  <c r="Q32" s="1"/>
  <c r="M28" i="81" s="1"/>
  <c r="M33" i="5"/>
  <c r="N32"/>
  <c r="O34" l="1"/>
  <c r="P33"/>
  <c r="Q33" s="1"/>
  <c r="M29" i="81" s="1"/>
  <c r="M34" i="5"/>
  <c r="N33"/>
  <c r="M35" l="1"/>
  <c r="N35" s="1"/>
  <c r="N34"/>
  <c r="O35"/>
  <c r="P35" s="1"/>
  <c r="P34"/>
  <c r="Q34" l="1"/>
  <c r="M30" i="81" s="1"/>
  <c r="Q35" i="5"/>
  <c r="M31" i="81" l="1"/>
  <c r="AA9" i="76" l="1"/>
  <c r="AB9" l="1"/>
  <c r="AA10"/>
  <c r="AA11"/>
  <c r="AB10" l="1"/>
  <c r="AB11"/>
  <c r="AA12"/>
  <c r="AC13" l="1"/>
  <c r="AB13"/>
  <c r="W14"/>
  <c r="X14" l="1"/>
  <c r="AC14"/>
  <c r="AD11"/>
  <c r="AD9"/>
  <c r="AD10"/>
  <c r="Y14" l="1"/>
  <c r="O3"/>
  <c r="AB14"/>
  <c r="AB19" l="1"/>
  <c r="P3" l="1"/>
  <c r="AB20"/>
  <c r="X2" i="3" l="1"/>
  <c r="X3" s="1"/>
  <c r="X4" l="1"/>
  <c r="Y3"/>
  <c r="Y2"/>
  <c r="AS5" i="5"/>
  <c r="AS6" s="1"/>
  <c r="N5"/>
  <c r="P5"/>
  <c r="X5" i="3" l="1"/>
  <c r="Y4"/>
  <c r="AS7" i="5"/>
  <c r="AY6"/>
  <c r="BB6" s="1"/>
  <c r="BE6" s="1"/>
  <c r="AY5"/>
  <c r="Q5"/>
  <c r="Q36" s="1"/>
  <c r="O37" s="1"/>
  <c r="Y5" i="3" l="1"/>
  <c r="X6"/>
  <c r="I2" i="63"/>
  <c r="BF6" i="5"/>
  <c r="BG6" s="1"/>
  <c r="G6" i="65" s="1"/>
  <c r="AS8" i="5"/>
  <c r="AY7"/>
  <c r="BB7" s="1"/>
  <c r="BE7" s="1"/>
  <c r="BB5"/>
  <c r="Y6" i="3" l="1"/>
  <c r="X7"/>
  <c r="AY8" i="5"/>
  <c r="BB8" s="1"/>
  <c r="BE8" s="1"/>
  <c r="AS9"/>
  <c r="I3" i="63"/>
  <c r="BF7" i="5"/>
  <c r="BG7" s="1"/>
  <c r="G7" i="65" s="1"/>
  <c r="BE5" i="5"/>
  <c r="X8" i="3" l="1"/>
  <c r="Y7"/>
  <c r="BF8" i="5"/>
  <c r="BG8" s="1"/>
  <c r="G8" i="65" s="1"/>
  <c r="I4" i="63"/>
  <c r="AS10" i="5"/>
  <c r="AY9"/>
  <c r="BB9" s="1"/>
  <c r="BE9" s="1"/>
  <c r="BF5"/>
  <c r="X9" i="3" l="1"/>
  <c r="Y8"/>
  <c r="AS11" i="5"/>
  <c r="AY10"/>
  <c r="BB10" s="1"/>
  <c r="BE10" s="1"/>
  <c r="I5" i="63"/>
  <c r="BF9" i="5"/>
  <c r="BG9" s="1"/>
  <c r="G9" i="65" s="1"/>
  <c r="BG5" i="5"/>
  <c r="G5" i="65" s="1"/>
  <c r="I6" i="63" l="1"/>
  <c r="BF10" i="5"/>
  <c r="BG10" s="1"/>
  <c r="G10" i="65" s="1"/>
  <c r="X10" i="3"/>
  <c r="Y9"/>
  <c r="AS12" i="5"/>
  <c r="AY11"/>
  <c r="BB11" s="1"/>
  <c r="BE11" s="1"/>
  <c r="Y10" i="3" l="1"/>
  <c r="X11"/>
  <c r="AY12" i="5"/>
  <c r="BB12" s="1"/>
  <c r="BE12" s="1"/>
  <c r="AS13"/>
  <c r="BF11"/>
  <c r="BG11" s="1"/>
  <c r="G11" i="65" s="1"/>
  <c r="I7" i="63"/>
  <c r="X12" i="3" l="1"/>
  <c r="Y11"/>
  <c r="I8" i="63"/>
  <c r="BF12" i="5"/>
  <c r="BG12" s="1"/>
  <c r="G12" i="65" s="1"/>
  <c r="AS14" i="5"/>
  <c r="AY13"/>
  <c r="BB13" s="1"/>
  <c r="BE13" s="1"/>
  <c r="R3" i="76"/>
  <c r="T3"/>
  <c r="X13" i="3" l="1"/>
  <c r="Y12"/>
  <c r="AY14" i="5"/>
  <c r="BB14" s="1"/>
  <c r="BE14" s="1"/>
  <c r="AS15"/>
  <c r="BF13"/>
  <c r="BG13" s="1"/>
  <c r="G13" i="65" s="1"/>
  <c r="I9" i="63"/>
  <c r="Y13" i="3" l="1"/>
  <c r="X14"/>
  <c r="BF14" i="5"/>
  <c r="BG14" s="1"/>
  <c r="G14" i="65" s="1"/>
  <c r="I10" i="63"/>
  <c r="AY15" i="5"/>
  <c r="BB15" s="1"/>
  <c r="BE15" s="1"/>
  <c r="AS16"/>
  <c r="Y14" i="3" l="1"/>
  <c r="X15"/>
  <c r="BF15" i="5"/>
  <c r="BG15" s="1"/>
  <c r="G15" i="65" s="1"/>
  <c r="I11" i="63"/>
  <c r="AS17" i="5"/>
  <c r="AY16"/>
  <c r="BB16" s="1"/>
  <c r="BE16" s="1"/>
  <c r="Y15" i="3" l="1"/>
  <c r="X16"/>
  <c r="AY17" i="5"/>
  <c r="BB17" s="1"/>
  <c r="BE17" s="1"/>
  <c r="AS18"/>
  <c r="I12" i="63"/>
  <c r="BF16" i="5"/>
  <c r="BG16" s="1"/>
  <c r="G16" i="65" s="1"/>
  <c r="X17" i="3" l="1"/>
  <c r="Y16"/>
  <c r="BF17" i="5"/>
  <c r="BG17" s="1"/>
  <c r="G17" i="65" s="1"/>
  <c r="I13" i="63"/>
  <c r="AY18" i="5"/>
  <c r="BB18" s="1"/>
  <c r="BE18" s="1"/>
  <c r="AS19"/>
  <c r="Y17" i="3" l="1"/>
  <c r="X18"/>
  <c r="BF18" i="5"/>
  <c r="BG18" s="1"/>
  <c r="G18" i="65" s="1"/>
  <c r="I14" i="63"/>
  <c r="AY19" i="5"/>
  <c r="BB19" s="1"/>
  <c r="BE19" s="1"/>
  <c r="AS20"/>
  <c r="X19" i="3" l="1"/>
  <c r="Y18"/>
  <c r="BF19" i="5"/>
  <c r="BG19" s="1"/>
  <c r="G19" i="65" s="1"/>
  <c r="I15" i="63"/>
  <c r="AY20" i="5"/>
  <c r="BB20" s="1"/>
  <c r="BE20" s="1"/>
  <c r="AS21"/>
  <c r="Y19" i="3" l="1"/>
  <c r="X20"/>
  <c r="I16" i="63"/>
  <c r="BF20" i="5"/>
  <c r="BG20" s="1"/>
  <c r="G20" i="65" s="1"/>
  <c r="AY21" i="5"/>
  <c r="BB21" s="1"/>
  <c r="BE21" s="1"/>
  <c r="AS22"/>
  <c r="Y20" i="3" l="1"/>
  <c r="Y21" s="1"/>
  <c r="X21"/>
  <c r="X22" s="1"/>
  <c r="BF21" i="5"/>
  <c r="BG21" s="1"/>
  <c r="G21" i="65" s="1"/>
  <c r="I17" i="63"/>
  <c r="AY22" i="5"/>
  <c r="BB22" s="1"/>
  <c r="BE22" s="1"/>
  <c r="AS23"/>
  <c r="Y22" i="3" l="1"/>
  <c r="X23"/>
  <c r="BF22" i="5"/>
  <c r="BG22" s="1"/>
  <c r="G22" i="65" s="1"/>
  <c r="I18" i="63"/>
  <c r="AY23" i="5"/>
  <c r="BB23" s="1"/>
  <c r="BE23" s="1"/>
  <c r="AS24"/>
  <c r="Y23" i="3" l="1"/>
  <c r="X24"/>
  <c r="BF23" i="5"/>
  <c r="BG23" s="1"/>
  <c r="G23" i="65" s="1"/>
  <c r="I19" i="63"/>
  <c r="AY24" i="5"/>
  <c r="BB24" s="1"/>
  <c r="BE24" s="1"/>
  <c r="AS25"/>
  <c r="Y24" i="3" l="1"/>
  <c r="X25"/>
  <c r="BF24" i="5"/>
  <c r="BG24" s="1"/>
  <c r="G24" i="65" s="1"/>
  <c r="I20" i="63"/>
  <c r="AY25" i="5"/>
  <c r="BB25" s="1"/>
  <c r="BE25" s="1"/>
  <c r="AS26"/>
  <c r="Y25" i="3" l="1"/>
  <c r="X26"/>
  <c r="BF25" i="5"/>
  <c r="BG25" s="1"/>
  <c r="G25" i="65" s="1"/>
  <c r="I21" i="63"/>
  <c r="AY26" i="5"/>
  <c r="BB26" s="1"/>
  <c r="BE26" s="1"/>
  <c r="AS27"/>
  <c r="Y26" i="3" l="1"/>
  <c r="X27"/>
  <c r="BF26" i="5"/>
  <c r="BG26" s="1"/>
  <c r="G26" i="65" s="1"/>
  <c r="I22" i="63"/>
  <c r="AY27" i="5"/>
  <c r="BB27" s="1"/>
  <c r="BE27" s="1"/>
  <c r="AS28"/>
  <c r="Y27" i="3" l="1"/>
  <c r="X28"/>
  <c r="BF27" i="5"/>
  <c r="BG27" s="1"/>
  <c r="G27" i="65" s="1"/>
  <c r="I23" i="63"/>
  <c r="AY28" i="5"/>
  <c r="BB28" s="1"/>
  <c r="BE28" s="1"/>
  <c r="AS29"/>
  <c r="Y28" i="3" l="1"/>
  <c r="X29"/>
  <c r="I24" i="63"/>
  <c r="BF28" i="5"/>
  <c r="BG28" s="1"/>
  <c r="G28" i="65" s="1"/>
  <c r="AS30" i="5"/>
  <c r="AY29"/>
  <c r="BB29" s="1"/>
  <c r="BE29" s="1"/>
  <c r="Y29" i="3" l="1"/>
  <c r="X30"/>
  <c r="AS31" i="5"/>
  <c r="AY30"/>
  <c r="BB30" s="1"/>
  <c r="BE30" s="1"/>
  <c r="BF29"/>
  <c r="BG29" s="1"/>
  <c r="G29" i="65" s="1"/>
  <c r="I25" i="63"/>
  <c r="X31" i="3" l="1"/>
  <c r="Y30"/>
  <c r="AY31" i="5"/>
  <c r="BB31" s="1"/>
  <c r="BE31" s="1"/>
  <c r="AS32"/>
  <c r="I26" i="63"/>
  <c r="BF30" i="5"/>
  <c r="BG30" s="1"/>
  <c r="G30" i="65" s="1"/>
  <c r="Y31" i="3" l="1"/>
  <c r="X32"/>
  <c r="Y32" s="1"/>
  <c r="I27" i="63"/>
  <c r="BF31" i="5"/>
  <c r="BG31" s="1"/>
  <c r="G31" i="65" s="1"/>
  <c r="AY32" i="5"/>
  <c r="BB32" s="1"/>
  <c r="BE32" s="1"/>
  <c r="AS33"/>
  <c r="BF32" l="1"/>
  <c r="BG32" s="1"/>
  <c r="G32" i="65" s="1"/>
  <c r="I28" i="63"/>
  <c r="AY33" i="5"/>
  <c r="BB33" s="1"/>
  <c r="BE33" s="1"/>
  <c r="AS34"/>
  <c r="I29" i="63" l="1"/>
  <c r="BF33" i="5"/>
  <c r="BG33" s="1"/>
  <c r="G33" i="65" s="1"/>
  <c r="AY34" i="5"/>
  <c r="BB34" s="1"/>
  <c r="BE34" s="1"/>
  <c r="AS35"/>
  <c r="AY35" s="1"/>
  <c r="BF34" l="1"/>
  <c r="BG34" s="1"/>
  <c r="G34" i="65" s="1"/>
  <c r="I30" i="63"/>
  <c r="BB35" i="5"/>
  <c r="BE35" s="1"/>
  <c r="BF35" l="1"/>
  <c r="BG35" s="1"/>
  <c r="I31" i="63"/>
  <c r="BC24" i="7"/>
  <c r="BC23"/>
  <c r="AQ23"/>
  <c r="AS23"/>
  <c r="AX23" s="1"/>
  <c r="Q22" i="76" l="1"/>
  <c r="R22" s="1"/>
  <c r="T22" s="1"/>
  <c r="F19" i="81" s="1"/>
  <c r="AX36" i="7"/>
  <c r="Z42" i="76" s="1"/>
  <c r="Z43" s="1"/>
  <c r="Z45" s="1"/>
  <c r="AY23" i="7"/>
  <c r="AY36" s="1"/>
  <c r="AS39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<sst xmlns="http://schemas.openxmlformats.org/spreadsheetml/2006/main" count="673" uniqueCount="417">
  <si>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</si>
  <si>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</si>
  <si>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</si>
  <si>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</si>
  <si>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</si>
  <si>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</si>
  <si>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</si>
  <si>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</si>
  <si>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</si>
  <si>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</si>
  <si>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</si>
  <si>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</si>
  <si>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</si>
  <si>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</si>
  <si>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</si>
  <si>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</si>
  <si>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</si>
  <si>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</si>
  <si>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</si>
  <si>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</si>
  <si>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</si>
  <si>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</si>
  <si>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</si>
  <si>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</si>
  <si>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</si>
  <si>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</si>
  <si>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</si>
  <si>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</si>
  <si>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</si>
  <si>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</si>
  <si>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</si>
  <si>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</si>
  <si>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</si>
  <si>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</si>
  <si>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</si>
  <si>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</si>
  <si>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</si>
  <si>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</si>
  <si>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</si>
  <si>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</si>
  <si>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</si>
  <si>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</si>
  <si>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</si>
  <si>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</si>
  <si>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</si>
  <si>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</si>
  <si>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</si>
  <si>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</si>
  <si>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</si>
  <si>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</si>
  <si>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</si>
  <si>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</si>
  <si>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</si>
  <si>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</si>
  <si>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</si>
  <si>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</si>
  <si>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</si>
  <si>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</si>
  <si>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</si>
  <si>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</si>
  <si>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</si>
  <si>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</si>
  <si>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</si>
  <si>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</si>
  <si>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</si>
  <si>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</si>
  <si>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</si>
  <si>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</si>
  <si>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</si>
  <si>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</si>
  <si>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</si>
  <si>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</si>
  <si>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</si>
  <si>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</si>
  <si>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</si>
  <si>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</si>
  <si>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</si>
  <si>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</si>
  <si>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</si>
  <si>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</si>
  <si>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</si>
  <si>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</si>
  <si>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</si>
  <si>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</si>
  <si>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</si>
  <si>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</si>
  <si>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</si>
  <si>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</si>
  <si>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</si>
  <si>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</si>
  <si>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</si>
  <si>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</si>
  <si>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</si>
  <si>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</si>
  <si>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</si>
  <si>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</si>
  <si>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</si>
  <si>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</si>
  <si>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</si>
  <si>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</si>
  <si>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</si>
  <si>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</si>
  <si>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</si>
  <si>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</si>
  <si>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</si>
  <si>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</si>
  <si>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</si>
  <si>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</si>
  <si>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</si>
  <si>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</si>
  <si>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</si>
  <si>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</si>
  <si>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</si>
  <si>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</si>
  <si>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</si>
  <si>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</si>
  <si>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</si>
  <si>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</si>
  <si>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</si>
  <si>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</si>
  <si>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</si>
  <si>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</si>
  <si>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</si>
  <si>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</si>
  <si>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</si>
  <si>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</si>
  <si>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</si>
  <si>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</si>
  <si>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</si>
  <si>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</si>
  <si>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</si>
  <si>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</si>
  <si>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</si>
  <si>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</si>
  <si>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</si>
  <si>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</si>
  <si>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</si>
  <si>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</si>
  <si>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</si>
  <si>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</si>
  <si>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</si>
  <si>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</si>
  <si>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</si>
  <si>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</si>
  <si>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</si>
  <si>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</si>
  <si>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</si>
  <si>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</si>
  <si>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</si>
  <si>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</si>
  <si>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</si>
  <si>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</si>
  <si>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</si>
  <si>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</si>
  <si>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</si>
  <si>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</si>
  <si>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</si>
  <si>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</si>
  <si>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</si>
  <si>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</si>
  <si>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</si>
  <si>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</si>
  <si>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</si>
  <si>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</si>
  <si>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</si>
  <si>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</si>
  <si>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</si>
  <si>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</si>
  <si>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</si>
  <si>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</si>
  <si>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</si>
  <si>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</si>
  <si>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</si>
  <si>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</si>
  <si>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</si>
  <si>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</si>
  <si>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</si>
  <si>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</si>
  <si>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</si>
  <si>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</si>
  <si>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</si>
  <si>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</si>
  <si>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</si>
  <si>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</si>
  <si>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</si>
  <si>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</si>
  <si>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</si>
  <si>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</si>
  <si>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</si>
  <si>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</si>
  <si>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</si>
  <si>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</si>
  <si>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</si>
  <si>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</si>
  <si>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</si>
  <si>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</si>
  <si>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</si>
  <si>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</si>
  <si>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</si>
  <si>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</si>
  <si>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</si>
  <si>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</si>
  <si>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</si>
  <si>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</si>
  <si>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</si>
  <si>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</si>
  <si>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</si>
  <si>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</si>
  <si>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</si>
  <si>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</si>
  <si>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</si>
  <si>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</si>
  <si>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</si>
  <si>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</si>
  <si>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</si>
  <si>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</si>
  <si>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</si>
  <si>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</si>
  <si>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</si>
  <si>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</si>
  <si>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</si>
  <si>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</si>
  <si>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</si>
  <si>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</si>
  <si>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</si>
  <si>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</si>
  <si>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</si>
  <si>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</si>
  <si>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</si>
  <si>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</si>
  <si>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</si>
  <si>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</si>
  <si>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</si>
  <si>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</si>
  <si>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</si>
  <si>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</si>
  <si>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</si>
  <si>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</si>
  <si>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</si>
  <si>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</si>
  <si>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</si>
  <si>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</si>
  <si>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</si>
  <si>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</si>
  <si>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</si>
  <si>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</si>
  <si>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</si>
  <si>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</si>
  <si>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</si>
  <si>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</si>
  <si>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</si>
  <si>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</si>
  <si>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</si>
  <si>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</si>
  <si>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</si>
  <si>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</si>
  <si>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</si>
  <si>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</si>
  <si>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</si>
  <si>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</si>
  <si>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</si>
  <si>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</si>
  <si>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</si>
  <si>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</si>
  <si>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</si>
  <si>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</si>
  <si>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</si>
  <si>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</si>
  <si>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</si>
  <si>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</si>
  <si>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</si>
  <si>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</si>
  <si>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</si>
  <si>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</si>
  <si>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</si>
  <si>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</si>
  <si>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</si>
  <si>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</si>
  <si>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</si>
  <si>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</si>
  <si>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</si>
  <si>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</si>
  <si>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</si>
  <si>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</si>
  <si>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</si>
  <si>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</si>
  <si>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</si>
  <si>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</si>
  <si>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</si>
  <si>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</si>
  <si>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</si>
  <si>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</si>
  <si>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</si>
  <si>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</si>
  <si>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</si>
  <si>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</si>
  <si>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</si>
  <si>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</si>
  <si>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</si>
  <si>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</si>
  <si>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</si>
  <si>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</si>
  <si>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</si>
  <si>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</si>
  <si>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</si>
  <si>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</si>
  <si>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</si>
  <si>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</si>
  <si>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</si>
  <si>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</si>
  <si>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</si>
  <si>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</si>
  <si>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</si>
  <si>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</si>
  <si>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</si>
  <si>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</si>
  <si>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</si>
  <si>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</si>
  <si>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</si>
  <si>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</si>
  <si>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</si>
  <si>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</si>
  <si>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</si>
  <si>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</si>
  <si>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</si>
  <si>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</si>
  <si>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</si>
  <si>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</si>
  <si>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</si>
  <si>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</si>
  <si>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</si>
  <si>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</si>
  <si>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</si>
  <si>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</si>
  <si>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</si>
  <si>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</si>
  <si>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</si>
  <si>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</si>
  <si>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</si>
  <si>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</si>
  <si>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</si>
  <si>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</si>
  <si>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</si>
  <si>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</si>
  <si>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</si>
  <si>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</si>
  <si>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</si>
  <si>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</si>
  <si>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</si>
  <si>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</si>
  <si>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</si>
  <si>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</si>
  <si>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</si>
  <si>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</si>
  <si>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</si>
  <si>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</si>
  <si>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</si>
  <si>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</si>
  <si>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</si>
  <si>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</si>
  <si>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</si>
  <si>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</si>
  <si>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</si>
  <si>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</si>
  <si>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</si>
  <si>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</si>
  <si>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</si>
  <si>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</si>
  <si>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</si>
  <si>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</si>
  <si>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</si>
  <si>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</si>
  <si>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</si>
  <si>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</si>
  <si>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</si>
  <si>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</si>
  <si>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</si>
  <si>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</si>
  <si>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</si>
  <si>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</si>
  <si>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</si>
  <si>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</si>
  <si>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</si>
  <si>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</si>
  <si>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</si>
  <si>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</si>
  <si>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</si>
  <si>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</si>
  <si>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</si>
  <si>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</si>
  <si>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</si>
  <si>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</si>
  <si>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</si>
  <si>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</si>
  <si>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</si>
  <si>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</si>
  <si>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</si>
  <si>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</si>
  <si>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</si>
  <si>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</si>
  <si>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</si>
  <si>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</si>
  <si>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</si>
  <si>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</si>
  <si>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</si>
  <si>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</si>
  <si>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</si>
  <si>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</si>
  <si>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</si>
  <si>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</si>
  <si>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</si>
  <si>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</si>
  <si>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</si>
  <si>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</si>
  <si>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</si>
  <si>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After new counter</t>
  </si>
  <si>
    <t>Before new counter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</si>
</sst>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%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82" fontId="18" fillId="0" borderId="1" xfId="4" applyNumberFormat="1" applyFont="1" applyBorder="1" applyAlignment="1">
      <alignment horizontal="left" wrapText="1"/>
    </xf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4" applyNumberFormat="1" applyFont="1"/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" fontId="0" fillId="31" borderId="7" xfId="0" applyNumberFormat="1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41" fontId="0" fillId="8" borderId="1" xfId="0" applyNumberFormat="1" applyFill="1" applyBorder="1"/>
    <xf numFmtId="0" fontId="0" fillId="0" borderId="1" xfId="0" applyBorder="1" applyAlignment="1">
      <alignment horizontal="center" vertical="center"/>
    </xf>
    <xf numFmtId="167" fontId="18" fillId="2" borderId="1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6" borderId="1" xfId="0" applyFill="1" applyBorder="1" applyAlignment="1"/>
    <xf numFmtId="0" fontId="0" fillId="22" borderId="1" xfId="0" applyFill="1" applyBorder="1" applyAlignment="1"/>
    <xf numFmtId="0" fontId="0" fillId="5" borderId="1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44" fontId="0" fillId="3" borderId="23" xfId="0" applyNumberFormat="1" applyFill="1" applyBorder="1" applyAlignment="1">
      <alignment horizontal="center" vertical="center"/>
    </xf>
    <xf numFmtId="44" fontId="0" fillId="3" borderId="7" xfId="0" applyNumberFormat="1" applyFill="1" applyBorder="1" applyAlignment="1">
      <alignment horizontal="center" vertical="center"/>
    </xf>
    <xf numFmtId="43" fontId="18" fillId="3" borderId="23" xfId="1" applyFont="1" applyFill="1" applyBorder="1" applyAlignment="1">
      <alignment horizontal="center" vertical="center"/>
    </xf>
    <xf numFmtId="43" fontId="18" fillId="3" borderId="7" xfId="1" applyFont="1" applyFill="1" applyBorder="1" applyAlignment="1">
      <alignment horizontal="center" vertical="center"/>
    </xf>
    <xf numFmtId="177" fontId="0" fillId="0" borderId="23" xfId="0" applyNumberFormat="1" applyBorder="1" applyAlignment="1">
      <alignment horizontal="right" vertical="center"/>
    </xf>
    <xf numFmtId="177" fontId="0" fillId="0" borderId="7" xfId="0" applyNumberFormat="1" applyBorder="1" applyAlignment="1">
      <alignment horizontal="right" vertical="center"/>
    </xf>
    <xf numFmtId="44" fontId="18" fillId="3" borderId="23" xfId="2" applyFont="1" applyFill="1" applyBorder="1" applyAlignment="1">
      <alignment horizontal="center" vertical="center"/>
    </xf>
    <xf numFmtId="44" fontId="18" fillId="3" borderId="7" xfId="2" applyFont="1" applyFill="1" applyBorder="1" applyAlignment="1">
      <alignment horizontal="center" vertical="center"/>
    </xf>
    <xf numFmtId="0" fontId="0" fillId="16" borderId="23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23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0" borderId="7" xfId="0" applyBorder="1"/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13605</c:v>
                </c:pt>
                <c:pt idx="1">
                  <c:v>14293</c:v>
                </c:pt>
                <c:pt idx="2">
                  <c:v>13728</c:v>
                </c:pt>
                <c:pt idx="3">
                  <c:v>14416</c:v>
                </c:pt>
                <c:pt idx="4">
                  <c:v>12453</c:v>
                </c:pt>
                <c:pt idx="5">
                  <c:v>13633</c:v>
                </c:pt>
                <c:pt idx="6">
                  <c:v>13778</c:v>
                </c:pt>
                <c:pt idx="7">
                  <c:v>16205</c:v>
                </c:pt>
                <c:pt idx="8">
                  <c:v>15745</c:v>
                </c:pt>
                <c:pt idx="9">
                  <c:v>15283</c:v>
                </c:pt>
                <c:pt idx="10">
                  <c:v>16634</c:v>
                </c:pt>
                <c:pt idx="11">
                  <c:v>14437</c:v>
                </c:pt>
                <c:pt idx="12">
                  <c:v>15870</c:v>
                </c:pt>
                <c:pt idx="13">
                  <c:v>15047</c:v>
                </c:pt>
                <c:pt idx="14">
                  <c:v>14400</c:v>
                </c:pt>
                <c:pt idx="15">
                  <c:v>15381</c:v>
                </c:pt>
                <c:pt idx="16">
                  <c:v>15463</c:v>
                </c:pt>
                <c:pt idx="17">
                  <c:v>14854</c:v>
                </c:pt>
                <c:pt idx="18">
                  <c:v>17822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9070464"/>
        <c:axId val="138879744"/>
      </c:lineChart>
      <c:catAx>
        <c:axId val="139070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79744"/>
        <c:crosses val="autoZero"/>
        <c:auto val="1"/>
        <c:lblAlgn val="ctr"/>
        <c:lblOffset val="100"/>
      </c:catAx>
      <c:valAx>
        <c:axId val="1388797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7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4011"/>
          <c:w val="0.11899800868449698"/>
          <c:h val="4.498269896194354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3">
                  <c:v>3571</c:v>
                </c:pt>
                <c:pt idx="14">
                  <c:v>4380</c:v>
                </c:pt>
                <c:pt idx="15">
                  <c:v>5998</c:v>
                </c:pt>
                <c:pt idx="16">
                  <c:v>4886</c:v>
                </c:pt>
                <c:pt idx="17">
                  <c:v>5481</c:v>
                </c:pt>
                <c:pt idx="18">
                  <c:v>5960</c:v>
                </c:pt>
                <c:pt idx="19">
                  <c:v>6073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38900224"/>
        <c:axId val="138901760"/>
      </c:lineChart>
      <c:catAx>
        <c:axId val="138900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01760"/>
        <c:crosses val="autoZero"/>
        <c:auto val="1"/>
        <c:lblAlgn val="ctr"/>
        <c:lblOffset val="100"/>
      </c:catAx>
      <c:valAx>
        <c:axId val="138901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0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403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2.1700000000000001E-2</c:v>
                </c:pt>
                <c:pt idx="1">
                  <c:v>8.6999999999999994E-3</c:v>
                </c:pt>
                <c:pt idx="2">
                  <c:v>2.6100000000000002E-2</c:v>
                </c:pt>
                <c:pt idx="3">
                  <c:v>2.1700000000000001E-2</c:v>
                </c:pt>
                <c:pt idx="4">
                  <c:v>1.2999999999999999E-2</c:v>
                </c:pt>
                <c:pt idx="5">
                  <c:v>2.1700000000000001E-2</c:v>
                </c:pt>
                <c:pt idx="6">
                  <c:v>1.7399999999999999E-2</c:v>
                </c:pt>
                <c:pt idx="7">
                  <c:v>1.2999999999999999E-2</c:v>
                </c:pt>
                <c:pt idx="8">
                  <c:v>1.7399999999999999E-2</c:v>
                </c:pt>
                <c:pt idx="9">
                  <c:v>1.7399999999999999E-2</c:v>
                </c:pt>
                <c:pt idx="10">
                  <c:v>1.2999999999999999E-2</c:v>
                </c:pt>
                <c:pt idx="11">
                  <c:v>0.03</c:v>
                </c:pt>
                <c:pt idx="12">
                  <c:v>1.7399999999999999E-2</c:v>
                </c:pt>
                <c:pt idx="13">
                  <c:v>1.2999999999999999E-2</c:v>
                </c:pt>
                <c:pt idx="14">
                  <c:v>1.2999999999999999E-2</c:v>
                </c:pt>
                <c:pt idx="15">
                  <c:v>2.1700000000000001E-2</c:v>
                </c:pt>
                <c:pt idx="16">
                  <c:v>1.7399999999999999E-2</c:v>
                </c:pt>
                <c:pt idx="17">
                  <c:v>2.1700000000000001E-2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8917760"/>
        <c:axId val="138919296"/>
      </c:lineChart>
      <c:catAx>
        <c:axId val="138917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19296"/>
        <c:crosses val="autoZero"/>
        <c:auto val="1"/>
        <c:lblAlgn val="ctr"/>
        <c:lblOffset val="100"/>
      </c:catAx>
      <c:valAx>
        <c:axId val="1389192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17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3284"/>
          <c:y val="0.62975887529634011"/>
          <c:w val="7.9124755870162669E-2"/>
          <c:h val="4.498269896194354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4.9910000000000005</c:v>
                </c:pt>
                <c:pt idx="1">
                  <c:v>2.0009999999999999</c:v>
                </c:pt>
                <c:pt idx="2">
                  <c:v>6.0030000000000001</c:v>
                </c:pt>
                <c:pt idx="3">
                  <c:v>4.9910000000000005</c:v>
                </c:pt>
                <c:pt idx="4">
                  <c:v>2.9899999999999998</c:v>
                </c:pt>
                <c:pt idx="5">
                  <c:v>4.9910000000000005</c:v>
                </c:pt>
                <c:pt idx="6">
                  <c:v>4.0019999999999998</c:v>
                </c:pt>
                <c:pt idx="7">
                  <c:v>2.9899999999999998</c:v>
                </c:pt>
                <c:pt idx="8">
                  <c:v>4.0019999999999998</c:v>
                </c:pt>
                <c:pt idx="9">
                  <c:v>4.0019999999999998</c:v>
                </c:pt>
                <c:pt idx="10">
                  <c:v>2.9899999999999998</c:v>
                </c:pt>
                <c:pt idx="11">
                  <c:v>6.8999999999999995</c:v>
                </c:pt>
                <c:pt idx="12">
                  <c:v>4.0019999999999998</c:v>
                </c:pt>
                <c:pt idx="13">
                  <c:v>2.9899999999999998</c:v>
                </c:pt>
                <c:pt idx="14">
                  <c:v>2.9899999999999998</c:v>
                </c:pt>
                <c:pt idx="15">
                  <c:v>4.9910000000000005</c:v>
                </c:pt>
                <c:pt idx="16">
                  <c:v>4.0019999999999998</c:v>
                </c:pt>
                <c:pt idx="17">
                  <c:v>4.9910000000000005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839552"/>
        <c:axId val="98853632"/>
      </c:lineChart>
      <c:catAx>
        <c:axId val="98839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53632"/>
        <c:crosses val="autoZero"/>
        <c:auto val="1"/>
        <c:lblAlgn val="ctr"/>
        <c:lblOffset val="100"/>
      </c:catAx>
      <c:valAx>
        <c:axId val="988536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39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908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110.3</c:v>
                </c:pt>
                <c:pt idx="1">
                  <c:v>218.54545454545453</c:v>
                </c:pt>
                <c:pt idx="2">
                  <c:v>183.16666666666666</c:v>
                </c:pt>
                <c:pt idx="3">
                  <c:v>246.375</c:v>
                </c:pt>
                <c:pt idx="4">
                  <c:v>229.42857142857142</c:v>
                </c:pt>
                <c:pt idx="5">
                  <c:v>273.75</c:v>
                </c:pt>
                <c:pt idx="6">
                  <c:v>223.76923076923077</c:v>
                </c:pt>
                <c:pt idx="7">
                  <c:v>236.25</c:v>
                </c:pt>
                <c:pt idx="8">
                  <c:v>215.63636363636363</c:v>
                </c:pt>
                <c:pt idx="9">
                  <c:v>241.07142857142858</c:v>
                </c:pt>
                <c:pt idx="10">
                  <c:v>277.60000000000002</c:v>
                </c:pt>
                <c:pt idx="11">
                  <c:v>234.6</c:v>
                </c:pt>
                <c:pt idx="12">
                  <c:v>225.54545454545453</c:v>
                </c:pt>
                <c:pt idx="13">
                  <c:v>252.6</c:v>
                </c:pt>
                <c:pt idx="14">
                  <c:v>224.63636363636363</c:v>
                </c:pt>
                <c:pt idx="15">
                  <c:v>0</c:v>
                </c:pt>
                <c:pt idx="16">
                  <c:v>460.83333333333331</c:v>
                </c:pt>
                <c:pt idx="17">
                  <c:v>247.92307692307693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9506048"/>
        <c:axId val="139507584"/>
      </c:lineChart>
      <c:catAx>
        <c:axId val="13950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507584"/>
        <c:crosses val="autoZero"/>
        <c:auto val="1"/>
        <c:lblAlgn val="ctr"/>
        <c:lblOffset val="100"/>
      </c:catAx>
      <c:valAx>
        <c:axId val="1395075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50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728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0</c:v>
                </c:pt>
                <c:pt idx="12">
                  <c:v>8</c:v>
                </c:pt>
                <c:pt idx="13">
                  <c:v>12</c:v>
                </c:pt>
                <c:pt idx="14">
                  <c:v>2</c:v>
                </c:pt>
                <c:pt idx="15">
                  <c:v>8</c:v>
                </c:pt>
                <c:pt idx="16">
                  <c:v>4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022720"/>
        <c:axId val="99024256"/>
      </c:lineChart>
      <c:catAx>
        <c:axId val="9902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24256"/>
        <c:crosses val="autoZero"/>
        <c:auto val="1"/>
        <c:lblAlgn val="ctr"/>
        <c:lblOffset val="100"/>
      </c:catAx>
      <c:valAx>
        <c:axId val="99024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2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187712"/>
        <c:axId val="99197696"/>
      </c:lineChart>
      <c:catAx>
        <c:axId val="99187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97696"/>
        <c:crosses val="autoZero"/>
        <c:auto val="1"/>
        <c:lblAlgn val="ctr"/>
        <c:lblOffset val="100"/>
      </c:catAx>
      <c:valAx>
        <c:axId val="99197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8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0</c:v>
                </c:pt>
                <c:pt idx="9">
                  <c:v>400</c:v>
                </c:pt>
                <c:pt idx="10">
                  <c:v>0</c:v>
                </c:pt>
                <c:pt idx="11">
                  <c:v>120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80</c:v>
                </c:pt>
                <c:pt idx="16">
                  <c:v>0</c:v>
                </c:pt>
                <c:pt idx="17">
                  <c:v>338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295232"/>
        <c:axId val="99296768"/>
      </c:lineChart>
      <c:catAx>
        <c:axId val="99295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96768"/>
        <c:crosses val="autoZero"/>
        <c:auto val="1"/>
        <c:lblAlgn val="ctr"/>
        <c:lblOffset val="100"/>
      </c:catAx>
      <c:valAx>
        <c:axId val="99296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95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23.5</c:v>
                </c:pt>
                <c:pt idx="12">
                  <c:v>22.5</c:v>
                </c:pt>
                <c:pt idx="13">
                  <c:v>23.5</c:v>
                </c:pt>
                <c:pt idx="14">
                  <c:v>23</c:v>
                </c:pt>
                <c:pt idx="15">
                  <c:v>23.5</c:v>
                </c:pt>
                <c:pt idx="16">
                  <c:v>24.5</c:v>
                </c:pt>
                <c:pt idx="17">
                  <c:v>25.5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329152"/>
        <c:axId val="99330688"/>
      </c:lineChart>
      <c:catAx>
        <c:axId val="9932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30688"/>
        <c:crosses val="autoZero"/>
        <c:auto val="1"/>
        <c:lblAlgn val="ctr"/>
        <c:lblOffset val="100"/>
      </c:catAx>
      <c:valAx>
        <c:axId val="993306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2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9633"/>
          <c:w val="0.1272403315177171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232000"/>
        <c:axId val="99237888"/>
      </c:lineChart>
      <c:catAx>
        <c:axId val="99232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37888"/>
        <c:crosses val="autoZero"/>
        <c:auto val="1"/>
        <c:lblAlgn val="ctr"/>
        <c:lblOffset val="100"/>
      </c:catAx>
      <c:valAx>
        <c:axId val="99237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32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358</c:v>
                </c:pt>
                <c:pt idx="1">
                  <c:v>452</c:v>
                </c:pt>
                <c:pt idx="2">
                  <c:v>296</c:v>
                </c:pt>
                <c:pt idx="3">
                  <c:v>370.59999999997672</c:v>
                </c:pt>
                <c:pt idx="4">
                  <c:v>628</c:v>
                </c:pt>
                <c:pt idx="5">
                  <c:v>334</c:v>
                </c:pt>
                <c:pt idx="6">
                  <c:v>391</c:v>
                </c:pt>
                <c:pt idx="7">
                  <c:v>363</c:v>
                </c:pt>
                <c:pt idx="8">
                  <c:v>360</c:v>
                </c:pt>
                <c:pt idx="9">
                  <c:v>282</c:v>
                </c:pt>
                <c:pt idx="10">
                  <c:v>600.40000000002328</c:v>
                </c:pt>
                <c:pt idx="11">
                  <c:v>368.10000000000582</c:v>
                </c:pt>
                <c:pt idx="12">
                  <c:v>366</c:v>
                </c:pt>
                <c:pt idx="13">
                  <c:v>319</c:v>
                </c:pt>
                <c:pt idx="14">
                  <c:v>302</c:v>
                </c:pt>
                <c:pt idx="15">
                  <c:v>352</c:v>
                </c:pt>
                <c:pt idx="16">
                  <c:v>346</c:v>
                </c:pt>
                <c:pt idx="17">
                  <c:v>312</c:v>
                </c:pt>
                <c:pt idx="18">
                  <c:v>588.59999999997672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9556736"/>
        <c:axId val="99579008"/>
      </c:lineChart>
      <c:catAx>
        <c:axId val="9955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79008"/>
        <c:crosses val="autoZero"/>
        <c:auto val="1"/>
        <c:lblAlgn val="ctr"/>
        <c:lblOffset val="100"/>
      </c:catAx>
      <c:valAx>
        <c:axId val="99579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5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9633"/>
          <c:w val="0.1354168853893422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180</c:v>
                </c:pt>
                <c:pt idx="1">
                  <c:v>90</c:v>
                </c:pt>
                <c:pt idx="2">
                  <c:v>120</c:v>
                </c:pt>
                <c:pt idx="3">
                  <c:v>350</c:v>
                </c:pt>
                <c:pt idx="4">
                  <c:v>90</c:v>
                </c:pt>
                <c:pt idx="5">
                  <c:v>60</c:v>
                </c:pt>
                <c:pt idx="6">
                  <c:v>60</c:v>
                </c:pt>
                <c:pt idx="7">
                  <c:v>90</c:v>
                </c:pt>
                <c:pt idx="8">
                  <c:v>150</c:v>
                </c:pt>
                <c:pt idx="9">
                  <c:v>150</c:v>
                </c:pt>
                <c:pt idx="10">
                  <c:v>180</c:v>
                </c:pt>
                <c:pt idx="11">
                  <c:v>90</c:v>
                </c:pt>
                <c:pt idx="12">
                  <c:v>120</c:v>
                </c:pt>
                <c:pt idx="13">
                  <c:v>90</c:v>
                </c:pt>
                <c:pt idx="14">
                  <c:v>120</c:v>
                </c:pt>
                <c:pt idx="15">
                  <c:v>90</c:v>
                </c:pt>
                <c:pt idx="16">
                  <c:v>90</c:v>
                </c:pt>
                <c:pt idx="17">
                  <c:v>510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607296"/>
        <c:axId val="99608832"/>
      </c:lineChart>
      <c:catAx>
        <c:axId val="99607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08832"/>
        <c:crosses val="autoZero"/>
        <c:auto val="1"/>
        <c:lblAlgn val="ctr"/>
        <c:lblOffset val="100"/>
      </c:catAx>
      <c:valAx>
        <c:axId val="996088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0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963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13605</c:v>
                </c:pt>
                <c:pt idx="1">
                  <c:v>14293</c:v>
                </c:pt>
                <c:pt idx="2">
                  <c:v>13728</c:v>
                </c:pt>
                <c:pt idx="3">
                  <c:v>14416</c:v>
                </c:pt>
                <c:pt idx="4">
                  <c:v>12453</c:v>
                </c:pt>
                <c:pt idx="5">
                  <c:v>13633</c:v>
                </c:pt>
                <c:pt idx="6">
                  <c:v>13778</c:v>
                </c:pt>
                <c:pt idx="7">
                  <c:v>16205</c:v>
                </c:pt>
                <c:pt idx="8">
                  <c:v>15745</c:v>
                </c:pt>
                <c:pt idx="9">
                  <c:v>15283</c:v>
                </c:pt>
                <c:pt idx="10">
                  <c:v>16634</c:v>
                </c:pt>
                <c:pt idx="11">
                  <c:v>14437</c:v>
                </c:pt>
                <c:pt idx="12">
                  <c:v>15870</c:v>
                </c:pt>
                <c:pt idx="13">
                  <c:v>15047</c:v>
                </c:pt>
                <c:pt idx="14">
                  <c:v>14400</c:v>
                </c:pt>
                <c:pt idx="15">
                  <c:v>15381</c:v>
                </c:pt>
                <c:pt idx="16">
                  <c:v>15463</c:v>
                </c:pt>
                <c:pt idx="17">
                  <c:v>14854</c:v>
                </c:pt>
                <c:pt idx="18">
                  <c:v>17822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9506432"/>
        <c:axId val="99520512"/>
      </c:lineChart>
      <c:catAx>
        <c:axId val="9950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20512"/>
        <c:crosses val="autoZero"/>
        <c:auto val="1"/>
        <c:lblAlgn val="ctr"/>
        <c:lblOffset val="100"/>
      </c:catAx>
      <c:valAx>
        <c:axId val="995205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0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4011"/>
          <c:w val="0.12291688538932598"/>
          <c:h val="4.4982698961943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3">
                  <c:v>3571</c:v>
                </c:pt>
                <c:pt idx="14">
                  <c:v>4380</c:v>
                </c:pt>
                <c:pt idx="15">
                  <c:v>5998</c:v>
                </c:pt>
                <c:pt idx="16">
                  <c:v>4886</c:v>
                </c:pt>
                <c:pt idx="17">
                  <c:v>5481</c:v>
                </c:pt>
                <c:pt idx="18">
                  <c:v>5960</c:v>
                </c:pt>
                <c:pt idx="19">
                  <c:v>6073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9540352"/>
        <c:axId val="99546240"/>
      </c:lineChart>
      <c:catAx>
        <c:axId val="99540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46240"/>
        <c:crosses val="autoZero"/>
        <c:auto val="1"/>
        <c:lblAlgn val="ctr"/>
        <c:lblOffset val="100"/>
      </c:catAx>
      <c:valAx>
        <c:axId val="99546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40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9633"/>
          <c:w val="0.1354168853893422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9</c:v>
                </c:pt>
                <c:pt idx="11">
                  <c:v>9</c:v>
                </c:pt>
                <c:pt idx="12">
                  <c:v>8</c:v>
                </c:pt>
                <c:pt idx="13">
                  <c:v>5</c:v>
                </c:pt>
                <c:pt idx="14">
                  <c:v>8</c:v>
                </c:pt>
                <c:pt idx="15">
                  <c:v>7</c:v>
                </c:pt>
                <c:pt idx="16">
                  <c:v>5</c:v>
                </c:pt>
                <c:pt idx="17">
                  <c:v>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648256"/>
        <c:axId val="99649792"/>
      </c:lineChart>
      <c:catAx>
        <c:axId val="9964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49792"/>
        <c:crosses val="autoZero"/>
        <c:auto val="1"/>
        <c:lblAlgn val="ctr"/>
        <c:lblOffset val="100"/>
      </c:catAx>
      <c:valAx>
        <c:axId val="996497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4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9086"/>
          <c:y val="0.54325368498487869"/>
          <c:w val="0.11458355205599259"/>
          <c:h val="4.498269896194297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-1226.8096774193777</c:v>
                </c:pt>
                <c:pt idx="1">
                  <c:v>-683.35483870966709</c:v>
                </c:pt>
                <c:pt idx="2">
                  <c:v>-1603.3870967741823</c:v>
                </c:pt>
                <c:pt idx="3">
                  <c:v>520.70967741934874</c:v>
                </c:pt>
                <c:pt idx="4">
                  <c:v>-1296.7096774193487</c:v>
                </c:pt>
                <c:pt idx="5">
                  <c:v>-920.03225806451519</c:v>
                </c:pt>
                <c:pt idx="6">
                  <c:v>-1226.7096774193706</c:v>
                </c:pt>
                <c:pt idx="7">
                  <c:v>-1086.7096774193487</c:v>
                </c:pt>
                <c:pt idx="8">
                  <c:v>-991.69677419355139</c:v>
                </c:pt>
                <c:pt idx="9">
                  <c:v>-2439.4193548386975</c:v>
                </c:pt>
                <c:pt idx="10">
                  <c:v>-2535.7548387096831</c:v>
                </c:pt>
                <c:pt idx="11">
                  <c:v>-2265.0806451612953</c:v>
                </c:pt>
                <c:pt idx="12">
                  <c:v>-2028.4032258064472</c:v>
                </c:pt>
                <c:pt idx="13">
                  <c:v>-1533.3870967741968</c:v>
                </c:pt>
                <c:pt idx="14">
                  <c:v>-1553.0967741935456</c:v>
                </c:pt>
                <c:pt idx="15">
                  <c:v>-1840.0645161290377</c:v>
                </c:pt>
                <c:pt idx="16">
                  <c:v>-217.38709677419683</c:v>
                </c:pt>
                <c:pt idx="17">
                  <c:v>-2760.096774193531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682176"/>
        <c:axId val="99683712"/>
      </c:lineChart>
      <c:catAx>
        <c:axId val="99682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83712"/>
        <c:crosses val="autoZero"/>
        <c:auto val="1"/>
        <c:lblAlgn val="ctr"/>
        <c:lblOffset val="100"/>
      </c:catAx>
      <c:valAx>
        <c:axId val="996837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82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951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0</c:v>
                </c:pt>
                <c:pt idx="12">
                  <c:v>8</c:v>
                </c:pt>
                <c:pt idx="13">
                  <c:v>12</c:v>
                </c:pt>
                <c:pt idx="14">
                  <c:v>2</c:v>
                </c:pt>
                <c:pt idx="15">
                  <c:v>8</c:v>
                </c:pt>
                <c:pt idx="16">
                  <c:v>4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696000"/>
        <c:axId val="99726464"/>
      </c:lineChart>
      <c:catAx>
        <c:axId val="99696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26464"/>
        <c:crosses val="autoZero"/>
        <c:auto val="1"/>
        <c:lblAlgn val="ctr"/>
        <c:lblOffset val="100"/>
      </c:catAx>
      <c:valAx>
        <c:axId val="99726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9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1825"/>
          <c:y val="0.62975887529634011"/>
          <c:w val="0.13541688538934257"/>
          <c:h val="4.4982698961943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2.1700000000000001E-2</c:v>
                </c:pt>
                <c:pt idx="1">
                  <c:v>8.6999999999999994E-3</c:v>
                </c:pt>
                <c:pt idx="2">
                  <c:v>2.6100000000000002E-2</c:v>
                </c:pt>
                <c:pt idx="3">
                  <c:v>2.1700000000000001E-2</c:v>
                </c:pt>
                <c:pt idx="4">
                  <c:v>1.2999999999999999E-2</c:v>
                </c:pt>
                <c:pt idx="5">
                  <c:v>2.1700000000000001E-2</c:v>
                </c:pt>
                <c:pt idx="6">
                  <c:v>1.7399999999999999E-2</c:v>
                </c:pt>
                <c:pt idx="7">
                  <c:v>1.2999999999999999E-2</c:v>
                </c:pt>
                <c:pt idx="8">
                  <c:v>1.7399999999999999E-2</c:v>
                </c:pt>
                <c:pt idx="9">
                  <c:v>1.7399999999999999E-2</c:v>
                </c:pt>
                <c:pt idx="10">
                  <c:v>1.2999999999999999E-2</c:v>
                </c:pt>
                <c:pt idx="11">
                  <c:v>0.03</c:v>
                </c:pt>
                <c:pt idx="12">
                  <c:v>1.7399999999999999E-2</c:v>
                </c:pt>
                <c:pt idx="13">
                  <c:v>1.2999999999999999E-2</c:v>
                </c:pt>
                <c:pt idx="14">
                  <c:v>1.2999999999999999E-2</c:v>
                </c:pt>
                <c:pt idx="15">
                  <c:v>2.1700000000000001E-2</c:v>
                </c:pt>
                <c:pt idx="16">
                  <c:v>1.7399999999999999E-2</c:v>
                </c:pt>
                <c:pt idx="17">
                  <c:v>2.1700000000000001E-2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746560"/>
        <c:axId val="99748096"/>
      </c:lineChart>
      <c:catAx>
        <c:axId val="99746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48096"/>
        <c:crosses val="autoZero"/>
        <c:auto val="1"/>
        <c:lblAlgn val="ctr"/>
        <c:lblOffset val="100"/>
      </c:catAx>
      <c:valAx>
        <c:axId val="997480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46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4011"/>
          <c:w val="9.730870597697025E-2"/>
          <c:h val="4.4982698961943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673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4.9910000000000005</c:v>
                </c:pt>
                <c:pt idx="1">
                  <c:v>2.0009999999999999</c:v>
                </c:pt>
                <c:pt idx="2">
                  <c:v>6.0030000000000001</c:v>
                </c:pt>
                <c:pt idx="3">
                  <c:v>4.9910000000000005</c:v>
                </c:pt>
                <c:pt idx="4">
                  <c:v>2.9899999999999998</c:v>
                </c:pt>
                <c:pt idx="5">
                  <c:v>4.9910000000000005</c:v>
                </c:pt>
                <c:pt idx="6">
                  <c:v>4.0019999999999998</c:v>
                </c:pt>
                <c:pt idx="7">
                  <c:v>2.9899999999999998</c:v>
                </c:pt>
                <c:pt idx="8">
                  <c:v>4.0019999999999998</c:v>
                </c:pt>
                <c:pt idx="9">
                  <c:v>4.0019999999999998</c:v>
                </c:pt>
                <c:pt idx="10">
                  <c:v>2.9899999999999998</c:v>
                </c:pt>
                <c:pt idx="11">
                  <c:v>6.8999999999999995</c:v>
                </c:pt>
                <c:pt idx="12">
                  <c:v>4.0019999999999998</c:v>
                </c:pt>
                <c:pt idx="13">
                  <c:v>2.9899999999999998</c:v>
                </c:pt>
                <c:pt idx="14">
                  <c:v>2.9899999999999998</c:v>
                </c:pt>
                <c:pt idx="15">
                  <c:v>4.9910000000000005</c:v>
                </c:pt>
                <c:pt idx="16">
                  <c:v>4.0019999999999998</c:v>
                </c:pt>
                <c:pt idx="17">
                  <c:v>4.9910000000000005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796864"/>
        <c:axId val="99798400"/>
      </c:lineChart>
      <c:catAx>
        <c:axId val="99796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98400"/>
        <c:crosses val="autoZero"/>
        <c:auto val="1"/>
        <c:lblAlgn val="ctr"/>
        <c:lblOffset val="100"/>
      </c:catAx>
      <c:valAx>
        <c:axId val="997984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9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3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879936"/>
        <c:axId val="99889920"/>
      </c:lineChart>
      <c:catAx>
        <c:axId val="99879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89920"/>
        <c:crosses val="autoZero"/>
        <c:auto val="1"/>
        <c:lblAlgn val="ctr"/>
        <c:lblOffset val="100"/>
      </c:catAx>
      <c:valAx>
        <c:axId val="99889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7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3768"/>
          <c:y val="0.62975887529634011"/>
          <c:w val="0.13250539334757044"/>
          <c:h val="4.4982698961943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0</c:v>
                </c:pt>
                <c:pt idx="9">
                  <c:v>400</c:v>
                </c:pt>
                <c:pt idx="10">
                  <c:v>0</c:v>
                </c:pt>
                <c:pt idx="11">
                  <c:v>120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80</c:v>
                </c:pt>
                <c:pt idx="16">
                  <c:v>0</c:v>
                </c:pt>
                <c:pt idx="17">
                  <c:v>338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926400"/>
        <c:axId val="99927936"/>
      </c:lineChart>
      <c:catAx>
        <c:axId val="99926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27936"/>
        <c:crosses val="autoZero"/>
        <c:auto val="1"/>
        <c:lblAlgn val="ctr"/>
        <c:lblOffset val="100"/>
      </c:catAx>
      <c:valAx>
        <c:axId val="99927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26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963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23.5</c:v>
                </c:pt>
                <c:pt idx="12">
                  <c:v>22.5</c:v>
                </c:pt>
                <c:pt idx="13">
                  <c:v>23.5</c:v>
                </c:pt>
                <c:pt idx="14">
                  <c:v>23</c:v>
                </c:pt>
                <c:pt idx="15">
                  <c:v>23.5</c:v>
                </c:pt>
                <c:pt idx="16">
                  <c:v>24.5</c:v>
                </c:pt>
                <c:pt idx="17">
                  <c:v>25.5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833344"/>
        <c:axId val="99834880"/>
      </c:lineChart>
      <c:catAx>
        <c:axId val="9983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34880"/>
        <c:crosses val="autoZero"/>
        <c:auto val="1"/>
        <c:lblAlgn val="ctr"/>
        <c:lblOffset val="100"/>
      </c:catAx>
      <c:valAx>
        <c:axId val="99834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3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9082"/>
          <c:w val="0.1234311819809228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-100.69999999999997</c:v>
                </c:pt>
                <c:pt idx="2">
                  <c:v>-153.49999999999997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-237.90000000000006</c:v>
                </c:pt>
                <c:pt idx="11" formatCode="0.00_ ;[Red]\-0.00\ ">
                  <c:v>27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89.100000000000023</c:v>
                </c:pt>
                <c:pt idx="11" formatCode="0.00_ ;[Red]\-0.00\ ">
                  <c:v>21</c:v>
                </c:pt>
              </c:numCache>
            </c:numRef>
          </c:val>
        </c:ser>
        <c:marker val="1"/>
        <c:axId val="99876224"/>
        <c:axId val="100017280"/>
      </c:lineChart>
      <c:catAx>
        <c:axId val="998762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17280"/>
        <c:crosses val="autoZero"/>
        <c:auto val="1"/>
        <c:lblAlgn val="ctr"/>
        <c:lblOffset val="100"/>
      </c:catAx>
      <c:valAx>
        <c:axId val="1000172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76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1666"/>
          <c:y val="0.45486256926220986"/>
          <c:w val="0.1569039853282079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110.3</c:v>
                </c:pt>
                <c:pt idx="1">
                  <c:v>218.54545454545453</c:v>
                </c:pt>
                <c:pt idx="2">
                  <c:v>183.16666666666666</c:v>
                </c:pt>
                <c:pt idx="3">
                  <c:v>246.375</c:v>
                </c:pt>
                <c:pt idx="4">
                  <c:v>229.42857142857142</c:v>
                </c:pt>
                <c:pt idx="5">
                  <c:v>273.75</c:v>
                </c:pt>
                <c:pt idx="6">
                  <c:v>223.76923076923077</c:v>
                </c:pt>
                <c:pt idx="7">
                  <c:v>236.25</c:v>
                </c:pt>
                <c:pt idx="8">
                  <c:v>215.63636363636363</c:v>
                </c:pt>
                <c:pt idx="9">
                  <c:v>241.07142857142858</c:v>
                </c:pt>
                <c:pt idx="10">
                  <c:v>277.60000000000002</c:v>
                </c:pt>
                <c:pt idx="11">
                  <c:v>234.6</c:v>
                </c:pt>
                <c:pt idx="12">
                  <c:v>225.54545454545453</c:v>
                </c:pt>
                <c:pt idx="13">
                  <c:v>252.6</c:v>
                </c:pt>
                <c:pt idx="14">
                  <c:v>224.63636363636363</c:v>
                </c:pt>
                <c:pt idx="15">
                  <c:v>0</c:v>
                </c:pt>
                <c:pt idx="16">
                  <c:v>460.83333333333331</c:v>
                </c:pt>
                <c:pt idx="17">
                  <c:v>247.92307692307693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036992"/>
        <c:axId val="100038528"/>
      </c:lineChart>
      <c:catAx>
        <c:axId val="10003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38528"/>
        <c:crosses val="autoZero"/>
        <c:auto val="1"/>
        <c:lblAlgn val="ctr"/>
        <c:lblOffset val="100"/>
      </c:catAx>
      <c:valAx>
        <c:axId val="1000385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3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4011"/>
          <c:w val="0.14853578449138913"/>
          <c:h val="4.49826989619438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23.5</c:v>
                </c:pt>
                <c:pt idx="12">
                  <c:v>22.5</c:v>
                </c:pt>
                <c:pt idx="13">
                  <c:v>23.5</c:v>
                </c:pt>
                <c:pt idx="14">
                  <c:v>23</c:v>
                </c:pt>
                <c:pt idx="15">
                  <c:v>23.5</c:v>
                </c:pt>
                <c:pt idx="16">
                  <c:v>24.5</c:v>
                </c:pt>
                <c:pt idx="17">
                  <c:v>25.5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112256"/>
        <c:axId val="100113792"/>
      </c:lineChart>
      <c:catAx>
        <c:axId val="100112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13792"/>
        <c:crosses val="autoZero"/>
        <c:auto val="1"/>
        <c:lblAlgn val="ctr"/>
        <c:lblOffset val="100"/>
      </c:catAx>
      <c:valAx>
        <c:axId val="100113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12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9668"/>
          <c:y val="0.62975887529634011"/>
          <c:w val="0.12164948453608219"/>
          <c:h val="4.49826989619438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203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9</c:v>
                </c:pt>
                <c:pt idx="11">
                  <c:v>9</c:v>
                </c:pt>
                <c:pt idx="12">
                  <c:v>8</c:v>
                </c:pt>
                <c:pt idx="13">
                  <c:v>5</c:v>
                </c:pt>
                <c:pt idx="14">
                  <c:v>8</c:v>
                </c:pt>
                <c:pt idx="15">
                  <c:v>7</c:v>
                </c:pt>
                <c:pt idx="16">
                  <c:v>5</c:v>
                </c:pt>
                <c:pt idx="17">
                  <c:v>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364288"/>
        <c:axId val="100365824"/>
      </c:lineChart>
      <c:catAx>
        <c:axId val="100364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65824"/>
        <c:crosses val="autoZero"/>
        <c:auto val="1"/>
        <c:lblAlgn val="ctr"/>
        <c:lblOffset val="100"/>
      </c:catAx>
      <c:valAx>
        <c:axId val="1003658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6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3">
                  <c:v>3571</c:v>
                </c:pt>
                <c:pt idx="14">
                  <c:v>4380</c:v>
                </c:pt>
                <c:pt idx="15">
                  <c:v>5998</c:v>
                </c:pt>
                <c:pt idx="16">
                  <c:v>4886</c:v>
                </c:pt>
                <c:pt idx="17">
                  <c:v>5481</c:v>
                </c:pt>
                <c:pt idx="18">
                  <c:v>5960</c:v>
                </c:pt>
                <c:pt idx="19">
                  <c:v>6073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0725888"/>
        <c:axId val="100727424"/>
      </c:lineChart>
      <c:catAx>
        <c:axId val="10072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27424"/>
        <c:crosses val="autoZero"/>
        <c:auto val="1"/>
        <c:lblAlgn val="ctr"/>
        <c:lblOffset val="100"/>
      </c:catAx>
      <c:valAx>
        <c:axId val="100727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2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993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-100.69999999999997</c:v>
                </c:pt>
                <c:pt idx="2">
                  <c:v>-153.49999999999997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-237.90000000000006</c:v>
                </c:pt>
                <c:pt idx="11" formatCode="0.00_ ;[Red]\-0.00\ ">
                  <c:v>27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89.100000000000023</c:v>
                </c:pt>
                <c:pt idx="11" formatCode="0.00_ ;[Red]\-0.00\ ">
                  <c:v>21</c:v>
                </c:pt>
              </c:numCache>
            </c:numRef>
          </c:val>
        </c:ser>
        <c:marker val="1"/>
        <c:axId val="100986240"/>
        <c:axId val="100988032"/>
      </c:lineChart>
      <c:catAx>
        <c:axId val="1009862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88032"/>
        <c:crosses val="autoZero"/>
        <c:auto val="1"/>
        <c:lblAlgn val="ctr"/>
        <c:lblOffset val="100"/>
      </c:catAx>
      <c:valAx>
        <c:axId val="1009880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8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098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April%2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Jun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0\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>
        <row r="32">
          <cell r="A32">
            <v>1.2999999999999999E-2</v>
          </cell>
        </row>
      </sheetData>
      <sheetData sheetId="3">
        <row r="34">
          <cell r="B34">
            <v>245.5</v>
          </cell>
          <cell r="AX34">
            <v>0.7</v>
          </cell>
        </row>
      </sheetData>
      <sheetData sheetId="4">
        <row r="35">
          <cell r="B35">
            <v>108473</v>
          </cell>
        </row>
      </sheetData>
      <sheetData sheetId="5"/>
      <sheetData sheetId="6">
        <row r="35">
          <cell r="B35">
            <v>23</v>
          </cell>
        </row>
      </sheetData>
      <sheetData sheetId="7">
        <row r="35">
          <cell r="B35">
            <v>245.5</v>
          </cell>
        </row>
      </sheetData>
      <sheetData sheetId="8"/>
      <sheetData sheetId="9"/>
      <sheetData sheetId="10"/>
      <sheetData sheetId="11">
        <row r="32">
          <cell r="R32">
            <v>11115</v>
          </cell>
        </row>
      </sheetData>
      <sheetData sheetId="12">
        <row r="33">
          <cell r="B33">
            <v>49827570</v>
          </cell>
        </row>
      </sheetData>
      <sheetData sheetId="13">
        <row r="35">
          <cell r="B35">
            <v>1.56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  <cell r="E33">
            <v>3210</v>
          </cell>
          <cell r="F33">
            <v>3692449</v>
          </cell>
          <cell r="G33">
            <v>1387</v>
          </cell>
          <cell r="H33">
            <v>17470270</v>
          </cell>
          <cell r="I33">
            <v>1740</v>
          </cell>
          <cell r="J33">
            <v>28449698</v>
          </cell>
          <cell r="K33">
            <v>2176</v>
          </cell>
          <cell r="L33">
            <v>23067274</v>
          </cell>
          <cell r="M33">
            <v>5092</v>
          </cell>
          <cell r="N33">
            <v>13605</v>
          </cell>
          <cell r="O33">
            <v>3399.5502248875564</v>
          </cell>
          <cell r="P33">
            <v>15547</v>
          </cell>
          <cell r="Q33">
            <v>1280.0000000006548</v>
          </cell>
          <cell r="R33">
            <v>12324.999999999345</v>
          </cell>
          <cell r="S33">
            <v>8589</v>
          </cell>
          <cell r="T33">
            <v>0</v>
          </cell>
          <cell r="U33">
            <v>73192</v>
          </cell>
          <cell r="V33">
            <v>1895</v>
          </cell>
          <cell r="W33">
            <v>31853</v>
          </cell>
          <cell r="X33">
            <v>0</v>
          </cell>
          <cell r="Y33">
            <v>625865</v>
          </cell>
          <cell r="Z33">
            <v>0</v>
          </cell>
          <cell r="AA33">
            <v>35119</v>
          </cell>
          <cell r="AB33">
            <v>0</v>
          </cell>
          <cell r="AC33">
            <v>790452</v>
          </cell>
          <cell r="AD33">
            <v>0</v>
          </cell>
          <cell r="AE33">
            <v>0</v>
          </cell>
          <cell r="AF33">
            <v>1895</v>
          </cell>
          <cell r="AG33">
            <v>0</v>
          </cell>
          <cell r="AI33">
            <v>-49957087</v>
          </cell>
        </row>
      </sheetData>
      <sheetData sheetId="3">
        <row r="35">
          <cell r="B35">
            <v>179</v>
          </cell>
          <cell r="C35">
            <v>186</v>
          </cell>
          <cell r="D35">
            <v>3.1999999999999886</v>
          </cell>
          <cell r="E35">
            <v>26.815999999999907</v>
          </cell>
          <cell r="F35">
            <v>1578</v>
          </cell>
          <cell r="G35">
            <v>0</v>
          </cell>
          <cell r="H35">
            <v>352431</v>
          </cell>
          <cell r="I35">
            <v>0</v>
          </cell>
          <cell r="J35">
            <v>0</v>
          </cell>
          <cell r="K35">
            <v>1962</v>
          </cell>
          <cell r="L35">
            <v>3</v>
          </cell>
          <cell r="M35">
            <v>143825</v>
          </cell>
          <cell r="N35">
            <v>244</v>
          </cell>
          <cell r="O35">
            <v>228.24761904761908</v>
          </cell>
          <cell r="P35">
            <v>1794</v>
          </cell>
          <cell r="Q35">
            <v>152313</v>
          </cell>
          <cell r="R35">
            <v>114</v>
          </cell>
          <cell r="S35">
            <v>1</v>
          </cell>
          <cell r="T35">
            <v>0</v>
          </cell>
          <cell r="U35">
            <v>4</v>
          </cell>
          <cell r="V35">
            <v>358</v>
          </cell>
          <cell r="X35">
            <v>2418</v>
          </cell>
          <cell r="Y35">
            <v>0</v>
          </cell>
          <cell r="Z35">
            <v>135904</v>
          </cell>
          <cell r="AA35">
            <v>0</v>
          </cell>
          <cell r="AB35">
            <v>0</v>
          </cell>
          <cell r="AC35">
            <v>1841</v>
          </cell>
          <cell r="AD35">
            <v>0</v>
          </cell>
          <cell r="AE35">
            <v>359849.4</v>
          </cell>
          <cell r="AF35">
            <v>0</v>
          </cell>
          <cell r="AG35">
            <v>0</v>
          </cell>
          <cell r="AH35">
            <v>0</v>
          </cell>
          <cell r="AI35">
            <v>358</v>
          </cell>
          <cell r="AJ35">
            <v>358</v>
          </cell>
          <cell r="AK35">
            <v>0</v>
          </cell>
          <cell r="AL35">
            <v>4</v>
          </cell>
          <cell r="AM35">
            <v>0</v>
          </cell>
          <cell r="AN35">
            <v>68</v>
          </cell>
          <cell r="AO35">
            <v>2040.0000000000002</v>
          </cell>
          <cell r="AP35">
            <v>78</v>
          </cell>
          <cell r="AQ35">
            <v>2340</v>
          </cell>
          <cell r="AR35">
            <v>74</v>
          </cell>
          <cell r="AS35">
            <v>2220</v>
          </cell>
          <cell r="AT35">
            <v>6600</v>
          </cell>
          <cell r="AU35">
            <v>90</v>
          </cell>
        </row>
      </sheetData>
      <sheetData sheetId="4">
        <row r="36">
          <cell r="B36">
            <v>108473</v>
          </cell>
          <cell r="C36">
            <v>0</v>
          </cell>
          <cell r="D36">
            <v>0</v>
          </cell>
          <cell r="E36">
            <v>241.93548387096774</v>
          </cell>
          <cell r="G36">
            <v>598974</v>
          </cell>
          <cell r="H36">
            <v>325</v>
          </cell>
          <cell r="I36">
            <v>325</v>
          </cell>
          <cell r="J36">
            <v>0.74441687344913154</v>
          </cell>
          <cell r="K36">
            <v>6208</v>
          </cell>
          <cell r="L36">
            <v>5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4830</v>
          </cell>
          <cell r="U36">
            <v>2</v>
          </cell>
          <cell r="V36">
            <v>407</v>
          </cell>
          <cell r="W36">
            <v>0</v>
          </cell>
          <cell r="X36">
            <v>143783</v>
          </cell>
          <cell r="Y36">
            <v>167</v>
          </cell>
          <cell r="Z36">
            <v>94798</v>
          </cell>
          <cell r="AA36">
            <v>93</v>
          </cell>
          <cell r="AB36">
            <v>266</v>
          </cell>
          <cell r="AC36">
            <v>671</v>
          </cell>
          <cell r="AD36">
            <v>0</v>
          </cell>
          <cell r="AE36">
            <v>155.69999999999999</v>
          </cell>
          <cell r="AF36">
            <v>0</v>
          </cell>
          <cell r="AG36">
            <v>1592</v>
          </cell>
          <cell r="AH36">
            <v>2</v>
          </cell>
          <cell r="AI36">
            <v>2</v>
          </cell>
          <cell r="AJ36">
            <v>93</v>
          </cell>
          <cell r="AK36">
            <v>162</v>
          </cell>
          <cell r="AL36">
            <v>93</v>
          </cell>
          <cell r="AM36">
            <v>21.5</v>
          </cell>
          <cell r="AN36">
            <v>0</v>
          </cell>
          <cell r="AP36">
            <v>149</v>
          </cell>
          <cell r="AR36">
            <v>43982</v>
          </cell>
          <cell r="AS36">
            <v>0.9</v>
          </cell>
          <cell r="AT36">
            <v>155</v>
          </cell>
          <cell r="AU36">
            <v>1.1000000000000001</v>
          </cell>
          <cell r="AV36">
            <v>129</v>
          </cell>
          <cell r="AW36">
            <v>2.9</v>
          </cell>
          <cell r="AX36">
            <v>141</v>
          </cell>
          <cell r="AY36">
            <v>139.5</v>
          </cell>
          <cell r="AZ36">
            <v>141.9</v>
          </cell>
          <cell r="BA36">
            <v>408.9</v>
          </cell>
          <cell r="BB36">
            <v>-30.599999999999994</v>
          </cell>
          <cell r="BC36">
            <v>48.399999999999991</v>
          </cell>
          <cell r="BD36">
            <v>98.599999999999966</v>
          </cell>
          <cell r="BE36">
            <v>116.39999999999996</v>
          </cell>
          <cell r="BF36">
            <v>208.60000000000002</v>
          </cell>
          <cell r="BG36">
            <v>116.39999999999998</v>
          </cell>
        </row>
      </sheetData>
      <sheetData sheetId="5" refreshError="1"/>
      <sheetData sheetId="6">
        <row r="36">
          <cell r="B36">
            <v>24</v>
          </cell>
          <cell r="C36">
            <v>19</v>
          </cell>
          <cell r="D36">
            <v>21.5</v>
          </cell>
          <cell r="E36">
            <v>0.59</v>
          </cell>
          <cell r="F36">
            <v>1.7399999999999999E-2</v>
          </cell>
          <cell r="G36">
            <v>4.0019999999999998</v>
          </cell>
          <cell r="H36">
            <v>0</v>
          </cell>
          <cell r="J36">
            <v>149</v>
          </cell>
          <cell r="K36">
            <v>149</v>
          </cell>
        </row>
      </sheetData>
      <sheetData sheetId="7">
        <row r="36">
          <cell r="B36">
            <v>179</v>
          </cell>
          <cell r="C36">
            <v>3851.3870967741937</v>
          </cell>
          <cell r="D36">
            <v>179</v>
          </cell>
          <cell r="E36">
            <v>3851.3870967741937</v>
          </cell>
          <cell r="F36">
            <v>179</v>
          </cell>
          <cell r="G36">
            <v>3851.3870967741937</v>
          </cell>
          <cell r="H36">
            <v>179</v>
          </cell>
          <cell r="I36">
            <v>3851.3870967741937</v>
          </cell>
          <cell r="J36">
            <v>179</v>
          </cell>
          <cell r="K36">
            <v>3851.3870967741937</v>
          </cell>
          <cell r="L36">
            <v>179</v>
          </cell>
          <cell r="M36">
            <v>3851.3870967741937</v>
          </cell>
          <cell r="N36">
            <v>179</v>
          </cell>
          <cell r="O36">
            <v>3851.3870967741937</v>
          </cell>
          <cell r="P36">
            <v>179</v>
          </cell>
          <cell r="Q36">
            <v>3851.3870967741937</v>
          </cell>
          <cell r="R36">
            <v>179</v>
          </cell>
          <cell r="S36">
            <v>3851.3870967741937</v>
          </cell>
          <cell r="T36">
            <v>179</v>
          </cell>
          <cell r="U36">
            <v>3851.3870967741937</v>
          </cell>
          <cell r="V36">
            <v>179</v>
          </cell>
          <cell r="W36">
            <v>3851.3870967741937</v>
          </cell>
          <cell r="X36">
            <v>0.57741935483870976</v>
          </cell>
          <cell r="Y36">
            <v>42365.258064516136</v>
          </cell>
          <cell r="Z36">
            <v>186</v>
          </cell>
          <cell r="AA36">
            <v>1860</v>
          </cell>
          <cell r="AB36">
            <v>186</v>
          </cell>
          <cell r="AC36">
            <v>1860</v>
          </cell>
          <cell r="AD36">
            <v>186</v>
          </cell>
          <cell r="AE36">
            <v>1860</v>
          </cell>
          <cell r="AF36">
            <v>186</v>
          </cell>
          <cell r="AG36">
            <v>1860</v>
          </cell>
          <cell r="AH36">
            <v>186</v>
          </cell>
          <cell r="AI36">
            <v>1860</v>
          </cell>
          <cell r="AJ36">
            <v>186</v>
          </cell>
          <cell r="AK36">
            <v>1860</v>
          </cell>
          <cell r="AL36">
            <v>186</v>
          </cell>
          <cell r="AM36">
            <v>1860</v>
          </cell>
          <cell r="AN36">
            <v>0.66428571428571426</v>
          </cell>
          <cell r="AO36">
            <v>13020</v>
          </cell>
          <cell r="AQ36">
            <v>0.59573258109622607</v>
          </cell>
          <cell r="AR36">
            <v>55385.258064516136</v>
          </cell>
          <cell r="AS36">
            <v>-1005.0354838709609</v>
          </cell>
          <cell r="AV36">
            <v>0.23499999999999999</v>
          </cell>
          <cell r="AW36">
            <v>-358</v>
          </cell>
          <cell r="AX36">
            <v>-647.03548387096089</v>
          </cell>
          <cell r="AY36">
            <v>-1005.0354838709609</v>
          </cell>
          <cell r="AZ36">
            <v>1.7399999999999999E-2</v>
          </cell>
          <cell r="BA36">
            <v>21.5</v>
          </cell>
          <cell r="BB36">
            <v>0.59</v>
          </cell>
        </row>
      </sheetData>
      <sheetData sheetId="8">
        <row r="33">
          <cell r="B33">
            <v>8655</v>
          </cell>
          <cell r="C33">
            <v>3</v>
          </cell>
          <cell r="D33">
            <v>153095</v>
          </cell>
          <cell r="E33">
            <v>1435</v>
          </cell>
          <cell r="F33">
            <v>478.33333333333331</v>
          </cell>
          <cell r="H33">
            <v>8770</v>
          </cell>
          <cell r="I33" t="str">
            <v>ok</v>
          </cell>
          <cell r="J33">
            <v>10689</v>
          </cell>
          <cell r="K33">
            <v>0</v>
          </cell>
          <cell r="L33">
            <v>237075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11201</v>
          </cell>
          <cell r="S33">
            <v>1</v>
          </cell>
          <cell r="T33">
            <v>253282</v>
          </cell>
          <cell r="U33">
            <v>111</v>
          </cell>
          <cell r="V33">
            <v>111</v>
          </cell>
          <cell r="X33">
            <v>11889</v>
          </cell>
          <cell r="Y33" t="str">
            <v>ok</v>
          </cell>
          <cell r="Z33">
            <v>4</v>
          </cell>
          <cell r="AA33">
            <v>1546</v>
          </cell>
          <cell r="AB33">
            <v>589.33333333333326</v>
          </cell>
          <cell r="AC33">
            <v>386.5</v>
          </cell>
          <cell r="AD33">
            <v>1280.0000000006548</v>
          </cell>
          <cell r="AE33">
            <v>320.00000000016371</v>
          </cell>
          <cell r="AF33">
            <v>0.20000000000010232</v>
          </cell>
          <cell r="AG33">
            <v>64.000000000032742</v>
          </cell>
          <cell r="AH33">
            <v>322.49999999996726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26">
          <cell r="V26">
            <v>17280141</v>
          </cell>
          <cell r="W26">
            <v>17335141</v>
          </cell>
          <cell r="X26" t="str">
            <v>Night</v>
          </cell>
          <cell r="Y26">
            <v>80</v>
          </cell>
          <cell r="Z26">
            <v>1</v>
          </cell>
          <cell r="AA26">
            <v>55000</v>
          </cell>
          <cell r="AB26">
            <v>4400000</v>
          </cell>
          <cell r="AC26">
            <v>1033333</v>
          </cell>
          <cell r="AD26">
            <v>0.33083150196794181</v>
          </cell>
        </row>
        <row r="27">
          <cell r="V27">
            <v>24537919</v>
          </cell>
          <cell r="W27">
            <v>24624749</v>
          </cell>
          <cell r="X27" t="str">
            <v>day</v>
          </cell>
          <cell r="Y27">
            <v>112</v>
          </cell>
          <cell r="Z27">
            <v>1</v>
          </cell>
          <cell r="AA27">
            <v>86830</v>
          </cell>
          <cell r="AB27">
            <v>9724960</v>
          </cell>
          <cell r="AC27">
            <v>6200000</v>
          </cell>
          <cell r="AD27">
            <v>0.52547770700636942</v>
          </cell>
        </row>
        <row r="28">
          <cell r="V28">
            <v>8005117</v>
          </cell>
          <cell r="W28">
            <v>8028763</v>
          </cell>
          <cell r="X28" t="str">
            <v>Peak</v>
          </cell>
          <cell r="Y28">
            <v>320</v>
          </cell>
          <cell r="Z28">
            <v>1</v>
          </cell>
          <cell r="AA28">
            <v>23646</v>
          </cell>
          <cell r="AB28">
            <v>7566720</v>
          </cell>
          <cell r="AC28">
            <v>1000</v>
          </cell>
          <cell r="AD28">
            <v>0.1437032070622416</v>
          </cell>
        </row>
        <row r="29">
          <cell r="AA29">
            <v>165476</v>
          </cell>
        </row>
        <row r="30">
          <cell r="V30" t="str">
            <v>Occ %</v>
          </cell>
          <cell r="W30">
            <v>1.9296774193548385E-2</v>
          </cell>
          <cell r="Y30" t="str">
            <v>Per G</v>
          </cell>
          <cell r="AB30">
            <v>21691680</v>
          </cell>
          <cell r="AC30">
            <v>7234333</v>
          </cell>
        </row>
        <row r="31">
          <cell r="V31" t="str">
            <v>Gen RH</v>
          </cell>
          <cell r="W31">
            <v>119.48999999999978</v>
          </cell>
          <cell r="X31">
            <v>3.8545161290322509</v>
          </cell>
          <cell r="Y31">
            <v>1.9272580645161255</v>
          </cell>
          <cell r="AB31">
            <v>28926013</v>
          </cell>
          <cell r="AC31">
            <v>7234333</v>
          </cell>
        </row>
        <row r="32">
          <cell r="V32" t="str">
            <v>H Deg</v>
          </cell>
          <cell r="W32">
            <v>-549.00000000000011</v>
          </cell>
        </row>
        <row r="33">
          <cell r="V33" t="str">
            <v>C Deg</v>
          </cell>
          <cell r="W33">
            <v>0</v>
          </cell>
        </row>
        <row r="34">
          <cell r="B34">
            <v>49988652</v>
          </cell>
          <cell r="C34">
            <v>6031</v>
          </cell>
          <cell r="D34">
            <v>6031</v>
          </cell>
          <cell r="E34">
            <v>49988652</v>
          </cell>
          <cell r="F34">
            <v>8028763</v>
          </cell>
          <cell r="G34">
            <v>887</v>
          </cell>
          <cell r="H34">
            <v>24624749</v>
          </cell>
          <cell r="I34">
            <v>3111</v>
          </cell>
          <cell r="J34">
            <v>17335141</v>
          </cell>
          <cell r="K34">
            <v>2033</v>
          </cell>
          <cell r="L34">
            <v>188.28524046434495</v>
          </cell>
          <cell r="M34">
            <v>231.13233830845772</v>
          </cell>
          <cell r="N34">
            <v>107.88723051409619</v>
          </cell>
          <cell r="O34">
            <v>154.80303857058792</v>
          </cell>
          <cell r="P34">
            <v>682.10784785748683</v>
          </cell>
          <cell r="Q34">
            <v>152.05333870967581</v>
          </cell>
          <cell r="R34">
            <v>834.16118656716264</v>
          </cell>
          <cell r="S34">
            <v>13605</v>
          </cell>
          <cell r="T34">
            <v>6.1312839879982553E-2</v>
          </cell>
        </row>
        <row r="35">
          <cell r="Z35" t="str">
            <v xml:space="preserve">VAT </v>
          </cell>
          <cell r="AA35">
            <v>0.11</v>
          </cell>
          <cell r="AB35">
            <v>3181861.43</v>
          </cell>
        </row>
        <row r="36">
          <cell r="AB36">
            <v>32107874.43</v>
          </cell>
        </row>
      </sheetData>
      <sheetData sheetId="13">
        <row r="36">
          <cell r="B36">
            <v>2</v>
          </cell>
          <cell r="C36">
            <v>7.8</v>
          </cell>
          <cell r="D36">
            <v>29</v>
          </cell>
          <cell r="E36">
            <v>2</v>
          </cell>
          <cell r="F36">
            <v>8</v>
          </cell>
          <cell r="G36">
            <v>35</v>
          </cell>
          <cell r="H36">
            <v>6208</v>
          </cell>
          <cell r="I36">
            <v>5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  <cell r="C10">
            <v>11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</row>
        <row r="11">
          <cell r="B11">
            <v>17</v>
          </cell>
          <cell r="C11">
            <v>12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</row>
        <row r="12">
          <cell r="B12">
            <v>16</v>
          </cell>
          <cell r="C12">
            <v>12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</row>
        <row r="13">
          <cell r="B13">
            <v>15</v>
          </cell>
          <cell r="C13">
            <v>11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</row>
        <row r="14">
          <cell r="B14">
            <v>15</v>
          </cell>
          <cell r="C14">
            <v>11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</row>
        <row r="15">
          <cell r="B15">
            <v>16</v>
          </cell>
          <cell r="C15">
            <v>12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</row>
        <row r="16">
          <cell r="B16">
            <v>16</v>
          </cell>
          <cell r="C16">
            <v>12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</row>
        <row r="17">
          <cell r="B17">
            <v>14</v>
          </cell>
          <cell r="C17">
            <v>11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</row>
        <row r="18">
          <cell r="B18">
            <v>14</v>
          </cell>
          <cell r="C18">
            <v>11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</row>
        <row r="19">
          <cell r="B19">
            <v>17</v>
          </cell>
          <cell r="C19">
            <v>12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</row>
        <row r="20">
          <cell r="B20">
            <v>17</v>
          </cell>
          <cell r="C20">
            <v>13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</row>
        <row r="21">
          <cell r="B21">
            <v>16</v>
          </cell>
          <cell r="C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</row>
        <row r="22">
          <cell r="B22">
            <v>17</v>
          </cell>
          <cell r="C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</row>
        <row r="23">
          <cell r="B23">
            <v>16</v>
          </cell>
          <cell r="C23">
            <v>12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</row>
        <row r="24">
          <cell r="B24">
            <v>17</v>
          </cell>
          <cell r="C24">
            <v>13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</row>
        <row r="25">
          <cell r="B25">
            <v>19</v>
          </cell>
          <cell r="C25">
            <v>13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</row>
        <row r="26">
          <cell r="B26">
            <v>20</v>
          </cell>
          <cell r="C26">
            <v>13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</row>
        <row r="27">
          <cell r="B27">
            <v>14</v>
          </cell>
          <cell r="C27">
            <v>13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</row>
        <row r="28">
          <cell r="B28">
            <v>15</v>
          </cell>
          <cell r="C28">
            <v>13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</row>
        <row r="29">
          <cell r="B29">
            <v>15</v>
          </cell>
          <cell r="C29">
            <v>10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</row>
        <row r="30">
          <cell r="B30">
            <v>13</v>
          </cell>
          <cell r="C30">
            <v>9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</row>
        <row r="31">
          <cell r="B31">
            <v>14</v>
          </cell>
          <cell r="C31">
            <v>10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</row>
        <row r="32">
          <cell r="B32">
            <v>13</v>
          </cell>
          <cell r="C32">
            <v>7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</row>
        <row r="33">
          <cell r="B33">
            <v>14</v>
          </cell>
          <cell r="C33">
            <v>8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</row>
        <row r="34">
          <cell r="B34">
            <v>16</v>
          </cell>
          <cell r="C34">
            <v>10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</row>
        <row r="35">
          <cell r="B35">
            <v>15</v>
          </cell>
          <cell r="C35">
            <v>9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</row>
        <row r="36">
          <cell r="B36">
            <v>17</v>
          </cell>
          <cell r="C36">
            <v>11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</row>
        <row r="37">
          <cell r="B37">
            <v>16</v>
          </cell>
          <cell r="C37">
            <v>10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</row>
        <row r="38">
          <cell r="B38">
            <v>16</v>
          </cell>
          <cell r="C38">
            <v>10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</row>
        <row r="39">
          <cell r="B39">
            <v>16</v>
          </cell>
          <cell r="C39">
            <v>11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</row>
        <row r="40">
          <cell r="B40">
            <v>17</v>
          </cell>
          <cell r="C40">
            <v>13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E10">
            <v>1</v>
          </cell>
          <cell r="I10">
            <v>1</v>
          </cell>
          <cell r="M10">
            <v>1</v>
          </cell>
        </row>
        <row r="11">
          <cell r="E11">
            <v>2</v>
          </cell>
          <cell r="I11">
            <v>2</v>
          </cell>
          <cell r="M11">
            <v>2</v>
          </cell>
        </row>
        <row r="12">
          <cell r="E12">
            <v>3</v>
          </cell>
          <cell r="I12">
            <v>3</v>
          </cell>
          <cell r="M12">
            <v>3</v>
          </cell>
        </row>
        <row r="13">
          <cell r="E13">
            <v>4</v>
          </cell>
          <cell r="I13">
            <v>4</v>
          </cell>
          <cell r="M13">
            <v>4</v>
          </cell>
        </row>
        <row r="14">
          <cell r="E14">
            <v>5</v>
          </cell>
          <cell r="I14">
            <v>5</v>
          </cell>
          <cell r="M14">
            <v>5</v>
          </cell>
        </row>
        <row r="15">
          <cell r="E15">
            <v>6</v>
          </cell>
          <cell r="I15">
            <v>6</v>
          </cell>
          <cell r="M15">
            <v>6</v>
          </cell>
        </row>
        <row r="16">
          <cell r="E16">
            <v>7</v>
          </cell>
          <cell r="I16">
            <v>7</v>
          </cell>
          <cell r="M16">
            <v>7</v>
          </cell>
        </row>
        <row r="17">
          <cell r="E17">
            <v>8</v>
          </cell>
          <cell r="I17">
            <v>8</v>
          </cell>
          <cell r="M17">
            <v>8</v>
          </cell>
        </row>
        <row r="18">
          <cell r="E18">
            <v>9</v>
          </cell>
          <cell r="I18">
            <v>9</v>
          </cell>
          <cell r="M18">
            <v>9</v>
          </cell>
        </row>
        <row r="19">
          <cell r="E19">
            <v>10</v>
          </cell>
          <cell r="I19">
            <v>10</v>
          </cell>
          <cell r="M19">
            <v>10</v>
          </cell>
        </row>
        <row r="20">
          <cell r="E20">
            <v>11</v>
          </cell>
          <cell r="I20">
            <v>11</v>
          </cell>
          <cell r="M20">
            <v>11</v>
          </cell>
        </row>
        <row r="21">
          <cell r="E21">
            <v>12</v>
          </cell>
          <cell r="I21">
            <v>12</v>
          </cell>
          <cell r="M21">
            <v>12</v>
          </cell>
        </row>
        <row r="22">
          <cell r="E22">
            <v>13</v>
          </cell>
          <cell r="I22">
            <v>13</v>
          </cell>
          <cell r="M22">
            <v>13</v>
          </cell>
        </row>
        <row r="23">
          <cell r="E23">
            <v>14</v>
          </cell>
          <cell r="I23">
            <v>14</v>
          </cell>
          <cell r="M23">
            <v>14</v>
          </cell>
        </row>
        <row r="24">
          <cell r="E24">
            <v>15</v>
          </cell>
          <cell r="I24">
            <v>15</v>
          </cell>
          <cell r="M24">
            <v>15</v>
          </cell>
        </row>
        <row r="25">
          <cell r="E25">
            <v>16</v>
          </cell>
          <cell r="I25">
            <v>16</v>
          </cell>
          <cell r="M25">
            <v>16</v>
          </cell>
        </row>
        <row r="26">
          <cell r="E26">
            <v>17</v>
          </cell>
          <cell r="I26">
            <v>17</v>
          </cell>
          <cell r="M26">
            <v>17</v>
          </cell>
        </row>
        <row r="27">
          <cell r="E27">
            <v>18</v>
          </cell>
          <cell r="I27">
            <v>18</v>
          </cell>
          <cell r="M27">
            <v>18</v>
          </cell>
        </row>
        <row r="28">
          <cell r="E28">
            <v>19</v>
          </cell>
          <cell r="I28">
            <v>19</v>
          </cell>
          <cell r="M28">
            <v>19</v>
          </cell>
        </row>
        <row r="29">
          <cell r="E29">
            <v>20</v>
          </cell>
          <cell r="I29">
            <v>20</v>
          </cell>
          <cell r="M29">
            <v>20</v>
          </cell>
        </row>
        <row r="30">
          <cell r="E30">
            <v>21</v>
          </cell>
          <cell r="I30">
            <v>21</v>
          </cell>
          <cell r="M30">
            <v>21</v>
          </cell>
        </row>
        <row r="31">
          <cell r="E31">
            <v>22</v>
          </cell>
          <cell r="I31">
            <v>22</v>
          </cell>
          <cell r="M31">
            <v>22</v>
          </cell>
        </row>
        <row r="32">
          <cell r="E32">
            <v>23</v>
          </cell>
          <cell r="I32">
            <v>23</v>
          </cell>
          <cell r="M32">
            <v>23</v>
          </cell>
        </row>
        <row r="33">
          <cell r="E33">
            <v>24</v>
          </cell>
          <cell r="I33">
            <v>24</v>
          </cell>
          <cell r="M33">
            <v>24</v>
          </cell>
        </row>
        <row r="34">
          <cell r="E34">
            <v>25</v>
          </cell>
          <cell r="I34">
            <v>25</v>
          </cell>
          <cell r="M34">
            <v>25</v>
          </cell>
        </row>
        <row r="35">
          <cell r="E35">
            <v>26</v>
          </cell>
          <cell r="I35">
            <v>26</v>
          </cell>
          <cell r="M35">
            <v>26</v>
          </cell>
        </row>
        <row r="36">
          <cell r="E36">
            <v>27</v>
          </cell>
          <cell r="I36">
            <v>27</v>
          </cell>
          <cell r="M36">
            <v>27</v>
          </cell>
        </row>
        <row r="37">
          <cell r="E37">
            <v>28</v>
          </cell>
          <cell r="I37">
            <v>28</v>
          </cell>
          <cell r="M37">
            <v>28</v>
          </cell>
        </row>
        <row r="38">
          <cell r="E38">
            <v>29</v>
          </cell>
          <cell r="I38">
            <v>29</v>
          </cell>
          <cell r="M38">
            <v>29</v>
          </cell>
        </row>
        <row r="39">
          <cell r="I39">
            <v>30</v>
          </cell>
          <cell r="M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B12">
            <v>0</v>
          </cell>
        </row>
        <row r="13">
          <cell r="AB13">
            <v>33.199999999999989</v>
          </cell>
        </row>
        <row r="14">
          <cell r="AB14">
            <v>151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>
        <row r="5">
          <cell r="B5">
            <v>81826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452797</v>
          </cell>
        </row>
      </sheetData>
      <sheetData sheetId="13"/>
      <sheetData sheetId="14"/>
      <sheetData sheetId="15">
        <row r="8">
          <cell r="C8">
            <v>68865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26.483333333333334</v>
          </cell>
        </row>
        <row r="17">
          <cell r="C17">
            <v>0.78620999999999996</v>
          </cell>
        </row>
        <row r="18">
          <cell r="C18">
            <v>225</v>
          </cell>
        </row>
        <row r="19">
          <cell r="C19">
            <v>7.5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G60">
            <v>217</v>
          </cell>
        </row>
        <row r="62">
          <cell r="G62">
            <v>0.59360000000000002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>
      <selection activeCell="A32" sqref="A32:XFD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3" bestFit="1" customWidth="1"/>
    <col min="13" max="13" width="12.140625" style="303" customWidth="1"/>
    <col min="14" max="14" width="12.140625" style="518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15" t="s">
        <v>363</v>
      </c>
      <c r="M1" s="515" t="s">
        <v>404</v>
      </c>
      <c r="N1" s="516" t="s">
        <v>405</v>
      </c>
      <c r="O1" s="281" t="s">
        <v>347</v>
      </c>
    </row>
    <row r="2" spans="1:15">
      <c r="A2" t="s">
        <v>348</v>
      </c>
      <c r="B2">
        <v>1</v>
      </c>
      <c r="C2">
        <v>6</v>
      </c>
      <c r="D2">
        <v>2020</v>
      </c>
      <c r="E2" s="207">
        <f>ELEC!N3</f>
        <v>14293</v>
      </c>
      <c r="F2" s="340">
        <f>SUM('EDl log'!T4)</f>
        <v>6.1114251584618549E-2</v>
      </c>
      <c r="G2" s="207">
        <f>-tanks!AW6</f>
        <v>452</v>
      </c>
      <c r="H2" s="340">
        <f>SUM(tanks!AV6)</f>
        <v>0.1</v>
      </c>
      <c r="I2" s="10">
        <f>('B5'!AU5)*0.51</f>
        <v>91.8</v>
      </c>
      <c r="J2" s="319">
        <f>'B5'!AX5/0.51</f>
        <v>1.3725490196078429</v>
      </c>
      <c r="K2" s="207">
        <f>WATER!I6</f>
        <v>11</v>
      </c>
      <c r="L2" s="341">
        <f>SUM(WATER!J6)</f>
        <v>22.727272727272727</v>
      </c>
      <c r="M2" s="341">
        <f>WATER!Q6</f>
        <v>0</v>
      </c>
      <c r="N2" s="517">
        <v>0.6</v>
      </c>
      <c r="O2" s="10">
        <f>ELEC!B3</f>
        <v>4.9910000000000005</v>
      </c>
    </row>
    <row r="3" spans="1:15">
      <c r="A3" t="s">
        <v>348</v>
      </c>
      <c r="B3">
        <f>B2+1</f>
        <v>2</v>
      </c>
      <c r="C3">
        <v>6</v>
      </c>
      <c r="D3">
        <v>2020</v>
      </c>
      <c r="E3" s="207">
        <f>ELEC!N4</f>
        <v>13728</v>
      </c>
      <c r="F3" s="340">
        <f>SUM('EDl log'!T5)</f>
        <v>5.4486599409835829E-2</v>
      </c>
      <c r="G3" s="207">
        <f>-tanks!AW7</f>
        <v>296</v>
      </c>
      <c r="H3" s="340">
        <f>SUM(tanks!AV7)</f>
        <v>0.1</v>
      </c>
      <c r="I3" s="10">
        <f>('B5'!AU6)*0.51</f>
        <v>45.9</v>
      </c>
      <c r="J3" s="319">
        <f>'B5'!AX6/0.51</f>
        <v>1.3725490196078429</v>
      </c>
      <c r="K3" s="207">
        <f>WATER!I7</f>
        <v>0</v>
      </c>
      <c r="L3" s="341">
        <f>SUM(WATER!J7)</f>
        <v>0</v>
      </c>
      <c r="M3" s="341">
        <f>WATER!Q7</f>
        <v>0</v>
      </c>
      <c r="N3" s="517">
        <v>0.6</v>
      </c>
      <c r="O3" s="10">
        <f>ELEC!B4</f>
        <v>2.0009999999999999</v>
      </c>
    </row>
    <row r="4" spans="1:15">
      <c r="A4" t="s">
        <v>348</v>
      </c>
      <c r="B4">
        <f t="shared" ref="B4:B31" si="0">B3+1</f>
        <v>3</v>
      </c>
      <c r="C4">
        <v>6</v>
      </c>
      <c r="D4">
        <v>2020</v>
      </c>
      <c r="E4" s="207">
        <f>ELEC!N5</f>
        <v>14416</v>
      </c>
      <c r="F4" s="340">
        <f>SUM('EDl log'!T6)</f>
        <v>7.1371701336844132E-2</v>
      </c>
      <c r="G4" s="207">
        <f>-tanks!AW8</f>
        <v>370.59999999997672</v>
      </c>
      <c r="H4" s="340">
        <f>SUM(tanks!AV8)</f>
        <v>0.1</v>
      </c>
      <c r="I4" s="10">
        <f>('B5'!AU7)*0.51</f>
        <v>61.2</v>
      </c>
      <c r="J4" s="319">
        <f>'B5'!AX7/0.51</f>
        <v>1.3725490196078429</v>
      </c>
      <c r="K4" s="207">
        <f>WATER!I8</f>
        <v>0</v>
      </c>
      <c r="L4" s="341">
        <f>SUM(WATER!J8)</f>
        <v>0</v>
      </c>
      <c r="M4" s="341">
        <f>WATER!Q8</f>
        <v>0</v>
      </c>
      <c r="N4" s="517">
        <v>0.6</v>
      </c>
      <c r="O4" s="10">
        <f>ELEC!B5</f>
        <v>6.0030000000000001</v>
      </c>
    </row>
    <row r="5" spans="1:15">
      <c r="A5" t="s">
        <v>348</v>
      </c>
      <c r="B5">
        <f t="shared" si="0"/>
        <v>4</v>
      </c>
      <c r="C5">
        <v>6</v>
      </c>
      <c r="D5">
        <v>2020</v>
      </c>
      <c r="E5" s="207">
        <f>ELEC!N6</f>
        <v>12453</v>
      </c>
      <c r="F5" s="340">
        <f>SUM('EDl log'!T7)</f>
        <v>1.882144981108225E-2</v>
      </c>
      <c r="G5" s="207">
        <f>-tanks!AW9</f>
        <v>628</v>
      </c>
      <c r="H5" s="340">
        <f>SUM(tanks!AV9)</f>
        <v>0.34</v>
      </c>
      <c r="I5" s="10">
        <f>('B5'!AU8)*0.51</f>
        <v>178.5</v>
      </c>
      <c r="J5" s="319">
        <f>'B5'!AX8/0.51</f>
        <v>1.3725490196078429</v>
      </c>
      <c r="K5" s="207">
        <f>WATER!I9</f>
        <v>172</v>
      </c>
      <c r="L5" s="341">
        <f>SUM(WATER!J9)</f>
        <v>1.4534883720930232</v>
      </c>
      <c r="M5" s="341">
        <f>WATER!Q9</f>
        <v>0</v>
      </c>
      <c r="N5" s="517">
        <v>0.6</v>
      </c>
      <c r="O5" s="10">
        <f>ELEC!B6</f>
        <v>4.9910000000000005</v>
      </c>
    </row>
    <row r="6" spans="1:15">
      <c r="A6" t="s">
        <v>348</v>
      </c>
      <c r="B6">
        <f t="shared" si="0"/>
        <v>5</v>
      </c>
      <c r="C6">
        <v>6</v>
      </c>
      <c r="D6">
        <v>2020</v>
      </c>
      <c r="E6" s="207">
        <f>ELEC!N7</f>
        <v>13633</v>
      </c>
      <c r="F6" s="340">
        <f>SUM('EDl log'!T8)</f>
        <v>6.4716071620924617E-2</v>
      </c>
      <c r="G6" s="207">
        <f>-tanks!AW10</f>
        <v>334</v>
      </c>
      <c r="H6" s="340">
        <f>SUM(tanks!AV10)</f>
        <v>0.34</v>
      </c>
      <c r="I6" s="10">
        <f>('B5'!AU9)*0.51</f>
        <v>45.9</v>
      </c>
      <c r="J6" s="319">
        <f>'B5'!AX9/0.51</f>
        <v>1.3725490196078429</v>
      </c>
      <c r="K6" s="207">
        <f>WATER!I10</f>
        <v>0</v>
      </c>
      <c r="L6" s="341">
        <f>SUM(WATER!J10)</f>
        <v>0</v>
      </c>
      <c r="M6" s="341">
        <f>WATER!Q10</f>
        <v>0</v>
      </c>
      <c r="N6" s="517">
        <v>0.6</v>
      </c>
      <c r="O6" s="10">
        <f>ELEC!B7</f>
        <v>2.9899999999999998</v>
      </c>
    </row>
    <row r="7" spans="1:15">
      <c r="A7" t="s">
        <v>348</v>
      </c>
      <c r="B7">
        <f t="shared" si="0"/>
        <v>6</v>
      </c>
      <c r="C7">
        <v>6</v>
      </c>
      <c r="D7">
        <v>2020</v>
      </c>
      <c r="E7" s="207">
        <f>ELEC!N8</f>
        <v>13778</v>
      </c>
      <c r="F7" s="340">
        <f>SUM('EDl log'!T9)</f>
        <v>5.7884181718006508E-2</v>
      </c>
      <c r="G7" s="207">
        <f>-tanks!AW11</f>
        <v>391</v>
      </c>
      <c r="H7" s="340">
        <f>SUM(tanks!AV11)</f>
        <v>0.34</v>
      </c>
      <c r="I7" s="10">
        <f>('B5'!AU10)*0.51</f>
        <v>30.6</v>
      </c>
      <c r="J7" s="319">
        <f>'B5'!AX10/0.51</f>
        <v>1.3725490196078429</v>
      </c>
      <c r="K7" s="207">
        <f>WATER!I11</f>
        <v>0</v>
      </c>
      <c r="L7" s="341">
        <f>SUM(WATER!J11)</f>
        <v>0</v>
      </c>
      <c r="M7" s="341">
        <f>WATER!Q11</f>
        <v>0</v>
      </c>
      <c r="N7" s="517">
        <v>0.6</v>
      </c>
      <c r="O7" s="10">
        <f>ELEC!B8</f>
        <v>4.9910000000000005</v>
      </c>
    </row>
    <row r="8" spans="1:15">
      <c r="A8" t="s">
        <v>348</v>
      </c>
      <c r="B8">
        <f t="shared" si="0"/>
        <v>7</v>
      </c>
      <c r="C8">
        <v>6</v>
      </c>
      <c r="D8">
        <v>2020</v>
      </c>
      <c r="E8" s="207">
        <f>ELEC!N9</f>
        <v>16205</v>
      </c>
      <c r="F8" s="340">
        <f>SUM('EDl log'!T10)</f>
        <v>6.357994200631803E-2</v>
      </c>
      <c r="G8" s="207">
        <f>-tanks!AW12</f>
        <v>363</v>
      </c>
      <c r="H8" s="340">
        <f>SUM(tanks!AV12)</f>
        <v>0.34</v>
      </c>
      <c r="I8" s="10">
        <f>('B5'!AU11)*0.51</f>
        <v>30.6</v>
      </c>
      <c r="J8" s="319">
        <f>'B5'!AX11/0.51</f>
        <v>1.3725490196078429</v>
      </c>
      <c r="K8" s="207">
        <f>WATER!I12</f>
        <v>0</v>
      </c>
      <c r="L8" s="341">
        <f>SUM(WATER!J12)</f>
        <v>0</v>
      </c>
      <c r="M8" s="341">
        <f>WATER!Q12</f>
        <v>0</v>
      </c>
      <c r="N8" s="517">
        <v>0.6</v>
      </c>
      <c r="O8" s="10">
        <f>ELEC!B9</f>
        <v>4.0019999999999998</v>
      </c>
    </row>
    <row r="9" spans="1:15">
      <c r="A9" t="s">
        <v>348</v>
      </c>
      <c r="B9">
        <f t="shared" si="0"/>
        <v>8</v>
      </c>
      <c r="C9">
        <v>6</v>
      </c>
      <c r="D9">
        <v>2020</v>
      </c>
      <c r="E9" s="207">
        <f>ELEC!N10</f>
        <v>15745</v>
      </c>
      <c r="F9" s="340">
        <f>SUM('EDl log'!T11)</f>
        <v>5.7558127037940748E-2</v>
      </c>
      <c r="G9" s="207">
        <f>-tanks!AW13</f>
        <v>360</v>
      </c>
      <c r="H9" s="340">
        <f>SUM(tanks!AV13)</f>
        <v>0.34</v>
      </c>
      <c r="I9" s="10">
        <f>('B5'!AU12)*0.51</f>
        <v>45.9</v>
      </c>
      <c r="J9" s="319">
        <f>'B5'!AX12/0.51</f>
        <v>1.3725490196078429</v>
      </c>
      <c r="K9" s="207">
        <f>WATER!I13</f>
        <v>72</v>
      </c>
      <c r="L9" s="341">
        <f>SUM(WATER!J13)</f>
        <v>3.4722222222222223</v>
      </c>
      <c r="M9" s="341">
        <f>WATER!Q13</f>
        <v>0</v>
      </c>
      <c r="N9" s="517">
        <v>0.6</v>
      </c>
      <c r="O9" s="10">
        <f>ELEC!B10</f>
        <v>2.9899999999999998</v>
      </c>
    </row>
    <row r="10" spans="1:15">
      <c r="A10" t="s">
        <v>348</v>
      </c>
      <c r="B10">
        <f t="shared" si="0"/>
        <v>9</v>
      </c>
      <c r="C10">
        <v>6</v>
      </c>
      <c r="D10">
        <v>2020</v>
      </c>
      <c r="E10" s="207">
        <f>ELEC!N11</f>
        <v>15283</v>
      </c>
      <c r="F10" s="340">
        <f>SUM('EDl log'!T12)</f>
        <v>6.1850218354740465E-2</v>
      </c>
      <c r="G10" s="207">
        <f>-tanks!AW14</f>
        <v>282</v>
      </c>
      <c r="H10" s="340">
        <f>SUM(tanks!AV14)</f>
        <v>0.34</v>
      </c>
      <c r="I10" s="10">
        <f>('B5'!AU13)*0.51</f>
        <v>76.5</v>
      </c>
      <c r="J10" s="319">
        <f>'B5'!AX13/0.51</f>
        <v>1.3725490196078429</v>
      </c>
      <c r="K10" s="207">
        <f>WATER!I14</f>
        <v>0</v>
      </c>
      <c r="L10" s="341">
        <f>SUM(WATER!J14)</f>
        <v>0</v>
      </c>
      <c r="M10" s="341">
        <f>WATER!Q14</f>
        <v>0</v>
      </c>
      <c r="N10" s="517">
        <v>0.6</v>
      </c>
      <c r="O10" s="10">
        <f>ELEC!B11</f>
        <v>4.0019999999999998</v>
      </c>
    </row>
    <row r="11" spans="1:15">
      <c r="A11" t="s">
        <v>348</v>
      </c>
      <c r="B11">
        <f t="shared" si="0"/>
        <v>10</v>
      </c>
      <c r="C11">
        <v>6</v>
      </c>
      <c r="D11">
        <v>2020</v>
      </c>
      <c r="E11" s="207">
        <f>ELEC!N12</f>
        <v>16634</v>
      </c>
      <c r="F11" s="340">
        <f>SUM('EDl log'!T13)</f>
        <v>6.4275456523255503E-2</v>
      </c>
      <c r="G11" s="207">
        <f>-tanks!AW15</f>
        <v>600.40000000002328</v>
      </c>
      <c r="H11" s="340">
        <f>SUM(tanks!AV15)</f>
        <v>0.34</v>
      </c>
      <c r="I11" s="10">
        <f>('B5'!AU14)*0.51</f>
        <v>76.5</v>
      </c>
      <c r="J11" s="319">
        <f>'B5'!AX14/0.51</f>
        <v>1.3725490196078429</v>
      </c>
      <c r="K11" s="207">
        <f>WATER!I15</f>
        <v>400</v>
      </c>
      <c r="L11" s="341">
        <f>SUM(WATER!J15)</f>
        <v>0.625</v>
      </c>
      <c r="M11" s="341">
        <f>WATER!Q15</f>
        <v>0</v>
      </c>
      <c r="N11" s="517">
        <v>0.6</v>
      </c>
      <c r="O11" s="10">
        <f>ELEC!B12</f>
        <v>4.0019999999999998</v>
      </c>
    </row>
    <row r="12" spans="1:15">
      <c r="A12" t="s">
        <v>348</v>
      </c>
      <c r="B12">
        <f t="shared" si="0"/>
        <v>11</v>
      </c>
      <c r="C12">
        <v>6</v>
      </c>
      <c r="D12">
        <v>2020</v>
      </c>
      <c r="E12" s="207">
        <f>ELEC!N13</f>
        <v>14437</v>
      </c>
      <c r="F12" s="340">
        <f>SUM('EDl log'!T14)</f>
        <v>8.4588717026953655E-2</v>
      </c>
      <c r="G12" s="207">
        <f>-tanks!AW16</f>
        <v>368.10000000000582</v>
      </c>
      <c r="H12" s="340">
        <f>SUM(tanks!AV16)</f>
        <v>0.34</v>
      </c>
      <c r="I12" s="10">
        <f>('B5'!AU15)*0.51</f>
        <v>91.8</v>
      </c>
      <c r="J12" s="319">
        <f>'B5'!AX15/0.51</f>
        <v>1.3725490196078429</v>
      </c>
      <c r="K12" s="207">
        <f>WATER!I16</f>
        <v>0</v>
      </c>
      <c r="L12" s="341">
        <f>SUM(WATER!J16)</f>
        <v>0</v>
      </c>
      <c r="M12" s="341">
        <f>WATER!Q16</f>
        <v>0</v>
      </c>
      <c r="N12" s="517">
        <v>0.6</v>
      </c>
      <c r="O12" s="10">
        <f>ELEC!B13</f>
        <v>2.9899999999999998</v>
      </c>
    </row>
    <row r="13" spans="1:15">
      <c r="A13" t="s">
        <v>348</v>
      </c>
      <c r="B13">
        <f t="shared" si="0"/>
        <v>12</v>
      </c>
      <c r="C13">
        <v>6</v>
      </c>
      <c r="D13">
        <v>2020</v>
      </c>
      <c r="E13" s="207">
        <f>ELEC!N14</f>
        <v>15870</v>
      </c>
      <c r="F13" s="340">
        <f>SUM('EDl log'!T16)</f>
        <v>6.5091048418783187E-2</v>
      </c>
      <c r="G13" s="207">
        <f>-tanks!AW17</f>
        <v>366</v>
      </c>
      <c r="H13" s="340">
        <f>SUM(tanks!AV17)</f>
        <v>0.34</v>
      </c>
      <c r="I13" s="10">
        <f>('B5'!AU16)*0.51</f>
        <v>45.9</v>
      </c>
      <c r="J13" s="319">
        <f>'B5'!AX16/0.51</f>
        <v>1.3725490196078429</v>
      </c>
      <c r="K13" s="207">
        <f>WATER!I17</f>
        <v>120</v>
      </c>
      <c r="L13" s="341">
        <f>SUM(WATER!J17)</f>
        <v>2.0833333333333335</v>
      </c>
      <c r="M13" s="341">
        <f>WATER!Q17</f>
        <v>0</v>
      </c>
      <c r="N13" s="517">
        <v>0.6</v>
      </c>
      <c r="O13" s="10">
        <f>ELEC!B14</f>
        <v>6.8999999999999995</v>
      </c>
    </row>
    <row r="14" spans="1:15">
      <c r="A14" t="s">
        <v>348</v>
      </c>
      <c r="B14">
        <f t="shared" si="0"/>
        <v>13</v>
      </c>
      <c r="C14">
        <v>6</v>
      </c>
      <c r="D14">
        <v>2020</v>
      </c>
      <c r="E14" s="207">
        <f>ELEC!N15</f>
        <v>15047</v>
      </c>
      <c r="F14" s="340">
        <f>SUM('EDl log'!T17)</f>
        <v>6.5546159875877474E-2</v>
      </c>
      <c r="G14" s="207">
        <f>-tanks!AW18</f>
        <v>319</v>
      </c>
      <c r="H14" s="340">
        <f>SUM(tanks!AV18)</f>
        <v>0.34</v>
      </c>
      <c r="I14" s="10">
        <f>('B5'!AU17)*0.51</f>
        <v>61.2</v>
      </c>
      <c r="J14" s="319">
        <f>'B5'!AX17/0.51</f>
        <v>1.3725490196078429</v>
      </c>
      <c r="K14" s="207">
        <f>WATER!I18</f>
        <v>0</v>
      </c>
      <c r="L14" s="341">
        <f>SUM(WATER!J18)</f>
        <v>0</v>
      </c>
      <c r="M14" s="341">
        <f>WATER!Q18</f>
        <v>0</v>
      </c>
      <c r="N14" s="517">
        <v>0.6</v>
      </c>
      <c r="O14" s="10">
        <f>ELEC!B15</f>
        <v>4.0019999999999998</v>
      </c>
    </row>
    <row r="15" spans="1:15">
      <c r="A15" t="s">
        <v>348</v>
      </c>
      <c r="B15">
        <f t="shared" si="0"/>
        <v>14</v>
      </c>
      <c r="C15">
        <v>6</v>
      </c>
      <c r="D15">
        <v>2020</v>
      </c>
      <c r="E15" s="207">
        <f>ELEC!N16</f>
        <v>14400</v>
      </c>
      <c r="F15" s="340">
        <f>SUM('EDl log'!T18)</f>
        <v>6.9744468464688278E-2</v>
      </c>
      <c r="G15" s="207">
        <f>-tanks!AW19</f>
        <v>302</v>
      </c>
      <c r="H15" s="340">
        <f>SUM(tanks!AV19)</f>
        <v>0.34</v>
      </c>
      <c r="I15" s="10">
        <f>('B5'!AU18)*0.51</f>
        <v>45.9</v>
      </c>
      <c r="J15" s="319">
        <f>'B5'!AX18/0.51</f>
        <v>1.3725490196078429</v>
      </c>
      <c r="K15" s="207">
        <f>WATER!I19</f>
        <v>0</v>
      </c>
      <c r="L15" s="341">
        <f>SUM(WATER!J19)</f>
        <v>0</v>
      </c>
      <c r="M15" s="341">
        <f>WATER!Q19</f>
        <v>0</v>
      </c>
      <c r="N15" s="517">
        <v>0.6</v>
      </c>
      <c r="O15" s="10">
        <f>ELEC!B16</f>
        <v>2.9899999999999998</v>
      </c>
    </row>
    <row r="16" spans="1:15">
      <c r="A16" t="s">
        <v>348</v>
      </c>
      <c r="B16">
        <f t="shared" si="0"/>
        <v>15</v>
      </c>
      <c r="C16">
        <v>6</v>
      </c>
      <c r="D16">
        <v>2020</v>
      </c>
      <c r="E16" s="207">
        <f>ELEC!N17</f>
        <v>15381</v>
      </c>
      <c r="F16" s="340">
        <f>SUM('EDl log'!T19)</f>
        <v>5.8239631338641358E-2</v>
      </c>
      <c r="G16" s="207">
        <f>-tanks!AW20</f>
        <v>352</v>
      </c>
      <c r="H16" s="340">
        <f>SUM(tanks!AV20)</f>
        <v>0.36</v>
      </c>
      <c r="I16" s="10">
        <f>('B5'!AU19)*0.51</f>
        <v>61.2</v>
      </c>
      <c r="J16" s="319">
        <f>'B5'!AX19/0.51</f>
        <v>1.3725490196078429</v>
      </c>
      <c r="K16" s="207">
        <f>WATER!I20</f>
        <v>0</v>
      </c>
      <c r="L16" s="341">
        <f>SUM(WATER!J20)</f>
        <v>0</v>
      </c>
      <c r="M16" s="341">
        <f>WATER!Q20</f>
        <v>0</v>
      </c>
      <c r="N16" s="517">
        <v>0.6</v>
      </c>
      <c r="O16" s="10">
        <f>ELEC!B17</f>
        <v>2.9899999999999998</v>
      </c>
    </row>
    <row r="17" spans="1:15">
      <c r="A17" t="s">
        <v>348</v>
      </c>
      <c r="B17">
        <f t="shared" si="0"/>
        <v>16</v>
      </c>
      <c r="C17">
        <v>6</v>
      </c>
      <c r="D17">
        <v>2020</v>
      </c>
      <c r="E17" s="207">
        <f>ELEC!N18</f>
        <v>15463</v>
      </c>
      <c r="F17" s="340">
        <f>SUM('EDl log'!T20)</f>
        <v>6.9636160677040954E-2</v>
      </c>
      <c r="G17" s="207">
        <f>-tanks!AW21</f>
        <v>346</v>
      </c>
      <c r="H17" s="340">
        <f>SUM(tanks!AV21)</f>
        <v>0.36</v>
      </c>
      <c r="I17" s="10">
        <f>('B5'!AU20)*0.51</f>
        <v>45.9</v>
      </c>
      <c r="J17" s="319">
        <f>'B5'!AX20/0.51</f>
        <v>1.3725490196078429</v>
      </c>
      <c r="K17" s="207">
        <f>WATER!I21</f>
        <v>80</v>
      </c>
      <c r="L17" s="341">
        <f>SUM(WATER!J21)</f>
        <v>3.125</v>
      </c>
      <c r="M17" s="341">
        <f>WATER!Q21</f>
        <v>0</v>
      </c>
      <c r="N17" s="517">
        <v>0.6</v>
      </c>
      <c r="O17" s="10">
        <f>ELEC!B18</f>
        <v>4.9910000000000005</v>
      </c>
    </row>
    <row r="18" spans="1:15">
      <c r="A18" t="s">
        <v>348</v>
      </c>
      <c r="B18">
        <f t="shared" si="0"/>
        <v>17</v>
      </c>
      <c r="C18">
        <v>6</v>
      </c>
      <c r="D18">
        <v>2020</v>
      </c>
      <c r="E18" s="207">
        <f>ELEC!N19</f>
        <v>14854</v>
      </c>
      <c r="F18" s="340">
        <f>SUM('EDl log'!T21)</f>
        <v>4.1488512519376679E-2</v>
      </c>
      <c r="G18" s="207">
        <f>-tanks!AW22</f>
        <v>312</v>
      </c>
      <c r="H18" s="340">
        <f>SUM(tanks!AV22)</f>
        <v>0.39300000000000002</v>
      </c>
      <c r="I18" s="10">
        <f>('B5'!AU21)*0.51</f>
        <v>45.9</v>
      </c>
      <c r="J18" s="319">
        <f>'B5'!AX21/0.51</f>
        <v>1.3725490196078429</v>
      </c>
      <c r="K18" s="207">
        <f>WATER!I22</f>
        <v>0</v>
      </c>
      <c r="L18" s="341">
        <f>SUM(WATER!J22)</f>
        <v>0</v>
      </c>
      <c r="M18" s="341">
        <f>WATER!Q22</f>
        <v>0</v>
      </c>
      <c r="N18" s="517">
        <v>0.6</v>
      </c>
      <c r="O18" s="10">
        <f>ELEC!B19</f>
        <v>4.0019999999999998</v>
      </c>
    </row>
    <row r="19" spans="1:15">
      <c r="A19" t="s">
        <v>348</v>
      </c>
      <c r="B19">
        <f t="shared" si="0"/>
        <v>18</v>
      </c>
      <c r="C19">
        <v>6</v>
      </c>
      <c r="D19">
        <v>2020</v>
      </c>
      <c r="E19" s="207">
        <f>ELEC!N20</f>
        <v>17822</v>
      </c>
      <c r="F19" s="340">
        <f>SUM('EDl log'!T22)</f>
        <v>6.7067549924846107E-2</v>
      </c>
      <c r="G19" s="207">
        <f>-tanks!AW23</f>
        <v>588.59999999997672</v>
      </c>
      <c r="H19" s="340">
        <f>SUM(tanks!AV23)</f>
        <v>0.39300000000000002</v>
      </c>
      <c r="I19" s="10">
        <f>('B5'!AU22)*0.51</f>
        <v>260.10000000000002</v>
      </c>
      <c r="J19" s="319">
        <f>'B5'!AX22/0.51</f>
        <v>1.3725490196078429</v>
      </c>
      <c r="K19" s="207">
        <f>WATER!I23</f>
        <v>338</v>
      </c>
      <c r="L19" s="341">
        <f>SUM(WATER!J23)</f>
        <v>0.73964497041420119</v>
      </c>
      <c r="M19" s="341">
        <f>WATER!Q23</f>
        <v>0</v>
      </c>
      <c r="N19" s="517">
        <v>0.6</v>
      </c>
      <c r="O19" s="10">
        <f>ELEC!B20</f>
        <v>4.9910000000000005</v>
      </c>
    </row>
    <row r="20" spans="1:15">
      <c r="A20" t="s">
        <v>348</v>
      </c>
      <c r="B20">
        <f t="shared" si="0"/>
        <v>19</v>
      </c>
      <c r="C20">
        <v>6</v>
      </c>
      <c r="D20">
        <v>2020</v>
      </c>
      <c r="E20" s="207">
        <f>ELEC!N21</f>
        <v>0</v>
      </c>
      <c r="F20" s="340">
        <f>SUM('EDl log'!T23)</f>
        <v>0</v>
      </c>
      <c r="G20" s="207">
        <f>-tanks!AW24</f>
        <v>0</v>
      </c>
      <c r="H20" s="340">
        <f>SUM(tanks!AV24)</f>
        <v>0.39300000000000002</v>
      </c>
      <c r="I20" s="10">
        <f>('B5'!AU23)*0.51</f>
        <v>0</v>
      </c>
      <c r="J20" s="319">
        <f>'B5'!AX23/0.51</f>
        <v>1.3725490196078429</v>
      </c>
      <c r="K20" s="207">
        <f>WATER!I24</f>
        <v>0</v>
      </c>
      <c r="L20" s="341">
        <f>SUM(WATER!J24)</f>
        <v>0</v>
      </c>
      <c r="M20" s="341">
        <f>WATER!Q24</f>
        <v>0</v>
      </c>
      <c r="N20" s="517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6</v>
      </c>
      <c r="D21">
        <v>2020</v>
      </c>
      <c r="E21" s="207">
        <f>ELEC!N22</f>
        <v>0</v>
      </c>
      <c r="F21" s="340">
        <f>SUM('EDl log'!T24)</f>
        <v>0</v>
      </c>
      <c r="G21" s="207">
        <f>-tanks!AW25</f>
        <v>0</v>
      </c>
      <c r="H21" s="340">
        <f>SUM(tanks!AV25)</f>
        <v>0.39300000000000002</v>
      </c>
      <c r="I21" s="10">
        <f>('B5'!AU24)*0.51</f>
        <v>0</v>
      </c>
      <c r="J21" s="319">
        <f>'B5'!AX24/0.51</f>
        <v>1.3725490196078429</v>
      </c>
      <c r="K21" s="207">
        <f>WATER!I25</f>
        <v>0</v>
      </c>
      <c r="L21" s="341">
        <f>SUM(WATER!J25)</f>
        <v>0</v>
      </c>
      <c r="M21" s="341">
        <f>WATER!Q25</f>
        <v>0</v>
      </c>
      <c r="N21" s="517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6</v>
      </c>
      <c r="D22">
        <v>2020</v>
      </c>
      <c r="E22" s="207">
        <f>ELEC!N23</f>
        <v>0</v>
      </c>
      <c r="F22" s="340">
        <f>SUM('EDl log'!T25)</f>
        <v>0</v>
      </c>
      <c r="G22" s="207">
        <f>-tanks!AW26</f>
        <v>0</v>
      </c>
      <c r="H22" s="340">
        <f>SUM(tanks!AV26)</f>
        <v>0.39300000000000002</v>
      </c>
      <c r="I22" s="10">
        <f>('B5'!AU25)*0.51</f>
        <v>0</v>
      </c>
      <c r="J22" s="319">
        <f>'B5'!AX25/0.51</f>
        <v>1.3725490196078429</v>
      </c>
      <c r="K22" s="207">
        <f>WATER!I26</f>
        <v>0</v>
      </c>
      <c r="L22" s="341">
        <f>SUM(WATER!J26)</f>
        <v>0</v>
      </c>
      <c r="M22" s="341">
        <f>WATER!Q26</f>
        <v>0</v>
      </c>
      <c r="N22" s="517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6</v>
      </c>
      <c r="D23">
        <v>2020</v>
      </c>
      <c r="E23" s="207">
        <f>ELEC!N24</f>
        <v>0</v>
      </c>
      <c r="F23" s="340">
        <f>SUM('EDl log'!T26)</f>
        <v>0</v>
      </c>
      <c r="G23" s="207">
        <f>-tanks!AW27</f>
        <v>0</v>
      </c>
      <c r="H23" s="340">
        <f>SUM(tanks!AV27)</f>
        <v>0.39300000000000002</v>
      </c>
      <c r="I23" s="10">
        <f>('B5'!AU26)*0.51</f>
        <v>0</v>
      </c>
      <c r="J23" s="319">
        <f>'B5'!AX26/0.51</f>
        <v>1.3725490196078429</v>
      </c>
      <c r="K23" s="207">
        <f>WATER!I27</f>
        <v>0</v>
      </c>
      <c r="L23" s="341">
        <f>SUM(WATER!J27)</f>
        <v>0</v>
      </c>
      <c r="M23" s="341">
        <f>WATER!Q27</f>
        <v>0</v>
      </c>
      <c r="N23" s="517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6</v>
      </c>
      <c r="D24">
        <v>2020</v>
      </c>
      <c r="E24" s="207">
        <f>ELEC!N25</f>
        <v>0</v>
      </c>
      <c r="F24" s="340">
        <f>SUM('EDl log'!T27)</f>
        <v>0</v>
      </c>
      <c r="G24" s="207">
        <f>-tanks!AW28</f>
        <v>0</v>
      </c>
      <c r="H24" s="340">
        <f>SUM(tanks!AV28)</f>
        <v>0.39300000000000002</v>
      </c>
      <c r="I24" s="10">
        <f>('B5'!AU27)*0.51</f>
        <v>0</v>
      </c>
      <c r="J24" s="319">
        <f>'B5'!AX27/0.51</f>
        <v>1.3725490196078429</v>
      </c>
      <c r="K24" s="207">
        <f>WATER!I28</f>
        <v>0</v>
      </c>
      <c r="L24" s="341">
        <f>SUM(WATER!J28)</f>
        <v>0</v>
      </c>
      <c r="M24" s="341">
        <f>WATER!Q28</f>
        <v>0</v>
      </c>
      <c r="N24" s="517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6</v>
      </c>
      <c r="D25">
        <v>2020</v>
      </c>
      <c r="E25" s="207">
        <f>ELEC!N26</f>
        <v>0</v>
      </c>
      <c r="F25" s="340">
        <f>SUM('EDl log'!T28)</f>
        <v>0</v>
      </c>
      <c r="G25" s="207">
        <f>-tanks!AW29</f>
        <v>0</v>
      </c>
      <c r="H25" s="340">
        <f>SUM(tanks!AV29)</f>
        <v>0.39300000000000002</v>
      </c>
      <c r="I25" s="10">
        <f>('B5'!AU28)*0.51</f>
        <v>0</v>
      </c>
      <c r="J25" s="319">
        <f>'B5'!AX28/0.51</f>
        <v>1.3725490196078429</v>
      </c>
      <c r="K25" s="207">
        <f>WATER!I29</f>
        <v>0</v>
      </c>
      <c r="L25" s="341">
        <f>SUM(WATER!J29)</f>
        <v>0</v>
      </c>
      <c r="M25" s="341">
        <f>WATER!Q29</f>
        <v>0</v>
      </c>
      <c r="N25" s="517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6</v>
      </c>
      <c r="D26">
        <v>2020</v>
      </c>
      <c r="E26" s="207">
        <f>ELEC!N27</f>
        <v>0</v>
      </c>
      <c r="F26" s="340">
        <f>SUM('EDl log'!T29)</f>
        <v>0</v>
      </c>
      <c r="G26" s="207">
        <f>-tanks!AW30</f>
        <v>0</v>
      </c>
      <c r="H26" s="340">
        <f>SUM(tanks!AV30)</f>
        <v>0.39300000000000002</v>
      </c>
      <c r="I26" s="10">
        <f>('B5'!AU29)*0.51</f>
        <v>0</v>
      </c>
      <c r="J26" s="319">
        <f>'B5'!AX29/0.51</f>
        <v>1.3725490196078429</v>
      </c>
      <c r="K26" s="207">
        <f>WATER!I30</f>
        <v>0</v>
      </c>
      <c r="L26" s="341">
        <f>SUM(WATER!J30)</f>
        <v>0</v>
      </c>
      <c r="M26" s="341">
        <f>WATER!Q30</f>
        <v>0</v>
      </c>
      <c r="N26" s="517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6</v>
      </c>
      <c r="D27">
        <v>2020</v>
      </c>
      <c r="E27" s="207">
        <f>ELEC!N28</f>
        <v>0</v>
      </c>
      <c r="F27" s="340">
        <f>SUM('EDl log'!T30)</f>
        <v>0</v>
      </c>
      <c r="G27" s="207">
        <f>-tanks!AW31</f>
        <v>0</v>
      </c>
      <c r="H27" s="340">
        <f>SUM(tanks!AV31)</f>
        <v>0.39300000000000002</v>
      </c>
      <c r="I27" s="10">
        <f>('B5'!AU30)*0.51</f>
        <v>0</v>
      </c>
      <c r="J27" s="319">
        <f>'B5'!AX30/0.51</f>
        <v>1.3725490196078429</v>
      </c>
      <c r="K27" s="207">
        <f>WATER!I31</f>
        <v>0</v>
      </c>
      <c r="L27" s="341">
        <f>SUM(WATER!J31)</f>
        <v>0</v>
      </c>
      <c r="M27" s="341">
        <f>WATER!Q31</f>
        <v>0</v>
      </c>
      <c r="N27" s="517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6</v>
      </c>
      <c r="D28">
        <v>2020</v>
      </c>
      <c r="E28" s="207">
        <f>ELEC!N29</f>
        <v>0</v>
      </c>
      <c r="F28" s="340">
        <f>SUM('EDl log'!T31)</f>
        <v>0</v>
      </c>
      <c r="G28" s="207">
        <f>-tanks!AW32</f>
        <v>0</v>
      </c>
      <c r="H28" s="340">
        <f>SUM(tanks!AV32)</f>
        <v>0.39300000000000002</v>
      </c>
      <c r="I28" s="10">
        <f>('B5'!AU31)*0.51</f>
        <v>0</v>
      </c>
      <c r="J28" s="319">
        <f>'B5'!AX31/0.51</f>
        <v>1.3725490196078429</v>
      </c>
      <c r="K28" s="207">
        <f>WATER!I32</f>
        <v>0</v>
      </c>
      <c r="L28" s="341">
        <f>SUM(WATER!J32)</f>
        <v>0</v>
      </c>
      <c r="M28" s="341">
        <f>WATER!Q32</f>
        <v>0</v>
      </c>
      <c r="N28" s="517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6</v>
      </c>
      <c r="D29">
        <v>2020</v>
      </c>
      <c r="E29" s="207">
        <f>ELEC!N30</f>
        <v>0</v>
      </c>
      <c r="F29" s="340">
        <f>SUM('EDl log'!T32)</f>
        <v>0</v>
      </c>
      <c r="G29" s="207">
        <f>-tanks!AW33</f>
        <v>0</v>
      </c>
      <c r="H29" s="340">
        <f>SUM(tanks!AV33)</f>
        <v>0.39300000000000002</v>
      </c>
      <c r="I29" s="10">
        <f>('B5'!AU32)*0.51</f>
        <v>0</v>
      </c>
      <c r="J29" s="319">
        <f>'B5'!AX32/0.51</f>
        <v>1.3725490196078429</v>
      </c>
      <c r="K29" s="207">
        <f>WATER!I33</f>
        <v>0</v>
      </c>
      <c r="L29" s="341">
        <f>SUM(WATER!J33)</f>
        <v>0</v>
      </c>
      <c r="M29" s="341">
        <f>WATER!Q33</f>
        <v>0</v>
      </c>
      <c r="N29" s="517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6</v>
      </c>
      <c r="D30">
        <v>2020</v>
      </c>
      <c r="E30" s="207">
        <f>ELEC!N31</f>
        <v>0</v>
      </c>
      <c r="F30" s="340">
        <f>SUM('EDl log'!T33)</f>
        <v>0</v>
      </c>
      <c r="G30" s="207">
        <f>-tanks!AW34</f>
        <v>0</v>
      </c>
      <c r="H30" s="340">
        <f>SUM(tanks!AV34)</f>
        <v>0.39300000000000002</v>
      </c>
      <c r="I30" s="10">
        <f>('B5'!AU33)*0.51</f>
        <v>0</v>
      </c>
      <c r="J30" s="319">
        <f>'B5'!AX33/0.51</f>
        <v>1.3725490196078429</v>
      </c>
      <c r="K30" s="207">
        <f>WATER!I34</f>
        <v>0</v>
      </c>
      <c r="L30" s="341">
        <f>SUM(WATER!J34)</f>
        <v>0</v>
      </c>
      <c r="M30" s="341">
        <f>WATER!Q34</f>
        <v>0</v>
      </c>
      <c r="N30" s="517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6</v>
      </c>
      <c r="D31">
        <v>2020</v>
      </c>
      <c r="E31" s="207">
        <f>ELEC!N32</f>
        <v>0</v>
      </c>
      <c r="F31" s="340">
        <f>SUM('EDl log'!T34)</f>
        <v>0</v>
      </c>
      <c r="G31" s="207">
        <f>-tanks!AW35</f>
        <v>0</v>
      </c>
      <c r="H31" s="340">
        <f>SUM(tanks!AV35)</f>
        <v>0.39300000000000002</v>
      </c>
      <c r="I31" s="10">
        <f>('B5'!AU34)*0.51</f>
        <v>0</v>
      </c>
      <c r="J31" s="319">
        <f>'B5'!AX34/0.51</f>
        <v>1.3725490196078429</v>
      </c>
      <c r="K31" s="207">
        <f>WATER!I35</f>
        <v>0</v>
      </c>
      <c r="L31" s="341">
        <f>SUM(WATER!J35)</f>
        <v>0</v>
      </c>
      <c r="M31" s="341">
        <f>WATER!Q35</f>
        <v>0</v>
      </c>
      <c r="N31" s="517">
        <v>0.6</v>
      </c>
      <c r="O31" s="10">
        <f>ELEC!B32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selection activeCell="F23" sqref="F22:F23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6</v>
      </c>
      <c r="D2">
        <v>2020</v>
      </c>
      <c r="E2" s="207">
        <f>ELEC!M3</f>
        <v>5278</v>
      </c>
      <c r="F2" s="207">
        <f>ELEC!K3</f>
        <v>2192</v>
      </c>
      <c r="G2" s="207">
        <f>ELEC!I3</f>
        <v>1830</v>
      </c>
      <c r="H2" s="207">
        <f>ELEC!E3</f>
        <v>3460</v>
      </c>
      <c r="I2" s="207">
        <f>ELEC!G3</f>
        <v>1533</v>
      </c>
      <c r="J2" s="207">
        <f>WATER!Y6</f>
        <v>0</v>
      </c>
      <c r="K2" s="207">
        <f>WATER!AJ6</f>
        <v>0</v>
      </c>
      <c r="L2" s="10">
        <f>ELEC!B3</f>
        <v>4.9910000000000005</v>
      </c>
      <c r="M2" s="10"/>
    </row>
    <row r="3" spans="1:13">
      <c r="A3" t="s">
        <v>348</v>
      </c>
      <c r="B3">
        <f>B2+1</f>
        <v>2</v>
      </c>
      <c r="C3">
        <v>6</v>
      </c>
      <c r="D3">
        <v>2020</v>
      </c>
      <c r="E3" s="207">
        <f>ELEC!M4</f>
        <v>5374</v>
      </c>
      <c r="F3" s="207">
        <f>ELEC!K4</f>
        <v>2326</v>
      </c>
      <c r="G3" s="207">
        <f>ELEC!I4</f>
        <v>1596</v>
      </c>
      <c r="H3" s="207">
        <f>ELEC!E4</f>
        <v>3082</v>
      </c>
      <c r="I3" s="207">
        <f>ELEC!G4</f>
        <v>1350</v>
      </c>
      <c r="J3" s="207">
        <f>WATER!Y7</f>
        <v>0</v>
      </c>
      <c r="K3" s="207">
        <f>WATER!AJ7</f>
        <v>0</v>
      </c>
      <c r="L3" s="10">
        <f>ELEC!B4</f>
        <v>2.0009999999999999</v>
      </c>
      <c r="M3" s="10"/>
    </row>
    <row r="4" spans="1:13">
      <c r="A4" t="s">
        <v>348</v>
      </c>
      <c r="B4">
        <f t="shared" ref="B4:B31" si="0">B3+1</f>
        <v>3</v>
      </c>
      <c r="C4">
        <v>6</v>
      </c>
      <c r="D4">
        <v>2020</v>
      </c>
      <c r="E4" s="207">
        <f>ELEC!M5</f>
        <v>3912</v>
      </c>
      <c r="F4" s="207">
        <f>ELEC!K5</f>
        <v>2394</v>
      </c>
      <c r="G4" s="207">
        <f>ELEC!I5</f>
        <v>1642</v>
      </c>
      <c r="H4" s="207">
        <f>ELEC!E5</f>
        <v>5024</v>
      </c>
      <c r="I4" s="207">
        <f>ELEC!G5</f>
        <v>1444</v>
      </c>
      <c r="J4" s="207">
        <f>WATER!Y8</f>
        <v>0</v>
      </c>
      <c r="K4" s="207">
        <f>WATER!AJ8</f>
        <v>0</v>
      </c>
      <c r="L4" s="10">
        <f>ELEC!B5</f>
        <v>6.0030000000000001</v>
      </c>
      <c r="M4" s="10"/>
    </row>
    <row r="5" spans="1:13">
      <c r="A5" t="s">
        <v>348</v>
      </c>
      <c r="B5">
        <f t="shared" si="0"/>
        <v>4</v>
      </c>
      <c r="C5">
        <v>6</v>
      </c>
      <c r="D5">
        <v>2020</v>
      </c>
      <c r="E5" s="207">
        <f>ELEC!M6</f>
        <v>4642</v>
      </c>
      <c r="F5" s="207">
        <f>ELEC!K6</f>
        <v>2140</v>
      </c>
      <c r="G5" s="207">
        <f>ELEC!I6</f>
        <v>1582</v>
      </c>
      <c r="H5" s="207">
        <f>ELEC!E6</f>
        <v>2568</v>
      </c>
      <c r="I5" s="207">
        <f>ELEC!G6</f>
        <v>1521</v>
      </c>
      <c r="J5" s="207">
        <f>WATER!Y9</f>
        <v>30</v>
      </c>
      <c r="K5" s="207">
        <f>WATER!AJ9</f>
        <v>44</v>
      </c>
      <c r="L5" s="10">
        <f>ELEC!B6</f>
        <v>4.9910000000000005</v>
      </c>
      <c r="M5" s="10"/>
    </row>
    <row r="6" spans="1:13">
      <c r="A6" t="s">
        <v>348</v>
      </c>
      <c r="B6">
        <f t="shared" si="0"/>
        <v>5</v>
      </c>
      <c r="C6">
        <v>6</v>
      </c>
      <c r="D6">
        <v>2020</v>
      </c>
      <c r="E6" s="207">
        <f>ELEC!M7</f>
        <v>5086</v>
      </c>
      <c r="F6" s="207">
        <f>ELEC!K7</f>
        <v>2000</v>
      </c>
      <c r="G6" s="207">
        <f>ELEC!I7</f>
        <v>1906</v>
      </c>
      <c r="H6" s="207">
        <f>ELEC!E7</f>
        <v>2948</v>
      </c>
      <c r="I6" s="207">
        <f>ELEC!G7</f>
        <v>1693</v>
      </c>
      <c r="J6" s="207">
        <f>WATER!Y10</f>
        <v>0</v>
      </c>
      <c r="K6" s="207">
        <f>WATER!AJ10</f>
        <v>33</v>
      </c>
      <c r="L6" s="10">
        <f>ELEC!B7</f>
        <v>2.9899999999999998</v>
      </c>
      <c r="M6" s="10"/>
    </row>
    <row r="7" spans="1:13">
      <c r="A7" t="s">
        <v>348</v>
      </c>
      <c r="B7">
        <f t="shared" si="0"/>
        <v>6</v>
      </c>
      <c r="C7">
        <v>6</v>
      </c>
      <c r="D7">
        <v>2020</v>
      </c>
      <c r="E7" s="207">
        <f>ELEC!M8</f>
        <v>4466</v>
      </c>
      <c r="F7" s="207">
        <f>ELEC!K8</f>
        <v>2156</v>
      </c>
      <c r="G7" s="207">
        <f>ELEC!I8</f>
        <v>1690</v>
      </c>
      <c r="H7" s="207">
        <f>ELEC!E8</f>
        <v>3890</v>
      </c>
      <c r="I7" s="207">
        <f>ELEC!G8</f>
        <v>1576</v>
      </c>
      <c r="J7" s="207">
        <f>WATER!Y11</f>
        <v>0</v>
      </c>
      <c r="K7" s="207">
        <f>WATER!AJ11</f>
        <v>0</v>
      </c>
      <c r="L7" s="10">
        <f>ELEC!B8</f>
        <v>4.9910000000000005</v>
      </c>
      <c r="M7" s="10"/>
    </row>
    <row r="8" spans="1:13">
      <c r="A8" t="s">
        <v>348</v>
      </c>
      <c r="B8">
        <f t="shared" si="0"/>
        <v>7</v>
      </c>
      <c r="C8">
        <v>6</v>
      </c>
      <c r="D8">
        <v>2020</v>
      </c>
      <c r="E8" s="207">
        <f>ELEC!M9</f>
        <v>4834</v>
      </c>
      <c r="F8" s="207">
        <f>ELEC!K9</f>
        <v>2572</v>
      </c>
      <c r="G8" s="207">
        <f>ELEC!I9</f>
        <v>1810</v>
      </c>
      <c r="H8" s="207">
        <f>ELEC!E9</f>
        <v>5210</v>
      </c>
      <c r="I8" s="207">
        <f>ELEC!G9</f>
        <v>1779</v>
      </c>
      <c r="J8" s="207">
        <f>WATER!Y12</f>
        <v>0</v>
      </c>
      <c r="K8" s="207">
        <f>WATER!AJ12</f>
        <v>0</v>
      </c>
      <c r="L8" s="10">
        <f>ELEC!B9</f>
        <v>4.0019999999999998</v>
      </c>
      <c r="M8" s="10"/>
    </row>
    <row r="9" spans="1:13">
      <c r="A9" t="s">
        <v>348</v>
      </c>
      <c r="B9">
        <f t="shared" si="0"/>
        <v>8</v>
      </c>
      <c r="C9">
        <v>6</v>
      </c>
      <c r="D9">
        <v>2020</v>
      </c>
      <c r="E9" s="207">
        <f>ELEC!M10</f>
        <v>6270</v>
      </c>
      <c r="F9" s="207">
        <f>ELEC!K10</f>
        <v>2636</v>
      </c>
      <c r="G9" s="207">
        <f>ELEC!I10</f>
        <v>1756</v>
      </c>
      <c r="H9" s="207">
        <f>ELEC!E10</f>
        <v>3342</v>
      </c>
      <c r="I9" s="207">
        <f>ELEC!G10</f>
        <v>1741</v>
      </c>
      <c r="J9" s="207">
        <f>WATER!Y13</f>
        <v>3</v>
      </c>
      <c r="K9" s="207">
        <f>WATER!AJ13</f>
        <v>0</v>
      </c>
      <c r="L9" s="10">
        <f>ELEC!B10</f>
        <v>2.9899999999999998</v>
      </c>
      <c r="M9" s="10"/>
    </row>
    <row r="10" spans="1:13">
      <c r="A10" t="s">
        <v>348</v>
      </c>
      <c r="B10">
        <f t="shared" si="0"/>
        <v>9</v>
      </c>
      <c r="C10">
        <v>6</v>
      </c>
      <c r="D10">
        <v>2020</v>
      </c>
      <c r="E10" s="207">
        <f>ELEC!M11</f>
        <v>4206</v>
      </c>
      <c r="F10" s="207">
        <f>ELEC!K11</f>
        <v>2540</v>
      </c>
      <c r="G10" s="207">
        <f>ELEC!I11</f>
        <v>1692</v>
      </c>
      <c r="H10" s="207">
        <f>ELEC!E11</f>
        <v>5186</v>
      </c>
      <c r="I10" s="207">
        <f>ELEC!G11</f>
        <v>1659</v>
      </c>
      <c r="J10" s="207">
        <f>WATER!Y14</f>
        <v>77</v>
      </c>
      <c r="K10" s="207">
        <f>WATER!AJ14</f>
        <v>46</v>
      </c>
      <c r="L10" s="10">
        <f>ELEC!B11</f>
        <v>4.0019999999999998</v>
      </c>
      <c r="M10" s="10"/>
    </row>
    <row r="11" spans="1:13">
      <c r="A11" t="s">
        <v>348</v>
      </c>
      <c r="B11">
        <f t="shared" si="0"/>
        <v>10</v>
      </c>
      <c r="C11">
        <v>6</v>
      </c>
      <c r="D11">
        <v>2020</v>
      </c>
      <c r="E11" s="207">
        <f>ELEC!M12</f>
        <v>6604</v>
      </c>
      <c r="F11" s="207">
        <f>ELEC!K12</f>
        <v>2836</v>
      </c>
      <c r="G11" s="207">
        <f>ELEC!I12</f>
        <v>1750</v>
      </c>
      <c r="H11" s="207">
        <f>ELEC!E12</f>
        <v>3796</v>
      </c>
      <c r="I11" s="207">
        <f>ELEC!G12</f>
        <v>1648</v>
      </c>
      <c r="J11" s="207">
        <f>WATER!Y15</f>
        <v>46</v>
      </c>
      <c r="K11" s="207">
        <f>WATER!AJ15</f>
        <v>71</v>
      </c>
      <c r="L11" s="10">
        <f>ELEC!B12</f>
        <v>4.0019999999999998</v>
      </c>
      <c r="M11" s="10"/>
    </row>
    <row r="12" spans="1:13">
      <c r="A12" t="s">
        <v>348</v>
      </c>
      <c r="B12">
        <f t="shared" si="0"/>
        <v>11</v>
      </c>
      <c r="C12">
        <v>6</v>
      </c>
      <c r="D12">
        <v>2020</v>
      </c>
      <c r="E12" s="207">
        <f>ELEC!M13</f>
        <v>5816</v>
      </c>
      <c r="F12" s="207">
        <f>ELEC!K13</f>
        <v>2328</v>
      </c>
      <c r="G12" s="207">
        <f>ELEC!I13</f>
        <v>1632</v>
      </c>
      <c r="H12" s="207">
        <f>ELEC!E13</f>
        <v>2998</v>
      </c>
      <c r="I12" s="207">
        <f>ELEC!G13</f>
        <v>1663</v>
      </c>
      <c r="J12" s="207">
        <f>WATER!Y16</f>
        <v>44</v>
      </c>
      <c r="K12" s="207">
        <f>WATER!AJ16</f>
        <v>19</v>
      </c>
      <c r="L12" s="10">
        <f>ELEC!B13</f>
        <v>2.9899999999999998</v>
      </c>
      <c r="M12" s="10"/>
    </row>
    <row r="13" spans="1:13">
      <c r="A13" t="s">
        <v>348</v>
      </c>
      <c r="B13">
        <f t="shared" si="0"/>
        <v>12</v>
      </c>
      <c r="C13">
        <v>6</v>
      </c>
      <c r="D13">
        <v>2020</v>
      </c>
      <c r="E13" s="207">
        <f>ELEC!M14</f>
        <v>4732</v>
      </c>
      <c r="F13" s="207">
        <f>ELEC!K14</f>
        <v>2650</v>
      </c>
      <c r="G13" s="207">
        <f>ELEC!I14</f>
        <v>1914</v>
      </c>
      <c r="H13" s="207">
        <f>ELEC!E14</f>
        <v>4748</v>
      </c>
      <c r="I13" s="207">
        <f>ELEC!G14</f>
        <v>1826</v>
      </c>
      <c r="J13" s="207">
        <f>WATER!Y17</f>
        <v>0</v>
      </c>
      <c r="K13" s="207">
        <f>WATER!AJ17</f>
        <v>0</v>
      </c>
      <c r="L13" s="10">
        <f>ELEC!B14</f>
        <v>6.8999999999999995</v>
      </c>
      <c r="M13" s="10"/>
    </row>
    <row r="14" spans="1:13">
      <c r="A14" t="s">
        <v>348</v>
      </c>
      <c r="B14">
        <f t="shared" si="0"/>
        <v>13</v>
      </c>
      <c r="C14">
        <v>6</v>
      </c>
      <c r="D14">
        <v>2020</v>
      </c>
      <c r="E14" s="207">
        <f>ELEC!M15</f>
        <v>5584</v>
      </c>
      <c r="F14" s="207">
        <f>ELEC!K15</f>
        <v>2570</v>
      </c>
      <c r="G14" s="207">
        <f>ELEC!I15</f>
        <v>1742</v>
      </c>
      <c r="H14" s="207">
        <f>ELEC!E15</f>
        <v>3480</v>
      </c>
      <c r="I14" s="207">
        <f>ELEC!G15</f>
        <v>1671</v>
      </c>
      <c r="J14" s="207">
        <f>WATER!Y18</f>
        <v>0</v>
      </c>
      <c r="K14" s="207">
        <f>WATER!AJ18</f>
        <v>0</v>
      </c>
      <c r="L14" s="10">
        <f>ELEC!B15</f>
        <v>4.0019999999999998</v>
      </c>
      <c r="M14" s="10"/>
    </row>
    <row r="15" spans="1:13">
      <c r="A15" t="s">
        <v>348</v>
      </c>
      <c r="B15">
        <f t="shared" si="0"/>
        <v>14</v>
      </c>
      <c r="C15">
        <v>6</v>
      </c>
      <c r="D15">
        <v>2020</v>
      </c>
      <c r="E15" s="207">
        <f>ELEC!M16</f>
        <v>4808</v>
      </c>
      <c r="F15" s="207">
        <f>ELEC!K16</f>
        <v>2502</v>
      </c>
      <c r="G15" s="207">
        <f>ELEC!I16</f>
        <v>1638</v>
      </c>
      <c r="H15" s="207">
        <f>ELEC!E16</f>
        <v>3870</v>
      </c>
      <c r="I15" s="207">
        <f>ELEC!G16</f>
        <v>1582</v>
      </c>
      <c r="J15" s="207">
        <f>WATER!Y19</f>
        <v>0</v>
      </c>
      <c r="K15" s="207">
        <f>WATER!AJ19</f>
        <v>0</v>
      </c>
      <c r="L15" s="10">
        <f>ELEC!B16</f>
        <v>2.9899999999999998</v>
      </c>
      <c r="M15" s="10"/>
    </row>
    <row r="16" spans="1:13">
      <c r="A16" t="s">
        <v>348</v>
      </c>
      <c r="B16">
        <f t="shared" si="0"/>
        <v>15</v>
      </c>
      <c r="C16">
        <v>6</v>
      </c>
      <c r="D16">
        <v>2020</v>
      </c>
      <c r="E16" s="207">
        <f>ELEC!M17</f>
        <v>5210</v>
      </c>
      <c r="F16" s="207">
        <f>ELEC!K17</f>
        <v>2726</v>
      </c>
      <c r="G16" s="207">
        <f>ELEC!I17</f>
        <v>1932</v>
      </c>
      <c r="H16" s="207">
        <f>ELEC!E17</f>
        <v>3824</v>
      </c>
      <c r="I16" s="207">
        <f>ELEC!G17</f>
        <v>1689</v>
      </c>
      <c r="J16" s="207">
        <f>WATER!Y20</f>
        <v>0</v>
      </c>
      <c r="K16" s="207">
        <f>WATER!AJ20</f>
        <v>0</v>
      </c>
      <c r="L16" s="10">
        <f>ELEC!B17</f>
        <v>2.9899999999999998</v>
      </c>
      <c r="M16" s="10"/>
    </row>
    <row r="17" spans="1:13">
      <c r="A17" t="s">
        <v>348</v>
      </c>
      <c r="B17">
        <f t="shared" si="0"/>
        <v>16</v>
      </c>
      <c r="C17">
        <v>6</v>
      </c>
      <c r="D17">
        <v>2020</v>
      </c>
      <c r="E17" s="207">
        <f>ELEC!M18</f>
        <v>6306</v>
      </c>
      <c r="F17" s="207">
        <f>ELEC!K18</f>
        <v>2512</v>
      </c>
      <c r="G17" s="207">
        <f>ELEC!I18</f>
        <v>1736</v>
      </c>
      <c r="H17" s="207">
        <f>ELEC!E18</f>
        <v>3276</v>
      </c>
      <c r="I17" s="207">
        <f>ELEC!G18</f>
        <v>1633</v>
      </c>
      <c r="J17" s="207">
        <f>WATER!Y21</f>
        <v>2</v>
      </c>
      <c r="K17" s="207">
        <f>WATER!AJ21</f>
        <v>19</v>
      </c>
      <c r="L17" s="10">
        <f>ELEC!B18</f>
        <v>4.9910000000000005</v>
      </c>
      <c r="M17" s="10"/>
    </row>
    <row r="18" spans="1:13">
      <c r="A18" t="s">
        <v>348</v>
      </c>
      <c r="B18">
        <f t="shared" si="0"/>
        <v>17</v>
      </c>
      <c r="C18">
        <v>6</v>
      </c>
      <c r="D18">
        <v>2020</v>
      </c>
      <c r="E18" s="207">
        <f>ELEC!M19</f>
        <v>5496</v>
      </c>
      <c r="F18" s="207">
        <f>ELEC!K19</f>
        <v>2280</v>
      </c>
      <c r="G18" s="207">
        <f>ELEC!I19</f>
        <v>1652</v>
      </c>
      <c r="H18" s="207">
        <f>ELEC!E19</f>
        <v>3844</v>
      </c>
      <c r="I18" s="207">
        <f>ELEC!G19</f>
        <v>1582</v>
      </c>
      <c r="J18" s="207">
        <f>WATER!Y22</f>
        <v>134</v>
      </c>
      <c r="K18" s="207">
        <f>WATER!AJ22</f>
        <v>48</v>
      </c>
      <c r="L18" s="10">
        <f>ELEC!B19</f>
        <v>4.0019999999999998</v>
      </c>
      <c r="M18" s="10"/>
    </row>
    <row r="19" spans="1:13">
      <c r="A19" t="s">
        <v>348</v>
      </c>
      <c r="B19">
        <f t="shared" si="0"/>
        <v>18</v>
      </c>
      <c r="C19">
        <v>6</v>
      </c>
      <c r="D19">
        <v>2020</v>
      </c>
      <c r="E19" s="207">
        <f>ELEC!M20</f>
        <v>6870</v>
      </c>
      <c r="F19" s="207">
        <f>ELEC!K20</f>
        <v>2736</v>
      </c>
      <c r="G19" s="207">
        <f>ELEC!I20</f>
        <v>1932</v>
      </c>
      <c r="H19" s="207">
        <f>ELEC!E20</f>
        <v>4476</v>
      </c>
      <c r="I19" s="207">
        <f>ELEC!G20</f>
        <v>1808</v>
      </c>
      <c r="J19" s="207">
        <f>WATER!Y23</f>
        <v>58</v>
      </c>
      <c r="K19" s="207">
        <f>WATER!AJ23</f>
        <v>40</v>
      </c>
      <c r="L19" s="10">
        <f>ELEC!B20</f>
        <v>4.9910000000000005</v>
      </c>
      <c r="M19" s="10"/>
    </row>
    <row r="20" spans="1:13">
      <c r="A20" t="s">
        <v>348</v>
      </c>
      <c r="B20">
        <f t="shared" si="0"/>
        <v>19</v>
      </c>
      <c r="C20">
        <v>6</v>
      </c>
      <c r="D20">
        <v>2020</v>
      </c>
      <c r="E20" s="207">
        <f>ELEC!M21</f>
        <v>0</v>
      </c>
      <c r="F20" s="207">
        <f>ELEC!K21</f>
        <v>0</v>
      </c>
      <c r="G20" s="207">
        <f>ELEC!I21</f>
        <v>0</v>
      </c>
      <c r="H20" s="207">
        <f>ELEC!E21</f>
        <v>0</v>
      </c>
      <c r="I20" s="207">
        <f>ELEC!G21</f>
        <v>0</v>
      </c>
      <c r="J20" s="207">
        <f>WATER!Y24</f>
        <v>0</v>
      </c>
      <c r="K20" s="207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6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6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6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6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6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6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6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6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6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6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6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abSelected="1" zoomScale="85" zoomScaleNormal="85" zoomScaleSheetLayoutView="100" workbookViewId="0">
      <pane ySplit="1" topLeftCell="A2" activePane="bottomLeft" state="frozen"/>
      <selection activeCell="C1" sqref="C1"/>
      <selection pane="bottomLeft" activeCell="A20" sqref="A20"/>
    </sheetView>
  </sheetViews>
  <sheetFormatPr defaultRowHeight="15"/>
  <cols>
    <col min="1" max="1" width="7.7109375" style="482" bestFit="1" customWidth="1"/>
    <col min="2" max="2" width="10.28515625" style="491" bestFit="1" customWidth="1"/>
    <col min="3" max="3" width="11.5703125" style="482" customWidth="1"/>
    <col min="4" max="4" width="18" style="492" bestFit="1" customWidth="1"/>
    <col min="5" max="5" width="14.42578125" style="492" bestFit="1" customWidth="1"/>
    <col min="6" max="6" width="15.28515625" style="492" bestFit="1" customWidth="1"/>
    <col min="7" max="7" width="12" style="492" bestFit="1" customWidth="1"/>
    <col min="8" max="8" width="18" style="492" bestFit="1" customWidth="1"/>
    <col min="9" max="9" width="13" style="492" bestFit="1" customWidth="1"/>
    <col min="10" max="10" width="18" style="492" bestFit="1" customWidth="1"/>
    <col min="11" max="11" width="11.7109375" style="492" customWidth="1"/>
    <col min="12" max="12" width="18" style="492" bestFit="1" customWidth="1"/>
    <col min="13" max="13" width="12" style="492" bestFit="1" customWidth="1"/>
    <col min="14" max="14" width="15.42578125" style="482" bestFit="1" customWidth="1"/>
    <col min="15" max="15" width="13.140625" style="493" bestFit="1" customWidth="1"/>
    <col min="16" max="16" width="14.28515625" style="482" bestFit="1" customWidth="1"/>
    <col min="17" max="17" width="13.7109375" style="482" bestFit="1" customWidth="1"/>
    <col min="18" max="18" width="12.42578125" style="482" bestFit="1" customWidth="1"/>
    <col min="19" max="21" width="11.5703125" style="482" bestFit="1" customWidth="1"/>
    <col min="22" max="22" width="13.140625" style="482" bestFit="1" customWidth="1"/>
    <col min="23" max="25" width="11.5703125" style="482" bestFit="1" customWidth="1"/>
    <col min="26" max="26" width="13.140625" style="482" bestFit="1" customWidth="1"/>
    <col min="27" max="29" width="11.5703125" style="482" bestFit="1" customWidth="1"/>
    <col min="30" max="30" width="13.140625" style="482" bestFit="1" customWidth="1"/>
    <col min="31" max="32" width="11.5703125" style="482" bestFit="1" customWidth="1"/>
    <col min="33" max="33" width="14.42578125" style="482" bestFit="1" customWidth="1"/>
    <col min="34" max="34" width="9.140625" style="482"/>
    <col min="35" max="35" width="9.7109375" style="482" bestFit="1" customWidth="1"/>
    <col min="36" max="16384" width="9.140625" style="482"/>
  </cols>
  <sheetData>
    <row r="1" spans="1:115" s="466" customFormat="1" ht="18.75" customHeight="1">
      <c r="A1" s="466" t="s">
        <v>19</v>
      </c>
      <c r="B1" s="467" t="s">
        <v>155</v>
      </c>
      <c r="C1" s="468"/>
      <c r="D1" s="469" t="s">
        <v>20</v>
      </c>
      <c r="E1" s="469" t="s">
        <v>21</v>
      </c>
      <c r="F1" s="469" t="s">
        <v>22</v>
      </c>
      <c r="G1" s="469" t="s">
        <v>23</v>
      </c>
      <c r="H1" s="469" t="s">
        <v>24</v>
      </c>
      <c r="I1" s="469" t="s">
        <v>25</v>
      </c>
      <c r="J1" s="469" t="s">
        <v>26</v>
      </c>
      <c r="K1" s="469" t="s">
        <v>27</v>
      </c>
      <c r="L1" s="469" t="s">
        <v>28</v>
      </c>
      <c r="M1" s="469" t="s">
        <v>29</v>
      </c>
      <c r="N1" s="470" t="s">
        <v>30</v>
      </c>
      <c r="O1" s="471" t="s">
        <v>156</v>
      </c>
      <c r="P1" s="472" t="s">
        <v>329</v>
      </c>
      <c r="Q1" s="470" t="s">
        <v>31</v>
      </c>
      <c r="R1" s="470" t="s">
        <v>32</v>
      </c>
      <c r="S1" s="470" t="s">
        <v>364</v>
      </c>
      <c r="T1" s="470" t="s">
        <v>33</v>
      </c>
      <c r="U1" s="470" t="s">
        <v>34</v>
      </c>
      <c r="V1" s="470" t="s">
        <v>35</v>
      </c>
      <c r="W1" s="470" t="s">
        <v>36</v>
      </c>
      <c r="X1" s="470" t="s">
        <v>33</v>
      </c>
      <c r="Y1" s="470" t="s">
        <v>37</v>
      </c>
      <c r="Z1" s="470" t="s">
        <v>38</v>
      </c>
      <c r="AA1" s="470" t="s">
        <v>39</v>
      </c>
      <c r="AB1" s="470" t="s">
        <v>33</v>
      </c>
      <c r="AC1" s="470" t="s">
        <v>77</v>
      </c>
      <c r="AD1" s="470" t="s">
        <v>40</v>
      </c>
      <c r="AE1" s="470" t="s">
        <v>41</v>
      </c>
      <c r="AF1" s="470" t="s">
        <v>42</v>
      </c>
      <c r="AG1" s="466" t="s">
        <v>132</v>
      </c>
    </row>
    <row r="2" spans="1:115" s="465" customFormat="1">
      <c r="A2" s="557">
        <f>[1]ELEC!A32</f>
        <v>1.2999999999999999E-2</v>
      </c>
      <c r="B2" s="553">
        <v>2.9899999999999999E-2</v>
      </c>
      <c r="C2" s="474">
        <v>43982</v>
      </c>
      <c r="D2" s="558">
        <f>[2]ELEC!D33</f>
        <v>31738156</v>
      </c>
      <c r="E2" s="558">
        <f>[2]ELEC!E33</f>
        <v>3210</v>
      </c>
      <c r="F2" s="558">
        <f>[2]ELEC!F33</f>
        <v>3692449</v>
      </c>
      <c r="G2" s="558">
        <f>[2]ELEC!G33</f>
        <v>1387</v>
      </c>
      <c r="H2" s="558">
        <f>[2]ELEC!H33</f>
        <v>17470270</v>
      </c>
      <c r="I2" s="558">
        <f>[2]ELEC!I33</f>
        <v>1740</v>
      </c>
      <c r="J2" s="558">
        <f>[2]ELEC!J33</f>
        <v>28449698</v>
      </c>
      <c r="K2" s="558">
        <f>[2]ELEC!K33</f>
        <v>2176</v>
      </c>
      <c r="L2" s="558">
        <f>[2]ELEC!L33</f>
        <v>23067274</v>
      </c>
      <c r="M2" s="558">
        <f>[2]ELEC!M33</f>
        <v>5092</v>
      </c>
      <c r="N2" s="558">
        <f>[2]ELEC!N33</f>
        <v>13605</v>
      </c>
      <c r="O2" s="558">
        <f>[2]ELEC!O33</f>
        <v>3399.5502248875564</v>
      </c>
      <c r="P2" s="558">
        <f>[2]ELEC!P33</f>
        <v>15547</v>
      </c>
      <c r="Q2" s="558">
        <f>[2]ELEC!Q33</f>
        <v>1280.0000000006548</v>
      </c>
      <c r="R2" s="558">
        <f>[2]ELEC!R33</f>
        <v>12324.999999999345</v>
      </c>
      <c r="S2" s="558">
        <f>[2]ELEC!S33</f>
        <v>8589</v>
      </c>
      <c r="T2" s="558">
        <f>[2]ELEC!T33</f>
        <v>0</v>
      </c>
      <c r="U2" s="558">
        <f>[2]ELEC!U33</f>
        <v>73192</v>
      </c>
      <c r="V2" s="558">
        <f>[2]ELEC!V33</f>
        <v>1895</v>
      </c>
      <c r="W2" s="558">
        <f>[2]ELEC!W33</f>
        <v>31853</v>
      </c>
      <c r="X2" s="558">
        <f>[2]ELEC!X33</f>
        <v>0</v>
      </c>
      <c r="Y2" s="558">
        <f>[2]ELEC!Y33</f>
        <v>625865</v>
      </c>
      <c r="Z2" s="558">
        <f>[2]ELEC!Z33</f>
        <v>0</v>
      </c>
      <c r="AA2" s="558">
        <f>[2]ELEC!AA33</f>
        <v>35119</v>
      </c>
      <c r="AB2" s="558">
        <f>[2]ELEC!AB33</f>
        <v>0</v>
      </c>
      <c r="AC2" s="558">
        <f>[2]ELEC!AC33</f>
        <v>790452</v>
      </c>
      <c r="AD2" s="558">
        <f>[2]ELEC!AD33</f>
        <v>0</v>
      </c>
      <c r="AE2" s="558">
        <f>[2]ELEC!AE33</f>
        <v>0</v>
      </c>
      <c r="AF2" s="558">
        <f>[2]ELEC!AF33</f>
        <v>1895</v>
      </c>
      <c r="AG2" s="558">
        <f>[2]ELEC!AG33</f>
        <v>0</v>
      </c>
      <c r="AH2" s="558">
        <f>[2]ELEC!AH33</f>
        <v>0</v>
      </c>
      <c r="AI2" s="558">
        <f>[2]ELEC!AI33</f>
        <v>-49957087</v>
      </c>
      <c r="AJ2" s="498"/>
      <c r="AK2" s="498"/>
      <c r="AL2" s="498"/>
      <c r="AM2" s="498"/>
      <c r="AN2" s="498"/>
      <c r="AO2" s="498"/>
      <c r="AP2" s="498"/>
      <c r="AQ2" s="498"/>
      <c r="AR2" s="498"/>
      <c r="AS2" s="498"/>
      <c r="AT2" s="498"/>
      <c r="AU2" s="498"/>
      <c r="AV2" s="498"/>
      <c r="AW2" s="498"/>
      <c r="AX2" s="498"/>
      <c r="AY2" s="498"/>
      <c r="AZ2" s="498"/>
      <c r="BA2" s="498"/>
      <c r="BB2" s="498"/>
      <c r="BC2" s="498"/>
      <c r="BD2" s="498"/>
      <c r="BE2" s="498"/>
      <c r="BF2" s="498"/>
      <c r="BG2" s="498"/>
      <c r="BH2" s="498"/>
      <c r="BI2" s="498"/>
      <c r="BJ2" s="498"/>
      <c r="BK2" s="498"/>
      <c r="BL2" s="498"/>
      <c r="BM2" s="498"/>
      <c r="BN2" s="498"/>
      <c r="BO2" s="498"/>
      <c r="BP2" s="498"/>
      <c r="BQ2" s="498"/>
      <c r="BR2" s="498"/>
      <c r="BS2" s="498"/>
      <c r="BT2" s="498"/>
      <c r="BU2" s="498"/>
      <c r="BV2" s="498"/>
      <c r="BW2" s="498"/>
      <c r="BX2" s="498"/>
      <c r="BY2" s="498"/>
      <c r="BZ2" s="498"/>
      <c r="CA2" s="498"/>
      <c r="CB2" s="498"/>
      <c r="CC2" s="498"/>
      <c r="CD2" s="498"/>
      <c r="CE2" s="498"/>
      <c r="CF2" s="498"/>
      <c r="CG2" s="498"/>
      <c r="CH2" s="498"/>
      <c r="CI2" s="498"/>
      <c r="CJ2" s="498"/>
      <c r="CK2" s="498"/>
      <c r="CL2" s="498"/>
      <c r="CM2" s="498"/>
      <c r="CN2" s="498"/>
      <c r="CO2" s="498"/>
      <c r="CP2" s="498"/>
      <c r="CQ2" s="498"/>
      <c r="CR2" s="498"/>
      <c r="CS2" s="498"/>
      <c r="CT2" s="498"/>
      <c r="CU2" s="498"/>
      <c r="CV2" s="498"/>
      <c r="CW2" s="498"/>
      <c r="CX2" s="498"/>
      <c r="CY2" s="498"/>
      <c r="CZ2" s="498"/>
      <c r="DA2" s="498"/>
      <c r="DB2" s="498"/>
      <c r="DC2" s="498"/>
      <c r="DD2" s="498"/>
      <c r="DE2" s="498"/>
      <c r="DF2" s="498"/>
      <c r="DG2" s="498"/>
      <c r="DH2" s="498"/>
      <c r="DI2" s="498"/>
      <c r="DJ2" s="498"/>
      <c r="DK2" s="498"/>
    </row>
    <row r="3" spans="1:115">
      <c r="A3" s="473">
        <f>'General information '!F6</f>
        <v>2.1700000000000001E-2</v>
      </c>
      <c r="B3" s="467">
        <f>SUM(230*A3)</f>
        <v>4.9910000000000005</v>
      </c>
      <c r="C3" s="474">
        <v>43983</v>
      </c>
      <c r="D3" s="461">
        <v>31741616</v>
      </c>
      <c r="E3" s="462">
        <f>D3-D2</f>
        <v>3460</v>
      </c>
      <c r="F3" s="585">
        <v>3693982</v>
      </c>
      <c r="G3" s="463">
        <f t="shared" ref="G3:G31" si="0">F3-F2</f>
        <v>1533</v>
      </c>
      <c r="H3" s="461">
        <v>17472100</v>
      </c>
      <c r="I3" s="463">
        <f>H3-H2</f>
        <v>1830</v>
      </c>
      <c r="J3" s="585">
        <v>28451890</v>
      </c>
      <c r="K3" s="463">
        <f>J3-J2</f>
        <v>2192</v>
      </c>
      <c r="L3" s="461">
        <v>23072552</v>
      </c>
      <c r="M3" s="463">
        <f>L3-L2</f>
        <v>5278</v>
      </c>
      <c r="N3" s="464">
        <f>M3+K3+I3+G3+E3</f>
        <v>14293</v>
      </c>
      <c r="O3" s="475">
        <f t="shared" ref="O3:O9" si="1">IF(B3&gt;0,N3/B3,0)</f>
        <v>2863.7547585654174</v>
      </c>
      <c r="P3" s="585">
        <v>15549</v>
      </c>
      <c r="Q3" s="484">
        <f t="shared" ref="Q3:Q12" si="2">(P3-P2)*1000</f>
        <v>2000</v>
      </c>
      <c r="R3" s="477">
        <f>+N3-Q3</f>
        <v>12293</v>
      </c>
      <c r="S3" s="461">
        <v>8609</v>
      </c>
      <c r="T3" s="478">
        <f t="shared" ref="T3:T32" si="3">S3-S2</f>
        <v>20</v>
      </c>
      <c r="U3" s="585">
        <v>75398</v>
      </c>
      <c r="V3" s="476">
        <f>U3-U2</f>
        <v>2206</v>
      </c>
      <c r="W3" s="461">
        <v>31853</v>
      </c>
      <c r="X3" s="476">
        <f t="shared" ref="X3:X8" si="4">W3-W2</f>
        <v>0</v>
      </c>
      <c r="Y3" s="585">
        <v>625865</v>
      </c>
      <c r="Z3" s="476">
        <f>Y3-Y2</f>
        <v>0</v>
      </c>
      <c r="AA3" s="461">
        <v>35119</v>
      </c>
      <c r="AB3" s="476">
        <f>AA3-AA2</f>
        <v>0</v>
      </c>
      <c r="AC3" s="585">
        <v>790452</v>
      </c>
      <c r="AD3" s="479">
        <f>AC3-AC2</f>
        <v>0</v>
      </c>
      <c r="AE3" s="480">
        <f>AB3+X3+T3</f>
        <v>20</v>
      </c>
      <c r="AF3" s="461">
        <f>V3+Z3+AD3</f>
        <v>2206</v>
      </c>
      <c r="AG3" s="481">
        <f t="shared" ref="AG3:AG9" si="5">IF(AE3&gt;0,AF3/AE3,0)</f>
        <v>110.3</v>
      </c>
    </row>
    <row r="4" spans="1:115">
      <c r="A4" s="473">
        <f>'General information '!F7</f>
        <v>8.6999999999999994E-3</v>
      </c>
      <c r="B4" s="467">
        <f t="shared" ref="B4:B31" si="6">SUM(230*A4)</f>
        <v>2.0009999999999999</v>
      </c>
      <c r="C4" s="474">
        <v>43984</v>
      </c>
      <c r="D4" s="461">
        <v>31744698</v>
      </c>
      <c r="E4" s="321">
        <f>D4-D3</f>
        <v>3082</v>
      </c>
      <c r="F4" s="461">
        <v>3695332</v>
      </c>
      <c r="G4" s="322">
        <f t="shared" si="0"/>
        <v>1350</v>
      </c>
      <c r="H4" s="461">
        <v>17473696</v>
      </c>
      <c r="I4" s="322">
        <f>H4-H3</f>
        <v>1596</v>
      </c>
      <c r="J4" s="461">
        <v>28454216</v>
      </c>
      <c r="K4" s="322">
        <f>J4-J3</f>
        <v>2326</v>
      </c>
      <c r="L4" s="461">
        <v>23077926</v>
      </c>
      <c r="M4" s="322">
        <f>L4-L3</f>
        <v>5374</v>
      </c>
      <c r="N4" s="320">
        <f>M4+K4+I4+G4+E4</f>
        <v>13728</v>
      </c>
      <c r="O4" s="483">
        <f t="shared" si="1"/>
        <v>6860.5697151424292</v>
      </c>
      <c r="P4" s="461">
        <v>15551</v>
      </c>
      <c r="Q4" s="484">
        <f t="shared" si="2"/>
        <v>2000</v>
      </c>
      <c r="R4" s="465">
        <f>N4-Q4</f>
        <v>11728</v>
      </c>
      <c r="S4" s="461">
        <v>8620</v>
      </c>
      <c r="T4" s="485">
        <f t="shared" si="3"/>
        <v>11</v>
      </c>
      <c r="U4" s="461">
        <v>77802</v>
      </c>
      <c r="V4" s="465">
        <f>U4-U3</f>
        <v>2404</v>
      </c>
      <c r="W4" s="461">
        <f t="shared" ref="S4:AC32" si="7">W3</f>
        <v>31853</v>
      </c>
      <c r="X4" s="465">
        <f t="shared" si="4"/>
        <v>0</v>
      </c>
      <c r="Y4" s="461">
        <f t="shared" si="7"/>
        <v>625865</v>
      </c>
      <c r="Z4" s="465">
        <f>Y4-Y3</f>
        <v>0</v>
      </c>
      <c r="AA4" s="461">
        <f t="shared" si="7"/>
        <v>35119</v>
      </c>
      <c r="AB4" s="486">
        <f>AA4-AA3</f>
        <v>0</v>
      </c>
      <c r="AC4" s="461">
        <f t="shared" si="7"/>
        <v>790452</v>
      </c>
      <c r="AD4" s="487">
        <f>AC4-AC3</f>
        <v>0</v>
      </c>
      <c r="AE4" s="488">
        <f t="shared" ref="AE4:AE32" si="8">AB4+X4+T4</f>
        <v>11</v>
      </c>
      <c r="AF4" s="489">
        <f t="shared" ref="AF4:AF31" si="9">V4+Z4+AD4</f>
        <v>2404</v>
      </c>
      <c r="AG4" s="481">
        <f t="shared" si="5"/>
        <v>218.54545454545453</v>
      </c>
    </row>
    <row r="5" spans="1:115">
      <c r="A5" s="473">
        <f>'General information '!F8</f>
        <v>2.6100000000000002E-2</v>
      </c>
      <c r="B5" s="467">
        <f>SUM(230*A5)</f>
        <v>6.0030000000000001</v>
      </c>
      <c r="C5" s="474">
        <v>43985</v>
      </c>
      <c r="D5" s="461">
        <v>31749722</v>
      </c>
      <c r="E5" s="321">
        <f t="shared" ref="E5:E32" si="10">D5-D4</f>
        <v>5024</v>
      </c>
      <c r="F5" s="461">
        <v>3696776</v>
      </c>
      <c r="G5" s="322">
        <f t="shared" si="0"/>
        <v>1444</v>
      </c>
      <c r="H5" s="461">
        <v>17475338</v>
      </c>
      <c r="I5" s="322">
        <f t="shared" ref="I5:I31" si="11">H5-H4</f>
        <v>1642</v>
      </c>
      <c r="J5" s="461">
        <v>28456610</v>
      </c>
      <c r="K5" s="322">
        <f t="shared" ref="K5:K31" si="12">J5-J4</f>
        <v>2394</v>
      </c>
      <c r="L5" s="461">
        <v>23081838</v>
      </c>
      <c r="M5" s="322">
        <f t="shared" ref="M5:M31" si="13">L5-L4</f>
        <v>3912</v>
      </c>
      <c r="N5" s="320">
        <f t="shared" ref="N5:N31" si="14">M5+K5+I5+G5+E5</f>
        <v>14416</v>
      </c>
      <c r="O5" s="483">
        <f t="shared" si="1"/>
        <v>2401.4659336998166</v>
      </c>
      <c r="P5" s="461">
        <v>15553</v>
      </c>
      <c r="Q5" s="484">
        <f>(P5-P4)*1000</f>
        <v>2000</v>
      </c>
      <c r="R5" s="465">
        <f>N5-Q5</f>
        <v>12416</v>
      </c>
      <c r="S5" s="461">
        <v>8625</v>
      </c>
      <c r="T5" s="485">
        <f t="shared" si="3"/>
        <v>5</v>
      </c>
      <c r="U5" s="461">
        <v>78590</v>
      </c>
      <c r="V5" s="465">
        <f t="shared" ref="V5:V32" si="15">U5-U4</f>
        <v>788</v>
      </c>
      <c r="W5" s="461">
        <f>W4</f>
        <v>31853</v>
      </c>
      <c r="X5" s="465">
        <f t="shared" si="4"/>
        <v>0</v>
      </c>
      <c r="Y5" s="461">
        <f>Y4</f>
        <v>625865</v>
      </c>
      <c r="Z5" s="465">
        <f>Y5-Y4</f>
        <v>0</v>
      </c>
      <c r="AA5" s="461">
        <v>35126</v>
      </c>
      <c r="AB5" s="465">
        <f t="shared" ref="AB5:AB32" si="16">AA5-AA4</f>
        <v>7</v>
      </c>
      <c r="AC5" s="461">
        <v>791862</v>
      </c>
      <c r="AD5" s="465">
        <f t="shared" ref="AD5:AD16" si="17">AC5-AC4</f>
        <v>1410</v>
      </c>
      <c r="AE5" s="488">
        <f t="shared" si="8"/>
        <v>12</v>
      </c>
      <c r="AF5" s="489">
        <f t="shared" si="9"/>
        <v>2198</v>
      </c>
      <c r="AG5" s="481">
        <f t="shared" si="5"/>
        <v>183.16666666666666</v>
      </c>
      <c r="AI5" s="482">
        <f>R5-'EDl log'!B3</f>
        <v>-49976236</v>
      </c>
    </row>
    <row r="6" spans="1:115">
      <c r="A6" s="473">
        <f>'General information '!F9</f>
        <v>2.1700000000000001E-2</v>
      </c>
      <c r="B6" s="467">
        <f t="shared" si="6"/>
        <v>4.9910000000000005</v>
      </c>
      <c r="C6" s="474">
        <v>43986</v>
      </c>
      <c r="D6" s="461">
        <v>31752290</v>
      </c>
      <c r="E6" s="321">
        <f t="shared" si="10"/>
        <v>2568</v>
      </c>
      <c r="F6" s="461">
        <v>3698297</v>
      </c>
      <c r="G6" s="322">
        <f t="shared" si="0"/>
        <v>1521</v>
      </c>
      <c r="H6" s="461">
        <v>17476920</v>
      </c>
      <c r="I6" s="322">
        <f t="shared" si="11"/>
        <v>1582</v>
      </c>
      <c r="J6" s="461">
        <v>28458750</v>
      </c>
      <c r="K6" s="322">
        <f t="shared" si="12"/>
        <v>2140</v>
      </c>
      <c r="L6" s="461">
        <v>23086480</v>
      </c>
      <c r="M6" s="322">
        <f t="shared" si="13"/>
        <v>4642</v>
      </c>
      <c r="N6" s="320">
        <f t="shared" si="14"/>
        <v>12453</v>
      </c>
      <c r="O6" s="483">
        <f t="shared" si="1"/>
        <v>2495.0911640953714</v>
      </c>
      <c r="P6" s="461">
        <v>15555</v>
      </c>
      <c r="Q6" s="465">
        <f t="shared" si="2"/>
        <v>2000</v>
      </c>
      <c r="R6" s="465">
        <f t="shared" ref="R6:R31" si="18">N6-Q6</f>
        <v>10453</v>
      </c>
      <c r="S6" s="461">
        <v>8632</v>
      </c>
      <c r="T6" s="485">
        <f t="shared" si="3"/>
        <v>7</v>
      </c>
      <c r="U6" s="461">
        <v>80356</v>
      </c>
      <c r="V6" s="465">
        <f t="shared" si="15"/>
        <v>1766</v>
      </c>
      <c r="W6" s="461">
        <f t="shared" si="7"/>
        <v>31853</v>
      </c>
      <c r="X6" s="465">
        <f t="shared" si="4"/>
        <v>0</v>
      </c>
      <c r="Y6" s="461">
        <f t="shared" si="7"/>
        <v>625865</v>
      </c>
      <c r="Z6" s="465">
        <f t="shared" ref="Z6:Z30" si="19">Y6-Y5</f>
        <v>0</v>
      </c>
      <c r="AA6" s="461">
        <v>35127</v>
      </c>
      <c r="AB6" s="465">
        <f t="shared" si="16"/>
        <v>1</v>
      </c>
      <c r="AC6" s="461">
        <v>792067</v>
      </c>
      <c r="AD6" s="465">
        <f t="shared" si="17"/>
        <v>205</v>
      </c>
      <c r="AE6" s="488">
        <f t="shared" si="8"/>
        <v>8</v>
      </c>
      <c r="AF6" s="489">
        <f t="shared" si="9"/>
        <v>1971</v>
      </c>
      <c r="AG6" s="481">
        <f t="shared" si="5"/>
        <v>246.375</v>
      </c>
      <c r="AI6" s="482">
        <f>R6-'EDl log'!B4</f>
        <v>-49984599</v>
      </c>
    </row>
    <row r="7" spans="1:115">
      <c r="A7" s="473">
        <f>'General information '!F10</f>
        <v>1.2999999999999999E-2</v>
      </c>
      <c r="B7" s="467">
        <f t="shared" si="6"/>
        <v>2.9899999999999998</v>
      </c>
      <c r="C7" s="474">
        <v>43987</v>
      </c>
      <c r="D7" s="461">
        <v>31755238</v>
      </c>
      <c r="E7" s="321">
        <f t="shared" si="10"/>
        <v>2948</v>
      </c>
      <c r="F7" s="461">
        <v>3699990</v>
      </c>
      <c r="G7" s="322">
        <f t="shared" si="0"/>
        <v>1693</v>
      </c>
      <c r="H7" s="461">
        <v>17478826</v>
      </c>
      <c r="I7" s="322">
        <f t="shared" si="11"/>
        <v>1906</v>
      </c>
      <c r="J7" s="461">
        <v>28460750</v>
      </c>
      <c r="K7" s="322">
        <f t="shared" si="12"/>
        <v>2000</v>
      </c>
      <c r="L7" s="461">
        <v>23091566</v>
      </c>
      <c r="M7" s="322">
        <f t="shared" si="13"/>
        <v>5086</v>
      </c>
      <c r="N7" s="320">
        <f t="shared" si="14"/>
        <v>13633</v>
      </c>
      <c r="O7" s="483">
        <f t="shared" si="1"/>
        <v>4559.5317725752511</v>
      </c>
      <c r="P7" s="461">
        <v>15557</v>
      </c>
      <c r="Q7" s="465">
        <f t="shared" si="2"/>
        <v>2000</v>
      </c>
      <c r="R7" s="465">
        <f t="shared" si="18"/>
        <v>11633</v>
      </c>
      <c r="S7" s="461">
        <v>8639</v>
      </c>
      <c r="T7" s="485">
        <f t="shared" si="3"/>
        <v>7</v>
      </c>
      <c r="U7" s="461">
        <v>81962</v>
      </c>
      <c r="V7" s="465">
        <f t="shared" si="15"/>
        <v>1606</v>
      </c>
      <c r="W7" s="461">
        <f t="shared" si="7"/>
        <v>31853</v>
      </c>
      <c r="X7" s="465">
        <f t="shared" si="4"/>
        <v>0</v>
      </c>
      <c r="Y7" s="461">
        <f t="shared" si="7"/>
        <v>625865</v>
      </c>
      <c r="Z7" s="465">
        <f t="shared" si="19"/>
        <v>0</v>
      </c>
      <c r="AA7" s="461">
        <f t="shared" si="7"/>
        <v>35127</v>
      </c>
      <c r="AB7" s="465">
        <v>0</v>
      </c>
      <c r="AC7" s="461">
        <f t="shared" si="7"/>
        <v>792067</v>
      </c>
      <c r="AD7" s="465">
        <f t="shared" si="17"/>
        <v>0</v>
      </c>
      <c r="AE7" s="488">
        <f t="shared" si="8"/>
        <v>7</v>
      </c>
      <c r="AF7" s="489">
        <f t="shared" si="9"/>
        <v>1606</v>
      </c>
      <c r="AG7" s="481">
        <f t="shared" si="5"/>
        <v>229.42857142857142</v>
      </c>
      <c r="AI7" s="482">
        <f>R7-'EDl log'!B5</f>
        <v>-49989529</v>
      </c>
    </row>
    <row r="8" spans="1:115">
      <c r="A8" s="473">
        <f>'General information '!F11</f>
        <v>2.1700000000000001E-2</v>
      </c>
      <c r="B8" s="467">
        <f t="shared" si="6"/>
        <v>4.9910000000000005</v>
      </c>
      <c r="C8" s="474">
        <v>43988</v>
      </c>
      <c r="D8" s="461">
        <v>31759128</v>
      </c>
      <c r="E8" s="321">
        <f t="shared" si="10"/>
        <v>3890</v>
      </c>
      <c r="F8" s="461">
        <v>3701566</v>
      </c>
      <c r="G8" s="322">
        <f t="shared" si="0"/>
        <v>1576</v>
      </c>
      <c r="H8" s="461">
        <v>17480516</v>
      </c>
      <c r="I8" s="322">
        <f t="shared" si="11"/>
        <v>1690</v>
      </c>
      <c r="J8" s="461">
        <v>28462906</v>
      </c>
      <c r="K8" s="322">
        <f t="shared" si="12"/>
        <v>2156</v>
      </c>
      <c r="L8" s="461">
        <v>23096032</v>
      </c>
      <c r="M8" s="322">
        <f t="shared" si="13"/>
        <v>4466</v>
      </c>
      <c r="N8" s="320">
        <f t="shared" si="14"/>
        <v>13778</v>
      </c>
      <c r="O8" s="483">
        <f t="shared" si="1"/>
        <v>2760.5690242436381</v>
      </c>
      <c r="P8" s="461">
        <v>15559</v>
      </c>
      <c r="Q8" s="465">
        <f t="shared" si="2"/>
        <v>2000</v>
      </c>
      <c r="R8" s="465">
        <f t="shared" si="18"/>
        <v>11778</v>
      </c>
      <c r="S8" s="461">
        <v>8644</v>
      </c>
      <c r="T8" s="485">
        <f t="shared" si="3"/>
        <v>5</v>
      </c>
      <c r="U8" s="461">
        <v>83336</v>
      </c>
      <c r="V8" s="465">
        <f t="shared" si="15"/>
        <v>1374</v>
      </c>
      <c r="W8" s="461">
        <f t="shared" si="7"/>
        <v>31853</v>
      </c>
      <c r="X8" s="465">
        <f t="shared" si="4"/>
        <v>0</v>
      </c>
      <c r="Y8" s="461">
        <f t="shared" si="7"/>
        <v>625865</v>
      </c>
      <c r="Z8" s="465">
        <f t="shared" si="19"/>
        <v>0</v>
      </c>
      <c r="AA8" s="461">
        <v>35130</v>
      </c>
      <c r="AB8" s="465">
        <f t="shared" si="16"/>
        <v>3</v>
      </c>
      <c r="AC8" s="461">
        <v>792883</v>
      </c>
      <c r="AD8" s="465">
        <f t="shared" si="17"/>
        <v>816</v>
      </c>
      <c r="AE8" s="488">
        <f t="shared" si="8"/>
        <v>8</v>
      </c>
      <c r="AF8" s="489">
        <f t="shared" si="9"/>
        <v>2190</v>
      </c>
      <c r="AG8" s="481">
        <f t="shared" si="5"/>
        <v>273.75</v>
      </c>
      <c r="AI8" s="482">
        <f>R8-'EDl log'!B6</f>
        <v>-49995898</v>
      </c>
    </row>
    <row r="9" spans="1:115">
      <c r="A9" s="473">
        <f>'General information '!F12</f>
        <v>1.7399999999999999E-2</v>
      </c>
      <c r="B9" s="467">
        <f t="shared" si="6"/>
        <v>4.0019999999999998</v>
      </c>
      <c r="C9" s="474">
        <v>43989</v>
      </c>
      <c r="D9" s="461">
        <v>31764338</v>
      </c>
      <c r="E9" s="321">
        <f t="shared" si="10"/>
        <v>5210</v>
      </c>
      <c r="F9" s="461">
        <v>3703345</v>
      </c>
      <c r="G9" s="322">
        <f t="shared" si="0"/>
        <v>1779</v>
      </c>
      <c r="H9" s="461">
        <v>17482326</v>
      </c>
      <c r="I9" s="322">
        <f t="shared" si="11"/>
        <v>1810</v>
      </c>
      <c r="J9" s="461">
        <v>28465478</v>
      </c>
      <c r="K9" s="322">
        <f t="shared" si="12"/>
        <v>2572</v>
      </c>
      <c r="L9" s="461">
        <v>23100866</v>
      </c>
      <c r="M9" s="322">
        <f t="shared" si="13"/>
        <v>4834</v>
      </c>
      <c r="N9" s="320">
        <f t="shared" si="14"/>
        <v>16205</v>
      </c>
      <c r="O9" s="483">
        <f t="shared" si="1"/>
        <v>4049.2253873063469</v>
      </c>
      <c r="P9" s="461">
        <v>15561</v>
      </c>
      <c r="Q9" s="465">
        <f t="shared" si="2"/>
        <v>2000</v>
      </c>
      <c r="R9" s="465">
        <f t="shared" si="18"/>
        <v>14205</v>
      </c>
      <c r="S9" s="461">
        <v>8650</v>
      </c>
      <c r="T9" s="485">
        <f t="shared" si="3"/>
        <v>6</v>
      </c>
      <c r="U9" s="461">
        <v>84790</v>
      </c>
      <c r="V9" s="465">
        <f t="shared" si="15"/>
        <v>1454</v>
      </c>
      <c r="W9" s="461">
        <v>31853</v>
      </c>
      <c r="X9" s="465">
        <f t="shared" ref="X9:X32" si="20">W9-W8</f>
        <v>0</v>
      </c>
      <c r="Y9" s="461">
        <f t="shared" si="7"/>
        <v>625865</v>
      </c>
      <c r="Z9" s="465">
        <f t="shared" si="19"/>
        <v>0</v>
      </c>
      <c r="AA9" s="461">
        <v>35137</v>
      </c>
      <c r="AB9" s="465">
        <f t="shared" si="16"/>
        <v>7</v>
      </c>
      <c r="AC9" s="461">
        <v>794338</v>
      </c>
      <c r="AD9" s="465">
        <f t="shared" si="17"/>
        <v>1455</v>
      </c>
      <c r="AE9" s="488">
        <f t="shared" si="8"/>
        <v>13</v>
      </c>
      <c r="AF9" s="489">
        <f t="shared" si="9"/>
        <v>2909</v>
      </c>
      <c r="AG9" s="481">
        <f t="shared" si="5"/>
        <v>223.76923076923077</v>
      </c>
      <c r="AI9" s="482">
        <f>R9-'EDl log'!B7</f>
        <v>-49999035</v>
      </c>
    </row>
    <row r="10" spans="1:115">
      <c r="A10" s="473">
        <f>'General information '!F13</f>
        <v>1.2999999999999999E-2</v>
      </c>
      <c r="B10" s="467">
        <f t="shared" si="6"/>
        <v>2.9899999999999998</v>
      </c>
      <c r="C10" s="474">
        <v>43990</v>
      </c>
      <c r="D10" s="461">
        <v>31767680</v>
      </c>
      <c r="E10" s="321">
        <f t="shared" si="10"/>
        <v>3342</v>
      </c>
      <c r="F10" s="585">
        <v>3705086</v>
      </c>
      <c r="G10" s="322">
        <f t="shared" si="0"/>
        <v>1741</v>
      </c>
      <c r="H10" s="461">
        <v>17484082</v>
      </c>
      <c r="I10" s="322">
        <f t="shared" si="11"/>
        <v>1756</v>
      </c>
      <c r="J10" s="585">
        <v>28468114</v>
      </c>
      <c r="K10" s="322">
        <f t="shared" si="12"/>
        <v>2636</v>
      </c>
      <c r="L10" s="461">
        <v>23107136</v>
      </c>
      <c r="M10" s="322">
        <f t="shared" si="13"/>
        <v>6270</v>
      </c>
      <c r="N10" s="320">
        <f t="shared" si="14"/>
        <v>15745</v>
      </c>
      <c r="O10" s="483">
        <f t="shared" ref="O10:O32" si="21">IF(B10&gt;0,N10/B10,0)</f>
        <v>5265.8862876254188</v>
      </c>
      <c r="P10" s="585">
        <v>15563</v>
      </c>
      <c r="Q10" s="465">
        <f t="shared" si="2"/>
        <v>2000</v>
      </c>
      <c r="R10" s="465">
        <f t="shared" si="18"/>
        <v>13745</v>
      </c>
      <c r="S10" s="461">
        <v>8662</v>
      </c>
      <c r="T10" s="485">
        <f t="shared" si="3"/>
        <v>12</v>
      </c>
      <c r="U10" s="585">
        <v>87625</v>
      </c>
      <c r="V10" s="465">
        <f t="shared" si="15"/>
        <v>2835</v>
      </c>
      <c r="W10" s="461">
        <f t="shared" si="7"/>
        <v>31853</v>
      </c>
      <c r="X10" s="465">
        <f t="shared" si="20"/>
        <v>0</v>
      </c>
      <c r="Y10" s="461">
        <f t="shared" si="7"/>
        <v>625865</v>
      </c>
      <c r="Z10" s="465">
        <f t="shared" si="19"/>
        <v>0</v>
      </c>
      <c r="AA10" s="461">
        <f t="shared" si="7"/>
        <v>35137</v>
      </c>
      <c r="AB10" s="465">
        <f t="shared" si="16"/>
        <v>0</v>
      </c>
      <c r="AC10" s="461">
        <f t="shared" si="7"/>
        <v>794338</v>
      </c>
      <c r="AD10" s="465">
        <f t="shared" si="17"/>
        <v>0</v>
      </c>
      <c r="AE10" s="488">
        <f t="shared" si="8"/>
        <v>12</v>
      </c>
      <c r="AF10" s="489">
        <f t="shared" si="9"/>
        <v>2835</v>
      </c>
      <c r="AG10" s="481">
        <f t="shared" ref="AG10:AG32" si="22">IF(AE10&gt;0,AF10/AE10,0)</f>
        <v>236.25</v>
      </c>
      <c r="AI10" s="482">
        <f>R10-'EDl log'!B8</f>
        <v>-50005354</v>
      </c>
    </row>
    <row r="11" spans="1:115">
      <c r="A11" s="473">
        <f>'General information '!F14</f>
        <v>1.7399999999999999E-2</v>
      </c>
      <c r="B11" s="467">
        <f>SUM(230*A11)</f>
        <v>4.0019999999999998</v>
      </c>
      <c r="C11" s="474">
        <v>43991</v>
      </c>
      <c r="D11" s="461">
        <v>31772866</v>
      </c>
      <c r="E11" s="321">
        <f t="shared" si="10"/>
        <v>5186</v>
      </c>
      <c r="F11" s="461">
        <v>3706745</v>
      </c>
      <c r="G11" s="322">
        <f t="shared" si="0"/>
        <v>1659</v>
      </c>
      <c r="H11" s="461">
        <v>17485774</v>
      </c>
      <c r="I11" s="322">
        <f t="shared" si="11"/>
        <v>1692</v>
      </c>
      <c r="J11" s="461">
        <v>28470654</v>
      </c>
      <c r="K11" s="322">
        <f t="shared" si="12"/>
        <v>2540</v>
      </c>
      <c r="L11" s="461">
        <v>23111342</v>
      </c>
      <c r="M11" s="322">
        <f t="shared" si="13"/>
        <v>4206</v>
      </c>
      <c r="N11" s="320">
        <f>M11+K11+I11+G11+E11</f>
        <v>15283</v>
      </c>
      <c r="O11" s="483">
        <f t="shared" si="21"/>
        <v>3818.840579710145</v>
      </c>
      <c r="P11" s="461">
        <v>15565</v>
      </c>
      <c r="Q11" s="465">
        <f t="shared" si="2"/>
        <v>2000</v>
      </c>
      <c r="R11" s="465">
        <f t="shared" si="18"/>
        <v>13283</v>
      </c>
      <c r="S11" s="461">
        <v>8665</v>
      </c>
      <c r="T11" s="485">
        <f t="shared" si="3"/>
        <v>3</v>
      </c>
      <c r="U11" s="461">
        <v>88326</v>
      </c>
      <c r="V11" s="465">
        <f t="shared" si="15"/>
        <v>701</v>
      </c>
      <c r="W11" s="461">
        <v>31853</v>
      </c>
      <c r="X11" s="465">
        <f t="shared" si="20"/>
        <v>0</v>
      </c>
      <c r="Y11" s="461">
        <f t="shared" si="7"/>
        <v>625865</v>
      </c>
      <c r="Z11" s="465">
        <f t="shared" si="19"/>
        <v>0</v>
      </c>
      <c r="AA11" s="461">
        <v>35145</v>
      </c>
      <c r="AB11" s="465">
        <f t="shared" si="16"/>
        <v>8</v>
      </c>
      <c r="AC11" s="461">
        <v>796009</v>
      </c>
      <c r="AD11" s="465">
        <f t="shared" si="17"/>
        <v>1671</v>
      </c>
      <c r="AE11" s="488">
        <f t="shared" si="8"/>
        <v>11</v>
      </c>
      <c r="AF11" s="489">
        <f t="shared" si="9"/>
        <v>2372</v>
      </c>
      <c r="AG11" s="481">
        <f t="shared" si="22"/>
        <v>215.63636363636363</v>
      </c>
      <c r="AI11" s="482">
        <f>R11-'EDl log'!B9</f>
        <v>-50011933</v>
      </c>
    </row>
    <row r="12" spans="1:115">
      <c r="A12" s="473">
        <f>'General information '!F15</f>
        <v>1.7399999999999999E-2</v>
      </c>
      <c r="B12" s="467">
        <f t="shared" si="6"/>
        <v>4.0019999999999998</v>
      </c>
      <c r="C12" s="474">
        <v>43992</v>
      </c>
      <c r="D12" s="461">
        <v>31776662</v>
      </c>
      <c r="E12" s="321">
        <f t="shared" si="10"/>
        <v>3796</v>
      </c>
      <c r="F12" s="461">
        <v>3708393</v>
      </c>
      <c r="G12" s="322">
        <f t="shared" si="0"/>
        <v>1648</v>
      </c>
      <c r="H12" s="461">
        <v>17487524</v>
      </c>
      <c r="I12" s="322">
        <f t="shared" si="11"/>
        <v>1750</v>
      </c>
      <c r="J12" s="461">
        <v>28473490</v>
      </c>
      <c r="K12" s="322">
        <f t="shared" si="12"/>
        <v>2836</v>
      </c>
      <c r="L12" s="461">
        <v>23117946</v>
      </c>
      <c r="M12" s="322">
        <f t="shared" si="13"/>
        <v>6604</v>
      </c>
      <c r="N12" s="320">
        <f>M12+K12+I12+G12+E12</f>
        <v>16634</v>
      </c>
      <c r="O12" s="483">
        <f t="shared" si="21"/>
        <v>4156.4217891054477</v>
      </c>
      <c r="P12" s="461">
        <v>15571</v>
      </c>
      <c r="Q12" s="465">
        <f t="shared" si="2"/>
        <v>6000</v>
      </c>
      <c r="R12" s="465">
        <f t="shared" si="18"/>
        <v>10634</v>
      </c>
      <c r="S12" s="461">
        <v>8679</v>
      </c>
      <c r="T12" s="485">
        <f t="shared" si="3"/>
        <v>14</v>
      </c>
      <c r="U12" s="461">
        <v>91701</v>
      </c>
      <c r="V12" s="465">
        <f t="shared" si="15"/>
        <v>3375</v>
      </c>
      <c r="W12" s="461">
        <v>31853</v>
      </c>
      <c r="X12" s="465">
        <f t="shared" si="20"/>
        <v>0</v>
      </c>
      <c r="Y12" s="461">
        <f t="shared" si="7"/>
        <v>625865</v>
      </c>
      <c r="Z12" s="465">
        <f t="shared" si="19"/>
        <v>0</v>
      </c>
      <c r="AA12" s="461">
        <v>35145</v>
      </c>
      <c r="AB12" s="465">
        <f t="shared" si="16"/>
        <v>0</v>
      </c>
      <c r="AC12" s="461">
        <v>796009</v>
      </c>
      <c r="AD12" s="465">
        <f t="shared" si="17"/>
        <v>0</v>
      </c>
      <c r="AE12" s="488">
        <f t="shared" si="8"/>
        <v>14</v>
      </c>
      <c r="AF12" s="489">
        <f t="shared" si="9"/>
        <v>3375</v>
      </c>
      <c r="AG12" s="481">
        <f t="shared" si="22"/>
        <v>241.07142857142858</v>
      </c>
      <c r="AI12" s="482">
        <f>R12-'EDl log'!B10</f>
        <v>-50021868</v>
      </c>
    </row>
    <row r="13" spans="1:115">
      <c r="A13" s="473">
        <f>'General information '!F16</f>
        <v>1.2999999999999999E-2</v>
      </c>
      <c r="B13" s="467">
        <f t="shared" si="6"/>
        <v>2.9899999999999998</v>
      </c>
      <c r="C13" s="474">
        <v>43993</v>
      </c>
      <c r="D13" s="461">
        <v>31779660</v>
      </c>
      <c r="E13" s="321">
        <f t="shared" si="10"/>
        <v>2998</v>
      </c>
      <c r="F13" s="461">
        <v>3710056</v>
      </c>
      <c r="G13" s="322">
        <f t="shared" si="0"/>
        <v>1663</v>
      </c>
      <c r="H13" s="461">
        <v>17489156</v>
      </c>
      <c r="I13" s="322">
        <f t="shared" si="11"/>
        <v>1632</v>
      </c>
      <c r="J13" s="461">
        <v>28475818</v>
      </c>
      <c r="K13" s="322">
        <f t="shared" si="12"/>
        <v>2328</v>
      </c>
      <c r="L13" s="461">
        <v>23123762</v>
      </c>
      <c r="M13" s="322">
        <f t="shared" si="13"/>
        <v>5816</v>
      </c>
      <c r="N13" s="320">
        <f t="shared" si="14"/>
        <v>14437</v>
      </c>
      <c r="O13" s="483">
        <f t="shared" si="21"/>
        <v>4828.4280936454852</v>
      </c>
      <c r="P13" s="461">
        <v>15576</v>
      </c>
      <c r="Q13" s="465">
        <f t="shared" ref="Q13:Q31" si="23">(P13-P12)*1000</f>
        <v>5000</v>
      </c>
      <c r="R13" s="465">
        <f t="shared" si="18"/>
        <v>9437</v>
      </c>
      <c r="S13" s="461">
        <v>8689</v>
      </c>
      <c r="T13" s="485">
        <f t="shared" si="3"/>
        <v>10</v>
      </c>
      <c r="U13" s="461">
        <v>94466</v>
      </c>
      <c r="V13" s="465">
        <f t="shared" si="15"/>
        <v>2765</v>
      </c>
      <c r="W13" s="461">
        <v>31853</v>
      </c>
      <c r="X13" s="465">
        <f t="shared" si="20"/>
        <v>0</v>
      </c>
      <c r="Y13" s="461">
        <v>625865</v>
      </c>
      <c r="Z13" s="465">
        <f t="shared" si="19"/>
        <v>0</v>
      </c>
      <c r="AA13" s="461">
        <v>35145</v>
      </c>
      <c r="AB13" s="465">
        <f t="shared" si="16"/>
        <v>0</v>
      </c>
      <c r="AC13" s="461">
        <v>796020</v>
      </c>
      <c r="AD13" s="465">
        <f t="shared" si="17"/>
        <v>11</v>
      </c>
      <c r="AE13" s="488">
        <f t="shared" si="8"/>
        <v>10</v>
      </c>
      <c r="AF13" s="489">
        <f t="shared" si="9"/>
        <v>2776</v>
      </c>
      <c r="AG13" s="481">
        <f t="shared" si="22"/>
        <v>277.60000000000002</v>
      </c>
      <c r="AI13" s="482">
        <f>R13-'EDl log'!B11</f>
        <v>-50030059</v>
      </c>
    </row>
    <row r="14" spans="1:115">
      <c r="A14" s="473">
        <f>'General information '!F17</f>
        <v>0.03</v>
      </c>
      <c r="B14" s="467">
        <f t="shared" si="6"/>
        <v>6.8999999999999995</v>
      </c>
      <c r="C14" s="474">
        <v>43994</v>
      </c>
      <c r="D14" s="461">
        <v>31784408</v>
      </c>
      <c r="E14" s="321">
        <f t="shared" si="10"/>
        <v>4748</v>
      </c>
      <c r="F14" s="461">
        <v>3711882</v>
      </c>
      <c r="G14" s="322">
        <f t="shared" si="0"/>
        <v>1826</v>
      </c>
      <c r="H14" s="461">
        <v>17491070</v>
      </c>
      <c r="I14" s="322">
        <f t="shared" si="11"/>
        <v>1914</v>
      </c>
      <c r="J14" s="461">
        <v>28478468</v>
      </c>
      <c r="K14" s="322">
        <f t="shared" si="12"/>
        <v>2650</v>
      </c>
      <c r="L14" s="461">
        <v>23128494</v>
      </c>
      <c r="M14" s="322">
        <f t="shared" si="13"/>
        <v>4732</v>
      </c>
      <c r="N14" s="320">
        <f t="shared" si="14"/>
        <v>15870</v>
      </c>
      <c r="O14" s="483">
        <f t="shared" si="21"/>
        <v>2300</v>
      </c>
      <c r="P14" s="461">
        <v>15582</v>
      </c>
      <c r="Q14" s="465">
        <f t="shared" si="23"/>
        <v>6000</v>
      </c>
      <c r="R14" s="465">
        <f t="shared" si="18"/>
        <v>9870</v>
      </c>
      <c r="S14" s="461">
        <v>8693</v>
      </c>
      <c r="T14" s="485">
        <f t="shared" si="3"/>
        <v>4</v>
      </c>
      <c r="U14" s="461">
        <v>95407</v>
      </c>
      <c r="V14" s="465">
        <f t="shared" si="15"/>
        <v>941</v>
      </c>
      <c r="W14" s="461">
        <f t="shared" si="7"/>
        <v>31853</v>
      </c>
      <c r="X14" s="465">
        <f t="shared" si="20"/>
        <v>0</v>
      </c>
      <c r="Y14" s="461">
        <f t="shared" si="7"/>
        <v>625865</v>
      </c>
      <c r="Z14" s="465">
        <f t="shared" si="19"/>
        <v>0</v>
      </c>
      <c r="AA14" s="461">
        <v>35151</v>
      </c>
      <c r="AB14" s="465">
        <f t="shared" si="16"/>
        <v>6</v>
      </c>
      <c r="AC14" s="461">
        <v>797425</v>
      </c>
      <c r="AD14" s="465">
        <f t="shared" si="17"/>
        <v>1405</v>
      </c>
      <c r="AE14" s="488">
        <f t="shared" si="8"/>
        <v>10</v>
      </c>
      <c r="AF14" s="489">
        <f t="shared" si="9"/>
        <v>2346</v>
      </c>
      <c r="AG14" s="481">
        <f t="shared" si="22"/>
        <v>234.6</v>
      </c>
      <c r="AI14" s="482">
        <f>R14-'EDl log'!B12</f>
        <v>-50036557</v>
      </c>
    </row>
    <row r="15" spans="1:115">
      <c r="A15" s="473">
        <f>'General information '!F18</f>
        <v>1.7399999999999999E-2</v>
      </c>
      <c r="B15" s="467">
        <f t="shared" si="6"/>
        <v>4.0019999999999998</v>
      </c>
      <c r="C15" s="474">
        <v>43995</v>
      </c>
      <c r="D15" s="461">
        <v>31787888</v>
      </c>
      <c r="E15" s="321">
        <f t="shared" si="10"/>
        <v>3480</v>
      </c>
      <c r="F15" s="461">
        <v>3713553</v>
      </c>
      <c r="G15" s="322">
        <f t="shared" si="0"/>
        <v>1671</v>
      </c>
      <c r="H15" s="461">
        <v>17492812</v>
      </c>
      <c r="I15" s="322">
        <f t="shared" si="11"/>
        <v>1742</v>
      </c>
      <c r="J15" s="461">
        <v>28481038</v>
      </c>
      <c r="K15" s="322">
        <f t="shared" si="12"/>
        <v>2570</v>
      </c>
      <c r="L15" s="461">
        <v>23134078</v>
      </c>
      <c r="M15" s="322">
        <f t="shared" si="13"/>
        <v>5584</v>
      </c>
      <c r="N15" s="320">
        <f t="shared" si="14"/>
        <v>15047</v>
      </c>
      <c r="O15" s="483">
        <f t="shared" si="21"/>
        <v>3759.8700649675166</v>
      </c>
      <c r="P15" s="461">
        <v>15588</v>
      </c>
      <c r="Q15" s="465">
        <f>(P15-P14)*1000</f>
        <v>6000</v>
      </c>
      <c r="R15" s="465">
        <f t="shared" si="18"/>
        <v>9047</v>
      </c>
      <c r="S15" s="461">
        <v>8703</v>
      </c>
      <c r="T15" s="485">
        <f t="shared" si="3"/>
        <v>10</v>
      </c>
      <c r="U15" s="461">
        <v>97598</v>
      </c>
      <c r="V15" s="465">
        <f t="shared" si="15"/>
        <v>2191</v>
      </c>
      <c r="W15" s="461">
        <f t="shared" si="7"/>
        <v>31853</v>
      </c>
      <c r="X15" s="465">
        <f t="shared" si="20"/>
        <v>0</v>
      </c>
      <c r="Y15" s="461">
        <f t="shared" si="7"/>
        <v>625865</v>
      </c>
      <c r="Z15" s="465">
        <f t="shared" si="19"/>
        <v>0</v>
      </c>
      <c r="AA15" s="461">
        <v>35152</v>
      </c>
      <c r="AB15" s="465">
        <f t="shared" si="16"/>
        <v>1</v>
      </c>
      <c r="AC15" s="461">
        <v>797715</v>
      </c>
      <c r="AD15" s="465">
        <f t="shared" si="17"/>
        <v>290</v>
      </c>
      <c r="AE15" s="488">
        <f t="shared" si="8"/>
        <v>11</v>
      </c>
      <c r="AF15" s="489">
        <f t="shared" si="9"/>
        <v>2481</v>
      </c>
      <c r="AG15" s="481">
        <f t="shared" si="22"/>
        <v>225.54545454545453</v>
      </c>
      <c r="AI15" s="482">
        <f>R15-'EDl log'!B13</f>
        <v>-50043103</v>
      </c>
    </row>
    <row r="16" spans="1:115">
      <c r="A16" s="473">
        <f>'General information '!F19</f>
        <v>1.2999999999999999E-2</v>
      </c>
      <c r="B16" s="467">
        <f t="shared" si="6"/>
        <v>2.9899999999999998</v>
      </c>
      <c r="C16" s="474">
        <v>43996</v>
      </c>
      <c r="D16" s="461">
        <v>31791758</v>
      </c>
      <c r="E16" s="321">
        <f t="shared" si="10"/>
        <v>3870</v>
      </c>
      <c r="F16" s="585">
        <v>3715135</v>
      </c>
      <c r="G16" s="322">
        <f t="shared" si="0"/>
        <v>1582</v>
      </c>
      <c r="H16" s="461">
        <v>17494450</v>
      </c>
      <c r="I16" s="322">
        <f t="shared" si="11"/>
        <v>1638</v>
      </c>
      <c r="J16" s="585">
        <v>28483540</v>
      </c>
      <c r="K16" s="322">
        <f t="shared" si="12"/>
        <v>2502</v>
      </c>
      <c r="L16" s="461">
        <v>23138886</v>
      </c>
      <c r="M16" s="322">
        <f t="shared" si="13"/>
        <v>4808</v>
      </c>
      <c r="N16" s="320">
        <f t="shared" si="14"/>
        <v>14400</v>
      </c>
      <c r="O16" s="483">
        <f t="shared" si="21"/>
        <v>4816.0535117056861</v>
      </c>
      <c r="P16" s="585">
        <v>15591</v>
      </c>
      <c r="Q16" s="465">
        <f>(P16-P15)*1000</f>
        <v>3000</v>
      </c>
      <c r="R16" s="465">
        <f t="shared" si="18"/>
        <v>11400</v>
      </c>
      <c r="S16" s="461">
        <v>8710</v>
      </c>
      <c r="T16" s="485">
        <f t="shared" si="3"/>
        <v>7</v>
      </c>
      <c r="U16" s="585">
        <v>99409</v>
      </c>
      <c r="V16" s="465">
        <f t="shared" si="15"/>
        <v>1811</v>
      </c>
      <c r="W16" s="461">
        <f t="shared" si="7"/>
        <v>31853</v>
      </c>
      <c r="X16" s="465">
        <f>W16-W15</f>
        <v>0</v>
      </c>
      <c r="Y16" s="461">
        <f t="shared" si="7"/>
        <v>625865</v>
      </c>
      <c r="Z16" s="465">
        <f>Y16-Y15</f>
        <v>0</v>
      </c>
      <c r="AA16" s="461">
        <v>35155</v>
      </c>
      <c r="AB16" s="465">
        <f>AA16-AA15</f>
        <v>3</v>
      </c>
      <c r="AC16" s="585">
        <v>798430</v>
      </c>
      <c r="AD16" s="465">
        <f t="shared" si="17"/>
        <v>715</v>
      </c>
      <c r="AE16" s="488">
        <f t="shared" si="8"/>
        <v>10</v>
      </c>
      <c r="AF16" s="489">
        <f t="shared" si="9"/>
        <v>2526</v>
      </c>
      <c r="AG16" s="481">
        <f t="shared" si="22"/>
        <v>252.6</v>
      </c>
      <c r="AI16" s="482">
        <f>R16-'EDl log'!B14</f>
        <v>-50043254</v>
      </c>
    </row>
    <row r="17" spans="1:35">
      <c r="A17" s="473">
        <f>'General information '!F20</f>
        <v>1.2999999999999999E-2</v>
      </c>
      <c r="B17" s="467">
        <f t="shared" si="6"/>
        <v>2.9899999999999998</v>
      </c>
      <c r="C17" s="474">
        <v>43997</v>
      </c>
      <c r="D17" s="461">
        <v>31795582</v>
      </c>
      <c r="E17" s="321">
        <f t="shared" si="10"/>
        <v>3824</v>
      </c>
      <c r="F17" s="461">
        <v>3716824</v>
      </c>
      <c r="G17" s="322">
        <f t="shared" si="0"/>
        <v>1689</v>
      </c>
      <c r="H17" s="461">
        <v>17496382</v>
      </c>
      <c r="I17" s="322">
        <f t="shared" si="11"/>
        <v>1932</v>
      </c>
      <c r="J17" s="461">
        <v>28486266</v>
      </c>
      <c r="K17" s="322">
        <f t="shared" si="12"/>
        <v>2726</v>
      </c>
      <c r="L17" s="461">
        <v>23144096</v>
      </c>
      <c r="M17" s="322">
        <f t="shared" si="13"/>
        <v>5210</v>
      </c>
      <c r="N17" s="320">
        <f t="shared" si="14"/>
        <v>15381</v>
      </c>
      <c r="O17" s="483">
        <f t="shared" si="21"/>
        <v>5144.1471571906359</v>
      </c>
      <c r="P17" s="461">
        <v>15597</v>
      </c>
      <c r="Q17" s="465">
        <f t="shared" si="23"/>
        <v>6000</v>
      </c>
      <c r="R17" s="465">
        <f t="shared" si="18"/>
        <v>9381</v>
      </c>
      <c r="S17" s="461">
        <v>8717</v>
      </c>
      <c r="T17" s="485">
        <f t="shared" si="3"/>
        <v>7</v>
      </c>
      <c r="U17" s="461">
        <v>100987</v>
      </c>
      <c r="V17" s="465">
        <f t="shared" si="15"/>
        <v>1578</v>
      </c>
      <c r="W17" s="461">
        <f t="shared" si="7"/>
        <v>31853</v>
      </c>
      <c r="X17" s="465">
        <f t="shared" si="20"/>
        <v>0</v>
      </c>
      <c r="Y17" s="461">
        <f t="shared" si="7"/>
        <v>625865</v>
      </c>
      <c r="Z17" s="465">
        <f t="shared" si="19"/>
        <v>0</v>
      </c>
      <c r="AA17" s="461">
        <v>35159</v>
      </c>
      <c r="AB17" s="465">
        <f t="shared" si="16"/>
        <v>4</v>
      </c>
      <c r="AC17" s="461">
        <v>799323</v>
      </c>
      <c r="AD17" s="465">
        <f t="shared" ref="AD17:AD32" si="24">AC17-AC16</f>
        <v>893</v>
      </c>
      <c r="AE17" s="488">
        <f t="shared" si="8"/>
        <v>11</v>
      </c>
      <c r="AF17" s="489">
        <f t="shared" si="9"/>
        <v>2471</v>
      </c>
      <c r="AG17" s="481">
        <f t="shared" si="22"/>
        <v>224.63636363636363</v>
      </c>
      <c r="AI17" s="482">
        <f>R17-'EDl log'!B16</f>
        <v>1647</v>
      </c>
    </row>
    <row r="18" spans="1:35">
      <c r="A18" s="473">
        <f>'General information '!F21</f>
        <v>2.1700000000000001E-2</v>
      </c>
      <c r="B18" s="467">
        <f t="shared" si="6"/>
        <v>4.9910000000000005</v>
      </c>
      <c r="C18" s="474">
        <v>43998</v>
      </c>
      <c r="D18" s="461">
        <v>31798858</v>
      </c>
      <c r="E18" s="321">
        <f t="shared" si="10"/>
        <v>3276</v>
      </c>
      <c r="F18" s="461">
        <v>3718457</v>
      </c>
      <c r="G18" s="322">
        <f t="shared" si="0"/>
        <v>1633</v>
      </c>
      <c r="H18" s="461">
        <v>17498118</v>
      </c>
      <c r="I18" s="322">
        <f t="shared" si="11"/>
        <v>1736</v>
      </c>
      <c r="J18" s="461">
        <v>28488778</v>
      </c>
      <c r="K18" s="322">
        <f t="shared" si="12"/>
        <v>2512</v>
      </c>
      <c r="L18" s="461">
        <v>23150402</v>
      </c>
      <c r="M18" s="322">
        <f t="shared" si="13"/>
        <v>6306</v>
      </c>
      <c r="N18" s="320">
        <f t="shared" si="14"/>
        <v>15463</v>
      </c>
      <c r="O18" s="483">
        <f t="shared" si="21"/>
        <v>3098.1767180925663</v>
      </c>
      <c r="P18" s="461">
        <v>15602</v>
      </c>
      <c r="Q18" s="465">
        <f t="shared" si="23"/>
        <v>5000</v>
      </c>
      <c r="R18" s="465">
        <f t="shared" si="18"/>
        <v>10463</v>
      </c>
      <c r="S18" s="461">
        <v>8729</v>
      </c>
      <c r="T18" s="485">
        <f t="shared" si="3"/>
        <v>12</v>
      </c>
      <c r="U18" s="461">
        <f t="shared" si="7"/>
        <v>100987</v>
      </c>
      <c r="V18" s="465">
        <f t="shared" si="15"/>
        <v>0</v>
      </c>
      <c r="W18" s="461">
        <f t="shared" si="7"/>
        <v>31853</v>
      </c>
      <c r="X18" s="465">
        <f t="shared" si="20"/>
        <v>0</v>
      </c>
      <c r="Y18" s="461">
        <f t="shared" si="7"/>
        <v>625865</v>
      </c>
      <c r="Z18" s="465">
        <f t="shared" si="19"/>
        <v>0</v>
      </c>
      <c r="AA18" s="461">
        <f t="shared" si="7"/>
        <v>35159</v>
      </c>
      <c r="AB18" s="465">
        <f t="shared" si="16"/>
        <v>0</v>
      </c>
      <c r="AC18" s="461">
        <f t="shared" si="7"/>
        <v>799323</v>
      </c>
      <c r="AD18" s="465">
        <f t="shared" si="24"/>
        <v>0</v>
      </c>
      <c r="AE18" s="488">
        <f t="shared" si="8"/>
        <v>12</v>
      </c>
      <c r="AF18" s="489">
        <f t="shared" si="9"/>
        <v>0</v>
      </c>
      <c r="AG18" s="481">
        <f t="shared" si="22"/>
        <v>0</v>
      </c>
      <c r="AI18" s="482">
        <f>R18-'EDl log'!B17</f>
        <v>-1651</v>
      </c>
    </row>
    <row r="19" spans="1:35">
      <c r="A19" s="473">
        <f>'General information '!F22</f>
        <v>1.7399999999999999E-2</v>
      </c>
      <c r="B19" s="467">
        <f t="shared" si="6"/>
        <v>4.0019999999999998</v>
      </c>
      <c r="C19" s="474">
        <v>43999</v>
      </c>
      <c r="D19" s="461">
        <v>31802702</v>
      </c>
      <c r="E19" s="321">
        <f t="shared" si="10"/>
        <v>3844</v>
      </c>
      <c r="F19" s="585">
        <v>3720039</v>
      </c>
      <c r="G19" s="322">
        <f t="shared" si="0"/>
        <v>1582</v>
      </c>
      <c r="H19" s="461">
        <v>17499770</v>
      </c>
      <c r="I19" s="322">
        <f t="shared" si="11"/>
        <v>1652</v>
      </c>
      <c r="J19" s="585">
        <v>28491058</v>
      </c>
      <c r="K19" s="322">
        <f t="shared" si="12"/>
        <v>2280</v>
      </c>
      <c r="L19" s="461">
        <v>23155898</v>
      </c>
      <c r="M19" s="322">
        <f t="shared" si="13"/>
        <v>5496</v>
      </c>
      <c r="N19" s="320">
        <f t="shared" si="14"/>
        <v>14854</v>
      </c>
      <c r="O19" s="483">
        <f t="shared" si="21"/>
        <v>3711.6441779110446</v>
      </c>
      <c r="P19" s="585">
        <v>15605</v>
      </c>
      <c r="Q19" s="465">
        <f>(P19-P18)*1000</f>
        <v>3000</v>
      </c>
      <c r="R19" s="465">
        <f t="shared" si="18"/>
        <v>11854</v>
      </c>
      <c r="S19" s="461">
        <v>8738</v>
      </c>
      <c r="T19" s="485">
        <f t="shared" si="3"/>
        <v>9</v>
      </c>
      <c r="U19" s="585">
        <v>105996</v>
      </c>
      <c r="V19" s="465">
        <f t="shared" si="15"/>
        <v>5009</v>
      </c>
      <c r="W19" s="461">
        <f t="shared" si="7"/>
        <v>31853</v>
      </c>
      <c r="X19" s="465">
        <f t="shared" si="20"/>
        <v>0</v>
      </c>
      <c r="Y19" s="461">
        <f t="shared" si="7"/>
        <v>625865</v>
      </c>
      <c r="Z19" s="465">
        <f t="shared" si="19"/>
        <v>0</v>
      </c>
      <c r="AA19" s="461">
        <v>35162</v>
      </c>
      <c r="AB19" s="465">
        <f t="shared" si="16"/>
        <v>3</v>
      </c>
      <c r="AC19" s="585">
        <v>799844</v>
      </c>
      <c r="AD19" s="465">
        <f t="shared" si="24"/>
        <v>521</v>
      </c>
      <c r="AE19" s="488">
        <f t="shared" si="8"/>
        <v>12</v>
      </c>
      <c r="AF19" s="489">
        <f t="shared" si="9"/>
        <v>5530</v>
      </c>
      <c r="AG19" s="481">
        <f t="shared" si="22"/>
        <v>460.83333333333331</v>
      </c>
      <c r="AI19" s="482">
        <f>R19-'EDl log'!B18</f>
        <v>-6258</v>
      </c>
    </row>
    <row r="20" spans="1:35">
      <c r="A20" s="473">
        <f>'General information '!F23</f>
        <v>2.1700000000000001E-2</v>
      </c>
      <c r="B20" s="467">
        <f t="shared" si="6"/>
        <v>4.9910000000000005</v>
      </c>
      <c r="C20" s="474">
        <v>44000</v>
      </c>
      <c r="D20" s="461">
        <v>31807178</v>
      </c>
      <c r="E20" s="321">
        <f t="shared" si="10"/>
        <v>4476</v>
      </c>
      <c r="F20" s="461">
        <v>3721847</v>
      </c>
      <c r="G20" s="322">
        <f t="shared" si="0"/>
        <v>1808</v>
      </c>
      <c r="H20" s="461">
        <v>17501702</v>
      </c>
      <c r="I20" s="322">
        <f t="shared" si="11"/>
        <v>1932</v>
      </c>
      <c r="J20" s="461">
        <v>28493794</v>
      </c>
      <c r="K20" s="322">
        <f t="shared" si="12"/>
        <v>2736</v>
      </c>
      <c r="L20" s="461">
        <v>23162768</v>
      </c>
      <c r="M20" s="322">
        <f t="shared" si="13"/>
        <v>6870</v>
      </c>
      <c r="N20" s="320">
        <f t="shared" si="14"/>
        <v>17822</v>
      </c>
      <c r="O20" s="483">
        <f t="shared" si="21"/>
        <v>3570.8274894810656</v>
      </c>
      <c r="P20" s="461">
        <v>15611</v>
      </c>
      <c r="Q20" s="465">
        <f t="shared" si="23"/>
        <v>6000</v>
      </c>
      <c r="R20" s="465">
        <f t="shared" si="18"/>
        <v>11822</v>
      </c>
      <c r="S20" s="461">
        <v>8749</v>
      </c>
      <c r="T20" s="485">
        <f t="shared" si="3"/>
        <v>11</v>
      </c>
      <c r="U20" s="461">
        <v>108602</v>
      </c>
      <c r="V20" s="465">
        <f t="shared" si="15"/>
        <v>2606</v>
      </c>
      <c r="W20" s="461">
        <v>31853</v>
      </c>
      <c r="X20" s="465">
        <f t="shared" si="20"/>
        <v>0</v>
      </c>
      <c r="Y20" s="461">
        <f t="shared" si="7"/>
        <v>625865</v>
      </c>
      <c r="Z20" s="465">
        <f t="shared" si="19"/>
        <v>0</v>
      </c>
      <c r="AA20" s="461">
        <v>35164</v>
      </c>
      <c r="AB20" s="465">
        <f t="shared" si="16"/>
        <v>2</v>
      </c>
      <c r="AC20" s="461">
        <v>800461</v>
      </c>
      <c r="AD20" s="465">
        <f t="shared" si="24"/>
        <v>617</v>
      </c>
      <c r="AE20" s="488">
        <f t="shared" si="8"/>
        <v>13</v>
      </c>
      <c r="AF20" s="489">
        <f t="shared" si="9"/>
        <v>3223</v>
      </c>
      <c r="AG20" s="481">
        <f t="shared" si="22"/>
        <v>247.92307692307693</v>
      </c>
      <c r="AI20" s="482">
        <f>R20-'EDl log'!B19</f>
        <v>-11176</v>
      </c>
    </row>
    <row r="21" spans="1:35">
      <c r="A21" s="473">
        <f>'General information '!F24</f>
        <v>0</v>
      </c>
      <c r="B21" s="467">
        <f t="shared" si="6"/>
        <v>0</v>
      </c>
      <c r="C21" s="474">
        <v>44001</v>
      </c>
      <c r="D21" s="461">
        <f t="shared" ref="D21:L32" si="25">D20</f>
        <v>31807178</v>
      </c>
      <c r="E21" s="321">
        <f t="shared" si="10"/>
        <v>0</v>
      </c>
      <c r="F21" s="461">
        <f t="shared" si="25"/>
        <v>3721847</v>
      </c>
      <c r="G21" s="322">
        <f t="shared" si="0"/>
        <v>0</v>
      </c>
      <c r="H21" s="461">
        <f t="shared" si="25"/>
        <v>17501702</v>
      </c>
      <c r="I21" s="322">
        <f t="shared" si="11"/>
        <v>0</v>
      </c>
      <c r="J21" s="461">
        <f t="shared" si="25"/>
        <v>28493794</v>
      </c>
      <c r="K21" s="322">
        <f t="shared" si="12"/>
        <v>0</v>
      </c>
      <c r="L21" s="461">
        <f t="shared" si="25"/>
        <v>23162768</v>
      </c>
      <c r="M21" s="322">
        <f t="shared" si="13"/>
        <v>0</v>
      </c>
      <c r="N21" s="320">
        <f t="shared" si="14"/>
        <v>0</v>
      </c>
      <c r="O21" s="483">
        <f t="shared" si="21"/>
        <v>0</v>
      </c>
      <c r="P21" s="461">
        <f t="shared" ref="P21:P32" si="26">P20</f>
        <v>15611</v>
      </c>
      <c r="Q21" s="465">
        <f>(P21-P20)*1000</f>
        <v>0</v>
      </c>
      <c r="R21" s="465">
        <f t="shared" si="18"/>
        <v>0</v>
      </c>
      <c r="S21" s="461">
        <f t="shared" si="7"/>
        <v>8749</v>
      </c>
      <c r="T21" s="485">
        <f t="shared" si="3"/>
        <v>0</v>
      </c>
      <c r="U21" s="461">
        <f t="shared" si="7"/>
        <v>108602</v>
      </c>
      <c r="V21" s="465">
        <f t="shared" si="15"/>
        <v>0</v>
      </c>
      <c r="W21" s="461">
        <f t="shared" si="7"/>
        <v>31853</v>
      </c>
      <c r="X21" s="465">
        <f t="shared" si="20"/>
        <v>0</v>
      </c>
      <c r="Y21" s="461">
        <f t="shared" si="7"/>
        <v>625865</v>
      </c>
      <c r="Z21" s="465">
        <f t="shared" si="19"/>
        <v>0</v>
      </c>
      <c r="AA21" s="461">
        <f t="shared" si="7"/>
        <v>35164</v>
      </c>
      <c r="AB21" s="465">
        <f t="shared" si="16"/>
        <v>0</v>
      </c>
      <c r="AC21" s="461">
        <f t="shared" si="7"/>
        <v>800461</v>
      </c>
      <c r="AD21" s="465">
        <f t="shared" si="24"/>
        <v>0</v>
      </c>
      <c r="AE21" s="488">
        <f t="shared" si="8"/>
        <v>0</v>
      </c>
      <c r="AF21" s="489">
        <f t="shared" si="9"/>
        <v>0</v>
      </c>
      <c r="AG21" s="481">
        <f t="shared" si="22"/>
        <v>0</v>
      </c>
      <c r="AI21" s="482">
        <f>R21-'EDl log'!B20</f>
        <v>-28479</v>
      </c>
    </row>
    <row r="22" spans="1:35">
      <c r="A22" s="473">
        <f>'General information '!F25</f>
        <v>0</v>
      </c>
      <c r="B22" s="467">
        <f t="shared" si="6"/>
        <v>0</v>
      </c>
      <c r="C22" s="474">
        <v>44002</v>
      </c>
      <c r="D22" s="461">
        <f t="shared" si="25"/>
        <v>31807178</v>
      </c>
      <c r="E22" s="321">
        <f t="shared" si="10"/>
        <v>0</v>
      </c>
      <c r="F22" s="461">
        <f t="shared" si="25"/>
        <v>3721847</v>
      </c>
      <c r="G22" s="322">
        <f t="shared" si="0"/>
        <v>0</v>
      </c>
      <c r="H22" s="461">
        <f t="shared" si="25"/>
        <v>17501702</v>
      </c>
      <c r="I22" s="322">
        <f t="shared" si="11"/>
        <v>0</v>
      </c>
      <c r="J22" s="461">
        <f t="shared" si="25"/>
        <v>28493794</v>
      </c>
      <c r="K22" s="322">
        <f t="shared" si="12"/>
        <v>0</v>
      </c>
      <c r="L22" s="461">
        <f t="shared" si="25"/>
        <v>23162768</v>
      </c>
      <c r="M22" s="322">
        <f t="shared" si="13"/>
        <v>0</v>
      </c>
      <c r="N22" s="320">
        <f t="shared" si="14"/>
        <v>0</v>
      </c>
      <c r="O22" s="483">
        <f t="shared" si="21"/>
        <v>0</v>
      </c>
      <c r="P22" s="461">
        <f t="shared" si="26"/>
        <v>15611</v>
      </c>
      <c r="Q22" s="465">
        <f t="shared" si="23"/>
        <v>0</v>
      </c>
      <c r="R22" s="465">
        <f t="shared" si="18"/>
        <v>0</v>
      </c>
      <c r="S22" s="461">
        <f t="shared" si="7"/>
        <v>8749</v>
      </c>
      <c r="T22" s="485">
        <f t="shared" si="3"/>
        <v>0</v>
      </c>
      <c r="U22" s="461">
        <f t="shared" si="7"/>
        <v>108602</v>
      </c>
      <c r="V22" s="465">
        <f t="shared" si="15"/>
        <v>0</v>
      </c>
      <c r="W22" s="461">
        <f t="shared" si="7"/>
        <v>31853</v>
      </c>
      <c r="X22" s="465">
        <f t="shared" si="20"/>
        <v>0</v>
      </c>
      <c r="Y22" s="461">
        <f t="shared" si="7"/>
        <v>625865</v>
      </c>
      <c r="Z22" s="465">
        <f t="shared" si="19"/>
        <v>0</v>
      </c>
      <c r="AA22" s="461">
        <f t="shared" si="7"/>
        <v>35164</v>
      </c>
      <c r="AB22" s="465">
        <f t="shared" si="16"/>
        <v>0</v>
      </c>
      <c r="AC22" s="461">
        <f t="shared" si="7"/>
        <v>800461</v>
      </c>
      <c r="AD22" s="465">
        <f t="shared" si="24"/>
        <v>0</v>
      </c>
      <c r="AE22" s="488">
        <f t="shared" si="8"/>
        <v>0</v>
      </c>
      <c r="AF22" s="489">
        <f t="shared" si="9"/>
        <v>0</v>
      </c>
      <c r="AG22" s="481">
        <f t="shared" si="22"/>
        <v>0</v>
      </c>
      <c r="AI22" s="482">
        <f>R22-'EDl log'!B21</f>
        <v>-34439</v>
      </c>
    </row>
    <row r="23" spans="1:35">
      <c r="A23" s="473">
        <f>'General information '!F26</f>
        <v>0</v>
      </c>
      <c r="B23" s="467">
        <f t="shared" si="6"/>
        <v>0</v>
      </c>
      <c r="C23" s="474">
        <v>44003</v>
      </c>
      <c r="D23" s="461">
        <f t="shared" si="25"/>
        <v>31807178</v>
      </c>
      <c r="E23" s="321">
        <f t="shared" si="10"/>
        <v>0</v>
      </c>
      <c r="F23" s="461">
        <f t="shared" si="25"/>
        <v>3721847</v>
      </c>
      <c r="G23" s="322">
        <f t="shared" si="0"/>
        <v>0</v>
      </c>
      <c r="H23" s="461">
        <f t="shared" si="25"/>
        <v>17501702</v>
      </c>
      <c r="I23" s="454">
        <f t="shared" si="11"/>
        <v>0</v>
      </c>
      <c r="J23" s="461">
        <f t="shared" si="25"/>
        <v>28493794</v>
      </c>
      <c r="K23" s="322">
        <f t="shared" si="12"/>
        <v>0</v>
      </c>
      <c r="L23" s="461">
        <f t="shared" si="25"/>
        <v>23162768</v>
      </c>
      <c r="M23" s="322">
        <f t="shared" si="13"/>
        <v>0</v>
      </c>
      <c r="N23" s="320">
        <f t="shared" si="14"/>
        <v>0</v>
      </c>
      <c r="O23" s="483">
        <f t="shared" si="21"/>
        <v>0</v>
      </c>
      <c r="P23" s="461">
        <f t="shared" si="26"/>
        <v>15611</v>
      </c>
      <c r="Q23" s="465">
        <f t="shared" si="23"/>
        <v>0</v>
      </c>
      <c r="R23" s="465">
        <f t="shared" si="18"/>
        <v>0</v>
      </c>
      <c r="S23" s="461">
        <f t="shared" si="7"/>
        <v>8749</v>
      </c>
      <c r="T23" s="485">
        <f t="shared" si="3"/>
        <v>0</v>
      </c>
      <c r="U23" s="461">
        <f t="shared" si="7"/>
        <v>108602</v>
      </c>
      <c r="V23" s="465">
        <f t="shared" si="15"/>
        <v>0</v>
      </c>
      <c r="W23" s="461">
        <f t="shared" si="7"/>
        <v>31853</v>
      </c>
      <c r="X23" s="465">
        <f t="shared" si="20"/>
        <v>0</v>
      </c>
      <c r="Y23" s="461">
        <f t="shared" si="7"/>
        <v>625865</v>
      </c>
      <c r="Z23" s="465">
        <f t="shared" si="19"/>
        <v>0</v>
      </c>
      <c r="AA23" s="461">
        <f t="shared" si="7"/>
        <v>35164</v>
      </c>
      <c r="AB23" s="465">
        <f t="shared" si="16"/>
        <v>0</v>
      </c>
      <c r="AC23" s="461">
        <f t="shared" si="7"/>
        <v>800461</v>
      </c>
      <c r="AD23" s="465">
        <f t="shared" si="24"/>
        <v>0</v>
      </c>
      <c r="AE23" s="488">
        <f t="shared" si="8"/>
        <v>0</v>
      </c>
      <c r="AF23" s="489">
        <f t="shared" si="9"/>
        <v>0</v>
      </c>
      <c r="AG23" s="481">
        <f t="shared" si="22"/>
        <v>0</v>
      </c>
      <c r="AI23" s="482">
        <f>R23-'EDl log'!B22</f>
        <v>-40512</v>
      </c>
    </row>
    <row r="24" spans="1:35">
      <c r="A24" s="473">
        <f>'General information '!F27</f>
        <v>0</v>
      </c>
      <c r="B24" s="467">
        <f t="shared" si="6"/>
        <v>0</v>
      </c>
      <c r="C24" s="474">
        <v>44004</v>
      </c>
      <c r="D24" s="461">
        <f t="shared" si="25"/>
        <v>31807178</v>
      </c>
      <c r="E24" s="321">
        <f t="shared" si="10"/>
        <v>0</v>
      </c>
      <c r="F24" s="461">
        <f t="shared" si="25"/>
        <v>3721847</v>
      </c>
      <c r="G24" s="322">
        <f t="shared" si="0"/>
        <v>0</v>
      </c>
      <c r="H24" s="461">
        <f t="shared" si="25"/>
        <v>17501702</v>
      </c>
      <c r="I24" s="322">
        <f t="shared" si="11"/>
        <v>0</v>
      </c>
      <c r="J24" s="461">
        <f t="shared" si="25"/>
        <v>28493794</v>
      </c>
      <c r="K24" s="322">
        <f t="shared" si="12"/>
        <v>0</v>
      </c>
      <c r="L24" s="461">
        <f t="shared" si="25"/>
        <v>23162768</v>
      </c>
      <c r="M24" s="322">
        <f t="shared" si="13"/>
        <v>0</v>
      </c>
      <c r="N24" s="320">
        <f t="shared" si="14"/>
        <v>0</v>
      </c>
      <c r="O24" s="483">
        <f t="shared" si="21"/>
        <v>0</v>
      </c>
      <c r="P24" s="461">
        <f t="shared" si="26"/>
        <v>15611</v>
      </c>
      <c r="Q24" s="465">
        <f t="shared" si="23"/>
        <v>0</v>
      </c>
      <c r="R24" s="465">
        <f t="shared" si="18"/>
        <v>0</v>
      </c>
      <c r="S24" s="461">
        <f t="shared" si="7"/>
        <v>8749</v>
      </c>
      <c r="T24" s="485">
        <f t="shared" si="3"/>
        <v>0</v>
      </c>
      <c r="U24" s="461">
        <f t="shared" si="7"/>
        <v>108602</v>
      </c>
      <c r="V24" s="465">
        <f t="shared" si="15"/>
        <v>0</v>
      </c>
      <c r="W24" s="461">
        <f t="shared" si="7"/>
        <v>31853</v>
      </c>
      <c r="X24" s="465">
        <f t="shared" si="20"/>
        <v>0</v>
      </c>
      <c r="Y24" s="461">
        <f t="shared" si="7"/>
        <v>625865</v>
      </c>
      <c r="Z24" s="465">
        <f t="shared" si="19"/>
        <v>0</v>
      </c>
      <c r="AA24" s="461">
        <f t="shared" si="7"/>
        <v>35164</v>
      </c>
      <c r="AB24" s="465">
        <f t="shared" si="16"/>
        <v>0</v>
      </c>
      <c r="AC24" s="461">
        <f t="shared" si="7"/>
        <v>800461</v>
      </c>
      <c r="AD24" s="465">
        <f t="shared" si="24"/>
        <v>0</v>
      </c>
      <c r="AE24" s="488">
        <f t="shared" si="8"/>
        <v>0</v>
      </c>
      <c r="AF24" s="489">
        <f t="shared" si="9"/>
        <v>0</v>
      </c>
      <c r="AG24" s="481">
        <f t="shared" si="22"/>
        <v>0</v>
      </c>
      <c r="AI24" s="482">
        <f>R24-'EDl log'!B23</f>
        <v>-40512</v>
      </c>
    </row>
    <row r="25" spans="1:35">
      <c r="A25" s="473">
        <f>'General information '!F28</f>
        <v>0</v>
      </c>
      <c r="B25" s="467">
        <f t="shared" si="6"/>
        <v>0</v>
      </c>
      <c r="C25" s="474">
        <v>44005</v>
      </c>
      <c r="D25" s="461">
        <f t="shared" si="25"/>
        <v>31807178</v>
      </c>
      <c r="E25" s="321">
        <f t="shared" si="10"/>
        <v>0</v>
      </c>
      <c r="F25" s="461">
        <f t="shared" si="25"/>
        <v>3721847</v>
      </c>
      <c r="G25" s="322">
        <f t="shared" si="0"/>
        <v>0</v>
      </c>
      <c r="H25" s="461">
        <f t="shared" si="25"/>
        <v>17501702</v>
      </c>
      <c r="I25" s="322">
        <f t="shared" si="11"/>
        <v>0</v>
      </c>
      <c r="J25" s="461">
        <f t="shared" si="25"/>
        <v>28493794</v>
      </c>
      <c r="K25" s="322">
        <f t="shared" si="12"/>
        <v>0</v>
      </c>
      <c r="L25" s="461">
        <f t="shared" si="25"/>
        <v>23162768</v>
      </c>
      <c r="M25" s="322">
        <f t="shared" si="13"/>
        <v>0</v>
      </c>
      <c r="N25" s="320">
        <f t="shared" si="14"/>
        <v>0</v>
      </c>
      <c r="O25" s="483">
        <f t="shared" si="21"/>
        <v>0</v>
      </c>
      <c r="P25" s="461">
        <f t="shared" si="26"/>
        <v>15611</v>
      </c>
      <c r="Q25" s="465">
        <f t="shared" si="23"/>
        <v>0</v>
      </c>
      <c r="R25" s="465">
        <f t="shared" si="18"/>
        <v>0</v>
      </c>
      <c r="S25" s="461">
        <f t="shared" si="7"/>
        <v>8749</v>
      </c>
      <c r="T25" s="485">
        <f t="shared" si="3"/>
        <v>0</v>
      </c>
      <c r="U25" s="461">
        <f t="shared" si="7"/>
        <v>108602</v>
      </c>
      <c r="V25" s="465">
        <f t="shared" si="15"/>
        <v>0</v>
      </c>
      <c r="W25" s="461">
        <f t="shared" si="7"/>
        <v>31853</v>
      </c>
      <c r="X25" s="465">
        <f t="shared" si="20"/>
        <v>0</v>
      </c>
      <c r="Y25" s="461">
        <f t="shared" si="7"/>
        <v>625865</v>
      </c>
      <c r="Z25" s="465">
        <f t="shared" si="19"/>
        <v>0</v>
      </c>
      <c r="AA25" s="461">
        <f t="shared" si="7"/>
        <v>35164</v>
      </c>
      <c r="AB25" s="465">
        <f t="shared" si="16"/>
        <v>0</v>
      </c>
      <c r="AC25" s="461">
        <f t="shared" si="7"/>
        <v>800461</v>
      </c>
      <c r="AD25" s="465">
        <f t="shared" si="24"/>
        <v>0</v>
      </c>
      <c r="AE25" s="488">
        <f t="shared" si="8"/>
        <v>0</v>
      </c>
      <c r="AF25" s="489">
        <f t="shared" si="9"/>
        <v>0</v>
      </c>
      <c r="AG25" s="481">
        <f t="shared" si="22"/>
        <v>0</v>
      </c>
      <c r="AI25" s="482">
        <f>R25-'EDl log'!B24</f>
        <v>-40512</v>
      </c>
    </row>
    <row r="26" spans="1:35">
      <c r="A26" s="473">
        <f>'General information '!F29</f>
        <v>0</v>
      </c>
      <c r="B26" s="467">
        <f t="shared" si="6"/>
        <v>0</v>
      </c>
      <c r="C26" s="474">
        <v>44006</v>
      </c>
      <c r="D26" s="461">
        <f t="shared" si="25"/>
        <v>31807178</v>
      </c>
      <c r="E26" s="321">
        <f t="shared" si="10"/>
        <v>0</v>
      </c>
      <c r="F26" s="461">
        <f t="shared" si="25"/>
        <v>3721847</v>
      </c>
      <c r="G26" s="322">
        <f t="shared" si="0"/>
        <v>0</v>
      </c>
      <c r="H26" s="461">
        <f t="shared" si="25"/>
        <v>17501702</v>
      </c>
      <c r="I26" s="322">
        <f t="shared" si="11"/>
        <v>0</v>
      </c>
      <c r="J26" s="461">
        <f t="shared" si="25"/>
        <v>28493794</v>
      </c>
      <c r="K26" s="322">
        <f t="shared" si="12"/>
        <v>0</v>
      </c>
      <c r="L26" s="461">
        <f t="shared" si="25"/>
        <v>23162768</v>
      </c>
      <c r="M26" s="322">
        <f t="shared" si="13"/>
        <v>0</v>
      </c>
      <c r="N26" s="320">
        <f t="shared" si="14"/>
        <v>0</v>
      </c>
      <c r="O26" s="483">
        <f t="shared" si="21"/>
        <v>0</v>
      </c>
      <c r="P26" s="461">
        <f t="shared" si="26"/>
        <v>15611</v>
      </c>
      <c r="Q26" s="465">
        <f t="shared" si="23"/>
        <v>0</v>
      </c>
      <c r="R26" s="490">
        <f>N26-Q26</f>
        <v>0</v>
      </c>
      <c r="S26" s="461">
        <f t="shared" si="7"/>
        <v>8749</v>
      </c>
      <c r="T26" s="485">
        <f t="shared" si="3"/>
        <v>0</v>
      </c>
      <c r="U26" s="461">
        <f t="shared" si="7"/>
        <v>108602</v>
      </c>
      <c r="V26" s="465">
        <f t="shared" si="15"/>
        <v>0</v>
      </c>
      <c r="W26" s="461">
        <f t="shared" si="7"/>
        <v>31853</v>
      </c>
      <c r="X26" s="465">
        <f t="shared" si="20"/>
        <v>0</v>
      </c>
      <c r="Y26" s="461">
        <f t="shared" si="7"/>
        <v>625865</v>
      </c>
      <c r="Z26" s="465">
        <f t="shared" si="19"/>
        <v>0</v>
      </c>
      <c r="AA26" s="461">
        <f t="shared" si="7"/>
        <v>35164</v>
      </c>
      <c r="AB26" s="465">
        <f t="shared" si="16"/>
        <v>0</v>
      </c>
      <c r="AC26" s="461">
        <f t="shared" si="7"/>
        <v>800461</v>
      </c>
      <c r="AD26" s="465">
        <f t="shared" si="24"/>
        <v>0</v>
      </c>
      <c r="AE26" s="488">
        <f t="shared" si="8"/>
        <v>0</v>
      </c>
      <c r="AF26" s="489">
        <f t="shared" si="9"/>
        <v>0</v>
      </c>
      <c r="AG26" s="481">
        <f t="shared" si="22"/>
        <v>0</v>
      </c>
      <c r="AI26" s="482">
        <f>R26-'EDl log'!B25</f>
        <v>-40512</v>
      </c>
    </row>
    <row r="27" spans="1:35">
      <c r="A27" s="473">
        <f>'General information '!F30</f>
        <v>0</v>
      </c>
      <c r="B27" s="467">
        <f t="shared" si="6"/>
        <v>0</v>
      </c>
      <c r="C27" s="474">
        <v>44007</v>
      </c>
      <c r="D27" s="461">
        <f t="shared" si="25"/>
        <v>31807178</v>
      </c>
      <c r="E27" s="321">
        <f t="shared" si="10"/>
        <v>0</v>
      </c>
      <c r="F27" s="461">
        <f t="shared" si="25"/>
        <v>3721847</v>
      </c>
      <c r="G27" s="322">
        <f>F27-F26</f>
        <v>0</v>
      </c>
      <c r="H27" s="461">
        <f t="shared" si="25"/>
        <v>17501702</v>
      </c>
      <c r="I27" s="322">
        <f t="shared" si="11"/>
        <v>0</v>
      </c>
      <c r="J27" s="461">
        <f t="shared" si="25"/>
        <v>28493794</v>
      </c>
      <c r="K27" s="322">
        <f t="shared" si="12"/>
        <v>0</v>
      </c>
      <c r="L27" s="461">
        <f t="shared" si="25"/>
        <v>23162768</v>
      </c>
      <c r="M27" s="322">
        <f t="shared" si="13"/>
        <v>0</v>
      </c>
      <c r="N27" s="320">
        <f t="shared" si="14"/>
        <v>0</v>
      </c>
      <c r="O27" s="483">
        <f t="shared" si="21"/>
        <v>0</v>
      </c>
      <c r="P27" s="461">
        <f t="shared" si="26"/>
        <v>15611</v>
      </c>
      <c r="Q27" s="465">
        <f t="shared" si="23"/>
        <v>0</v>
      </c>
      <c r="R27" s="465">
        <f t="shared" si="18"/>
        <v>0</v>
      </c>
      <c r="S27" s="461">
        <f t="shared" si="7"/>
        <v>8749</v>
      </c>
      <c r="T27" s="485">
        <f t="shared" si="3"/>
        <v>0</v>
      </c>
      <c r="U27" s="461">
        <f t="shared" si="7"/>
        <v>108602</v>
      </c>
      <c r="V27" s="465">
        <f t="shared" si="15"/>
        <v>0</v>
      </c>
      <c r="W27" s="461">
        <f t="shared" si="7"/>
        <v>31853</v>
      </c>
      <c r="X27" s="465">
        <f t="shared" si="20"/>
        <v>0</v>
      </c>
      <c r="Y27" s="461">
        <f t="shared" si="7"/>
        <v>625865</v>
      </c>
      <c r="Z27" s="465">
        <f t="shared" si="19"/>
        <v>0</v>
      </c>
      <c r="AA27" s="461">
        <f t="shared" si="7"/>
        <v>35164</v>
      </c>
      <c r="AB27" s="465">
        <f t="shared" si="16"/>
        <v>0</v>
      </c>
      <c r="AC27" s="461">
        <f t="shared" si="7"/>
        <v>800461</v>
      </c>
      <c r="AD27" s="465">
        <f t="shared" si="24"/>
        <v>0</v>
      </c>
      <c r="AE27" s="488">
        <f t="shared" si="8"/>
        <v>0</v>
      </c>
      <c r="AF27" s="489">
        <f t="shared" si="9"/>
        <v>0</v>
      </c>
      <c r="AG27" s="481">
        <f t="shared" si="22"/>
        <v>0</v>
      </c>
      <c r="AI27" s="482">
        <f>R27-'EDl log'!B26</f>
        <v>-40512</v>
      </c>
    </row>
    <row r="28" spans="1:35">
      <c r="A28" s="473">
        <f>'General information '!F31</f>
        <v>0</v>
      </c>
      <c r="B28" s="467">
        <f t="shared" si="6"/>
        <v>0</v>
      </c>
      <c r="C28" s="474">
        <v>44008</v>
      </c>
      <c r="D28" s="461">
        <f t="shared" si="25"/>
        <v>31807178</v>
      </c>
      <c r="E28" s="321">
        <f t="shared" si="10"/>
        <v>0</v>
      </c>
      <c r="F28" s="461">
        <f t="shared" si="25"/>
        <v>3721847</v>
      </c>
      <c r="G28" s="322">
        <f t="shared" si="0"/>
        <v>0</v>
      </c>
      <c r="H28" s="461">
        <f t="shared" si="25"/>
        <v>17501702</v>
      </c>
      <c r="I28" s="322">
        <f t="shared" si="11"/>
        <v>0</v>
      </c>
      <c r="J28" s="461">
        <f t="shared" si="25"/>
        <v>28493794</v>
      </c>
      <c r="K28" s="322">
        <f t="shared" si="12"/>
        <v>0</v>
      </c>
      <c r="L28" s="461">
        <f t="shared" si="25"/>
        <v>23162768</v>
      </c>
      <c r="M28" s="322">
        <f t="shared" si="13"/>
        <v>0</v>
      </c>
      <c r="N28" s="320">
        <f t="shared" si="14"/>
        <v>0</v>
      </c>
      <c r="O28" s="483">
        <f t="shared" si="21"/>
        <v>0</v>
      </c>
      <c r="P28" s="461">
        <f t="shared" si="26"/>
        <v>15611</v>
      </c>
      <c r="Q28" s="465">
        <f t="shared" si="23"/>
        <v>0</v>
      </c>
      <c r="R28" s="465">
        <f>N28-Q28</f>
        <v>0</v>
      </c>
      <c r="S28" s="461">
        <f t="shared" si="7"/>
        <v>8749</v>
      </c>
      <c r="T28" s="485">
        <f t="shared" si="3"/>
        <v>0</v>
      </c>
      <c r="U28" s="461">
        <f t="shared" si="7"/>
        <v>108602</v>
      </c>
      <c r="V28" s="465">
        <f t="shared" si="15"/>
        <v>0</v>
      </c>
      <c r="W28" s="461">
        <f t="shared" si="7"/>
        <v>31853</v>
      </c>
      <c r="X28" s="465">
        <f t="shared" si="20"/>
        <v>0</v>
      </c>
      <c r="Y28" s="461">
        <f t="shared" si="7"/>
        <v>625865</v>
      </c>
      <c r="Z28" s="465">
        <f t="shared" si="19"/>
        <v>0</v>
      </c>
      <c r="AA28" s="461">
        <f t="shared" si="7"/>
        <v>35164</v>
      </c>
      <c r="AB28" s="465">
        <f t="shared" si="16"/>
        <v>0</v>
      </c>
      <c r="AC28" s="461">
        <f t="shared" si="7"/>
        <v>800461</v>
      </c>
      <c r="AD28" s="465">
        <f t="shared" si="24"/>
        <v>0</v>
      </c>
      <c r="AE28" s="488">
        <f t="shared" si="8"/>
        <v>0</v>
      </c>
      <c r="AF28" s="489">
        <f t="shared" si="9"/>
        <v>0</v>
      </c>
      <c r="AG28" s="481">
        <f t="shared" si="22"/>
        <v>0</v>
      </c>
      <c r="AI28" s="482">
        <f>R28-'EDl log'!B27</f>
        <v>-40512</v>
      </c>
    </row>
    <row r="29" spans="1:35">
      <c r="A29" s="473">
        <f>'General information '!F32</f>
        <v>0</v>
      </c>
      <c r="B29" s="467">
        <f>SUM(230*A29)</f>
        <v>0</v>
      </c>
      <c r="C29" s="474">
        <v>44009</v>
      </c>
      <c r="D29" s="461">
        <f t="shared" si="25"/>
        <v>31807178</v>
      </c>
      <c r="E29" s="321">
        <f t="shared" si="10"/>
        <v>0</v>
      </c>
      <c r="F29" s="461">
        <f t="shared" si="25"/>
        <v>3721847</v>
      </c>
      <c r="G29" s="322">
        <f t="shared" si="0"/>
        <v>0</v>
      </c>
      <c r="H29" s="461">
        <f t="shared" si="25"/>
        <v>17501702</v>
      </c>
      <c r="I29" s="322">
        <f t="shared" si="11"/>
        <v>0</v>
      </c>
      <c r="J29" s="461">
        <f t="shared" si="25"/>
        <v>28493794</v>
      </c>
      <c r="K29" s="322">
        <f t="shared" si="12"/>
        <v>0</v>
      </c>
      <c r="L29" s="461">
        <f t="shared" si="25"/>
        <v>23162768</v>
      </c>
      <c r="M29" s="322">
        <f t="shared" si="13"/>
        <v>0</v>
      </c>
      <c r="N29" s="320">
        <f t="shared" si="14"/>
        <v>0</v>
      </c>
      <c r="O29" s="483">
        <f t="shared" si="21"/>
        <v>0</v>
      </c>
      <c r="P29" s="461">
        <f t="shared" si="26"/>
        <v>15611</v>
      </c>
      <c r="Q29" s="465">
        <f t="shared" si="23"/>
        <v>0</v>
      </c>
      <c r="R29" s="465">
        <f t="shared" si="18"/>
        <v>0</v>
      </c>
      <c r="S29" s="461">
        <f t="shared" si="7"/>
        <v>8749</v>
      </c>
      <c r="T29" s="485">
        <f t="shared" si="3"/>
        <v>0</v>
      </c>
      <c r="U29" s="461">
        <f t="shared" si="7"/>
        <v>108602</v>
      </c>
      <c r="V29" s="465">
        <f t="shared" si="15"/>
        <v>0</v>
      </c>
      <c r="W29" s="461">
        <f t="shared" si="7"/>
        <v>31853</v>
      </c>
      <c r="X29" s="465">
        <f t="shared" si="20"/>
        <v>0</v>
      </c>
      <c r="Y29" s="461">
        <f t="shared" si="7"/>
        <v>625865</v>
      </c>
      <c r="Z29" s="465">
        <f t="shared" si="19"/>
        <v>0</v>
      </c>
      <c r="AA29" s="461">
        <f t="shared" si="7"/>
        <v>35164</v>
      </c>
      <c r="AB29" s="465">
        <f t="shared" si="16"/>
        <v>0</v>
      </c>
      <c r="AC29" s="461">
        <f t="shared" si="7"/>
        <v>800461</v>
      </c>
      <c r="AD29" s="465">
        <f t="shared" si="24"/>
        <v>0</v>
      </c>
      <c r="AE29" s="488">
        <f t="shared" si="8"/>
        <v>0</v>
      </c>
      <c r="AF29" s="489">
        <f t="shared" si="9"/>
        <v>0</v>
      </c>
      <c r="AG29" s="481">
        <f t="shared" si="22"/>
        <v>0</v>
      </c>
      <c r="AI29" s="482">
        <f>R29-'EDl log'!B28</f>
        <v>-40512</v>
      </c>
    </row>
    <row r="30" spans="1:35">
      <c r="A30" s="473">
        <f>'General information '!F33</f>
        <v>0</v>
      </c>
      <c r="B30" s="467">
        <f t="shared" si="6"/>
        <v>0</v>
      </c>
      <c r="C30" s="474">
        <v>44010</v>
      </c>
      <c r="D30" s="461">
        <f t="shared" si="25"/>
        <v>31807178</v>
      </c>
      <c r="E30" s="321">
        <f t="shared" si="10"/>
        <v>0</v>
      </c>
      <c r="F30" s="461">
        <f t="shared" si="25"/>
        <v>3721847</v>
      </c>
      <c r="G30" s="322">
        <f t="shared" si="0"/>
        <v>0</v>
      </c>
      <c r="H30" s="461">
        <f t="shared" si="25"/>
        <v>17501702</v>
      </c>
      <c r="I30" s="322">
        <f t="shared" si="11"/>
        <v>0</v>
      </c>
      <c r="J30" s="461">
        <f t="shared" si="25"/>
        <v>28493794</v>
      </c>
      <c r="K30" s="322">
        <f t="shared" si="12"/>
        <v>0</v>
      </c>
      <c r="L30" s="461">
        <f t="shared" si="25"/>
        <v>23162768</v>
      </c>
      <c r="M30" s="322">
        <f t="shared" si="13"/>
        <v>0</v>
      </c>
      <c r="N30" s="320">
        <f t="shared" si="14"/>
        <v>0</v>
      </c>
      <c r="O30" s="483">
        <f t="shared" si="21"/>
        <v>0</v>
      </c>
      <c r="P30" s="461">
        <f t="shared" si="26"/>
        <v>15611</v>
      </c>
      <c r="Q30" s="465">
        <f t="shared" si="23"/>
        <v>0</v>
      </c>
      <c r="R30" s="465">
        <f t="shared" si="18"/>
        <v>0</v>
      </c>
      <c r="S30" s="461">
        <f t="shared" si="7"/>
        <v>8749</v>
      </c>
      <c r="T30" s="485">
        <f t="shared" si="3"/>
        <v>0</v>
      </c>
      <c r="U30" s="461">
        <f t="shared" si="7"/>
        <v>108602</v>
      </c>
      <c r="V30" s="465">
        <f t="shared" si="15"/>
        <v>0</v>
      </c>
      <c r="W30" s="461">
        <f t="shared" si="7"/>
        <v>31853</v>
      </c>
      <c r="X30" s="486">
        <f t="shared" si="20"/>
        <v>0</v>
      </c>
      <c r="Y30" s="461">
        <f t="shared" si="7"/>
        <v>625865</v>
      </c>
      <c r="Z30" s="465">
        <f t="shared" si="19"/>
        <v>0</v>
      </c>
      <c r="AA30" s="461">
        <f t="shared" si="7"/>
        <v>35164</v>
      </c>
      <c r="AB30" s="465">
        <f t="shared" si="16"/>
        <v>0</v>
      </c>
      <c r="AC30" s="461">
        <f t="shared" si="7"/>
        <v>800461</v>
      </c>
      <c r="AD30" s="465">
        <f t="shared" si="24"/>
        <v>0</v>
      </c>
      <c r="AE30" s="488">
        <f t="shared" si="8"/>
        <v>0</v>
      </c>
      <c r="AF30" s="489">
        <f t="shared" si="9"/>
        <v>0</v>
      </c>
      <c r="AG30" s="481">
        <f t="shared" si="22"/>
        <v>0</v>
      </c>
      <c r="AI30" s="482">
        <f>R30-'EDl log'!B29</f>
        <v>-40512</v>
      </c>
    </row>
    <row r="31" spans="1:35">
      <c r="A31" s="473">
        <f>'General information '!F34</f>
        <v>0</v>
      </c>
      <c r="B31" s="467">
        <f t="shared" si="6"/>
        <v>0</v>
      </c>
      <c r="C31" s="474">
        <v>44011</v>
      </c>
      <c r="D31" s="461">
        <f t="shared" si="25"/>
        <v>31807178</v>
      </c>
      <c r="E31" s="321">
        <f t="shared" si="10"/>
        <v>0</v>
      </c>
      <c r="F31" s="461">
        <f t="shared" si="25"/>
        <v>3721847</v>
      </c>
      <c r="G31" s="322">
        <f t="shared" si="0"/>
        <v>0</v>
      </c>
      <c r="H31" s="461">
        <f t="shared" si="25"/>
        <v>17501702</v>
      </c>
      <c r="I31" s="322">
        <f t="shared" si="11"/>
        <v>0</v>
      </c>
      <c r="J31" s="461">
        <f t="shared" si="25"/>
        <v>28493794</v>
      </c>
      <c r="K31" s="322">
        <f t="shared" si="12"/>
        <v>0</v>
      </c>
      <c r="L31" s="461">
        <f t="shared" si="25"/>
        <v>23162768</v>
      </c>
      <c r="M31" s="322">
        <f t="shared" si="13"/>
        <v>0</v>
      </c>
      <c r="N31" s="320">
        <f t="shared" si="14"/>
        <v>0</v>
      </c>
      <c r="O31" s="483">
        <f t="shared" si="21"/>
        <v>0</v>
      </c>
      <c r="P31" s="461">
        <f t="shared" si="26"/>
        <v>15611</v>
      </c>
      <c r="Q31" s="465">
        <f t="shared" si="23"/>
        <v>0</v>
      </c>
      <c r="R31" s="465">
        <f t="shared" si="18"/>
        <v>0</v>
      </c>
      <c r="S31" s="461">
        <f t="shared" si="7"/>
        <v>8749</v>
      </c>
      <c r="T31" s="485">
        <f t="shared" si="3"/>
        <v>0</v>
      </c>
      <c r="U31" s="461">
        <f t="shared" si="7"/>
        <v>108602</v>
      </c>
      <c r="V31" s="465">
        <f t="shared" si="15"/>
        <v>0</v>
      </c>
      <c r="W31" s="461">
        <f t="shared" si="7"/>
        <v>31853</v>
      </c>
      <c r="X31" s="486">
        <f t="shared" si="20"/>
        <v>0</v>
      </c>
      <c r="Y31" s="461">
        <f t="shared" si="7"/>
        <v>625865</v>
      </c>
      <c r="Z31" s="487">
        <f>Y31-Y30</f>
        <v>0</v>
      </c>
      <c r="AA31" s="461">
        <f t="shared" si="7"/>
        <v>35164</v>
      </c>
      <c r="AB31" s="465">
        <f t="shared" si="16"/>
        <v>0</v>
      </c>
      <c r="AC31" s="461">
        <f t="shared" si="7"/>
        <v>800461</v>
      </c>
      <c r="AD31" s="465">
        <f t="shared" si="24"/>
        <v>0</v>
      </c>
      <c r="AE31" s="488">
        <f t="shared" si="8"/>
        <v>0</v>
      </c>
      <c r="AF31" s="489">
        <f t="shared" si="9"/>
        <v>0</v>
      </c>
      <c r="AG31" s="481">
        <f t="shared" si="22"/>
        <v>0</v>
      </c>
      <c r="AI31" s="482">
        <f>R31-'EDl log'!B30</f>
        <v>-40512</v>
      </c>
    </row>
    <row r="32" spans="1:35">
      <c r="A32" s="473">
        <f>'General information '!F35</f>
        <v>0</v>
      </c>
      <c r="B32" s="467">
        <f>SUM(230*A32)</f>
        <v>0</v>
      </c>
      <c r="C32" s="474">
        <v>44012</v>
      </c>
      <c r="D32" s="461">
        <f t="shared" si="25"/>
        <v>31807178</v>
      </c>
      <c r="E32" s="321">
        <f t="shared" si="10"/>
        <v>0</v>
      </c>
      <c r="F32" s="461">
        <f t="shared" si="25"/>
        <v>3721847</v>
      </c>
      <c r="G32" s="322">
        <f>F32-F31</f>
        <v>0</v>
      </c>
      <c r="H32" s="461">
        <f t="shared" si="25"/>
        <v>17501702</v>
      </c>
      <c r="I32" s="322">
        <f>H32-H31</f>
        <v>0</v>
      </c>
      <c r="J32" s="461">
        <f t="shared" si="25"/>
        <v>28493794</v>
      </c>
      <c r="K32" s="322">
        <f>J32-J31</f>
        <v>0</v>
      </c>
      <c r="L32" s="461">
        <f t="shared" si="25"/>
        <v>23162768</v>
      </c>
      <c r="M32" s="322">
        <f>L32-L31</f>
        <v>0</v>
      </c>
      <c r="N32" s="320">
        <f>M32+K32+I32+G32+E32</f>
        <v>0</v>
      </c>
      <c r="O32" s="483">
        <f t="shared" si="21"/>
        <v>0</v>
      </c>
      <c r="P32" s="461">
        <f t="shared" si="26"/>
        <v>15611</v>
      </c>
      <c r="Q32" s="465">
        <f>(P32-P31)*1000</f>
        <v>0</v>
      </c>
      <c r="R32" s="465">
        <f>N32-Q32</f>
        <v>0</v>
      </c>
      <c r="S32" s="461">
        <f t="shared" si="7"/>
        <v>8749</v>
      </c>
      <c r="T32" s="485">
        <f t="shared" si="3"/>
        <v>0</v>
      </c>
      <c r="U32" s="461">
        <f t="shared" si="7"/>
        <v>108602</v>
      </c>
      <c r="V32" s="465">
        <f t="shared" si="15"/>
        <v>0</v>
      </c>
      <c r="W32" s="461">
        <f t="shared" si="7"/>
        <v>31853</v>
      </c>
      <c r="X32" s="465">
        <f t="shared" si="20"/>
        <v>0</v>
      </c>
      <c r="Y32" s="461">
        <f t="shared" si="7"/>
        <v>625865</v>
      </c>
      <c r="Z32" s="487">
        <f>Y32-Y31</f>
        <v>0</v>
      </c>
      <c r="AA32" s="461">
        <f t="shared" si="7"/>
        <v>35164</v>
      </c>
      <c r="AB32" s="465">
        <f t="shared" si="16"/>
        <v>0</v>
      </c>
      <c r="AC32" s="461">
        <f t="shared" si="7"/>
        <v>800461</v>
      </c>
      <c r="AD32" s="465">
        <f t="shared" si="24"/>
        <v>0</v>
      </c>
      <c r="AE32" s="488">
        <f t="shared" si="8"/>
        <v>0</v>
      </c>
      <c r="AF32" s="489">
        <f>V32+Z32+AD32</f>
        <v>0</v>
      </c>
      <c r="AG32" s="481">
        <f t="shared" si="22"/>
        <v>0</v>
      </c>
      <c r="AI32" s="482">
        <f>R32-'EDl log'!B31</f>
        <v>-40512</v>
      </c>
    </row>
    <row r="33" spans="16:16">
      <c r="P33" s="494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2"/>
  <sheetViews>
    <sheetView topLeftCell="AF1" zoomScale="90" zoomScaleNormal="90" workbookViewId="0">
      <pane ySplit="1" topLeftCell="A2" activePane="bottomLeft" state="frozen"/>
      <selection activeCell="K1" sqref="K1"/>
      <selection pane="bottomLeft" activeCell="AJ25" sqref="AJ25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1" customWidth="1"/>
    <col min="38" max="38" width="11.140625" style="331" bestFit="1" customWidth="1"/>
    <col min="39" max="39" width="11.42578125" style="331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3"/>
    <col min="51" max="16384" width="9.140625" style="42"/>
  </cols>
  <sheetData>
    <row r="1" spans="1:50" ht="30.75" thickBot="1">
      <c r="F1" s="609" t="s">
        <v>2</v>
      </c>
      <c r="G1" s="610"/>
      <c r="H1" s="610"/>
      <c r="I1" s="611"/>
      <c r="J1" s="292">
        <f>J35</f>
        <v>70.44047619047619</v>
      </c>
      <c r="K1" s="612" t="s">
        <v>4</v>
      </c>
      <c r="L1" s="613"/>
      <c r="M1" s="613"/>
      <c r="N1" s="613"/>
      <c r="O1" s="614"/>
      <c r="P1" s="603" t="s">
        <v>6</v>
      </c>
      <c r="Q1" s="604"/>
      <c r="R1" s="604"/>
      <c r="S1" s="604"/>
      <c r="T1" s="605"/>
      <c r="U1" s="410"/>
      <c r="V1" s="27" t="s">
        <v>104</v>
      </c>
      <c r="W1" s="411"/>
      <c r="X1" s="603" t="s">
        <v>8</v>
      </c>
      <c r="Y1" s="604"/>
      <c r="Z1" s="604"/>
      <c r="AA1" s="604"/>
      <c r="AB1" s="604"/>
      <c r="AC1" s="606" t="s">
        <v>10</v>
      </c>
      <c r="AD1" s="607"/>
      <c r="AE1" s="607"/>
      <c r="AF1" s="608"/>
      <c r="AG1" s="211"/>
      <c r="AH1" s="86" t="s">
        <v>105</v>
      </c>
      <c r="AI1" s="324" t="s">
        <v>128</v>
      </c>
      <c r="AJ1" s="324"/>
      <c r="AK1" s="324"/>
      <c r="AL1" s="324" t="s">
        <v>133</v>
      </c>
      <c r="AM1" s="324" t="s">
        <v>134</v>
      </c>
      <c r="AN1" s="326" t="s">
        <v>12</v>
      </c>
      <c r="AO1" s="326" t="s">
        <v>13</v>
      </c>
      <c r="AP1" s="326" t="s">
        <v>14</v>
      </c>
      <c r="AQ1" s="326" t="s">
        <v>15</v>
      </c>
      <c r="AR1" s="326" t="s">
        <v>16</v>
      </c>
      <c r="AS1" s="326" t="s">
        <v>17</v>
      </c>
      <c r="AT1" s="326"/>
      <c r="AU1" s="327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601"/>
      <c r="R2" s="602"/>
      <c r="S2" s="52" t="s">
        <v>7</v>
      </c>
      <c r="T2" s="53"/>
      <c r="U2" s="414" t="s">
        <v>384</v>
      </c>
      <c r="V2" s="54" t="s">
        <v>103</v>
      </c>
      <c r="W2" s="412"/>
      <c r="X2" s="55" t="s">
        <v>8</v>
      </c>
      <c r="Y2" s="46" t="s">
        <v>9</v>
      </c>
      <c r="Z2" s="403" t="s">
        <v>380</v>
      </c>
      <c r="AA2" s="404" t="s">
        <v>381</v>
      </c>
      <c r="AB2" s="291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25" t="s">
        <v>103</v>
      </c>
      <c r="AJ2" s="406"/>
      <c r="AK2" s="406"/>
      <c r="AL2" s="406"/>
      <c r="AM2" s="406"/>
      <c r="AN2" s="405"/>
      <c r="AO2" s="405"/>
      <c r="AP2" s="405"/>
      <c r="AQ2" s="405"/>
      <c r="AR2" s="405"/>
      <c r="AS2" s="405"/>
      <c r="AT2" s="405"/>
      <c r="AU2" s="405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4"/>
      <c r="V3" s="59"/>
      <c r="W3" s="412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28"/>
      <c r="AJ3" s="329"/>
      <c r="AK3" s="329"/>
      <c r="AL3" s="329"/>
      <c r="AM3" s="329"/>
    </row>
    <row r="4" spans="1:50" s="349" customFormat="1">
      <c r="A4" s="63">
        <f>ELEC!C2</f>
        <v>43982</v>
      </c>
      <c r="B4" s="408">
        <f>[2]B5!B35</f>
        <v>179</v>
      </c>
      <c r="C4" s="408">
        <f>[2]B5!C35</f>
        <v>186</v>
      </c>
      <c r="D4" s="408">
        <f>[2]B5!D35</f>
        <v>3.1999999999999886</v>
      </c>
      <c r="E4" s="408">
        <f>[2]B5!E35</f>
        <v>26.815999999999907</v>
      </c>
      <c r="F4" s="408">
        <f>[2]B5!F35</f>
        <v>1578</v>
      </c>
      <c r="G4" s="408">
        <f>[2]B5!G35</f>
        <v>0</v>
      </c>
      <c r="H4" s="408">
        <f>[2]B5!H35</f>
        <v>352431</v>
      </c>
      <c r="I4" s="408">
        <f>[2]B5!I35</f>
        <v>0</v>
      </c>
      <c r="J4" s="408">
        <f>[2]B5!J35</f>
        <v>0</v>
      </c>
      <c r="K4" s="408">
        <f>[2]B5!K35</f>
        <v>1962</v>
      </c>
      <c r="L4" s="408">
        <f>[2]B5!L35</f>
        <v>3</v>
      </c>
      <c r="M4" s="408">
        <f>[2]B5!M35</f>
        <v>143825</v>
      </c>
      <c r="N4" s="408">
        <f>[2]B5!N35</f>
        <v>244</v>
      </c>
      <c r="O4" s="408">
        <f>[2]B5!O35</f>
        <v>228.24761904761908</v>
      </c>
      <c r="P4" s="408">
        <f>[2]B5!P35</f>
        <v>1794</v>
      </c>
      <c r="Q4" s="408">
        <f>[2]B5!Q35</f>
        <v>152313</v>
      </c>
      <c r="R4" s="408">
        <f>[2]B5!R35</f>
        <v>114</v>
      </c>
      <c r="S4" s="408">
        <f>[2]B5!S35</f>
        <v>1</v>
      </c>
      <c r="T4" s="408">
        <f>[2]B5!T35</f>
        <v>0</v>
      </c>
      <c r="U4" s="408">
        <f>[2]B5!U35</f>
        <v>4</v>
      </c>
      <c r="V4" s="408">
        <f>[2]B5!V35</f>
        <v>358</v>
      </c>
      <c r="W4" s="408">
        <f>[2]B5!W35</f>
        <v>0</v>
      </c>
      <c r="X4" s="408">
        <f>[2]B5!X35</f>
        <v>2418</v>
      </c>
      <c r="Y4" s="408">
        <f>[2]B5!Y35</f>
        <v>0</v>
      </c>
      <c r="Z4" s="408">
        <f>[2]B5!Z35</f>
        <v>135904</v>
      </c>
      <c r="AA4" s="408">
        <f>[2]B5!AA35</f>
        <v>0</v>
      </c>
      <c r="AB4" s="408">
        <f>[2]B5!AB35</f>
        <v>0</v>
      </c>
      <c r="AC4" s="408">
        <f>[2]B5!AC35</f>
        <v>1841</v>
      </c>
      <c r="AD4" s="408">
        <f>[2]B5!AD35</f>
        <v>0</v>
      </c>
      <c r="AE4" s="408">
        <f>[2]B5!AE35</f>
        <v>359849.4</v>
      </c>
      <c r="AF4" s="408">
        <f>[2]B5!AF35</f>
        <v>0</v>
      </c>
      <c r="AG4" s="408">
        <f>[2]B5!AG35</f>
        <v>0</v>
      </c>
      <c r="AH4" s="408">
        <f>[2]B5!AH35</f>
        <v>0</v>
      </c>
      <c r="AI4" s="408">
        <f>[2]B5!AI35</f>
        <v>358</v>
      </c>
      <c r="AJ4" s="408">
        <f>[2]B5!AJ35</f>
        <v>358</v>
      </c>
      <c r="AK4" s="408">
        <f>[2]B5!AK35</f>
        <v>0</v>
      </c>
      <c r="AL4" s="408">
        <f>[2]B5!AL35</f>
        <v>4</v>
      </c>
      <c r="AM4" s="408">
        <f>[2]B5!AM35</f>
        <v>0</v>
      </c>
      <c r="AN4" s="408">
        <f>[2]B5!AN35</f>
        <v>68</v>
      </c>
      <c r="AO4" s="408">
        <f>[2]B5!AO35</f>
        <v>2040.0000000000002</v>
      </c>
      <c r="AP4" s="408">
        <f>[2]B5!AP35</f>
        <v>78</v>
      </c>
      <c r="AQ4" s="408">
        <f>[2]B5!AQ35</f>
        <v>2340</v>
      </c>
      <c r="AR4" s="408">
        <f>[2]B5!AR35</f>
        <v>74</v>
      </c>
      <c r="AS4" s="408">
        <f>[2]B5!AS35</f>
        <v>2220</v>
      </c>
      <c r="AT4" s="408">
        <f>[2]B5!AT35</f>
        <v>6600</v>
      </c>
      <c r="AU4" s="408">
        <f>[2]B5!AU35</f>
        <v>90</v>
      </c>
      <c r="AV4" s="408">
        <f>[2]B5!AV35</f>
        <v>0</v>
      </c>
      <c r="AW4" s="408">
        <f>[2]B5!AW35</f>
        <v>0</v>
      </c>
      <c r="AX4" s="408">
        <f>[1]B5!AX34</f>
        <v>0.7</v>
      </c>
    </row>
    <row r="5" spans="1:50">
      <c r="A5" s="63">
        <f>ELEC!C3</f>
        <v>43983</v>
      </c>
      <c r="B5" s="64">
        <v>175</v>
      </c>
      <c r="C5" s="64">
        <v>182</v>
      </c>
      <c r="D5" s="45">
        <f t="shared" ref="D5:D34" si="0">C4-C5</f>
        <v>4</v>
      </c>
      <c r="E5" s="45">
        <f>D5*8.38</f>
        <v>33.520000000000003</v>
      </c>
      <c r="F5" s="64">
        <v>1581</v>
      </c>
      <c r="G5" s="52">
        <f t="shared" ref="G5:G34" si="1">F5-F4</f>
        <v>3</v>
      </c>
      <c r="H5" s="64">
        <v>352662</v>
      </c>
      <c r="I5" s="409">
        <f t="shared" ref="I5:I34" si="2">SUM(H5-H4)</f>
        <v>231</v>
      </c>
      <c r="J5" s="66">
        <v>1</v>
      </c>
      <c r="K5" s="64">
        <f>K4</f>
        <v>1962</v>
      </c>
      <c r="L5" s="52">
        <f t="shared" ref="L5:L34" si="3">K5-K4</f>
        <v>0</v>
      </c>
      <c r="M5" s="64">
        <f t="shared" ref="M5:M34" si="4">M4</f>
        <v>143825</v>
      </c>
      <c r="N5" s="409">
        <f t="shared" ref="N5:N34" si="5">M5-M4</f>
        <v>0</v>
      </c>
      <c r="O5" s="352">
        <f t="shared" ref="O5:O34" si="6">SUM(L5*$J$1)</f>
        <v>0</v>
      </c>
      <c r="P5" s="64">
        <v>1797</v>
      </c>
      <c r="Q5" s="64">
        <v>152534</v>
      </c>
      <c r="R5" s="408">
        <f t="shared" ref="R5:R10" si="7">Q5-Q4</f>
        <v>221</v>
      </c>
      <c r="S5" s="52">
        <f t="shared" ref="S5:S34" si="8">SUM(P5-P4)</f>
        <v>3</v>
      </c>
      <c r="T5" s="68">
        <f>SUM(S5*$T$2)</f>
        <v>0</v>
      </c>
      <c r="U5" s="415">
        <f>SUM(G5+L5+S5)</f>
        <v>6</v>
      </c>
      <c r="V5" s="62">
        <f>R5+N5+I5:I5</f>
        <v>452</v>
      </c>
      <c r="W5" s="413">
        <f>SUM(V5/U5)</f>
        <v>75.333333333333329</v>
      </c>
      <c r="X5" s="64">
        <f t="shared" ref="X5:X34" si="9">X4</f>
        <v>2418</v>
      </c>
      <c r="Y5" s="52">
        <f>X5-X4</f>
        <v>0</v>
      </c>
      <c r="Z5" s="64">
        <f t="shared" ref="Z5:Z34" si="10">Z4</f>
        <v>135904</v>
      </c>
      <c r="AA5" s="65">
        <f t="shared" ref="AA5:AA34" si="11">Z5-Z4</f>
        <v>0</v>
      </c>
      <c r="AB5" s="294">
        <f>SUM(Y5*$AB$2)</f>
        <v>0</v>
      </c>
      <c r="AC5" s="64">
        <f t="shared" ref="AC5:AC34" si="12">AC4</f>
        <v>1841</v>
      </c>
      <c r="AD5" s="45">
        <f t="shared" ref="AD5:AD34" si="13">AC5-AC4</f>
        <v>0</v>
      </c>
      <c r="AE5" s="64">
        <f t="shared" ref="AE5:AE34" si="14">AE4</f>
        <v>359849.4</v>
      </c>
      <c r="AF5" s="316">
        <f>AE5-AE4</f>
        <v>0</v>
      </c>
      <c r="AG5" s="213">
        <f>IF(AD5&gt;0,AF5/AD5,0)</f>
        <v>0</v>
      </c>
      <c r="AH5" s="62">
        <f>AF5+AA5</f>
        <v>0</v>
      </c>
      <c r="AI5" s="328">
        <f>SUM(AH5+V5)</f>
        <v>452</v>
      </c>
      <c r="AJ5" s="328">
        <f>-tanks!AW6</f>
        <v>452</v>
      </c>
      <c r="AK5" s="328">
        <f>SUM(AJ5-AI5)</f>
        <v>0</v>
      </c>
      <c r="AL5" s="328">
        <f t="shared" ref="AL5:AL18" si="15">S5+L5+G5</f>
        <v>6</v>
      </c>
      <c r="AM5" s="328">
        <f>Y5+AD5</f>
        <v>0</v>
      </c>
      <c r="AN5" s="64">
        <v>67</v>
      </c>
      <c r="AO5" s="330">
        <f>(AN5/100)*3000</f>
        <v>2010.0000000000002</v>
      </c>
      <c r="AP5" s="64">
        <v>78</v>
      </c>
      <c r="AQ5" s="330">
        <f>(AP5/100)*3000</f>
        <v>2340</v>
      </c>
      <c r="AR5" s="64">
        <v>69</v>
      </c>
      <c r="AS5" s="330">
        <f>(AR5/100)*3000</f>
        <v>2070</v>
      </c>
      <c r="AT5" s="330">
        <f>SUM(AO5+AQ5+AS5)</f>
        <v>6420</v>
      </c>
      <c r="AU5" s="330">
        <f>AT4-AT5+AV5</f>
        <v>180</v>
      </c>
      <c r="AV5" s="276"/>
      <c r="AW5" s="276"/>
      <c r="AX5" s="323">
        <f>IF(AV5&gt;0,AW5,AX4)</f>
        <v>0.7</v>
      </c>
    </row>
    <row r="6" spans="1:50">
      <c r="A6" s="63">
        <f>ELEC!C4</f>
        <v>43984</v>
      </c>
      <c r="B6" s="64">
        <v>173</v>
      </c>
      <c r="C6" s="64">
        <v>179</v>
      </c>
      <c r="D6" s="45">
        <f t="shared" si="0"/>
        <v>3</v>
      </c>
      <c r="E6" s="45">
        <f t="shared" ref="E6:E31" si="16">D6*8.38</f>
        <v>25.14</v>
      </c>
      <c r="F6" s="64">
        <v>1582</v>
      </c>
      <c r="G6" s="52">
        <f t="shared" si="1"/>
        <v>1</v>
      </c>
      <c r="H6" s="64">
        <v>352783</v>
      </c>
      <c r="I6" s="409">
        <f t="shared" si="2"/>
        <v>121</v>
      </c>
      <c r="J6" s="66">
        <f t="shared" ref="J6:J34" si="17">IF(G6&gt;0,I6/G6,0)</f>
        <v>121</v>
      </c>
      <c r="K6" s="64">
        <v>1965</v>
      </c>
      <c r="L6" s="52">
        <f t="shared" si="3"/>
        <v>3</v>
      </c>
      <c r="M6" s="64">
        <v>144000</v>
      </c>
      <c r="N6" s="409">
        <f t="shared" si="5"/>
        <v>175</v>
      </c>
      <c r="O6" s="67">
        <f t="shared" si="6"/>
        <v>211.32142857142856</v>
      </c>
      <c r="P6" s="64">
        <f t="shared" ref="P6:P34" si="18">P5</f>
        <v>1797</v>
      </c>
      <c r="Q6" s="64">
        <v>152534</v>
      </c>
      <c r="R6" s="408">
        <f t="shared" si="7"/>
        <v>0</v>
      </c>
      <c r="S6" s="52">
        <f t="shared" si="8"/>
        <v>0</v>
      </c>
      <c r="T6" s="68">
        <f>SUM(S6*$T$2)</f>
        <v>0</v>
      </c>
      <c r="U6" s="415">
        <f t="shared" ref="U6:U34" si="19">SUM(G6+L6+S6)</f>
        <v>4</v>
      </c>
      <c r="V6" s="62">
        <f t="shared" ref="V6:V34" si="20">R6+N6+I6:I6</f>
        <v>296</v>
      </c>
      <c r="W6" s="413">
        <f t="shared" ref="W6:W16" si="21">SUM(V6/U6)</f>
        <v>74</v>
      </c>
      <c r="X6" s="64">
        <f t="shared" si="9"/>
        <v>2418</v>
      </c>
      <c r="Y6" s="52">
        <f t="shared" ref="Y6:Y34" si="22">X6-X5</f>
        <v>0</v>
      </c>
      <c r="Z6" s="64">
        <f t="shared" si="10"/>
        <v>135904</v>
      </c>
      <c r="AA6" s="65">
        <f t="shared" si="11"/>
        <v>0</v>
      </c>
      <c r="AB6" s="294">
        <f>SUM(Y6*$AB$2)</f>
        <v>0</v>
      </c>
      <c r="AC6" s="64">
        <f t="shared" si="12"/>
        <v>1841</v>
      </c>
      <c r="AD6" s="45">
        <f t="shared" si="13"/>
        <v>0</v>
      </c>
      <c r="AE6" s="64">
        <f t="shared" si="14"/>
        <v>359849.4</v>
      </c>
      <c r="AF6" s="316">
        <f t="shared" ref="AF6:AF34" si="23">AE6-AE5</f>
        <v>0</v>
      </c>
      <c r="AG6" s="213">
        <f>IF(AD6&gt;0,AF6/AD6,0)</f>
        <v>0</v>
      </c>
      <c r="AH6" s="62">
        <f>AF6+AA6</f>
        <v>0</v>
      </c>
      <c r="AI6" s="328">
        <f t="shared" ref="AI6:AI34" si="24">SUM(AH6+V6)</f>
        <v>296</v>
      </c>
      <c r="AJ6" s="328">
        <f>-tanks!AW7</f>
        <v>296</v>
      </c>
      <c r="AK6" s="328">
        <f t="shared" ref="AK6:AK34" si="25">SUM(AJ6-AI6)</f>
        <v>0</v>
      </c>
      <c r="AL6" s="328">
        <f t="shared" si="15"/>
        <v>4</v>
      </c>
      <c r="AM6" s="328">
        <f t="shared" ref="AM6:AM33" si="26">Y6+AD6</f>
        <v>0</v>
      </c>
      <c r="AN6" s="64">
        <v>65</v>
      </c>
      <c r="AO6" s="330">
        <f t="shared" ref="AO6:AO26" si="27">(AN6/100)*3000</f>
        <v>1950</v>
      </c>
      <c r="AP6" s="64">
        <v>75</v>
      </c>
      <c r="AQ6" s="330">
        <f t="shared" ref="AQ6:AQ24" si="28">(AP6/100)*3000</f>
        <v>2250</v>
      </c>
      <c r="AR6" s="64">
        <v>71</v>
      </c>
      <c r="AS6" s="330">
        <f>(AR6/100)*3000</f>
        <v>2130</v>
      </c>
      <c r="AT6" s="330">
        <f>SUM(AO6+AQ6+AS6)</f>
        <v>6330</v>
      </c>
      <c r="AU6" s="330">
        <f>AT5-AT6+AV6</f>
        <v>90</v>
      </c>
      <c r="AV6" s="276"/>
      <c r="AW6" s="276"/>
      <c r="AX6" s="323">
        <f t="shared" ref="AX6:AX34" si="29">IF(AV6&gt;0,AW6,AX5)</f>
        <v>0.7</v>
      </c>
    </row>
    <row r="7" spans="1:50">
      <c r="A7" s="63">
        <f>ELEC!C5</f>
        <v>43985</v>
      </c>
      <c r="B7" s="64">
        <v>168</v>
      </c>
      <c r="C7" s="64">
        <v>173</v>
      </c>
      <c r="D7" s="45">
        <f t="shared" si="0"/>
        <v>6</v>
      </c>
      <c r="E7" s="45">
        <f t="shared" si="16"/>
        <v>50.28</v>
      </c>
      <c r="F7" s="64">
        <v>1582</v>
      </c>
      <c r="G7" s="52">
        <f t="shared" si="1"/>
        <v>0</v>
      </c>
      <c r="H7" s="64">
        <v>352783</v>
      </c>
      <c r="I7" s="409">
        <f t="shared" si="2"/>
        <v>0</v>
      </c>
      <c r="J7" s="66">
        <f t="shared" si="17"/>
        <v>0</v>
      </c>
      <c r="K7" s="64">
        <v>1967</v>
      </c>
      <c r="L7" s="52">
        <f t="shared" si="3"/>
        <v>2</v>
      </c>
      <c r="M7" s="64">
        <v>144145</v>
      </c>
      <c r="N7" s="409">
        <f t="shared" si="5"/>
        <v>145</v>
      </c>
      <c r="O7" s="67">
        <v>1</v>
      </c>
      <c r="P7" s="64">
        <v>1799</v>
      </c>
      <c r="Q7" s="64">
        <v>152706</v>
      </c>
      <c r="R7" s="408">
        <f t="shared" si="7"/>
        <v>172</v>
      </c>
      <c r="S7" s="52">
        <f t="shared" si="8"/>
        <v>2</v>
      </c>
      <c r="T7" s="68">
        <f t="shared" ref="T7:T34" si="30">SUM(S7*$T$2)</f>
        <v>0</v>
      </c>
      <c r="U7" s="415">
        <f t="shared" si="19"/>
        <v>4</v>
      </c>
      <c r="V7" s="62">
        <f t="shared" si="20"/>
        <v>317</v>
      </c>
      <c r="W7" s="413">
        <f t="shared" si="21"/>
        <v>79.25</v>
      </c>
      <c r="X7" s="64">
        <v>2418</v>
      </c>
      <c r="Y7" s="52">
        <f t="shared" si="22"/>
        <v>0</v>
      </c>
      <c r="Z7" s="64">
        <v>135958</v>
      </c>
      <c r="AA7" s="65">
        <f t="shared" si="11"/>
        <v>54</v>
      </c>
      <c r="AB7" s="294">
        <f t="shared" ref="AB7:AB17" si="31">SUM(Y7*$AB$2)</f>
        <v>0</v>
      </c>
      <c r="AC7" s="64">
        <v>1841</v>
      </c>
      <c r="AD7" s="45">
        <f t="shared" si="13"/>
        <v>0</v>
      </c>
      <c r="AE7" s="64">
        <v>359849</v>
      </c>
      <c r="AF7" s="316">
        <f t="shared" si="23"/>
        <v>-0.40000000002328306</v>
      </c>
      <c r="AG7" s="213">
        <f t="shared" ref="AG7:AG34" si="32">IF(AD7&gt;0,AF7/AD7,0)</f>
        <v>0</v>
      </c>
      <c r="AH7" s="62">
        <f t="shared" ref="AH7:AH34" si="33">AF7+AA7</f>
        <v>53.599999999976717</v>
      </c>
      <c r="AI7" s="328">
        <f t="shared" si="24"/>
        <v>370.59999999997672</v>
      </c>
      <c r="AJ7" s="328">
        <f>-tanks!AW8</f>
        <v>370.59999999997672</v>
      </c>
      <c r="AK7" s="328">
        <f t="shared" si="25"/>
        <v>0</v>
      </c>
      <c r="AL7" s="328">
        <f t="shared" si="15"/>
        <v>4</v>
      </c>
      <c r="AM7" s="328">
        <f t="shared" si="26"/>
        <v>0</v>
      </c>
      <c r="AN7" s="64">
        <v>70</v>
      </c>
      <c r="AO7" s="330">
        <f t="shared" si="27"/>
        <v>2100</v>
      </c>
      <c r="AP7" s="64">
        <v>73</v>
      </c>
      <c r="AQ7" s="330">
        <f t="shared" si="28"/>
        <v>2190</v>
      </c>
      <c r="AR7" s="64">
        <v>64</v>
      </c>
      <c r="AS7" s="330">
        <f t="shared" ref="AS7:AS34" si="34">(AR7/100)*3000</f>
        <v>1920</v>
      </c>
      <c r="AT7" s="330">
        <f t="shared" ref="AT7:AT23" si="35">SUM(AO7+AQ7+AS7)</f>
        <v>6210</v>
      </c>
      <c r="AU7" s="330">
        <f t="shared" ref="AU7:AU34" si="36">AT6-AT7+AV7</f>
        <v>120</v>
      </c>
      <c r="AV7" s="276"/>
      <c r="AW7" s="276"/>
      <c r="AX7" s="323">
        <f t="shared" si="29"/>
        <v>0.7</v>
      </c>
    </row>
    <row r="8" spans="1:50">
      <c r="A8" s="63">
        <f>ELEC!C6</f>
        <v>43986</v>
      </c>
      <c r="B8" s="64">
        <v>203</v>
      </c>
      <c r="C8" s="64">
        <v>210</v>
      </c>
      <c r="D8" s="45">
        <f t="shared" si="0"/>
        <v>-37</v>
      </c>
      <c r="E8" s="45">
        <f t="shared" si="16"/>
        <v>-310.06</v>
      </c>
      <c r="F8" s="64">
        <v>1585</v>
      </c>
      <c r="G8" s="52">
        <f t="shared" si="1"/>
        <v>3</v>
      </c>
      <c r="H8" s="64">
        <v>352951</v>
      </c>
      <c r="I8" s="409">
        <f t="shared" si="2"/>
        <v>168</v>
      </c>
      <c r="J8" s="66">
        <f t="shared" si="17"/>
        <v>56</v>
      </c>
      <c r="K8" s="64">
        <f t="shared" ref="K8:K34" si="37">K7</f>
        <v>1967</v>
      </c>
      <c r="L8" s="52">
        <f t="shared" si="3"/>
        <v>0</v>
      </c>
      <c r="M8" s="64">
        <f t="shared" si="4"/>
        <v>144145</v>
      </c>
      <c r="N8" s="409">
        <f t="shared" si="5"/>
        <v>0</v>
      </c>
      <c r="O8" s="67">
        <v>1479</v>
      </c>
      <c r="P8" s="64">
        <v>1803</v>
      </c>
      <c r="Q8" s="64">
        <v>152938</v>
      </c>
      <c r="R8" s="408">
        <f t="shared" si="7"/>
        <v>232</v>
      </c>
      <c r="S8" s="52">
        <f t="shared" si="8"/>
        <v>4</v>
      </c>
      <c r="T8" s="68">
        <f t="shared" si="30"/>
        <v>0</v>
      </c>
      <c r="U8" s="415">
        <f t="shared" si="19"/>
        <v>7</v>
      </c>
      <c r="V8" s="62">
        <f t="shared" si="20"/>
        <v>400</v>
      </c>
      <c r="W8" s="413">
        <f t="shared" si="21"/>
        <v>57.142857142857146</v>
      </c>
      <c r="X8" s="64">
        <f t="shared" si="9"/>
        <v>2418</v>
      </c>
      <c r="Y8" s="52">
        <f t="shared" si="22"/>
        <v>0</v>
      </c>
      <c r="Z8" s="64">
        <f t="shared" si="10"/>
        <v>135958</v>
      </c>
      <c r="AA8" s="65">
        <f t="shared" si="11"/>
        <v>0</v>
      </c>
      <c r="AB8" s="294">
        <f t="shared" si="31"/>
        <v>0</v>
      </c>
      <c r="AC8" s="64">
        <v>1845</v>
      </c>
      <c r="AD8" s="45">
        <f t="shared" si="13"/>
        <v>4</v>
      </c>
      <c r="AE8" s="64">
        <v>360077</v>
      </c>
      <c r="AF8" s="316">
        <f t="shared" si="23"/>
        <v>228</v>
      </c>
      <c r="AG8" s="213">
        <f t="shared" si="32"/>
        <v>57</v>
      </c>
      <c r="AH8" s="62">
        <f t="shared" si="33"/>
        <v>228</v>
      </c>
      <c r="AI8" s="328">
        <f t="shared" si="24"/>
        <v>628</v>
      </c>
      <c r="AJ8" s="328">
        <f>-tanks!AW9</f>
        <v>628</v>
      </c>
      <c r="AK8" s="328">
        <f t="shared" si="25"/>
        <v>0</v>
      </c>
      <c r="AL8" s="328">
        <f t="shared" si="15"/>
        <v>7</v>
      </c>
      <c r="AM8" s="328">
        <f t="shared" si="26"/>
        <v>4</v>
      </c>
      <c r="AN8" s="64">
        <v>79</v>
      </c>
      <c r="AO8" s="330">
        <f t="shared" si="27"/>
        <v>2370</v>
      </c>
      <c r="AP8" s="64">
        <v>83</v>
      </c>
      <c r="AQ8" s="330">
        <f t="shared" si="28"/>
        <v>2490</v>
      </c>
      <c r="AR8" s="64">
        <v>70</v>
      </c>
      <c r="AS8" s="330">
        <f t="shared" si="34"/>
        <v>2100</v>
      </c>
      <c r="AT8" s="330">
        <f t="shared" si="35"/>
        <v>6960</v>
      </c>
      <c r="AU8" s="330">
        <f t="shared" si="36"/>
        <v>350</v>
      </c>
      <c r="AV8" s="276">
        <v>1100</v>
      </c>
      <c r="AW8" s="276">
        <v>0.7</v>
      </c>
      <c r="AX8" s="323">
        <f t="shared" si="29"/>
        <v>0.7</v>
      </c>
    </row>
    <row r="9" spans="1:50">
      <c r="A9" s="63">
        <f>ELEC!C7</f>
        <v>43987</v>
      </c>
      <c r="B9" s="64">
        <v>199</v>
      </c>
      <c r="C9" s="64">
        <v>205</v>
      </c>
      <c r="D9" s="45">
        <f t="shared" si="0"/>
        <v>5</v>
      </c>
      <c r="E9" s="45">
        <f t="shared" si="16"/>
        <v>41.900000000000006</v>
      </c>
      <c r="F9" s="64">
        <v>1587</v>
      </c>
      <c r="G9" s="52">
        <f t="shared" si="1"/>
        <v>2</v>
      </c>
      <c r="H9" s="64">
        <v>353130</v>
      </c>
      <c r="I9" s="409">
        <f t="shared" si="2"/>
        <v>179</v>
      </c>
      <c r="J9" s="66">
        <f t="shared" si="17"/>
        <v>89.5</v>
      </c>
      <c r="K9" s="64">
        <v>1968</v>
      </c>
      <c r="L9" s="52">
        <f t="shared" si="3"/>
        <v>1</v>
      </c>
      <c r="M9" s="64">
        <v>144264</v>
      </c>
      <c r="N9" s="409">
        <f t="shared" si="5"/>
        <v>119</v>
      </c>
      <c r="O9" s="67">
        <f t="shared" si="6"/>
        <v>70.44047619047619</v>
      </c>
      <c r="P9" s="64">
        <f t="shared" si="18"/>
        <v>1803</v>
      </c>
      <c r="Q9" s="64">
        <v>152974</v>
      </c>
      <c r="R9" s="408">
        <f t="shared" si="7"/>
        <v>36</v>
      </c>
      <c r="S9" s="52">
        <f t="shared" si="8"/>
        <v>0</v>
      </c>
      <c r="T9" s="68">
        <f t="shared" si="30"/>
        <v>0</v>
      </c>
      <c r="U9" s="415">
        <f t="shared" si="19"/>
        <v>3</v>
      </c>
      <c r="V9" s="62">
        <f t="shared" si="20"/>
        <v>334</v>
      </c>
      <c r="W9" s="413">
        <f t="shared" si="21"/>
        <v>111.33333333333333</v>
      </c>
      <c r="X9" s="64">
        <f t="shared" si="9"/>
        <v>2418</v>
      </c>
      <c r="Y9" s="52">
        <f t="shared" si="22"/>
        <v>0</v>
      </c>
      <c r="Z9" s="64">
        <f t="shared" si="10"/>
        <v>135958</v>
      </c>
      <c r="AA9" s="65">
        <f t="shared" si="11"/>
        <v>0</v>
      </c>
      <c r="AB9" s="294">
        <f t="shared" si="31"/>
        <v>0</v>
      </c>
      <c r="AC9" s="64">
        <f t="shared" si="12"/>
        <v>1845</v>
      </c>
      <c r="AD9" s="45">
        <f t="shared" si="13"/>
        <v>0</v>
      </c>
      <c r="AE9" s="64">
        <f t="shared" si="14"/>
        <v>360077</v>
      </c>
      <c r="AF9" s="316">
        <f t="shared" si="23"/>
        <v>0</v>
      </c>
      <c r="AG9" s="213">
        <f t="shared" si="32"/>
        <v>0</v>
      </c>
      <c r="AH9" s="62">
        <f t="shared" si="33"/>
        <v>0</v>
      </c>
      <c r="AI9" s="328">
        <f t="shared" si="24"/>
        <v>334</v>
      </c>
      <c r="AJ9" s="328">
        <f>-tanks!AW10</f>
        <v>334</v>
      </c>
      <c r="AK9" s="328">
        <f t="shared" si="25"/>
        <v>0</v>
      </c>
      <c r="AL9" s="328">
        <f t="shared" si="15"/>
        <v>3</v>
      </c>
      <c r="AM9" s="328">
        <f t="shared" si="26"/>
        <v>0</v>
      </c>
      <c r="AN9" s="64">
        <f t="shared" ref="AN9:AN34" si="38">AN8</f>
        <v>79</v>
      </c>
      <c r="AO9" s="330">
        <f t="shared" si="27"/>
        <v>2370</v>
      </c>
      <c r="AP9" s="64">
        <f t="shared" ref="AP9:AP34" si="39">AP8</f>
        <v>83</v>
      </c>
      <c r="AQ9" s="330">
        <f t="shared" si="28"/>
        <v>2490</v>
      </c>
      <c r="AR9" s="64">
        <v>67</v>
      </c>
      <c r="AS9" s="330">
        <f>(AR9/100)*3000</f>
        <v>2010.0000000000002</v>
      </c>
      <c r="AT9" s="330">
        <f t="shared" si="35"/>
        <v>6870</v>
      </c>
      <c r="AU9" s="330">
        <f t="shared" si="36"/>
        <v>90</v>
      </c>
      <c r="AV9" s="276"/>
      <c r="AW9" s="276"/>
      <c r="AX9" s="323">
        <f t="shared" si="29"/>
        <v>0.7</v>
      </c>
    </row>
    <row r="10" spans="1:50">
      <c r="A10" s="63">
        <f>ELEC!C8</f>
        <v>43988</v>
      </c>
      <c r="B10" s="64">
        <v>196</v>
      </c>
      <c r="C10" s="64">
        <v>202</v>
      </c>
      <c r="D10" s="45">
        <f t="shared" si="0"/>
        <v>3</v>
      </c>
      <c r="E10" s="45">
        <f t="shared" si="16"/>
        <v>25.14</v>
      </c>
      <c r="F10" s="64">
        <v>1589</v>
      </c>
      <c r="G10" s="52">
        <f t="shared" si="1"/>
        <v>2</v>
      </c>
      <c r="H10" s="64">
        <v>353275</v>
      </c>
      <c r="I10" s="409">
        <f t="shared" si="2"/>
        <v>145</v>
      </c>
      <c r="J10" s="66">
        <f t="shared" si="17"/>
        <v>72.5</v>
      </c>
      <c r="K10" s="64">
        <v>1972</v>
      </c>
      <c r="L10" s="52">
        <f t="shared" si="3"/>
        <v>4</v>
      </c>
      <c r="M10" s="64">
        <v>144510</v>
      </c>
      <c r="N10" s="409">
        <f t="shared" si="5"/>
        <v>246</v>
      </c>
      <c r="O10" s="67">
        <f t="shared" si="6"/>
        <v>281.76190476190476</v>
      </c>
      <c r="P10" s="64">
        <f t="shared" si="18"/>
        <v>1803</v>
      </c>
      <c r="Q10" s="64">
        <v>152974</v>
      </c>
      <c r="R10" s="408">
        <f t="shared" si="7"/>
        <v>0</v>
      </c>
      <c r="S10" s="52">
        <f t="shared" si="8"/>
        <v>0</v>
      </c>
      <c r="T10" s="68">
        <f t="shared" si="30"/>
        <v>0</v>
      </c>
      <c r="U10" s="415">
        <f t="shared" si="19"/>
        <v>6</v>
      </c>
      <c r="V10" s="62">
        <f t="shared" si="20"/>
        <v>391</v>
      </c>
      <c r="W10" s="413">
        <f t="shared" si="21"/>
        <v>65.166666666666671</v>
      </c>
      <c r="X10" s="64">
        <f t="shared" si="9"/>
        <v>2418</v>
      </c>
      <c r="Y10" s="52">
        <f t="shared" si="22"/>
        <v>0</v>
      </c>
      <c r="Z10" s="64">
        <f t="shared" si="10"/>
        <v>135958</v>
      </c>
      <c r="AA10" s="65">
        <f t="shared" si="11"/>
        <v>0</v>
      </c>
      <c r="AB10" s="294">
        <f t="shared" si="31"/>
        <v>0</v>
      </c>
      <c r="AC10" s="64">
        <f t="shared" si="12"/>
        <v>1845</v>
      </c>
      <c r="AD10" s="45">
        <f t="shared" si="13"/>
        <v>0</v>
      </c>
      <c r="AE10" s="64">
        <f t="shared" si="14"/>
        <v>360077</v>
      </c>
      <c r="AF10" s="316">
        <f t="shared" si="23"/>
        <v>0</v>
      </c>
      <c r="AG10" s="213">
        <f t="shared" si="32"/>
        <v>0</v>
      </c>
      <c r="AH10" s="62">
        <f t="shared" si="33"/>
        <v>0</v>
      </c>
      <c r="AI10" s="328">
        <f>SUM(AH10+V10)</f>
        <v>391</v>
      </c>
      <c r="AJ10" s="328">
        <f>-tanks!AW11</f>
        <v>391</v>
      </c>
      <c r="AK10" s="328">
        <f t="shared" si="25"/>
        <v>0</v>
      </c>
      <c r="AL10" s="328">
        <f t="shared" si="15"/>
        <v>6</v>
      </c>
      <c r="AM10" s="328">
        <f t="shared" si="26"/>
        <v>0</v>
      </c>
      <c r="AN10" s="64">
        <v>78</v>
      </c>
      <c r="AO10" s="330">
        <f t="shared" si="27"/>
        <v>2340</v>
      </c>
      <c r="AP10" s="64">
        <v>81</v>
      </c>
      <c r="AQ10" s="330">
        <f t="shared" si="28"/>
        <v>2430</v>
      </c>
      <c r="AR10" s="64">
        <v>68</v>
      </c>
      <c r="AS10" s="330">
        <f t="shared" si="34"/>
        <v>2040.0000000000002</v>
      </c>
      <c r="AT10" s="330">
        <f t="shared" si="35"/>
        <v>6810</v>
      </c>
      <c r="AU10" s="330">
        <f t="shared" si="36"/>
        <v>60</v>
      </c>
      <c r="AV10" s="276"/>
      <c r="AW10" s="276"/>
      <c r="AX10" s="323">
        <f t="shared" si="29"/>
        <v>0.7</v>
      </c>
    </row>
    <row r="11" spans="1:50">
      <c r="A11" s="63">
        <f>ELEC!C9</f>
        <v>43989</v>
      </c>
      <c r="B11" s="64">
        <v>192</v>
      </c>
      <c r="C11" s="64">
        <v>198</v>
      </c>
      <c r="D11" s="45">
        <f t="shared" si="0"/>
        <v>4</v>
      </c>
      <c r="E11" s="45">
        <f t="shared" si="16"/>
        <v>33.520000000000003</v>
      </c>
      <c r="F11" s="64">
        <v>1593</v>
      </c>
      <c r="G11" s="52">
        <f t="shared" si="1"/>
        <v>4</v>
      </c>
      <c r="H11" s="64">
        <v>353638</v>
      </c>
      <c r="I11" s="409">
        <f t="shared" si="2"/>
        <v>363</v>
      </c>
      <c r="J11" s="66">
        <f t="shared" si="17"/>
        <v>90.75</v>
      </c>
      <c r="K11" s="64">
        <f t="shared" si="37"/>
        <v>1972</v>
      </c>
      <c r="L11" s="52">
        <f t="shared" si="3"/>
        <v>0</v>
      </c>
      <c r="M11" s="64">
        <f t="shared" si="4"/>
        <v>144510</v>
      </c>
      <c r="N11" s="409">
        <f t="shared" si="5"/>
        <v>0</v>
      </c>
      <c r="O11" s="67">
        <v>1803</v>
      </c>
      <c r="P11" s="64">
        <f t="shared" si="18"/>
        <v>1803</v>
      </c>
      <c r="Q11" s="64">
        <v>152974</v>
      </c>
      <c r="R11" s="408">
        <f t="shared" ref="R11:R34" si="40">Q11-Q10</f>
        <v>0</v>
      </c>
      <c r="S11" s="52">
        <f t="shared" si="8"/>
        <v>0</v>
      </c>
      <c r="T11" s="68">
        <f t="shared" si="30"/>
        <v>0</v>
      </c>
      <c r="U11" s="415">
        <f t="shared" si="19"/>
        <v>4</v>
      </c>
      <c r="V11" s="62">
        <f t="shared" si="20"/>
        <v>363</v>
      </c>
      <c r="W11" s="413">
        <f t="shared" si="21"/>
        <v>90.75</v>
      </c>
      <c r="X11" s="64">
        <f t="shared" si="9"/>
        <v>2418</v>
      </c>
      <c r="Y11" s="52">
        <f t="shared" si="22"/>
        <v>0</v>
      </c>
      <c r="Z11" s="64">
        <f t="shared" si="10"/>
        <v>135958</v>
      </c>
      <c r="AA11" s="65">
        <f t="shared" si="11"/>
        <v>0</v>
      </c>
      <c r="AB11" s="294">
        <f t="shared" si="31"/>
        <v>0</v>
      </c>
      <c r="AC11" s="64">
        <f t="shared" si="12"/>
        <v>1845</v>
      </c>
      <c r="AD11" s="45">
        <f t="shared" si="13"/>
        <v>0</v>
      </c>
      <c r="AE11" s="64">
        <f t="shared" si="14"/>
        <v>360077</v>
      </c>
      <c r="AF11" s="316">
        <f t="shared" si="23"/>
        <v>0</v>
      </c>
      <c r="AG11" s="213">
        <f t="shared" si="32"/>
        <v>0</v>
      </c>
      <c r="AH11" s="62">
        <f>AF11+AA11</f>
        <v>0</v>
      </c>
      <c r="AI11" s="328">
        <f>SUM(AH11+V11)</f>
        <v>363</v>
      </c>
      <c r="AJ11" s="328">
        <f>-tanks!AW12</f>
        <v>363</v>
      </c>
      <c r="AK11" s="328">
        <f t="shared" si="25"/>
        <v>0</v>
      </c>
      <c r="AL11" s="328">
        <f t="shared" si="15"/>
        <v>4</v>
      </c>
      <c r="AM11" s="328">
        <f t="shared" si="26"/>
        <v>0</v>
      </c>
      <c r="AN11" s="64">
        <v>77</v>
      </c>
      <c r="AO11" s="330">
        <f t="shared" si="27"/>
        <v>2310</v>
      </c>
      <c r="AP11" s="64">
        <v>80</v>
      </c>
      <c r="AQ11" s="330">
        <f t="shared" si="28"/>
        <v>2400</v>
      </c>
      <c r="AR11" s="64">
        <f t="shared" ref="AR11:AR34" si="41">AR10</f>
        <v>68</v>
      </c>
      <c r="AS11" s="330">
        <f t="shared" si="34"/>
        <v>2040.0000000000002</v>
      </c>
      <c r="AT11" s="330">
        <f t="shared" si="35"/>
        <v>6750</v>
      </c>
      <c r="AU11" s="330">
        <f t="shared" si="36"/>
        <v>60</v>
      </c>
      <c r="AV11" s="276"/>
      <c r="AW11" s="276"/>
      <c r="AX11" s="323">
        <f t="shared" si="29"/>
        <v>0.7</v>
      </c>
    </row>
    <row r="12" spans="1:50">
      <c r="A12" s="63">
        <f>ELEC!C10</f>
        <v>43990</v>
      </c>
      <c r="B12" s="64">
        <v>188</v>
      </c>
      <c r="C12" s="64">
        <v>196</v>
      </c>
      <c r="D12" s="45">
        <f t="shared" si="0"/>
        <v>2</v>
      </c>
      <c r="E12" s="45">
        <f t="shared" si="16"/>
        <v>16.760000000000002</v>
      </c>
      <c r="F12" s="64">
        <v>1596</v>
      </c>
      <c r="G12" s="52">
        <f t="shared" si="1"/>
        <v>3</v>
      </c>
      <c r="H12" s="64">
        <v>353825</v>
      </c>
      <c r="I12" s="409">
        <f t="shared" si="2"/>
        <v>187</v>
      </c>
      <c r="J12" s="66">
        <f t="shared" si="17"/>
        <v>62.333333333333336</v>
      </c>
      <c r="K12" s="64">
        <v>1974</v>
      </c>
      <c r="L12" s="52">
        <f t="shared" si="3"/>
        <v>2</v>
      </c>
      <c r="M12" s="64">
        <v>144683</v>
      </c>
      <c r="N12" s="409">
        <f t="shared" si="5"/>
        <v>173</v>
      </c>
      <c r="O12" s="67">
        <f t="shared" si="6"/>
        <v>140.88095238095238</v>
      </c>
      <c r="P12" s="64">
        <f t="shared" si="18"/>
        <v>1803</v>
      </c>
      <c r="Q12" s="64">
        <v>152974</v>
      </c>
      <c r="R12" s="408">
        <f t="shared" si="40"/>
        <v>0</v>
      </c>
      <c r="S12" s="52">
        <f t="shared" si="8"/>
        <v>0</v>
      </c>
      <c r="T12" s="68">
        <f t="shared" si="30"/>
        <v>0</v>
      </c>
      <c r="U12" s="415">
        <f t="shared" si="19"/>
        <v>5</v>
      </c>
      <c r="V12" s="62">
        <f t="shared" si="20"/>
        <v>360</v>
      </c>
      <c r="W12" s="413">
        <f t="shared" si="21"/>
        <v>72</v>
      </c>
      <c r="X12" s="64">
        <f t="shared" si="9"/>
        <v>2418</v>
      </c>
      <c r="Y12" s="52">
        <f t="shared" si="22"/>
        <v>0</v>
      </c>
      <c r="Z12" s="64">
        <f t="shared" si="10"/>
        <v>135958</v>
      </c>
      <c r="AA12" s="65">
        <f t="shared" si="11"/>
        <v>0</v>
      </c>
      <c r="AB12" s="294">
        <f t="shared" si="31"/>
        <v>0</v>
      </c>
      <c r="AC12" s="64">
        <f t="shared" si="12"/>
        <v>1845</v>
      </c>
      <c r="AD12" s="45">
        <f t="shared" si="13"/>
        <v>0</v>
      </c>
      <c r="AE12" s="64">
        <f t="shared" si="14"/>
        <v>360077</v>
      </c>
      <c r="AF12" s="316">
        <f t="shared" si="23"/>
        <v>0</v>
      </c>
      <c r="AG12" s="213">
        <f t="shared" si="32"/>
        <v>0</v>
      </c>
      <c r="AH12" s="62">
        <f t="shared" si="33"/>
        <v>0</v>
      </c>
      <c r="AI12" s="328">
        <f t="shared" si="24"/>
        <v>360</v>
      </c>
      <c r="AJ12" s="328">
        <f>-tanks!AW13</f>
        <v>360</v>
      </c>
      <c r="AK12" s="328">
        <f t="shared" si="25"/>
        <v>0</v>
      </c>
      <c r="AL12" s="328">
        <f t="shared" si="15"/>
        <v>5</v>
      </c>
      <c r="AM12" s="328">
        <f t="shared" si="26"/>
        <v>0</v>
      </c>
      <c r="AN12" s="64">
        <v>76</v>
      </c>
      <c r="AO12" s="330">
        <f t="shared" si="27"/>
        <v>2280</v>
      </c>
      <c r="AP12" s="64">
        <v>80</v>
      </c>
      <c r="AQ12" s="330">
        <f t="shared" si="28"/>
        <v>2400</v>
      </c>
      <c r="AR12" s="64">
        <v>66</v>
      </c>
      <c r="AS12" s="330">
        <f t="shared" si="34"/>
        <v>1980</v>
      </c>
      <c r="AT12" s="330">
        <f t="shared" si="35"/>
        <v>6660</v>
      </c>
      <c r="AU12" s="330">
        <f t="shared" si="36"/>
        <v>90</v>
      </c>
      <c r="AV12" s="276"/>
      <c r="AW12" s="276"/>
      <c r="AX12" s="323">
        <f t="shared" si="29"/>
        <v>0.7</v>
      </c>
    </row>
    <row r="13" spans="1:50">
      <c r="A13" s="63">
        <f>ELEC!C11</f>
        <v>43991</v>
      </c>
      <c r="B13" s="64">
        <v>185.2</v>
      </c>
      <c r="C13" s="64">
        <v>191.3</v>
      </c>
      <c r="D13" s="45">
        <f t="shared" si="0"/>
        <v>4.6999999999999886</v>
      </c>
      <c r="E13" s="45">
        <f t="shared" si="16"/>
        <v>39.38599999999991</v>
      </c>
      <c r="F13" s="64">
        <v>1596</v>
      </c>
      <c r="G13" s="52">
        <f t="shared" si="1"/>
        <v>0</v>
      </c>
      <c r="H13" s="64">
        <v>353837</v>
      </c>
      <c r="I13" s="409">
        <f t="shared" si="2"/>
        <v>12</v>
      </c>
      <c r="J13" s="66">
        <f t="shared" si="17"/>
        <v>0</v>
      </c>
      <c r="K13" s="64">
        <v>1977</v>
      </c>
      <c r="L13" s="52">
        <f t="shared" si="3"/>
        <v>3</v>
      </c>
      <c r="M13" s="64">
        <v>144953</v>
      </c>
      <c r="N13" s="409">
        <f t="shared" si="5"/>
        <v>270</v>
      </c>
      <c r="O13" s="67">
        <f t="shared" si="6"/>
        <v>211.32142857142856</v>
      </c>
      <c r="P13" s="64">
        <v>1803</v>
      </c>
      <c r="Q13" s="64">
        <v>152974</v>
      </c>
      <c r="R13" s="408">
        <f t="shared" si="40"/>
        <v>0</v>
      </c>
      <c r="S13" s="52">
        <f t="shared" si="8"/>
        <v>0</v>
      </c>
      <c r="T13" s="68">
        <f t="shared" si="30"/>
        <v>0</v>
      </c>
      <c r="U13" s="415">
        <f t="shared" si="19"/>
        <v>3</v>
      </c>
      <c r="V13" s="62">
        <f>R13+N13+I13:I13</f>
        <v>282</v>
      </c>
      <c r="W13" s="413">
        <f t="shared" si="21"/>
        <v>94</v>
      </c>
      <c r="X13" s="64">
        <v>2418</v>
      </c>
      <c r="Y13" s="52">
        <f t="shared" si="22"/>
        <v>0</v>
      </c>
      <c r="Z13" s="64">
        <v>135958</v>
      </c>
      <c r="AA13" s="294">
        <f t="shared" si="11"/>
        <v>0</v>
      </c>
      <c r="AB13" s="294">
        <f t="shared" si="31"/>
        <v>0</v>
      </c>
      <c r="AC13" s="64">
        <v>1845</v>
      </c>
      <c r="AD13" s="45">
        <f t="shared" si="13"/>
        <v>0</v>
      </c>
      <c r="AE13" s="64">
        <v>360077</v>
      </c>
      <c r="AF13" s="316">
        <f t="shared" si="23"/>
        <v>0</v>
      </c>
      <c r="AG13" s="213">
        <f t="shared" si="32"/>
        <v>0</v>
      </c>
      <c r="AH13" s="62">
        <f t="shared" si="33"/>
        <v>0</v>
      </c>
      <c r="AI13" s="328">
        <f t="shared" si="24"/>
        <v>282</v>
      </c>
      <c r="AJ13" s="328">
        <f>-tanks!AW14</f>
        <v>282</v>
      </c>
      <c r="AK13" s="328">
        <f t="shared" si="25"/>
        <v>0</v>
      </c>
      <c r="AL13" s="328">
        <f t="shared" si="15"/>
        <v>3</v>
      </c>
      <c r="AM13" s="328">
        <f t="shared" si="26"/>
        <v>0</v>
      </c>
      <c r="AN13" s="64">
        <v>75</v>
      </c>
      <c r="AO13" s="330">
        <f t="shared" si="27"/>
        <v>2250</v>
      </c>
      <c r="AP13" s="64">
        <v>77</v>
      </c>
      <c r="AQ13" s="330">
        <f t="shared" si="28"/>
        <v>2310</v>
      </c>
      <c r="AR13" s="64">
        <v>65</v>
      </c>
      <c r="AS13" s="330">
        <f t="shared" si="34"/>
        <v>1950</v>
      </c>
      <c r="AT13" s="330">
        <f t="shared" si="35"/>
        <v>6510</v>
      </c>
      <c r="AU13" s="330">
        <f t="shared" si="36"/>
        <v>150</v>
      </c>
      <c r="AV13" s="276"/>
      <c r="AW13" s="276"/>
      <c r="AX13" s="323">
        <f t="shared" si="29"/>
        <v>0.7</v>
      </c>
    </row>
    <row r="14" spans="1:50">
      <c r="A14" s="63">
        <f>ELEC!C12</f>
        <v>43992</v>
      </c>
      <c r="B14" s="64">
        <v>177.2</v>
      </c>
      <c r="C14" s="64">
        <v>183.5</v>
      </c>
      <c r="D14" s="45">
        <f t="shared" si="0"/>
        <v>7.8000000000000114</v>
      </c>
      <c r="E14" s="45">
        <f t="shared" si="16"/>
        <v>65.364000000000104</v>
      </c>
      <c r="F14" s="64">
        <v>1596</v>
      </c>
      <c r="G14" s="52">
        <f t="shared" si="1"/>
        <v>0</v>
      </c>
      <c r="H14" s="64">
        <v>353837</v>
      </c>
      <c r="I14" s="409">
        <f t="shared" si="2"/>
        <v>0</v>
      </c>
      <c r="J14" s="66">
        <f t="shared" si="17"/>
        <v>0</v>
      </c>
      <c r="K14" s="64">
        <v>1983</v>
      </c>
      <c r="L14" s="52">
        <f t="shared" si="3"/>
        <v>6</v>
      </c>
      <c r="M14" s="64">
        <v>145331</v>
      </c>
      <c r="N14" s="409">
        <f t="shared" si="5"/>
        <v>378</v>
      </c>
      <c r="O14" s="67">
        <f t="shared" si="6"/>
        <v>422.64285714285711</v>
      </c>
      <c r="P14" s="64">
        <v>1803</v>
      </c>
      <c r="Q14" s="64">
        <v>152974</v>
      </c>
      <c r="R14" s="408">
        <f t="shared" si="40"/>
        <v>0</v>
      </c>
      <c r="S14" s="52">
        <f t="shared" si="8"/>
        <v>0</v>
      </c>
      <c r="T14" s="68">
        <f t="shared" si="30"/>
        <v>0</v>
      </c>
      <c r="U14" s="415">
        <f t="shared" si="19"/>
        <v>6</v>
      </c>
      <c r="V14" s="62">
        <f t="shared" si="20"/>
        <v>378</v>
      </c>
      <c r="W14" s="413">
        <f t="shared" si="21"/>
        <v>63</v>
      </c>
      <c r="X14" s="64">
        <v>2418</v>
      </c>
      <c r="Y14" s="52">
        <f t="shared" si="22"/>
        <v>0</v>
      </c>
      <c r="Z14" s="64">
        <v>135958</v>
      </c>
      <c r="AA14" s="65">
        <f t="shared" si="11"/>
        <v>0</v>
      </c>
      <c r="AB14" s="294">
        <f t="shared" si="31"/>
        <v>0</v>
      </c>
      <c r="AC14" s="64">
        <v>1848</v>
      </c>
      <c r="AD14" s="45">
        <f t="shared" si="13"/>
        <v>3</v>
      </c>
      <c r="AE14" s="64">
        <v>360299.4</v>
      </c>
      <c r="AF14" s="316">
        <f>AE14-AE13</f>
        <v>222.40000000002328</v>
      </c>
      <c r="AG14" s="213">
        <f t="shared" si="32"/>
        <v>74.133333333341099</v>
      </c>
      <c r="AH14" s="62">
        <f>AF14+AA14</f>
        <v>222.40000000002328</v>
      </c>
      <c r="AI14" s="328">
        <f>SUM(AH14+V14)</f>
        <v>600.40000000002328</v>
      </c>
      <c r="AJ14" s="328">
        <f>-tanks!AW15</f>
        <v>600.40000000002328</v>
      </c>
      <c r="AK14" s="328">
        <f t="shared" si="25"/>
        <v>0</v>
      </c>
      <c r="AL14" s="328">
        <f t="shared" si="15"/>
        <v>6</v>
      </c>
      <c r="AM14" s="328">
        <f t="shared" si="26"/>
        <v>3</v>
      </c>
      <c r="AN14" s="64">
        <v>73</v>
      </c>
      <c r="AO14" s="330">
        <f t="shared" si="27"/>
        <v>2190</v>
      </c>
      <c r="AP14" s="64">
        <v>75</v>
      </c>
      <c r="AQ14" s="330">
        <f t="shared" si="28"/>
        <v>2250</v>
      </c>
      <c r="AR14" s="64">
        <v>64</v>
      </c>
      <c r="AS14" s="330">
        <f t="shared" si="34"/>
        <v>1920</v>
      </c>
      <c r="AT14" s="330">
        <f t="shared" si="35"/>
        <v>6360</v>
      </c>
      <c r="AU14" s="330">
        <f t="shared" si="36"/>
        <v>150</v>
      </c>
      <c r="AV14" s="276"/>
      <c r="AW14" s="276"/>
      <c r="AX14" s="323">
        <f t="shared" si="29"/>
        <v>0.7</v>
      </c>
    </row>
    <row r="15" spans="1:50" ht="15" customHeight="1">
      <c r="A15" s="63">
        <f>ELEC!C13</f>
        <v>43993</v>
      </c>
      <c r="B15" s="64">
        <v>169</v>
      </c>
      <c r="C15" s="64">
        <v>175</v>
      </c>
      <c r="D15" s="45">
        <f t="shared" si="0"/>
        <v>8.5</v>
      </c>
      <c r="E15" s="45">
        <f t="shared" si="16"/>
        <v>71.23</v>
      </c>
      <c r="F15" s="64">
        <v>1596</v>
      </c>
      <c r="G15" s="52">
        <f t="shared" si="1"/>
        <v>0</v>
      </c>
      <c r="H15" s="64">
        <v>353837</v>
      </c>
      <c r="I15" s="409">
        <f t="shared" si="2"/>
        <v>0</v>
      </c>
      <c r="J15" s="66">
        <f t="shared" si="17"/>
        <v>0</v>
      </c>
      <c r="K15" s="64">
        <v>1987</v>
      </c>
      <c r="L15" s="52">
        <f t="shared" si="3"/>
        <v>4</v>
      </c>
      <c r="M15" s="64">
        <v>145693</v>
      </c>
      <c r="N15" s="409">
        <f t="shared" si="5"/>
        <v>362</v>
      </c>
      <c r="O15" s="67">
        <f t="shared" si="6"/>
        <v>281.76190476190476</v>
      </c>
      <c r="P15" s="64">
        <v>1803</v>
      </c>
      <c r="Q15" s="64">
        <v>152974</v>
      </c>
      <c r="R15" s="408">
        <f t="shared" si="40"/>
        <v>0</v>
      </c>
      <c r="S15" s="52">
        <f t="shared" si="8"/>
        <v>0</v>
      </c>
      <c r="T15" s="68">
        <f t="shared" si="30"/>
        <v>0</v>
      </c>
      <c r="U15" s="415">
        <f t="shared" si="19"/>
        <v>4</v>
      </c>
      <c r="V15" s="62">
        <f t="shared" si="20"/>
        <v>362</v>
      </c>
      <c r="W15" s="413">
        <f t="shared" si="21"/>
        <v>90.5</v>
      </c>
      <c r="X15" s="64">
        <v>2418</v>
      </c>
      <c r="Y15" s="52">
        <f t="shared" si="22"/>
        <v>0</v>
      </c>
      <c r="Z15" s="64">
        <v>135964.1</v>
      </c>
      <c r="AA15" s="65">
        <f t="shared" si="11"/>
        <v>6.1000000000058208</v>
      </c>
      <c r="AB15" s="294">
        <f t="shared" si="31"/>
        <v>0</v>
      </c>
      <c r="AC15" s="64">
        <v>1848</v>
      </c>
      <c r="AD15" s="45">
        <f t="shared" si="13"/>
        <v>0</v>
      </c>
      <c r="AE15" s="64">
        <f>AE14</f>
        <v>360299.4</v>
      </c>
      <c r="AF15" s="316">
        <f t="shared" si="23"/>
        <v>0</v>
      </c>
      <c r="AG15" s="213">
        <f t="shared" si="32"/>
        <v>0</v>
      </c>
      <c r="AH15" s="62">
        <f t="shared" si="33"/>
        <v>6.1000000000058208</v>
      </c>
      <c r="AI15" s="328">
        <f t="shared" si="24"/>
        <v>368.10000000000582</v>
      </c>
      <c r="AJ15" s="328">
        <f>-tanks!AW16</f>
        <v>368.10000000000582</v>
      </c>
      <c r="AK15" s="328">
        <f t="shared" si="25"/>
        <v>0</v>
      </c>
      <c r="AL15" s="328">
        <f t="shared" si="15"/>
        <v>4</v>
      </c>
      <c r="AM15" s="328">
        <f t="shared" si="26"/>
        <v>0</v>
      </c>
      <c r="AN15" s="64">
        <v>72</v>
      </c>
      <c r="AO15" s="330">
        <f t="shared" si="27"/>
        <v>2160</v>
      </c>
      <c r="AP15" s="64">
        <v>73</v>
      </c>
      <c r="AQ15" s="330">
        <f t="shared" si="28"/>
        <v>2190</v>
      </c>
      <c r="AR15" s="64">
        <v>61</v>
      </c>
      <c r="AS15" s="330">
        <f t="shared" si="34"/>
        <v>1830</v>
      </c>
      <c r="AT15" s="330">
        <f t="shared" si="35"/>
        <v>6180</v>
      </c>
      <c r="AU15" s="330">
        <f t="shared" si="36"/>
        <v>180</v>
      </c>
      <c r="AV15" s="276"/>
      <c r="AW15" s="276"/>
      <c r="AX15" s="323">
        <f t="shared" si="29"/>
        <v>0.7</v>
      </c>
    </row>
    <row r="16" spans="1:50">
      <c r="A16" s="63">
        <f>ELEC!C14</f>
        <v>43994</v>
      </c>
      <c r="B16" s="64">
        <v>161.5</v>
      </c>
      <c r="C16" s="64">
        <v>168</v>
      </c>
      <c r="D16" s="45">
        <f t="shared" si="0"/>
        <v>7</v>
      </c>
      <c r="E16" s="45">
        <f t="shared" si="16"/>
        <v>58.660000000000004</v>
      </c>
      <c r="F16" s="64">
        <f t="shared" ref="F16:H34" si="42">F15</f>
        <v>1596</v>
      </c>
      <c r="G16" s="52">
        <f t="shared" si="1"/>
        <v>0</v>
      </c>
      <c r="H16" s="64">
        <f t="shared" si="42"/>
        <v>353837</v>
      </c>
      <c r="I16" s="409">
        <f t="shared" si="2"/>
        <v>0</v>
      </c>
      <c r="J16" s="66">
        <f t="shared" si="17"/>
        <v>0</v>
      </c>
      <c r="K16" s="64">
        <v>1992</v>
      </c>
      <c r="L16" s="52">
        <f t="shared" si="3"/>
        <v>5</v>
      </c>
      <c r="M16" s="64">
        <v>146059</v>
      </c>
      <c r="N16" s="409">
        <f t="shared" si="5"/>
        <v>366</v>
      </c>
      <c r="O16" s="67">
        <f t="shared" si="6"/>
        <v>352.20238095238096</v>
      </c>
      <c r="P16" s="64">
        <v>1803</v>
      </c>
      <c r="Q16" s="64">
        <v>152974</v>
      </c>
      <c r="R16" s="408">
        <f t="shared" si="40"/>
        <v>0</v>
      </c>
      <c r="S16" s="52">
        <f t="shared" si="8"/>
        <v>0</v>
      </c>
      <c r="T16" s="68">
        <f t="shared" si="30"/>
        <v>0</v>
      </c>
      <c r="U16" s="415">
        <f t="shared" si="19"/>
        <v>5</v>
      </c>
      <c r="V16" s="62">
        <f t="shared" si="20"/>
        <v>366</v>
      </c>
      <c r="W16" s="413">
        <f t="shared" si="21"/>
        <v>73.2</v>
      </c>
      <c r="X16" s="64">
        <v>2418</v>
      </c>
      <c r="Y16" s="52">
        <f t="shared" si="22"/>
        <v>0</v>
      </c>
      <c r="Z16" s="64">
        <v>135964.1</v>
      </c>
      <c r="AA16" s="65">
        <f t="shared" si="11"/>
        <v>0</v>
      </c>
      <c r="AB16" s="294">
        <f t="shared" si="31"/>
        <v>0</v>
      </c>
      <c r="AC16" s="64">
        <v>1848</v>
      </c>
      <c r="AD16" s="45">
        <f t="shared" si="13"/>
        <v>0</v>
      </c>
      <c r="AE16" s="64">
        <f t="shared" si="14"/>
        <v>360299.4</v>
      </c>
      <c r="AF16" s="316">
        <f t="shared" si="23"/>
        <v>0</v>
      </c>
      <c r="AG16" s="213">
        <f t="shared" si="32"/>
        <v>0</v>
      </c>
      <c r="AH16" s="62">
        <f t="shared" si="33"/>
        <v>0</v>
      </c>
      <c r="AI16" s="328">
        <f t="shared" si="24"/>
        <v>366</v>
      </c>
      <c r="AJ16" s="328">
        <f>-tanks!AW17</f>
        <v>366</v>
      </c>
      <c r="AK16" s="328">
        <f t="shared" si="25"/>
        <v>0</v>
      </c>
      <c r="AL16" s="328">
        <f t="shared" si="15"/>
        <v>5</v>
      </c>
      <c r="AM16" s="328">
        <f t="shared" si="26"/>
        <v>0</v>
      </c>
      <c r="AN16" s="64">
        <v>70</v>
      </c>
      <c r="AO16" s="330">
        <f t="shared" si="27"/>
        <v>2100</v>
      </c>
      <c r="AP16" s="64">
        <v>72</v>
      </c>
      <c r="AQ16" s="330">
        <f t="shared" si="28"/>
        <v>2160</v>
      </c>
      <c r="AR16" s="64">
        <v>61</v>
      </c>
      <c r="AS16" s="330">
        <f t="shared" si="34"/>
        <v>1830</v>
      </c>
      <c r="AT16" s="330">
        <f t="shared" si="35"/>
        <v>6090</v>
      </c>
      <c r="AU16" s="330">
        <f t="shared" si="36"/>
        <v>90</v>
      </c>
      <c r="AV16" s="276"/>
      <c r="AW16" s="276"/>
      <c r="AX16" s="323">
        <f t="shared" si="29"/>
        <v>0.7</v>
      </c>
    </row>
    <row r="17" spans="1:50">
      <c r="A17" s="63">
        <f>ELEC!C15</f>
        <v>43995</v>
      </c>
      <c r="B17" s="64">
        <v>155</v>
      </c>
      <c r="C17" s="64">
        <v>161</v>
      </c>
      <c r="D17" s="45">
        <f t="shared" si="0"/>
        <v>7</v>
      </c>
      <c r="E17" s="45">
        <f t="shared" si="16"/>
        <v>58.660000000000004</v>
      </c>
      <c r="F17" s="64">
        <f t="shared" si="42"/>
        <v>1596</v>
      </c>
      <c r="G17" s="52">
        <f t="shared" si="1"/>
        <v>0</v>
      </c>
      <c r="H17" s="64">
        <f t="shared" si="42"/>
        <v>353837</v>
      </c>
      <c r="I17" s="409">
        <f t="shared" si="2"/>
        <v>0</v>
      </c>
      <c r="J17" s="66">
        <f t="shared" si="17"/>
        <v>0</v>
      </c>
      <c r="K17" s="64">
        <v>1996</v>
      </c>
      <c r="L17" s="52">
        <f t="shared" si="3"/>
        <v>4</v>
      </c>
      <c r="M17" s="64">
        <v>146378</v>
      </c>
      <c r="N17" s="409">
        <f t="shared" si="5"/>
        <v>319</v>
      </c>
      <c r="O17" s="67">
        <f t="shared" si="6"/>
        <v>281.76190476190476</v>
      </c>
      <c r="P17" s="64">
        <f t="shared" si="18"/>
        <v>1803</v>
      </c>
      <c r="Q17" s="64">
        <f t="shared" ref="Q17:Q34" si="43">Q16</f>
        <v>152974</v>
      </c>
      <c r="R17" s="408">
        <f t="shared" si="40"/>
        <v>0</v>
      </c>
      <c r="S17" s="52">
        <f t="shared" si="8"/>
        <v>0</v>
      </c>
      <c r="T17" s="68">
        <f t="shared" si="30"/>
        <v>0</v>
      </c>
      <c r="U17" s="415">
        <f t="shared" si="19"/>
        <v>4</v>
      </c>
      <c r="V17" s="62">
        <f t="shared" si="20"/>
        <v>319</v>
      </c>
      <c r="W17" s="413"/>
      <c r="X17" s="64">
        <f t="shared" si="9"/>
        <v>2418</v>
      </c>
      <c r="Y17" s="52">
        <f t="shared" si="22"/>
        <v>0</v>
      </c>
      <c r="Z17" s="64">
        <f t="shared" si="10"/>
        <v>135964.1</v>
      </c>
      <c r="AA17" s="65">
        <f t="shared" si="11"/>
        <v>0</v>
      </c>
      <c r="AB17" s="294">
        <f t="shared" si="31"/>
        <v>0</v>
      </c>
      <c r="AC17" s="64">
        <f t="shared" si="12"/>
        <v>1848</v>
      </c>
      <c r="AD17" s="45">
        <f t="shared" si="13"/>
        <v>0</v>
      </c>
      <c r="AE17" s="64">
        <f t="shared" si="14"/>
        <v>360299.4</v>
      </c>
      <c r="AF17" s="316">
        <f t="shared" si="23"/>
        <v>0</v>
      </c>
      <c r="AG17" s="213">
        <f t="shared" si="32"/>
        <v>0</v>
      </c>
      <c r="AH17" s="62">
        <f t="shared" si="33"/>
        <v>0</v>
      </c>
      <c r="AI17" s="328">
        <f t="shared" si="24"/>
        <v>319</v>
      </c>
      <c r="AJ17" s="328">
        <f>-tanks!AW18</f>
        <v>319</v>
      </c>
      <c r="AK17" s="328">
        <f t="shared" si="25"/>
        <v>0</v>
      </c>
      <c r="AL17" s="328">
        <f t="shared" si="15"/>
        <v>4</v>
      </c>
      <c r="AM17" s="328">
        <f t="shared" si="26"/>
        <v>0</v>
      </c>
      <c r="AN17" s="64">
        <v>68</v>
      </c>
      <c r="AO17" s="330">
        <f t="shared" si="27"/>
        <v>2040.0000000000002</v>
      </c>
      <c r="AP17" s="64">
        <v>71</v>
      </c>
      <c r="AQ17" s="330">
        <f t="shared" si="28"/>
        <v>2130</v>
      </c>
      <c r="AR17" s="64">
        <v>60</v>
      </c>
      <c r="AS17" s="330">
        <f t="shared" si="34"/>
        <v>1800</v>
      </c>
      <c r="AT17" s="330">
        <f t="shared" si="35"/>
        <v>5970</v>
      </c>
      <c r="AU17" s="330">
        <f t="shared" si="36"/>
        <v>120</v>
      </c>
      <c r="AV17" s="276"/>
      <c r="AW17" s="276"/>
      <c r="AX17" s="323">
        <f t="shared" si="29"/>
        <v>0.7</v>
      </c>
    </row>
    <row r="18" spans="1:50">
      <c r="A18" s="63">
        <f>ELEC!C16</f>
        <v>43996</v>
      </c>
      <c r="B18" s="64">
        <v>150</v>
      </c>
      <c r="C18" s="64">
        <v>156</v>
      </c>
      <c r="D18" s="45">
        <f t="shared" si="0"/>
        <v>5</v>
      </c>
      <c r="E18" s="45">
        <f t="shared" si="16"/>
        <v>41.900000000000006</v>
      </c>
      <c r="F18" s="64">
        <f t="shared" si="42"/>
        <v>1596</v>
      </c>
      <c r="G18" s="52">
        <f t="shared" si="1"/>
        <v>0</v>
      </c>
      <c r="H18" s="64">
        <f t="shared" si="42"/>
        <v>353837</v>
      </c>
      <c r="I18" s="409">
        <f t="shared" si="2"/>
        <v>0</v>
      </c>
      <c r="J18" s="66">
        <f t="shared" si="17"/>
        <v>0</v>
      </c>
      <c r="K18" s="64">
        <v>2000</v>
      </c>
      <c r="L18" s="52">
        <f t="shared" si="3"/>
        <v>4</v>
      </c>
      <c r="M18" s="64">
        <v>146680</v>
      </c>
      <c r="N18" s="409">
        <f t="shared" si="5"/>
        <v>302</v>
      </c>
      <c r="O18" s="67">
        <f t="shared" si="6"/>
        <v>281.76190476190476</v>
      </c>
      <c r="P18" s="64">
        <f t="shared" si="18"/>
        <v>1803</v>
      </c>
      <c r="Q18" s="64">
        <f t="shared" si="43"/>
        <v>152974</v>
      </c>
      <c r="R18" s="408">
        <f t="shared" si="40"/>
        <v>0</v>
      </c>
      <c r="S18" s="52">
        <f t="shared" si="8"/>
        <v>0</v>
      </c>
      <c r="T18" s="68">
        <f t="shared" si="30"/>
        <v>0</v>
      </c>
      <c r="U18" s="415">
        <f t="shared" si="19"/>
        <v>4</v>
      </c>
      <c r="V18" s="62">
        <f t="shared" si="20"/>
        <v>302</v>
      </c>
      <c r="W18" s="413"/>
      <c r="X18" s="64">
        <f t="shared" si="9"/>
        <v>2418</v>
      </c>
      <c r="Y18" s="52">
        <f t="shared" si="22"/>
        <v>0</v>
      </c>
      <c r="Z18" s="64">
        <f t="shared" si="10"/>
        <v>135964.1</v>
      </c>
      <c r="AA18" s="65">
        <f t="shared" si="11"/>
        <v>0</v>
      </c>
      <c r="AB18" s="294">
        <f t="shared" ref="AB18:AB23" si="44">SUM(Y18*$AB$2)</f>
        <v>0</v>
      </c>
      <c r="AC18" s="64">
        <f t="shared" si="12"/>
        <v>1848</v>
      </c>
      <c r="AD18" s="45">
        <f t="shared" si="13"/>
        <v>0</v>
      </c>
      <c r="AE18" s="64">
        <f t="shared" si="14"/>
        <v>360299.4</v>
      </c>
      <c r="AF18" s="316">
        <f t="shared" si="23"/>
        <v>0</v>
      </c>
      <c r="AG18" s="213">
        <f t="shared" si="32"/>
        <v>0</v>
      </c>
      <c r="AH18" s="62">
        <f t="shared" si="33"/>
        <v>0</v>
      </c>
      <c r="AI18" s="328">
        <f t="shared" si="24"/>
        <v>302</v>
      </c>
      <c r="AJ18" s="328">
        <f>-tanks!AW19</f>
        <v>302</v>
      </c>
      <c r="AK18" s="328">
        <f t="shared" si="25"/>
        <v>0</v>
      </c>
      <c r="AL18" s="328">
        <f t="shared" si="15"/>
        <v>4</v>
      </c>
      <c r="AM18" s="328">
        <f t="shared" si="26"/>
        <v>0</v>
      </c>
      <c r="AN18" s="64">
        <f t="shared" si="38"/>
        <v>68</v>
      </c>
      <c r="AO18" s="330">
        <f t="shared" si="27"/>
        <v>2040.0000000000002</v>
      </c>
      <c r="AP18" s="64">
        <v>68</v>
      </c>
      <c r="AQ18" s="330">
        <f t="shared" si="28"/>
        <v>2040.0000000000002</v>
      </c>
      <c r="AR18" s="64">
        <f t="shared" si="41"/>
        <v>60</v>
      </c>
      <c r="AS18" s="330">
        <f t="shared" si="34"/>
        <v>1800</v>
      </c>
      <c r="AT18" s="330">
        <f t="shared" si="35"/>
        <v>5880</v>
      </c>
      <c r="AU18" s="330">
        <f t="shared" si="36"/>
        <v>90</v>
      </c>
      <c r="AV18" s="276"/>
      <c r="AW18" s="276"/>
      <c r="AX18" s="323">
        <f t="shared" si="29"/>
        <v>0.7</v>
      </c>
    </row>
    <row r="19" spans="1:50">
      <c r="A19" s="63">
        <f>ELEC!C17</f>
        <v>43997</v>
      </c>
      <c r="B19" s="64">
        <v>172</v>
      </c>
      <c r="C19" s="64">
        <v>178</v>
      </c>
      <c r="D19" s="45">
        <f t="shared" si="0"/>
        <v>-22</v>
      </c>
      <c r="E19" s="45">
        <f t="shared" si="16"/>
        <v>-184.36</v>
      </c>
      <c r="F19" s="64">
        <v>1596</v>
      </c>
      <c r="G19" s="52">
        <f t="shared" si="1"/>
        <v>0</v>
      </c>
      <c r="H19" s="64">
        <f t="shared" si="42"/>
        <v>353837</v>
      </c>
      <c r="I19" s="409">
        <f t="shared" si="2"/>
        <v>0</v>
      </c>
      <c r="J19" s="66">
        <f t="shared" si="17"/>
        <v>0</v>
      </c>
      <c r="K19" s="64">
        <v>2005</v>
      </c>
      <c r="L19" s="52">
        <f t="shared" si="3"/>
        <v>5</v>
      </c>
      <c r="M19" s="64">
        <v>147032</v>
      </c>
      <c r="N19" s="409">
        <f t="shared" si="5"/>
        <v>352</v>
      </c>
      <c r="O19" s="67">
        <f t="shared" si="6"/>
        <v>352.20238095238096</v>
      </c>
      <c r="P19" s="64">
        <f t="shared" si="18"/>
        <v>1803</v>
      </c>
      <c r="Q19" s="64">
        <f t="shared" si="43"/>
        <v>152974</v>
      </c>
      <c r="R19" s="408">
        <f t="shared" si="40"/>
        <v>0</v>
      </c>
      <c r="S19" s="52">
        <f t="shared" si="8"/>
        <v>0</v>
      </c>
      <c r="T19" s="68">
        <f t="shared" si="30"/>
        <v>0</v>
      </c>
      <c r="U19" s="415">
        <f t="shared" si="19"/>
        <v>5</v>
      </c>
      <c r="V19" s="62">
        <f t="shared" si="20"/>
        <v>352</v>
      </c>
      <c r="W19" s="413"/>
      <c r="X19" s="64">
        <f t="shared" si="9"/>
        <v>2418</v>
      </c>
      <c r="Y19" s="52">
        <f t="shared" si="22"/>
        <v>0</v>
      </c>
      <c r="Z19" s="64">
        <f t="shared" si="10"/>
        <v>135964.1</v>
      </c>
      <c r="AA19" s="65">
        <f t="shared" si="11"/>
        <v>0</v>
      </c>
      <c r="AB19" s="294">
        <f t="shared" si="44"/>
        <v>0</v>
      </c>
      <c r="AC19" s="64">
        <f t="shared" si="12"/>
        <v>1848</v>
      </c>
      <c r="AD19" s="45">
        <f t="shared" si="13"/>
        <v>0</v>
      </c>
      <c r="AE19" s="64">
        <f t="shared" si="14"/>
        <v>360299.4</v>
      </c>
      <c r="AF19" s="316">
        <f t="shared" si="23"/>
        <v>0</v>
      </c>
      <c r="AG19" s="213">
        <f t="shared" si="32"/>
        <v>0</v>
      </c>
      <c r="AH19" s="62">
        <f t="shared" si="33"/>
        <v>0</v>
      </c>
      <c r="AI19" s="328">
        <f t="shared" si="24"/>
        <v>352</v>
      </c>
      <c r="AJ19" s="328">
        <f>-tanks!AW20</f>
        <v>352</v>
      </c>
      <c r="AK19" s="328">
        <f t="shared" si="25"/>
        <v>0</v>
      </c>
      <c r="AL19" s="328">
        <f>S19+L20+G19</f>
        <v>5</v>
      </c>
      <c r="AM19" s="328">
        <f t="shared" si="26"/>
        <v>0</v>
      </c>
      <c r="AN19" s="64">
        <v>67</v>
      </c>
      <c r="AO19" s="330">
        <f t="shared" si="27"/>
        <v>2010.0000000000002</v>
      </c>
      <c r="AP19" s="64">
        <v>67</v>
      </c>
      <c r="AQ19" s="330">
        <f t="shared" si="28"/>
        <v>2010.0000000000002</v>
      </c>
      <c r="AR19" s="64">
        <v>58</v>
      </c>
      <c r="AS19" s="330">
        <f t="shared" si="34"/>
        <v>1739.9999999999998</v>
      </c>
      <c r="AT19" s="330">
        <f t="shared" si="35"/>
        <v>5760</v>
      </c>
      <c r="AU19" s="330">
        <f t="shared" si="36"/>
        <v>120</v>
      </c>
      <c r="AV19" s="276"/>
      <c r="AW19" s="276"/>
      <c r="AX19" s="323">
        <f t="shared" si="29"/>
        <v>0.7</v>
      </c>
    </row>
    <row r="20" spans="1:50">
      <c r="A20" s="63">
        <f>ELEC!C18</f>
        <v>43998</v>
      </c>
      <c r="B20" s="64">
        <v>166</v>
      </c>
      <c r="C20" s="64">
        <v>172</v>
      </c>
      <c r="D20" s="45">
        <f>C19-C20</f>
        <v>6</v>
      </c>
      <c r="E20" s="45">
        <f t="shared" si="16"/>
        <v>50.28</v>
      </c>
      <c r="F20" s="64">
        <f t="shared" si="42"/>
        <v>1596</v>
      </c>
      <c r="G20" s="52">
        <f t="shared" si="1"/>
        <v>0</v>
      </c>
      <c r="H20" s="64">
        <v>353837</v>
      </c>
      <c r="I20" s="409">
        <f t="shared" si="2"/>
        <v>0</v>
      </c>
      <c r="J20" s="66">
        <f t="shared" si="17"/>
        <v>0</v>
      </c>
      <c r="K20" s="64">
        <v>2010</v>
      </c>
      <c r="L20" s="52">
        <f t="shared" si="3"/>
        <v>5</v>
      </c>
      <c r="M20" s="64">
        <v>147378</v>
      </c>
      <c r="N20" s="409">
        <f t="shared" si="5"/>
        <v>346</v>
      </c>
      <c r="O20" s="67">
        <f t="shared" si="6"/>
        <v>352.20238095238096</v>
      </c>
      <c r="P20" s="64">
        <f t="shared" si="18"/>
        <v>1803</v>
      </c>
      <c r="Q20" s="64">
        <f t="shared" si="43"/>
        <v>152974</v>
      </c>
      <c r="R20" s="408">
        <f t="shared" si="40"/>
        <v>0</v>
      </c>
      <c r="S20" s="52">
        <f t="shared" si="8"/>
        <v>0</v>
      </c>
      <c r="T20" s="68">
        <f t="shared" si="30"/>
        <v>0</v>
      </c>
      <c r="U20" s="415">
        <f t="shared" si="19"/>
        <v>5</v>
      </c>
      <c r="V20" s="62">
        <f t="shared" si="20"/>
        <v>346</v>
      </c>
      <c r="W20" s="413"/>
      <c r="X20" s="64">
        <f t="shared" si="9"/>
        <v>2418</v>
      </c>
      <c r="Y20" s="52">
        <f t="shared" si="22"/>
        <v>0</v>
      </c>
      <c r="Z20" s="64">
        <f t="shared" si="10"/>
        <v>135964.1</v>
      </c>
      <c r="AA20" s="65">
        <f t="shared" si="11"/>
        <v>0</v>
      </c>
      <c r="AB20" s="294">
        <f t="shared" si="44"/>
        <v>0</v>
      </c>
      <c r="AC20" s="64">
        <f t="shared" si="12"/>
        <v>1848</v>
      </c>
      <c r="AD20" s="45">
        <f t="shared" si="13"/>
        <v>0</v>
      </c>
      <c r="AE20" s="64">
        <f t="shared" si="14"/>
        <v>360299.4</v>
      </c>
      <c r="AF20" s="316">
        <f t="shared" si="23"/>
        <v>0</v>
      </c>
      <c r="AG20" s="213">
        <f t="shared" si="32"/>
        <v>0</v>
      </c>
      <c r="AH20" s="62">
        <f t="shared" si="33"/>
        <v>0</v>
      </c>
      <c r="AI20" s="328">
        <f t="shared" si="24"/>
        <v>346</v>
      </c>
      <c r="AJ20" s="328">
        <f>-tanks!AW21</f>
        <v>346</v>
      </c>
      <c r="AK20" s="328">
        <f t="shared" si="25"/>
        <v>0</v>
      </c>
      <c r="AL20" s="328">
        <f>S20+L21+G20</f>
        <v>4</v>
      </c>
      <c r="AM20" s="328">
        <f t="shared" si="26"/>
        <v>0</v>
      </c>
      <c r="AN20" s="64">
        <v>66</v>
      </c>
      <c r="AO20" s="330">
        <f t="shared" si="27"/>
        <v>1980</v>
      </c>
      <c r="AP20" s="64">
        <v>66</v>
      </c>
      <c r="AQ20" s="330">
        <f t="shared" si="28"/>
        <v>1980</v>
      </c>
      <c r="AR20" s="64">
        <v>57</v>
      </c>
      <c r="AS20" s="330">
        <f t="shared" si="34"/>
        <v>1709.9999999999998</v>
      </c>
      <c r="AT20" s="330">
        <f t="shared" si="35"/>
        <v>5670</v>
      </c>
      <c r="AU20" s="330">
        <f t="shared" si="36"/>
        <v>90</v>
      </c>
      <c r="AV20" s="276"/>
      <c r="AW20" s="276"/>
      <c r="AX20" s="323">
        <f t="shared" si="29"/>
        <v>0.7</v>
      </c>
    </row>
    <row r="21" spans="1:50">
      <c r="A21" s="63">
        <f>ELEC!C19</f>
        <v>43999</v>
      </c>
      <c r="B21" s="64">
        <v>192</v>
      </c>
      <c r="C21" s="64">
        <v>198</v>
      </c>
      <c r="D21" s="45">
        <f t="shared" ref="D21:D31" si="45">C20-C21</f>
        <v>-26</v>
      </c>
      <c r="E21" s="45">
        <f t="shared" si="16"/>
        <v>-217.88000000000002</v>
      </c>
      <c r="F21" s="64">
        <f t="shared" si="42"/>
        <v>1596</v>
      </c>
      <c r="G21" s="52">
        <f t="shared" si="1"/>
        <v>0</v>
      </c>
      <c r="H21" s="64">
        <f t="shared" si="42"/>
        <v>353837</v>
      </c>
      <c r="I21" s="409">
        <f t="shared" si="2"/>
        <v>0</v>
      </c>
      <c r="J21" s="66">
        <f t="shared" si="17"/>
        <v>0</v>
      </c>
      <c r="K21" s="64">
        <v>2014</v>
      </c>
      <c r="L21" s="52">
        <f t="shared" si="3"/>
        <v>4</v>
      </c>
      <c r="M21" s="64">
        <v>147690</v>
      </c>
      <c r="N21" s="409">
        <f t="shared" si="5"/>
        <v>312</v>
      </c>
      <c r="O21" s="67">
        <f t="shared" si="6"/>
        <v>281.76190476190476</v>
      </c>
      <c r="P21" s="64">
        <f t="shared" si="18"/>
        <v>1803</v>
      </c>
      <c r="Q21" s="64">
        <f t="shared" si="43"/>
        <v>152974</v>
      </c>
      <c r="R21" s="408">
        <f t="shared" si="40"/>
        <v>0</v>
      </c>
      <c r="S21" s="52">
        <f t="shared" si="8"/>
        <v>0</v>
      </c>
      <c r="T21" s="68">
        <f t="shared" si="30"/>
        <v>0</v>
      </c>
      <c r="U21" s="415">
        <f t="shared" si="19"/>
        <v>4</v>
      </c>
      <c r="V21" s="62">
        <f t="shared" si="20"/>
        <v>312</v>
      </c>
      <c r="W21" s="413"/>
      <c r="X21" s="64">
        <f t="shared" si="9"/>
        <v>2418</v>
      </c>
      <c r="Y21" s="52">
        <f t="shared" si="22"/>
        <v>0</v>
      </c>
      <c r="Z21" s="64">
        <f t="shared" si="10"/>
        <v>135964.1</v>
      </c>
      <c r="AA21" s="65">
        <f t="shared" si="11"/>
        <v>0</v>
      </c>
      <c r="AB21" s="294">
        <f t="shared" si="44"/>
        <v>0</v>
      </c>
      <c r="AC21" s="64">
        <f t="shared" si="12"/>
        <v>1848</v>
      </c>
      <c r="AD21" s="45">
        <f t="shared" si="13"/>
        <v>0</v>
      </c>
      <c r="AE21" s="64">
        <f t="shared" si="14"/>
        <v>360299.4</v>
      </c>
      <c r="AF21" s="316">
        <f t="shared" si="23"/>
        <v>0</v>
      </c>
      <c r="AG21" s="213">
        <f t="shared" si="32"/>
        <v>0</v>
      </c>
      <c r="AH21" s="62">
        <f t="shared" si="33"/>
        <v>0</v>
      </c>
      <c r="AI21" s="328">
        <f t="shared" si="24"/>
        <v>312</v>
      </c>
      <c r="AJ21" s="328">
        <f>-tanks!AW22</f>
        <v>312</v>
      </c>
      <c r="AK21" s="328">
        <f t="shared" si="25"/>
        <v>0</v>
      </c>
      <c r="AL21" s="328">
        <f t="shared" ref="AL21:AL34" si="46">S21+L21+G21</f>
        <v>4</v>
      </c>
      <c r="AM21" s="328">
        <f t="shared" si="26"/>
        <v>0</v>
      </c>
      <c r="AN21" s="64">
        <f t="shared" si="38"/>
        <v>66</v>
      </c>
      <c r="AO21" s="330">
        <f t="shared" si="27"/>
        <v>1980</v>
      </c>
      <c r="AP21" s="64">
        <f t="shared" si="39"/>
        <v>66</v>
      </c>
      <c r="AQ21" s="330">
        <f t="shared" si="28"/>
        <v>1980</v>
      </c>
      <c r="AR21" s="64">
        <v>54</v>
      </c>
      <c r="AS21" s="330">
        <f t="shared" si="34"/>
        <v>1620</v>
      </c>
      <c r="AT21" s="330">
        <f t="shared" si="35"/>
        <v>5580</v>
      </c>
      <c r="AU21" s="330">
        <f t="shared" si="36"/>
        <v>90</v>
      </c>
      <c r="AV21" s="276"/>
      <c r="AW21" s="276"/>
      <c r="AX21" s="323">
        <f t="shared" si="29"/>
        <v>0.7</v>
      </c>
    </row>
    <row r="22" spans="1:50" ht="16.5" customHeight="1">
      <c r="A22" s="63">
        <f>ELEC!C20</f>
        <v>44000</v>
      </c>
      <c r="B22" s="64">
        <v>183</v>
      </c>
      <c r="C22" s="64">
        <v>189</v>
      </c>
      <c r="D22" s="45">
        <f t="shared" si="45"/>
        <v>9</v>
      </c>
      <c r="E22" s="45">
        <f t="shared" si="16"/>
        <v>75.42</v>
      </c>
      <c r="F22" s="64">
        <v>1596</v>
      </c>
      <c r="G22" s="52">
        <f t="shared" si="1"/>
        <v>0</v>
      </c>
      <c r="H22" s="64">
        <v>353837</v>
      </c>
      <c r="I22" s="409">
        <f t="shared" si="2"/>
        <v>0</v>
      </c>
      <c r="J22" s="66">
        <f t="shared" si="17"/>
        <v>0</v>
      </c>
      <c r="K22" s="64">
        <v>2019</v>
      </c>
      <c r="L22" s="52">
        <f t="shared" si="3"/>
        <v>5</v>
      </c>
      <c r="M22" s="64">
        <v>148041</v>
      </c>
      <c r="N22" s="409">
        <f t="shared" si="5"/>
        <v>351</v>
      </c>
      <c r="O22" s="67">
        <f t="shared" si="6"/>
        <v>352.20238095238096</v>
      </c>
      <c r="P22" s="64">
        <v>1803</v>
      </c>
      <c r="Q22" s="64">
        <v>152974</v>
      </c>
      <c r="R22" s="408">
        <f t="shared" si="40"/>
        <v>0</v>
      </c>
      <c r="S22" s="52">
        <f t="shared" si="8"/>
        <v>0</v>
      </c>
      <c r="T22" s="68">
        <f t="shared" si="30"/>
        <v>0</v>
      </c>
      <c r="U22" s="415">
        <f t="shared" si="19"/>
        <v>5</v>
      </c>
      <c r="V22" s="62">
        <f t="shared" si="20"/>
        <v>351</v>
      </c>
      <c r="W22" s="413"/>
      <c r="X22" s="64">
        <v>2418</v>
      </c>
      <c r="Y22" s="52">
        <f t="shared" si="22"/>
        <v>0</v>
      </c>
      <c r="Z22" s="64">
        <v>135964.1</v>
      </c>
      <c r="AA22" s="65">
        <f t="shared" si="11"/>
        <v>0</v>
      </c>
      <c r="AB22" s="294">
        <f t="shared" si="44"/>
        <v>0</v>
      </c>
      <c r="AC22" s="64">
        <v>1852</v>
      </c>
      <c r="AD22" s="45">
        <f t="shared" si="13"/>
        <v>4</v>
      </c>
      <c r="AE22" s="64">
        <v>360537</v>
      </c>
      <c r="AF22" s="316">
        <f t="shared" si="23"/>
        <v>237.59999999997672</v>
      </c>
      <c r="AG22" s="213">
        <f t="shared" si="32"/>
        <v>59.399999999994179</v>
      </c>
      <c r="AH22" s="62">
        <f t="shared" si="33"/>
        <v>237.59999999997672</v>
      </c>
      <c r="AI22" s="328">
        <f t="shared" si="24"/>
        <v>588.59999999997672</v>
      </c>
      <c r="AJ22" s="328">
        <f>-tanks!AW23</f>
        <v>588.59999999997672</v>
      </c>
      <c r="AK22" s="328">
        <f t="shared" si="25"/>
        <v>0</v>
      </c>
      <c r="AL22" s="328">
        <f t="shared" si="46"/>
        <v>5</v>
      </c>
      <c r="AM22" s="328">
        <f t="shared" si="26"/>
        <v>4</v>
      </c>
      <c r="AN22" s="64">
        <v>80</v>
      </c>
      <c r="AO22" s="330">
        <f t="shared" si="27"/>
        <v>2400</v>
      </c>
      <c r="AP22" s="64">
        <v>80</v>
      </c>
      <c r="AQ22" s="330">
        <f t="shared" si="28"/>
        <v>2400</v>
      </c>
      <c r="AR22" s="64">
        <v>79</v>
      </c>
      <c r="AS22" s="330">
        <f t="shared" si="34"/>
        <v>2370</v>
      </c>
      <c r="AT22" s="330">
        <f t="shared" si="35"/>
        <v>7170</v>
      </c>
      <c r="AU22" s="330">
        <f t="shared" si="36"/>
        <v>510</v>
      </c>
      <c r="AV22" s="276">
        <v>2100</v>
      </c>
      <c r="AW22" s="276">
        <v>0.7</v>
      </c>
      <c r="AX22" s="323">
        <f t="shared" si="29"/>
        <v>0.7</v>
      </c>
    </row>
    <row r="23" spans="1:50">
      <c r="A23" s="63">
        <f>ELEC!C21</f>
        <v>44001</v>
      </c>
      <c r="B23" s="64">
        <f t="shared" ref="B23:C34" si="47">B22</f>
        <v>183</v>
      </c>
      <c r="C23" s="64">
        <f t="shared" si="47"/>
        <v>189</v>
      </c>
      <c r="D23" s="45">
        <f t="shared" si="45"/>
        <v>0</v>
      </c>
      <c r="E23" s="45">
        <f t="shared" si="16"/>
        <v>0</v>
      </c>
      <c r="F23" s="64">
        <f t="shared" si="42"/>
        <v>1596</v>
      </c>
      <c r="G23" s="52">
        <f t="shared" si="1"/>
        <v>0</v>
      </c>
      <c r="H23" s="64">
        <f t="shared" si="42"/>
        <v>353837</v>
      </c>
      <c r="I23" s="409">
        <f t="shared" si="2"/>
        <v>0</v>
      </c>
      <c r="J23" s="66">
        <f t="shared" si="17"/>
        <v>0</v>
      </c>
      <c r="K23" s="64">
        <f t="shared" si="37"/>
        <v>2019</v>
      </c>
      <c r="L23" s="52">
        <f t="shared" si="3"/>
        <v>0</v>
      </c>
      <c r="M23" s="64">
        <f t="shared" si="4"/>
        <v>148041</v>
      </c>
      <c r="N23" s="409">
        <f t="shared" si="5"/>
        <v>0</v>
      </c>
      <c r="O23" s="67">
        <f t="shared" si="6"/>
        <v>0</v>
      </c>
      <c r="P23" s="64">
        <f t="shared" si="18"/>
        <v>1803</v>
      </c>
      <c r="Q23" s="64">
        <f t="shared" si="43"/>
        <v>152974</v>
      </c>
      <c r="R23" s="408">
        <f t="shared" si="40"/>
        <v>0</v>
      </c>
      <c r="S23" s="52">
        <f t="shared" si="8"/>
        <v>0</v>
      </c>
      <c r="T23" s="68">
        <f t="shared" si="30"/>
        <v>0</v>
      </c>
      <c r="U23" s="415">
        <f t="shared" si="19"/>
        <v>0</v>
      </c>
      <c r="V23" s="62">
        <f t="shared" si="20"/>
        <v>0</v>
      </c>
      <c r="W23" s="413"/>
      <c r="X23" s="64">
        <f t="shared" si="9"/>
        <v>2418</v>
      </c>
      <c r="Y23" s="52">
        <f t="shared" si="22"/>
        <v>0</v>
      </c>
      <c r="Z23" s="64">
        <f t="shared" si="10"/>
        <v>135964.1</v>
      </c>
      <c r="AA23" s="65">
        <f t="shared" si="11"/>
        <v>0</v>
      </c>
      <c r="AB23" s="294">
        <f t="shared" si="44"/>
        <v>0</v>
      </c>
      <c r="AC23" s="64">
        <f t="shared" si="12"/>
        <v>1852</v>
      </c>
      <c r="AD23" s="45">
        <f t="shared" si="13"/>
        <v>0</v>
      </c>
      <c r="AE23" s="64">
        <f t="shared" si="14"/>
        <v>360537</v>
      </c>
      <c r="AF23" s="316">
        <f t="shared" si="23"/>
        <v>0</v>
      </c>
      <c r="AG23" s="213">
        <f t="shared" si="32"/>
        <v>0</v>
      </c>
      <c r="AH23" s="62">
        <f t="shared" si="33"/>
        <v>0</v>
      </c>
      <c r="AI23" s="328">
        <f t="shared" si="24"/>
        <v>0</v>
      </c>
      <c r="AJ23" s="328">
        <f>-tanks!AW24</f>
        <v>0</v>
      </c>
      <c r="AK23" s="328">
        <f t="shared" si="25"/>
        <v>0</v>
      </c>
      <c r="AL23" s="328">
        <f t="shared" si="46"/>
        <v>0</v>
      </c>
      <c r="AM23" s="328">
        <f t="shared" si="26"/>
        <v>0</v>
      </c>
      <c r="AN23" s="64">
        <f t="shared" si="38"/>
        <v>80</v>
      </c>
      <c r="AO23" s="330">
        <f t="shared" si="27"/>
        <v>2400</v>
      </c>
      <c r="AP23" s="64">
        <f t="shared" si="39"/>
        <v>80</v>
      </c>
      <c r="AQ23" s="330">
        <f t="shared" si="28"/>
        <v>2400</v>
      </c>
      <c r="AR23" s="64">
        <f t="shared" si="41"/>
        <v>79</v>
      </c>
      <c r="AS23" s="330">
        <f t="shared" si="34"/>
        <v>2370</v>
      </c>
      <c r="AT23" s="330">
        <f t="shared" si="35"/>
        <v>7170</v>
      </c>
      <c r="AU23" s="330">
        <f t="shared" si="36"/>
        <v>0</v>
      </c>
      <c r="AV23" s="276"/>
      <c r="AW23" s="276"/>
      <c r="AX23" s="323">
        <f t="shared" si="29"/>
        <v>0.7</v>
      </c>
    </row>
    <row r="24" spans="1:50">
      <c r="A24" s="63">
        <f>ELEC!C22</f>
        <v>44002</v>
      </c>
      <c r="B24" s="64">
        <f t="shared" si="47"/>
        <v>183</v>
      </c>
      <c r="C24" s="64">
        <f t="shared" si="47"/>
        <v>189</v>
      </c>
      <c r="D24" s="45">
        <f t="shared" si="45"/>
        <v>0</v>
      </c>
      <c r="E24" s="45">
        <f t="shared" si="16"/>
        <v>0</v>
      </c>
      <c r="F24" s="64">
        <f t="shared" si="42"/>
        <v>1596</v>
      </c>
      <c r="G24" s="52">
        <f t="shared" si="1"/>
        <v>0</v>
      </c>
      <c r="H24" s="64">
        <f t="shared" si="42"/>
        <v>353837</v>
      </c>
      <c r="I24" s="409">
        <f t="shared" si="2"/>
        <v>0</v>
      </c>
      <c r="J24" s="66">
        <f t="shared" si="17"/>
        <v>0</v>
      </c>
      <c r="K24" s="64">
        <f t="shared" si="37"/>
        <v>2019</v>
      </c>
      <c r="L24" s="52">
        <f t="shared" si="3"/>
        <v>0</v>
      </c>
      <c r="M24" s="64">
        <f t="shared" si="4"/>
        <v>148041</v>
      </c>
      <c r="N24" s="409">
        <f t="shared" si="5"/>
        <v>0</v>
      </c>
      <c r="O24" s="67">
        <f t="shared" si="6"/>
        <v>0</v>
      </c>
      <c r="P24" s="64">
        <f t="shared" si="18"/>
        <v>1803</v>
      </c>
      <c r="Q24" s="64">
        <f t="shared" si="43"/>
        <v>152974</v>
      </c>
      <c r="R24" s="408">
        <f t="shared" si="40"/>
        <v>0</v>
      </c>
      <c r="S24" s="52">
        <f t="shared" si="8"/>
        <v>0</v>
      </c>
      <c r="T24" s="68">
        <f t="shared" si="30"/>
        <v>0</v>
      </c>
      <c r="U24" s="415">
        <f t="shared" si="19"/>
        <v>0</v>
      </c>
      <c r="V24" s="62">
        <f t="shared" si="20"/>
        <v>0</v>
      </c>
      <c r="W24" s="413"/>
      <c r="X24" s="64">
        <f t="shared" si="9"/>
        <v>2418</v>
      </c>
      <c r="Y24" s="52">
        <f t="shared" si="22"/>
        <v>0</v>
      </c>
      <c r="Z24" s="64">
        <f t="shared" si="10"/>
        <v>135964.1</v>
      </c>
      <c r="AA24" s="65">
        <f t="shared" si="11"/>
        <v>0</v>
      </c>
      <c r="AB24" s="294">
        <f t="shared" ref="AB24:AB34" si="48">SUM(Y24*$AB$2)</f>
        <v>0</v>
      </c>
      <c r="AC24" s="64">
        <f t="shared" si="12"/>
        <v>1852</v>
      </c>
      <c r="AD24" s="45">
        <f t="shared" si="13"/>
        <v>0</v>
      </c>
      <c r="AE24" s="64">
        <f t="shared" si="14"/>
        <v>360537</v>
      </c>
      <c r="AF24" s="316">
        <f t="shared" si="23"/>
        <v>0</v>
      </c>
      <c r="AG24" s="213">
        <f t="shared" si="32"/>
        <v>0</v>
      </c>
      <c r="AH24" s="62">
        <f t="shared" si="33"/>
        <v>0</v>
      </c>
      <c r="AI24" s="328">
        <f t="shared" si="24"/>
        <v>0</v>
      </c>
      <c r="AJ24" s="328">
        <f>-tanks!AW25</f>
        <v>0</v>
      </c>
      <c r="AK24" s="328">
        <f t="shared" si="25"/>
        <v>0</v>
      </c>
      <c r="AL24" s="328">
        <f t="shared" si="46"/>
        <v>0</v>
      </c>
      <c r="AM24" s="328">
        <f t="shared" si="26"/>
        <v>0</v>
      </c>
      <c r="AN24" s="64">
        <f t="shared" si="38"/>
        <v>80</v>
      </c>
      <c r="AO24" s="330">
        <f t="shared" si="27"/>
        <v>2400</v>
      </c>
      <c r="AP24" s="64">
        <f t="shared" si="39"/>
        <v>80</v>
      </c>
      <c r="AQ24" s="330">
        <f t="shared" si="28"/>
        <v>2400</v>
      </c>
      <c r="AR24" s="64">
        <f t="shared" si="41"/>
        <v>79</v>
      </c>
      <c r="AS24" s="330">
        <f t="shared" si="34"/>
        <v>2370</v>
      </c>
      <c r="AT24" s="330">
        <f t="shared" ref="AT24:AT34" si="49">SUM(AO24+AQ24+AS24)</f>
        <v>7170</v>
      </c>
      <c r="AU24" s="330">
        <f t="shared" si="36"/>
        <v>0</v>
      </c>
      <c r="AV24" s="276"/>
      <c r="AW24" s="276"/>
      <c r="AX24" s="323">
        <f t="shared" si="29"/>
        <v>0.7</v>
      </c>
    </row>
    <row r="25" spans="1:50" ht="13.5" customHeight="1">
      <c r="A25" s="63">
        <f>ELEC!C23</f>
        <v>44003</v>
      </c>
      <c r="B25" s="64">
        <f t="shared" si="47"/>
        <v>183</v>
      </c>
      <c r="C25" s="64">
        <f t="shared" si="47"/>
        <v>189</v>
      </c>
      <c r="D25" s="45">
        <f t="shared" si="45"/>
        <v>0</v>
      </c>
      <c r="E25" s="45">
        <f t="shared" si="16"/>
        <v>0</v>
      </c>
      <c r="F25" s="64">
        <f t="shared" si="42"/>
        <v>1596</v>
      </c>
      <c r="G25" s="52">
        <f t="shared" si="1"/>
        <v>0</v>
      </c>
      <c r="H25" s="64">
        <f t="shared" si="42"/>
        <v>353837</v>
      </c>
      <c r="I25" s="409">
        <f t="shared" si="2"/>
        <v>0</v>
      </c>
      <c r="J25" s="66">
        <f t="shared" si="17"/>
        <v>0</v>
      </c>
      <c r="K25" s="64">
        <f t="shared" si="37"/>
        <v>2019</v>
      </c>
      <c r="L25" s="52">
        <f t="shared" si="3"/>
        <v>0</v>
      </c>
      <c r="M25" s="64">
        <f t="shared" si="4"/>
        <v>148041</v>
      </c>
      <c r="N25" s="409">
        <f t="shared" si="5"/>
        <v>0</v>
      </c>
      <c r="O25" s="67">
        <f t="shared" si="6"/>
        <v>0</v>
      </c>
      <c r="P25" s="64">
        <f t="shared" si="18"/>
        <v>1803</v>
      </c>
      <c r="Q25" s="64">
        <f t="shared" si="43"/>
        <v>152974</v>
      </c>
      <c r="R25" s="408">
        <f t="shared" si="40"/>
        <v>0</v>
      </c>
      <c r="S25" s="52">
        <f t="shared" si="8"/>
        <v>0</v>
      </c>
      <c r="T25" s="68">
        <f t="shared" si="30"/>
        <v>0</v>
      </c>
      <c r="U25" s="415">
        <f t="shared" si="19"/>
        <v>0</v>
      </c>
      <c r="V25" s="62">
        <f t="shared" si="20"/>
        <v>0</v>
      </c>
      <c r="W25" s="413"/>
      <c r="X25" s="64">
        <f t="shared" si="9"/>
        <v>2418</v>
      </c>
      <c r="Y25" s="52">
        <f t="shared" si="22"/>
        <v>0</v>
      </c>
      <c r="Z25" s="64">
        <f t="shared" si="10"/>
        <v>135964.1</v>
      </c>
      <c r="AA25" s="65">
        <f t="shared" si="11"/>
        <v>0</v>
      </c>
      <c r="AB25" s="294">
        <f t="shared" si="48"/>
        <v>0</v>
      </c>
      <c r="AC25" s="64">
        <f t="shared" si="12"/>
        <v>1852</v>
      </c>
      <c r="AD25" s="45">
        <f t="shared" si="13"/>
        <v>0</v>
      </c>
      <c r="AE25" s="64">
        <f t="shared" si="14"/>
        <v>360537</v>
      </c>
      <c r="AF25" s="316">
        <f t="shared" si="23"/>
        <v>0</v>
      </c>
      <c r="AG25" s="213">
        <f t="shared" si="32"/>
        <v>0</v>
      </c>
      <c r="AH25" s="62">
        <f t="shared" si="33"/>
        <v>0</v>
      </c>
      <c r="AI25" s="328">
        <f t="shared" si="24"/>
        <v>0</v>
      </c>
      <c r="AJ25" s="328">
        <f>-tanks!AW26</f>
        <v>0</v>
      </c>
      <c r="AK25" s="328">
        <f t="shared" si="25"/>
        <v>0</v>
      </c>
      <c r="AL25" s="328">
        <f t="shared" si="46"/>
        <v>0</v>
      </c>
      <c r="AM25" s="328">
        <f t="shared" si="26"/>
        <v>0</v>
      </c>
      <c r="AN25" s="64">
        <f t="shared" si="38"/>
        <v>80</v>
      </c>
      <c r="AO25" s="330">
        <f t="shared" si="27"/>
        <v>2400</v>
      </c>
      <c r="AP25" s="64">
        <f t="shared" si="39"/>
        <v>80</v>
      </c>
      <c r="AQ25" s="330">
        <f t="shared" ref="AQ25:AQ34" si="50">(AP25/100)*3000</f>
        <v>2400</v>
      </c>
      <c r="AR25" s="64">
        <f t="shared" si="41"/>
        <v>79</v>
      </c>
      <c r="AS25" s="330">
        <f t="shared" si="34"/>
        <v>2370</v>
      </c>
      <c r="AT25" s="330">
        <f t="shared" si="49"/>
        <v>7170</v>
      </c>
      <c r="AU25" s="330">
        <f t="shared" si="36"/>
        <v>0</v>
      </c>
      <c r="AV25" s="276"/>
      <c r="AW25" s="276"/>
      <c r="AX25" s="323">
        <f t="shared" si="29"/>
        <v>0.7</v>
      </c>
    </row>
    <row r="26" spans="1:50" ht="14.25" customHeight="1">
      <c r="A26" s="63">
        <f>ELEC!C24</f>
        <v>44004</v>
      </c>
      <c r="B26" s="64">
        <f t="shared" si="47"/>
        <v>183</v>
      </c>
      <c r="C26" s="64">
        <f t="shared" si="47"/>
        <v>189</v>
      </c>
      <c r="D26" s="45">
        <f t="shared" si="45"/>
        <v>0</v>
      </c>
      <c r="E26" s="45">
        <f t="shared" si="16"/>
        <v>0</v>
      </c>
      <c r="F26" s="64">
        <f t="shared" si="42"/>
        <v>1596</v>
      </c>
      <c r="G26" s="52">
        <f t="shared" si="1"/>
        <v>0</v>
      </c>
      <c r="H26" s="64">
        <f t="shared" si="42"/>
        <v>353837</v>
      </c>
      <c r="I26" s="409">
        <f t="shared" si="2"/>
        <v>0</v>
      </c>
      <c r="J26" s="66">
        <f t="shared" si="17"/>
        <v>0</v>
      </c>
      <c r="K26" s="64">
        <f t="shared" si="37"/>
        <v>2019</v>
      </c>
      <c r="L26" s="52">
        <f t="shared" si="3"/>
        <v>0</v>
      </c>
      <c r="M26" s="64">
        <f t="shared" si="4"/>
        <v>148041</v>
      </c>
      <c r="N26" s="409">
        <f t="shared" si="5"/>
        <v>0</v>
      </c>
      <c r="O26" s="67">
        <f t="shared" si="6"/>
        <v>0</v>
      </c>
      <c r="P26" s="64">
        <f t="shared" si="18"/>
        <v>1803</v>
      </c>
      <c r="Q26" s="64">
        <f t="shared" si="43"/>
        <v>152974</v>
      </c>
      <c r="R26" s="408">
        <f t="shared" si="40"/>
        <v>0</v>
      </c>
      <c r="S26" s="52">
        <f t="shared" si="8"/>
        <v>0</v>
      </c>
      <c r="T26" s="68">
        <f t="shared" si="30"/>
        <v>0</v>
      </c>
      <c r="U26" s="415">
        <f t="shared" si="19"/>
        <v>0</v>
      </c>
      <c r="V26" s="62">
        <f t="shared" si="20"/>
        <v>0</v>
      </c>
      <c r="W26" s="413"/>
      <c r="X26" s="64">
        <f t="shared" si="9"/>
        <v>2418</v>
      </c>
      <c r="Y26" s="52">
        <f t="shared" si="22"/>
        <v>0</v>
      </c>
      <c r="Z26" s="64">
        <f t="shared" si="10"/>
        <v>135964.1</v>
      </c>
      <c r="AA26" s="65">
        <f t="shared" si="11"/>
        <v>0</v>
      </c>
      <c r="AB26" s="294">
        <f t="shared" si="48"/>
        <v>0</v>
      </c>
      <c r="AC26" s="64">
        <f t="shared" si="12"/>
        <v>1852</v>
      </c>
      <c r="AD26" s="45">
        <f t="shared" si="13"/>
        <v>0</v>
      </c>
      <c r="AE26" s="64">
        <f t="shared" si="14"/>
        <v>360537</v>
      </c>
      <c r="AF26" s="316">
        <f t="shared" si="23"/>
        <v>0</v>
      </c>
      <c r="AG26" s="213">
        <f t="shared" si="32"/>
        <v>0</v>
      </c>
      <c r="AH26" s="62">
        <f t="shared" si="33"/>
        <v>0</v>
      </c>
      <c r="AI26" s="328">
        <f t="shared" si="24"/>
        <v>0</v>
      </c>
      <c r="AJ26" s="328">
        <f>-tanks!AW27</f>
        <v>0</v>
      </c>
      <c r="AK26" s="328">
        <f t="shared" si="25"/>
        <v>0</v>
      </c>
      <c r="AL26" s="328">
        <f t="shared" si="46"/>
        <v>0</v>
      </c>
      <c r="AM26" s="328">
        <f t="shared" si="26"/>
        <v>0</v>
      </c>
      <c r="AN26" s="64">
        <f t="shared" si="38"/>
        <v>80</v>
      </c>
      <c r="AO26" s="330">
        <f t="shared" si="27"/>
        <v>2400</v>
      </c>
      <c r="AP26" s="64">
        <f t="shared" si="39"/>
        <v>80</v>
      </c>
      <c r="AQ26" s="330">
        <f t="shared" si="50"/>
        <v>2400</v>
      </c>
      <c r="AR26" s="64">
        <f t="shared" si="41"/>
        <v>79</v>
      </c>
      <c r="AS26" s="330">
        <f t="shared" si="34"/>
        <v>2370</v>
      </c>
      <c r="AT26" s="330">
        <f t="shared" si="49"/>
        <v>7170</v>
      </c>
      <c r="AU26" s="330">
        <f t="shared" si="36"/>
        <v>0</v>
      </c>
      <c r="AV26" s="276"/>
      <c r="AW26" s="276"/>
      <c r="AX26" s="323">
        <f t="shared" si="29"/>
        <v>0.7</v>
      </c>
    </row>
    <row r="27" spans="1:50">
      <c r="A27" s="63">
        <f>ELEC!C25</f>
        <v>44005</v>
      </c>
      <c r="B27" s="64">
        <f t="shared" si="47"/>
        <v>183</v>
      </c>
      <c r="C27" s="64">
        <f t="shared" si="47"/>
        <v>189</v>
      </c>
      <c r="D27" s="45">
        <f t="shared" si="45"/>
        <v>0</v>
      </c>
      <c r="E27" s="45">
        <f t="shared" si="16"/>
        <v>0</v>
      </c>
      <c r="F27" s="64">
        <f t="shared" si="42"/>
        <v>1596</v>
      </c>
      <c r="G27" s="52">
        <f t="shared" si="1"/>
        <v>0</v>
      </c>
      <c r="H27" s="64">
        <f t="shared" si="42"/>
        <v>353837</v>
      </c>
      <c r="I27" s="409">
        <f t="shared" si="2"/>
        <v>0</v>
      </c>
      <c r="J27" s="66">
        <f t="shared" si="17"/>
        <v>0</v>
      </c>
      <c r="K27" s="64">
        <f t="shared" si="37"/>
        <v>2019</v>
      </c>
      <c r="L27" s="52">
        <f t="shared" si="3"/>
        <v>0</v>
      </c>
      <c r="M27" s="64">
        <f t="shared" si="4"/>
        <v>148041</v>
      </c>
      <c r="N27" s="409">
        <f t="shared" si="5"/>
        <v>0</v>
      </c>
      <c r="O27" s="67">
        <f t="shared" si="6"/>
        <v>0</v>
      </c>
      <c r="P27" s="64">
        <f t="shared" si="18"/>
        <v>1803</v>
      </c>
      <c r="Q27" s="64">
        <f t="shared" si="43"/>
        <v>152974</v>
      </c>
      <c r="R27" s="408">
        <f t="shared" si="40"/>
        <v>0</v>
      </c>
      <c r="S27" s="52">
        <f t="shared" si="8"/>
        <v>0</v>
      </c>
      <c r="T27" s="68">
        <f t="shared" si="30"/>
        <v>0</v>
      </c>
      <c r="U27" s="415">
        <f t="shared" si="19"/>
        <v>0</v>
      </c>
      <c r="V27" s="62">
        <f t="shared" si="20"/>
        <v>0</v>
      </c>
      <c r="W27" s="413"/>
      <c r="X27" s="64">
        <f t="shared" si="9"/>
        <v>2418</v>
      </c>
      <c r="Y27" s="52">
        <f t="shared" si="22"/>
        <v>0</v>
      </c>
      <c r="Z27" s="64">
        <f t="shared" si="10"/>
        <v>135964.1</v>
      </c>
      <c r="AA27" s="65">
        <f t="shared" si="11"/>
        <v>0</v>
      </c>
      <c r="AB27" s="294">
        <f t="shared" si="48"/>
        <v>0</v>
      </c>
      <c r="AC27" s="64">
        <f t="shared" si="12"/>
        <v>1852</v>
      </c>
      <c r="AD27" s="45">
        <f t="shared" si="13"/>
        <v>0</v>
      </c>
      <c r="AE27" s="64">
        <f t="shared" si="14"/>
        <v>360537</v>
      </c>
      <c r="AF27" s="316">
        <f t="shared" si="23"/>
        <v>0</v>
      </c>
      <c r="AG27" s="213">
        <f t="shared" si="32"/>
        <v>0</v>
      </c>
      <c r="AH27" s="62">
        <f t="shared" si="33"/>
        <v>0</v>
      </c>
      <c r="AI27" s="328">
        <f t="shared" si="24"/>
        <v>0</v>
      </c>
      <c r="AJ27" s="328">
        <f>-tanks!AW28</f>
        <v>0</v>
      </c>
      <c r="AK27" s="328">
        <f t="shared" si="25"/>
        <v>0</v>
      </c>
      <c r="AL27" s="328">
        <f t="shared" si="46"/>
        <v>0</v>
      </c>
      <c r="AM27" s="328">
        <f t="shared" si="26"/>
        <v>0</v>
      </c>
      <c r="AN27" s="64">
        <f t="shared" si="38"/>
        <v>80</v>
      </c>
      <c r="AO27" s="330">
        <f>(AN27/100)*3000</f>
        <v>2400</v>
      </c>
      <c r="AP27" s="64">
        <f t="shared" si="39"/>
        <v>80</v>
      </c>
      <c r="AQ27" s="330">
        <f t="shared" si="50"/>
        <v>2400</v>
      </c>
      <c r="AR27" s="64">
        <f t="shared" si="41"/>
        <v>79</v>
      </c>
      <c r="AS27" s="330">
        <f t="shared" si="34"/>
        <v>2370</v>
      </c>
      <c r="AT27" s="330">
        <f t="shared" si="49"/>
        <v>7170</v>
      </c>
      <c r="AU27" s="330">
        <f t="shared" si="36"/>
        <v>0</v>
      </c>
      <c r="AV27" s="276"/>
      <c r="AW27" s="521"/>
      <c r="AX27" s="323">
        <f t="shared" si="29"/>
        <v>0.7</v>
      </c>
    </row>
    <row r="28" spans="1:50">
      <c r="A28" s="63">
        <f>ELEC!C26</f>
        <v>44006</v>
      </c>
      <c r="B28" s="64">
        <f t="shared" si="47"/>
        <v>183</v>
      </c>
      <c r="C28" s="64">
        <f t="shared" si="47"/>
        <v>189</v>
      </c>
      <c r="D28" s="45">
        <f t="shared" si="45"/>
        <v>0</v>
      </c>
      <c r="E28" s="45">
        <f t="shared" si="16"/>
        <v>0</v>
      </c>
      <c r="F28" s="64">
        <f t="shared" si="42"/>
        <v>1596</v>
      </c>
      <c r="G28" s="52">
        <f t="shared" si="1"/>
        <v>0</v>
      </c>
      <c r="H28" s="64">
        <f t="shared" si="42"/>
        <v>353837</v>
      </c>
      <c r="I28" s="409">
        <f t="shared" si="2"/>
        <v>0</v>
      </c>
      <c r="J28" s="66">
        <f t="shared" si="17"/>
        <v>0</v>
      </c>
      <c r="K28" s="64">
        <f t="shared" si="37"/>
        <v>2019</v>
      </c>
      <c r="L28" s="52">
        <f t="shared" si="3"/>
        <v>0</v>
      </c>
      <c r="M28" s="64">
        <f t="shared" si="4"/>
        <v>148041</v>
      </c>
      <c r="N28" s="409">
        <f t="shared" si="5"/>
        <v>0</v>
      </c>
      <c r="O28" s="67">
        <f t="shared" si="6"/>
        <v>0</v>
      </c>
      <c r="P28" s="64">
        <f t="shared" si="18"/>
        <v>1803</v>
      </c>
      <c r="Q28" s="64">
        <f t="shared" si="43"/>
        <v>152974</v>
      </c>
      <c r="R28" s="408">
        <f t="shared" si="40"/>
        <v>0</v>
      </c>
      <c r="S28" s="52">
        <f t="shared" si="8"/>
        <v>0</v>
      </c>
      <c r="T28" s="68">
        <f t="shared" si="30"/>
        <v>0</v>
      </c>
      <c r="U28" s="415">
        <f t="shared" si="19"/>
        <v>0</v>
      </c>
      <c r="V28" s="62">
        <f t="shared" si="20"/>
        <v>0</v>
      </c>
      <c r="W28" s="413"/>
      <c r="X28" s="64">
        <f t="shared" si="9"/>
        <v>2418</v>
      </c>
      <c r="Y28" s="52">
        <f t="shared" si="22"/>
        <v>0</v>
      </c>
      <c r="Z28" s="64">
        <f t="shared" si="10"/>
        <v>135964.1</v>
      </c>
      <c r="AA28" s="65">
        <f t="shared" si="11"/>
        <v>0</v>
      </c>
      <c r="AB28" s="294">
        <f t="shared" si="48"/>
        <v>0</v>
      </c>
      <c r="AC28" s="64">
        <f t="shared" si="12"/>
        <v>1852</v>
      </c>
      <c r="AD28" s="45">
        <f t="shared" si="13"/>
        <v>0</v>
      </c>
      <c r="AE28" s="64">
        <f t="shared" si="14"/>
        <v>360537</v>
      </c>
      <c r="AF28" s="316">
        <f t="shared" si="23"/>
        <v>0</v>
      </c>
      <c r="AG28" s="213">
        <f t="shared" si="32"/>
        <v>0</v>
      </c>
      <c r="AH28" s="62">
        <f t="shared" si="33"/>
        <v>0</v>
      </c>
      <c r="AI28" s="328">
        <f t="shared" si="24"/>
        <v>0</v>
      </c>
      <c r="AJ28" s="328">
        <f>-tanks!AW29</f>
        <v>0</v>
      </c>
      <c r="AK28" s="328">
        <f t="shared" si="25"/>
        <v>0</v>
      </c>
      <c r="AL28" s="328">
        <f t="shared" si="46"/>
        <v>0</v>
      </c>
      <c r="AM28" s="328">
        <f t="shared" si="26"/>
        <v>0</v>
      </c>
      <c r="AN28" s="64">
        <f t="shared" si="38"/>
        <v>80</v>
      </c>
      <c r="AO28" s="330">
        <f t="shared" ref="AO28:AO34" si="51">(AN28/100)*3000</f>
        <v>2400</v>
      </c>
      <c r="AP28" s="64">
        <f t="shared" si="39"/>
        <v>80</v>
      </c>
      <c r="AQ28" s="330">
        <f t="shared" si="50"/>
        <v>2400</v>
      </c>
      <c r="AR28" s="64">
        <f t="shared" si="41"/>
        <v>79</v>
      </c>
      <c r="AS28" s="330">
        <f t="shared" si="34"/>
        <v>2370</v>
      </c>
      <c r="AT28" s="330">
        <f t="shared" si="49"/>
        <v>7170</v>
      </c>
      <c r="AU28" s="330">
        <f t="shared" si="36"/>
        <v>0</v>
      </c>
      <c r="AV28" s="276"/>
      <c r="AW28" s="276"/>
      <c r="AX28" s="323">
        <f t="shared" si="29"/>
        <v>0.7</v>
      </c>
    </row>
    <row r="29" spans="1:50">
      <c r="A29" s="63">
        <f>ELEC!C27</f>
        <v>44007</v>
      </c>
      <c r="B29" s="64">
        <f t="shared" si="47"/>
        <v>183</v>
      </c>
      <c r="C29" s="64">
        <f t="shared" si="47"/>
        <v>189</v>
      </c>
      <c r="D29" s="45">
        <f t="shared" si="45"/>
        <v>0</v>
      </c>
      <c r="E29" s="45">
        <f t="shared" si="16"/>
        <v>0</v>
      </c>
      <c r="F29" s="64">
        <f t="shared" si="42"/>
        <v>1596</v>
      </c>
      <c r="G29" s="52">
        <f t="shared" si="1"/>
        <v>0</v>
      </c>
      <c r="H29" s="64">
        <f t="shared" si="42"/>
        <v>353837</v>
      </c>
      <c r="I29" s="409">
        <f t="shared" si="2"/>
        <v>0</v>
      </c>
      <c r="J29" s="66">
        <f t="shared" si="17"/>
        <v>0</v>
      </c>
      <c r="K29" s="64">
        <f t="shared" si="37"/>
        <v>2019</v>
      </c>
      <c r="L29" s="52">
        <f t="shared" si="3"/>
        <v>0</v>
      </c>
      <c r="M29" s="64">
        <f t="shared" si="4"/>
        <v>148041</v>
      </c>
      <c r="N29" s="409">
        <f t="shared" si="5"/>
        <v>0</v>
      </c>
      <c r="O29" s="67">
        <f t="shared" si="6"/>
        <v>0</v>
      </c>
      <c r="P29" s="64">
        <f t="shared" si="18"/>
        <v>1803</v>
      </c>
      <c r="Q29" s="64">
        <f t="shared" si="43"/>
        <v>152974</v>
      </c>
      <c r="R29" s="408">
        <f t="shared" si="40"/>
        <v>0</v>
      </c>
      <c r="S29" s="52">
        <f t="shared" si="8"/>
        <v>0</v>
      </c>
      <c r="T29" s="68">
        <f t="shared" si="30"/>
        <v>0</v>
      </c>
      <c r="U29" s="415">
        <f t="shared" si="19"/>
        <v>0</v>
      </c>
      <c r="V29" s="62">
        <f t="shared" si="20"/>
        <v>0</v>
      </c>
      <c r="W29" s="413"/>
      <c r="X29" s="64">
        <f t="shared" si="9"/>
        <v>2418</v>
      </c>
      <c r="Y29" s="52">
        <f t="shared" si="22"/>
        <v>0</v>
      </c>
      <c r="Z29" s="64">
        <f t="shared" si="10"/>
        <v>135964.1</v>
      </c>
      <c r="AA29" s="65">
        <f t="shared" si="11"/>
        <v>0</v>
      </c>
      <c r="AB29" s="294">
        <f t="shared" si="48"/>
        <v>0</v>
      </c>
      <c r="AC29" s="64">
        <f t="shared" si="12"/>
        <v>1852</v>
      </c>
      <c r="AD29" s="45">
        <f t="shared" si="13"/>
        <v>0</v>
      </c>
      <c r="AE29" s="64">
        <f t="shared" si="14"/>
        <v>360537</v>
      </c>
      <c r="AF29" s="316">
        <f t="shared" si="23"/>
        <v>0</v>
      </c>
      <c r="AG29" s="213">
        <f t="shared" si="32"/>
        <v>0</v>
      </c>
      <c r="AH29" s="62">
        <f t="shared" si="33"/>
        <v>0</v>
      </c>
      <c r="AI29" s="328">
        <f t="shared" si="24"/>
        <v>0</v>
      </c>
      <c r="AJ29" s="328">
        <f>-tanks!AW30</f>
        <v>0</v>
      </c>
      <c r="AK29" s="328">
        <f t="shared" si="25"/>
        <v>0</v>
      </c>
      <c r="AL29" s="328">
        <f t="shared" si="46"/>
        <v>0</v>
      </c>
      <c r="AM29" s="328">
        <f t="shared" si="26"/>
        <v>0</v>
      </c>
      <c r="AN29" s="64">
        <f t="shared" si="38"/>
        <v>80</v>
      </c>
      <c r="AO29" s="330">
        <f t="shared" si="51"/>
        <v>2400</v>
      </c>
      <c r="AP29" s="64">
        <f t="shared" si="39"/>
        <v>80</v>
      </c>
      <c r="AQ29" s="330">
        <f t="shared" si="50"/>
        <v>2400</v>
      </c>
      <c r="AR29" s="64">
        <f t="shared" si="41"/>
        <v>79</v>
      </c>
      <c r="AS29" s="330">
        <f t="shared" si="34"/>
        <v>2370</v>
      </c>
      <c r="AT29" s="330">
        <f>SUM(AO29+AQ29+AS29)</f>
        <v>7170</v>
      </c>
      <c r="AU29" s="330">
        <f>AT28-AT29+AV29</f>
        <v>0</v>
      </c>
      <c r="AV29" s="276"/>
      <c r="AW29" s="276"/>
      <c r="AX29" s="323">
        <f t="shared" si="29"/>
        <v>0.7</v>
      </c>
    </row>
    <row r="30" spans="1:50">
      <c r="A30" s="63">
        <f>ELEC!C28</f>
        <v>44008</v>
      </c>
      <c r="B30" s="64">
        <f t="shared" si="47"/>
        <v>183</v>
      </c>
      <c r="C30" s="64">
        <f t="shared" si="47"/>
        <v>189</v>
      </c>
      <c r="D30" s="45">
        <f t="shared" si="45"/>
        <v>0</v>
      </c>
      <c r="E30" s="45">
        <f t="shared" si="16"/>
        <v>0</v>
      </c>
      <c r="F30" s="64">
        <f t="shared" si="42"/>
        <v>1596</v>
      </c>
      <c r="G30" s="52">
        <f t="shared" si="1"/>
        <v>0</v>
      </c>
      <c r="H30" s="64">
        <f t="shared" si="42"/>
        <v>353837</v>
      </c>
      <c r="I30" s="409">
        <f t="shared" si="2"/>
        <v>0</v>
      </c>
      <c r="J30" s="66">
        <f t="shared" si="17"/>
        <v>0</v>
      </c>
      <c r="K30" s="64">
        <f t="shared" si="37"/>
        <v>2019</v>
      </c>
      <c r="L30" s="52">
        <f t="shared" si="3"/>
        <v>0</v>
      </c>
      <c r="M30" s="64">
        <f t="shared" si="4"/>
        <v>148041</v>
      </c>
      <c r="N30" s="409">
        <f t="shared" si="5"/>
        <v>0</v>
      </c>
      <c r="O30" s="67">
        <f t="shared" si="6"/>
        <v>0</v>
      </c>
      <c r="P30" s="64">
        <f t="shared" si="18"/>
        <v>1803</v>
      </c>
      <c r="Q30" s="64">
        <f t="shared" si="43"/>
        <v>152974</v>
      </c>
      <c r="R30" s="408">
        <f t="shared" si="40"/>
        <v>0</v>
      </c>
      <c r="S30" s="52">
        <f t="shared" si="8"/>
        <v>0</v>
      </c>
      <c r="T30" s="68">
        <f t="shared" si="30"/>
        <v>0</v>
      </c>
      <c r="U30" s="415">
        <f t="shared" si="19"/>
        <v>0</v>
      </c>
      <c r="V30" s="62">
        <f t="shared" si="20"/>
        <v>0</v>
      </c>
      <c r="W30" s="413"/>
      <c r="X30" s="64">
        <f t="shared" si="9"/>
        <v>2418</v>
      </c>
      <c r="Y30" s="52">
        <f t="shared" si="22"/>
        <v>0</v>
      </c>
      <c r="Z30" s="64">
        <f t="shared" si="10"/>
        <v>135964.1</v>
      </c>
      <c r="AA30" s="65">
        <f t="shared" si="11"/>
        <v>0</v>
      </c>
      <c r="AB30" s="294">
        <f t="shared" si="48"/>
        <v>0</v>
      </c>
      <c r="AC30" s="64">
        <f t="shared" si="12"/>
        <v>1852</v>
      </c>
      <c r="AD30" s="45">
        <f t="shared" si="13"/>
        <v>0</v>
      </c>
      <c r="AE30" s="64">
        <f t="shared" si="14"/>
        <v>360537</v>
      </c>
      <c r="AF30" s="316">
        <f t="shared" si="23"/>
        <v>0</v>
      </c>
      <c r="AG30" s="213">
        <f t="shared" si="32"/>
        <v>0</v>
      </c>
      <c r="AH30" s="62">
        <f t="shared" si="33"/>
        <v>0</v>
      </c>
      <c r="AI30" s="328">
        <f t="shared" si="24"/>
        <v>0</v>
      </c>
      <c r="AJ30" s="328">
        <f>-tanks!AW31</f>
        <v>0</v>
      </c>
      <c r="AK30" s="328">
        <f t="shared" si="25"/>
        <v>0</v>
      </c>
      <c r="AL30" s="328">
        <f t="shared" si="46"/>
        <v>0</v>
      </c>
      <c r="AM30" s="328">
        <f t="shared" si="26"/>
        <v>0</v>
      </c>
      <c r="AN30" s="64">
        <f t="shared" si="38"/>
        <v>80</v>
      </c>
      <c r="AO30" s="330">
        <f t="shared" si="51"/>
        <v>2400</v>
      </c>
      <c r="AP30" s="64">
        <f t="shared" si="39"/>
        <v>80</v>
      </c>
      <c r="AQ30" s="330">
        <f t="shared" si="50"/>
        <v>2400</v>
      </c>
      <c r="AR30" s="64">
        <f t="shared" si="41"/>
        <v>79</v>
      </c>
      <c r="AS30" s="330">
        <f t="shared" si="34"/>
        <v>2370</v>
      </c>
      <c r="AT30" s="330">
        <f t="shared" si="49"/>
        <v>7170</v>
      </c>
      <c r="AU30" s="330">
        <f t="shared" si="36"/>
        <v>0</v>
      </c>
      <c r="AV30" s="276"/>
      <c r="AW30" s="276"/>
      <c r="AX30" s="323">
        <f t="shared" si="29"/>
        <v>0.7</v>
      </c>
    </row>
    <row r="31" spans="1:50">
      <c r="A31" s="63">
        <f>ELEC!C29</f>
        <v>44009</v>
      </c>
      <c r="B31" s="64">
        <f t="shared" si="47"/>
        <v>183</v>
      </c>
      <c r="C31" s="64">
        <f t="shared" si="47"/>
        <v>189</v>
      </c>
      <c r="D31" s="45">
        <f t="shared" si="45"/>
        <v>0</v>
      </c>
      <c r="E31" s="45">
        <f t="shared" si="16"/>
        <v>0</v>
      </c>
      <c r="F31" s="64">
        <f t="shared" si="42"/>
        <v>1596</v>
      </c>
      <c r="G31" s="52">
        <f t="shared" si="1"/>
        <v>0</v>
      </c>
      <c r="H31" s="64">
        <f t="shared" si="42"/>
        <v>353837</v>
      </c>
      <c r="I31" s="409">
        <f t="shared" si="2"/>
        <v>0</v>
      </c>
      <c r="J31" s="66">
        <f t="shared" si="17"/>
        <v>0</v>
      </c>
      <c r="K31" s="64">
        <f t="shared" si="37"/>
        <v>2019</v>
      </c>
      <c r="L31" s="52">
        <f t="shared" si="3"/>
        <v>0</v>
      </c>
      <c r="M31" s="64">
        <f t="shared" si="4"/>
        <v>148041</v>
      </c>
      <c r="N31" s="409">
        <f t="shared" si="5"/>
        <v>0</v>
      </c>
      <c r="O31" s="67">
        <f t="shared" si="6"/>
        <v>0</v>
      </c>
      <c r="P31" s="64">
        <f t="shared" si="18"/>
        <v>1803</v>
      </c>
      <c r="Q31" s="64">
        <f t="shared" si="43"/>
        <v>152974</v>
      </c>
      <c r="R31" s="408">
        <f t="shared" si="40"/>
        <v>0</v>
      </c>
      <c r="S31" s="52">
        <f t="shared" si="8"/>
        <v>0</v>
      </c>
      <c r="T31" s="68">
        <f t="shared" si="30"/>
        <v>0</v>
      </c>
      <c r="U31" s="415">
        <f t="shared" si="19"/>
        <v>0</v>
      </c>
      <c r="V31" s="62">
        <f t="shared" si="20"/>
        <v>0</v>
      </c>
      <c r="W31" s="413"/>
      <c r="X31" s="64">
        <f t="shared" si="9"/>
        <v>2418</v>
      </c>
      <c r="Y31" s="52">
        <f t="shared" si="22"/>
        <v>0</v>
      </c>
      <c r="Z31" s="64">
        <f t="shared" si="10"/>
        <v>135964.1</v>
      </c>
      <c r="AA31" s="65">
        <f t="shared" si="11"/>
        <v>0</v>
      </c>
      <c r="AB31" s="294">
        <f t="shared" si="48"/>
        <v>0</v>
      </c>
      <c r="AC31" s="64">
        <f t="shared" si="12"/>
        <v>1852</v>
      </c>
      <c r="AD31" s="276">
        <f t="shared" si="13"/>
        <v>0</v>
      </c>
      <c r="AE31" s="64">
        <f t="shared" si="14"/>
        <v>360537</v>
      </c>
      <c r="AF31" s="316">
        <f t="shared" si="23"/>
        <v>0</v>
      </c>
      <c r="AG31" s="213">
        <f t="shared" si="32"/>
        <v>0</v>
      </c>
      <c r="AH31" s="62">
        <f t="shared" si="33"/>
        <v>0</v>
      </c>
      <c r="AI31" s="328">
        <f t="shared" si="24"/>
        <v>0</v>
      </c>
      <c r="AJ31" s="328">
        <f>-tanks!AW32</f>
        <v>0</v>
      </c>
      <c r="AK31" s="328">
        <f t="shared" si="25"/>
        <v>0</v>
      </c>
      <c r="AL31" s="328">
        <f t="shared" si="46"/>
        <v>0</v>
      </c>
      <c r="AM31" s="328">
        <f t="shared" si="26"/>
        <v>0</v>
      </c>
      <c r="AN31" s="64">
        <f t="shared" si="38"/>
        <v>80</v>
      </c>
      <c r="AO31" s="330">
        <f t="shared" si="51"/>
        <v>2400</v>
      </c>
      <c r="AP31" s="64">
        <f t="shared" si="39"/>
        <v>80</v>
      </c>
      <c r="AQ31" s="330">
        <f t="shared" si="50"/>
        <v>2400</v>
      </c>
      <c r="AR31" s="64">
        <f t="shared" si="41"/>
        <v>79</v>
      </c>
      <c r="AS31" s="330">
        <f t="shared" si="34"/>
        <v>2370</v>
      </c>
      <c r="AT31" s="330">
        <f t="shared" si="49"/>
        <v>7170</v>
      </c>
      <c r="AU31" s="330">
        <f t="shared" si="36"/>
        <v>0</v>
      </c>
      <c r="AV31" s="276"/>
      <c r="AW31" s="276"/>
      <c r="AX31" s="323">
        <f t="shared" si="29"/>
        <v>0.7</v>
      </c>
    </row>
    <row r="32" spans="1:50">
      <c r="A32" s="63">
        <f>ELEC!C30</f>
        <v>44010</v>
      </c>
      <c r="B32" s="64">
        <f t="shared" si="47"/>
        <v>183</v>
      </c>
      <c r="C32" s="64">
        <f t="shared" si="47"/>
        <v>189</v>
      </c>
      <c r="D32" s="45">
        <f t="shared" si="0"/>
        <v>0</v>
      </c>
      <c r="E32" s="45">
        <f t="shared" ref="E32:E34" si="52">D32*8.38</f>
        <v>0</v>
      </c>
      <c r="F32" s="64">
        <f t="shared" si="42"/>
        <v>1596</v>
      </c>
      <c r="G32" s="52">
        <f t="shared" si="1"/>
        <v>0</v>
      </c>
      <c r="H32" s="64">
        <f t="shared" si="42"/>
        <v>353837</v>
      </c>
      <c r="I32" s="409">
        <f t="shared" si="2"/>
        <v>0</v>
      </c>
      <c r="J32" s="66">
        <f t="shared" si="17"/>
        <v>0</v>
      </c>
      <c r="K32" s="64">
        <f t="shared" si="37"/>
        <v>2019</v>
      </c>
      <c r="L32" s="52">
        <f t="shared" si="3"/>
        <v>0</v>
      </c>
      <c r="M32" s="64">
        <f t="shared" si="4"/>
        <v>148041</v>
      </c>
      <c r="N32" s="409">
        <f t="shared" si="5"/>
        <v>0</v>
      </c>
      <c r="O32" s="67">
        <f t="shared" si="6"/>
        <v>0</v>
      </c>
      <c r="P32" s="64">
        <f t="shared" si="18"/>
        <v>1803</v>
      </c>
      <c r="Q32" s="64">
        <f t="shared" si="43"/>
        <v>152974</v>
      </c>
      <c r="R32" s="408">
        <f t="shared" si="40"/>
        <v>0</v>
      </c>
      <c r="S32" s="52">
        <f t="shared" si="8"/>
        <v>0</v>
      </c>
      <c r="T32" s="68">
        <f t="shared" si="30"/>
        <v>0</v>
      </c>
      <c r="U32" s="415">
        <f t="shared" si="19"/>
        <v>0</v>
      </c>
      <c r="V32" s="62">
        <f t="shared" si="20"/>
        <v>0</v>
      </c>
      <c r="W32" s="413"/>
      <c r="X32" s="64">
        <f t="shared" si="9"/>
        <v>2418</v>
      </c>
      <c r="Y32" s="52">
        <f t="shared" si="22"/>
        <v>0</v>
      </c>
      <c r="Z32" s="64">
        <f t="shared" si="10"/>
        <v>135964.1</v>
      </c>
      <c r="AA32" s="65">
        <f t="shared" si="11"/>
        <v>0</v>
      </c>
      <c r="AB32" s="294">
        <f t="shared" si="48"/>
        <v>0</v>
      </c>
      <c r="AC32" s="64">
        <f t="shared" si="12"/>
        <v>1852</v>
      </c>
      <c r="AD32" s="276">
        <f t="shared" si="13"/>
        <v>0</v>
      </c>
      <c r="AE32" s="64">
        <f t="shared" si="14"/>
        <v>360537</v>
      </c>
      <c r="AF32" s="316">
        <f t="shared" si="23"/>
        <v>0</v>
      </c>
      <c r="AG32" s="213">
        <f t="shared" si="32"/>
        <v>0</v>
      </c>
      <c r="AH32" s="62">
        <f t="shared" si="33"/>
        <v>0</v>
      </c>
      <c r="AI32" s="328">
        <f t="shared" si="24"/>
        <v>0</v>
      </c>
      <c r="AJ32" s="328">
        <f>-tanks!AW33</f>
        <v>0</v>
      </c>
      <c r="AK32" s="328">
        <f t="shared" si="25"/>
        <v>0</v>
      </c>
      <c r="AL32" s="328">
        <f t="shared" si="46"/>
        <v>0</v>
      </c>
      <c r="AM32" s="328">
        <f t="shared" si="26"/>
        <v>0</v>
      </c>
      <c r="AN32" s="64">
        <f t="shared" si="38"/>
        <v>80</v>
      </c>
      <c r="AO32" s="330">
        <f t="shared" si="51"/>
        <v>2400</v>
      </c>
      <c r="AP32" s="64">
        <f t="shared" si="39"/>
        <v>80</v>
      </c>
      <c r="AQ32" s="330">
        <f t="shared" si="50"/>
        <v>2400</v>
      </c>
      <c r="AR32" s="64">
        <f t="shared" si="41"/>
        <v>79</v>
      </c>
      <c r="AS32" s="330">
        <f t="shared" si="34"/>
        <v>2370</v>
      </c>
      <c r="AT32" s="330">
        <f t="shared" si="49"/>
        <v>7170</v>
      </c>
      <c r="AU32" s="330">
        <f t="shared" si="36"/>
        <v>0</v>
      </c>
      <c r="AV32" s="276"/>
      <c r="AW32" s="276"/>
      <c r="AX32" s="323">
        <f t="shared" si="29"/>
        <v>0.7</v>
      </c>
    </row>
    <row r="33" spans="1:50">
      <c r="A33" s="63">
        <f>ELEC!C31</f>
        <v>44011</v>
      </c>
      <c r="B33" s="64">
        <f t="shared" si="47"/>
        <v>183</v>
      </c>
      <c r="C33" s="64">
        <f t="shared" si="47"/>
        <v>189</v>
      </c>
      <c r="D33" s="45">
        <f t="shared" si="0"/>
        <v>0</v>
      </c>
      <c r="E33" s="45">
        <f t="shared" si="52"/>
        <v>0</v>
      </c>
      <c r="F33" s="64">
        <f t="shared" si="42"/>
        <v>1596</v>
      </c>
      <c r="G33" s="52">
        <f t="shared" si="1"/>
        <v>0</v>
      </c>
      <c r="H33" s="64">
        <f t="shared" si="42"/>
        <v>353837</v>
      </c>
      <c r="I33" s="409">
        <f t="shared" si="2"/>
        <v>0</v>
      </c>
      <c r="J33" s="66">
        <f t="shared" si="17"/>
        <v>0</v>
      </c>
      <c r="K33" s="64">
        <f t="shared" si="37"/>
        <v>2019</v>
      </c>
      <c r="L33" s="52">
        <f t="shared" si="3"/>
        <v>0</v>
      </c>
      <c r="M33" s="64">
        <f t="shared" si="4"/>
        <v>148041</v>
      </c>
      <c r="N33" s="409">
        <f t="shared" si="5"/>
        <v>0</v>
      </c>
      <c r="O33" s="67">
        <f t="shared" si="6"/>
        <v>0</v>
      </c>
      <c r="P33" s="64">
        <f t="shared" si="18"/>
        <v>1803</v>
      </c>
      <c r="Q33" s="64">
        <f t="shared" si="43"/>
        <v>152974</v>
      </c>
      <c r="R33" s="408">
        <f t="shared" si="40"/>
        <v>0</v>
      </c>
      <c r="S33" s="52">
        <f t="shared" si="8"/>
        <v>0</v>
      </c>
      <c r="T33" s="68">
        <f t="shared" si="30"/>
        <v>0</v>
      </c>
      <c r="U33" s="415">
        <f t="shared" si="19"/>
        <v>0</v>
      </c>
      <c r="V33" s="62">
        <f t="shared" si="20"/>
        <v>0</v>
      </c>
      <c r="W33" s="413"/>
      <c r="X33" s="64">
        <f t="shared" si="9"/>
        <v>2418</v>
      </c>
      <c r="Y33" s="52">
        <f t="shared" si="22"/>
        <v>0</v>
      </c>
      <c r="Z33" s="64">
        <f t="shared" si="10"/>
        <v>135964.1</v>
      </c>
      <c r="AA33" s="65">
        <f t="shared" si="11"/>
        <v>0</v>
      </c>
      <c r="AB33" s="294">
        <f t="shared" si="48"/>
        <v>0</v>
      </c>
      <c r="AC33" s="64">
        <f t="shared" si="12"/>
        <v>1852</v>
      </c>
      <c r="AD33" s="45">
        <f t="shared" si="13"/>
        <v>0</v>
      </c>
      <c r="AE33" s="64">
        <f t="shared" si="14"/>
        <v>360537</v>
      </c>
      <c r="AF33" s="316">
        <f t="shared" si="23"/>
        <v>0</v>
      </c>
      <c r="AG33" s="213">
        <f t="shared" si="32"/>
        <v>0</v>
      </c>
      <c r="AH33" s="62">
        <f t="shared" si="33"/>
        <v>0</v>
      </c>
      <c r="AI33" s="328">
        <f t="shared" si="24"/>
        <v>0</v>
      </c>
      <c r="AJ33" s="328">
        <f>-tanks!AW34</f>
        <v>0</v>
      </c>
      <c r="AK33" s="328">
        <f t="shared" si="25"/>
        <v>0</v>
      </c>
      <c r="AL33" s="328">
        <f t="shared" si="46"/>
        <v>0</v>
      </c>
      <c r="AM33" s="328">
        <f t="shared" si="26"/>
        <v>0</v>
      </c>
      <c r="AN33" s="64">
        <f t="shared" si="38"/>
        <v>80</v>
      </c>
      <c r="AO33" s="330">
        <f t="shared" si="51"/>
        <v>2400</v>
      </c>
      <c r="AP33" s="64">
        <f t="shared" si="39"/>
        <v>80</v>
      </c>
      <c r="AQ33" s="330">
        <f t="shared" si="50"/>
        <v>2400</v>
      </c>
      <c r="AR33" s="64">
        <f t="shared" si="41"/>
        <v>79</v>
      </c>
      <c r="AS33" s="330">
        <f t="shared" si="34"/>
        <v>2370</v>
      </c>
      <c r="AT33" s="330">
        <f t="shared" si="49"/>
        <v>7170</v>
      </c>
      <c r="AU33" s="330">
        <f t="shared" si="36"/>
        <v>0</v>
      </c>
      <c r="AV33" s="276"/>
      <c r="AW33" s="276"/>
      <c r="AX33" s="323">
        <f t="shared" si="29"/>
        <v>0.7</v>
      </c>
    </row>
    <row r="34" spans="1:50">
      <c r="A34" s="63">
        <f>ELEC!C32</f>
        <v>44012</v>
      </c>
      <c r="B34" s="64">
        <f t="shared" si="47"/>
        <v>183</v>
      </c>
      <c r="C34" s="64">
        <f t="shared" si="47"/>
        <v>189</v>
      </c>
      <c r="D34" s="45">
        <f t="shared" si="0"/>
        <v>0</v>
      </c>
      <c r="E34" s="45">
        <f t="shared" si="52"/>
        <v>0</v>
      </c>
      <c r="F34" s="64">
        <f t="shared" si="42"/>
        <v>1596</v>
      </c>
      <c r="G34" s="52">
        <f t="shared" si="1"/>
        <v>0</v>
      </c>
      <c r="H34" s="64">
        <f t="shared" si="42"/>
        <v>353837</v>
      </c>
      <c r="I34" s="409">
        <f t="shared" si="2"/>
        <v>0</v>
      </c>
      <c r="J34" s="66">
        <f t="shared" si="17"/>
        <v>0</v>
      </c>
      <c r="K34" s="64">
        <f t="shared" si="37"/>
        <v>2019</v>
      </c>
      <c r="L34" s="52">
        <f t="shared" si="3"/>
        <v>0</v>
      </c>
      <c r="M34" s="64">
        <f t="shared" si="4"/>
        <v>148041</v>
      </c>
      <c r="N34" s="409">
        <f t="shared" si="5"/>
        <v>0</v>
      </c>
      <c r="O34" s="67">
        <f t="shared" si="6"/>
        <v>0</v>
      </c>
      <c r="P34" s="64">
        <f t="shared" si="18"/>
        <v>1803</v>
      </c>
      <c r="Q34" s="64">
        <f t="shared" si="43"/>
        <v>152974</v>
      </c>
      <c r="R34" s="408">
        <f t="shared" si="40"/>
        <v>0</v>
      </c>
      <c r="S34" s="52">
        <f t="shared" si="8"/>
        <v>0</v>
      </c>
      <c r="T34" s="68">
        <f t="shared" si="30"/>
        <v>0</v>
      </c>
      <c r="U34" s="415">
        <f t="shared" si="19"/>
        <v>0</v>
      </c>
      <c r="V34" s="62">
        <f t="shared" si="20"/>
        <v>0</v>
      </c>
      <c r="W34" s="413"/>
      <c r="X34" s="64">
        <f t="shared" si="9"/>
        <v>2418</v>
      </c>
      <c r="Y34" s="52">
        <f t="shared" si="22"/>
        <v>0</v>
      </c>
      <c r="Z34" s="64">
        <f t="shared" si="10"/>
        <v>135964.1</v>
      </c>
      <c r="AA34" s="65">
        <f t="shared" si="11"/>
        <v>0</v>
      </c>
      <c r="AB34" s="294">
        <f t="shared" si="48"/>
        <v>0</v>
      </c>
      <c r="AC34" s="64">
        <f t="shared" si="12"/>
        <v>1852</v>
      </c>
      <c r="AD34" s="45">
        <f t="shared" si="13"/>
        <v>0</v>
      </c>
      <c r="AE34" s="64">
        <f t="shared" si="14"/>
        <v>360537</v>
      </c>
      <c r="AF34" s="316">
        <f t="shared" si="23"/>
        <v>0</v>
      </c>
      <c r="AG34" s="213">
        <f t="shared" si="32"/>
        <v>0</v>
      </c>
      <c r="AH34" s="62">
        <f t="shared" si="33"/>
        <v>0</v>
      </c>
      <c r="AI34" s="328">
        <f t="shared" si="24"/>
        <v>0</v>
      </c>
      <c r="AJ34" s="328">
        <f>-tanks!AW35</f>
        <v>0</v>
      </c>
      <c r="AK34" s="328">
        <f t="shared" si="25"/>
        <v>0</v>
      </c>
      <c r="AL34" s="328">
        <f t="shared" si="46"/>
        <v>0</v>
      </c>
      <c r="AM34" s="328">
        <f>Y34+AD34</f>
        <v>0</v>
      </c>
      <c r="AN34" s="64">
        <f t="shared" si="38"/>
        <v>80</v>
      </c>
      <c r="AO34" s="330">
        <f t="shared" si="51"/>
        <v>2400</v>
      </c>
      <c r="AP34" s="64">
        <f t="shared" si="39"/>
        <v>80</v>
      </c>
      <c r="AQ34" s="330">
        <f t="shared" si="50"/>
        <v>2400</v>
      </c>
      <c r="AR34" s="64">
        <f t="shared" si="41"/>
        <v>79</v>
      </c>
      <c r="AS34" s="330">
        <f t="shared" si="34"/>
        <v>2370</v>
      </c>
      <c r="AT34" s="330">
        <f t="shared" si="49"/>
        <v>7170</v>
      </c>
      <c r="AU34" s="330">
        <f t="shared" si="36"/>
        <v>0</v>
      </c>
      <c r="AV34" s="276"/>
      <c r="AW34" s="276"/>
      <c r="AX34" s="323">
        <f t="shared" si="29"/>
        <v>0.7</v>
      </c>
    </row>
    <row r="35" spans="1:50">
      <c r="J35" s="293">
        <f>SUM(J5:J34)/(COUNT(J5:J34)-COUNTIF(J5:J34,0))</f>
        <v>70.44047619047619</v>
      </c>
      <c r="AE35" s="72" t="s">
        <v>386</v>
      </c>
      <c r="AG35" s="357"/>
      <c r="AH35" s="62"/>
      <c r="AP35" s="323"/>
      <c r="AQ35" s="323"/>
      <c r="AR35" s="323" t="s">
        <v>225</v>
      </c>
      <c r="AS35" s="323">
        <f>COUNT(AW5:AW34)</f>
        <v>2</v>
      </c>
      <c r="AT35" s="323"/>
      <c r="AU35" s="323">
        <f>SUM(AU5:AU34)</f>
        <v>2630</v>
      </c>
      <c r="AV35" s="72">
        <f>SUM(AV5:AV34)</f>
        <v>3200</v>
      </c>
      <c r="AW35" s="323">
        <f>SUM(AW5:AW34)/AS35</f>
        <v>0.7</v>
      </c>
    </row>
    <row r="36" spans="1:50">
      <c r="AH36" s="62">
        <f>AF36+AA36</f>
        <v>0</v>
      </c>
      <c r="AI36" s="331">
        <f>SUM(AI5:AI34)</f>
        <v>7030.6999999999825</v>
      </c>
      <c r="AP36" s="323"/>
      <c r="AQ36" s="323"/>
      <c r="AR36" s="323"/>
      <c r="AS36" s="323"/>
      <c r="AT36" s="323"/>
      <c r="AU36" s="323"/>
      <c r="AV36" s="323"/>
      <c r="AW36" s="323"/>
    </row>
    <row r="37" spans="1:50">
      <c r="AH37" s="62">
        <f>AF37+AA37</f>
        <v>0</v>
      </c>
      <c r="AP37" s="323"/>
      <c r="AQ37" s="323"/>
      <c r="AR37" s="323"/>
      <c r="AS37" s="323"/>
      <c r="AT37" s="323"/>
      <c r="AU37" s="323">
        <f>AU35*0.51</f>
        <v>1341.3</v>
      </c>
      <c r="AV37" s="323">
        <f>AV35/0.51</f>
        <v>6274.5098039215682</v>
      </c>
      <c r="AW37" s="323">
        <f>SUM(AW5:AW34)/AS35</f>
        <v>0.7</v>
      </c>
    </row>
    <row r="38" spans="1:50">
      <c r="AP38" s="323"/>
      <c r="AQ38" s="323"/>
      <c r="AR38" s="323"/>
      <c r="AS38" s="323"/>
      <c r="AT38" s="323"/>
      <c r="AU38" s="323"/>
      <c r="AV38" s="323">
        <f>AV35*0.51</f>
        <v>1632</v>
      </c>
      <c r="AW38" s="323"/>
    </row>
    <row r="39" spans="1:50">
      <c r="AP39" s="323"/>
      <c r="AQ39" s="323"/>
      <c r="AR39" s="323"/>
      <c r="AS39" s="323"/>
      <c r="AT39" s="323"/>
      <c r="AU39" s="323"/>
      <c r="AV39" s="323"/>
      <c r="AW39" s="323"/>
    </row>
    <row r="40" spans="1:50">
      <c r="P40" s="70"/>
      <c r="Q40" s="70"/>
      <c r="R40" s="70"/>
      <c r="AP40" s="323"/>
      <c r="AQ40" s="323"/>
      <c r="AR40" s="323"/>
      <c r="AS40" s="323"/>
      <c r="AT40" s="323"/>
      <c r="AU40" s="323"/>
      <c r="AV40" s="323"/>
      <c r="AW40" s="323"/>
    </row>
    <row r="42" spans="1:50">
      <c r="AG42" s="370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V1" zoomScaleNormal="100" workbookViewId="0">
      <pane ySplit="3" topLeftCell="A9" activePane="bottomLeft" state="frozen"/>
      <selection pane="bottomLeft" activeCell="BB23" sqref="BB2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2" customWidth="1"/>
    <col min="11" max="11" width="13.5703125" style="1" customWidth="1"/>
    <col min="12" max="12" width="13.28515625" style="1" customWidth="1"/>
    <col min="13" max="13" width="10.7109375" style="511" customWidth="1"/>
    <col min="14" max="14" width="10.7109375" style="513" customWidth="1"/>
    <col min="15" max="15" width="11.140625" style="511" customWidth="1"/>
    <col min="16" max="16" width="11.140625" style="513" customWidth="1"/>
    <col min="17" max="17" width="17.28515625" style="511" customWidth="1"/>
    <col min="18" max="18" width="10.85546875" style="511" customWidth="1"/>
    <col min="19" max="19" width="10.7109375" style="511" customWidth="1"/>
    <col min="20" max="20" width="13.28515625" style="419" customWidth="1"/>
    <col min="21" max="21" width="8.7109375" style="423" customWidth="1"/>
    <col min="22" max="22" width="13.28515625" style="332" customWidth="1"/>
    <col min="23" max="23" width="9.7109375" style="332" bestFit="1" customWidth="1"/>
    <col min="24" max="27" width="9.7109375" style="332" customWidth="1"/>
    <col min="28" max="28" width="14.42578125" style="332" customWidth="1"/>
    <col min="29" max="32" width="9.7109375" style="332" customWidth="1"/>
    <col min="33" max="33" width="11.28515625" style="332" customWidth="1"/>
    <col min="34" max="36" width="9.7109375" style="332" customWidth="1"/>
    <col min="37" max="37" width="7.42578125" style="332" customWidth="1"/>
    <col min="38" max="39" width="8.7109375" style="33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2" customFormat="1" ht="15.75" thickBot="1">
      <c r="B1" s="373"/>
      <c r="C1" s="373"/>
      <c r="D1" s="430">
        <f>SUM(G21:G35)</f>
        <v>9001829</v>
      </c>
      <c r="E1" s="374"/>
      <c r="F1" s="374"/>
      <c r="G1" s="373"/>
      <c r="H1" s="373"/>
      <c r="I1" s="373"/>
      <c r="J1" s="374"/>
      <c r="K1" s="373"/>
      <c r="L1" s="373"/>
      <c r="M1" s="373"/>
      <c r="N1" s="373"/>
      <c r="O1" s="373"/>
      <c r="P1" s="373"/>
      <c r="Q1" s="373"/>
      <c r="R1" s="373"/>
      <c r="S1" s="373"/>
      <c r="T1" s="373"/>
      <c r="U1" s="373"/>
      <c r="V1" s="375"/>
      <c r="W1" s="375"/>
      <c r="X1" s="375"/>
      <c r="Y1" s="375"/>
      <c r="Z1" s="375"/>
      <c r="AA1" s="375"/>
      <c r="AB1" s="375"/>
      <c r="AC1" s="375"/>
      <c r="AD1" s="375"/>
      <c r="AE1" s="375"/>
      <c r="AF1" s="375"/>
      <c r="AG1" s="375"/>
      <c r="AH1" s="375"/>
      <c r="AI1" s="375"/>
      <c r="AJ1" s="375"/>
      <c r="AK1" s="375"/>
      <c r="AL1" s="375"/>
      <c r="AM1" s="375"/>
      <c r="AN1" s="373"/>
      <c r="AR1" s="376" t="s">
        <v>92</v>
      </c>
      <c r="AS1" s="377"/>
      <c r="AT1" s="377" t="s">
        <v>60</v>
      </c>
      <c r="AU1" s="377"/>
      <c r="AV1" s="378" t="s">
        <v>61</v>
      </c>
    </row>
    <row r="2" spans="1:65" s="372" customFormat="1" ht="15.75" customHeight="1" thickBot="1">
      <c r="B2" s="373"/>
      <c r="C2" s="373"/>
      <c r="D2" s="373"/>
      <c r="E2" s="374"/>
      <c r="F2" s="374"/>
      <c r="G2" s="373"/>
      <c r="H2" s="373"/>
      <c r="I2" s="373"/>
      <c r="J2" s="374"/>
      <c r="K2" s="373"/>
      <c r="L2" s="373"/>
      <c r="M2" s="373"/>
      <c r="N2" s="373"/>
      <c r="O2" s="373"/>
      <c r="P2" s="373"/>
      <c r="Q2" s="373"/>
      <c r="R2" s="373"/>
      <c r="S2" s="373"/>
      <c r="T2" s="373"/>
      <c r="U2" s="373"/>
      <c r="V2" s="375"/>
      <c r="W2" s="375"/>
      <c r="X2" s="375"/>
      <c r="Y2" s="375"/>
      <c r="Z2" s="375"/>
      <c r="AA2" s="375"/>
      <c r="AB2" s="375"/>
      <c r="AC2" s="375"/>
      <c r="AD2" s="375"/>
      <c r="AE2" s="375"/>
      <c r="AF2" s="375"/>
      <c r="AG2" s="375"/>
      <c r="AH2" s="375"/>
      <c r="AI2" s="375"/>
      <c r="AJ2" s="375"/>
      <c r="AK2" s="375"/>
      <c r="AL2" s="375"/>
      <c r="AM2" s="375"/>
      <c r="AN2" s="373"/>
      <c r="AR2" s="618" t="s">
        <v>95</v>
      </c>
      <c r="AS2" s="619"/>
      <c r="AT2" s="619"/>
      <c r="AU2" s="619"/>
      <c r="AV2" s="620"/>
      <c r="AW2" s="618" t="s">
        <v>96</v>
      </c>
      <c r="AX2" s="619"/>
      <c r="AY2" s="620"/>
      <c r="AZ2" s="618" t="s">
        <v>98</v>
      </c>
      <c r="BA2" s="619"/>
      <c r="BB2" s="620"/>
      <c r="BC2" s="379"/>
      <c r="BE2" s="380"/>
    </row>
    <row r="3" spans="1:65" s="372" customFormat="1" ht="48" customHeight="1" thickBot="1">
      <c r="A3" s="381" t="s">
        <v>51</v>
      </c>
      <c r="B3" s="382" t="s">
        <v>52</v>
      </c>
      <c r="C3" s="382" t="s">
        <v>53</v>
      </c>
      <c r="D3" s="382" t="s">
        <v>54</v>
      </c>
      <c r="E3" s="383"/>
      <c r="F3" s="384" t="s">
        <v>80</v>
      </c>
      <c r="G3" s="382" t="s">
        <v>55</v>
      </c>
      <c r="H3" s="382" t="s">
        <v>56</v>
      </c>
      <c r="I3" s="382" t="s">
        <v>100</v>
      </c>
      <c r="J3" s="383"/>
      <c r="K3" s="382" t="s">
        <v>395</v>
      </c>
      <c r="L3" s="385" t="s">
        <v>330</v>
      </c>
      <c r="M3" s="532" t="s">
        <v>402</v>
      </c>
      <c r="N3" s="533"/>
      <c r="O3" s="534" t="s">
        <v>403</v>
      </c>
      <c r="P3" s="534"/>
      <c r="Q3" s="534" t="s">
        <v>399</v>
      </c>
      <c r="R3" s="534" t="s">
        <v>401</v>
      </c>
      <c r="S3" s="534" t="s">
        <v>400</v>
      </c>
      <c r="T3" s="382" t="s">
        <v>383</v>
      </c>
      <c r="U3" s="382" t="s">
        <v>385</v>
      </c>
      <c r="V3" s="386" t="s">
        <v>334</v>
      </c>
      <c r="W3" s="387" t="s">
        <v>335</v>
      </c>
      <c r="X3" s="386" t="s">
        <v>338</v>
      </c>
      <c r="Y3" s="387" t="s">
        <v>339</v>
      </c>
      <c r="Z3" s="388" t="s">
        <v>340</v>
      </c>
      <c r="AA3" s="389" t="s">
        <v>398</v>
      </c>
      <c r="AB3" s="457" t="s">
        <v>397</v>
      </c>
      <c r="AC3" s="455" t="s">
        <v>396</v>
      </c>
      <c r="AD3" s="455"/>
      <c r="AE3" s="390" t="s">
        <v>407</v>
      </c>
      <c r="AF3" s="390" t="s">
        <v>408</v>
      </c>
      <c r="AG3" s="390" t="s">
        <v>409</v>
      </c>
      <c r="AH3" s="390" t="s">
        <v>410</v>
      </c>
      <c r="AI3" s="389" t="s">
        <v>411</v>
      </c>
      <c r="AJ3" s="389" t="s">
        <v>341</v>
      </c>
      <c r="AK3" s="390" t="s">
        <v>343</v>
      </c>
      <c r="AL3" s="390" t="s">
        <v>342</v>
      </c>
      <c r="AM3" s="391" t="s">
        <v>125</v>
      </c>
      <c r="AN3" s="615" t="s">
        <v>126</v>
      </c>
      <c r="AO3" s="616"/>
      <c r="AP3" s="617"/>
      <c r="AR3" s="392" t="s">
        <v>51</v>
      </c>
      <c r="AS3" s="393"/>
      <c r="AT3" s="392" t="s">
        <v>94</v>
      </c>
      <c r="AU3" s="393"/>
      <c r="AV3" s="394" t="s">
        <v>57</v>
      </c>
      <c r="AW3" s="395"/>
      <c r="AX3" s="393" t="s">
        <v>59</v>
      </c>
      <c r="AY3" s="396" t="s">
        <v>93</v>
      </c>
      <c r="AZ3" s="394" t="s">
        <v>57</v>
      </c>
      <c r="BA3" s="397" t="s">
        <v>59</v>
      </c>
      <c r="BB3" s="398" t="s">
        <v>57</v>
      </c>
      <c r="BC3" s="398" t="s">
        <v>58</v>
      </c>
      <c r="BD3" s="399" t="s">
        <v>59</v>
      </c>
      <c r="BE3" s="400" t="s">
        <v>99</v>
      </c>
      <c r="BF3" s="399" t="s">
        <v>97</v>
      </c>
      <c r="BG3" s="401"/>
      <c r="BI3" s="402"/>
      <c r="BJ3" s="402"/>
      <c r="BK3" s="402"/>
      <c r="BL3" s="402"/>
      <c r="BM3" s="402"/>
    </row>
    <row r="4" spans="1:65" ht="16.5" thickBot="1">
      <c r="A4" s="88"/>
      <c r="B4" s="5"/>
      <c r="C4" s="5"/>
      <c r="D4" s="273"/>
      <c r="E4" s="343">
        <v>1.66</v>
      </c>
      <c r="F4" s="343"/>
      <c r="G4" s="5"/>
      <c r="H4" s="5"/>
      <c r="I4" s="5"/>
      <c r="J4" s="344"/>
      <c r="K4" s="5"/>
      <c r="L4" s="84"/>
      <c r="M4" s="535"/>
      <c r="N4" s="535"/>
      <c r="O4" s="535"/>
      <c r="P4" s="535"/>
      <c r="Q4" s="535"/>
      <c r="R4" s="535"/>
      <c r="S4" s="535"/>
      <c r="T4" s="84"/>
      <c r="U4" s="84"/>
      <c r="V4" s="333"/>
      <c r="W4" s="334"/>
      <c r="X4" s="333"/>
      <c r="Y4" s="334"/>
      <c r="Z4" s="335"/>
      <c r="AA4" s="456"/>
      <c r="AB4" s="458"/>
      <c r="AC4" s="456"/>
      <c r="AD4" s="456"/>
      <c r="AE4" s="456"/>
      <c r="AF4" s="456"/>
      <c r="AG4" s="456"/>
      <c r="AH4" s="456"/>
      <c r="AI4" s="456"/>
      <c r="AJ4" s="336"/>
      <c r="AK4" s="337"/>
      <c r="AL4" s="337"/>
      <c r="AM4" s="338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43982</v>
      </c>
      <c r="B5" s="424">
        <f>[2]WATER!B36</f>
        <v>108473</v>
      </c>
      <c r="C5" s="424">
        <f>[2]WATER!C36</f>
        <v>0</v>
      </c>
      <c r="D5" s="424">
        <f>[2]WATER!D36</f>
        <v>0</v>
      </c>
      <c r="E5" s="424">
        <f>[2]WATER!E36</f>
        <v>241.93548387096774</v>
      </c>
      <c r="F5" s="424">
        <f>[2]WATER!F36</f>
        <v>0</v>
      </c>
      <c r="G5" s="424">
        <f>[2]WATER!G36</f>
        <v>598974</v>
      </c>
      <c r="H5" s="424">
        <f>[2]WATER!H36</f>
        <v>325</v>
      </c>
      <c r="I5" s="424">
        <f>[2]WATER!I36</f>
        <v>325</v>
      </c>
      <c r="J5" s="424">
        <f>[2]WATER!J36</f>
        <v>0.74441687344913154</v>
      </c>
      <c r="K5" s="424">
        <f>[2]WATER!K36</f>
        <v>6208</v>
      </c>
      <c r="L5" s="424">
        <f>[2]WATER!L36</f>
        <v>5</v>
      </c>
      <c r="M5" s="424">
        <f>[2]WATER!M36</f>
        <v>457.44</v>
      </c>
      <c r="N5" s="424">
        <f>[2]WATER!N36</f>
        <v>0</v>
      </c>
      <c r="O5" s="424">
        <f>[2]WATER!O36</f>
        <v>529.52</v>
      </c>
      <c r="P5" s="424">
        <f>[2]WATER!P36</f>
        <v>0</v>
      </c>
      <c r="Q5" s="424">
        <f>[2]WATER!Q36</f>
        <v>0</v>
      </c>
      <c r="R5" s="424">
        <f>[2]WATER!R36</f>
        <v>0</v>
      </c>
      <c r="S5" s="424">
        <f>[2]WATER!S36</f>
        <v>0</v>
      </c>
      <c r="T5" s="424">
        <f>[2]WATER!T36</f>
        <v>4830</v>
      </c>
      <c r="U5" s="424">
        <f>[2]WATER!U36</f>
        <v>2</v>
      </c>
      <c r="V5" s="424">
        <f>[2]WATER!V36</f>
        <v>407</v>
      </c>
      <c r="W5" s="424">
        <f>[2]WATER!W36</f>
        <v>0</v>
      </c>
      <c r="X5" s="424">
        <f>[2]WATER!X36</f>
        <v>143783</v>
      </c>
      <c r="Y5" s="424">
        <f>[2]WATER!Y36</f>
        <v>167</v>
      </c>
      <c r="Z5" s="424">
        <f>[2]WATER!Z36</f>
        <v>94798</v>
      </c>
      <c r="AA5" s="424">
        <f>[2]WATER!AA36</f>
        <v>93</v>
      </c>
      <c r="AB5" s="424">
        <f>[2]WATER!AB36</f>
        <v>266</v>
      </c>
      <c r="AC5" s="424">
        <f>[2]WATER!AC36</f>
        <v>671</v>
      </c>
      <c r="AD5" s="424">
        <f>[2]WATER!AD36</f>
        <v>0</v>
      </c>
      <c r="AE5" s="424">
        <f>[2]WATER!AE36</f>
        <v>155.69999999999999</v>
      </c>
      <c r="AF5" s="424">
        <f>[2]WATER!AF36</f>
        <v>0</v>
      </c>
      <c r="AG5" s="424">
        <f>[2]WATER!AG36</f>
        <v>1592</v>
      </c>
      <c r="AH5" s="424">
        <f>[2]WATER!AH36</f>
        <v>2</v>
      </c>
      <c r="AI5" s="424">
        <f>[2]WATER!AI36</f>
        <v>2</v>
      </c>
      <c r="AJ5" s="424">
        <f>[2]WATER!AJ36</f>
        <v>93</v>
      </c>
      <c r="AK5" s="424">
        <f>[2]WATER!AK36</f>
        <v>162</v>
      </c>
      <c r="AL5" s="424">
        <f>[2]WATER!AL36</f>
        <v>93</v>
      </c>
      <c r="AM5" s="424">
        <f>[2]WATER!AM36</f>
        <v>21.5</v>
      </c>
      <c r="AN5" s="424">
        <f>[2]WATER!AN36</f>
        <v>0</v>
      </c>
      <c r="AO5" s="424">
        <f>[2]WATER!AO36</f>
        <v>0</v>
      </c>
      <c r="AP5" s="424">
        <f>[2]WATER!AP36</f>
        <v>149</v>
      </c>
      <c r="AQ5" s="424">
        <f>[2]WATER!AQ36</f>
        <v>0</v>
      </c>
      <c r="AR5" s="424">
        <f>[2]WATER!AR36</f>
        <v>43982</v>
      </c>
      <c r="AS5" s="424">
        <f>[2]WATER!AS36</f>
        <v>0.9</v>
      </c>
      <c r="AT5" s="424">
        <f>[2]WATER!AT36</f>
        <v>155</v>
      </c>
      <c r="AU5" s="424">
        <f>[2]WATER!AU36</f>
        <v>1.1000000000000001</v>
      </c>
      <c r="AV5" s="424">
        <f>[2]WATER!AV36</f>
        <v>129</v>
      </c>
      <c r="AW5" s="424">
        <f>[2]WATER!AW36</f>
        <v>2.9</v>
      </c>
      <c r="AX5" s="424">
        <f>[2]WATER!AX36</f>
        <v>141</v>
      </c>
      <c r="AY5" s="424">
        <f>[2]WATER!AY36</f>
        <v>139.5</v>
      </c>
      <c r="AZ5" s="424">
        <f>[2]WATER!AZ36</f>
        <v>141.9</v>
      </c>
      <c r="BA5" s="424">
        <f>[2]WATER!BA36</f>
        <v>408.9</v>
      </c>
      <c r="BB5" s="424">
        <f>[2]WATER!BB36</f>
        <v>-30.599999999999994</v>
      </c>
      <c r="BC5" s="424">
        <f>[2]WATER!BC36</f>
        <v>48.399999999999991</v>
      </c>
      <c r="BD5" s="424">
        <f>[2]WATER!BD36</f>
        <v>98.599999999999966</v>
      </c>
      <c r="BE5" s="424">
        <f>[2]WATER!BE36</f>
        <v>116.39999999999996</v>
      </c>
      <c r="BF5" s="424">
        <f>[2]WATER!BF36</f>
        <v>208.60000000000002</v>
      </c>
      <c r="BG5" s="424">
        <f>[2]WATER!BG36</f>
        <v>116.39999999999998</v>
      </c>
    </row>
    <row r="6" spans="1:65" ht="15.75" thickBot="1">
      <c r="A6" s="6">
        <f>ELEC!C3</f>
        <v>43983</v>
      </c>
      <c r="B6" s="5">
        <f>B5</f>
        <v>108473</v>
      </c>
      <c r="C6" s="5">
        <f>B6-B5</f>
        <v>0</v>
      </c>
      <c r="D6" s="433">
        <f>C6/27</f>
        <v>0</v>
      </c>
      <c r="E6" s="343">
        <f>SUM((C6*$E$4)+(7500/'EDl log'!$A$39))</f>
        <v>250</v>
      </c>
      <c r="F6" s="432"/>
      <c r="G6" s="5">
        <v>598985</v>
      </c>
      <c r="H6" s="5">
        <f>G6-G5</f>
        <v>11</v>
      </c>
      <c r="I6" s="5">
        <f t="shared" ref="I6:I35" si="0">C6+H6</f>
        <v>11</v>
      </c>
      <c r="J6" s="344">
        <f t="shared" ref="J6:J35" si="1">IF(I6&gt;0,E6/I6,0)</f>
        <v>22.727272727272727</v>
      </c>
      <c r="K6" s="5">
        <f>'Swimming Pool quality check '!H6</f>
        <v>6212</v>
      </c>
      <c r="L6" s="84">
        <v>0</v>
      </c>
      <c r="M6" s="424">
        <f>M5</f>
        <v>457.44</v>
      </c>
      <c r="N6" s="535">
        <f t="shared" ref="N6:N13" si="2">SUM(M6-M5)</f>
        <v>0</v>
      </c>
      <c r="O6" s="424">
        <f>O5</f>
        <v>529.52</v>
      </c>
      <c r="P6" s="535">
        <f t="shared" ref="P6:P13" si="3">SUM(O6-O5)</f>
        <v>0</v>
      </c>
      <c r="Q6" s="536">
        <f>P6+N6</f>
        <v>0</v>
      </c>
      <c r="R6" s="535"/>
      <c r="S6" s="535"/>
      <c r="T6" s="5">
        <v>4832</v>
      </c>
      <c r="U6" s="5">
        <f t="shared" ref="U6:U35" si="4">SUM(T6-T5)</f>
        <v>2</v>
      </c>
      <c r="V6" s="5">
        <v>408</v>
      </c>
      <c r="W6" s="334">
        <f>+V6-V5</f>
        <v>1</v>
      </c>
      <c r="X6" s="5">
        <f>X5</f>
        <v>143783</v>
      </c>
      <c r="Y6" s="334">
        <f>SUM(X6-X5)</f>
        <v>0</v>
      </c>
      <c r="Z6" s="5">
        <f>Z5</f>
        <v>94798</v>
      </c>
      <c r="AA6" s="84">
        <f>Z6-Z5</f>
        <v>0</v>
      </c>
      <c r="AB6" s="5">
        <v>268</v>
      </c>
      <c r="AC6" s="5">
        <f>AC5</f>
        <v>671</v>
      </c>
      <c r="AD6" s="84">
        <v>0</v>
      </c>
      <c r="AE6" s="5">
        <v>155.80000000000001</v>
      </c>
      <c r="AF6" s="84">
        <f>AE6-AE5</f>
        <v>0.10000000000002274</v>
      </c>
      <c r="AG6" s="5">
        <v>1594.6</v>
      </c>
      <c r="AH6" s="84">
        <f>AG6-AG5</f>
        <v>2.5999999999999091</v>
      </c>
      <c r="AI6" s="84">
        <f>AF6+AH6</f>
        <v>2.6999999999999318</v>
      </c>
      <c r="AJ6" s="336">
        <f>+Z6-Z5</f>
        <v>0</v>
      </c>
      <c r="AK6" s="337">
        <f t="shared" ref="AK6:AK37" si="5">SUM(Y6-L6)</f>
        <v>0</v>
      </c>
      <c r="AL6" s="337">
        <f>SUM(AJ6-W6)</f>
        <v>-1</v>
      </c>
      <c r="AM6" s="337">
        <f>'General information '!D6</f>
        <v>22.5</v>
      </c>
      <c r="AN6" s="85">
        <f>'General information '!H6</f>
        <v>0</v>
      </c>
      <c r="AO6" s="85"/>
      <c r="AP6" s="85">
        <f>'General information '!J6</f>
        <v>137</v>
      </c>
      <c r="AQ6" s="82"/>
      <c r="AR6" s="285">
        <f>A6</f>
        <v>43983</v>
      </c>
      <c r="AS6" s="438">
        <f t="shared" ref="AS6:AT21" si="6">AS5</f>
        <v>0.9</v>
      </c>
      <c r="AT6" s="205">
        <f>AT5</f>
        <v>155</v>
      </c>
      <c r="AU6" s="439">
        <f>AU5</f>
        <v>1.1000000000000001</v>
      </c>
      <c r="AV6" s="205">
        <v>114</v>
      </c>
      <c r="AW6" s="5">
        <v>2.9</v>
      </c>
      <c r="AX6" s="205">
        <v>138</v>
      </c>
      <c r="AY6" s="442">
        <f t="shared" ref="AY6:AY35" si="7">AS6*AT6</f>
        <v>139.5</v>
      </c>
      <c r="AZ6" s="442">
        <f>AU6*AV6</f>
        <v>125.4</v>
      </c>
      <c r="BA6" s="442">
        <f>AW6*AX6</f>
        <v>400.2</v>
      </c>
      <c r="BB6" s="21">
        <f>AY6-AY5</f>
        <v>0</v>
      </c>
      <c r="BC6" s="21">
        <f>AZ6-AZ5</f>
        <v>-16.5</v>
      </c>
      <c r="BD6" s="21">
        <f>BA6-BA5</f>
        <v>-8.6999999999999886</v>
      </c>
      <c r="BE6" s="24">
        <f>SUM(BB6:BD6)</f>
        <v>-25.199999999999989</v>
      </c>
      <c r="BF6" s="97">
        <f t="shared" ref="BF6:BF35" si="8">SUM(I6-BE6)</f>
        <v>36.199999999999989</v>
      </c>
      <c r="BG6" s="83">
        <f t="shared" ref="BG6:BG35" si="9">SUM(I6-BF6)</f>
        <v>-25.199999999999989</v>
      </c>
      <c r="BI6" s="17"/>
      <c r="BJ6" s="17"/>
      <c r="BK6" s="17"/>
      <c r="BL6" s="17"/>
      <c r="BM6" s="17"/>
    </row>
    <row r="7" spans="1:65" ht="15.75" thickBot="1">
      <c r="A7" s="6">
        <f>ELEC!C4</f>
        <v>43984</v>
      </c>
      <c r="B7" s="5">
        <f t="shared" ref="B7:B35" si="10">B6</f>
        <v>108473</v>
      </c>
      <c r="C7" s="5">
        <f t="shared" ref="C7:C35" si="11">B7-B6</f>
        <v>0</v>
      </c>
      <c r="D7" s="433">
        <f t="shared" ref="D7:D35" si="12">C7/27</f>
        <v>0</v>
      </c>
      <c r="E7" s="343">
        <f>SUM((C7*$E$4)+(7500/'EDl log'!$A$39))</f>
        <v>250</v>
      </c>
      <c r="F7" s="432"/>
      <c r="G7" s="5">
        <f t="shared" ref="G7:G35" si="13">G6</f>
        <v>598985</v>
      </c>
      <c r="H7" s="5">
        <f t="shared" ref="H7:H35" si="14">G7-G6</f>
        <v>0</v>
      </c>
      <c r="I7" s="5">
        <f t="shared" si="0"/>
        <v>0</v>
      </c>
      <c r="J7" s="344">
        <f t="shared" si="1"/>
        <v>0</v>
      </c>
      <c r="K7" s="5">
        <f>'Swimming Pool quality check '!H7</f>
        <v>6214</v>
      </c>
      <c r="L7" s="84">
        <f>K7-K6</f>
        <v>2</v>
      </c>
      <c r="M7" s="424">
        <f t="shared" ref="M7:M35" si="15">M6</f>
        <v>457.44</v>
      </c>
      <c r="N7" s="535">
        <f t="shared" si="2"/>
        <v>0</v>
      </c>
      <c r="O7" s="424">
        <f t="shared" ref="O7:O35" si="16">O6</f>
        <v>529.52</v>
      </c>
      <c r="P7" s="535">
        <f t="shared" si="3"/>
        <v>0</v>
      </c>
      <c r="Q7" s="536">
        <f>P7+N7</f>
        <v>0</v>
      </c>
      <c r="R7" s="535"/>
      <c r="S7" s="535"/>
      <c r="T7" s="5">
        <v>4834</v>
      </c>
      <c r="U7" s="5">
        <f t="shared" si="4"/>
        <v>2</v>
      </c>
      <c r="V7" s="5">
        <v>408</v>
      </c>
      <c r="W7" s="334">
        <f t="shared" ref="W7:W35" si="17">+V7-V6</f>
        <v>0</v>
      </c>
      <c r="X7" s="5">
        <f t="shared" ref="T7:AG35" si="18">X6</f>
        <v>143783</v>
      </c>
      <c r="Y7" s="334">
        <f t="shared" ref="Y7:Y35" si="19">SUM(X7-X6)</f>
        <v>0</v>
      </c>
      <c r="Z7" s="5">
        <f t="shared" si="18"/>
        <v>94798</v>
      </c>
      <c r="AA7" s="84">
        <f t="shared" ref="AA7:AA35" si="20">Z7-Z6</f>
        <v>0</v>
      </c>
      <c r="AB7" s="5">
        <f t="shared" si="18"/>
        <v>268</v>
      </c>
      <c r="AC7" s="5">
        <f t="shared" si="18"/>
        <v>671</v>
      </c>
      <c r="AD7" s="84">
        <f>AC7-AC6</f>
        <v>0</v>
      </c>
      <c r="AE7" s="5">
        <f t="shared" si="18"/>
        <v>155.80000000000001</v>
      </c>
      <c r="AF7" s="84">
        <f t="shared" ref="AF7:AF35" si="21">AE7-AE6</f>
        <v>0</v>
      </c>
      <c r="AG7" s="5">
        <v>1594.6</v>
      </c>
      <c r="AH7" s="84">
        <f t="shared" ref="AH7:AH35" si="22">AG7-AG6</f>
        <v>0</v>
      </c>
      <c r="AI7" s="84">
        <f t="shared" ref="AI7:AI35" si="23">AF7+AH7</f>
        <v>0</v>
      </c>
      <c r="AJ7" s="336">
        <f t="shared" ref="AJ7:AJ35" si="24">+Z7-Z6</f>
        <v>0</v>
      </c>
      <c r="AK7" s="337">
        <f t="shared" si="5"/>
        <v>-2</v>
      </c>
      <c r="AL7" s="337">
        <f t="shared" ref="AL7:AL35" si="25">SUM(AJ7-W7)</f>
        <v>0</v>
      </c>
      <c r="AM7" s="337">
        <f>'General information '!D7</f>
        <v>22</v>
      </c>
      <c r="AN7" s="85">
        <f>'General information '!H7</f>
        <v>0</v>
      </c>
      <c r="AO7" s="85"/>
      <c r="AP7" s="85">
        <f>'General information '!J7</f>
        <v>126</v>
      </c>
      <c r="AQ7" s="82"/>
      <c r="AR7" s="285">
        <f t="shared" ref="AR7:AR35" si="26">A7</f>
        <v>43984</v>
      </c>
      <c r="AS7" s="438">
        <f t="shared" si="6"/>
        <v>0.9</v>
      </c>
      <c r="AT7" s="205">
        <v>145</v>
      </c>
      <c r="AU7" s="439">
        <f>AU6</f>
        <v>1.1000000000000001</v>
      </c>
      <c r="AV7" s="205">
        <v>130</v>
      </c>
      <c r="AW7" s="5">
        <v>2.9</v>
      </c>
      <c r="AX7" s="205">
        <v>120</v>
      </c>
      <c r="AY7" s="442">
        <f t="shared" si="7"/>
        <v>130.5</v>
      </c>
      <c r="AZ7" s="442">
        <f t="shared" ref="AZ7:AZ35" si="27">AU7*AV7</f>
        <v>143</v>
      </c>
      <c r="BA7" s="442">
        <f t="shared" ref="BA7:BA35" si="28">AW7*AX7</f>
        <v>348</v>
      </c>
      <c r="BB7" s="21">
        <f t="shared" ref="BB7:BD35" si="29">AY7-AY6</f>
        <v>-9</v>
      </c>
      <c r="BC7" s="21">
        <f t="shared" ref="BC7:BD21" si="30">AZ7-AZ6</f>
        <v>17.599999999999994</v>
      </c>
      <c r="BD7" s="21">
        <f t="shared" si="30"/>
        <v>-52.199999999999989</v>
      </c>
      <c r="BE7" s="24">
        <f t="shared" ref="BE7:BE35" si="31">SUM(BB7:BD7)</f>
        <v>-43.599999999999994</v>
      </c>
      <c r="BF7" s="97">
        <f t="shared" si="8"/>
        <v>43.599999999999994</v>
      </c>
      <c r="BG7" s="83">
        <f t="shared" si="9"/>
        <v>-43.599999999999994</v>
      </c>
      <c r="BI7" s="87"/>
      <c r="BJ7" s="17"/>
      <c r="BK7" s="17"/>
      <c r="BL7" s="17"/>
      <c r="BM7" s="17"/>
    </row>
    <row r="8" spans="1:65" ht="15.75" thickBot="1">
      <c r="A8" s="6">
        <f>ELEC!C5</f>
        <v>43985</v>
      </c>
      <c r="B8" s="5">
        <v>108473</v>
      </c>
      <c r="C8" s="5">
        <f>B8-B7</f>
        <v>0</v>
      </c>
      <c r="D8" s="433">
        <f t="shared" si="12"/>
        <v>0</v>
      </c>
      <c r="E8" s="343">
        <f>SUM((C8*$E$4)+(7500/'EDl log'!$A$39))</f>
        <v>250</v>
      </c>
      <c r="F8" s="432"/>
      <c r="G8" s="5">
        <v>598985</v>
      </c>
      <c r="H8" s="5">
        <f t="shared" si="14"/>
        <v>0</v>
      </c>
      <c r="I8" s="5">
        <f t="shared" si="0"/>
        <v>0</v>
      </c>
      <c r="J8" s="344">
        <f t="shared" si="1"/>
        <v>0</v>
      </c>
      <c r="K8" s="5">
        <f>'Swimming Pool quality check '!H8</f>
        <v>6218</v>
      </c>
      <c r="L8" s="84">
        <f>K8-K7</f>
        <v>4</v>
      </c>
      <c r="M8" s="424">
        <f t="shared" si="15"/>
        <v>457.44</v>
      </c>
      <c r="N8" s="535">
        <f t="shared" si="2"/>
        <v>0</v>
      </c>
      <c r="O8" s="424">
        <f t="shared" si="16"/>
        <v>529.52</v>
      </c>
      <c r="P8" s="535">
        <f t="shared" si="3"/>
        <v>0</v>
      </c>
      <c r="Q8" s="536">
        <f>P8+N8</f>
        <v>0</v>
      </c>
      <c r="R8" s="535"/>
      <c r="S8" s="535"/>
      <c r="T8" s="5">
        <v>4835</v>
      </c>
      <c r="U8" s="5">
        <f t="shared" si="4"/>
        <v>1</v>
      </c>
      <c r="V8" s="5">
        <v>408</v>
      </c>
      <c r="W8" s="334">
        <f t="shared" si="17"/>
        <v>0</v>
      </c>
      <c r="X8" s="5">
        <v>143783</v>
      </c>
      <c r="Y8" s="334">
        <f t="shared" si="19"/>
        <v>0</v>
      </c>
      <c r="Z8" s="5">
        <v>94798</v>
      </c>
      <c r="AA8" s="84">
        <f t="shared" si="20"/>
        <v>0</v>
      </c>
      <c r="AB8" s="5">
        <f t="shared" si="18"/>
        <v>268</v>
      </c>
      <c r="AC8" s="5">
        <f t="shared" si="18"/>
        <v>671</v>
      </c>
      <c r="AD8" s="84">
        <f t="shared" ref="AD8:AD35" si="32">AC8-AC7</f>
        <v>0</v>
      </c>
      <c r="AE8" s="5">
        <v>157.78</v>
      </c>
      <c r="AF8" s="84">
        <f t="shared" si="21"/>
        <v>1.9799999999999898</v>
      </c>
      <c r="AG8" s="587">
        <v>1607.46</v>
      </c>
      <c r="AH8" s="84">
        <f t="shared" si="22"/>
        <v>12.860000000000127</v>
      </c>
      <c r="AI8" s="84">
        <f t="shared" si="23"/>
        <v>14.840000000000117</v>
      </c>
      <c r="AJ8" s="336">
        <f t="shared" si="24"/>
        <v>0</v>
      </c>
      <c r="AK8" s="337">
        <f t="shared" si="5"/>
        <v>-4</v>
      </c>
      <c r="AL8" s="337">
        <f t="shared" si="25"/>
        <v>0</v>
      </c>
      <c r="AM8" s="337">
        <f>'General information '!D8</f>
        <v>23</v>
      </c>
      <c r="AN8" s="85">
        <f>'General information '!H8</f>
        <v>0</v>
      </c>
      <c r="AO8" s="85"/>
      <c r="AP8" s="85">
        <f>'General information '!J8</f>
        <v>172</v>
      </c>
      <c r="AQ8" s="82"/>
      <c r="AR8" s="285">
        <f t="shared" si="26"/>
        <v>43985</v>
      </c>
      <c r="AS8" s="438">
        <f t="shared" si="6"/>
        <v>0.9</v>
      </c>
      <c r="AT8" s="205">
        <v>145</v>
      </c>
      <c r="AU8" s="439">
        <v>1.1000000000000001</v>
      </c>
      <c r="AV8" s="205">
        <v>125</v>
      </c>
      <c r="AW8" s="5">
        <v>2.9</v>
      </c>
      <c r="AX8" s="205">
        <v>100</v>
      </c>
      <c r="AY8" s="442">
        <f t="shared" si="7"/>
        <v>130.5</v>
      </c>
      <c r="AZ8" s="442">
        <f t="shared" si="27"/>
        <v>137.5</v>
      </c>
      <c r="BA8" s="442">
        <f t="shared" si="28"/>
        <v>290</v>
      </c>
      <c r="BB8" s="21">
        <f t="shared" si="29"/>
        <v>0</v>
      </c>
      <c r="BC8" s="21">
        <f t="shared" si="30"/>
        <v>-5.5</v>
      </c>
      <c r="BD8" s="21">
        <f t="shared" si="30"/>
        <v>-58</v>
      </c>
      <c r="BE8" s="24">
        <f t="shared" si="31"/>
        <v>-63.5</v>
      </c>
      <c r="BF8" s="97">
        <f t="shared" si="8"/>
        <v>63.5</v>
      </c>
      <c r="BG8" s="83">
        <f t="shared" si="9"/>
        <v>-63.5</v>
      </c>
      <c r="BI8" s="87"/>
      <c r="BJ8" s="17"/>
      <c r="BK8" s="17"/>
    </row>
    <row r="9" spans="1:65" ht="15.75" thickBot="1">
      <c r="A9" s="6">
        <f>ELEC!C6</f>
        <v>43986</v>
      </c>
      <c r="B9" s="5">
        <f t="shared" si="10"/>
        <v>108473</v>
      </c>
      <c r="C9" s="5">
        <f t="shared" si="11"/>
        <v>0</v>
      </c>
      <c r="D9" s="433">
        <f t="shared" si="12"/>
        <v>0</v>
      </c>
      <c r="E9" s="343">
        <f>SUM((C9*$E$4)+(7500/'EDl log'!$A$39))</f>
        <v>250</v>
      </c>
      <c r="F9" s="432"/>
      <c r="G9" s="5">
        <v>599157</v>
      </c>
      <c r="H9" s="5">
        <f t="shared" si="14"/>
        <v>172</v>
      </c>
      <c r="I9" s="5">
        <f t="shared" si="0"/>
        <v>172</v>
      </c>
      <c r="J9" s="344">
        <f t="shared" si="1"/>
        <v>1.4534883720930232</v>
      </c>
      <c r="K9" s="5">
        <f>'Swimming Pool quality check '!H9</f>
        <v>6218</v>
      </c>
      <c r="L9" s="84">
        <f t="shared" ref="L9:L35" si="33">K9-K8</f>
        <v>0</v>
      </c>
      <c r="M9" s="424">
        <f t="shared" si="15"/>
        <v>457.44</v>
      </c>
      <c r="N9" s="535">
        <f t="shared" si="2"/>
        <v>0</v>
      </c>
      <c r="O9" s="424">
        <f t="shared" si="16"/>
        <v>529.52</v>
      </c>
      <c r="P9" s="535">
        <f t="shared" si="3"/>
        <v>0</v>
      </c>
      <c r="Q9" s="536">
        <f>P9+N9</f>
        <v>0</v>
      </c>
      <c r="R9" s="535"/>
      <c r="S9" s="535"/>
      <c r="T9" s="5">
        <v>4837</v>
      </c>
      <c r="U9" s="5">
        <f t="shared" si="4"/>
        <v>2</v>
      </c>
      <c r="V9" s="5">
        <f t="shared" si="18"/>
        <v>408</v>
      </c>
      <c r="W9" s="334">
        <f t="shared" si="17"/>
        <v>0</v>
      </c>
      <c r="X9" s="5">
        <v>143813</v>
      </c>
      <c r="Y9" s="334">
        <f t="shared" si="19"/>
        <v>30</v>
      </c>
      <c r="Z9" s="5">
        <v>94842</v>
      </c>
      <c r="AA9" s="84">
        <f t="shared" si="20"/>
        <v>44</v>
      </c>
      <c r="AB9" s="5">
        <f t="shared" si="18"/>
        <v>268</v>
      </c>
      <c r="AC9" s="5">
        <f t="shared" si="18"/>
        <v>671</v>
      </c>
      <c r="AD9" s="84">
        <f t="shared" si="32"/>
        <v>0</v>
      </c>
      <c r="AE9" s="5">
        <v>157.86000000000001</v>
      </c>
      <c r="AF9" s="84">
        <f t="shared" si="21"/>
        <v>8.0000000000012506E-2</v>
      </c>
      <c r="AG9" s="5">
        <v>1609.2</v>
      </c>
      <c r="AH9" s="84">
        <f t="shared" si="22"/>
        <v>1.7400000000000091</v>
      </c>
      <c r="AI9" s="84">
        <f t="shared" si="23"/>
        <v>1.8200000000000216</v>
      </c>
      <c r="AJ9" s="336">
        <f t="shared" si="24"/>
        <v>44</v>
      </c>
      <c r="AK9" s="337">
        <f t="shared" si="5"/>
        <v>30</v>
      </c>
      <c r="AL9" s="337">
        <f t="shared" si="25"/>
        <v>44</v>
      </c>
      <c r="AM9" s="337">
        <f>'General information '!D9</f>
        <v>22</v>
      </c>
      <c r="AN9" s="85">
        <f>'General information '!H9</f>
        <v>0</v>
      </c>
      <c r="AO9" s="85"/>
      <c r="AP9" s="85">
        <f>'General information '!J9</f>
        <v>182</v>
      </c>
      <c r="AQ9" s="82"/>
      <c r="AR9" s="285">
        <f t="shared" si="26"/>
        <v>43986</v>
      </c>
      <c r="AS9" s="438">
        <f t="shared" si="6"/>
        <v>0.9</v>
      </c>
      <c r="AT9" s="205">
        <v>175</v>
      </c>
      <c r="AU9" s="439">
        <f t="shared" ref="AU9:AV35" si="34">AU8</f>
        <v>1.1000000000000001</v>
      </c>
      <c r="AV9" s="205">
        <v>115</v>
      </c>
      <c r="AW9" s="5">
        <v>2.9</v>
      </c>
      <c r="AX9" s="205">
        <v>126</v>
      </c>
      <c r="AY9" s="442">
        <f t="shared" si="7"/>
        <v>157.5</v>
      </c>
      <c r="AZ9" s="442">
        <f t="shared" si="27"/>
        <v>126.50000000000001</v>
      </c>
      <c r="BA9" s="442">
        <f t="shared" si="28"/>
        <v>365.4</v>
      </c>
      <c r="BB9" s="21">
        <f t="shared" si="29"/>
        <v>27</v>
      </c>
      <c r="BC9" s="21">
        <f t="shared" si="30"/>
        <v>-10.999999999999986</v>
      </c>
      <c r="BD9" s="21">
        <f t="shared" si="30"/>
        <v>75.399999999999977</v>
      </c>
      <c r="BE9" s="24">
        <f t="shared" si="31"/>
        <v>91.399999999999991</v>
      </c>
      <c r="BF9" s="358">
        <f t="shared" si="8"/>
        <v>80.600000000000009</v>
      </c>
      <c r="BG9" s="83">
        <f t="shared" si="9"/>
        <v>91.399999999999991</v>
      </c>
    </row>
    <row r="10" spans="1:65" ht="15.75" thickBot="1">
      <c r="A10" s="6">
        <f>ELEC!C7</f>
        <v>43987</v>
      </c>
      <c r="B10" s="5">
        <f t="shared" si="10"/>
        <v>108473</v>
      </c>
      <c r="C10" s="5">
        <f t="shared" si="11"/>
        <v>0</v>
      </c>
      <c r="D10" s="433">
        <f t="shared" si="12"/>
        <v>0</v>
      </c>
      <c r="E10" s="343">
        <f>SUM((C10*$E$4)+(7500/'EDl log'!$A$39))</f>
        <v>250</v>
      </c>
      <c r="F10" s="432"/>
      <c r="G10" s="5">
        <f t="shared" si="13"/>
        <v>599157</v>
      </c>
      <c r="H10" s="5">
        <f t="shared" si="14"/>
        <v>0</v>
      </c>
      <c r="I10" s="5">
        <f t="shared" si="0"/>
        <v>0</v>
      </c>
      <c r="J10" s="344">
        <f t="shared" si="1"/>
        <v>0</v>
      </c>
      <c r="K10" s="5">
        <f>'Swimming Pool quality check '!H10</f>
        <v>6228</v>
      </c>
      <c r="L10" s="84">
        <f>K10-K9</f>
        <v>10</v>
      </c>
      <c r="M10" s="424">
        <f t="shared" si="15"/>
        <v>457.44</v>
      </c>
      <c r="N10" s="535">
        <f t="shared" si="2"/>
        <v>0</v>
      </c>
      <c r="O10" s="424">
        <f t="shared" si="16"/>
        <v>529.52</v>
      </c>
      <c r="P10" s="535">
        <f t="shared" si="3"/>
        <v>0</v>
      </c>
      <c r="Q10" s="536">
        <f>P10+N10</f>
        <v>0</v>
      </c>
      <c r="R10" s="535"/>
      <c r="S10" s="535"/>
      <c r="T10" s="5">
        <v>4839</v>
      </c>
      <c r="U10" s="5">
        <f t="shared" si="4"/>
        <v>2</v>
      </c>
      <c r="V10" s="5">
        <f t="shared" si="18"/>
        <v>408</v>
      </c>
      <c r="W10" s="334">
        <f t="shared" si="17"/>
        <v>0</v>
      </c>
      <c r="X10" s="5">
        <v>143813</v>
      </c>
      <c r="Y10" s="334">
        <f t="shared" si="19"/>
        <v>0</v>
      </c>
      <c r="Z10" s="5">
        <v>94875</v>
      </c>
      <c r="AA10" s="84">
        <f t="shared" si="20"/>
        <v>33</v>
      </c>
      <c r="AB10" s="5">
        <f t="shared" si="18"/>
        <v>268</v>
      </c>
      <c r="AC10" s="5">
        <f t="shared" si="18"/>
        <v>671</v>
      </c>
      <c r="AD10" s="84">
        <f t="shared" si="32"/>
        <v>0</v>
      </c>
      <c r="AE10" s="5">
        <f t="shared" si="18"/>
        <v>157.86000000000001</v>
      </c>
      <c r="AF10" s="84">
        <f t="shared" si="21"/>
        <v>0</v>
      </c>
      <c r="AG10" s="5">
        <v>1612.2</v>
      </c>
      <c r="AH10" s="84">
        <f t="shared" si="22"/>
        <v>3</v>
      </c>
      <c r="AI10" s="84">
        <f t="shared" si="23"/>
        <v>3</v>
      </c>
      <c r="AJ10" s="336">
        <f t="shared" si="24"/>
        <v>33</v>
      </c>
      <c r="AK10" s="337">
        <f t="shared" si="5"/>
        <v>-10</v>
      </c>
      <c r="AL10" s="337">
        <f t="shared" si="25"/>
        <v>33</v>
      </c>
      <c r="AM10" s="337">
        <f>'General information '!D10</f>
        <v>21</v>
      </c>
      <c r="AN10" s="85">
        <f>'General information '!H10</f>
        <v>0</v>
      </c>
      <c r="AO10" s="85"/>
      <c r="AP10" s="85">
        <f>'General information '!J10</f>
        <v>292</v>
      </c>
      <c r="AQ10" s="82"/>
      <c r="AR10" s="285">
        <f t="shared" si="26"/>
        <v>43987</v>
      </c>
      <c r="AS10" s="438">
        <f t="shared" si="6"/>
        <v>0.9</v>
      </c>
      <c r="AT10" s="205">
        <v>146</v>
      </c>
      <c r="AU10" s="439">
        <f t="shared" si="34"/>
        <v>1.1000000000000001</v>
      </c>
      <c r="AV10" s="205">
        <v>122</v>
      </c>
      <c r="AW10" s="5">
        <v>2.9</v>
      </c>
      <c r="AX10" s="205">
        <v>119</v>
      </c>
      <c r="AY10" s="442">
        <f t="shared" si="7"/>
        <v>131.4</v>
      </c>
      <c r="AZ10" s="442">
        <f t="shared" si="27"/>
        <v>134.20000000000002</v>
      </c>
      <c r="BA10" s="442">
        <f t="shared" si="28"/>
        <v>345.09999999999997</v>
      </c>
      <c r="BB10" s="21">
        <f t="shared" si="29"/>
        <v>-26.099999999999994</v>
      </c>
      <c r="BC10" s="21">
        <f t="shared" si="30"/>
        <v>7.7000000000000028</v>
      </c>
      <c r="BD10" s="21">
        <f t="shared" si="30"/>
        <v>-20.300000000000011</v>
      </c>
      <c r="BE10" s="24">
        <f t="shared" si="31"/>
        <v>-38.700000000000003</v>
      </c>
      <c r="BF10" s="97">
        <f t="shared" si="8"/>
        <v>38.700000000000003</v>
      </c>
      <c r="BG10" s="83">
        <f t="shared" si="9"/>
        <v>-38.700000000000003</v>
      </c>
    </row>
    <row r="11" spans="1:65" ht="15.75" thickBot="1">
      <c r="A11" s="6">
        <f>ELEC!C8</f>
        <v>43988</v>
      </c>
      <c r="B11" s="5">
        <f t="shared" si="10"/>
        <v>108473</v>
      </c>
      <c r="C11" s="5">
        <f t="shared" si="11"/>
        <v>0</v>
      </c>
      <c r="D11" s="433">
        <f t="shared" si="12"/>
        <v>0</v>
      </c>
      <c r="E11" s="343">
        <f>SUM((C11*$E$4)+(7500/'EDl log'!$A$39))</f>
        <v>250</v>
      </c>
      <c r="F11" s="432"/>
      <c r="G11" s="5">
        <f t="shared" si="13"/>
        <v>599157</v>
      </c>
      <c r="H11" s="5">
        <f t="shared" si="14"/>
        <v>0</v>
      </c>
      <c r="I11" s="5">
        <f t="shared" si="0"/>
        <v>0</v>
      </c>
      <c r="J11" s="344">
        <f t="shared" si="1"/>
        <v>0</v>
      </c>
      <c r="K11" s="5">
        <f>'Swimming Pool quality check '!H11</f>
        <v>6232</v>
      </c>
      <c r="L11" s="84">
        <f t="shared" si="33"/>
        <v>4</v>
      </c>
      <c r="M11" s="424">
        <f t="shared" si="15"/>
        <v>457.44</v>
      </c>
      <c r="N11" s="535">
        <f t="shared" si="2"/>
        <v>0</v>
      </c>
      <c r="O11" s="424">
        <f t="shared" si="16"/>
        <v>529.52</v>
      </c>
      <c r="P11" s="535">
        <f t="shared" si="3"/>
        <v>0</v>
      </c>
      <c r="Q11" s="535">
        <f>SUM(P11+N11)</f>
        <v>0</v>
      </c>
      <c r="R11" s="535"/>
      <c r="S11" s="535"/>
      <c r="T11" s="5">
        <v>4841</v>
      </c>
      <c r="U11" s="5">
        <f t="shared" si="4"/>
        <v>2</v>
      </c>
      <c r="V11" s="5">
        <f t="shared" si="18"/>
        <v>408</v>
      </c>
      <c r="W11" s="334">
        <f t="shared" si="17"/>
        <v>0</v>
      </c>
      <c r="X11" s="5">
        <f t="shared" si="18"/>
        <v>143813</v>
      </c>
      <c r="Y11" s="334">
        <f t="shared" si="19"/>
        <v>0</v>
      </c>
      <c r="Z11" s="5">
        <f t="shared" si="18"/>
        <v>94875</v>
      </c>
      <c r="AA11" s="84">
        <f t="shared" si="20"/>
        <v>0</v>
      </c>
      <c r="AB11" s="5">
        <f t="shared" si="18"/>
        <v>268</v>
      </c>
      <c r="AC11" s="5">
        <f t="shared" si="18"/>
        <v>671</v>
      </c>
      <c r="AD11" s="84">
        <f t="shared" si="32"/>
        <v>0</v>
      </c>
      <c r="AE11" s="5">
        <f t="shared" si="18"/>
        <v>157.86000000000001</v>
      </c>
      <c r="AF11" s="84">
        <f t="shared" si="21"/>
        <v>0</v>
      </c>
      <c r="AG11" s="5">
        <v>1614.6</v>
      </c>
      <c r="AH11" s="84">
        <f t="shared" si="22"/>
        <v>2.3999999999998636</v>
      </c>
      <c r="AI11" s="84">
        <f t="shared" si="23"/>
        <v>2.3999999999998636</v>
      </c>
      <c r="AJ11" s="336">
        <f t="shared" si="24"/>
        <v>0</v>
      </c>
      <c r="AK11" s="337">
        <f t="shared" si="5"/>
        <v>-4</v>
      </c>
      <c r="AL11" s="337">
        <f t="shared" si="25"/>
        <v>0</v>
      </c>
      <c r="AM11" s="337">
        <f>'General information '!D11</f>
        <v>22</v>
      </c>
      <c r="AN11" s="85">
        <f>'General information '!H11</f>
        <v>0</v>
      </c>
      <c r="AO11" s="85"/>
      <c r="AP11" s="85">
        <f>'General information '!J11</f>
        <v>61</v>
      </c>
      <c r="AQ11" s="82"/>
      <c r="AR11" s="285">
        <f t="shared" si="26"/>
        <v>43988</v>
      </c>
      <c r="AS11" s="438">
        <f t="shared" si="6"/>
        <v>0.9</v>
      </c>
      <c r="AT11" s="205">
        <f t="shared" si="6"/>
        <v>146</v>
      </c>
      <c r="AU11" s="439">
        <f t="shared" si="34"/>
        <v>1.1000000000000001</v>
      </c>
      <c r="AV11" s="205">
        <v>122</v>
      </c>
      <c r="AW11" s="5">
        <v>2.9</v>
      </c>
      <c r="AX11" s="205">
        <v>95</v>
      </c>
      <c r="AY11" s="442">
        <f t="shared" si="7"/>
        <v>131.4</v>
      </c>
      <c r="AZ11" s="442">
        <f t="shared" si="27"/>
        <v>134.20000000000002</v>
      </c>
      <c r="BA11" s="442">
        <f t="shared" si="28"/>
        <v>275.5</v>
      </c>
      <c r="BB11" s="21">
        <f t="shared" si="29"/>
        <v>0</v>
      </c>
      <c r="BC11" s="21">
        <f t="shared" si="30"/>
        <v>0</v>
      </c>
      <c r="BD11" s="21">
        <f t="shared" si="30"/>
        <v>-69.599999999999966</v>
      </c>
      <c r="BE11" s="24">
        <f t="shared" si="31"/>
        <v>-69.599999999999966</v>
      </c>
      <c r="BF11" s="97">
        <f t="shared" si="8"/>
        <v>69.599999999999966</v>
      </c>
      <c r="BG11" s="83">
        <f t="shared" si="9"/>
        <v>-69.599999999999966</v>
      </c>
    </row>
    <row r="12" spans="1:65" ht="15.75" thickBot="1">
      <c r="A12" s="6">
        <f>ELEC!C9</f>
        <v>43989</v>
      </c>
      <c r="B12" s="5">
        <f t="shared" si="10"/>
        <v>108473</v>
      </c>
      <c r="C12" s="5">
        <f>B12-B11</f>
        <v>0</v>
      </c>
      <c r="D12" s="433">
        <f t="shared" si="12"/>
        <v>0</v>
      </c>
      <c r="E12" s="343">
        <f>SUM((C12*$E$4)+(7500/'EDl log'!$A$39))</f>
        <v>250</v>
      </c>
      <c r="F12" s="432"/>
      <c r="G12" s="5">
        <f t="shared" si="13"/>
        <v>599157</v>
      </c>
      <c r="H12" s="5">
        <f t="shared" si="14"/>
        <v>0</v>
      </c>
      <c r="I12" s="5">
        <f t="shared" si="0"/>
        <v>0</v>
      </c>
      <c r="J12" s="344">
        <f t="shared" si="1"/>
        <v>0</v>
      </c>
      <c r="K12" s="5">
        <f>'Swimming Pool quality check '!H12</f>
        <v>6232</v>
      </c>
      <c r="L12" s="84">
        <f t="shared" si="33"/>
        <v>0</v>
      </c>
      <c r="M12" s="424">
        <f t="shared" si="15"/>
        <v>457.44</v>
      </c>
      <c r="N12" s="535">
        <f t="shared" si="2"/>
        <v>0</v>
      </c>
      <c r="O12" s="424">
        <f t="shared" si="16"/>
        <v>529.52</v>
      </c>
      <c r="P12" s="535">
        <f t="shared" si="3"/>
        <v>0</v>
      </c>
      <c r="Q12" s="535">
        <f>SUM(P12+N12)</f>
        <v>0</v>
      </c>
      <c r="R12" s="535"/>
      <c r="S12" s="535"/>
      <c r="T12" s="5">
        <v>4843</v>
      </c>
      <c r="U12" s="5">
        <f t="shared" si="4"/>
        <v>2</v>
      </c>
      <c r="V12" s="5">
        <f t="shared" si="18"/>
        <v>408</v>
      </c>
      <c r="W12" s="334">
        <f t="shared" si="17"/>
        <v>0</v>
      </c>
      <c r="X12" s="5">
        <v>143813</v>
      </c>
      <c r="Y12" s="334">
        <f t="shared" si="19"/>
        <v>0</v>
      </c>
      <c r="Z12" s="5">
        <f t="shared" si="18"/>
        <v>94875</v>
      </c>
      <c r="AA12" s="84">
        <f t="shared" si="20"/>
        <v>0</v>
      </c>
      <c r="AB12" s="5">
        <f t="shared" si="18"/>
        <v>268</v>
      </c>
      <c r="AC12" s="5">
        <v>670</v>
      </c>
      <c r="AD12" s="84">
        <f t="shared" si="32"/>
        <v>-1</v>
      </c>
      <c r="AE12" s="5">
        <f t="shared" si="18"/>
        <v>157.86000000000001</v>
      </c>
      <c r="AF12" s="84">
        <f t="shared" si="21"/>
        <v>0</v>
      </c>
      <c r="AG12" s="5">
        <f t="shared" si="18"/>
        <v>1614.6</v>
      </c>
      <c r="AH12" s="84">
        <f t="shared" si="22"/>
        <v>0</v>
      </c>
      <c r="AI12" s="84">
        <f t="shared" si="23"/>
        <v>0</v>
      </c>
      <c r="AJ12" s="336">
        <f t="shared" si="24"/>
        <v>0</v>
      </c>
      <c r="AK12" s="337">
        <f t="shared" si="5"/>
        <v>0</v>
      </c>
      <c r="AL12" s="337">
        <f t="shared" si="25"/>
        <v>0</v>
      </c>
      <c r="AM12" s="337">
        <f>'General information '!D12</f>
        <v>24</v>
      </c>
      <c r="AN12" s="85">
        <f>'General information '!H12</f>
        <v>0</v>
      </c>
      <c r="AO12" s="85"/>
      <c r="AP12" s="85">
        <f>'General information '!J12</f>
        <v>206</v>
      </c>
      <c r="AQ12" s="82"/>
      <c r="AR12" s="285">
        <f t="shared" si="26"/>
        <v>43989</v>
      </c>
      <c r="AS12" s="438">
        <f t="shared" si="6"/>
        <v>0.9</v>
      </c>
      <c r="AT12" s="205">
        <f t="shared" si="6"/>
        <v>146</v>
      </c>
      <c r="AU12" s="439">
        <f t="shared" si="34"/>
        <v>1.1000000000000001</v>
      </c>
      <c r="AV12" s="205">
        <v>93</v>
      </c>
      <c r="AW12" s="5">
        <v>2.9</v>
      </c>
      <c r="AX12" s="205">
        <v>102</v>
      </c>
      <c r="AY12" s="442">
        <f t="shared" si="7"/>
        <v>131.4</v>
      </c>
      <c r="AZ12" s="442">
        <f t="shared" si="27"/>
        <v>102.30000000000001</v>
      </c>
      <c r="BA12" s="442">
        <f t="shared" si="28"/>
        <v>295.8</v>
      </c>
      <c r="BB12" s="21">
        <f t="shared" si="29"/>
        <v>0</v>
      </c>
      <c r="BC12" s="21">
        <f t="shared" si="30"/>
        <v>-31.900000000000006</v>
      </c>
      <c r="BD12" s="21">
        <f t="shared" si="30"/>
        <v>20.300000000000011</v>
      </c>
      <c r="BE12" s="24">
        <f t="shared" si="31"/>
        <v>-11.599999999999994</v>
      </c>
      <c r="BF12" s="97">
        <f t="shared" si="8"/>
        <v>11.599999999999994</v>
      </c>
      <c r="BG12" s="83">
        <f t="shared" si="9"/>
        <v>-11.599999999999994</v>
      </c>
    </row>
    <row r="13" spans="1:65" ht="15.75" thickBot="1">
      <c r="A13" s="6">
        <f>ELEC!C10</f>
        <v>43990</v>
      </c>
      <c r="B13" s="5">
        <f t="shared" si="10"/>
        <v>108473</v>
      </c>
      <c r="C13" s="5">
        <f t="shared" si="11"/>
        <v>0</v>
      </c>
      <c r="D13" s="433">
        <f t="shared" si="12"/>
        <v>0</v>
      </c>
      <c r="E13" s="343">
        <f>SUM((C13*$E$4)+(7500/'EDl log'!$A$39))</f>
        <v>250</v>
      </c>
      <c r="F13" s="432"/>
      <c r="G13" s="5">
        <v>599229</v>
      </c>
      <c r="H13" s="5">
        <f t="shared" si="14"/>
        <v>72</v>
      </c>
      <c r="I13" s="5">
        <f t="shared" si="0"/>
        <v>72</v>
      </c>
      <c r="J13" s="344">
        <f t="shared" si="1"/>
        <v>3.4722222222222223</v>
      </c>
      <c r="K13" s="5">
        <f>'Swimming Pool quality check '!H13</f>
        <v>6242</v>
      </c>
      <c r="L13" s="84">
        <f t="shared" si="33"/>
        <v>10</v>
      </c>
      <c r="M13" s="424">
        <f t="shared" si="15"/>
        <v>457.44</v>
      </c>
      <c r="N13" s="535">
        <f t="shared" si="2"/>
        <v>0</v>
      </c>
      <c r="O13" s="424">
        <f t="shared" si="16"/>
        <v>529.52</v>
      </c>
      <c r="P13" s="535">
        <f t="shared" si="3"/>
        <v>0</v>
      </c>
      <c r="Q13" s="535">
        <f>SUM(P13+N13)</f>
        <v>0</v>
      </c>
      <c r="R13" s="535"/>
      <c r="S13" s="535"/>
      <c r="T13" s="5">
        <v>4845</v>
      </c>
      <c r="U13" s="5">
        <f t="shared" si="4"/>
        <v>2</v>
      </c>
      <c r="V13" s="5">
        <f t="shared" si="18"/>
        <v>408</v>
      </c>
      <c r="W13" s="334">
        <f t="shared" si="17"/>
        <v>0</v>
      </c>
      <c r="X13" s="5">
        <v>143816</v>
      </c>
      <c r="Y13" s="334">
        <f t="shared" si="19"/>
        <v>3</v>
      </c>
      <c r="Z13" s="5">
        <f t="shared" si="18"/>
        <v>94875</v>
      </c>
      <c r="AA13" s="84">
        <f t="shared" si="20"/>
        <v>0</v>
      </c>
      <c r="AB13" s="5">
        <f t="shared" si="18"/>
        <v>268</v>
      </c>
      <c r="AC13" s="5">
        <f t="shared" si="18"/>
        <v>670</v>
      </c>
      <c r="AD13" s="84">
        <f t="shared" si="32"/>
        <v>0</v>
      </c>
      <c r="AE13" s="5">
        <f t="shared" si="18"/>
        <v>157.86000000000001</v>
      </c>
      <c r="AF13" s="84">
        <f t="shared" si="21"/>
        <v>0</v>
      </c>
      <c r="AG13" s="5">
        <v>1621</v>
      </c>
      <c r="AH13" s="84">
        <f t="shared" si="22"/>
        <v>6.4000000000000909</v>
      </c>
      <c r="AI13" s="84">
        <f t="shared" si="23"/>
        <v>6.4000000000000909</v>
      </c>
      <c r="AJ13" s="336">
        <f t="shared" si="24"/>
        <v>0</v>
      </c>
      <c r="AK13" s="337">
        <f t="shared" si="5"/>
        <v>-7</v>
      </c>
      <c r="AL13" s="337">
        <f t="shared" si="25"/>
        <v>0</v>
      </c>
      <c r="AM13" s="337">
        <f>'General information '!D13</f>
        <v>24</v>
      </c>
      <c r="AN13" s="85">
        <f>'General information '!J13</f>
        <v>115</v>
      </c>
      <c r="AO13" s="85"/>
      <c r="AP13" s="85">
        <f>'General information '!J13</f>
        <v>115</v>
      </c>
      <c r="AQ13" s="96"/>
      <c r="AR13" s="285">
        <f t="shared" si="26"/>
        <v>43990</v>
      </c>
      <c r="AS13" s="438">
        <f t="shared" si="6"/>
        <v>0.9</v>
      </c>
      <c r="AT13" s="205">
        <v>180</v>
      </c>
      <c r="AU13" s="439">
        <f t="shared" si="34"/>
        <v>1.1000000000000001</v>
      </c>
      <c r="AV13" s="205">
        <v>77</v>
      </c>
      <c r="AW13" s="5">
        <v>2.9</v>
      </c>
      <c r="AX13" s="205">
        <v>98</v>
      </c>
      <c r="AY13" s="442">
        <f t="shared" si="7"/>
        <v>162</v>
      </c>
      <c r="AZ13" s="442">
        <f t="shared" si="27"/>
        <v>84.7</v>
      </c>
      <c r="BA13" s="442">
        <f t="shared" si="28"/>
        <v>284.2</v>
      </c>
      <c r="BB13" s="21">
        <f t="shared" si="29"/>
        <v>30.599999999999994</v>
      </c>
      <c r="BC13" s="21">
        <f t="shared" si="30"/>
        <v>-17.600000000000009</v>
      </c>
      <c r="BD13" s="21">
        <f t="shared" si="30"/>
        <v>-11.600000000000023</v>
      </c>
      <c r="BE13" s="24">
        <f t="shared" si="31"/>
        <v>1.3999999999999631</v>
      </c>
      <c r="BF13" s="97">
        <f t="shared" si="8"/>
        <v>70.600000000000037</v>
      </c>
      <c r="BG13" s="83">
        <f t="shared" si="9"/>
        <v>1.3999999999999631</v>
      </c>
    </row>
    <row r="14" spans="1:65" ht="15.75" thickBot="1">
      <c r="A14" s="6">
        <f>ELEC!C11</f>
        <v>43991</v>
      </c>
      <c r="B14" s="5">
        <v>108473</v>
      </c>
      <c r="C14" s="5">
        <f t="shared" si="11"/>
        <v>0</v>
      </c>
      <c r="D14" s="433">
        <f t="shared" si="12"/>
        <v>0</v>
      </c>
      <c r="E14" s="343">
        <f>SUM((C14*$E$4)+(7500/'EDl log'!$A$39))</f>
        <v>250</v>
      </c>
      <c r="F14" s="432"/>
      <c r="G14" s="5">
        <v>599229</v>
      </c>
      <c r="H14" s="5">
        <f t="shared" si="14"/>
        <v>0</v>
      </c>
      <c r="I14" s="5">
        <f t="shared" si="0"/>
        <v>0</v>
      </c>
      <c r="J14" s="344">
        <f t="shared" si="1"/>
        <v>0</v>
      </c>
      <c r="K14" s="5">
        <f>'Swimming Pool quality check '!H14</f>
        <v>6247</v>
      </c>
      <c r="L14" s="84">
        <f t="shared" si="33"/>
        <v>5</v>
      </c>
      <c r="M14" s="424">
        <f t="shared" si="15"/>
        <v>457.44</v>
      </c>
      <c r="N14" s="535">
        <f t="shared" ref="N14:N35" si="35">SUM(M14-M13)</f>
        <v>0</v>
      </c>
      <c r="O14" s="424">
        <f t="shared" si="16"/>
        <v>529.52</v>
      </c>
      <c r="P14" s="535">
        <f t="shared" ref="P14:P35" si="36">SUM(O14-O13)</f>
        <v>0</v>
      </c>
      <c r="Q14" s="535">
        <f t="shared" ref="Q14:Q35" si="37">SUM(P14+N14)</f>
        <v>0</v>
      </c>
      <c r="R14" s="535"/>
      <c r="S14" s="535"/>
      <c r="T14" s="5">
        <v>4847</v>
      </c>
      <c r="U14" s="5">
        <f t="shared" si="4"/>
        <v>2</v>
      </c>
      <c r="V14" s="5">
        <v>408</v>
      </c>
      <c r="W14" s="334">
        <f t="shared" si="17"/>
        <v>0</v>
      </c>
      <c r="X14" s="5">
        <v>143893</v>
      </c>
      <c r="Y14" s="334">
        <f t="shared" si="19"/>
        <v>77</v>
      </c>
      <c r="Z14" s="5">
        <v>94921</v>
      </c>
      <c r="AA14" s="84">
        <f t="shared" si="20"/>
        <v>46</v>
      </c>
      <c r="AB14" s="5">
        <f t="shared" si="18"/>
        <v>268</v>
      </c>
      <c r="AC14" s="5">
        <f t="shared" si="18"/>
        <v>670</v>
      </c>
      <c r="AD14" s="84">
        <f t="shared" si="32"/>
        <v>0</v>
      </c>
      <c r="AE14" s="5">
        <f t="shared" si="18"/>
        <v>157.86000000000001</v>
      </c>
      <c r="AF14" s="84">
        <f t="shared" si="21"/>
        <v>0</v>
      </c>
      <c r="AG14" s="5">
        <v>1621.16</v>
      </c>
      <c r="AH14" s="84">
        <f t="shared" si="22"/>
        <v>0.16000000000008185</v>
      </c>
      <c r="AI14" s="84">
        <f t="shared" si="23"/>
        <v>0.16000000000008185</v>
      </c>
      <c r="AJ14" s="336">
        <f t="shared" si="24"/>
        <v>46</v>
      </c>
      <c r="AK14" s="337">
        <f t="shared" si="5"/>
        <v>72</v>
      </c>
      <c r="AL14" s="337">
        <f t="shared" si="25"/>
        <v>46</v>
      </c>
      <c r="AM14" s="337">
        <f>'General information '!D14</f>
        <v>24</v>
      </c>
      <c r="AN14" s="85">
        <f>'General information '!H14</f>
        <v>0</v>
      </c>
      <c r="AO14" s="85"/>
      <c r="AP14" s="85">
        <f>'General information '!J14</f>
        <v>186</v>
      </c>
      <c r="AQ14" s="82"/>
      <c r="AR14" s="285">
        <f t="shared" si="26"/>
        <v>43991</v>
      </c>
      <c r="AS14" s="438">
        <f t="shared" si="6"/>
        <v>0.9</v>
      </c>
      <c r="AT14" s="205">
        <v>39</v>
      </c>
      <c r="AU14" s="439">
        <f t="shared" si="34"/>
        <v>1.1000000000000001</v>
      </c>
      <c r="AV14" s="205">
        <v>90</v>
      </c>
      <c r="AW14" s="5">
        <v>2.9</v>
      </c>
      <c r="AX14" s="205">
        <v>108</v>
      </c>
      <c r="AY14" s="442">
        <f t="shared" si="7"/>
        <v>35.1</v>
      </c>
      <c r="AZ14" s="442">
        <f t="shared" si="27"/>
        <v>99.000000000000014</v>
      </c>
      <c r="BA14" s="442">
        <f t="shared" si="28"/>
        <v>313.2</v>
      </c>
      <c r="BB14" s="21">
        <f t="shared" si="29"/>
        <v>-126.9</v>
      </c>
      <c r="BC14" s="21">
        <f t="shared" si="30"/>
        <v>14.300000000000011</v>
      </c>
      <c r="BD14" s="21">
        <f t="shared" si="30"/>
        <v>29</v>
      </c>
      <c r="BE14" s="24">
        <f t="shared" si="31"/>
        <v>-83.6</v>
      </c>
      <c r="BF14" s="97">
        <f t="shared" si="8"/>
        <v>83.6</v>
      </c>
      <c r="BG14" s="83">
        <f t="shared" si="9"/>
        <v>-83.6</v>
      </c>
    </row>
    <row r="15" spans="1:65" ht="16.5" customHeight="1" thickBot="1">
      <c r="A15" s="6">
        <f>ELEC!C12</f>
        <v>43992</v>
      </c>
      <c r="B15" s="5">
        <v>108473</v>
      </c>
      <c r="C15" s="5">
        <f t="shared" si="11"/>
        <v>0</v>
      </c>
      <c r="D15" s="433">
        <f t="shared" si="12"/>
        <v>0</v>
      </c>
      <c r="E15" s="343">
        <f>SUM((C15*$E$4)+(7500/'EDl log'!$A$39))</f>
        <v>250</v>
      </c>
      <c r="F15" s="432"/>
      <c r="G15" s="5">
        <v>599629</v>
      </c>
      <c r="H15" s="5">
        <f t="shared" si="14"/>
        <v>400</v>
      </c>
      <c r="I15" s="5">
        <f t="shared" si="0"/>
        <v>400</v>
      </c>
      <c r="J15" s="344">
        <f t="shared" si="1"/>
        <v>0.625</v>
      </c>
      <c r="K15" s="5">
        <f>'Swimming Pool quality check '!H15</f>
        <v>6252</v>
      </c>
      <c r="L15" s="84">
        <f t="shared" si="33"/>
        <v>5</v>
      </c>
      <c r="M15" s="424">
        <f t="shared" si="15"/>
        <v>457.44</v>
      </c>
      <c r="N15" s="535">
        <f t="shared" si="35"/>
        <v>0</v>
      </c>
      <c r="O15" s="424">
        <f t="shared" si="16"/>
        <v>529.52</v>
      </c>
      <c r="P15" s="535">
        <f t="shared" si="36"/>
        <v>0</v>
      </c>
      <c r="Q15" s="535">
        <f t="shared" si="37"/>
        <v>0</v>
      </c>
      <c r="R15" s="535"/>
      <c r="S15" s="535"/>
      <c r="T15" s="5">
        <v>4849</v>
      </c>
      <c r="U15" s="5">
        <f t="shared" si="4"/>
        <v>2</v>
      </c>
      <c r="V15" s="5">
        <v>408</v>
      </c>
      <c r="W15" s="334">
        <f t="shared" si="17"/>
        <v>0</v>
      </c>
      <c r="X15" s="5">
        <v>143939</v>
      </c>
      <c r="Y15" s="334">
        <f t="shared" si="19"/>
        <v>46</v>
      </c>
      <c r="Z15" s="5">
        <v>94992</v>
      </c>
      <c r="AA15" s="84">
        <f t="shared" si="20"/>
        <v>71</v>
      </c>
      <c r="AB15" s="5">
        <f t="shared" si="18"/>
        <v>268</v>
      </c>
      <c r="AC15" s="5">
        <f t="shared" si="18"/>
        <v>670</v>
      </c>
      <c r="AD15" s="84">
        <f t="shared" si="32"/>
        <v>0</v>
      </c>
      <c r="AE15" s="5">
        <v>159.02000000000001</v>
      </c>
      <c r="AF15" s="84">
        <f t="shared" si="21"/>
        <v>1.1599999999999966</v>
      </c>
      <c r="AG15" s="5">
        <v>1634.16</v>
      </c>
      <c r="AH15" s="84">
        <f t="shared" si="22"/>
        <v>13</v>
      </c>
      <c r="AI15" s="84">
        <f t="shared" si="23"/>
        <v>14.159999999999997</v>
      </c>
      <c r="AJ15" s="336">
        <f t="shared" si="24"/>
        <v>71</v>
      </c>
      <c r="AK15" s="337">
        <f t="shared" si="5"/>
        <v>41</v>
      </c>
      <c r="AL15" s="337">
        <f t="shared" si="25"/>
        <v>71</v>
      </c>
      <c r="AM15" s="337">
        <f>'General information '!D15</f>
        <v>24</v>
      </c>
      <c r="AN15" s="85">
        <f>'General information '!H15</f>
        <v>0</v>
      </c>
      <c r="AO15" s="85"/>
      <c r="AP15" s="85">
        <f>'General information '!J15</f>
        <v>177</v>
      </c>
      <c r="AQ15" s="82"/>
      <c r="AR15" s="285">
        <f t="shared" si="26"/>
        <v>43992</v>
      </c>
      <c r="AS15" s="438">
        <f t="shared" si="6"/>
        <v>0.9</v>
      </c>
      <c r="AT15" s="205">
        <v>190</v>
      </c>
      <c r="AU15" s="439">
        <f t="shared" si="34"/>
        <v>1.1000000000000001</v>
      </c>
      <c r="AV15" s="205">
        <v>115</v>
      </c>
      <c r="AW15" s="5">
        <v>2.9</v>
      </c>
      <c r="AX15" s="205">
        <v>121</v>
      </c>
      <c r="AY15" s="442">
        <f t="shared" si="7"/>
        <v>171</v>
      </c>
      <c r="AZ15" s="442">
        <f t="shared" si="27"/>
        <v>126.50000000000001</v>
      </c>
      <c r="BA15" s="442">
        <f t="shared" si="28"/>
        <v>350.9</v>
      </c>
      <c r="BB15" s="21">
        <f t="shared" si="29"/>
        <v>135.9</v>
      </c>
      <c r="BC15" s="21">
        <f t="shared" si="30"/>
        <v>27.5</v>
      </c>
      <c r="BD15" s="21">
        <f t="shared" si="30"/>
        <v>37.699999999999989</v>
      </c>
      <c r="BE15" s="24">
        <f t="shared" si="31"/>
        <v>201.1</v>
      </c>
      <c r="BF15" s="97">
        <f t="shared" si="8"/>
        <v>198.9</v>
      </c>
      <c r="BG15" s="83">
        <f t="shared" si="9"/>
        <v>201.1</v>
      </c>
    </row>
    <row r="16" spans="1:65" ht="15.75" thickBot="1">
      <c r="A16" s="6">
        <f>ELEC!C13</f>
        <v>43993</v>
      </c>
      <c r="B16" s="5">
        <v>108473</v>
      </c>
      <c r="C16" s="5">
        <f t="shared" si="11"/>
        <v>0</v>
      </c>
      <c r="D16" s="433">
        <f t="shared" si="12"/>
        <v>0</v>
      </c>
      <c r="E16" s="343">
        <f>SUM((C16*$E$4)+(7500/'EDl log'!$A$39))</f>
        <v>250</v>
      </c>
      <c r="F16" s="432"/>
      <c r="G16" s="5">
        <v>599629</v>
      </c>
      <c r="H16" s="5">
        <f t="shared" si="14"/>
        <v>0</v>
      </c>
      <c r="I16" s="5">
        <f t="shared" si="0"/>
        <v>0</v>
      </c>
      <c r="J16" s="344">
        <f t="shared" si="1"/>
        <v>0</v>
      </c>
      <c r="K16" s="5">
        <f>'Swimming Pool quality check '!H16</f>
        <v>6258</v>
      </c>
      <c r="L16" s="282">
        <f t="shared" si="33"/>
        <v>6</v>
      </c>
      <c r="M16" s="424">
        <f t="shared" si="15"/>
        <v>457.44</v>
      </c>
      <c r="N16" s="535">
        <f t="shared" si="35"/>
        <v>0</v>
      </c>
      <c r="O16" s="424">
        <f t="shared" si="16"/>
        <v>529.52</v>
      </c>
      <c r="P16" s="535">
        <f t="shared" si="36"/>
        <v>0</v>
      </c>
      <c r="Q16" s="535">
        <f t="shared" si="37"/>
        <v>0</v>
      </c>
      <c r="R16" s="537"/>
      <c r="S16" s="537"/>
      <c r="T16" s="5">
        <v>4852</v>
      </c>
      <c r="U16" s="5">
        <f t="shared" si="4"/>
        <v>3</v>
      </c>
      <c r="V16" s="5">
        <v>408</v>
      </c>
      <c r="W16" s="334">
        <f t="shared" si="17"/>
        <v>0</v>
      </c>
      <c r="X16" s="5">
        <v>143983</v>
      </c>
      <c r="Y16" s="334">
        <f t="shared" si="19"/>
        <v>44</v>
      </c>
      <c r="Z16" s="5">
        <v>95011</v>
      </c>
      <c r="AA16" s="84">
        <f t="shared" si="20"/>
        <v>19</v>
      </c>
      <c r="AB16" s="5">
        <f t="shared" si="18"/>
        <v>268</v>
      </c>
      <c r="AC16" s="5">
        <f t="shared" si="18"/>
        <v>670</v>
      </c>
      <c r="AD16" s="84">
        <f t="shared" si="32"/>
        <v>0</v>
      </c>
      <c r="AE16" s="5">
        <v>159.02000000000001</v>
      </c>
      <c r="AF16" s="84">
        <f t="shared" si="21"/>
        <v>0</v>
      </c>
      <c r="AG16" s="5">
        <v>1635.2</v>
      </c>
      <c r="AH16" s="84">
        <f t="shared" si="22"/>
        <v>1.0399999999999636</v>
      </c>
      <c r="AI16" s="84">
        <f t="shared" si="23"/>
        <v>1.0399999999999636</v>
      </c>
      <c r="AJ16" s="336">
        <f t="shared" si="24"/>
        <v>19</v>
      </c>
      <c r="AK16" s="337">
        <f t="shared" si="5"/>
        <v>38</v>
      </c>
      <c r="AL16" s="337">
        <f t="shared" si="25"/>
        <v>19</v>
      </c>
      <c r="AM16" s="337">
        <f>'General information '!D16</f>
        <v>24</v>
      </c>
      <c r="AN16" s="85">
        <f>'General information '!H16</f>
        <v>0</v>
      </c>
      <c r="AO16" s="85"/>
      <c r="AP16" s="85">
        <f>'General information '!J16</f>
        <v>162</v>
      </c>
      <c r="AQ16" s="82"/>
      <c r="AR16" s="285">
        <f t="shared" si="26"/>
        <v>43993</v>
      </c>
      <c r="AS16" s="438">
        <f t="shared" si="6"/>
        <v>0.9</v>
      </c>
      <c r="AT16" s="205">
        <v>111</v>
      </c>
      <c r="AU16" s="439">
        <f t="shared" si="34"/>
        <v>1.1000000000000001</v>
      </c>
      <c r="AV16" s="205">
        <v>134</v>
      </c>
      <c r="AW16" s="5">
        <v>2.9</v>
      </c>
      <c r="AX16" s="205">
        <v>120</v>
      </c>
      <c r="AY16" s="442">
        <f t="shared" si="7"/>
        <v>99.9</v>
      </c>
      <c r="AZ16" s="442">
        <f t="shared" si="27"/>
        <v>147.4</v>
      </c>
      <c r="BA16" s="442">
        <f t="shared" si="28"/>
        <v>348</v>
      </c>
      <c r="BB16" s="21">
        <f t="shared" si="29"/>
        <v>-71.099999999999994</v>
      </c>
      <c r="BC16" s="21">
        <f t="shared" si="30"/>
        <v>20.899999999999991</v>
      </c>
      <c r="BD16" s="21">
        <f t="shared" si="30"/>
        <v>-2.8999999999999773</v>
      </c>
      <c r="BE16" s="24">
        <f t="shared" si="31"/>
        <v>-53.09999999999998</v>
      </c>
      <c r="BF16" s="97">
        <f t="shared" si="8"/>
        <v>53.09999999999998</v>
      </c>
      <c r="BG16" s="83">
        <f t="shared" si="9"/>
        <v>-53.09999999999998</v>
      </c>
    </row>
    <row r="17" spans="1:61" ht="15.75" thickBot="1">
      <c r="A17" s="6">
        <f>ELEC!C14</f>
        <v>43994</v>
      </c>
      <c r="B17" s="5">
        <v>108473</v>
      </c>
      <c r="C17" s="5">
        <f t="shared" si="11"/>
        <v>0</v>
      </c>
      <c r="D17" s="433">
        <f t="shared" si="12"/>
        <v>0</v>
      </c>
      <c r="E17" s="343">
        <f>SUM((C17*$E$4)+(7500/'EDl log'!$A$39))</f>
        <v>250</v>
      </c>
      <c r="F17" s="432"/>
      <c r="G17" s="5">
        <v>599749</v>
      </c>
      <c r="H17" s="5">
        <f t="shared" si="14"/>
        <v>120</v>
      </c>
      <c r="I17" s="5">
        <f t="shared" si="0"/>
        <v>120</v>
      </c>
      <c r="J17" s="344">
        <f t="shared" si="1"/>
        <v>2.0833333333333335</v>
      </c>
      <c r="K17" s="5">
        <f>'Swimming Pool quality check '!H17</f>
        <v>6258</v>
      </c>
      <c r="L17" s="84">
        <f t="shared" si="33"/>
        <v>0</v>
      </c>
      <c r="M17" s="424">
        <f t="shared" si="15"/>
        <v>457.44</v>
      </c>
      <c r="N17" s="535">
        <f t="shared" si="35"/>
        <v>0</v>
      </c>
      <c r="O17" s="424">
        <f t="shared" si="16"/>
        <v>529.52</v>
      </c>
      <c r="P17" s="535">
        <f t="shared" si="36"/>
        <v>0</v>
      </c>
      <c r="Q17" s="535">
        <f t="shared" si="37"/>
        <v>0</v>
      </c>
      <c r="R17" s="535"/>
      <c r="S17" s="535"/>
      <c r="T17" s="5">
        <v>4854</v>
      </c>
      <c r="U17" s="5">
        <f t="shared" si="4"/>
        <v>2</v>
      </c>
      <c r="V17" s="5">
        <f t="shared" si="18"/>
        <v>408</v>
      </c>
      <c r="W17" s="334">
        <f t="shared" si="17"/>
        <v>0</v>
      </c>
      <c r="X17" s="5">
        <v>143983</v>
      </c>
      <c r="Y17" s="334">
        <f t="shared" si="19"/>
        <v>0</v>
      </c>
      <c r="Z17" s="5">
        <f t="shared" si="18"/>
        <v>95011</v>
      </c>
      <c r="AA17" s="84">
        <f t="shared" si="20"/>
        <v>0</v>
      </c>
      <c r="AB17" s="5">
        <f t="shared" si="18"/>
        <v>268</v>
      </c>
      <c r="AC17" s="5">
        <f t="shared" si="18"/>
        <v>670</v>
      </c>
      <c r="AD17" s="84">
        <f t="shared" si="32"/>
        <v>0</v>
      </c>
      <c r="AE17" s="5">
        <f t="shared" si="18"/>
        <v>159.02000000000001</v>
      </c>
      <c r="AF17" s="84">
        <f t="shared" si="21"/>
        <v>0</v>
      </c>
      <c r="AG17" s="5">
        <v>1637.9</v>
      </c>
      <c r="AH17" s="84">
        <f t="shared" si="22"/>
        <v>2.7000000000000455</v>
      </c>
      <c r="AI17" s="84">
        <f t="shared" si="23"/>
        <v>2.7000000000000455</v>
      </c>
      <c r="AJ17" s="336">
        <f t="shared" si="24"/>
        <v>0</v>
      </c>
      <c r="AK17" s="337">
        <f t="shared" si="5"/>
        <v>0</v>
      </c>
      <c r="AL17" s="337">
        <f t="shared" si="25"/>
        <v>0</v>
      </c>
      <c r="AM17" s="337">
        <f>'General information '!D17</f>
        <v>23.5</v>
      </c>
      <c r="AN17" s="85">
        <f>'General information '!H17</f>
        <v>0</v>
      </c>
      <c r="AO17" s="85"/>
      <c r="AP17" s="85">
        <f>'General information '!J17</f>
        <v>173</v>
      </c>
      <c r="AQ17" s="96"/>
      <c r="AR17" s="285">
        <f t="shared" si="26"/>
        <v>43994</v>
      </c>
      <c r="AS17" s="438">
        <f t="shared" si="6"/>
        <v>0.9</v>
      </c>
      <c r="AT17" s="205">
        <v>176</v>
      </c>
      <c r="AU17" s="439">
        <f t="shared" si="34"/>
        <v>1.1000000000000001</v>
      </c>
      <c r="AV17" s="205">
        <v>109</v>
      </c>
      <c r="AW17" s="5">
        <v>2.9</v>
      </c>
      <c r="AX17" s="205">
        <v>113</v>
      </c>
      <c r="AY17" s="442">
        <f t="shared" si="7"/>
        <v>158.4</v>
      </c>
      <c r="AZ17" s="442">
        <f t="shared" si="27"/>
        <v>119.9</v>
      </c>
      <c r="BA17" s="442">
        <f t="shared" si="28"/>
        <v>327.7</v>
      </c>
      <c r="BB17" s="21">
        <f t="shared" si="29"/>
        <v>58.5</v>
      </c>
      <c r="BC17" s="21">
        <f t="shared" si="30"/>
        <v>-27.5</v>
      </c>
      <c r="BD17" s="21">
        <f t="shared" si="30"/>
        <v>-20.300000000000011</v>
      </c>
      <c r="BE17" s="24">
        <f t="shared" si="31"/>
        <v>10.699999999999989</v>
      </c>
      <c r="BF17" s="97">
        <f t="shared" si="8"/>
        <v>109.30000000000001</v>
      </c>
      <c r="BG17" s="83">
        <f t="shared" si="9"/>
        <v>10.699999999999989</v>
      </c>
    </row>
    <row r="18" spans="1:61" ht="15.75" thickBot="1">
      <c r="A18" s="6">
        <f>ELEC!C15</f>
        <v>43995</v>
      </c>
      <c r="B18" s="5">
        <f t="shared" si="10"/>
        <v>108473</v>
      </c>
      <c r="C18" s="5">
        <f t="shared" si="11"/>
        <v>0</v>
      </c>
      <c r="D18" s="433">
        <f t="shared" si="12"/>
        <v>0</v>
      </c>
      <c r="E18" s="343">
        <f>SUM((C18*$E$4)+(7500/'EDl log'!$A$39))</f>
        <v>250</v>
      </c>
      <c r="F18" s="432"/>
      <c r="G18" s="5">
        <v>599749</v>
      </c>
      <c r="H18" s="5">
        <f t="shared" si="14"/>
        <v>0</v>
      </c>
      <c r="I18" s="5">
        <f t="shared" si="0"/>
        <v>0</v>
      </c>
      <c r="J18" s="344">
        <f t="shared" si="1"/>
        <v>0</v>
      </c>
      <c r="K18" s="5">
        <f>'Swimming Pool quality check '!H18</f>
        <v>6266</v>
      </c>
      <c r="L18" s="84">
        <f t="shared" si="33"/>
        <v>8</v>
      </c>
      <c r="M18" s="424">
        <f t="shared" si="15"/>
        <v>457.44</v>
      </c>
      <c r="N18" s="535">
        <f t="shared" si="35"/>
        <v>0</v>
      </c>
      <c r="O18" s="424">
        <f t="shared" si="16"/>
        <v>529.52</v>
      </c>
      <c r="P18" s="535">
        <f t="shared" si="36"/>
        <v>0</v>
      </c>
      <c r="Q18" s="535">
        <f t="shared" si="37"/>
        <v>0</v>
      </c>
      <c r="R18" s="535"/>
      <c r="S18" s="535"/>
      <c r="T18" s="5">
        <v>4856</v>
      </c>
      <c r="U18" s="5">
        <f t="shared" si="4"/>
        <v>2</v>
      </c>
      <c r="V18" s="5">
        <f t="shared" si="18"/>
        <v>408</v>
      </c>
      <c r="W18" s="334">
        <f t="shared" si="17"/>
        <v>0</v>
      </c>
      <c r="X18" s="5">
        <v>143983</v>
      </c>
      <c r="Y18" s="334">
        <f t="shared" si="19"/>
        <v>0</v>
      </c>
      <c r="Z18" s="5">
        <f t="shared" si="18"/>
        <v>95011</v>
      </c>
      <c r="AA18" s="84">
        <f t="shared" si="20"/>
        <v>0</v>
      </c>
      <c r="AB18" s="5">
        <f t="shared" si="18"/>
        <v>268</v>
      </c>
      <c r="AC18" s="5">
        <f t="shared" si="18"/>
        <v>670</v>
      </c>
      <c r="AD18" s="84">
        <f t="shared" si="32"/>
        <v>0</v>
      </c>
      <c r="AE18" s="5">
        <f t="shared" si="18"/>
        <v>159.02000000000001</v>
      </c>
      <c r="AF18" s="84">
        <f t="shared" si="21"/>
        <v>0</v>
      </c>
      <c r="AG18" s="5">
        <v>1639.5</v>
      </c>
      <c r="AH18" s="84">
        <f t="shared" si="22"/>
        <v>1.5999999999999091</v>
      </c>
      <c r="AI18" s="84">
        <f t="shared" si="23"/>
        <v>1.5999999999999091</v>
      </c>
      <c r="AJ18" s="336">
        <f t="shared" si="24"/>
        <v>0</v>
      </c>
      <c r="AK18" s="337">
        <f t="shared" si="5"/>
        <v>-8</v>
      </c>
      <c r="AL18" s="337">
        <f t="shared" si="25"/>
        <v>0</v>
      </c>
      <c r="AM18" s="337">
        <f>'General information '!D18</f>
        <v>22.5</v>
      </c>
      <c r="AN18" s="85">
        <f>'General information '!H18</f>
        <v>0</v>
      </c>
      <c r="AO18" s="85"/>
      <c r="AP18" s="85">
        <f>'General information '!J18</f>
        <v>114</v>
      </c>
      <c r="AQ18" s="96"/>
      <c r="AR18" s="285">
        <f t="shared" si="26"/>
        <v>43995</v>
      </c>
      <c r="AS18" s="438">
        <f t="shared" si="6"/>
        <v>0.9</v>
      </c>
      <c r="AT18" s="205">
        <f t="shared" si="6"/>
        <v>176</v>
      </c>
      <c r="AU18" s="439">
        <f t="shared" si="34"/>
        <v>1.1000000000000001</v>
      </c>
      <c r="AV18" s="205">
        <v>106</v>
      </c>
      <c r="AW18" s="5">
        <v>2.9</v>
      </c>
      <c r="AX18" s="205">
        <v>100</v>
      </c>
      <c r="AY18" s="442">
        <f t="shared" si="7"/>
        <v>158.4</v>
      </c>
      <c r="AZ18" s="442">
        <f t="shared" si="27"/>
        <v>116.60000000000001</v>
      </c>
      <c r="BA18" s="442">
        <f t="shared" si="28"/>
        <v>290</v>
      </c>
      <c r="BB18" s="21">
        <f t="shared" si="29"/>
        <v>0</v>
      </c>
      <c r="BC18" s="21">
        <f t="shared" si="30"/>
        <v>-3.2999999999999972</v>
      </c>
      <c r="BD18" s="21">
        <f t="shared" si="30"/>
        <v>-37.699999999999989</v>
      </c>
      <c r="BE18" s="24">
        <f t="shared" si="31"/>
        <v>-40.999999999999986</v>
      </c>
      <c r="BF18" s="97">
        <f t="shared" si="8"/>
        <v>40.999999999999986</v>
      </c>
      <c r="BG18" s="83">
        <f t="shared" si="9"/>
        <v>-40.999999999999986</v>
      </c>
    </row>
    <row r="19" spans="1:61" ht="15.75" thickBot="1">
      <c r="A19" s="6">
        <f>ELEC!C16</f>
        <v>43996</v>
      </c>
      <c r="B19" s="5">
        <f t="shared" si="10"/>
        <v>108473</v>
      </c>
      <c r="C19" s="5">
        <f t="shared" si="11"/>
        <v>0</v>
      </c>
      <c r="D19" s="433">
        <f t="shared" si="12"/>
        <v>0</v>
      </c>
      <c r="E19" s="343">
        <f>SUM((C19*$E$4)+(7500/'EDl log'!$A$39))</f>
        <v>250</v>
      </c>
      <c r="F19" s="432"/>
      <c r="G19" s="5">
        <f t="shared" si="13"/>
        <v>599749</v>
      </c>
      <c r="H19" s="5">
        <f t="shared" si="14"/>
        <v>0</v>
      </c>
      <c r="I19" s="5">
        <f t="shared" si="0"/>
        <v>0</v>
      </c>
      <c r="J19" s="344">
        <f t="shared" si="1"/>
        <v>0</v>
      </c>
      <c r="K19" s="5">
        <f>'Swimming Pool quality check '!H19</f>
        <v>6278</v>
      </c>
      <c r="L19" s="84">
        <f t="shared" si="33"/>
        <v>12</v>
      </c>
      <c r="M19" s="424">
        <f t="shared" si="15"/>
        <v>457.44</v>
      </c>
      <c r="N19" s="535">
        <f t="shared" si="35"/>
        <v>0</v>
      </c>
      <c r="O19" s="424">
        <f t="shared" si="16"/>
        <v>529.52</v>
      </c>
      <c r="P19" s="535">
        <f t="shared" si="36"/>
        <v>0</v>
      </c>
      <c r="Q19" s="535">
        <f t="shared" si="37"/>
        <v>0</v>
      </c>
      <c r="R19" s="535"/>
      <c r="S19" s="535"/>
      <c r="T19" s="5">
        <v>4859</v>
      </c>
      <c r="U19" s="5">
        <f t="shared" si="4"/>
        <v>3</v>
      </c>
      <c r="V19" s="5">
        <f t="shared" si="18"/>
        <v>408</v>
      </c>
      <c r="W19" s="334">
        <f t="shared" si="17"/>
        <v>0</v>
      </c>
      <c r="X19" s="5">
        <f t="shared" si="18"/>
        <v>143983</v>
      </c>
      <c r="Y19" s="334">
        <f t="shared" si="19"/>
        <v>0</v>
      </c>
      <c r="Z19" s="5">
        <f t="shared" si="18"/>
        <v>95011</v>
      </c>
      <c r="AA19" s="84">
        <f t="shared" si="20"/>
        <v>0</v>
      </c>
      <c r="AB19" s="5">
        <f t="shared" si="18"/>
        <v>268</v>
      </c>
      <c r="AC19" s="5">
        <f t="shared" si="18"/>
        <v>670</v>
      </c>
      <c r="AD19" s="84">
        <f t="shared" si="32"/>
        <v>0</v>
      </c>
      <c r="AE19" s="5">
        <f t="shared" si="18"/>
        <v>159.02000000000001</v>
      </c>
      <c r="AF19" s="84">
        <f t="shared" si="21"/>
        <v>0</v>
      </c>
      <c r="AG19" s="5">
        <v>1644</v>
      </c>
      <c r="AH19" s="84">
        <f t="shared" si="22"/>
        <v>4.5</v>
      </c>
      <c r="AI19" s="84">
        <f t="shared" si="23"/>
        <v>4.5</v>
      </c>
      <c r="AJ19" s="336">
        <f t="shared" si="24"/>
        <v>0</v>
      </c>
      <c r="AK19" s="337">
        <f t="shared" si="5"/>
        <v>-12</v>
      </c>
      <c r="AL19" s="337">
        <f t="shared" si="25"/>
        <v>0</v>
      </c>
      <c r="AM19" s="337">
        <f>'General information '!D19</f>
        <v>23.5</v>
      </c>
      <c r="AN19" s="85">
        <f>'General information '!H19</f>
        <v>0</v>
      </c>
      <c r="AO19" s="85"/>
      <c r="AP19" s="85">
        <f>'General information '!J19</f>
        <v>202</v>
      </c>
      <c r="AQ19" s="82"/>
      <c r="AR19" s="285">
        <f t="shared" si="26"/>
        <v>43996</v>
      </c>
      <c r="AS19" s="438">
        <f t="shared" si="6"/>
        <v>0.9</v>
      </c>
      <c r="AT19" s="205">
        <v>177</v>
      </c>
      <c r="AU19" s="439">
        <f t="shared" si="34"/>
        <v>1.1000000000000001</v>
      </c>
      <c r="AV19" s="205">
        <v>89</v>
      </c>
      <c r="AW19" s="5">
        <v>2.9</v>
      </c>
      <c r="AX19" s="205">
        <v>96</v>
      </c>
      <c r="AY19" s="442">
        <f t="shared" si="7"/>
        <v>159.30000000000001</v>
      </c>
      <c r="AZ19" s="442">
        <f t="shared" si="27"/>
        <v>97.9</v>
      </c>
      <c r="BA19" s="442">
        <f t="shared" si="28"/>
        <v>278.39999999999998</v>
      </c>
      <c r="BB19" s="21">
        <f t="shared" si="29"/>
        <v>0.90000000000000568</v>
      </c>
      <c r="BC19" s="21">
        <f t="shared" si="30"/>
        <v>-18.700000000000003</v>
      </c>
      <c r="BD19" s="21">
        <f t="shared" si="30"/>
        <v>-11.600000000000023</v>
      </c>
      <c r="BE19" s="24">
        <f t="shared" si="31"/>
        <v>-29.40000000000002</v>
      </c>
      <c r="BF19" s="97">
        <f t="shared" si="8"/>
        <v>29.40000000000002</v>
      </c>
      <c r="BG19" s="83">
        <f t="shared" si="9"/>
        <v>-29.40000000000002</v>
      </c>
    </row>
    <row r="20" spans="1:61" ht="15.75" thickBot="1">
      <c r="A20" s="6">
        <f>ELEC!C17</f>
        <v>43997</v>
      </c>
      <c r="B20" s="5">
        <f t="shared" si="10"/>
        <v>108473</v>
      </c>
      <c r="C20" s="5">
        <f t="shared" si="11"/>
        <v>0</v>
      </c>
      <c r="D20" s="433">
        <f t="shared" si="12"/>
        <v>0</v>
      </c>
      <c r="E20" s="343">
        <f>SUM((C20*$E$4)+(7500/'EDl log'!$A$39))</f>
        <v>250</v>
      </c>
      <c r="F20" s="432"/>
      <c r="G20" s="5">
        <f t="shared" si="13"/>
        <v>599749</v>
      </c>
      <c r="H20" s="5">
        <f t="shared" si="14"/>
        <v>0</v>
      </c>
      <c r="I20" s="5">
        <f t="shared" si="0"/>
        <v>0</v>
      </c>
      <c r="J20" s="344">
        <f t="shared" si="1"/>
        <v>0</v>
      </c>
      <c r="K20" s="5">
        <f>'Swimming Pool quality check '!H20</f>
        <v>6280</v>
      </c>
      <c r="L20" s="84">
        <f t="shared" si="33"/>
        <v>2</v>
      </c>
      <c r="M20" s="424">
        <f t="shared" si="15"/>
        <v>457.44</v>
      </c>
      <c r="N20" s="535">
        <f t="shared" si="35"/>
        <v>0</v>
      </c>
      <c r="O20" s="424">
        <f t="shared" si="16"/>
        <v>529.52</v>
      </c>
      <c r="P20" s="535">
        <f t="shared" si="36"/>
        <v>0</v>
      </c>
      <c r="Q20" s="535">
        <f t="shared" si="37"/>
        <v>0</v>
      </c>
      <c r="R20" s="535"/>
      <c r="S20" s="535"/>
      <c r="T20" s="5">
        <v>4861</v>
      </c>
      <c r="U20" s="5">
        <f t="shared" si="4"/>
        <v>2</v>
      </c>
      <c r="V20" s="5">
        <v>409</v>
      </c>
      <c r="W20" s="334">
        <f t="shared" si="17"/>
        <v>1</v>
      </c>
      <c r="X20" s="5">
        <f t="shared" si="18"/>
        <v>143983</v>
      </c>
      <c r="Y20" s="334">
        <f t="shared" si="19"/>
        <v>0</v>
      </c>
      <c r="Z20" s="5">
        <f t="shared" si="18"/>
        <v>95011</v>
      </c>
      <c r="AA20" s="84">
        <f t="shared" si="20"/>
        <v>0</v>
      </c>
      <c r="AB20" s="5">
        <f t="shared" si="18"/>
        <v>268</v>
      </c>
      <c r="AC20" s="5">
        <f t="shared" si="18"/>
        <v>670</v>
      </c>
      <c r="AD20" s="84">
        <f t="shared" si="32"/>
        <v>0</v>
      </c>
      <c r="AE20" s="5">
        <v>159.22</v>
      </c>
      <c r="AF20" s="84">
        <f t="shared" si="21"/>
        <v>0.19999999999998863</v>
      </c>
      <c r="AG20" s="5">
        <v>1647</v>
      </c>
      <c r="AH20" s="84">
        <f t="shared" si="22"/>
        <v>3</v>
      </c>
      <c r="AI20" s="84">
        <f t="shared" si="23"/>
        <v>3.1999999999999886</v>
      </c>
      <c r="AJ20" s="336">
        <f t="shared" si="24"/>
        <v>0</v>
      </c>
      <c r="AK20" s="337">
        <f t="shared" si="5"/>
        <v>-2</v>
      </c>
      <c r="AL20" s="337">
        <f t="shared" si="25"/>
        <v>-1</v>
      </c>
      <c r="AM20" s="337">
        <f>'General information '!D20</f>
        <v>23</v>
      </c>
      <c r="AN20" s="85">
        <f>'General information '!H20</f>
        <v>0</v>
      </c>
      <c r="AO20" s="85"/>
      <c r="AP20" s="85">
        <f>'General information '!J20</f>
        <v>158</v>
      </c>
      <c r="AQ20" s="82"/>
      <c r="AR20" s="285">
        <f t="shared" si="26"/>
        <v>43997</v>
      </c>
      <c r="AS20" s="438">
        <f t="shared" si="6"/>
        <v>0.9</v>
      </c>
      <c r="AT20" s="205">
        <v>161</v>
      </c>
      <c r="AU20" s="439">
        <f t="shared" si="34"/>
        <v>1.1000000000000001</v>
      </c>
      <c r="AV20" s="205">
        <v>66</v>
      </c>
      <c r="AW20" s="5">
        <v>2.9</v>
      </c>
      <c r="AX20" s="205">
        <v>89</v>
      </c>
      <c r="AY20" s="442">
        <f t="shared" si="7"/>
        <v>144.9</v>
      </c>
      <c r="AZ20" s="442">
        <f t="shared" si="27"/>
        <v>72.600000000000009</v>
      </c>
      <c r="BA20" s="442">
        <f t="shared" si="28"/>
        <v>258.09999999999997</v>
      </c>
      <c r="BB20" s="21">
        <f t="shared" si="29"/>
        <v>-14.400000000000006</v>
      </c>
      <c r="BC20" s="21">
        <f t="shared" si="30"/>
        <v>-25.299999999999997</v>
      </c>
      <c r="BD20" s="21">
        <f t="shared" si="30"/>
        <v>-20.300000000000011</v>
      </c>
      <c r="BE20" s="24">
        <f t="shared" si="31"/>
        <v>-60.000000000000014</v>
      </c>
      <c r="BF20" s="97">
        <f t="shared" si="8"/>
        <v>60.000000000000014</v>
      </c>
      <c r="BG20" s="83">
        <f t="shared" si="9"/>
        <v>-60.000000000000014</v>
      </c>
    </row>
    <row r="21" spans="1:61" ht="15.75" thickBot="1">
      <c r="A21" s="6">
        <f>ELEC!C18</f>
        <v>43998</v>
      </c>
      <c r="B21" s="5">
        <f t="shared" si="10"/>
        <v>108473</v>
      </c>
      <c r="C21" s="5">
        <f t="shared" si="11"/>
        <v>0</v>
      </c>
      <c r="D21" s="433">
        <f t="shared" si="12"/>
        <v>0</v>
      </c>
      <c r="E21" s="343">
        <f>SUM((C21*$E$4)+(7500/'EDl log'!$A$39))</f>
        <v>250</v>
      </c>
      <c r="F21" s="337"/>
      <c r="G21" s="5">
        <v>599829</v>
      </c>
      <c r="H21" s="5">
        <f t="shared" si="14"/>
        <v>80</v>
      </c>
      <c r="I21" s="5">
        <f t="shared" si="0"/>
        <v>80</v>
      </c>
      <c r="J21" s="344">
        <f t="shared" si="1"/>
        <v>3.125</v>
      </c>
      <c r="K21" s="5">
        <f>'Swimming Pool quality check '!H21</f>
        <v>6288</v>
      </c>
      <c r="L21" s="84">
        <f t="shared" si="33"/>
        <v>8</v>
      </c>
      <c r="M21" s="424">
        <f t="shared" si="15"/>
        <v>457.44</v>
      </c>
      <c r="N21" s="535">
        <f t="shared" si="35"/>
        <v>0</v>
      </c>
      <c r="O21" s="424">
        <f t="shared" si="16"/>
        <v>529.52</v>
      </c>
      <c r="P21" s="535">
        <f t="shared" si="36"/>
        <v>0</v>
      </c>
      <c r="Q21" s="535">
        <f t="shared" si="37"/>
        <v>0</v>
      </c>
      <c r="R21" s="535"/>
      <c r="S21" s="535"/>
      <c r="T21" s="5">
        <v>4864</v>
      </c>
      <c r="U21" s="5">
        <f t="shared" si="4"/>
        <v>3</v>
      </c>
      <c r="V21" s="5">
        <f t="shared" si="18"/>
        <v>409</v>
      </c>
      <c r="W21" s="334">
        <f t="shared" si="17"/>
        <v>0</v>
      </c>
      <c r="X21" s="5">
        <v>143985</v>
      </c>
      <c r="Y21" s="334">
        <f>SUM(X21-X20)</f>
        <v>2</v>
      </c>
      <c r="Z21" s="5">
        <v>95030</v>
      </c>
      <c r="AA21" s="84">
        <f t="shared" si="20"/>
        <v>19</v>
      </c>
      <c r="AB21" s="5">
        <f t="shared" si="18"/>
        <v>268</v>
      </c>
      <c r="AC21" s="5">
        <f t="shared" si="18"/>
        <v>670</v>
      </c>
      <c r="AD21" s="84">
        <f t="shared" si="32"/>
        <v>0</v>
      </c>
      <c r="AE21" s="5">
        <f t="shared" si="18"/>
        <v>159.22</v>
      </c>
      <c r="AF21" s="84">
        <f t="shared" si="21"/>
        <v>0</v>
      </c>
      <c r="AG21" s="5">
        <f t="shared" si="18"/>
        <v>1647</v>
      </c>
      <c r="AH21" s="84">
        <f t="shared" si="22"/>
        <v>0</v>
      </c>
      <c r="AI21" s="84">
        <f t="shared" si="23"/>
        <v>0</v>
      </c>
      <c r="AJ21" s="336">
        <f t="shared" si="24"/>
        <v>19</v>
      </c>
      <c r="AK21" s="337">
        <f t="shared" si="5"/>
        <v>-6</v>
      </c>
      <c r="AL21" s="337">
        <f t="shared" si="25"/>
        <v>19</v>
      </c>
      <c r="AM21" s="337">
        <f>'General information '!D21</f>
        <v>23.5</v>
      </c>
      <c r="AN21" s="85">
        <f>'General information '!H21</f>
        <v>0</v>
      </c>
      <c r="AO21" s="85"/>
      <c r="AP21" s="85">
        <f>'General information '!J21</f>
        <v>228</v>
      </c>
      <c r="AQ21" s="82"/>
      <c r="AR21" s="285">
        <f t="shared" si="26"/>
        <v>43998</v>
      </c>
      <c r="AS21" s="438">
        <f t="shared" si="6"/>
        <v>0.9</v>
      </c>
      <c r="AT21" s="205">
        <v>163</v>
      </c>
      <c r="AU21" s="439">
        <f t="shared" si="34"/>
        <v>1.1000000000000001</v>
      </c>
      <c r="AV21" s="205">
        <v>80</v>
      </c>
      <c r="AW21" s="5">
        <v>2.9</v>
      </c>
      <c r="AX21" s="205">
        <v>79</v>
      </c>
      <c r="AY21" s="442">
        <f t="shared" si="7"/>
        <v>146.70000000000002</v>
      </c>
      <c r="AZ21" s="442">
        <f t="shared" si="27"/>
        <v>88</v>
      </c>
      <c r="BA21" s="442">
        <f t="shared" si="28"/>
        <v>229.1</v>
      </c>
      <c r="BB21" s="21">
        <f t="shared" si="29"/>
        <v>1.8000000000000114</v>
      </c>
      <c r="BC21" s="21">
        <f t="shared" si="30"/>
        <v>15.399999999999991</v>
      </c>
      <c r="BD21" s="21">
        <f t="shared" si="30"/>
        <v>-28.999999999999972</v>
      </c>
      <c r="BE21" s="24">
        <f t="shared" si="31"/>
        <v>-11.799999999999969</v>
      </c>
      <c r="BF21" s="97">
        <f t="shared" si="8"/>
        <v>91.799999999999969</v>
      </c>
      <c r="BG21" s="83">
        <f t="shared" si="9"/>
        <v>-11.799999999999969</v>
      </c>
    </row>
    <row r="22" spans="1:61" ht="15.75" thickBot="1">
      <c r="A22" s="6">
        <f>ELEC!C19</f>
        <v>43999</v>
      </c>
      <c r="B22" s="5">
        <f t="shared" si="10"/>
        <v>108473</v>
      </c>
      <c r="C22" s="5">
        <f t="shared" si="11"/>
        <v>0</v>
      </c>
      <c r="D22" s="433">
        <f t="shared" si="12"/>
        <v>0</v>
      </c>
      <c r="E22" s="343">
        <f>SUM((C22*$E$4)+(7500/'EDl log'!$A$39))</f>
        <v>250</v>
      </c>
      <c r="F22" s="337"/>
      <c r="G22" s="5">
        <f t="shared" si="13"/>
        <v>599829</v>
      </c>
      <c r="H22" s="5">
        <f t="shared" si="14"/>
        <v>0</v>
      </c>
      <c r="I22" s="5">
        <f t="shared" si="0"/>
        <v>0</v>
      </c>
      <c r="J22" s="344">
        <f t="shared" si="1"/>
        <v>0</v>
      </c>
      <c r="K22" s="5">
        <f>'Swimming Pool quality check '!H22</f>
        <v>6292</v>
      </c>
      <c r="L22" s="84">
        <f t="shared" si="33"/>
        <v>4</v>
      </c>
      <c r="M22" s="424">
        <f t="shared" si="15"/>
        <v>457.44</v>
      </c>
      <c r="N22" s="535">
        <f t="shared" si="35"/>
        <v>0</v>
      </c>
      <c r="O22" s="424">
        <f t="shared" si="16"/>
        <v>529.52</v>
      </c>
      <c r="P22" s="535">
        <f t="shared" si="36"/>
        <v>0</v>
      </c>
      <c r="Q22" s="535">
        <f t="shared" si="37"/>
        <v>0</v>
      </c>
      <c r="R22" s="535"/>
      <c r="S22" s="535"/>
      <c r="T22" s="5">
        <f t="shared" si="18"/>
        <v>4864</v>
      </c>
      <c r="U22" s="5">
        <f t="shared" si="4"/>
        <v>0</v>
      </c>
      <c r="V22" s="5">
        <f t="shared" si="18"/>
        <v>409</v>
      </c>
      <c r="W22" s="334">
        <f t="shared" si="17"/>
        <v>0</v>
      </c>
      <c r="X22" s="600">
        <v>144119</v>
      </c>
      <c r="Y22" s="334">
        <f t="shared" si="19"/>
        <v>134</v>
      </c>
      <c r="Z22" s="5">
        <v>95078</v>
      </c>
      <c r="AA22" s="84">
        <f t="shared" si="20"/>
        <v>48</v>
      </c>
      <c r="AB22" s="5">
        <f t="shared" si="18"/>
        <v>268</v>
      </c>
      <c r="AC22" s="5">
        <f t="shared" si="18"/>
        <v>670</v>
      </c>
      <c r="AD22" s="84">
        <f t="shared" si="32"/>
        <v>0</v>
      </c>
      <c r="AE22" s="5">
        <f t="shared" si="18"/>
        <v>159.22</v>
      </c>
      <c r="AF22" s="84">
        <f t="shared" si="21"/>
        <v>0</v>
      </c>
      <c r="AG22" s="5">
        <v>1649</v>
      </c>
      <c r="AH22" s="84">
        <f t="shared" si="22"/>
        <v>2</v>
      </c>
      <c r="AI22" s="84">
        <f t="shared" si="23"/>
        <v>2</v>
      </c>
      <c r="AJ22" s="336">
        <f t="shared" si="24"/>
        <v>48</v>
      </c>
      <c r="AK22" s="337">
        <f t="shared" si="5"/>
        <v>130</v>
      </c>
      <c r="AL22" s="337">
        <f t="shared" si="25"/>
        <v>48</v>
      </c>
      <c r="AM22" s="337">
        <f>'General information '!D22</f>
        <v>24.5</v>
      </c>
      <c r="AN22" s="85">
        <f>'General information '!H22</f>
        <v>0</v>
      </c>
      <c r="AO22" s="85"/>
      <c r="AP22" s="85">
        <f>'General information '!J22</f>
        <v>234</v>
      </c>
      <c r="AR22" s="285">
        <f t="shared" si="26"/>
        <v>43999</v>
      </c>
      <c r="AS22" s="438">
        <f t="shared" ref="AS22:AT35" si="38">AS21</f>
        <v>0.9</v>
      </c>
      <c r="AT22" s="205">
        <v>40</v>
      </c>
      <c r="AU22" s="439">
        <f t="shared" si="34"/>
        <v>1.1000000000000001</v>
      </c>
      <c r="AV22" s="205">
        <v>105</v>
      </c>
      <c r="AW22" s="5">
        <v>2.9</v>
      </c>
      <c r="AX22" s="205">
        <v>100</v>
      </c>
      <c r="AY22" s="442">
        <f t="shared" si="7"/>
        <v>36</v>
      </c>
      <c r="AZ22" s="442">
        <f t="shared" si="27"/>
        <v>115.50000000000001</v>
      </c>
      <c r="BA22" s="442">
        <f t="shared" si="28"/>
        <v>290</v>
      </c>
      <c r="BB22" s="21">
        <f>AY22-AY21</f>
        <v>-110.70000000000002</v>
      </c>
      <c r="BC22" s="21">
        <f t="shared" si="29"/>
        <v>27.500000000000014</v>
      </c>
      <c r="BD22" s="21">
        <f t="shared" si="29"/>
        <v>60.900000000000006</v>
      </c>
      <c r="BE22" s="24">
        <f t="shared" si="31"/>
        <v>-22.299999999999997</v>
      </c>
      <c r="BF22" s="97">
        <f t="shared" si="8"/>
        <v>22.299999999999997</v>
      </c>
      <c r="BG22" s="83">
        <f t="shared" si="9"/>
        <v>-22.299999999999997</v>
      </c>
    </row>
    <row r="23" spans="1:61" ht="15.75" thickBot="1">
      <c r="A23" s="6">
        <f>ELEC!C20</f>
        <v>44000</v>
      </c>
      <c r="B23" s="5">
        <v>108473</v>
      </c>
      <c r="C23" s="5">
        <f t="shared" si="11"/>
        <v>0</v>
      </c>
      <c r="D23" s="433">
        <f t="shared" si="12"/>
        <v>0</v>
      </c>
      <c r="E23" s="343">
        <f>SUM((C23*$E$4)+(7500/'EDl log'!$A$39))</f>
        <v>250</v>
      </c>
      <c r="F23" s="337"/>
      <c r="G23" s="5">
        <v>600167</v>
      </c>
      <c r="H23" s="5">
        <f t="shared" si="14"/>
        <v>338</v>
      </c>
      <c r="I23" s="5">
        <f t="shared" si="0"/>
        <v>338</v>
      </c>
      <c r="J23" s="344">
        <f t="shared" si="1"/>
        <v>0.73964497041420119</v>
      </c>
      <c r="K23" s="5">
        <f>'Swimming Pool quality check '!H23</f>
        <v>6294</v>
      </c>
      <c r="L23" s="282">
        <f t="shared" si="33"/>
        <v>2</v>
      </c>
      <c r="M23" s="424">
        <f t="shared" si="15"/>
        <v>457.44</v>
      </c>
      <c r="N23" s="535">
        <f t="shared" si="35"/>
        <v>0</v>
      </c>
      <c r="O23" s="424">
        <f t="shared" si="16"/>
        <v>529.52</v>
      </c>
      <c r="P23" s="535">
        <f t="shared" si="36"/>
        <v>0</v>
      </c>
      <c r="Q23" s="535">
        <f t="shared" si="37"/>
        <v>0</v>
      </c>
      <c r="R23" s="537"/>
      <c r="S23" s="537"/>
      <c r="T23" s="5">
        <v>4868</v>
      </c>
      <c r="U23" s="5">
        <f t="shared" si="4"/>
        <v>4</v>
      </c>
      <c r="V23" s="5">
        <v>409</v>
      </c>
      <c r="W23" s="334">
        <f t="shared" si="17"/>
        <v>0</v>
      </c>
      <c r="X23" s="5">
        <v>144177</v>
      </c>
      <c r="Y23" s="334">
        <f t="shared" si="19"/>
        <v>58</v>
      </c>
      <c r="Z23" s="5">
        <v>95118</v>
      </c>
      <c r="AA23" s="84">
        <f t="shared" si="20"/>
        <v>40</v>
      </c>
      <c r="AB23" s="5">
        <f t="shared" si="18"/>
        <v>268</v>
      </c>
      <c r="AC23" s="5">
        <f t="shared" si="18"/>
        <v>670</v>
      </c>
      <c r="AD23" s="84">
        <f t="shared" si="32"/>
        <v>0</v>
      </c>
      <c r="AE23" s="5">
        <v>160.58000000000001</v>
      </c>
      <c r="AF23" s="84">
        <f t="shared" si="21"/>
        <v>1.3600000000000136</v>
      </c>
      <c r="AG23" s="5">
        <v>1664.26</v>
      </c>
      <c r="AH23" s="84">
        <f t="shared" si="22"/>
        <v>15.259999999999991</v>
      </c>
      <c r="AI23" s="84">
        <f t="shared" si="23"/>
        <v>16.620000000000005</v>
      </c>
      <c r="AJ23" s="336">
        <f t="shared" si="24"/>
        <v>40</v>
      </c>
      <c r="AK23" s="337">
        <f t="shared" si="5"/>
        <v>56</v>
      </c>
      <c r="AL23" s="337">
        <f t="shared" si="25"/>
        <v>40</v>
      </c>
      <c r="AM23" s="337">
        <f>'General information '!D23</f>
        <v>25.5</v>
      </c>
      <c r="AN23" s="85">
        <f>'General information '!H23</f>
        <v>0</v>
      </c>
      <c r="AO23" s="85"/>
      <c r="AP23" s="85">
        <f>'General information '!J23</f>
        <v>273</v>
      </c>
      <c r="AR23" s="285">
        <f t="shared" si="26"/>
        <v>44000</v>
      </c>
      <c r="AS23" s="438">
        <f t="shared" si="38"/>
        <v>0.9</v>
      </c>
      <c r="AT23" s="205">
        <v>125</v>
      </c>
      <c r="AU23" s="439">
        <f t="shared" si="34"/>
        <v>1.1000000000000001</v>
      </c>
      <c r="AV23" s="205">
        <v>93</v>
      </c>
      <c r="AW23" s="5">
        <v>2.9</v>
      </c>
      <c r="AX23" s="205">
        <v>113</v>
      </c>
      <c r="AY23" s="442">
        <f t="shared" si="7"/>
        <v>112.5</v>
      </c>
      <c r="AZ23" s="442">
        <f t="shared" si="27"/>
        <v>102.30000000000001</v>
      </c>
      <c r="BA23" s="442">
        <f t="shared" si="28"/>
        <v>327.7</v>
      </c>
      <c r="BB23" s="21">
        <f t="shared" si="29"/>
        <v>76.5</v>
      </c>
      <c r="BC23" s="21">
        <f t="shared" si="29"/>
        <v>-13.200000000000003</v>
      </c>
      <c r="BD23" s="21">
        <f t="shared" si="29"/>
        <v>37.699999999999989</v>
      </c>
      <c r="BE23" s="24">
        <f t="shared" si="31"/>
        <v>100.99999999999999</v>
      </c>
      <c r="BF23" s="97">
        <f t="shared" si="8"/>
        <v>237</v>
      </c>
      <c r="BG23" s="83">
        <f t="shared" si="9"/>
        <v>101</v>
      </c>
    </row>
    <row r="24" spans="1:61" ht="15.75" thickBot="1">
      <c r="A24" s="6">
        <f>ELEC!C21</f>
        <v>44001</v>
      </c>
      <c r="B24" s="5">
        <f t="shared" si="10"/>
        <v>108473</v>
      </c>
      <c r="C24" s="5">
        <f t="shared" si="11"/>
        <v>0</v>
      </c>
      <c r="D24" s="433">
        <f t="shared" si="12"/>
        <v>0</v>
      </c>
      <c r="E24" s="343">
        <f>SUM((C24*$E$4)+(7500/'EDl log'!$A$39))</f>
        <v>250</v>
      </c>
      <c r="F24" s="337"/>
      <c r="G24" s="5">
        <f t="shared" si="13"/>
        <v>600167</v>
      </c>
      <c r="H24" s="5">
        <f t="shared" si="14"/>
        <v>0</v>
      </c>
      <c r="I24" s="5">
        <f t="shared" si="0"/>
        <v>0</v>
      </c>
      <c r="J24" s="344">
        <f t="shared" si="1"/>
        <v>0</v>
      </c>
      <c r="K24" s="5">
        <f>'Swimming Pool quality check '!H24</f>
        <v>6294</v>
      </c>
      <c r="L24" s="282">
        <f t="shared" si="33"/>
        <v>0</v>
      </c>
      <c r="M24" s="424">
        <f t="shared" si="15"/>
        <v>457.44</v>
      </c>
      <c r="N24" s="535">
        <f t="shared" si="35"/>
        <v>0</v>
      </c>
      <c r="O24" s="424">
        <f t="shared" si="16"/>
        <v>529.52</v>
      </c>
      <c r="P24" s="535">
        <f t="shared" si="36"/>
        <v>0</v>
      </c>
      <c r="Q24" s="535">
        <f t="shared" si="37"/>
        <v>0</v>
      </c>
      <c r="R24" s="537"/>
      <c r="S24" s="537"/>
      <c r="T24" s="5">
        <f t="shared" si="18"/>
        <v>4868</v>
      </c>
      <c r="U24" s="5">
        <f t="shared" si="4"/>
        <v>0</v>
      </c>
      <c r="V24" s="5">
        <f t="shared" si="18"/>
        <v>409</v>
      </c>
      <c r="W24" s="334">
        <f t="shared" si="17"/>
        <v>0</v>
      </c>
      <c r="X24" s="5">
        <f t="shared" si="18"/>
        <v>144177</v>
      </c>
      <c r="Y24" s="334">
        <f t="shared" si="19"/>
        <v>0</v>
      </c>
      <c r="Z24" s="5">
        <f t="shared" si="18"/>
        <v>95118</v>
      </c>
      <c r="AA24" s="84">
        <f t="shared" si="20"/>
        <v>0</v>
      </c>
      <c r="AB24" s="5">
        <f t="shared" si="18"/>
        <v>268</v>
      </c>
      <c r="AC24" s="5">
        <f t="shared" si="18"/>
        <v>670</v>
      </c>
      <c r="AD24" s="84">
        <f t="shared" si="32"/>
        <v>0</v>
      </c>
      <c r="AE24" s="5">
        <f t="shared" si="18"/>
        <v>160.58000000000001</v>
      </c>
      <c r="AF24" s="84">
        <f t="shared" si="21"/>
        <v>0</v>
      </c>
      <c r="AG24" s="5">
        <f t="shared" si="18"/>
        <v>1664.26</v>
      </c>
      <c r="AH24" s="84">
        <f t="shared" si="22"/>
        <v>0</v>
      </c>
      <c r="AI24" s="84">
        <f t="shared" si="23"/>
        <v>0</v>
      </c>
      <c r="AJ24" s="336">
        <f t="shared" si="24"/>
        <v>0</v>
      </c>
      <c r="AK24" s="337">
        <f t="shared" si="5"/>
        <v>0</v>
      </c>
      <c r="AL24" s="337">
        <f t="shared" si="25"/>
        <v>0</v>
      </c>
      <c r="AM24" s="337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85">
        <f t="shared" si="26"/>
        <v>44001</v>
      </c>
      <c r="AS24" s="438">
        <f t="shared" si="38"/>
        <v>0.9</v>
      </c>
      <c r="AT24" s="205">
        <f t="shared" si="38"/>
        <v>125</v>
      </c>
      <c r="AU24" s="439">
        <f t="shared" si="34"/>
        <v>1.1000000000000001</v>
      </c>
      <c r="AV24" s="205">
        <f t="shared" si="34"/>
        <v>93</v>
      </c>
      <c r="AW24" s="5">
        <v>2.9</v>
      </c>
      <c r="AX24" s="205">
        <f t="shared" ref="AX24" si="39">AX23</f>
        <v>113</v>
      </c>
      <c r="AY24" s="442">
        <f t="shared" si="7"/>
        <v>112.5</v>
      </c>
      <c r="AZ24" s="442">
        <f t="shared" si="27"/>
        <v>102.30000000000001</v>
      </c>
      <c r="BA24" s="442">
        <f t="shared" si="28"/>
        <v>327.7</v>
      </c>
      <c r="BB24" s="21">
        <f t="shared" si="29"/>
        <v>0</v>
      </c>
      <c r="BC24" s="21">
        <f t="shared" si="29"/>
        <v>0</v>
      </c>
      <c r="BD24" s="21">
        <f t="shared" si="29"/>
        <v>0</v>
      </c>
      <c r="BE24" s="24">
        <f t="shared" si="31"/>
        <v>0</v>
      </c>
      <c r="BF24" s="97">
        <f t="shared" si="8"/>
        <v>0</v>
      </c>
      <c r="BG24" s="83">
        <f t="shared" si="9"/>
        <v>0</v>
      </c>
      <c r="BI24" s="83"/>
    </row>
    <row r="25" spans="1:61" ht="15.75" thickBot="1">
      <c r="A25" s="6">
        <f>ELEC!C22</f>
        <v>44002</v>
      </c>
      <c r="B25" s="5">
        <f t="shared" si="10"/>
        <v>108473</v>
      </c>
      <c r="C25" s="5">
        <f t="shared" si="11"/>
        <v>0</v>
      </c>
      <c r="D25" s="433">
        <f t="shared" si="12"/>
        <v>0</v>
      </c>
      <c r="E25" s="343">
        <f>SUM((C25*$E$4)+(7500/'EDl log'!$A$39))</f>
        <v>250</v>
      </c>
      <c r="F25" s="337"/>
      <c r="G25" s="5">
        <f t="shared" si="13"/>
        <v>600167</v>
      </c>
      <c r="H25" s="5">
        <f t="shared" si="14"/>
        <v>0</v>
      </c>
      <c r="I25" s="5">
        <f t="shared" si="0"/>
        <v>0</v>
      </c>
      <c r="J25" s="344">
        <f t="shared" si="1"/>
        <v>0</v>
      </c>
      <c r="K25" s="5">
        <f>'Swimming Pool quality check '!H25</f>
        <v>6294</v>
      </c>
      <c r="L25" s="282">
        <f t="shared" si="33"/>
        <v>0</v>
      </c>
      <c r="M25" s="424">
        <f t="shared" si="15"/>
        <v>457.44</v>
      </c>
      <c r="N25" s="535">
        <f t="shared" si="35"/>
        <v>0</v>
      </c>
      <c r="O25" s="424">
        <f t="shared" si="16"/>
        <v>529.52</v>
      </c>
      <c r="P25" s="535">
        <f t="shared" si="36"/>
        <v>0</v>
      </c>
      <c r="Q25" s="535">
        <f t="shared" si="37"/>
        <v>0</v>
      </c>
      <c r="R25" s="537"/>
      <c r="S25" s="537"/>
      <c r="T25" s="5">
        <f t="shared" si="18"/>
        <v>4868</v>
      </c>
      <c r="U25" s="5">
        <f t="shared" si="4"/>
        <v>0</v>
      </c>
      <c r="V25" s="5">
        <f t="shared" si="18"/>
        <v>409</v>
      </c>
      <c r="W25" s="334">
        <f t="shared" si="17"/>
        <v>0</v>
      </c>
      <c r="X25" s="5">
        <f t="shared" si="18"/>
        <v>144177</v>
      </c>
      <c r="Y25" s="334">
        <f t="shared" si="19"/>
        <v>0</v>
      </c>
      <c r="Z25" s="5">
        <f t="shared" si="18"/>
        <v>95118</v>
      </c>
      <c r="AA25" s="84">
        <f t="shared" si="20"/>
        <v>0</v>
      </c>
      <c r="AB25" s="5">
        <f t="shared" si="18"/>
        <v>268</v>
      </c>
      <c r="AC25" s="5">
        <f t="shared" si="18"/>
        <v>670</v>
      </c>
      <c r="AD25" s="84">
        <f t="shared" si="32"/>
        <v>0</v>
      </c>
      <c r="AE25" s="5">
        <f t="shared" si="18"/>
        <v>160.58000000000001</v>
      </c>
      <c r="AF25" s="84">
        <f t="shared" si="21"/>
        <v>0</v>
      </c>
      <c r="AG25" s="5">
        <f t="shared" si="18"/>
        <v>1664.26</v>
      </c>
      <c r="AH25" s="84">
        <f t="shared" si="22"/>
        <v>0</v>
      </c>
      <c r="AI25" s="84">
        <f t="shared" si="23"/>
        <v>0</v>
      </c>
      <c r="AJ25" s="336">
        <f t="shared" si="24"/>
        <v>0</v>
      </c>
      <c r="AK25" s="337">
        <f t="shared" si="5"/>
        <v>0</v>
      </c>
      <c r="AL25" s="337">
        <f t="shared" si="25"/>
        <v>0</v>
      </c>
      <c r="AM25" s="337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5">
        <f t="shared" si="26"/>
        <v>44002</v>
      </c>
      <c r="AS25" s="438">
        <f t="shared" si="38"/>
        <v>0.9</v>
      </c>
      <c r="AT25" s="205">
        <f t="shared" si="38"/>
        <v>125</v>
      </c>
      <c r="AU25" s="439">
        <f t="shared" si="34"/>
        <v>1.1000000000000001</v>
      </c>
      <c r="AV25" s="205">
        <f t="shared" si="34"/>
        <v>93</v>
      </c>
      <c r="AW25" s="5">
        <v>2.9</v>
      </c>
      <c r="AX25" s="205">
        <f t="shared" ref="AX25" si="40">AX24</f>
        <v>113</v>
      </c>
      <c r="AY25" s="442">
        <f t="shared" si="7"/>
        <v>112.5</v>
      </c>
      <c r="AZ25" s="442">
        <f t="shared" si="27"/>
        <v>102.30000000000001</v>
      </c>
      <c r="BA25" s="442">
        <f t="shared" si="28"/>
        <v>327.7</v>
      </c>
      <c r="BB25" s="21">
        <f t="shared" si="29"/>
        <v>0</v>
      </c>
      <c r="BC25" s="21">
        <f t="shared" si="29"/>
        <v>0</v>
      </c>
      <c r="BD25" s="21">
        <f t="shared" si="29"/>
        <v>0</v>
      </c>
      <c r="BE25" s="24">
        <f t="shared" si="31"/>
        <v>0</v>
      </c>
      <c r="BF25" s="97">
        <f t="shared" si="8"/>
        <v>0</v>
      </c>
      <c r="BG25" s="83">
        <f t="shared" si="9"/>
        <v>0</v>
      </c>
    </row>
    <row r="26" spans="1:61" ht="15.75" thickBot="1">
      <c r="A26" s="6">
        <f>ELEC!C23</f>
        <v>44003</v>
      </c>
      <c r="B26" s="5">
        <f t="shared" si="10"/>
        <v>108473</v>
      </c>
      <c r="C26" s="5">
        <f t="shared" si="11"/>
        <v>0</v>
      </c>
      <c r="D26" s="433">
        <f t="shared" si="12"/>
        <v>0</v>
      </c>
      <c r="E26" s="343">
        <f>SUM((C26*$E$4)+(7500/'EDl log'!$A$39))</f>
        <v>250</v>
      </c>
      <c r="F26" s="337"/>
      <c r="G26" s="5">
        <f t="shared" si="13"/>
        <v>600167</v>
      </c>
      <c r="H26" s="5">
        <f>G26-G25</f>
        <v>0</v>
      </c>
      <c r="I26" s="5">
        <f t="shared" si="0"/>
        <v>0</v>
      </c>
      <c r="J26" s="344">
        <f t="shared" si="1"/>
        <v>0</v>
      </c>
      <c r="K26" s="5">
        <f>'Swimming Pool quality check '!H26</f>
        <v>6294</v>
      </c>
      <c r="L26" s="282">
        <f t="shared" si="33"/>
        <v>0</v>
      </c>
      <c r="M26" s="424">
        <f t="shared" si="15"/>
        <v>457.44</v>
      </c>
      <c r="N26" s="535">
        <f t="shared" si="35"/>
        <v>0</v>
      </c>
      <c r="O26" s="424">
        <f t="shared" si="16"/>
        <v>529.52</v>
      </c>
      <c r="P26" s="535">
        <f t="shared" si="36"/>
        <v>0</v>
      </c>
      <c r="Q26" s="535">
        <f t="shared" si="37"/>
        <v>0</v>
      </c>
      <c r="R26" s="537"/>
      <c r="S26" s="537"/>
      <c r="T26" s="5">
        <f t="shared" si="18"/>
        <v>4868</v>
      </c>
      <c r="U26" s="5">
        <f t="shared" si="4"/>
        <v>0</v>
      </c>
      <c r="V26" s="5">
        <f t="shared" si="18"/>
        <v>409</v>
      </c>
      <c r="W26" s="334">
        <f t="shared" si="17"/>
        <v>0</v>
      </c>
      <c r="X26" s="5">
        <f t="shared" si="18"/>
        <v>144177</v>
      </c>
      <c r="Y26" s="334">
        <f t="shared" si="19"/>
        <v>0</v>
      </c>
      <c r="Z26" s="5">
        <f t="shared" si="18"/>
        <v>95118</v>
      </c>
      <c r="AA26" s="84">
        <f t="shared" si="20"/>
        <v>0</v>
      </c>
      <c r="AB26" s="5">
        <f t="shared" si="18"/>
        <v>268</v>
      </c>
      <c r="AC26" s="5">
        <f t="shared" si="18"/>
        <v>670</v>
      </c>
      <c r="AD26" s="84">
        <f t="shared" si="32"/>
        <v>0</v>
      </c>
      <c r="AE26" s="5">
        <f t="shared" si="18"/>
        <v>160.58000000000001</v>
      </c>
      <c r="AF26" s="84">
        <f t="shared" si="21"/>
        <v>0</v>
      </c>
      <c r="AG26" s="5">
        <f t="shared" si="18"/>
        <v>1664.26</v>
      </c>
      <c r="AH26" s="84">
        <f t="shared" si="22"/>
        <v>0</v>
      </c>
      <c r="AI26" s="84">
        <f t="shared" si="23"/>
        <v>0</v>
      </c>
      <c r="AJ26" s="336">
        <f t="shared" si="24"/>
        <v>0</v>
      </c>
      <c r="AK26" s="337">
        <f t="shared" si="5"/>
        <v>0</v>
      </c>
      <c r="AL26" s="337">
        <f>SUM(AJ26-W26)</f>
        <v>0</v>
      </c>
      <c r="AM26" s="337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5">
        <f t="shared" si="26"/>
        <v>44003</v>
      </c>
      <c r="AS26" s="438">
        <f t="shared" si="38"/>
        <v>0.9</v>
      </c>
      <c r="AT26" s="205">
        <f t="shared" si="38"/>
        <v>125</v>
      </c>
      <c r="AU26" s="439">
        <f t="shared" si="34"/>
        <v>1.1000000000000001</v>
      </c>
      <c r="AV26" s="205">
        <f t="shared" si="34"/>
        <v>93</v>
      </c>
      <c r="AW26" s="5">
        <v>2.9</v>
      </c>
      <c r="AX26" s="205">
        <f t="shared" ref="AX26" si="41">AX25</f>
        <v>113</v>
      </c>
      <c r="AY26" s="442">
        <f t="shared" si="7"/>
        <v>112.5</v>
      </c>
      <c r="AZ26" s="442">
        <f t="shared" si="27"/>
        <v>102.30000000000001</v>
      </c>
      <c r="BA26" s="442">
        <f t="shared" si="28"/>
        <v>327.7</v>
      </c>
      <c r="BB26" s="21">
        <f t="shared" si="29"/>
        <v>0</v>
      </c>
      <c r="BC26" s="21">
        <f t="shared" si="29"/>
        <v>0</v>
      </c>
      <c r="BD26" s="21">
        <f t="shared" si="29"/>
        <v>0</v>
      </c>
      <c r="BE26" s="24">
        <f t="shared" si="31"/>
        <v>0</v>
      </c>
      <c r="BF26" s="353">
        <f t="shared" si="8"/>
        <v>0</v>
      </c>
      <c r="BG26" s="83">
        <f t="shared" si="9"/>
        <v>0</v>
      </c>
    </row>
    <row r="27" spans="1:61" ht="15.75" thickBot="1">
      <c r="A27" s="6">
        <f>ELEC!C24</f>
        <v>44004</v>
      </c>
      <c r="B27" s="5">
        <f t="shared" si="10"/>
        <v>108473</v>
      </c>
      <c r="C27" s="5">
        <f t="shared" si="11"/>
        <v>0</v>
      </c>
      <c r="D27" s="433">
        <f t="shared" si="12"/>
        <v>0</v>
      </c>
      <c r="E27" s="343">
        <f>SUM((C27*$E$4)+(7500/'EDl log'!$A$39))</f>
        <v>250</v>
      </c>
      <c r="F27" s="337"/>
      <c r="G27" s="5">
        <f t="shared" si="13"/>
        <v>600167</v>
      </c>
      <c r="H27" s="5">
        <f t="shared" si="14"/>
        <v>0</v>
      </c>
      <c r="I27" s="5">
        <f t="shared" si="0"/>
        <v>0</v>
      </c>
      <c r="J27" s="344">
        <f t="shared" si="1"/>
        <v>0</v>
      </c>
      <c r="K27" s="5">
        <f>'Swimming Pool quality check '!H27</f>
        <v>6294</v>
      </c>
      <c r="L27" s="282">
        <f t="shared" si="33"/>
        <v>0</v>
      </c>
      <c r="M27" s="424">
        <f t="shared" si="15"/>
        <v>457.44</v>
      </c>
      <c r="N27" s="535">
        <f t="shared" si="35"/>
        <v>0</v>
      </c>
      <c r="O27" s="424">
        <f t="shared" si="16"/>
        <v>529.52</v>
      </c>
      <c r="P27" s="535">
        <f t="shared" si="36"/>
        <v>0</v>
      </c>
      <c r="Q27" s="535">
        <f t="shared" si="37"/>
        <v>0</v>
      </c>
      <c r="R27" s="537"/>
      <c r="S27" s="537"/>
      <c r="T27" s="5">
        <f t="shared" si="18"/>
        <v>4868</v>
      </c>
      <c r="U27" s="5">
        <f t="shared" si="4"/>
        <v>0</v>
      </c>
      <c r="V27" s="5">
        <f t="shared" si="18"/>
        <v>409</v>
      </c>
      <c r="W27" s="334">
        <f t="shared" si="17"/>
        <v>0</v>
      </c>
      <c r="X27" s="5">
        <f t="shared" si="18"/>
        <v>144177</v>
      </c>
      <c r="Y27" s="334">
        <f>SUM(X27-X26)</f>
        <v>0</v>
      </c>
      <c r="Z27" s="5">
        <f t="shared" si="18"/>
        <v>95118</v>
      </c>
      <c r="AA27" s="84">
        <f t="shared" si="20"/>
        <v>0</v>
      </c>
      <c r="AB27" s="5">
        <f t="shared" si="18"/>
        <v>268</v>
      </c>
      <c r="AC27" s="5">
        <f t="shared" si="18"/>
        <v>670</v>
      </c>
      <c r="AD27" s="84">
        <f t="shared" si="32"/>
        <v>0</v>
      </c>
      <c r="AE27" s="5">
        <f t="shared" si="18"/>
        <v>160.58000000000001</v>
      </c>
      <c r="AF27" s="84">
        <f t="shared" si="21"/>
        <v>0</v>
      </c>
      <c r="AG27" s="5">
        <f t="shared" si="18"/>
        <v>1664.26</v>
      </c>
      <c r="AH27" s="84">
        <f t="shared" si="22"/>
        <v>0</v>
      </c>
      <c r="AI27" s="84">
        <f t="shared" si="23"/>
        <v>0</v>
      </c>
      <c r="AJ27" s="336">
        <f t="shared" si="24"/>
        <v>0</v>
      </c>
      <c r="AK27" s="337">
        <f t="shared" si="5"/>
        <v>0</v>
      </c>
      <c r="AL27" s="337">
        <f t="shared" si="25"/>
        <v>0</v>
      </c>
      <c r="AM27" s="337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5">
        <f t="shared" si="26"/>
        <v>44004</v>
      </c>
      <c r="AS27" s="438">
        <f t="shared" si="38"/>
        <v>0.9</v>
      </c>
      <c r="AT27" s="205">
        <f t="shared" si="38"/>
        <v>125</v>
      </c>
      <c r="AU27" s="439">
        <f t="shared" si="34"/>
        <v>1.1000000000000001</v>
      </c>
      <c r="AV27" s="205">
        <f t="shared" si="34"/>
        <v>93</v>
      </c>
      <c r="AW27" s="5">
        <v>2.9</v>
      </c>
      <c r="AX27" s="205">
        <f t="shared" ref="AX27" si="42">AX26</f>
        <v>113</v>
      </c>
      <c r="AY27" s="442">
        <f t="shared" si="7"/>
        <v>112.5</v>
      </c>
      <c r="AZ27" s="442">
        <f t="shared" si="27"/>
        <v>102.30000000000001</v>
      </c>
      <c r="BA27" s="442">
        <f t="shared" si="28"/>
        <v>327.7</v>
      </c>
      <c r="BB27" s="21">
        <f t="shared" si="29"/>
        <v>0</v>
      </c>
      <c r="BC27" s="21">
        <f t="shared" si="29"/>
        <v>0</v>
      </c>
      <c r="BD27" s="21">
        <f t="shared" si="29"/>
        <v>0</v>
      </c>
      <c r="BE27" s="24">
        <f t="shared" si="31"/>
        <v>0</v>
      </c>
      <c r="BF27" s="97">
        <f t="shared" si="8"/>
        <v>0</v>
      </c>
      <c r="BG27" s="83">
        <f t="shared" si="9"/>
        <v>0</v>
      </c>
    </row>
    <row r="28" spans="1:61" ht="15.75" thickBot="1">
      <c r="A28" s="6">
        <f>ELEC!C25</f>
        <v>44005</v>
      </c>
      <c r="B28" s="5">
        <f t="shared" si="10"/>
        <v>108473</v>
      </c>
      <c r="C28" s="5">
        <f t="shared" si="11"/>
        <v>0</v>
      </c>
      <c r="D28" s="433">
        <f t="shared" si="12"/>
        <v>0</v>
      </c>
      <c r="E28" s="343">
        <f>SUM((C28*$E$4)+(7500/'EDl log'!$A$39))</f>
        <v>250</v>
      </c>
      <c r="F28" s="337"/>
      <c r="G28" s="5">
        <f t="shared" si="13"/>
        <v>600167</v>
      </c>
      <c r="H28" s="5">
        <f t="shared" si="14"/>
        <v>0</v>
      </c>
      <c r="I28" s="5">
        <f t="shared" si="0"/>
        <v>0</v>
      </c>
      <c r="J28" s="344">
        <f t="shared" si="1"/>
        <v>0</v>
      </c>
      <c r="K28" s="5">
        <f>'Swimming Pool quality check '!H28</f>
        <v>6294</v>
      </c>
      <c r="L28" s="282">
        <f t="shared" si="33"/>
        <v>0</v>
      </c>
      <c r="M28" s="424">
        <f t="shared" si="15"/>
        <v>457.44</v>
      </c>
      <c r="N28" s="535">
        <f t="shared" si="35"/>
        <v>0</v>
      </c>
      <c r="O28" s="424">
        <f t="shared" si="16"/>
        <v>529.52</v>
      </c>
      <c r="P28" s="535">
        <f t="shared" si="36"/>
        <v>0</v>
      </c>
      <c r="Q28" s="535">
        <f t="shared" si="37"/>
        <v>0</v>
      </c>
      <c r="R28" s="537"/>
      <c r="S28" s="537"/>
      <c r="T28" s="5">
        <f t="shared" si="18"/>
        <v>4868</v>
      </c>
      <c r="U28" s="5">
        <f t="shared" si="4"/>
        <v>0</v>
      </c>
      <c r="V28" s="5">
        <f t="shared" si="18"/>
        <v>409</v>
      </c>
      <c r="W28" s="334">
        <f t="shared" si="17"/>
        <v>0</v>
      </c>
      <c r="X28" s="5">
        <f t="shared" si="18"/>
        <v>144177</v>
      </c>
      <c r="Y28" s="334">
        <f t="shared" si="19"/>
        <v>0</v>
      </c>
      <c r="Z28" s="5">
        <f t="shared" si="18"/>
        <v>95118</v>
      </c>
      <c r="AA28" s="84">
        <f t="shared" si="20"/>
        <v>0</v>
      </c>
      <c r="AB28" s="5">
        <f t="shared" si="18"/>
        <v>268</v>
      </c>
      <c r="AC28" s="5">
        <f t="shared" si="18"/>
        <v>670</v>
      </c>
      <c r="AD28" s="84">
        <f t="shared" si="32"/>
        <v>0</v>
      </c>
      <c r="AE28" s="5">
        <f t="shared" si="18"/>
        <v>160.58000000000001</v>
      </c>
      <c r="AF28" s="84">
        <f t="shared" si="21"/>
        <v>0</v>
      </c>
      <c r="AG28" s="5">
        <f t="shared" si="18"/>
        <v>1664.26</v>
      </c>
      <c r="AH28" s="84">
        <f t="shared" si="22"/>
        <v>0</v>
      </c>
      <c r="AI28" s="84">
        <f t="shared" si="23"/>
        <v>0</v>
      </c>
      <c r="AJ28" s="336">
        <f t="shared" si="24"/>
        <v>0</v>
      </c>
      <c r="AK28" s="337">
        <f t="shared" si="5"/>
        <v>0</v>
      </c>
      <c r="AL28" s="337">
        <f t="shared" si="25"/>
        <v>0</v>
      </c>
      <c r="AM28" s="337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5">
        <f t="shared" si="26"/>
        <v>44005</v>
      </c>
      <c r="AS28" s="438">
        <f t="shared" si="38"/>
        <v>0.9</v>
      </c>
      <c r="AT28" s="205">
        <f t="shared" si="38"/>
        <v>125</v>
      </c>
      <c r="AU28" s="439">
        <f t="shared" si="34"/>
        <v>1.1000000000000001</v>
      </c>
      <c r="AV28" s="205">
        <f t="shared" si="34"/>
        <v>93</v>
      </c>
      <c r="AW28" s="5">
        <v>2.9</v>
      </c>
      <c r="AX28" s="205">
        <f t="shared" ref="AX28" si="43">AX27</f>
        <v>113</v>
      </c>
      <c r="AY28" s="442">
        <f t="shared" si="7"/>
        <v>112.5</v>
      </c>
      <c r="AZ28" s="442">
        <f t="shared" si="27"/>
        <v>102.30000000000001</v>
      </c>
      <c r="BA28" s="442">
        <f t="shared" si="28"/>
        <v>327.7</v>
      </c>
      <c r="BB28" s="21">
        <f t="shared" si="29"/>
        <v>0</v>
      </c>
      <c r="BC28" s="21">
        <f t="shared" si="29"/>
        <v>0</v>
      </c>
      <c r="BD28" s="21">
        <f t="shared" si="29"/>
        <v>0</v>
      </c>
      <c r="BE28" s="24">
        <f t="shared" si="31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44006</v>
      </c>
      <c r="B29" s="5">
        <f t="shared" si="10"/>
        <v>108473</v>
      </c>
      <c r="C29" s="5">
        <f t="shared" si="11"/>
        <v>0</v>
      </c>
      <c r="D29" s="433">
        <f t="shared" si="12"/>
        <v>0</v>
      </c>
      <c r="E29" s="343">
        <f>SUM((C29*$E$4)+(7500/'EDl log'!$A$39))</f>
        <v>250</v>
      </c>
      <c r="F29" s="337"/>
      <c r="G29" s="5">
        <f t="shared" si="13"/>
        <v>600167</v>
      </c>
      <c r="H29" s="5">
        <f t="shared" si="14"/>
        <v>0</v>
      </c>
      <c r="I29" s="5">
        <f t="shared" si="0"/>
        <v>0</v>
      </c>
      <c r="J29" s="344">
        <f t="shared" si="1"/>
        <v>0</v>
      </c>
      <c r="K29" s="5">
        <f>'Swimming Pool quality check '!H29</f>
        <v>6294</v>
      </c>
      <c r="L29" s="282">
        <f t="shared" si="33"/>
        <v>0</v>
      </c>
      <c r="M29" s="424">
        <f t="shared" si="15"/>
        <v>457.44</v>
      </c>
      <c r="N29" s="535">
        <f t="shared" si="35"/>
        <v>0</v>
      </c>
      <c r="O29" s="424">
        <f t="shared" si="16"/>
        <v>529.52</v>
      </c>
      <c r="P29" s="535">
        <f t="shared" si="36"/>
        <v>0</v>
      </c>
      <c r="Q29" s="535">
        <f t="shared" si="37"/>
        <v>0</v>
      </c>
      <c r="R29" s="537"/>
      <c r="S29" s="537"/>
      <c r="T29" s="5">
        <f t="shared" si="18"/>
        <v>4868</v>
      </c>
      <c r="U29" s="5">
        <f t="shared" si="4"/>
        <v>0</v>
      </c>
      <c r="V29" s="5">
        <f t="shared" si="18"/>
        <v>409</v>
      </c>
      <c r="W29" s="334">
        <f t="shared" si="17"/>
        <v>0</v>
      </c>
      <c r="X29" s="5">
        <f t="shared" si="18"/>
        <v>144177</v>
      </c>
      <c r="Y29" s="334">
        <f t="shared" si="19"/>
        <v>0</v>
      </c>
      <c r="Z29" s="5">
        <f t="shared" si="18"/>
        <v>95118</v>
      </c>
      <c r="AA29" s="84">
        <f t="shared" si="20"/>
        <v>0</v>
      </c>
      <c r="AB29" s="5">
        <f t="shared" si="18"/>
        <v>268</v>
      </c>
      <c r="AC29" s="5">
        <f t="shared" si="18"/>
        <v>670</v>
      </c>
      <c r="AD29" s="84">
        <f t="shared" si="32"/>
        <v>0</v>
      </c>
      <c r="AE29" s="5">
        <f t="shared" si="18"/>
        <v>160.58000000000001</v>
      </c>
      <c r="AF29" s="84">
        <f t="shared" si="21"/>
        <v>0</v>
      </c>
      <c r="AG29" s="5">
        <f t="shared" si="18"/>
        <v>1664.26</v>
      </c>
      <c r="AH29" s="84">
        <f t="shared" si="22"/>
        <v>0</v>
      </c>
      <c r="AI29" s="84">
        <f t="shared" si="23"/>
        <v>0</v>
      </c>
      <c r="AJ29" s="336">
        <f t="shared" si="24"/>
        <v>0</v>
      </c>
      <c r="AK29" s="337">
        <f t="shared" si="5"/>
        <v>0</v>
      </c>
      <c r="AL29" s="337">
        <f t="shared" si="25"/>
        <v>0</v>
      </c>
      <c r="AM29" s="337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5">
        <f t="shared" si="26"/>
        <v>44006</v>
      </c>
      <c r="AS29" s="438">
        <f t="shared" si="38"/>
        <v>0.9</v>
      </c>
      <c r="AT29" s="205">
        <f t="shared" si="38"/>
        <v>125</v>
      </c>
      <c r="AU29" s="439">
        <f t="shared" si="34"/>
        <v>1.1000000000000001</v>
      </c>
      <c r="AV29" s="205">
        <f t="shared" si="34"/>
        <v>93</v>
      </c>
      <c r="AW29" s="5">
        <v>2.9</v>
      </c>
      <c r="AX29" s="205">
        <f t="shared" ref="AX29" si="44">AX28</f>
        <v>113</v>
      </c>
      <c r="AY29" s="442">
        <f t="shared" si="7"/>
        <v>112.5</v>
      </c>
      <c r="AZ29" s="442">
        <f t="shared" si="27"/>
        <v>102.30000000000001</v>
      </c>
      <c r="BA29" s="442">
        <f t="shared" si="28"/>
        <v>327.7</v>
      </c>
      <c r="BB29" s="21">
        <f t="shared" si="29"/>
        <v>0</v>
      </c>
      <c r="BC29" s="21">
        <f t="shared" si="29"/>
        <v>0</v>
      </c>
      <c r="BD29" s="21">
        <f t="shared" si="29"/>
        <v>0</v>
      </c>
      <c r="BE29" s="24">
        <f t="shared" si="31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44007</v>
      </c>
      <c r="B30" s="5">
        <f t="shared" si="10"/>
        <v>108473</v>
      </c>
      <c r="C30" s="5">
        <f t="shared" si="11"/>
        <v>0</v>
      </c>
      <c r="D30" s="433">
        <f t="shared" si="12"/>
        <v>0</v>
      </c>
      <c r="E30" s="343">
        <f>SUM((C30*$E$4)+(7500/'EDl log'!$A$39))</f>
        <v>250</v>
      </c>
      <c r="F30" s="337"/>
      <c r="G30" s="5">
        <f t="shared" si="13"/>
        <v>600167</v>
      </c>
      <c r="H30" s="5">
        <f t="shared" si="14"/>
        <v>0</v>
      </c>
      <c r="I30" s="5">
        <f t="shared" si="0"/>
        <v>0</v>
      </c>
      <c r="J30" s="344">
        <f t="shared" si="1"/>
        <v>0</v>
      </c>
      <c r="K30" s="5">
        <f>'Swimming Pool quality check '!H30</f>
        <v>6294</v>
      </c>
      <c r="L30" s="282">
        <f t="shared" si="33"/>
        <v>0</v>
      </c>
      <c r="M30" s="424">
        <f t="shared" si="15"/>
        <v>457.44</v>
      </c>
      <c r="N30" s="535">
        <f t="shared" si="35"/>
        <v>0</v>
      </c>
      <c r="O30" s="424">
        <f t="shared" si="16"/>
        <v>529.52</v>
      </c>
      <c r="P30" s="535">
        <f t="shared" si="36"/>
        <v>0</v>
      </c>
      <c r="Q30" s="535">
        <f t="shared" si="37"/>
        <v>0</v>
      </c>
      <c r="R30" s="537"/>
      <c r="S30" s="537"/>
      <c r="T30" s="5">
        <f t="shared" si="18"/>
        <v>4868</v>
      </c>
      <c r="U30" s="5">
        <f t="shared" si="4"/>
        <v>0</v>
      </c>
      <c r="V30" s="5">
        <f t="shared" si="18"/>
        <v>409</v>
      </c>
      <c r="W30" s="334">
        <f t="shared" si="17"/>
        <v>0</v>
      </c>
      <c r="X30" s="5">
        <f t="shared" si="18"/>
        <v>144177</v>
      </c>
      <c r="Y30" s="334">
        <f t="shared" si="19"/>
        <v>0</v>
      </c>
      <c r="Z30" s="5">
        <f t="shared" si="18"/>
        <v>95118</v>
      </c>
      <c r="AA30" s="84">
        <f t="shared" si="20"/>
        <v>0</v>
      </c>
      <c r="AB30" s="5">
        <f t="shared" si="18"/>
        <v>268</v>
      </c>
      <c r="AC30" s="5">
        <f t="shared" si="18"/>
        <v>670</v>
      </c>
      <c r="AD30" s="84">
        <f t="shared" si="32"/>
        <v>0</v>
      </c>
      <c r="AE30" s="5">
        <f t="shared" si="18"/>
        <v>160.58000000000001</v>
      </c>
      <c r="AF30" s="84">
        <f t="shared" si="21"/>
        <v>0</v>
      </c>
      <c r="AG30" s="5">
        <f t="shared" si="18"/>
        <v>1664.26</v>
      </c>
      <c r="AH30" s="84">
        <f t="shared" si="22"/>
        <v>0</v>
      </c>
      <c r="AI30" s="84">
        <f t="shared" si="23"/>
        <v>0</v>
      </c>
      <c r="AJ30" s="336">
        <f t="shared" si="24"/>
        <v>0</v>
      </c>
      <c r="AK30" s="337">
        <f t="shared" si="5"/>
        <v>0</v>
      </c>
      <c r="AL30" s="337">
        <f t="shared" si="25"/>
        <v>0</v>
      </c>
      <c r="AM30" s="337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5">
        <f t="shared" si="26"/>
        <v>44007</v>
      </c>
      <c r="AS30" s="438">
        <f t="shared" si="38"/>
        <v>0.9</v>
      </c>
      <c r="AT30" s="205">
        <f t="shared" si="38"/>
        <v>125</v>
      </c>
      <c r="AU30" s="439">
        <f t="shared" si="34"/>
        <v>1.1000000000000001</v>
      </c>
      <c r="AV30" s="205">
        <f t="shared" si="34"/>
        <v>93</v>
      </c>
      <c r="AW30" s="5">
        <v>2.9</v>
      </c>
      <c r="AX30" s="205">
        <f t="shared" ref="AX30" si="45">AX29</f>
        <v>113</v>
      </c>
      <c r="AY30" s="442">
        <f t="shared" si="7"/>
        <v>112.5</v>
      </c>
      <c r="AZ30" s="442">
        <f t="shared" si="27"/>
        <v>102.30000000000001</v>
      </c>
      <c r="BA30" s="442">
        <f t="shared" si="28"/>
        <v>327.7</v>
      </c>
      <c r="BB30" s="21">
        <f t="shared" si="29"/>
        <v>0</v>
      </c>
      <c r="BC30" s="21">
        <f t="shared" si="29"/>
        <v>0</v>
      </c>
      <c r="BD30" s="21">
        <f t="shared" si="29"/>
        <v>0</v>
      </c>
      <c r="BE30" s="24">
        <f t="shared" si="31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44008</v>
      </c>
      <c r="B31" s="5">
        <f t="shared" si="10"/>
        <v>108473</v>
      </c>
      <c r="C31" s="5">
        <f t="shared" si="11"/>
        <v>0</v>
      </c>
      <c r="D31" s="433">
        <f t="shared" si="12"/>
        <v>0</v>
      </c>
      <c r="E31" s="343">
        <f>SUM((C31*$E$4)+(7500/'EDl log'!$A$39))</f>
        <v>250</v>
      </c>
      <c r="F31" s="337"/>
      <c r="G31" s="5">
        <f t="shared" si="13"/>
        <v>600167</v>
      </c>
      <c r="H31" s="5">
        <f t="shared" si="14"/>
        <v>0</v>
      </c>
      <c r="I31" s="5">
        <f t="shared" si="0"/>
        <v>0</v>
      </c>
      <c r="J31" s="344">
        <f t="shared" si="1"/>
        <v>0</v>
      </c>
      <c r="K31" s="5">
        <f>'Swimming Pool quality check '!H31</f>
        <v>6294</v>
      </c>
      <c r="L31" s="282">
        <f t="shared" si="33"/>
        <v>0</v>
      </c>
      <c r="M31" s="424">
        <f t="shared" si="15"/>
        <v>457.44</v>
      </c>
      <c r="N31" s="535">
        <f t="shared" si="35"/>
        <v>0</v>
      </c>
      <c r="O31" s="424">
        <f t="shared" si="16"/>
        <v>529.52</v>
      </c>
      <c r="P31" s="535">
        <f t="shared" si="36"/>
        <v>0</v>
      </c>
      <c r="Q31" s="535">
        <f t="shared" si="37"/>
        <v>0</v>
      </c>
      <c r="R31" s="537"/>
      <c r="S31" s="537"/>
      <c r="T31" s="5">
        <f t="shared" si="18"/>
        <v>4868</v>
      </c>
      <c r="U31" s="5">
        <f t="shared" si="4"/>
        <v>0</v>
      </c>
      <c r="V31" s="5">
        <f t="shared" si="18"/>
        <v>409</v>
      </c>
      <c r="W31" s="334">
        <f t="shared" si="17"/>
        <v>0</v>
      </c>
      <c r="X31" s="5">
        <f t="shared" si="18"/>
        <v>144177</v>
      </c>
      <c r="Y31" s="334">
        <f t="shared" si="19"/>
        <v>0</v>
      </c>
      <c r="Z31" s="5">
        <f t="shared" si="18"/>
        <v>95118</v>
      </c>
      <c r="AA31" s="84">
        <f t="shared" si="20"/>
        <v>0</v>
      </c>
      <c r="AB31" s="5">
        <f t="shared" si="18"/>
        <v>268</v>
      </c>
      <c r="AC31" s="5">
        <f t="shared" si="18"/>
        <v>670</v>
      </c>
      <c r="AD31" s="84">
        <f t="shared" si="32"/>
        <v>0</v>
      </c>
      <c r="AE31" s="5">
        <f t="shared" si="18"/>
        <v>160.58000000000001</v>
      </c>
      <c r="AF31" s="84">
        <f t="shared" si="21"/>
        <v>0</v>
      </c>
      <c r="AG31" s="5">
        <f t="shared" si="18"/>
        <v>1664.26</v>
      </c>
      <c r="AH31" s="84">
        <f>AG31-AG30</f>
        <v>0</v>
      </c>
      <c r="AI31" s="84">
        <f>AF31+AH31</f>
        <v>0</v>
      </c>
      <c r="AJ31" s="336">
        <f t="shared" si="24"/>
        <v>0</v>
      </c>
      <c r="AK31" s="337">
        <f>SUM(Y31-L31)</f>
        <v>0</v>
      </c>
      <c r="AL31" s="337">
        <f t="shared" si="25"/>
        <v>0</v>
      </c>
      <c r="AM31" s="337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5">
        <f t="shared" si="26"/>
        <v>44008</v>
      </c>
      <c r="AS31" s="438">
        <f t="shared" si="38"/>
        <v>0.9</v>
      </c>
      <c r="AT31" s="205">
        <f t="shared" si="38"/>
        <v>125</v>
      </c>
      <c r="AU31" s="439">
        <f t="shared" si="34"/>
        <v>1.1000000000000001</v>
      </c>
      <c r="AV31" s="205">
        <f t="shared" si="34"/>
        <v>93</v>
      </c>
      <c r="AW31" s="5">
        <v>2.9</v>
      </c>
      <c r="AX31" s="205">
        <f t="shared" ref="AX31" si="46">AX30</f>
        <v>113</v>
      </c>
      <c r="AY31" s="442">
        <f t="shared" si="7"/>
        <v>112.5</v>
      </c>
      <c r="AZ31" s="442">
        <f t="shared" si="27"/>
        <v>102.30000000000001</v>
      </c>
      <c r="BA31" s="442">
        <f t="shared" si="28"/>
        <v>327.7</v>
      </c>
      <c r="BB31" s="21">
        <f t="shared" si="29"/>
        <v>0</v>
      </c>
      <c r="BC31" s="21">
        <f t="shared" si="29"/>
        <v>0</v>
      </c>
      <c r="BD31" s="21">
        <f t="shared" si="29"/>
        <v>0</v>
      </c>
      <c r="BE31" s="24">
        <f t="shared" si="31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44009</v>
      </c>
      <c r="B32" s="5">
        <f t="shared" si="10"/>
        <v>108473</v>
      </c>
      <c r="C32" s="5">
        <f t="shared" si="11"/>
        <v>0</v>
      </c>
      <c r="D32" s="433">
        <f t="shared" si="12"/>
        <v>0</v>
      </c>
      <c r="E32" s="343">
        <f>SUM((C32*$E$4)+(7500/'EDl log'!$A$39))</f>
        <v>250</v>
      </c>
      <c r="F32" s="337"/>
      <c r="G32" s="5">
        <f t="shared" si="13"/>
        <v>600167</v>
      </c>
      <c r="H32" s="5">
        <f t="shared" si="14"/>
        <v>0</v>
      </c>
      <c r="I32" s="5">
        <f t="shared" si="0"/>
        <v>0</v>
      </c>
      <c r="J32" s="344">
        <f t="shared" si="1"/>
        <v>0</v>
      </c>
      <c r="K32" s="5">
        <f>'Swimming Pool quality check '!H32</f>
        <v>6294</v>
      </c>
      <c r="L32" s="282">
        <f t="shared" si="33"/>
        <v>0</v>
      </c>
      <c r="M32" s="424">
        <f t="shared" si="15"/>
        <v>457.44</v>
      </c>
      <c r="N32" s="535">
        <f t="shared" si="35"/>
        <v>0</v>
      </c>
      <c r="O32" s="424">
        <f t="shared" si="16"/>
        <v>529.52</v>
      </c>
      <c r="P32" s="535">
        <f t="shared" si="36"/>
        <v>0</v>
      </c>
      <c r="Q32" s="535">
        <f t="shared" si="37"/>
        <v>0</v>
      </c>
      <c r="R32" s="537"/>
      <c r="S32" s="537"/>
      <c r="T32" s="5">
        <f t="shared" si="18"/>
        <v>4868</v>
      </c>
      <c r="U32" s="5">
        <f t="shared" si="4"/>
        <v>0</v>
      </c>
      <c r="V32" s="5">
        <f t="shared" si="18"/>
        <v>409</v>
      </c>
      <c r="W32" s="334">
        <f t="shared" si="17"/>
        <v>0</v>
      </c>
      <c r="X32" s="5">
        <f t="shared" si="18"/>
        <v>144177</v>
      </c>
      <c r="Y32" s="334">
        <f t="shared" si="19"/>
        <v>0</v>
      </c>
      <c r="Z32" s="5">
        <f t="shared" si="18"/>
        <v>95118</v>
      </c>
      <c r="AA32" s="84">
        <f t="shared" si="20"/>
        <v>0</v>
      </c>
      <c r="AB32" s="5">
        <f t="shared" si="18"/>
        <v>268</v>
      </c>
      <c r="AC32" s="5">
        <f t="shared" si="18"/>
        <v>670</v>
      </c>
      <c r="AD32" s="84">
        <f t="shared" si="32"/>
        <v>0</v>
      </c>
      <c r="AE32" s="5">
        <f t="shared" si="18"/>
        <v>160.58000000000001</v>
      </c>
      <c r="AF32" s="84">
        <f t="shared" si="21"/>
        <v>0</v>
      </c>
      <c r="AG32" s="5">
        <f t="shared" si="18"/>
        <v>1664.26</v>
      </c>
      <c r="AH32" s="84">
        <f t="shared" si="22"/>
        <v>0</v>
      </c>
      <c r="AI32" s="84">
        <f t="shared" si="23"/>
        <v>0</v>
      </c>
      <c r="AJ32" s="336">
        <f t="shared" si="24"/>
        <v>0</v>
      </c>
      <c r="AK32" s="337">
        <v>0</v>
      </c>
      <c r="AL32" s="337">
        <f t="shared" si="25"/>
        <v>0</v>
      </c>
      <c r="AM32" s="337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5">
        <f t="shared" si="26"/>
        <v>44009</v>
      </c>
      <c r="AS32" s="438">
        <f t="shared" si="38"/>
        <v>0.9</v>
      </c>
      <c r="AT32" s="205">
        <f t="shared" si="38"/>
        <v>125</v>
      </c>
      <c r="AU32" s="439">
        <f t="shared" si="34"/>
        <v>1.1000000000000001</v>
      </c>
      <c r="AV32" s="205">
        <f t="shared" si="34"/>
        <v>93</v>
      </c>
      <c r="AW32" s="5">
        <v>2.9</v>
      </c>
      <c r="AX32" s="205">
        <f t="shared" ref="AX32" si="47">AX31</f>
        <v>113</v>
      </c>
      <c r="AY32" s="442">
        <f t="shared" si="7"/>
        <v>112.5</v>
      </c>
      <c r="AZ32" s="442">
        <f t="shared" si="27"/>
        <v>102.30000000000001</v>
      </c>
      <c r="BA32" s="442">
        <f t="shared" si="28"/>
        <v>327.7</v>
      </c>
      <c r="BB32" s="21">
        <f t="shared" si="29"/>
        <v>0</v>
      </c>
      <c r="BC32" s="21">
        <f t="shared" si="29"/>
        <v>0</v>
      </c>
      <c r="BD32" s="21">
        <f t="shared" si="29"/>
        <v>0</v>
      </c>
      <c r="BE32" s="24">
        <f t="shared" si="31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44010</v>
      </c>
      <c r="B33" s="5">
        <f t="shared" si="10"/>
        <v>108473</v>
      </c>
      <c r="C33" s="5">
        <f t="shared" si="11"/>
        <v>0</v>
      </c>
      <c r="D33" s="433">
        <f t="shared" si="12"/>
        <v>0</v>
      </c>
      <c r="E33" s="343">
        <f>SUM((C33*$E$4)+(7500/'EDl log'!$A$39))</f>
        <v>250</v>
      </c>
      <c r="F33" s="337"/>
      <c r="G33" s="5">
        <f t="shared" si="13"/>
        <v>600167</v>
      </c>
      <c r="H33" s="5">
        <f t="shared" si="14"/>
        <v>0</v>
      </c>
      <c r="I33" s="5">
        <f t="shared" si="0"/>
        <v>0</v>
      </c>
      <c r="J33" s="344">
        <f t="shared" si="1"/>
        <v>0</v>
      </c>
      <c r="K33" s="5">
        <f>'Swimming Pool quality check '!H33</f>
        <v>6294</v>
      </c>
      <c r="L33" s="282">
        <f t="shared" si="33"/>
        <v>0</v>
      </c>
      <c r="M33" s="424">
        <f t="shared" si="15"/>
        <v>457.44</v>
      </c>
      <c r="N33" s="535">
        <f t="shared" si="35"/>
        <v>0</v>
      </c>
      <c r="O33" s="424">
        <f t="shared" si="16"/>
        <v>529.52</v>
      </c>
      <c r="P33" s="535">
        <f t="shared" si="36"/>
        <v>0</v>
      </c>
      <c r="Q33" s="535">
        <f t="shared" si="37"/>
        <v>0</v>
      </c>
      <c r="R33" s="537"/>
      <c r="S33" s="537"/>
      <c r="T33" s="5">
        <f t="shared" si="18"/>
        <v>4868</v>
      </c>
      <c r="U33" s="5">
        <f t="shared" si="4"/>
        <v>0</v>
      </c>
      <c r="V33" s="5">
        <f t="shared" si="18"/>
        <v>409</v>
      </c>
      <c r="W33" s="334">
        <f t="shared" si="17"/>
        <v>0</v>
      </c>
      <c r="X33" s="5">
        <f t="shared" si="18"/>
        <v>144177</v>
      </c>
      <c r="Y33" s="334">
        <f t="shared" si="19"/>
        <v>0</v>
      </c>
      <c r="Z33" s="5">
        <f t="shared" si="18"/>
        <v>95118</v>
      </c>
      <c r="AA33" s="84">
        <f t="shared" si="20"/>
        <v>0</v>
      </c>
      <c r="AB33" s="5">
        <f t="shared" si="18"/>
        <v>268</v>
      </c>
      <c r="AC33" s="5">
        <f t="shared" si="18"/>
        <v>670</v>
      </c>
      <c r="AD33" s="84">
        <f t="shared" si="32"/>
        <v>0</v>
      </c>
      <c r="AE33" s="5">
        <f t="shared" si="18"/>
        <v>160.58000000000001</v>
      </c>
      <c r="AF33" s="84">
        <f>AE33-AE32</f>
        <v>0</v>
      </c>
      <c r="AG33" s="5">
        <f t="shared" si="18"/>
        <v>1664.26</v>
      </c>
      <c r="AH33" s="84">
        <f t="shared" si="22"/>
        <v>0</v>
      </c>
      <c r="AI33" s="84">
        <f t="shared" si="23"/>
        <v>0</v>
      </c>
      <c r="AJ33" s="336">
        <f t="shared" si="24"/>
        <v>0</v>
      </c>
      <c r="AK33" s="337">
        <f>SUM(Y33-L33)</f>
        <v>0</v>
      </c>
      <c r="AL33" s="337">
        <f t="shared" si="25"/>
        <v>0</v>
      </c>
      <c r="AM33" s="337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5">
        <f t="shared" si="26"/>
        <v>44010</v>
      </c>
      <c r="AS33" s="438">
        <f t="shared" si="38"/>
        <v>0.9</v>
      </c>
      <c r="AT33" s="205">
        <f t="shared" si="38"/>
        <v>125</v>
      </c>
      <c r="AU33" s="439">
        <f t="shared" si="34"/>
        <v>1.1000000000000001</v>
      </c>
      <c r="AV33" s="205">
        <f t="shared" si="34"/>
        <v>93</v>
      </c>
      <c r="AW33" s="5">
        <v>2.9</v>
      </c>
      <c r="AX33" s="205">
        <f t="shared" ref="AX33" si="48">AX32</f>
        <v>113</v>
      </c>
      <c r="AY33" s="442">
        <f t="shared" si="7"/>
        <v>112.5</v>
      </c>
      <c r="AZ33" s="442">
        <f t="shared" si="27"/>
        <v>102.30000000000001</v>
      </c>
      <c r="BA33" s="442">
        <f t="shared" si="28"/>
        <v>327.7</v>
      </c>
      <c r="BB33" s="21">
        <f t="shared" si="29"/>
        <v>0</v>
      </c>
      <c r="BC33" s="21">
        <f t="shared" si="29"/>
        <v>0</v>
      </c>
      <c r="BD33" s="21">
        <f t="shared" si="29"/>
        <v>0</v>
      </c>
      <c r="BE33" s="24">
        <f t="shared" si="31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44011</v>
      </c>
      <c r="B34" s="5">
        <f t="shared" si="10"/>
        <v>108473</v>
      </c>
      <c r="C34" s="5">
        <f t="shared" si="11"/>
        <v>0</v>
      </c>
      <c r="D34" s="433">
        <f t="shared" si="12"/>
        <v>0</v>
      </c>
      <c r="E34" s="343">
        <f>SUM((C34*$E$4)+(7500/'EDl log'!$A$39))</f>
        <v>250</v>
      </c>
      <c r="F34" s="337"/>
      <c r="G34" s="5">
        <f t="shared" si="13"/>
        <v>600167</v>
      </c>
      <c r="H34" s="5">
        <f t="shared" si="14"/>
        <v>0</v>
      </c>
      <c r="I34" s="5">
        <f t="shared" si="0"/>
        <v>0</v>
      </c>
      <c r="J34" s="344">
        <f t="shared" si="1"/>
        <v>0</v>
      </c>
      <c r="K34" s="5">
        <f>'Swimming Pool quality check '!H34</f>
        <v>6294</v>
      </c>
      <c r="L34" s="282">
        <f t="shared" si="33"/>
        <v>0</v>
      </c>
      <c r="M34" s="424">
        <f t="shared" si="15"/>
        <v>457.44</v>
      </c>
      <c r="N34" s="535">
        <f t="shared" si="35"/>
        <v>0</v>
      </c>
      <c r="O34" s="424">
        <f t="shared" si="16"/>
        <v>529.52</v>
      </c>
      <c r="P34" s="535">
        <f t="shared" si="36"/>
        <v>0</v>
      </c>
      <c r="Q34" s="535">
        <f t="shared" si="37"/>
        <v>0</v>
      </c>
      <c r="R34" s="537"/>
      <c r="S34" s="537"/>
      <c r="T34" s="5">
        <f t="shared" si="18"/>
        <v>4868</v>
      </c>
      <c r="U34" s="5">
        <f t="shared" si="4"/>
        <v>0</v>
      </c>
      <c r="V34" s="5">
        <f t="shared" si="18"/>
        <v>409</v>
      </c>
      <c r="W34" s="334">
        <f t="shared" si="17"/>
        <v>0</v>
      </c>
      <c r="X34" s="5">
        <f t="shared" si="18"/>
        <v>144177</v>
      </c>
      <c r="Y34" s="334">
        <f t="shared" si="19"/>
        <v>0</v>
      </c>
      <c r="Z34" s="5">
        <f t="shared" si="18"/>
        <v>95118</v>
      </c>
      <c r="AA34" s="84">
        <f t="shared" si="20"/>
        <v>0</v>
      </c>
      <c r="AB34" s="5">
        <f t="shared" si="18"/>
        <v>268</v>
      </c>
      <c r="AC34" s="5">
        <f t="shared" si="18"/>
        <v>670</v>
      </c>
      <c r="AD34" s="84">
        <f t="shared" si="32"/>
        <v>0</v>
      </c>
      <c r="AE34" s="5">
        <f t="shared" si="18"/>
        <v>160.58000000000001</v>
      </c>
      <c r="AF34" s="84">
        <f t="shared" si="21"/>
        <v>0</v>
      </c>
      <c r="AG34" s="5">
        <f t="shared" si="18"/>
        <v>1664.26</v>
      </c>
      <c r="AH34" s="84">
        <f t="shared" si="22"/>
        <v>0</v>
      </c>
      <c r="AI34" s="84">
        <f t="shared" si="23"/>
        <v>0</v>
      </c>
      <c r="AJ34" s="336">
        <f t="shared" si="24"/>
        <v>0</v>
      </c>
      <c r="AK34" s="337">
        <f t="shared" si="5"/>
        <v>0</v>
      </c>
      <c r="AL34" s="337">
        <f t="shared" si="25"/>
        <v>0</v>
      </c>
      <c r="AM34" s="337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5">
        <f t="shared" si="26"/>
        <v>44011</v>
      </c>
      <c r="AS34" s="438">
        <f t="shared" si="38"/>
        <v>0.9</v>
      </c>
      <c r="AT34" s="205">
        <f t="shared" si="38"/>
        <v>125</v>
      </c>
      <c r="AU34" s="440">
        <f t="shared" si="34"/>
        <v>1.1000000000000001</v>
      </c>
      <c r="AV34" s="205">
        <f t="shared" si="34"/>
        <v>93</v>
      </c>
      <c r="AW34" s="5">
        <v>2.9</v>
      </c>
      <c r="AX34" s="205">
        <f t="shared" ref="AX34" si="49">AX33</f>
        <v>113</v>
      </c>
      <c r="AY34" s="442">
        <f t="shared" si="7"/>
        <v>112.5</v>
      </c>
      <c r="AZ34" s="442">
        <f t="shared" si="27"/>
        <v>102.30000000000001</v>
      </c>
      <c r="BA34" s="442">
        <f t="shared" si="28"/>
        <v>327.7</v>
      </c>
      <c r="BB34" s="21">
        <f t="shared" si="29"/>
        <v>0</v>
      </c>
      <c r="BC34" s="21">
        <f t="shared" si="29"/>
        <v>0</v>
      </c>
      <c r="BD34" s="21">
        <f t="shared" si="29"/>
        <v>0</v>
      </c>
      <c r="BE34" s="24">
        <f t="shared" si="31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>
        <f>ELEC!C32</f>
        <v>44012</v>
      </c>
      <c r="B35" s="5">
        <f t="shared" si="10"/>
        <v>108473</v>
      </c>
      <c r="C35" s="5">
        <f t="shared" si="11"/>
        <v>0</v>
      </c>
      <c r="D35" s="433">
        <f t="shared" si="12"/>
        <v>0</v>
      </c>
      <c r="E35" s="343">
        <f>SUM((C35*$E$4)+(7500/'EDl log'!$A$39))</f>
        <v>250</v>
      </c>
      <c r="F35" s="337"/>
      <c r="G35" s="5">
        <f t="shared" si="13"/>
        <v>600167</v>
      </c>
      <c r="H35" s="5">
        <f t="shared" si="14"/>
        <v>0</v>
      </c>
      <c r="I35" s="5">
        <f t="shared" si="0"/>
        <v>0</v>
      </c>
      <c r="J35" s="344">
        <f t="shared" si="1"/>
        <v>0</v>
      </c>
      <c r="K35" s="5">
        <f>'Swimming Pool quality check '!H35</f>
        <v>6294</v>
      </c>
      <c r="L35" s="84">
        <f t="shared" si="33"/>
        <v>0</v>
      </c>
      <c r="M35" s="424">
        <f t="shared" si="15"/>
        <v>457.44</v>
      </c>
      <c r="N35" s="535">
        <f t="shared" si="35"/>
        <v>0</v>
      </c>
      <c r="O35" s="424">
        <f t="shared" si="16"/>
        <v>529.52</v>
      </c>
      <c r="P35" s="535">
        <f t="shared" si="36"/>
        <v>0</v>
      </c>
      <c r="Q35" s="535">
        <f t="shared" si="37"/>
        <v>0</v>
      </c>
      <c r="R35" s="535"/>
      <c r="S35" s="535"/>
      <c r="T35" s="5">
        <f t="shared" si="18"/>
        <v>4868</v>
      </c>
      <c r="U35" s="5">
        <f t="shared" si="4"/>
        <v>0</v>
      </c>
      <c r="V35" s="5">
        <f t="shared" si="18"/>
        <v>409</v>
      </c>
      <c r="W35" s="334">
        <f t="shared" si="17"/>
        <v>0</v>
      </c>
      <c r="X35" s="5">
        <f t="shared" si="18"/>
        <v>144177</v>
      </c>
      <c r="Y35" s="334">
        <f t="shared" si="19"/>
        <v>0</v>
      </c>
      <c r="Z35" s="5">
        <f t="shared" si="18"/>
        <v>95118</v>
      </c>
      <c r="AA35" s="84">
        <f t="shared" si="20"/>
        <v>0</v>
      </c>
      <c r="AB35" s="5">
        <f t="shared" si="18"/>
        <v>268</v>
      </c>
      <c r="AC35" s="5">
        <f t="shared" si="18"/>
        <v>670</v>
      </c>
      <c r="AD35" s="84">
        <f t="shared" si="32"/>
        <v>0</v>
      </c>
      <c r="AE35" s="5">
        <f t="shared" si="18"/>
        <v>160.58000000000001</v>
      </c>
      <c r="AF35" s="84">
        <f t="shared" si="21"/>
        <v>0</v>
      </c>
      <c r="AG35" s="5">
        <f t="shared" si="18"/>
        <v>1664.26</v>
      </c>
      <c r="AH35" s="84">
        <f t="shared" si="22"/>
        <v>0</v>
      </c>
      <c r="AI35" s="84">
        <f t="shared" si="23"/>
        <v>0</v>
      </c>
      <c r="AJ35" s="336">
        <f t="shared" si="24"/>
        <v>0</v>
      </c>
      <c r="AK35" s="337">
        <f t="shared" si="5"/>
        <v>0</v>
      </c>
      <c r="AL35" s="337">
        <f t="shared" si="25"/>
        <v>0</v>
      </c>
      <c r="AM35" s="337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5">
        <f t="shared" si="26"/>
        <v>44012</v>
      </c>
      <c r="AS35" s="438">
        <f t="shared" si="38"/>
        <v>0.9</v>
      </c>
      <c r="AT35" s="205">
        <f t="shared" si="38"/>
        <v>125</v>
      </c>
      <c r="AU35" s="441">
        <f t="shared" si="34"/>
        <v>1.1000000000000001</v>
      </c>
      <c r="AV35" s="205">
        <f t="shared" si="34"/>
        <v>93</v>
      </c>
      <c r="AW35" s="5">
        <v>2.9</v>
      </c>
      <c r="AX35" s="205">
        <f t="shared" ref="AX35" si="50">AX34</f>
        <v>113</v>
      </c>
      <c r="AY35" s="442">
        <f t="shared" si="7"/>
        <v>112.5</v>
      </c>
      <c r="AZ35" s="442">
        <f t="shared" si="27"/>
        <v>102.30000000000001</v>
      </c>
      <c r="BA35" s="442">
        <f t="shared" si="28"/>
        <v>327.7</v>
      </c>
      <c r="BB35" s="21">
        <f t="shared" si="29"/>
        <v>0</v>
      </c>
      <c r="BC35" s="231">
        <f t="shared" si="29"/>
        <v>0</v>
      </c>
      <c r="BD35" s="231">
        <f t="shared" si="29"/>
        <v>0</v>
      </c>
      <c r="BE35" s="24">
        <f t="shared" si="31"/>
        <v>0</v>
      </c>
      <c r="BF35" s="97">
        <f t="shared" si="8"/>
        <v>0</v>
      </c>
      <c r="BG35" s="83">
        <f t="shared" si="9"/>
        <v>0</v>
      </c>
    </row>
    <row r="36" spans="1:59">
      <c r="C36" s="426">
        <f>SUM(C6:C35)</f>
        <v>0</v>
      </c>
      <c r="D36" s="332">
        <f>SUM(D6:D35)</f>
        <v>0</v>
      </c>
      <c r="F36" s="428">
        <f>SUM(F6:F35)</f>
        <v>0</v>
      </c>
      <c r="H36" s="426">
        <f>SUM(H6:H35)</f>
        <v>1193</v>
      </c>
      <c r="I36" s="426">
        <f>SUM(I6:I35)</f>
        <v>1193</v>
      </c>
      <c r="L36" s="275">
        <f>SUM(L7:L35)</f>
        <v>82</v>
      </c>
      <c r="Q36" s="514">
        <f>SUM(Q5:Q35)</f>
        <v>0</v>
      </c>
      <c r="U36" s="423">
        <f>SUM(U6:U35)</f>
        <v>38</v>
      </c>
      <c r="X36" s="333"/>
      <c r="Y36" s="332" t="e">
        <f>SUM(Y35,Y33,Y31,Y29,Y27,Y25,Y23,Y21,Y19,Y17,Y15,Y13,Y11,Y9,Y7+#REF!)</f>
        <v>#REF!</v>
      </c>
      <c r="AJ36" s="332">
        <f>SUM(AJ6:AJ35)</f>
        <v>320</v>
      </c>
      <c r="AK36" s="337" t="e">
        <f t="shared" si="5"/>
        <v>#REF!</v>
      </c>
      <c r="AL36" s="332">
        <f>SUM(AL6:AL35)</f>
        <v>318</v>
      </c>
      <c r="AP36" s="17"/>
      <c r="AQ36" s="17"/>
      <c r="AR36" s="17"/>
      <c r="AS36" s="230"/>
      <c r="AT36" s="5"/>
      <c r="AU36" s="230"/>
      <c r="AV36" s="17"/>
      <c r="AW36" s="232"/>
      <c r="AX36" s="232"/>
      <c r="AY36" s="232"/>
      <c r="AZ36" s="17"/>
      <c r="BA36" s="17"/>
      <c r="BB36" s="17"/>
      <c r="BC36" s="17"/>
      <c r="BD36" s="17"/>
    </row>
    <row r="37" spans="1:59">
      <c r="C37" s="1">
        <f>+C36*1.66</f>
        <v>0</v>
      </c>
      <c r="E37" s="342">
        <f>SUM(E6:E35)</f>
        <v>7500</v>
      </c>
      <c r="F37" s="431">
        <f>SUM(F6:F35)</f>
        <v>0</v>
      </c>
      <c r="H37" s="158">
        <v>7500</v>
      </c>
      <c r="I37" s="427">
        <f>SUM('General information '!G36/WATER!I36)</f>
        <v>6.2715004191114837E-2</v>
      </c>
      <c r="L37" s="158"/>
      <c r="O37" s="511">
        <f>SUM(Q36+I36)</f>
        <v>1193</v>
      </c>
      <c r="Z37" s="332" t="e">
        <f>SUM(Y36:AJ36)</f>
        <v>#REF!</v>
      </c>
      <c r="AK37" s="337">
        <f t="shared" si="5"/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72">
        <f>9*27</f>
        <v>243</v>
      </c>
      <c r="D38" s="428">
        <f>SUM(D21:D35)</f>
        <v>0</v>
      </c>
      <c r="F38" s="429">
        <f>SUM(F6:F35)</f>
        <v>0</v>
      </c>
      <c r="G38" s="1">
        <f>SUM(I36)</f>
        <v>1193</v>
      </c>
      <c r="H38" s="1">
        <f>SUM(H37+C37)</f>
        <v>7500</v>
      </c>
      <c r="K38" s="1">
        <f>SUM(H38/G38)</f>
        <v>6.2866722548197824</v>
      </c>
      <c r="AJ38" s="332">
        <f>SUM(C37-AK37)</f>
        <v>0</v>
      </c>
      <c r="AM38" s="359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6" activePane="bottomLeft" state="frozen"/>
      <selection pane="bottomLeft" activeCell="J24" sqref="J24"/>
    </sheetView>
  </sheetViews>
  <sheetFormatPr defaultRowHeight="15"/>
  <cols>
    <col min="1" max="1" width="11.85546875" style="502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1" t="s">
        <v>193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5" ht="15.75" customHeight="1" thickBot="1">
      <c r="A2" s="624"/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6"/>
    </row>
    <row r="3" spans="1:15" ht="9" customHeight="1" thickBot="1">
      <c r="A3" s="499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0"/>
      <c r="B4" s="150" t="s">
        <v>390</v>
      </c>
      <c r="C4" s="151" t="s">
        <v>158</v>
      </c>
      <c r="D4" s="148" t="s">
        <v>160</v>
      </c>
      <c r="E4" s="152" t="s">
        <v>159</v>
      </c>
      <c r="F4" s="522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1">
        <f>ELEC!C2</f>
        <v>43982</v>
      </c>
      <c r="B5" s="369">
        <f>'[2]General information '!B36</f>
        <v>24</v>
      </c>
      <c r="C5" s="369">
        <f>'[2]General information '!C36</f>
        <v>19</v>
      </c>
      <c r="D5" s="369">
        <f>'[2]General information '!D36</f>
        <v>21.5</v>
      </c>
      <c r="E5" s="369">
        <f>'[2]General information '!E36</f>
        <v>0.59</v>
      </c>
      <c r="F5" s="369">
        <f>'[2]General information '!F36</f>
        <v>1.7399999999999999E-2</v>
      </c>
      <c r="G5" s="369">
        <f>'[2]General information '!G36</f>
        <v>4.0019999999999998</v>
      </c>
      <c r="H5" s="369">
        <f>'[2]General information '!H36</f>
        <v>0</v>
      </c>
      <c r="I5" s="369">
        <f>'[2]General information '!I36</f>
        <v>0</v>
      </c>
      <c r="J5" s="369">
        <f>'[2]General information '!J36</f>
        <v>149</v>
      </c>
      <c r="K5" s="369">
        <f>'[2]General information '!K36</f>
        <v>149</v>
      </c>
      <c r="L5" s="369">
        <f>'[2]General information '!L36</f>
        <v>0</v>
      </c>
      <c r="M5" s="369">
        <f>'[2]General information '!M36</f>
        <v>0</v>
      </c>
      <c r="N5" s="369">
        <f>'[2]General information '!N36</f>
        <v>0</v>
      </c>
      <c r="O5" s="369">
        <f>'[2]General information '!O36</f>
        <v>0</v>
      </c>
    </row>
    <row r="6" spans="1:15">
      <c r="A6" s="501">
        <f>ELEC!C3</f>
        <v>43983</v>
      </c>
      <c r="B6" s="37">
        <v>25</v>
      </c>
      <c r="C6" s="37">
        <v>20</v>
      </c>
      <c r="D6" s="26">
        <f t="shared" ref="D6:D12" si="0">(C6+B6)/2</f>
        <v>22.5</v>
      </c>
      <c r="E6" s="350">
        <v>0.61</v>
      </c>
      <c r="F6" s="356">
        <v>2.1700000000000001E-2</v>
      </c>
      <c r="G6" s="246">
        <f t="shared" ref="G6:G12" si="1">F6*230</f>
        <v>4.9910000000000005</v>
      </c>
      <c r="H6" s="3">
        <v>0</v>
      </c>
      <c r="I6" s="3"/>
      <c r="J6" s="37">
        <v>137</v>
      </c>
      <c r="K6" s="270">
        <f t="shared" ref="K6:K26" si="2">+J6+H6</f>
        <v>137</v>
      </c>
      <c r="L6" s="3"/>
      <c r="M6" s="3"/>
      <c r="N6" s="156"/>
      <c r="O6" s="3"/>
    </row>
    <row r="7" spans="1:15">
      <c r="A7" s="501">
        <f>ELEC!C4</f>
        <v>43984</v>
      </c>
      <c r="B7" s="37">
        <v>24</v>
      </c>
      <c r="C7" s="37">
        <v>20</v>
      </c>
      <c r="D7" s="26">
        <f t="shared" si="0"/>
        <v>22</v>
      </c>
      <c r="E7" s="350">
        <v>0.6</v>
      </c>
      <c r="F7" s="356">
        <v>8.6999999999999994E-3</v>
      </c>
      <c r="G7" s="246">
        <f t="shared" si="1"/>
        <v>2.0009999999999999</v>
      </c>
      <c r="H7" s="3">
        <v>0</v>
      </c>
      <c r="I7" s="3"/>
      <c r="J7" s="37">
        <v>126</v>
      </c>
      <c r="K7" s="270">
        <f t="shared" si="2"/>
        <v>126</v>
      </c>
      <c r="L7" s="3"/>
      <c r="M7" s="3"/>
      <c r="N7" s="156"/>
      <c r="O7" s="3"/>
    </row>
    <row r="8" spans="1:15">
      <c r="A8" s="501">
        <f>ELEC!C5</f>
        <v>43985</v>
      </c>
      <c r="B8" s="37">
        <v>27</v>
      </c>
      <c r="C8" s="37">
        <v>19</v>
      </c>
      <c r="D8" s="26">
        <f t="shared" si="0"/>
        <v>23</v>
      </c>
      <c r="E8" s="350">
        <v>0.6</v>
      </c>
      <c r="F8" s="350">
        <v>2.6100000000000002E-2</v>
      </c>
      <c r="G8" s="246">
        <f t="shared" si="1"/>
        <v>6.0030000000000001</v>
      </c>
      <c r="H8" s="3"/>
      <c r="I8" s="3"/>
      <c r="J8" s="37">
        <v>172</v>
      </c>
      <c r="K8" s="270">
        <f t="shared" si="2"/>
        <v>172</v>
      </c>
      <c r="L8" s="3"/>
      <c r="M8" s="171"/>
      <c r="N8" s="156"/>
      <c r="O8" s="3"/>
    </row>
    <row r="9" spans="1:15">
      <c r="A9" s="501">
        <f>ELEC!C6</f>
        <v>43986</v>
      </c>
      <c r="B9" s="37">
        <v>26</v>
      </c>
      <c r="C9" s="37">
        <v>18</v>
      </c>
      <c r="D9" s="26">
        <f>(C9+B9)/2</f>
        <v>22</v>
      </c>
      <c r="E9" s="407">
        <v>0.62</v>
      </c>
      <c r="F9" s="407">
        <v>2.1700000000000001E-2</v>
      </c>
      <c r="G9" s="246">
        <f>F9*230</f>
        <v>4.9910000000000005</v>
      </c>
      <c r="H9" s="3">
        <v>0</v>
      </c>
      <c r="I9" s="3"/>
      <c r="J9" s="37">
        <v>182</v>
      </c>
      <c r="K9" s="270">
        <f>+J9+H9</f>
        <v>182</v>
      </c>
      <c r="L9" s="3"/>
      <c r="M9" s="3"/>
      <c r="N9" s="156"/>
      <c r="O9" s="3"/>
    </row>
    <row r="10" spans="1:15">
      <c r="A10" s="501">
        <f>ELEC!C7</f>
        <v>43987</v>
      </c>
      <c r="B10" s="37">
        <v>25</v>
      </c>
      <c r="C10" s="37">
        <v>17</v>
      </c>
      <c r="D10" s="26">
        <f t="shared" si="0"/>
        <v>21</v>
      </c>
      <c r="E10" s="367">
        <v>0.6</v>
      </c>
      <c r="F10" s="350">
        <v>1.2999999999999999E-2</v>
      </c>
      <c r="G10" s="246">
        <f t="shared" si="1"/>
        <v>2.9899999999999998</v>
      </c>
      <c r="H10" s="3">
        <v>0</v>
      </c>
      <c r="I10" s="3"/>
      <c r="J10" s="37">
        <v>292</v>
      </c>
      <c r="K10" s="270">
        <f t="shared" si="2"/>
        <v>292</v>
      </c>
      <c r="L10" s="3"/>
      <c r="M10" s="3"/>
      <c r="N10" s="156"/>
      <c r="O10" s="3"/>
    </row>
    <row r="11" spans="1:15">
      <c r="A11" s="501">
        <f>ELEC!C8</f>
        <v>43988</v>
      </c>
      <c r="B11" s="37">
        <v>26</v>
      </c>
      <c r="C11" s="37">
        <v>18</v>
      </c>
      <c r="D11" s="26">
        <f t="shared" si="0"/>
        <v>22</v>
      </c>
      <c r="E11" s="407">
        <v>0.63</v>
      </c>
      <c r="F11" s="350">
        <v>2.1700000000000001E-2</v>
      </c>
      <c r="G11" s="246">
        <f t="shared" si="1"/>
        <v>4.9910000000000005</v>
      </c>
      <c r="H11" s="3">
        <v>0</v>
      </c>
      <c r="I11" s="3"/>
      <c r="J11" s="37">
        <v>61</v>
      </c>
      <c r="K11" s="270">
        <f>+J11+H11</f>
        <v>61</v>
      </c>
      <c r="L11" s="3"/>
      <c r="M11" s="3"/>
      <c r="N11" s="156"/>
      <c r="O11" s="3"/>
    </row>
    <row r="12" spans="1:15">
      <c r="A12" s="501">
        <f>ELEC!C9</f>
        <v>43989</v>
      </c>
      <c r="B12" s="37">
        <v>27</v>
      </c>
      <c r="C12" s="37">
        <v>21</v>
      </c>
      <c r="D12" s="26">
        <f t="shared" si="0"/>
        <v>24</v>
      </c>
      <c r="E12" s="407">
        <v>0.7</v>
      </c>
      <c r="F12" s="407">
        <v>1.7399999999999999E-2</v>
      </c>
      <c r="G12" s="246">
        <f t="shared" si="1"/>
        <v>4.0019999999999998</v>
      </c>
      <c r="H12" s="3"/>
      <c r="I12" s="3"/>
      <c r="J12" s="37">
        <v>206</v>
      </c>
      <c r="K12" s="270">
        <f t="shared" si="2"/>
        <v>206</v>
      </c>
      <c r="L12" s="3"/>
      <c r="M12" s="3"/>
      <c r="N12" s="156"/>
      <c r="O12" s="3"/>
    </row>
    <row r="13" spans="1:15">
      <c r="A13" s="501">
        <f>ELEC!C10</f>
        <v>43990</v>
      </c>
      <c r="B13" s="37">
        <v>26</v>
      </c>
      <c r="C13" s="37">
        <v>22</v>
      </c>
      <c r="D13" s="26">
        <f>(C13+B13)/2</f>
        <v>24</v>
      </c>
      <c r="E13" s="367">
        <v>0.72</v>
      </c>
      <c r="F13" s="367">
        <v>1.2999999999999999E-2</v>
      </c>
      <c r="G13" s="246">
        <f>F13*230</f>
        <v>2.9899999999999998</v>
      </c>
      <c r="H13" s="3">
        <v>0</v>
      </c>
      <c r="I13" s="3"/>
      <c r="J13" s="37">
        <v>115</v>
      </c>
      <c r="K13" s="270">
        <f t="shared" si="2"/>
        <v>115</v>
      </c>
      <c r="L13" s="3"/>
      <c r="M13" s="3"/>
      <c r="N13" s="156"/>
      <c r="O13" s="3"/>
    </row>
    <row r="14" spans="1:15">
      <c r="A14" s="501">
        <f>ELEC!C11</f>
        <v>43991</v>
      </c>
      <c r="B14" s="37">
        <v>28</v>
      </c>
      <c r="C14" s="37">
        <v>20</v>
      </c>
      <c r="D14" s="26">
        <f t="shared" ref="D14:D35" si="3">(C14+B14)/2</f>
        <v>24</v>
      </c>
      <c r="E14" s="350">
        <v>0.68</v>
      </c>
      <c r="F14" s="350">
        <v>1.7399999999999999E-2</v>
      </c>
      <c r="G14" s="246">
        <f t="shared" ref="G14:G35" si="4">F14*230</f>
        <v>4.0019999999999998</v>
      </c>
      <c r="H14" s="3"/>
      <c r="I14" s="3"/>
      <c r="J14" s="37">
        <v>186</v>
      </c>
      <c r="K14" s="270">
        <f t="shared" si="2"/>
        <v>186</v>
      </c>
      <c r="L14" s="3"/>
      <c r="M14" s="3"/>
      <c r="N14" s="156"/>
      <c r="O14" s="3"/>
    </row>
    <row r="15" spans="1:15">
      <c r="A15" s="501">
        <f>ELEC!C12</f>
        <v>43992</v>
      </c>
      <c r="B15" s="37">
        <v>28</v>
      </c>
      <c r="C15" s="37">
        <v>20</v>
      </c>
      <c r="D15" s="26">
        <f t="shared" si="3"/>
        <v>24</v>
      </c>
      <c r="E15" s="350">
        <v>0.65</v>
      </c>
      <c r="F15" s="350">
        <v>1.7399999999999999E-2</v>
      </c>
      <c r="G15" s="246">
        <f>F15*230</f>
        <v>4.0019999999999998</v>
      </c>
      <c r="H15" s="3"/>
      <c r="I15" s="3"/>
      <c r="J15" s="37">
        <v>177</v>
      </c>
      <c r="K15" s="270">
        <f>+J15+H15</f>
        <v>177</v>
      </c>
      <c r="L15" s="3"/>
      <c r="M15" s="3"/>
      <c r="N15" s="156"/>
      <c r="O15" s="3"/>
    </row>
    <row r="16" spans="1:15">
      <c r="A16" s="501">
        <f>ELEC!C13</f>
        <v>43993</v>
      </c>
      <c r="B16" s="37">
        <v>28</v>
      </c>
      <c r="C16" s="37">
        <v>20</v>
      </c>
      <c r="D16" s="26">
        <f t="shared" si="3"/>
        <v>24</v>
      </c>
      <c r="E16" s="350">
        <v>0.68</v>
      </c>
      <c r="F16" s="350">
        <v>1.2999999999999999E-2</v>
      </c>
      <c r="G16" s="246">
        <f t="shared" si="4"/>
        <v>2.9899999999999998</v>
      </c>
      <c r="H16" s="3"/>
      <c r="I16" s="3"/>
      <c r="J16" s="37">
        <v>162</v>
      </c>
      <c r="K16" s="270">
        <f>+J16+H16</f>
        <v>162</v>
      </c>
      <c r="L16" s="3"/>
      <c r="M16" s="3"/>
      <c r="N16" s="156"/>
      <c r="O16" s="3"/>
    </row>
    <row r="17" spans="1:15">
      <c r="A17" s="501">
        <f>ELEC!C14</f>
        <v>43994</v>
      </c>
      <c r="B17" s="37">
        <v>27</v>
      </c>
      <c r="C17" s="37">
        <v>20</v>
      </c>
      <c r="D17" s="26">
        <f t="shared" si="3"/>
        <v>23.5</v>
      </c>
      <c r="E17" s="350">
        <v>0.42</v>
      </c>
      <c r="F17" s="350">
        <v>0.03</v>
      </c>
      <c r="G17" s="246">
        <f t="shared" si="4"/>
        <v>6.8999999999999995</v>
      </c>
      <c r="H17" s="3"/>
      <c r="I17" s="3"/>
      <c r="J17" s="37">
        <v>173</v>
      </c>
      <c r="K17" s="270">
        <f t="shared" si="2"/>
        <v>173</v>
      </c>
      <c r="L17" s="3"/>
      <c r="M17" s="3"/>
      <c r="N17" s="156"/>
      <c r="O17" s="3"/>
    </row>
    <row r="18" spans="1:15">
      <c r="A18" s="501">
        <f>ELEC!C15</f>
        <v>43995</v>
      </c>
      <c r="B18" s="37">
        <v>25</v>
      </c>
      <c r="C18" s="37">
        <v>20</v>
      </c>
      <c r="D18" s="26">
        <f t="shared" si="3"/>
        <v>22.5</v>
      </c>
      <c r="E18" s="443">
        <v>0.47</v>
      </c>
      <c r="F18" s="350">
        <v>1.7399999999999999E-2</v>
      </c>
      <c r="G18" s="246">
        <f t="shared" si="4"/>
        <v>4.0019999999999998</v>
      </c>
      <c r="H18" s="3"/>
      <c r="I18" s="3"/>
      <c r="J18" s="37">
        <v>114</v>
      </c>
      <c r="K18" s="270">
        <f t="shared" si="2"/>
        <v>114</v>
      </c>
      <c r="L18" s="3"/>
      <c r="M18" s="3"/>
      <c r="N18" s="156"/>
      <c r="O18" s="3"/>
    </row>
    <row r="19" spans="1:15">
      <c r="A19" s="501">
        <f>ELEC!C16</f>
        <v>43996</v>
      </c>
      <c r="B19" s="37">
        <v>26</v>
      </c>
      <c r="C19" s="37">
        <v>21</v>
      </c>
      <c r="D19" s="26">
        <f t="shared" si="3"/>
        <v>23.5</v>
      </c>
      <c r="E19" s="350">
        <v>0.65</v>
      </c>
      <c r="F19" s="350">
        <v>1.2999999999999999E-2</v>
      </c>
      <c r="G19" s="246">
        <f t="shared" si="4"/>
        <v>2.9899999999999998</v>
      </c>
      <c r="H19" s="3">
        <v>0</v>
      </c>
      <c r="I19" s="3"/>
      <c r="J19" s="37">
        <v>202</v>
      </c>
      <c r="K19" s="270">
        <f t="shared" si="2"/>
        <v>202</v>
      </c>
      <c r="L19" s="3"/>
      <c r="M19" s="3"/>
      <c r="N19" s="156"/>
      <c r="O19" s="3"/>
    </row>
    <row r="20" spans="1:15">
      <c r="A20" s="501">
        <f>ELEC!C17</f>
        <v>43997</v>
      </c>
      <c r="B20" s="37">
        <v>26</v>
      </c>
      <c r="C20" s="37">
        <v>20</v>
      </c>
      <c r="D20" s="26">
        <f t="shared" si="3"/>
        <v>23</v>
      </c>
      <c r="E20" s="350">
        <v>0.62</v>
      </c>
      <c r="F20" s="350">
        <v>1.2999999999999999E-2</v>
      </c>
      <c r="G20" s="246">
        <f t="shared" si="4"/>
        <v>2.9899999999999998</v>
      </c>
      <c r="H20" s="3">
        <v>0</v>
      </c>
      <c r="I20" s="3"/>
      <c r="J20" s="37">
        <v>158</v>
      </c>
      <c r="K20" s="270">
        <f t="shared" si="2"/>
        <v>158</v>
      </c>
      <c r="L20" s="3"/>
      <c r="M20" s="3"/>
      <c r="N20" s="156"/>
      <c r="O20" s="3"/>
    </row>
    <row r="21" spans="1:15">
      <c r="A21" s="501">
        <f>ELEC!C18</f>
        <v>43998</v>
      </c>
      <c r="B21" s="37">
        <v>26</v>
      </c>
      <c r="C21" s="37">
        <v>21</v>
      </c>
      <c r="D21" s="26">
        <f>(C21+B21)/2</f>
        <v>23.5</v>
      </c>
      <c r="E21" s="350">
        <v>0.65</v>
      </c>
      <c r="F21" s="350">
        <v>2.1700000000000001E-2</v>
      </c>
      <c r="G21" s="246">
        <f t="shared" si="4"/>
        <v>4.9910000000000005</v>
      </c>
      <c r="H21" s="3">
        <v>0</v>
      </c>
      <c r="I21" s="3"/>
      <c r="J21" s="37">
        <v>228</v>
      </c>
      <c r="K21" s="270">
        <f t="shared" si="2"/>
        <v>228</v>
      </c>
      <c r="L21" s="3"/>
      <c r="M21" s="3"/>
      <c r="N21" s="156"/>
      <c r="O21" s="3"/>
    </row>
    <row r="22" spans="1:15">
      <c r="A22" s="501">
        <f>ELEC!C19</f>
        <v>43999</v>
      </c>
      <c r="B22" s="37">
        <v>27</v>
      </c>
      <c r="C22" s="37">
        <v>22</v>
      </c>
      <c r="D22" s="26">
        <f t="shared" si="3"/>
        <v>24.5</v>
      </c>
      <c r="E22" s="350">
        <v>0.72</v>
      </c>
      <c r="F22" s="407">
        <v>1.7399999999999999E-2</v>
      </c>
      <c r="G22" s="246">
        <f t="shared" si="4"/>
        <v>4.0019999999999998</v>
      </c>
      <c r="H22" s="3">
        <v>0</v>
      </c>
      <c r="I22" s="3"/>
      <c r="J22" s="37">
        <v>234</v>
      </c>
      <c r="K22" s="270">
        <f t="shared" si="2"/>
        <v>234</v>
      </c>
      <c r="L22" s="3"/>
      <c r="M22" s="3"/>
      <c r="N22" s="156"/>
      <c r="O22" s="3"/>
    </row>
    <row r="23" spans="1:15">
      <c r="A23" s="501">
        <f>ELEC!C20</f>
        <v>44000</v>
      </c>
      <c r="B23" s="37">
        <v>27</v>
      </c>
      <c r="C23" s="37">
        <v>24</v>
      </c>
      <c r="D23" s="26">
        <f>(C23+B23)/2</f>
        <v>25.5</v>
      </c>
      <c r="E23" s="350">
        <v>0.65</v>
      </c>
      <c r="F23" s="350">
        <v>2.1700000000000001E-2</v>
      </c>
      <c r="G23" s="246">
        <f t="shared" si="4"/>
        <v>4.9910000000000005</v>
      </c>
      <c r="H23" s="3"/>
      <c r="I23" s="3"/>
      <c r="J23" s="37">
        <v>273</v>
      </c>
      <c r="K23" s="270">
        <f t="shared" si="2"/>
        <v>273</v>
      </c>
      <c r="L23" s="3"/>
      <c r="M23" s="3"/>
      <c r="N23" s="156"/>
      <c r="O23" s="3"/>
    </row>
    <row r="24" spans="1:15">
      <c r="A24" s="501">
        <f>ELEC!C21</f>
        <v>44001</v>
      </c>
      <c r="B24" s="37"/>
      <c r="C24" s="37"/>
      <c r="D24" s="26">
        <f t="shared" si="3"/>
        <v>0</v>
      </c>
      <c r="E24" s="350"/>
      <c r="F24" s="350"/>
      <c r="G24" s="246">
        <f t="shared" si="4"/>
        <v>0</v>
      </c>
      <c r="H24" s="3"/>
      <c r="I24" s="3"/>
      <c r="J24" s="37"/>
      <c r="K24" s="270">
        <f t="shared" si="2"/>
        <v>0</v>
      </c>
      <c r="L24" s="3"/>
      <c r="M24" s="3"/>
      <c r="N24" s="156"/>
      <c r="O24" s="3"/>
    </row>
    <row r="25" spans="1:15">
      <c r="A25" s="501">
        <f>ELEC!C22</f>
        <v>44002</v>
      </c>
      <c r="B25" s="37"/>
      <c r="C25" s="37"/>
      <c r="D25" s="26">
        <f t="shared" si="3"/>
        <v>0</v>
      </c>
      <c r="E25" s="350"/>
      <c r="F25" s="350"/>
      <c r="G25" s="246">
        <f t="shared" si="4"/>
        <v>0</v>
      </c>
      <c r="H25" s="3"/>
      <c r="I25" s="3"/>
      <c r="J25" s="37"/>
      <c r="K25" s="270">
        <f t="shared" si="2"/>
        <v>0</v>
      </c>
      <c r="L25" s="3"/>
      <c r="M25" s="3"/>
      <c r="N25" s="156"/>
      <c r="O25" s="3"/>
    </row>
    <row r="26" spans="1:15">
      <c r="A26" s="501">
        <f>ELEC!C23</f>
        <v>44003</v>
      </c>
      <c r="B26" s="37"/>
      <c r="C26" s="37"/>
      <c r="D26" s="26">
        <f>(C26+B26)/2</f>
        <v>0</v>
      </c>
      <c r="E26" s="350"/>
      <c r="F26" s="350"/>
      <c r="G26" s="246">
        <f t="shared" si="4"/>
        <v>0</v>
      </c>
      <c r="H26" s="3"/>
      <c r="I26" s="3"/>
      <c r="J26" s="37"/>
      <c r="K26" s="270">
        <f t="shared" si="2"/>
        <v>0</v>
      </c>
      <c r="L26" s="3"/>
      <c r="M26" s="3"/>
      <c r="N26" s="156"/>
      <c r="O26" s="3"/>
    </row>
    <row r="27" spans="1:15">
      <c r="A27" s="501">
        <f>ELEC!C24</f>
        <v>44004</v>
      </c>
      <c r="B27" s="37"/>
      <c r="C27" s="37"/>
      <c r="D27" s="26">
        <f t="shared" si="3"/>
        <v>0</v>
      </c>
      <c r="E27" s="350"/>
      <c r="F27" s="350"/>
      <c r="G27" s="246">
        <f t="shared" si="4"/>
        <v>0</v>
      </c>
      <c r="H27" s="3"/>
      <c r="I27" s="3"/>
      <c r="J27" s="37"/>
      <c r="K27" s="270">
        <f>+J27+H27+I27</f>
        <v>0</v>
      </c>
      <c r="L27" s="3"/>
      <c r="M27" s="3"/>
      <c r="N27" s="156"/>
      <c r="O27" s="3"/>
    </row>
    <row r="28" spans="1:15">
      <c r="A28" s="501">
        <f>ELEC!C25</f>
        <v>44005</v>
      </c>
      <c r="B28" s="37"/>
      <c r="C28" s="37"/>
      <c r="D28" s="26">
        <f t="shared" si="3"/>
        <v>0</v>
      </c>
      <c r="E28" s="350"/>
      <c r="F28" s="350"/>
      <c r="G28" s="246">
        <f t="shared" si="4"/>
        <v>0</v>
      </c>
      <c r="H28" s="3"/>
      <c r="I28" s="3"/>
      <c r="J28" s="37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01">
        <f>ELEC!C26</f>
        <v>44006</v>
      </c>
      <c r="B29" s="37"/>
      <c r="C29" s="37"/>
      <c r="D29" s="26">
        <f t="shared" si="3"/>
        <v>0</v>
      </c>
      <c r="E29" s="350"/>
      <c r="F29" s="350"/>
      <c r="G29" s="246">
        <f t="shared" si="4"/>
        <v>0</v>
      </c>
      <c r="H29" s="3"/>
      <c r="I29" s="3"/>
      <c r="J29" s="37"/>
      <c r="K29" s="270">
        <f t="shared" si="5"/>
        <v>0</v>
      </c>
      <c r="L29" s="3"/>
      <c r="M29" s="3"/>
      <c r="N29" s="156"/>
      <c r="O29" s="3"/>
    </row>
    <row r="30" spans="1:15">
      <c r="A30" s="501">
        <f>ELEC!C27</f>
        <v>44007</v>
      </c>
      <c r="B30" s="37"/>
      <c r="C30" s="37"/>
      <c r="D30" s="26">
        <f t="shared" si="3"/>
        <v>0</v>
      </c>
      <c r="E30" s="350"/>
      <c r="F30" s="407"/>
      <c r="G30" s="246">
        <f t="shared" si="4"/>
        <v>0</v>
      </c>
      <c r="H30" s="3"/>
      <c r="I30" s="3"/>
      <c r="J30" s="37"/>
      <c r="K30" s="270">
        <f t="shared" si="5"/>
        <v>0</v>
      </c>
      <c r="L30" s="3"/>
      <c r="M30" s="3"/>
      <c r="N30" s="156"/>
      <c r="O30" s="3"/>
    </row>
    <row r="31" spans="1:15">
      <c r="A31" s="501">
        <f>ELEC!C28</f>
        <v>44008</v>
      </c>
      <c r="B31" s="37"/>
      <c r="C31" s="37"/>
      <c r="D31" s="3">
        <f t="shared" si="3"/>
        <v>0</v>
      </c>
      <c r="E31" s="351"/>
      <c r="F31" s="290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01">
        <f>ELEC!C29</f>
        <v>44009</v>
      </c>
      <c r="B32" s="37"/>
      <c r="C32" s="37"/>
      <c r="D32" s="289">
        <f>(C32+B32)/2</f>
        <v>0</v>
      </c>
      <c r="E32" s="351"/>
      <c r="F32" s="355"/>
      <c r="G32" s="246">
        <f t="shared" si="4"/>
        <v>0</v>
      </c>
      <c r="H32" s="3"/>
      <c r="I32" s="3"/>
      <c r="J32" s="37"/>
      <c r="K32" s="270">
        <f t="shared" si="5"/>
        <v>0</v>
      </c>
      <c r="L32" s="3"/>
      <c r="M32" s="3"/>
      <c r="N32" s="156"/>
      <c r="O32" s="3"/>
    </row>
    <row r="33" spans="1:15">
      <c r="A33" s="501">
        <f>ELEC!C30</f>
        <v>44010</v>
      </c>
      <c r="B33" s="37"/>
      <c r="C33" s="37"/>
      <c r="D33" s="26">
        <f t="shared" si="3"/>
        <v>0</v>
      </c>
      <c r="E33" s="350"/>
      <c r="F33" s="350"/>
      <c r="G33" s="246">
        <f t="shared" si="4"/>
        <v>0</v>
      </c>
      <c r="H33" s="3"/>
      <c r="I33" s="3"/>
      <c r="J33" s="37"/>
      <c r="K33" s="270">
        <f t="shared" si="5"/>
        <v>0</v>
      </c>
      <c r="L33" s="3"/>
      <c r="M33" s="3"/>
      <c r="N33" s="156"/>
      <c r="O33" s="3"/>
    </row>
    <row r="34" spans="1:15">
      <c r="A34" s="501">
        <f>ELEC!C31</f>
        <v>44011</v>
      </c>
      <c r="B34" s="37"/>
      <c r="C34" s="37"/>
      <c r="D34" s="26">
        <f t="shared" si="3"/>
        <v>0</v>
      </c>
      <c r="E34" s="350"/>
      <c r="F34" s="350"/>
      <c r="G34" s="246">
        <f t="shared" si="4"/>
        <v>0</v>
      </c>
      <c r="H34" s="3"/>
      <c r="I34" s="3"/>
      <c r="J34" s="37"/>
      <c r="K34" s="270">
        <f t="shared" si="5"/>
        <v>0</v>
      </c>
      <c r="L34" s="3"/>
      <c r="M34" s="3"/>
      <c r="N34" s="156"/>
      <c r="O34" s="3"/>
    </row>
    <row r="35" spans="1:15">
      <c r="A35" s="501">
        <f>ELEC!C32</f>
        <v>44012</v>
      </c>
      <c r="B35" s="37"/>
      <c r="C35" s="37"/>
      <c r="D35" s="26">
        <f t="shared" si="3"/>
        <v>0</v>
      </c>
      <c r="E35" s="367"/>
      <c r="F35" s="367"/>
      <c r="G35" s="246">
        <f t="shared" si="4"/>
        <v>0</v>
      </c>
      <c r="H35" s="3"/>
      <c r="I35" s="3"/>
      <c r="J35" s="37"/>
      <c r="K35" s="270">
        <f t="shared" si="5"/>
        <v>0</v>
      </c>
      <c r="L35" s="3"/>
      <c r="M35" s="3"/>
      <c r="N35" s="156"/>
      <c r="O35" s="3"/>
    </row>
    <row r="36" spans="1:15">
      <c r="D36" s="268"/>
      <c r="F36" s="551">
        <f>AVERAGE(F6:F35)</f>
        <v>1.8072222222222222E-2</v>
      </c>
      <c r="G36" s="207">
        <f>SUM(G6:G35)</f>
        <v>74.819000000000003</v>
      </c>
    </row>
    <row r="37" spans="1:15">
      <c r="D37" s="268">
        <f>SUM(D6:D35)/'EDl log'!A37</f>
        <v>23.25</v>
      </c>
      <c r="F37" s="215"/>
    </row>
    <row r="40" spans="1:15">
      <c r="I40" s="425" t="s">
        <v>316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topLeftCell="A6" zoomScale="90" zoomScaleNormal="90" workbookViewId="0">
      <pane xSplit="1" topLeftCell="AO1" activePane="topRight" state="frozen"/>
      <selection pane="topRight" activeCell="AR24" sqref="AR24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20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9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9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29" t="s">
        <v>108</v>
      </c>
      <c r="AS3" s="629" t="s">
        <v>234</v>
      </c>
      <c r="AT3" s="627" t="s">
        <v>302</v>
      </c>
      <c r="AU3" s="628"/>
      <c r="AV3" s="31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0"/>
      <c r="AS4" s="630"/>
      <c r="AT4" s="3" t="s">
        <v>71</v>
      </c>
      <c r="AU4" s="3" t="s">
        <v>222</v>
      </c>
      <c r="AV4" s="314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0">
        <f>ELEC!C2</f>
        <v>43982</v>
      </c>
      <c r="B5" s="554">
        <f>[2]tanks!B36</f>
        <v>179</v>
      </c>
      <c r="C5" s="554">
        <f>[2]tanks!C36</f>
        <v>3851.3870967741937</v>
      </c>
      <c r="D5" s="554">
        <f>[2]tanks!D36</f>
        <v>179</v>
      </c>
      <c r="E5" s="554">
        <f>[2]tanks!E36</f>
        <v>3851.3870967741937</v>
      </c>
      <c r="F5" s="554">
        <f>[2]tanks!F36</f>
        <v>179</v>
      </c>
      <c r="G5" s="554">
        <f>[2]tanks!G36</f>
        <v>3851.3870967741937</v>
      </c>
      <c r="H5" s="554">
        <f>[2]tanks!H36</f>
        <v>179</v>
      </c>
      <c r="I5" s="554">
        <f>[2]tanks!I36</f>
        <v>3851.3870967741937</v>
      </c>
      <c r="J5" s="554">
        <f>[2]tanks!J36</f>
        <v>179</v>
      </c>
      <c r="K5" s="554">
        <f>[2]tanks!K36</f>
        <v>3851.3870967741937</v>
      </c>
      <c r="L5" s="554">
        <f>[2]tanks!L36</f>
        <v>179</v>
      </c>
      <c r="M5" s="554">
        <f>[2]tanks!M36</f>
        <v>3851.3870967741937</v>
      </c>
      <c r="N5" s="554">
        <f>[2]tanks!N36</f>
        <v>179</v>
      </c>
      <c r="O5" s="554">
        <f>[2]tanks!O36</f>
        <v>3851.3870967741937</v>
      </c>
      <c r="P5" s="554">
        <f>[2]tanks!P36</f>
        <v>179</v>
      </c>
      <c r="Q5" s="554">
        <f>[2]tanks!Q36</f>
        <v>3851.3870967741937</v>
      </c>
      <c r="R5" s="554">
        <f>[2]tanks!R36</f>
        <v>179</v>
      </c>
      <c r="S5" s="554">
        <f>[2]tanks!S36</f>
        <v>3851.3870967741937</v>
      </c>
      <c r="T5" s="554">
        <f>[2]tanks!T36</f>
        <v>179</v>
      </c>
      <c r="U5" s="554">
        <f>[2]tanks!U36</f>
        <v>3851.3870967741937</v>
      </c>
      <c r="V5" s="554">
        <f>[2]tanks!V36</f>
        <v>179</v>
      </c>
      <c r="W5" s="554">
        <f>[2]tanks!W36</f>
        <v>3851.3870967741937</v>
      </c>
      <c r="X5" s="554">
        <f>[2]tanks!X36</f>
        <v>0.57741935483870976</v>
      </c>
      <c r="Y5" s="554">
        <f>[2]tanks!Y36</f>
        <v>42365.258064516136</v>
      </c>
      <c r="Z5" s="554">
        <f>[2]tanks!Z36</f>
        <v>186</v>
      </c>
      <c r="AA5" s="554">
        <f>[2]tanks!AA36</f>
        <v>1860</v>
      </c>
      <c r="AB5" s="554">
        <f>[2]tanks!AB36</f>
        <v>186</v>
      </c>
      <c r="AC5" s="554">
        <f>[2]tanks!AC36</f>
        <v>1860</v>
      </c>
      <c r="AD5" s="554">
        <f>[2]tanks!AD36</f>
        <v>186</v>
      </c>
      <c r="AE5" s="554">
        <f>[2]tanks!AE36</f>
        <v>1860</v>
      </c>
      <c r="AF5" s="554">
        <f>[2]tanks!AF36</f>
        <v>186</v>
      </c>
      <c r="AG5" s="554">
        <f>[2]tanks!AG36</f>
        <v>1860</v>
      </c>
      <c r="AH5" s="554">
        <f>[2]tanks!AH36</f>
        <v>186</v>
      </c>
      <c r="AI5" s="554">
        <f>[2]tanks!AI36</f>
        <v>1860</v>
      </c>
      <c r="AJ5" s="554">
        <f>[2]tanks!AJ36</f>
        <v>186</v>
      </c>
      <c r="AK5" s="554">
        <f>[2]tanks!AK36</f>
        <v>1860</v>
      </c>
      <c r="AL5" s="554">
        <f>[2]tanks!AL36</f>
        <v>186</v>
      </c>
      <c r="AM5" s="554">
        <f>[2]tanks!AM36</f>
        <v>1860</v>
      </c>
      <c r="AN5" s="524">
        <f>[2]tanks!AN36</f>
        <v>0.66428571428571426</v>
      </c>
      <c r="AO5" s="554">
        <f>[2]tanks!AO36</f>
        <v>13020</v>
      </c>
      <c r="AP5" s="554">
        <f>[2]tanks!AP36</f>
        <v>0</v>
      </c>
      <c r="AQ5" s="524">
        <f>[2]tanks!AQ36</f>
        <v>0.59573258109622607</v>
      </c>
      <c r="AR5" s="554">
        <f>[2]tanks!AR36</f>
        <v>55385.258064516136</v>
      </c>
      <c r="AS5" s="554">
        <f>[2]tanks!AS36</f>
        <v>-1005.0354838709609</v>
      </c>
      <c r="AT5" s="554">
        <f>[2]tanks!AT36</f>
        <v>0</v>
      </c>
      <c r="AU5" s="554">
        <f>[2]tanks!AU36</f>
        <v>0</v>
      </c>
      <c r="AV5" s="554">
        <f>[2]tanks!AV36</f>
        <v>0.23499999999999999</v>
      </c>
      <c r="AW5" s="554">
        <f>[2]tanks!AW36</f>
        <v>-358</v>
      </c>
      <c r="AX5" s="554">
        <f>[2]tanks!AX36</f>
        <v>-647.03548387096089</v>
      </c>
      <c r="AY5" s="554">
        <f>[2]tanks!AY36</f>
        <v>-1005.0354838709609</v>
      </c>
      <c r="AZ5" s="524">
        <f>[2]tanks!AZ36</f>
        <v>1.7399999999999999E-2</v>
      </c>
      <c r="BA5" s="567">
        <f>[2]tanks!BA36</f>
        <v>21.5</v>
      </c>
      <c r="BB5" s="524">
        <f>[2]tanks!BB36</f>
        <v>0.59</v>
      </c>
      <c r="BC5" s="554">
        <f>[2]tanks!BC36</f>
        <v>0</v>
      </c>
      <c r="BD5" s="554">
        <f>[2]tanks!BD36</f>
        <v>0</v>
      </c>
      <c r="BE5" s="554">
        <f>[2]tanks!BE36</f>
        <v>0</v>
      </c>
      <c r="BF5" s="554">
        <f>[2]tanks!BF36</f>
        <v>0</v>
      </c>
      <c r="BG5" s="554">
        <f>[2]tanks!BG36</f>
        <v>0</v>
      </c>
      <c r="BH5" s="554">
        <f>[2]tanks!BH36</f>
        <v>0</v>
      </c>
      <c r="BI5" s="207"/>
    </row>
    <row r="6" spans="1:61">
      <c r="A6" s="460">
        <f>ELEC!C3</f>
        <v>43983</v>
      </c>
      <c r="B6">
        <f>'B5'!B5</f>
        <v>175</v>
      </c>
      <c r="C6" s="207">
        <f>B6*$B$4</f>
        <v>3765.322580645161</v>
      </c>
      <c r="D6">
        <f>SUM(B6)</f>
        <v>175</v>
      </c>
      <c r="E6" s="207">
        <f>D6*$B$4</f>
        <v>3765.322580645161</v>
      </c>
      <c r="F6">
        <f>SUM(D6)</f>
        <v>175</v>
      </c>
      <c r="G6" s="207">
        <f t="shared" ref="G6:G35" si="1">F6*$B$4</f>
        <v>3765.322580645161</v>
      </c>
      <c r="H6" s="207">
        <f>SUM(F6)</f>
        <v>175</v>
      </c>
      <c r="I6" s="207">
        <f t="shared" ref="I6:I35" si="2">H6*$B$4</f>
        <v>3765.322580645161</v>
      </c>
      <c r="J6" s="207">
        <f>SUM(H6)</f>
        <v>175</v>
      </c>
      <c r="K6" s="207">
        <f t="shared" ref="K6:K35" si="3">J6*$B$4</f>
        <v>3765.322580645161</v>
      </c>
      <c r="L6" s="207">
        <f>SUM(J6)</f>
        <v>175</v>
      </c>
      <c r="M6" s="207">
        <f t="shared" ref="M6:M35" si="4">L6*$B$4</f>
        <v>3765.322580645161</v>
      </c>
      <c r="N6" s="207">
        <f>SUM(L6)</f>
        <v>175</v>
      </c>
      <c r="O6" s="207">
        <f t="shared" ref="O6:O35" si="5">N6*$B$4</f>
        <v>3765.322580645161</v>
      </c>
      <c r="P6" s="207">
        <f>SUM(N6)</f>
        <v>175</v>
      </c>
      <c r="Q6" s="207">
        <f t="shared" ref="Q6:Q35" si="6">P6*$B$4</f>
        <v>3765.322580645161</v>
      </c>
      <c r="R6" s="207">
        <f>SUM(P6)</f>
        <v>175</v>
      </c>
      <c r="S6" s="207">
        <f t="shared" ref="S6:S35" si="7">R6*$B$4</f>
        <v>3765.322580645161</v>
      </c>
      <c r="T6" s="207">
        <f>SUM(R6)</f>
        <v>175</v>
      </c>
      <c r="U6" s="207">
        <f t="shared" ref="U6:U35" si="8">T6*$B$4</f>
        <v>3765.322580645161</v>
      </c>
      <c r="V6" s="207">
        <f>SUM(T6)</f>
        <v>175</v>
      </c>
      <c r="W6" s="207">
        <f t="shared" ref="W6:W35" si="9">V6*$B$4</f>
        <v>3765.322580645161</v>
      </c>
      <c r="X6" s="35">
        <f t="shared" ref="X6:X29" si="10">SUM(Y6/73370)</f>
        <v>0.5645161290322579</v>
      </c>
      <c r="Y6" s="36">
        <f>SUM(C6+E6+G6+I6+K6+M6+O6+Q6+S6+U6+W6)</f>
        <v>41418.548387096758</v>
      </c>
      <c r="Z6" s="207">
        <f>'B5'!C5</f>
        <v>182</v>
      </c>
      <c r="AA6" s="207">
        <f>SUM(Z6*$Z$4)</f>
        <v>1820</v>
      </c>
      <c r="AB6" s="207">
        <f>SUM(Z6)</f>
        <v>182</v>
      </c>
      <c r="AC6" s="207">
        <f>SUM(AB6*$Z$4)</f>
        <v>1820</v>
      </c>
      <c r="AD6" s="207">
        <f>SUM(AB6)</f>
        <v>182</v>
      </c>
      <c r="AE6" s="207">
        <f t="shared" ref="AE6:AE35" si="11">SUM(AD6*$Z$4)</f>
        <v>1820</v>
      </c>
      <c r="AF6" s="207">
        <f>SUM(AD6)</f>
        <v>182</v>
      </c>
      <c r="AG6" s="207">
        <f t="shared" ref="AG6:AG35" si="12">SUM(AF6*$Z$4)</f>
        <v>1820</v>
      </c>
      <c r="AH6" s="207">
        <f>SUM(AF6)</f>
        <v>182</v>
      </c>
      <c r="AI6" s="207">
        <f t="shared" ref="AI6:AI35" si="13">SUM(AH6*$Z$4)</f>
        <v>1820</v>
      </c>
      <c r="AJ6" s="207">
        <f>SUM(AH6)</f>
        <v>182</v>
      </c>
      <c r="AK6" s="207">
        <f t="shared" ref="AK6:AK35" si="14">SUM(AJ6*$Z$4)</f>
        <v>1820</v>
      </c>
      <c r="AL6" s="207">
        <f>SUM(AJ6)</f>
        <v>182</v>
      </c>
      <c r="AM6" s="207">
        <f t="shared" ref="AM6:AM35" si="15">SUM(AL6*$Z$4)</f>
        <v>1820</v>
      </c>
      <c r="AN6" s="35">
        <f t="shared" ref="AN6:AN29" si="16">SUM(AO6/19600)</f>
        <v>0.65</v>
      </c>
      <c r="AO6" s="36">
        <f t="shared" ref="AO6:AO29" si="17">SUM(AA6+AC6+AE6+AG6+AI6+AK6+AM6)</f>
        <v>12740</v>
      </c>
      <c r="AQ6" s="227">
        <f>SUM(AR6/92970)</f>
        <v>0.58253789810795698</v>
      </c>
      <c r="AR6" s="38">
        <f>SUM(AO6+Y6)</f>
        <v>54158.548387096758</v>
      </c>
      <c r="AS6" s="201">
        <f>SUM(AR6-AR5-AT6)</f>
        <v>-1226.8096774193777</v>
      </c>
      <c r="AT6" s="368">
        <v>0.1</v>
      </c>
      <c r="AU6" s="452">
        <v>0.1</v>
      </c>
      <c r="AV6" s="539">
        <f>IF(AT6&gt;0,AU6,AV5)</f>
        <v>0.1</v>
      </c>
      <c r="AW6" s="300">
        <f>-SUM('B5'!AI5)</f>
        <v>-452</v>
      </c>
      <c r="AX6" s="300">
        <f>-SUM(AW6-AS6)</f>
        <v>-774.80967741937775</v>
      </c>
      <c r="AY6" s="37">
        <f>SUM(AX6+AW6)</f>
        <v>-1226.8096774193777</v>
      </c>
      <c r="AZ6" s="101">
        <f>ELEC!A3</f>
        <v>2.1700000000000001E-2</v>
      </c>
      <c r="BA6" s="119">
        <f>'General information '!D6</f>
        <v>22.5</v>
      </c>
      <c r="BB6" s="290">
        <f>SUM('General information '!E6)</f>
        <v>0.61</v>
      </c>
      <c r="BC6" s="3">
        <f>IF(AR3&gt;=AR6,0,1)</f>
        <v>0</v>
      </c>
      <c r="BD6" s="103">
        <v>19222</v>
      </c>
      <c r="BE6" s="14">
        <f>(305/1185)*ELEC!Q4</f>
        <v>514.76793248945148</v>
      </c>
      <c r="BF6" s="14"/>
      <c r="BG6" s="14" t="e">
        <f>#REF!-BE6</f>
        <v>#REF!</v>
      </c>
      <c r="BH6" s="11">
        <v>21</v>
      </c>
    </row>
    <row r="7" spans="1:61">
      <c r="A7" s="460">
        <f>ELEC!C4</f>
        <v>43984</v>
      </c>
      <c r="B7">
        <f>'B5'!B6</f>
        <v>173</v>
      </c>
      <c r="C7" s="207">
        <f t="shared" ref="C7:E35" si="18">B7*$B$4</f>
        <v>3722.2903225806449</v>
      </c>
      <c r="D7">
        <f t="shared" ref="D7:D29" si="19">SUM(B7)</f>
        <v>173</v>
      </c>
      <c r="E7" s="207">
        <f t="shared" si="18"/>
        <v>3722.2903225806449</v>
      </c>
      <c r="F7">
        <f t="shared" ref="F7:F29" si="20">SUM(D7)</f>
        <v>173</v>
      </c>
      <c r="G7" s="207">
        <f t="shared" si="1"/>
        <v>3722.2903225806449</v>
      </c>
      <c r="H7" s="207">
        <f t="shared" ref="H7:H29" si="21">SUM(F7)</f>
        <v>173</v>
      </c>
      <c r="I7" s="207">
        <f t="shared" si="2"/>
        <v>3722.2903225806449</v>
      </c>
      <c r="J7" s="207">
        <f t="shared" ref="J7:J29" si="22">SUM(H7)</f>
        <v>173</v>
      </c>
      <c r="K7" s="207">
        <f t="shared" si="3"/>
        <v>3722.2903225806449</v>
      </c>
      <c r="L7" s="207">
        <f t="shared" ref="L7:L29" si="23">SUM(J7)</f>
        <v>173</v>
      </c>
      <c r="M7" s="207">
        <f t="shared" si="4"/>
        <v>3722.2903225806449</v>
      </c>
      <c r="N7" s="207">
        <f t="shared" ref="N7:N29" si="24">SUM(L7)</f>
        <v>173</v>
      </c>
      <c r="O7" s="207">
        <f t="shared" si="5"/>
        <v>3722.2903225806449</v>
      </c>
      <c r="P7" s="207">
        <f t="shared" ref="P7:P29" si="25">SUM(N7)</f>
        <v>173</v>
      </c>
      <c r="Q7" s="207">
        <f t="shared" si="6"/>
        <v>3722.2903225806449</v>
      </c>
      <c r="R7" s="207">
        <f t="shared" ref="R7:R29" si="26">SUM(P7)</f>
        <v>173</v>
      </c>
      <c r="S7" s="207">
        <f t="shared" si="7"/>
        <v>3722.2903225806449</v>
      </c>
      <c r="T7" s="207">
        <f t="shared" ref="T7:T29" si="27">SUM(R7)</f>
        <v>173</v>
      </c>
      <c r="U7" s="207">
        <f t="shared" si="8"/>
        <v>3722.2903225806449</v>
      </c>
      <c r="V7" s="207">
        <f t="shared" ref="V7:V29" si="28">SUM(T7)</f>
        <v>173</v>
      </c>
      <c r="W7" s="207">
        <f t="shared" si="9"/>
        <v>3722.2903225806449</v>
      </c>
      <c r="X7" s="35">
        <f t="shared" si="10"/>
        <v>0.55806451612903218</v>
      </c>
      <c r="Y7" s="36">
        <f t="shared" ref="Y7:Y29" si="29">SUM(C7+E7+G7+I7+K7+M7+O7+Q7+S7+U7+W7)</f>
        <v>40945.193548387091</v>
      </c>
      <c r="Z7" s="207">
        <f>'B5'!C6</f>
        <v>179</v>
      </c>
      <c r="AA7" s="207">
        <f t="shared" ref="AA7:AC35" si="30">SUM(Z7*$Z$4)</f>
        <v>1790</v>
      </c>
      <c r="AB7" s="207">
        <f t="shared" ref="AB7:AB29" si="31">SUM(Z7)</f>
        <v>179</v>
      </c>
      <c r="AC7" s="207">
        <f t="shared" si="30"/>
        <v>1790</v>
      </c>
      <c r="AD7" s="207">
        <f t="shared" ref="AD7:AD29" si="32">SUM(AB7)</f>
        <v>179</v>
      </c>
      <c r="AE7" s="207">
        <f t="shared" si="11"/>
        <v>1790</v>
      </c>
      <c r="AF7" s="207">
        <f t="shared" ref="AF7:AF29" si="33">SUM(AD7)</f>
        <v>179</v>
      </c>
      <c r="AG7" s="207">
        <f t="shared" si="12"/>
        <v>1790</v>
      </c>
      <c r="AH7" s="207">
        <f t="shared" ref="AH7:AH29" si="34">SUM(AF7)</f>
        <v>179</v>
      </c>
      <c r="AI7" s="207">
        <f t="shared" si="13"/>
        <v>1790</v>
      </c>
      <c r="AJ7" s="207">
        <f t="shared" ref="AJ7:AJ29" si="35">SUM(AH7)</f>
        <v>179</v>
      </c>
      <c r="AK7" s="207">
        <f t="shared" si="14"/>
        <v>1790</v>
      </c>
      <c r="AL7" s="207">
        <f t="shared" ref="AL7:AL29" si="36">SUM(AJ7)</f>
        <v>179</v>
      </c>
      <c r="AM7" s="207">
        <f t="shared" si="15"/>
        <v>1790</v>
      </c>
      <c r="AN7" s="35">
        <f t="shared" si="16"/>
        <v>0.63928571428571423</v>
      </c>
      <c r="AO7" s="36">
        <f t="shared" si="17"/>
        <v>12530</v>
      </c>
      <c r="AQ7" s="227">
        <f t="shared" ref="AQ7:AQ33" si="37">SUM(AR7/92970)</f>
        <v>0.57518762556079484</v>
      </c>
      <c r="AR7" s="38">
        <f>SUM(AO7+Y7)</f>
        <v>53475.193548387091</v>
      </c>
      <c r="AS7" s="201">
        <f t="shared" ref="AS7:AS35" si="38">SUM(AR7-AR6-AT7)</f>
        <v>-683.35483870966709</v>
      </c>
      <c r="AT7" s="278"/>
      <c r="AU7" s="510"/>
      <c r="AV7" s="539">
        <f>IF(AT7&gt;0,AU7,AV6)</f>
        <v>0.1</v>
      </c>
      <c r="AW7" s="300">
        <f>-SUM('B5'!AI6)</f>
        <v>-296</v>
      </c>
      <c r="AX7" s="300">
        <f t="shared" ref="AX7:AX35" si="39">-SUM(AW7-AS7)</f>
        <v>-387.35483870966709</v>
      </c>
      <c r="AY7" s="37">
        <f t="shared" ref="AY7:AY35" si="40">SUM(AX7+AW7)</f>
        <v>-683.35483870966709</v>
      </c>
      <c r="AZ7" s="101">
        <f>ELEC!A4</f>
        <v>8.6999999999999994E-3</v>
      </c>
      <c r="BA7" s="119">
        <f>'General information '!D7</f>
        <v>22</v>
      </c>
      <c r="BB7" s="407">
        <f>SUM('General information '!E7)</f>
        <v>0.6</v>
      </c>
      <c r="BC7" s="3">
        <v>0</v>
      </c>
      <c r="BD7" s="103">
        <v>19222</v>
      </c>
      <c r="BE7" s="14">
        <f>(305/1185)*ELEC!Q5</f>
        <v>514.76793248945148</v>
      </c>
      <c r="BF7" s="14"/>
      <c r="BG7" s="14" t="e">
        <f>#REF!-BE7</f>
        <v>#REF!</v>
      </c>
      <c r="BH7" s="11">
        <v>19</v>
      </c>
    </row>
    <row r="8" spans="1:61">
      <c r="A8" s="460">
        <f>ELEC!C5</f>
        <v>43985</v>
      </c>
      <c r="B8">
        <f>'B5'!B7</f>
        <v>168</v>
      </c>
      <c r="C8" s="207">
        <f t="shared" si="18"/>
        <v>3614.7096774193546</v>
      </c>
      <c r="D8">
        <f t="shared" si="19"/>
        <v>168</v>
      </c>
      <c r="E8" s="207">
        <f t="shared" si="18"/>
        <v>3614.7096774193546</v>
      </c>
      <c r="F8">
        <f t="shared" si="20"/>
        <v>168</v>
      </c>
      <c r="G8" s="207">
        <f t="shared" si="1"/>
        <v>3614.7096774193546</v>
      </c>
      <c r="H8" s="207">
        <f t="shared" si="21"/>
        <v>168</v>
      </c>
      <c r="I8" s="207">
        <f t="shared" si="2"/>
        <v>3614.7096774193546</v>
      </c>
      <c r="J8" s="207">
        <f t="shared" si="22"/>
        <v>168</v>
      </c>
      <c r="K8" s="207">
        <f t="shared" si="3"/>
        <v>3614.7096774193546</v>
      </c>
      <c r="L8" s="207">
        <f t="shared" si="23"/>
        <v>168</v>
      </c>
      <c r="M8" s="207">
        <f t="shared" si="4"/>
        <v>3614.7096774193546</v>
      </c>
      <c r="N8" s="207">
        <f t="shared" si="24"/>
        <v>168</v>
      </c>
      <c r="O8" s="207">
        <f t="shared" si="5"/>
        <v>3614.7096774193546</v>
      </c>
      <c r="P8" s="207">
        <f t="shared" si="25"/>
        <v>168</v>
      </c>
      <c r="Q8" s="207">
        <f t="shared" si="6"/>
        <v>3614.7096774193546</v>
      </c>
      <c r="R8" s="207">
        <f t="shared" si="26"/>
        <v>168</v>
      </c>
      <c r="S8" s="207">
        <f t="shared" si="7"/>
        <v>3614.7096774193546</v>
      </c>
      <c r="T8" s="207">
        <f t="shared" si="27"/>
        <v>168</v>
      </c>
      <c r="U8" s="207">
        <f t="shared" si="8"/>
        <v>3614.7096774193546</v>
      </c>
      <c r="V8" s="207">
        <f t="shared" si="28"/>
        <v>168</v>
      </c>
      <c r="W8" s="207">
        <f t="shared" si="9"/>
        <v>3614.7096774193546</v>
      </c>
      <c r="X8" s="35">
        <f t="shared" si="10"/>
        <v>0.54193548387096779</v>
      </c>
      <c r="Y8" s="36">
        <f t="shared" si="29"/>
        <v>39761.806451612909</v>
      </c>
      <c r="Z8" s="207">
        <f>'B5'!C7</f>
        <v>173</v>
      </c>
      <c r="AA8" s="207">
        <f t="shared" si="30"/>
        <v>1730</v>
      </c>
      <c r="AB8" s="207">
        <f t="shared" si="31"/>
        <v>173</v>
      </c>
      <c r="AC8" s="207">
        <f t="shared" si="30"/>
        <v>1730</v>
      </c>
      <c r="AD8" s="207">
        <f t="shared" si="32"/>
        <v>173</v>
      </c>
      <c r="AE8" s="207">
        <f t="shared" si="11"/>
        <v>1730</v>
      </c>
      <c r="AF8" s="207">
        <f t="shared" si="33"/>
        <v>173</v>
      </c>
      <c r="AG8" s="207">
        <f t="shared" si="12"/>
        <v>1730</v>
      </c>
      <c r="AH8" s="207">
        <f t="shared" si="34"/>
        <v>173</v>
      </c>
      <c r="AI8" s="207">
        <f t="shared" si="13"/>
        <v>1730</v>
      </c>
      <c r="AJ8" s="207">
        <f t="shared" si="35"/>
        <v>173</v>
      </c>
      <c r="AK8" s="207">
        <f t="shared" si="14"/>
        <v>1730</v>
      </c>
      <c r="AL8" s="207">
        <f t="shared" si="36"/>
        <v>173</v>
      </c>
      <c r="AM8" s="207">
        <f t="shared" si="15"/>
        <v>1730</v>
      </c>
      <c r="AN8" s="35">
        <f t="shared" si="16"/>
        <v>0.61785714285714288</v>
      </c>
      <c r="AO8" s="36">
        <f t="shared" si="17"/>
        <v>12110</v>
      </c>
      <c r="AQ8" s="227">
        <f t="shared" si="37"/>
        <v>0.55794134077243096</v>
      </c>
      <c r="AR8" s="38">
        <f t="shared" ref="AR8:AR35" si="41">SUM(AO8+Y8)</f>
        <v>51871.806451612909</v>
      </c>
      <c r="AS8" s="201">
        <f t="shared" si="38"/>
        <v>-1603.3870967741823</v>
      </c>
      <c r="AT8" s="368"/>
      <c r="AU8" s="452"/>
      <c r="AV8" s="539">
        <f t="shared" ref="AV8:AV34" si="42">IF(AT8&gt;0,AU8,AV7)</f>
        <v>0.1</v>
      </c>
      <c r="AW8" s="300">
        <f>-SUM('B5'!AI7)</f>
        <v>-370.59999999997672</v>
      </c>
      <c r="AX8" s="300">
        <f t="shared" si="39"/>
        <v>-1232.7870967742056</v>
      </c>
      <c r="AY8" s="37">
        <f t="shared" si="40"/>
        <v>-1603.3870967741823</v>
      </c>
      <c r="AZ8" s="101">
        <f>ELEC!A5</f>
        <v>2.6100000000000002E-2</v>
      </c>
      <c r="BA8" s="119">
        <f>'General information '!D8</f>
        <v>23</v>
      </c>
      <c r="BB8" s="407">
        <f>SUM('General information '!E8)</f>
        <v>0.6</v>
      </c>
      <c r="BC8" s="3">
        <f t="shared" ref="BC8:BC33" si="43">IF(AR7&gt;=AR8,0,1)</f>
        <v>0</v>
      </c>
      <c r="BD8" s="103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60">
        <f>ELEC!C6</f>
        <v>43986</v>
      </c>
      <c r="B9">
        <f>'B5'!B8</f>
        <v>203</v>
      </c>
      <c r="C9" s="207">
        <f t="shared" si="18"/>
        <v>4367.7741935483873</v>
      </c>
      <c r="D9">
        <f t="shared" si="19"/>
        <v>203</v>
      </c>
      <c r="E9" s="207">
        <f t="shared" si="18"/>
        <v>4367.7741935483873</v>
      </c>
      <c r="F9">
        <f t="shared" si="20"/>
        <v>203</v>
      </c>
      <c r="G9" s="207">
        <f t="shared" si="1"/>
        <v>4367.7741935483873</v>
      </c>
      <c r="H9" s="207">
        <f t="shared" si="21"/>
        <v>203</v>
      </c>
      <c r="I9" s="207">
        <f t="shared" si="2"/>
        <v>4367.7741935483873</v>
      </c>
      <c r="J9" s="207">
        <f t="shared" si="22"/>
        <v>203</v>
      </c>
      <c r="K9" s="207">
        <f t="shared" si="3"/>
        <v>4367.7741935483873</v>
      </c>
      <c r="L9" s="207">
        <f t="shared" si="23"/>
        <v>203</v>
      </c>
      <c r="M9" s="207">
        <f t="shared" si="4"/>
        <v>4367.7741935483873</v>
      </c>
      <c r="N9" s="207">
        <f t="shared" si="24"/>
        <v>203</v>
      </c>
      <c r="O9" s="207">
        <f t="shared" si="5"/>
        <v>4367.7741935483873</v>
      </c>
      <c r="P9" s="207">
        <f t="shared" si="25"/>
        <v>203</v>
      </c>
      <c r="Q9" s="207">
        <f t="shared" si="6"/>
        <v>4367.7741935483873</v>
      </c>
      <c r="R9" s="207">
        <f t="shared" si="26"/>
        <v>203</v>
      </c>
      <c r="S9" s="207">
        <f t="shared" si="7"/>
        <v>4367.7741935483873</v>
      </c>
      <c r="T9" s="207">
        <f t="shared" si="27"/>
        <v>203</v>
      </c>
      <c r="U9" s="207">
        <f t="shared" si="8"/>
        <v>4367.7741935483873</v>
      </c>
      <c r="V9" s="207">
        <f t="shared" si="28"/>
        <v>203</v>
      </c>
      <c r="W9" s="207">
        <f t="shared" si="9"/>
        <v>4367.7741935483873</v>
      </c>
      <c r="X9" s="35">
        <f t="shared" si="10"/>
        <v>0.65483870967741931</v>
      </c>
      <c r="Y9" s="36">
        <f t="shared" si="29"/>
        <v>48045.516129032258</v>
      </c>
      <c r="Z9" s="207">
        <f>'B5'!C8</f>
        <v>210</v>
      </c>
      <c r="AA9" s="207">
        <f t="shared" si="30"/>
        <v>2100</v>
      </c>
      <c r="AB9" s="207">
        <f t="shared" si="31"/>
        <v>210</v>
      </c>
      <c r="AC9" s="207">
        <f t="shared" si="30"/>
        <v>2100</v>
      </c>
      <c r="AD9" s="207">
        <f t="shared" si="32"/>
        <v>210</v>
      </c>
      <c r="AE9" s="207">
        <f t="shared" si="11"/>
        <v>2100</v>
      </c>
      <c r="AF9" s="207">
        <f t="shared" si="33"/>
        <v>210</v>
      </c>
      <c r="AG9" s="207">
        <f t="shared" si="12"/>
        <v>2100</v>
      </c>
      <c r="AH9" s="207">
        <f t="shared" si="34"/>
        <v>210</v>
      </c>
      <c r="AI9" s="207">
        <f t="shared" si="13"/>
        <v>2100</v>
      </c>
      <c r="AJ9" s="207">
        <f t="shared" si="35"/>
        <v>210</v>
      </c>
      <c r="AK9" s="207">
        <f t="shared" si="14"/>
        <v>2100</v>
      </c>
      <c r="AL9" s="207">
        <f t="shared" si="36"/>
        <v>210</v>
      </c>
      <c r="AM9" s="207">
        <f t="shared" si="15"/>
        <v>2100</v>
      </c>
      <c r="AN9" s="35">
        <f t="shared" si="16"/>
        <v>0.75</v>
      </c>
      <c r="AO9" s="36">
        <f>SUM(AA9+AC9+AE9+AG9+AI9+AK9+AM9)</f>
        <v>14700</v>
      </c>
      <c r="AQ9" s="227">
        <f t="shared" si="37"/>
        <v>0.67490067902583906</v>
      </c>
      <c r="AR9" s="38">
        <f t="shared" si="41"/>
        <v>62745.516129032258</v>
      </c>
      <c r="AS9" s="201">
        <f t="shared" si="38"/>
        <v>520.70967741934874</v>
      </c>
      <c r="AT9" s="368">
        <v>10353</v>
      </c>
      <c r="AU9" s="452">
        <v>0.34</v>
      </c>
      <c r="AV9" s="539">
        <f t="shared" si="42"/>
        <v>0.34</v>
      </c>
      <c r="AW9" s="300">
        <f>-SUM('B5'!AI8)</f>
        <v>-628</v>
      </c>
      <c r="AX9" s="300">
        <f>-SUM(AW9-AS9)</f>
        <v>1148.7096774193487</v>
      </c>
      <c r="AY9" s="37">
        <f t="shared" si="40"/>
        <v>520.70967741934874</v>
      </c>
      <c r="AZ9" s="101">
        <f>ELEC!A6</f>
        <v>2.1700000000000001E-2</v>
      </c>
      <c r="BA9" s="119">
        <f>'General information '!D9</f>
        <v>22</v>
      </c>
      <c r="BB9" s="407">
        <f>SUM('General information '!E9)</f>
        <v>0.62</v>
      </c>
      <c r="BC9" s="3">
        <f t="shared" si="43"/>
        <v>1</v>
      </c>
      <c r="BD9" s="103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60">
        <f>ELEC!C7</f>
        <v>43987</v>
      </c>
      <c r="B10">
        <f>'B5'!B9</f>
        <v>199</v>
      </c>
      <c r="C10" s="207">
        <f t="shared" si="18"/>
        <v>4281.7096774193551</v>
      </c>
      <c r="D10">
        <f t="shared" si="19"/>
        <v>199</v>
      </c>
      <c r="E10" s="207">
        <f t="shared" si="18"/>
        <v>4281.7096774193551</v>
      </c>
      <c r="F10">
        <f t="shared" si="20"/>
        <v>199</v>
      </c>
      <c r="G10" s="207">
        <f t="shared" si="1"/>
        <v>4281.7096774193551</v>
      </c>
      <c r="H10" s="207">
        <f t="shared" si="21"/>
        <v>199</v>
      </c>
      <c r="I10" s="207">
        <f t="shared" si="2"/>
        <v>4281.7096774193551</v>
      </c>
      <c r="J10" s="207">
        <f t="shared" si="22"/>
        <v>199</v>
      </c>
      <c r="K10" s="207">
        <f t="shared" si="3"/>
        <v>4281.7096774193551</v>
      </c>
      <c r="L10" s="207">
        <f t="shared" si="23"/>
        <v>199</v>
      </c>
      <c r="M10" s="207">
        <f t="shared" si="4"/>
        <v>4281.7096774193551</v>
      </c>
      <c r="N10" s="207">
        <f t="shared" si="24"/>
        <v>199</v>
      </c>
      <c r="O10" s="207">
        <f t="shared" si="5"/>
        <v>4281.7096774193551</v>
      </c>
      <c r="P10" s="207">
        <f t="shared" si="25"/>
        <v>199</v>
      </c>
      <c r="Q10" s="207">
        <f t="shared" si="6"/>
        <v>4281.7096774193551</v>
      </c>
      <c r="R10" s="207">
        <f t="shared" si="26"/>
        <v>199</v>
      </c>
      <c r="S10" s="207">
        <f t="shared" si="7"/>
        <v>4281.7096774193551</v>
      </c>
      <c r="T10" s="207">
        <f t="shared" si="27"/>
        <v>199</v>
      </c>
      <c r="U10" s="207">
        <f t="shared" si="8"/>
        <v>4281.7096774193551</v>
      </c>
      <c r="V10" s="207">
        <f t="shared" si="28"/>
        <v>199</v>
      </c>
      <c r="W10" s="207">
        <f t="shared" si="9"/>
        <v>4281.7096774193551</v>
      </c>
      <c r="X10" s="35">
        <f t="shared" si="10"/>
        <v>0.64193548387096777</v>
      </c>
      <c r="Y10" s="36">
        <f t="shared" si="29"/>
        <v>47098.806451612909</v>
      </c>
      <c r="Z10" s="207">
        <f>'B5'!C9</f>
        <v>205</v>
      </c>
      <c r="AA10" s="207">
        <f t="shared" si="30"/>
        <v>2050</v>
      </c>
      <c r="AB10" s="207">
        <f t="shared" si="31"/>
        <v>205</v>
      </c>
      <c r="AC10" s="207">
        <f t="shared" si="30"/>
        <v>2050</v>
      </c>
      <c r="AD10" s="207">
        <f t="shared" si="32"/>
        <v>205</v>
      </c>
      <c r="AE10" s="207">
        <f t="shared" si="11"/>
        <v>2050</v>
      </c>
      <c r="AF10" s="207">
        <f t="shared" si="33"/>
        <v>205</v>
      </c>
      <c r="AG10" s="207">
        <f t="shared" si="12"/>
        <v>2050</v>
      </c>
      <c r="AH10" s="207">
        <f t="shared" si="34"/>
        <v>205</v>
      </c>
      <c r="AI10" s="207">
        <f t="shared" si="13"/>
        <v>2050</v>
      </c>
      <c r="AJ10" s="207">
        <f t="shared" si="35"/>
        <v>205</v>
      </c>
      <c r="AK10" s="207">
        <f t="shared" si="14"/>
        <v>2050</v>
      </c>
      <c r="AL10" s="207">
        <f t="shared" si="36"/>
        <v>205</v>
      </c>
      <c r="AM10" s="207">
        <f t="shared" si="15"/>
        <v>2050</v>
      </c>
      <c r="AN10" s="35">
        <f t="shared" si="16"/>
        <v>0.7321428571428571</v>
      </c>
      <c r="AO10" s="36">
        <f t="shared" si="17"/>
        <v>14350</v>
      </c>
      <c r="AQ10" s="227">
        <f t="shared" si="37"/>
        <v>0.66095306498454243</v>
      </c>
      <c r="AR10" s="38">
        <f t="shared" si="41"/>
        <v>61448.806451612909</v>
      </c>
      <c r="AS10" s="201">
        <f>SUM(AR10-AR9-AT10)</f>
        <v>-1296.7096774193487</v>
      </c>
      <c r="AT10" s="368"/>
      <c r="AU10" s="452"/>
      <c r="AV10" s="539">
        <f>IF(AT10&gt;0,AU10,AV9)</f>
        <v>0.34</v>
      </c>
      <c r="AW10" s="300">
        <f>-SUM('B5'!AI9)</f>
        <v>-334</v>
      </c>
      <c r="AX10" s="300">
        <f>-SUM(AW10-AS10)</f>
        <v>-962.70967741934874</v>
      </c>
      <c r="AY10" s="37">
        <f t="shared" si="40"/>
        <v>-1296.7096774193487</v>
      </c>
      <c r="AZ10" s="101">
        <f>ELEC!A7</f>
        <v>1.2999999999999999E-2</v>
      </c>
      <c r="BA10" s="119">
        <f>'General information '!D10</f>
        <v>21</v>
      </c>
      <c r="BB10" s="407">
        <f>SUM('General information '!E10)</f>
        <v>0.6</v>
      </c>
      <c r="BC10" s="3">
        <f t="shared" si="43"/>
        <v>0</v>
      </c>
      <c r="BD10" s="103">
        <v>19222</v>
      </c>
      <c r="BE10" s="14">
        <f>(305/1185)*ELEC!Q8</f>
        <v>514.76793248945148</v>
      </c>
      <c r="BF10" s="14"/>
      <c r="BG10" s="14" t="e">
        <f>#REF!-BE10</f>
        <v>#REF!</v>
      </c>
      <c r="BH10" s="11">
        <v>16</v>
      </c>
    </row>
    <row r="11" spans="1:61">
      <c r="A11" s="460">
        <f>ELEC!C8</f>
        <v>43988</v>
      </c>
      <c r="B11">
        <f>'B5'!B10</f>
        <v>196</v>
      </c>
      <c r="C11" s="207">
        <f t="shared" si="18"/>
        <v>4217.1612903225805</v>
      </c>
      <c r="D11">
        <f>SUM(B11)</f>
        <v>196</v>
      </c>
      <c r="E11" s="207">
        <f t="shared" si="18"/>
        <v>4217.1612903225805</v>
      </c>
      <c r="F11">
        <f>SUM(D11)</f>
        <v>196</v>
      </c>
      <c r="G11" s="207">
        <f t="shared" si="1"/>
        <v>4217.1612903225805</v>
      </c>
      <c r="H11" s="207">
        <f>SUM(F11)</f>
        <v>196</v>
      </c>
      <c r="I11" s="207">
        <f t="shared" si="2"/>
        <v>4217.1612903225805</v>
      </c>
      <c r="J11" s="207">
        <f>SUM(H11)</f>
        <v>196</v>
      </c>
      <c r="K11" s="207">
        <f t="shared" si="3"/>
        <v>4217.1612903225805</v>
      </c>
      <c r="L11" s="207">
        <f>SUM(J11)</f>
        <v>196</v>
      </c>
      <c r="M11" s="207">
        <f t="shared" si="4"/>
        <v>4217.1612903225805</v>
      </c>
      <c r="N11" s="207">
        <f>SUM(L11)</f>
        <v>196</v>
      </c>
      <c r="O11" s="207">
        <f t="shared" si="5"/>
        <v>4217.1612903225805</v>
      </c>
      <c r="P11" s="207">
        <f>SUM(N11)</f>
        <v>196</v>
      </c>
      <c r="Q11" s="207">
        <f t="shared" si="6"/>
        <v>4217.1612903225805</v>
      </c>
      <c r="R11" s="207">
        <f>SUM(P11)</f>
        <v>196</v>
      </c>
      <c r="S11" s="207">
        <f t="shared" si="7"/>
        <v>4217.1612903225805</v>
      </c>
      <c r="T11" s="207">
        <f>SUM(R11)</f>
        <v>196</v>
      </c>
      <c r="U11" s="207">
        <f t="shared" si="8"/>
        <v>4217.1612903225805</v>
      </c>
      <c r="V11" s="207">
        <f>SUM(T11)</f>
        <v>196</v>
      </c>
      <c r="W11" s="207">
        <f t="shared" si="9"/>
        <v>4217.1612903225805</v>
      </c>
      <c r="X11" s="35">
        <f>SUM(Y11/73370)</f>
        <v>0.63225806451612909</v>
      </c>
      <c r="Y11" s="36">
        <f>SUM(C11+E11+G11+I11+K11+M11+O11+Q11+S11+U11+W11)</f>
        <v>46388.774193548394</v>
      </c>
      <c r="Z11" s="207">
        <f>'B5'!C10</f>
        <v>202</v>
      </c>
      <c r="AA11" s="207">
        <f t="shared" si="30"/>
        <v>2020</v>
      </c>
      <c r="AB11" s="207">
        <f>SUM(Z11)</f>
        <v>202</v>
      </c>
      <c r="AC11" s="207">
        <f t="shared" si="30"/>
        <v>2020</v>
      </c>
      <c r="AD11" s="207">
        <f>SUM(AB11)</f>
        <v>202</v>
      </c>
      <c r="AE11" s="207">
        <f t="shared" si="11"/>
        <v>2020</v>
      </c>
      <c r="AF11" s="207">
        <f>SUM(AD11)</f>
        <v>202</v>
      </c>
      <c r="AG11" s="207">
        <f t="shared" si="12"/>
        <v>2020</v>
      </c>
      <c r="AH11" s="207">
        <f>SUM(AF11)</f>
        <v>202</v>
      </c>
      <c r="AI11" s="207">
        <f t="shared" si="13"/>
        <v>2020</v>
      </c>
      <c r="AJ11" s="207">
        <f>SUM(AH11)</f>
        <v>202</v>
      </c>
      <c r="AK11" s="207">
        <f t="shared" si="14"/>
        <v>2020</v>
      </c>
      <c r="AL11" s="207">
        <f>SUM(AJ11)</f>
        <v>202</v>
      </c>
      <c r="AM11" s="207">
        <f t="shared" si="15"/>
        <v>2020</v>
      </c>
      <c r="AN11" s="35">
        <f>SUM(AO11/19600)</f>
        <v>0.72142857142857142</v>
      </c>
      <c r="AO11" s="36">
        <f t="shared" si="17"/>
        <v>14140</v>
      </c>
      <c r="AQ11" s="227">
        <f t="shared" si="37"/>
        <v>0.6510570527433408</v>
      </c>
      <c r="AR11" s="38">
        <f t="shared" si="41"/>
        <v>60528.774193548394</v>
      </c>
      <c r="AS11" s="201">
        <f>SUM(AR11-AR10-AT11)</f>
        <v>-920.03225806451519</v>
      </c>
      <c r="AT11" s="368"/>
      <c r="AU11" s="452"/>
      <c r="AV11" s="539">
        <f>IF(AT11&gt;0,AU11,AV10)</f>
        <v>0.34</v>
      </c>
      <c r="AW11" s="300">
        <f>-SUM('B5'!AI10)</f>
        <v>-391</v>
      </c>
      <c r="AX11" s="300">
        <f>-SUM(AW11-AS11)</f>
        <v>-529.03225806451519</v>
      </c>
      <c r="AY11" s="37">
        <f t="shared" si="40"/>
        <v>-920.03225806451519</v>
      </c>
      <c r="AZ11" s="101">
        <f>ELEC!A8</f>
        <v>2.1700000000000001E-2</v>
      </c>
      <c r="BA11" s="119">
        <f>'General information '!D11</f>
        <v>22</v>
      </c>
      <c r="BB11" s="407">
        <f>SUM('General information '!E11)</f>
        <v>0.63</v>
      </c>
      <c r="BC11" s="3">
        <f t="shared" si="43"/>
        <v>0</v>
      </c>
      <c r="BD11" s="103">
        <v>19222</v>
      </c>
      <c r="BE11" s="14">
        <f>(305/1185)*ELEC!Q9</f>
        <v>514.76793248945148</v>
      </c>
      <c r="BF11" s="14"/>
      <c r="BG11" s="14" t="e">
        <f>#REF!-BE11</f>
        <v>#REF!</v>
      </c>
      <c r="BH11" s="11">
        <v>16.5</v>
      </c>
    </row>
    <row r="12" spans="1:61">
      <c r="A12" s="460">
        <f>ELEC!C9</f>
        <v>43989</v>
      </c>
      <c r="B12">
        <f>'B5'!B11</f>
        <v>192</v>
      </c>
      <c r="C12" s="207">
        <f t="shared" si="18"/>
        <v>4131.0967741935483</v>
      </c>
      <c r="D12">
        <f t="shared" si="19"/>
        <v>192</v>
      </c>
      <c r="E12" s="207">
        <f t="shared" si="18"/>
        <v>4131.0967741935483</v>
      </c>
      <c r="F12">
        <f t="shared" si="20"/>
        <v>192</v>
      </c>
      <c r="G12" s="207">
        <f t="shared" si="1"/>
        <v>4131.0967741935483</v>
      </c>
      <c r="H12" s="207">
        <f t="shared" si="21"/>
        <v>192</v>
      </c>
      <c r="I12" s="207">
        <f t="shared" si="2"/>
        <v>4131.0967741935483</v>
      </c>
      <c r="J12" s="207">
        <f t="shared" si="22"/>
        <v>192</v>
      </c>
      <c r="K12" s="207">
        <f t="shared" si="3"/>
        <v>4131.0967741935483</v>
      </c>
      <c r="L12" s="207">
        <f t="shared" si="23"/>
        <v>192</v>
      </c>
      <c r="M12" s="207">
        <f t="shared" si="4"/>
        <v>4131.0967741935483</v>
      </c>
      <c r="N12" s="207">
        <f t="shared" si="24"/>
        <v>192</v>
      </c>
      <c r="O12" s="207">
        <f t="shared" si="5"/>
        <v>4131.0967741935483</v>
      </c>
      <c r="P12" s="207">
        <f t="shared" si="25"/>
        <v>192</v>
      </c>
      <c r="Q12" s="207">
        <f t="shared" si="6"/>
        <v>4131.0967741935483</v>
      </c>
      <c r="R12" s="207">
        <f t="shared" si="26"/>
        <v>192</v>
      </c>
      <c r="S12" s="207">
        <f t="shared" si="7"/>
        <v>4131.0967741935483</v>
      </c>
      <c r="T12" s="207">
        <f t="shared" si="27"/>
        <v>192</v>
      </c>
      <c r="U12" s="207">
        <f t="shared" si="8"/>
        <v>4131.0967741935483</v>
      </c>
      <c r="V12" s="207">
        <f t="shared" si="28"/>
        <v>192</v>
      </c>
      <c r="W12" s="207">
        <f t="shared" si="9"/>
        <v>4131.0967741935483</v>
      </c>
      <c r="X12" s="35">
        <f t="shared" si="10"/>
        <v>0.61935483870967734</v>
      </c>
      <c r="Y12" s="36">
        <f t="shared" si="29"/>
        <v>45442.064516129023</v>
      </c>
      <c r="Z12" s="207">
        <f>'B5'!C11</f>
        <v>198</v>
      </c>
      <c r="AA12" s="207">
        <f t="shared" si="30"/>
        <v>1980</v>
      </c>
      <c r="AB12" s="207">
        <f t="shared" si="31"/>
        <v>198</v>
      </c>
      <c r="AC12" s="207">
        <f t="shared" si="30"/>
        <v>1980</v>
      </c>
      <c r="AD12" s="207">
        <f t="shared" si="32"/>
        <v>198</v>
      </c>
      <c r="AE12" s="207">
        <f t="shared" si="11"/>
        <v>1980</v>
      </c>
      <c r="AF12" s="207">
        <f t="shared" si="33"/>
        <v>198</v>
      </c>
      <c r="AG12" s="207">
        <f t="shared" si="12"/>
        <v>1980</v>
      </c>
      <c r="AH12" s="207">
        <f t="shared" si="34"/>
        <v>198</v>
      </c>
      <c r="AI12" s="207">
        <f t="shared" si="13"/>
        <v>1980</v>
      </c>
      <c r="AJ12" s="207">
        <f t="shared" si="35"/>
        <v>198</v>
      </c>
      <c r="AK12" s="207">
        <f t="shared" si="14"/>
        <v>1980</v>
      </c>
      <c r="AL12" s="207">
        <f t="shared" si="36"/>
        <v>198</v>
      </c>
      <c r="AM12" s="207">
        <f t="shared" si="15"/>
        <v>1980</v>
      </c>
      <c r="AN12" s="35">
        <f t="shared" si="16"/>
        <v>0.70714285714285718</v>
      </c>
      <c r="AO12" s="36">
        <f t="shared" si="17"/>
        <v>13860</v>
      </c>
      <c r="AQ12" s="227">
        <f t="shared" si="37"/>
        <v>0.63786236975507182</v>
      </c>
      <c r="AR12" s="38">
        <f t="shared" si="41"/>
        <v>59302.064516129023</v>
      </c>
      <c r="AS12" s="201">
        <f t="shared" si="38"/>
        <v>-1226.7096774193706</v>
      </c>
      <c r="AT12" s="278"/>
      <c r="AU12" s="496"/>
      <c r="AV12" s="539">
        <f t="shared" si="42"/>
        <v>0.34</v>
      </c>
      <c r="AW12" s="300">
        <f>-SUM('B5'!AI11)</f>
        <v>-363</v>
      </c>
      <c r="AX12" s="300">
        <f t="shared" si="39"/>
        <v>-863.70967741937056</v>
      </c>
      <c r="AY12" s="37">
        <f t="shared" si="40"/>
        <v>-1226.7096774193706</v>
      </c>
      <c r="AZ12" s="101">
        <f>ELEC!A9</f>
        <v>1.7399999999999999E-2</v>
      </c>
      <c r="BA12" s="119">
        <f>'General information '!D12</f>
        <v>24</v>
      </c>
      <c r="BB12" s="407">
        <f>SUM('General information '!E12)</f>
        <v>0.7</v>
      </c>
      <c r="BC12" s="3">
        <f t="shared" si="43"/>
        <v>0</v>
      </c>
      <c r="BD12" s="103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60">
        <f>ELEC!C10</f>
        <v>43990</v>
      </c>
      <c r="B13">
        <f>'B5'!B12</f>
        <v>188</v>
      </c>
      <c r="C13" s="207">
        <f t="shared" si="18"/>
        <v>4045.0322580645161</v>
      </c>
      <c r="D13">
        <f t="shared" si="19"/>
        <v>188</v>
      </c>
      <c r="E13" s="207">
        <f t="shared" si="18"/>
        <v>4045.0322580645161</v>
      </c>
      <c r="F13">
        <f t="shared" si="20"/>
        <v>188</v>
      </c>
      <c r="G13" s="207">
        <f t="shared" si="1"/>
        <v>4045.0322580645161</v>
      </c>
      <c r="H13" s="207">
        <f t="shared" si="21"/>
        <v>188</v>
      </c>
      <c r="I13" s="207">
        <f t="shared" si="2"/>
        <v>4045.0322580645161</v>
      </c>
      <c r="J13" s="207">
        <f t="shared" si="22"/>
        <v>188</v>
      </c>
      <c r="K13" s="207">
        <f t="shared" si="3"/>
        <v>4045.0322580645161</v>
      </c>
      <c r="L13" s="207">
        <f t="shared" si="23"/>
        <v>188</v>
      </c>
      <c r="M13" s="207">
        <f t="shared" si="4"/>
        <v>4045.0322580645161</v>
      </c>
      <c r="N13" s="207">
        <f t="shared" si="24"/>
        <v>188</v>
      </c>
      <c r="O13" s="207">
        <f t="shared" si="5"/>
        <v>4045.0322580645161</v>
      </c>
      <c r="P13" s="207">
        <f t="shared" si="25"/>
        <v>188</v>
      </c>
      <c r="Q13" s="207">
        <f t="shared" si="6"/>
        <v>4045.0322580645161</v>
      </c>
      <c r="R13" s="207">
        <f t="shared" si="26"/>
        <v>188</v>
      </c>
      <c r="S13" s="207">
        <f t="shared" si="7"/>
        <v>4045.0322580645161</v>
      </c>
      <c r="T13" s="207">
        <f t="shared" si="27"/>
        <v>188</v>
      </c>
      <c r="U13" s="207">
        <f t="shared" si="8"/>
        <v>4045.0322580645161</v>
      </c>
      <c r="V13" s="207">
        <f t="shared" si="28"/>
        <v>188</v>
      </c>
      <c r="W13" s="207">
        <f t="shared" si="9"/>
        <v>4045.0322580645161</v>
      </c>
      <c r="X13" s="35">
        <f t="shared" si="10"/>
        <v>0.6064516129032258</v>
      </c>
      <c r="Y13" s="36">
        <f t="shared" si="29"/>
        <v>44495.354838709674</v>
      </c>
      <c r="Z13" s="207">
        <f>'B5'!C12</f>
        <v>196</v>
      </c>
      <c r="AA13" s="207">
        <f t="shared" si="30"/>
        <v>1960</v>
      </c>
      <c r="AB13" s="207">
        <f t="shared" si="31"/>
        <v>196</v>
      </c>
      <c r="AC13" s="207">
        <f t="shared" si="30"/>
        <v>1960</v>
      </c>
      <c r="AD13" s="207">
        <f t="shared" si="32"/>
        <v>196</v>
      </c>
      <c r="AE13" s="207">
        <f t="shared" si="11"/>
        <v>1960</v>
      </c>
      <c r="AF13" s="207">
        <f t="shared" si="33"/>
        <v>196</v>
      </c>
      <c r="AG13" s="207">
        <f t="shared" si="12"/>
        <v>1960</v>
      </c>
      <c r="AH13" s="207">
        <f t="shared" si="34"/>
        <v>196</v>
      </c>
      <c r="AI13" s="207">
        <f t="shared" si="13"/>
        <v>1960</v>
      </c>
      <c r="AJ13" s="207">
        <f t="shared" si="35"/>
        <v>196</v>
      </c>
      <c r="AK13" s="207">
        <f t="shared" si="14"/>
        <v>1960</v>
      </c>
      <c r="AL13" s="207">
        <f t="shared" si="36"/>
        <v>196</v>
      </c>
      <c r="AM13" s="207">
        <f t="shared" si="15"/>
        <v>1960</v>
      </c>
      <c r="AN13" s="35">
        <f t="shared" si="16"/>
        <v>0.7</v>
      </c>
      <c r="AO13" s="36">
        <f t="shared" si="17"/>
        <v>13720</v>
      </c>
      <c r="AQ13" s="227">
        <f t="shared" si="37"/>
        <v>0.6261735488728587</v>
      </c>
      <c r="AR13" s="38">
        <f t="shared" si="41"/>
        <v>58215.354838709674</v>
      </c>
      <c r="AS13" s="201">
        <f t="shared" si="38"/>
        <v>-1086.7096774193487</v>
      </c>
      <c r="AT13" s="278"/>
      <c r="AU13" s="452"/>
      <c r="AV13" s="539">
        <f t="shared" si="42"/>
        <v>0.34</v>
      </c>
      <c r="AW13" s="300">
        <f>-SUM('B5'!AI12)</f>
        <v>-360</v>
      </c>
      <c r="AX13" s="300">
        <f t="shared" si="39"/>
        <v>-726.70967741934874</v>
      </c>
      <c r="AY13" s="37">
        <f t="shared" si="40"/>
        <v>-1086.7096774193487</v>
      </c>
      <c r="AZ13" s="101">
        <f>ELEC!A10</f>
        <v>1.2999999999999999E-2</v>
      </c>
      <c r="BA13" s="119">
        <f>'General information '!D13</f>
        <v>24</v>
      </c>
      <c r="BB13" s="407">
        <f>SUM('General information '!E13)</f>
        <v>0.72</v>
      </c>
      <c r="BC13" s="3">
        <f t="shared" si="43"/>
        <v>0</v>
      </c>
      <c r="BD13" s="103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60">
        <f>ELEC!C11</f>
        <v>43991</v>
      </c>
      <c r="B14">
        <f>'B5'!B13</f>
        <v>185.2</v>
      </c>
      <c r="C14" s="207">
        <f t="shared" si="18"/>
        <v>3984.7870967741933</v>
      </c>
      <c r="D14">
        <f t="shared" si="19"/>
        <v>185.2</v>
      </c>
      <c r="E14" s="207">
        <f t="shared" si="18"/>
        <v>3984.7870967741933</v>
      </c>
      <c r="F14">
        <f t="shared" si="20"/>
        <v>185.2</v>
      </c>
      <c r="G14" s="207">
        <f t="shared" si="1"/>
        <v>3984.7870967741933</v>
      </c>
      <c r="H14" s="207">
        <f t="shared" si="21"/>
        <v>185.2</v>
      </c>
      <c r="I14" s="207">
        <f t="shared" si="2"/>
        <v>3984.7870967741933</v>
      </c>
      <c r="J14" s="207">
        <f t="shared" si="22"/>
        <v>185.2</v>
      </c>
      <c r="K14" s="207">
        <f t="shared" si="3"/>
        <v>3984.7870967741933</v>
      </c>
      <c r="L14" s="207">
        <f t="shared" si="23"/>
        <v>185.2</v>
      </c>
      <c r="M14" s="207">
        <f t="shared" si="4"/>
        <v>3984.7870967741933</v>
      </c>
      <c r="N14" s="207">
        <f t="shared" si="24"/>
        <v>185.2</v>
      </c>
      <c r="O14" s="207">
        <f t="shared" si="5"/>
        <v>3984.7870967741933</v>
      </c>
      <c r="P14" s="207">
        <f t="shared" si="25"/>
        <v>185.2</v>
      </c>
      <c r="Q14" s="207">
        <f t="shared" si="6"/>
        <v>3984.7870967741933</v>
      </c>
      <c r="R14" s="207">
        <f t="shared" si="26"/>
        <v>185.2</v>
      </c>
      <c r="S14" s="207">
        <f t="shared" si="7"/>
        <v>3984.7870967741933</v>
      </c>
      <c r="T14" s="207">
        <f t="shared" si="27"/>
        <v>185.2</v>
      </c>
      <c r="U14" s="207">
        <f t="shared" si="8"/>
        <v>3984.7870967741933</v>
      </c>
      <c r="V14" s="207">
        <f t="shared" si="28"/>
        <v>185.2</v>
      </c>
      <c r="W14" s="207">
        <f t="shared" si="9"/>
        <v>3984.7870967741933</v>
      </c>
      <c r="X14" s="35">
        <f t="shared" si="10"/>
        <v>0.59741935483870956</v>
      </c>
      <c r="Y14" s="36">
        <f t="shared" si="29"/>
        <v>43832.658064516123</v>
      </c>
      <c r="Z14" s="207">
        <f>'B5'!C13</f>
        <v>191.3</v>
      </c>
      <c r="AA14" s="207">
        <f t="shared" si="30"/>
        <v>1913</v>
      </c>
      <c r="AB14" s="207">
        <f t="shared" si="31"/>
        <v>191.3</v>
      </c>
      <c r="AC14" s="207">
        <f t="shared" si="30"/>
        <v>1913</v>
      </c>
      <c r="AD14" s="207">
        <f t="shared" si="32"/>
        <v>191.3</v>
      </c>
      <c r="AE14" s="207">
        <f t="shared" si="11"/>
        <v>1913</v>
      </c>
      <c r="AF14" s="207">
        <f t="shared" si="33"/>
        <v>191.3</v>
      </c>
      <c r="AG14" s="207">
        <f t="shared" si="12"/>
        <v>1913</v>
      </c>
      <c r="AH14" s="207">
        <f t="shared" si="34"/>
        <v>191.3</v>
      </c>
      <c r="AI14" s="207">
        <f t="shared" si="13"/>
        <v>1913</v>
      </c>
      <c r="AJ14" s="207">
        <f t="shared" si="35"/>
        <v>191.3</v>
      </c>
      <c r="AK14" s="207">
        <f t="shared" si="14"/>
        <v>1913</v>
      </c>
      <c r="AL14" s="207">
        <f t="shared" si="36"/>
        <v>191.3</v>
      </c>
      <c r="AM14" s="207">
        <f t="shared" si="15"/>
        <v>1913</v>
      </c>
      <c r="AN14" s="35">
        <f t="shared" si="16"/>
        <v>0.68321428571428566</v>
      </c>
      <c r="AO14" s="36">
        <f t="shared" si="17"/>
        <v>13391</v>
      </c>
      <c r="AQ14" s="227">
        <f t="shared" si="37"/>
        <v>0.61550670178031752</v>
      </c>
      <c r="AR14" s="38">
        <f t="shared" si="41"/>
        <v>57223.658064516123</v>
      </c>
      <c r="AS14" s="201">
        <f t="shared" si="38"/>
        <v>-991.69677419355139</v>
      </c>
      <c r="AT14" s="278"/>
      <c r="AU14" s="496"/>
      <c r="AV14" s="539">
        <f t="shared" si="42"/>
        <v>0.34</v>
      </c>
      <c r="AW14" s="300">
        <f>-SUM('B5'!AI13)</f>
        <v>-282</v>
      </c>
      <c r="AX14" s="300">
        <f t="shared" si="39"/>
        <v>-709.69677419355139</v>
      </c>
      <c r="AY14" s="37">
        <f t="shared" si="40"/>
        <v>-991.69677419355139</v>
      </c>
      <c r="AZ14" s="101">
        <f>ELEC!A11</f>
        <v>1.7399999999999999E-2</v>
      </c>
      <c r="BA14" s="119">
        <f>'General information '!D14</f>
        <v>24</v>
      </c>
      <c r="BB14" s="407">
        <f>SUM('General information '!E14)</f>
        <v>0.68</v>
      </c>
      <c r="BC14" s="3">
        <f t="shared" si="43"/>
        <v>0</v>
      </c>
      <c r="BD14" s="103">
        <v>19222</v>
      </c>
      <c r="BE14" s="14">
        <f>(305/1185)*ELEC!Q12</f>
        <v>1544.3037974683546</v>
      </c>
      <c r="BF14" s="14"/>
      <c r="BG14" s="14" t="e">
        <f>#REF!-BE14</f>
        <v>#REF!</v>
      </c>
      <c r="BH14" s="11"/>
    </row>
    <row r="15" spans="1:61" ht="13.5" customHeight="1">
      <c r="A15" s="460">
        <f>ELEC!C12</f>
        <v>43992</v>
      </c>
      <c r="B15">
        <f>'B5'!B14</f>
        <v>177.2</v>
      </c>
      <c r="C15" s="207">
        <f t="shared" si="18"/>
        <v>3812.6580645161289</v>
      </c>
      <c r="D15">
        <f t="shared" si="19"/>
        <v>177.2</v>
      </c>
      <c r="E15" s="207">
        <f t="shared" si="18"/>
        <v>3812.6580645161289</v>
      </c>
      <c r="F15">
        <f t="shared" si="20"/>
        <v>177.2</v>
      </c>
      <c r="G15" s="207">
        <f t="shared" si="1"/>
        <v>3812.6580645161289</v>
      </c>
      <c r="H15" s="207">
        <f t="shared" si="21"/>
        <v>177.2</v>
      </c>
      <c r="I15" s="207">
        <f t="shared" si="2"/>
        <v>3812.6580645161289</v>
      </c>
      <c r="J15" s="207">
        <f t="shared" si="22"/>
        <v>177.2</v>
      </c>
      <c r="K15" s="207">
        <f t="shared" si="3"/>
        <v>3812.6580645161289</v>
      </c>
      <c r="L15" s="207">
        <f t="shared" si="23"/>
        <v>177.2</v>
      </c>
      <c r="M15" s="207">
        <f t="shared" si="4"/>
        <v>3812.6580645161289</v>
      </c>
      <c r="N15" s="207">
        <f t="shared" si="24"/>
        <v>177.2</v>
      </c>
      <c r="O15" s="207">
        <f t="shared" si="5"/>
        <v>3812.6580645161289</v>
      </c>
      <c r="P15" s="207">
        <f t="shared" si="25"/>
        <v>177.2</v>
      </c>
      <c r="Q15" s="207">
        <f t="shared" si="6"/>
        <v>3812.6580645161289</v>
      </c>
      <c r="R15" s="207">
        <f t="shared" si="26"/>
        <v>177.2</v>
      </c>
      <c r="S15" s="207">
        <f t="shared" si="7"/>
        <v>3812.6580645161289</v>
      </c>
      <c r="T15" s="207">
        <f t="shared" si="27"/>
        <v>177.2</v>
      </c>
      <c r="U15" s="207">
        <f t="shared" si="8"/>
        <v>3812.6580645161289</v>
      </c>
      <c r="V15" s="207">
        <f t="shared" si="28"/>
        <v>177.2</v>
      </c>
      <c r="W15" s="207">
        <f t="shared" si="9"/>
        <v>3812.6580645161289</v>
      </c>
      <c r="X15" s="35">
        <f t="shared" si="10"/>
        <v>0.57161290322580649</v>
      </c>
      <c r="Y15" s="36">
        <f t="shared" si="29"/>
        <v>41939.238709677426</v>
      </c>
      <c r="Z15" s="207">
        <f>'B5'!C14</f>
        <v>183.5</v>
      </c>
      <c r="AA15" s="207">
        <f t="shared" si="30"/>
        <v>1835</v>
      </c>
      <c r="AB15" s="207">
        <f t="shared" si="31"/>
        <v>183.5</v>
      </c>
      <c r="AC15" s="207">
        <f t="shared" si="30"/>
        <v>1835</v>
      </c>
      <c r="AD15" s="207">
        <f t="shared" si="32"/>
        <v>183.5</v>
      </c>
      <c r="AE15" s="207">
        <f t="shared" si="11"/>
        <v>1835</v>
      </c>
      <c r="AF15" s="207">
        <f t="shared" si="33"/>
        <v>183.5</v>
      </c>
      <c r="AG15" s="207">
        <f t="shared" si="12"/>
        <v>1835</v>
      </c>
      <c r="AH15" s="207">
        <f t="shared" si="34"/>
        <v>183.5</v>
      </c>
      <c r="AI15" s="207">
        <f t="shared" si="13"/>
        <v>1835</v>
      </c>
      <c r="AJ15" s="207">
        <f t="shared" si="35"/>
        <v>183.5</v>
      </c>
      <c r="AK15" s="207">
        <f t="shared" si="14"/>
        <v>1835</v>
      </c>
      <c r="AL15" s="207">
        <f t="shared" si="36"/>
        <v>183.5</v>
      </c>
      <c r="AM15" s="207">
        <f t="shared" si="15"/>
        <v>1835</v>
      </c>
      <c r="AN15" s="35">
        <f t="shared" si="16"/>
        <v>0.65535714285714286</v>
      </c>
      <c r="AO15" s="36">
        <f t="shared" si="17"/>
        <v>12845</v>
      </c>
      <c r="AQ15" s="227">
        <f t="shared" si="37"/>
        <v>0.5892679220143856</v>
      </c>
      <c r="AR15" s="38">
        <f t="shared" si="41"/>
        <v>54784.238709677426</v>
      </c>
      <c r="AS15" s="201">
        <f>SUM(AR15-AR14-AT15)</f>
        <v>-2439.4193548386975</v>
      </c>
      <c r="AT15" s="278"/>
      <c r="AU15" s="452"/>
      <c r="AV15" s="539">
        <f>IF(AT15&gt;0,AU15,AV14)</f>
        <v>0.34</v>
      </c>
      <c r="AW15" s="300">
        <f>-SUM('B5'!AI14)</f>
        <v>-600.40000000002328</v>
      </c>
      <c r="AX15" s="300">
        <f>-SUM(AW15-AS15)</f>
        <v>-1839.0193548386742</v>
      </c>
      <c r="AY15" s="37">
        <f t="shared" si="40"/>
        <v>-2439.4193548386975</v>
      </c>
      <c r="AZ15" s="101">
        <f>ELEC!A12</f>
        <v>1.7399999999999999E-2</v>
      </c>
      <c r="BA15" s="119">
        <f>'General information '!D15</f>
        <v>24</v>
      </c>
      <c r="BB15" s="407">
        <f>SUM('General information '!E15)</f>
        <v>0.65</v>
      </c>
      <c r="BC15" s="3">
        <f t="shared" si="43"/>
        <v>0</v>
      </c>
      <c r="BD15" s="103">
        <v>19222</v>
      </c>
      <c r="BE15" s="14">
        <f>(305/1185)*ELEC!Q13</f>
        <v>1286.9198312236288</v>
      </c>
      <c r="BF15" s="14"/>
      <c r="BG15" s="14" t="e">
        <f>#REF!-BE15</f>
        <v>#REF!</v>
      </c>
      <c r="BH15" s="11"/>
    </row>
    <row r="16" spans="1:61">
      <c r="A16" s="460">
        <f>ELEC!C13</f>
        <v>43993</v>
      </c>
      <c r="B16">
        <f>'B5'!B15</f>
        <v>169</v>
      </c>
      <c r="C16" s="207">
        <f t="shared" si="18"/>
        <v>3636.2258064516127</v>
      </c>
      <c r="D16">
        <f t="shared" si="19"/>
        <v>169</v>
      </c>
      <c r="E16" s="207">
        <f t="shared" si="18"/>
        <v>3636.2258064516127</v>
      </c>
      <c r="F16">
        <f t="shared" si="20"/>
        <v>169</v>
      </c>
      <c r="G16" s="207">
        <f t="shared" si="1"/>
        <v>3636.2258064516127</v>
      </c>
      <c r="H16" s="207">
        <f t="shared" si="21"/>
        <v>169</v>
      </c>
      <c r="I16" s="207">
        <f t="shared" si="2"/>
        <v>3636.2258064516127</v>
      </c>
      <c r="J16" s="207">
        <f t="shared" si="22"/>
        <v>169</v>
      </c>
      <c r="K16" s="207">
        <f t="shared" si="3"/>
        <v>3636.2258064516127</v>
      </c>
      <c r="L16" s="207">
        <f t="shared" si="23"/>
        <v>169</v>
      </c>
      <c r="M16" s="207">
        <f t="shared" si="4"/>
        <v>3636.2258064516127</v>
      </c>
      <c r="N16" s="207">
        <f t="shared" si="24"/>
        <v>169</v>
      </c>
      <c r="O16" s="207">
        <f t="shared" si="5"/>
        <v>3636.2258064516127</v>
      </c>
      <c r="P16" s="207">
        <f t="shared" si="25"/>
        <v>169</v>
      </c>
      <c r="Q16" s="207">
        <f t="shared" si="6"/>
        <v>3636.2258064516127</v>
      </c>
      <c r="R16" s="207">
        <f t="shared" si="26"/>
        <v>169</v>
      </c>
      <c r="S16" s="207">
        <f t="shared" si="7"/>
        <v>3636.2258064516127</v>
      </c>
      <c r="T16" s="207">
        <f t="shared" si="27"/>
        <v>169</v>
      </c>
      <c r="U16" s="207">
        <f t="shared" si="8"/>
        <v>3636.2258064516127</v>
      </c>
      <c r="V16" s="207">
        <f t="shared" si="28"/>
        <v>169</v>
      </c>
      <c r="W16" s="207">
        <f t="shared" si="9"/>
        <v>3636.2258064516127</v>
      </c>
      <c r="X16" s="35">
        <f t="shared" si="10"/>
        <v>0.54516129032258065</v>
      </c>
      <c r="Y16" s="36">
        <f t="shared" si="29"/>
        <v>39998.483870967742</v>
      </c>
      <c r="Z16" s="207">
        <f>'B5'!C15</f>
        <v>175</v>
      </c>
      <c r="AA16" s="207">
        <f t="shared" si="30"/>
        <v>1750</v>
      </c>
      <c r="AB16" s="207">
        <f t="shared" si="31"/>
        <v>175</v>
      </c>
      <c r="AC16" s="207">
        <f t="shared" si="30"/>
        <v>1750</v>
      </c>
      <c r="AD16" s="207">
        <f t="shared" si="32"/>
        <v>175</v>
      </c>
      <c r="AE16" s="207">
        <f t="shared" si="11"/>
        <v>1750</v>
      </c>
      <c r="AF16" s="207">
        <f t="shared" si="33"/>
        <v>175</v>
      </c>
      <c r="AG16" s="207">
        <f t="shared" si="12"/>
        <v>1750</v>
      </c>
      <c r="AH16" s="207">
        <f t="shared" si="34"/>
        <v>175</v>
      </c>
      <c r="AI16" s="207">
        <f t="shared" si="13"/>
        <v>1750</v>
      </c>
      <c r="AJ16" s="207">
        <f t="shared" si="35"/>
        <v>175</v>
      </c>
      <c r="AK16" s="207">
        <f t="shared" si="14"/>
        <v>1750</v>
      </c>
      <c r="AL16" s="207">
        <f t="shared" si="36"/>
        <v>175</v>
      </c>
      <c r="AM16" s="207">
        <f t="shared" si="15"/>
        <v>1750</v>
      </c>
      <c r="AN16" s="35">
        <f t="shared" si="16"/>
        <v>0.625</v>
      </c>
      <c r="AO16" s="36">
        <f t="shared" si="17"/>
        <v>12250</v>
      </c>
      <c r="AQ16" s="227">
        <f t="shared" si="37"/>
        <v>0.56199294257252597</v>
      </c>
      <c r="AR16" s="38">
        <f t="shared" si="41"/>
        <v>52248.483870967742</v>
      </c>
      <c r="AS16" s="201">
        <f>SUM(AR16-AR15-AT16)</f>
        <v>-2535.7548387096831</v>
      </c>
      <c r="AT16" s="278"/>
      <c r="AU16" s="452"/>
      <c r="AV16" s="539">
        <f>IF(AT16&gt;0,AU16,AV15)</f>
        <v>0.34</v>
      </c>
      <c r="AW16" s="300">
        <f>-SUM('B5'!AI15)</f>
        <v>-368.10000000000582</v>
      </c>
      <c r="AX16" s="300">
        <f>-SUM(AW16-AS16)</f>
        <v>-2167.6548387096773</v>
      </c>
      <c r="AY16" s="37">
        <f t="shared" si="40"/>
        <v>-2535.7548387096831</v>
      </c>
      <c r="AZ16" s="101">
        <f>ELEC!A13</f>
        <v>1.2999999999999999E-2</v>
      </c>
      <c r="BA16" s="119">
        <f>'General information '!D16</f>
        <v>24</v>
      </c>
      <c r="BB16" s="407">
        <f>SUM('General information '!E16)</f>
        <v>0.68</v>
      </c>
      <c r="BC16" s="3">
        <f t="shared" si="43"/>
        <v>0</v>
      </c>
      <c r="BD16" s="103">
        <v>19222</v>
      </c>
      <c r="BE16" s="14">
        <f>(305/1185)*ELEC!Q14</f>
        <v>1544.3037974683546</v>
      </c>
      <c r="BF16" s="14"/>
      <c r="BG16" s="14" t="e">
        <f>#REF!-BE16</f>
        <v>#REF!</v>
      </c>
      <c r="BH16" s="11"/>
    </row>
    <row r="17" spans="1:61">
      <c r="A17" s="460">
        <f>ELEC!C14</f>
        <v>43994</v>
      </c>
      <c r="B17">
        <f>'B5'!B16</f>
        <v>161.5</v>
      </c>
      <c r="C17" s="207">
        <f t="shared" si="18"/>
        <v>3474.8548387096776</v>
      </c>
      <c r="D17">
        <f t="shared" si="19"/>
        <v>161.5</v>
      </c>
      <c r="E17" s="207">
        <f t="shared" si="18"/>
        <v>3474.8548387096776</v>
      </c>
      <c r="F17">
        <f t="shared" si="20"/>
        <v>161.5</v>
      </c>
      <c r="G17" s="207">
        <f t="shared" si="1"/>
        <v>3474.8548387096776</v>
      </c>
      <c r="H17" s="207">
        <f t="shared" si="21"/>
        <v>161.5</v>
      </c>
      <c r="I17" s="207">
        <f t="shared" si="2"/>
        <v>3474.8548387096776</v>
      </c>
      <c r="J17" s="207">
        <f t="shared" si="22"/>
        <v>161.5</v>
      </c>
      <c r="K17" s="207">
        <f t="shared" si="3"/>
        <v>3474.8548387096776</v>
      </c>
      <c r="L17" s="207">
        <f t="shared" si="23"/>
        <v>161.5</v>
      </c>
      <c r="M17" s="207">
        <f t="shared" si="4"/>
        <v>3474.8548387096776</v>
      </c>
      <c r="N17" s="207">
        <f t="shared" si="24"/>
        <v>161.5</v>
      </c>
      <c r="O17" s="207">
        <f t="shared" si="5"/>
        <v>3474.8548387096776</v>
      </c>
      <c r="P17" s="207">
        <f t="shared" si="25"/>
        <v>161.5</v>
      </c>
      <c r="Q17" s="207">
        <f t="shared" si="6"/>
        <v>3474.8548387096776</v>
      </c>
      <c r="R17" s="207">
        <f t="shared" si="26"/>
        <v>161.5</v>
      </c>
      <c r="S17" s="207">
        <f t="shared" si="7"/>
        <v>3474.8548387096776</v>
      </c>
      <c r="T17" s="207">
        <f t="shared" si="27"/>
        <v>161.5</v>
      </c>
      <c r="U17" s="207">
        <f t="shared" si="8"/>
        <v>3474.8548387096776</v>
      </c>
      <c r="V17" s="207">
        <f t="shared" si="28"/>
        <v>161.5</v>
      </c>
      <c r="W17" s="207">
        <f t="shared" si="9"/>
        <v>3474.8548387096776</v>
      </c>
      <c r="X17" s="35">
        <f t="shared" si="10"/>
        <v>0.52096774193548379</v>
      </c>
      <c r="Y17" s="36">
        <f t="shared" si="29"/>
        <v>38223.403225806447</v>
      </c>
      <c r="Z17" s="207">
        <f>'B5'!C16</f>
        <v>168</v>
      </c>
      <c r="AA17" s="207">
        <f t="shared" si="30"/>
        <v>1680</v>
      </c>
      <c r="AB17" s="207">
        <f t="shared" si="31"/>
        <v>168</v>
      </c>
      <c r="AC17" s="207">
        <f t="shared" si="30"/>
        <v>1680</v>
      </c>
      <c r="AD17" s="207">
        <f t="shared" si="32"/>
        <v>168</v>
      </c>
      <c r="AE17" s="207">
        <f t="shared" si="11"/>
        <v>1680</v>
      </c>
      <c r="AF17" s="207">
        <f t="shared" si="33"/>
        <v>168</v>
      </c>
      <c r="AG17" s="207">
        <f t="shared" si="12"/>
        <v>1680</v>
      </c>
      <c r="AH17" s="207">
        <f t="shared" si="34"/>
        <v>168</v>
      </c>
      <c r="AI17" s="207">
        <f t="shared" si="13"/>
        <v>1680</v>
      </c>
      <c r="AJ17" s="207">
        <f t="shared" si="35"/>
        <v>168</v>
      </c>
      <c r="AK17" s="207">
        <f t="shared" si="14"/>
        <v>1680</v>
      </c>
      <c r="AL17" s="207">
        <f t="shared" si="36"/>
        <v>168</v>
      </c>
      <c r="AM17" s="207">
        <f t="shared" si="15"/>
        <v>1680</v>
      </c>
      <c r="AN17" s="35">
        <f t="shared" si="16"/>
        <v>0.6</v>
      </c>
      <c r="AO17" s="36">
        <f>SUM(AA17+AC17+AE17+AG17+AI17+AK17+AM17)</f>
        <v>11760</v>
      </c>
      <c r="AQ17" s="227">
        <f t="shared" si="37"/>
        <v>0.53762937749603579</v>
      </c>
      <c r="AR17" s="38">
        <f t="shared" si="41"/>
        <v>49983.403225806447</v>
      </c>
      <c r="AS17" s="201">
        <f t="shared" si="38"/>
        <v>-2265.0806451612953</v>
      </c>
      <c r="AT17" s="368"/>
      <c r="AU17" s="496"/>
      <c r="AV17" s="539">
        <f t="shared" si="42"/>
        <v>0.34</v>
      </c>
      <c r="AW17" s="300">
        <f>-SUM('B5'!AI16)</f>
        <v>-366</v>
      </c>
      <c r="AX17" s="300">
        <f t="shared" si="39"/>
        <v>-1899.0806451612953</v>
      </c>
      <c r="AY17" s="37">
        <f t="shared" si="40"/>
        <v>-2265.0806451612953</v>
      </c>
      <c r="AZ17" s="101">
        <f>ELEC!A14</f>
        <v>0.03</v>
      </c>
      <c r="BA17" s="119">
        <f>'General information '!D17</f>
        <v>23.5</v>
      </c>
      <c r="BB17" s="407">
        <f>SUM('General information '!E17)</f>
        <v>0.42</v>
      </c>
      <c r="BC17" s="3">
        <f t="shared" si="43"/>
        <v>0</v>
      </c>
      <c r="BD17" s="103">
        <v>19222</v>
      </c>
      <c r="BE17" s="14">
        <f>(305/1185)*ELEC!Q15</f>
        <v>1544.3037974683546</v>
      </c>
      <c r="BF17" s="14"/>
      <c r="BG17" s="14" t="e">
        <f>#REF!-BE17</f>
        <v>#REF!</v>
      </c>
      <c r="BH17" s="11"/>
    </row>
    <row r="18" spans="1:61">
      <c r="A18" s="460">
        <f>ELEC!C15</f>
        <v>43995</v>
      </c>
      <c r="B18">
        <f>'B5'!B17</f>
        <v>155</v>
      </c>
      <c r="C18" s="207">
        <f t="shared" si="18"/>
        <v>3335</v>
      </c>
      <c r="D18">
        <f t="shared" si="19"/>
        <v>155</v>
      </c>
      <c r="E18" s="207">
        <f t="shared" si="18"/>
        <v>3335</v>
      </c>
      <c r="F18">
        <f t="shared" si="20"/>
        <v>155</v>
      </c>
      <c r="G18" s="207">
        <f t="shared" si="1"/>
        <v>3335</v>
      </c>
      <c r="H18" s="207">
        <f t="shared" si="21"/>
        <v>155</v>
      </c>
      <c r="I18" s="207">
        <f t="shared" si="2"/>
        <v>3335</v>
      </c>
      <c r="J18" s="207">
        <f t="shared" si="22"/>
        <v>155</v>
      </c>
      <c r="K18" s="207">
        <f t="shared" si="3"/>
        <v>3335</v>
      </c>
      <c r="L18" s="207">
        <f t="shared" si="23"/>
        <v>155</v>
      </c>
      <c r="M18" s="207">
        <f t="shared" si="4"/>
        <v>3335</v>
      </c>
      <c r="N18" s="207">
        <f t="shared" si="24"/>
        <v>155</v>
      </c>
      <c r="O18" s="207">
        <f t="shared" si="5"/>
        <v>3335</v>
      </c>
      <c r="P18" s="207">
        <f t="shared" si="25"/>
        <v>155</v>
      </c>
      <c r="Q18" s="207">
        <f t="shared" si="6"/>
        <v>3335</v>
      </c>
      <c r="R18" s="207">
        <f t="shared" si="26"/>
        <v>155</v>
      </c>
      <c r="S18" s="207">
        <f t="shared" si="7"/>
        <v>3335</v>
      </c>
      <c r="T18" s="207">
        <f t="shared" si="27"/>
        <v>155</v>
      </c>
      <c r="U18" s="207">
        <f t="shared" si="8"/>
        <v>3335</v>
      </c>
      <c r="V18" s="207">
        <f t="shared" si="28"/>
        <v>155</v>
      </c>
      <c r="W18" s="207">
        <f t="shared" si="9"/>
        <v>3335</v>
      </c>
      <c r="X18" s="35">
        <f t="shared" si="10"/>
        <v>0.5</v>
      </c>
      <c r="Y18" s="36">
        <f t="shared" si="29"/>
        <v>36685</v>
      </c>
      <c r="Z18" s="207">
        <f>'B5'!C17</f>
        <v>161</v>
      </c>
      <c r="AA18" s="207">
        <f t="shared" si="30"/>
        <v>1610</v>
      </c>
      <c r="AB18" s="207">
        <f t="shared" si="31"/>
        <v>161</v>
      </c>
      <c r="AC18" s="207">
        <f t="shared" si="30"/>
        <v>1610</v>
      </c>
      <c r="AD18" s="207">
        <f t="shared" si="32"/>
        <v>161</v>
      </c>
      <c r="AE18" s="207">
        <f t="shared" si="11"/>
        <v>1610</v>
      </c>
      <c r="AF18" s="207">
        <f t="shared" si="33"/>
        <v>161</v>
      </c>
      <c r="AG18" s="207">
        <f t="shared" si="12"/>
        <v>1610</v>
      </c>
      <c r="AH18" s="207">
        <f t="shared" si="34"/>
        <v>161</v>
      </c>
      <c r="AI18" s="207">
        <f t="shared" si="13"/>
        <v>1610</v>
      </c>
      <c r="AJ18" s="207">
        <f t="shared" si="35"/>
        <v>161</v>
      </c>
      <c r="AK18" s="207">
        <f t="shared" si="14"/>
        <v>1610</v>
      </c>
      <c r="AL18" s="207">
        <f t="shared" si="36"/>
        <v>161</v>
      </c>
      <c r="AM18" s="207">
        <f t="shared" si="15"/>
        <v>1610</v>
      </c>
      <c r="AN18" s="35">
        <f t="shared" si="16"/>
        <v>0.57499999999999996</v>
      </c>
      <c r="AO18" s="36">
        <f t="shared" si="17"/>
        <v>11270</v>
      </c>
      <c r="AQ18" s="227">
        <f t="shared" si="37"/>
        <v>0.51581155211358498</v>
      </c>
      <c r="AR18" s="38">
        <f t="shared" si="41"/>
        <v>47955</v>
      </c>
      <c r="AS18" s="201">
        <f t="shared" si="38"/>
        <v>-2028.4032258064472</v>
      </c>
      <c r="AT18" s="278"/>
      <c r="AU18" s="452"/>
      <c r="AV18" s="539">
        <f>IF(AT18&gt;0,AU18,AV17)</f>
        <v>0.34</v>
      </c>
      <c r="AW18" s="300">
        <f>-SUM('B5'!AI17)</f>
        <v>-319</v>
      </c>
      <c r="AX18" s="300">
        <f t="shared" si="39"/>
        <v>-1709.4032258064472</v>
      </c>
      <c r="AY18" s="37">
        <f t="shared" si="40"/>
        <v>-2028.4032258064472</v>
      </c>
      <c r="AZ18" s="101">
        <f>ELEC!A15</f>
        <v>1.7399999999999999E-2</v>
      </c>
      <c r="BA18" s="119">
        <f>'General information '!D18</f>
        <v>22.5</v>
      </c>
      <c r="BB18" s="407">
        <f>SUM('General information '!E18)</f>
        <v>0.47</v>
      </c>
      <c r="BC18" s="3">
        <f t="shared" si="43"/>
        <v>0</v>
      </c>
      <c r="BD18" s="103">
        <v>19222</v>
      </c>
      <c r="BE18" s="14">
        <f>(305/1185)*ELEC!Q16</f>
        <v>772.15189873417728</v>
      </c>
      <c r="BF18" s="14"/>
      <c r="BG18" s="14" t="e">
        <f>#REF!-BE18</f>
        <v>#REF!</v>
      </c>
      <c r="BH18" s="11"/>
    </row>
    <row r="19" spans="1:61">
      <c r="A19" s="460">
        <f>ELEC!C16</f>
        <v>43996</v>
      </c>
      <c r="B19">
        <f>'B5'!B18</f>
        <v>150</v>
      </c>
      <c r="C19" s="207">
        <f t="shared" si="18"/>
        <v>3227.4193548387098</v>
      </c>
      <c r="D19">
        <f t="shared" si="19"/>
        <v>150</v>
      </c>
      <c r="E19" s="207">
        <f t="shared" si="18"/>
        <v>3227.4193548387098</v>
      </c>
      <c r="F19">
        <f t="shared" si="20"/>
        <v>150</v>
      </c>
      <c r="G19" s="207">
        <f t="shared" si="1"/>
        <v>3227.4193548387098</v>
      </c>
      <c r="H19" s="207">
        <f t="shared" si="21"/>
        <v>150</v>
      </c>
      <c r="I19" s="207">
        <f t="shared" si="2"/>
        <v>3227.4193548387098</v>
      </c>
      <c r="J19" s="207">
        <f t="shared" si="22"/>
        <v>150</v>
      </c>
      <c r="K19" s="207">
        <f t="shared" si="3"/>
        <v>3227.4193548387098</v>
      </c>
      <c r="L19" s="207">
        <f t="shared" si="23"/>
        <v>150</v>
      </c>
      <c r="M19" s="207">
        <f t="shared" si="4"/>
        <v>3227.4193548387098</v>
      </c>
      <c r="N19" s="207">
        <f t="shared" si="24"/>
        <v>150</v>
      </c>
      <c r="O19" s="207">
        <f t="shared" si="5"/>
        <v>3227.4193548387098</v>
      </c>
      <c r="P19" s="207">
        <f t="shared" si="25"/>
        <v>150</v>
      </c>
      <c r="Q19" s="207">
        <f t="shared" si="6"/>
        <v>3227.4193548387098</v>
      </c>
      <c r="R19" s="207">
        <f t="shared" si="26"/>
        <v>150</v>
      </c>
      <c r="S19" s="207">
        <f t="shared" si="7"/>
        <v>3227.4193548387098</v>
      </c>
      <c r="T19" s="207">
        <f t="shared" si="27"/>
        <v>150</v>
      </c>
      <c r="U19" s="207">
        <f t="shared" si="8"/>
        <v>3227.4193548387098</v>
      </c>
      <c r="V19" s="207">
        <f t="shared" si="28"/>
        <v>150</v>
      </c>
      <c r="W19" s="207">
        <f t="shared" si="9"/>
        <v>3227.4193548387098</v>
      </c>
      <c r="X19" s="35">
        <f t="shared" si="10"/>
        <v>0.48387096774193544</v>
      </c>
      <c r="Y19" s="36">
        <f t="shared" si="29"/>
        <v>35501.612903225803</v>
      </c>
      <c r="Z19" s="207">
        <f>'B5'!C18</f>
        <v>156</v>
      </c>
      <c r="AA19" s="207">
        <f t="shared" si="30"/>
        <v>1560</v>
      </c>
      <c r="AB19" s="207">
        <f t="shared" si="31"/>
        <v>156</v>
      </c>
      <c r="AC19" s="207">
        <f t="shared" si="30"/>
        <v>1560</v>
      </c>
      <c r="AD19" s="207">
        <f t="shared" si="32"/>
        <v>156</v>
      </c>
      <c r="AE19" s="207">
        <f t="shared" si="11"/>
        <v>1560</v>
      </c>
      <c r="AF19" s="207">
        <f t="shared" si="33"/>
        <v>156</v>
      </c>
      <c r="AG19" s="207">
        <f t="shared" si="12"/>
        <v>1560</v>
      </c>
      <c r="AH19" s="207">
        <f t="shared" si="34"/>
        <v>156</v>
      </c>
      <c r="AI19" s="207">
        <f t="shared" si="13"/>
        <v>1560</v>
      </c>
      <c r="AJ19" s="207">
        <f t="shared" si="35"/>
        <v>156</v>
      </c>
      <c r="AK19" s="207">
        <f t="shared" si="14"/>
        <v>1560</v>
      </c>
      <c r="AL19" s="207">
        <f t="shared" si="36"/>
        <v>156</v>
      </c>
      <c r="AM19" s="207">
        <f t="shared" si="15"/>
        <v>1560</v>
      </c>
      <c r="AN19" s="35">
        <f t="shared" si="16"/>
        <v>0.55714285714285716</v>
      </c>
      <c r="AO19" s="36">
        <f t="shared" si="17"/>
        <v>10920</v>
      </c>
      <c r="AQ19" s="227">
        <f t="shared" si="37"/>
        <v>0.49931819837824892</v>
      </c>
      <c r="AR19" s="38">
        <f t="shared" si="41"/>
        <v>46421.612903225803</v>
      </c>
      <c r="AS19" s="201">
        <f t="shared" si="38"/>
        <v>-1533.3870967741968</v>
      </c>
      <c r="AT19" s="278"/>
      <c r="AU19" s="496"/>
      <c r="AV19" s="539">
        <f t="shared" si="42"/>
        <v>0.34</v>
      </c>
      <c r="AW19" s="300">
        <f>-SUM('B5'!AI18)</f>
        <v>-302</v>
      </c>
      <c r="AX19" s="300">
        <f t="shared" si="39"/>
        <v>-1231.3870967741968</v>
      </c>
      <c r="AY19" s="37">
        <f t="shared" si="40"/>
        <v>-1533.3870967741968</v>
      </c>
      <c r="AZ19" s="101">
        <f>ELEC!A16</f>
        <v>1.2999999999999999E-2</v>
      </c>
      <c r="BA19" s="119">
        <f>'General information '!D19</f>
        <v>23.5</v>
      </c>
      <c r="BB19" s="407">
        <f>SUM('General information '!E19)</f>
        <v>0.65</v>
      </c>
      <c r="BC19" s="3">
        <f t="shared" si="43"/>
        <v>0</v>
      </c>
      <c r="BD19" s="103">
        <v>19222</v>
      </c>
      <c r="BE19" s="14">
        <f>(305/1185)*ELEC!Q17</f>
        <v>1544.3037974683546</v>
      </c>
      <c r="BF19" s="14"/>
      <c r="BG19" s="14" t="e">
        <f>#REF!-BE19</f>
        <v>#REF!</v>
      </c>
      <c r="BH19" s="11"/>
    </row>
    <row r="20" spans="1:61">
      <c r="A20" s="460">
        <f>ELEC!C17</f>
        <v>43997</v>
      </c>
      <c r="B20">
        <f>'B5'!B19</f>
        <v>172</v>
      </c>
      <c r="C20" s="207">
        <f t="shared" si="18"/>
        <v>3700.7741935483868</v>
      </c>
      <c r="D20">
        <f t="shared" si="19"/>
        <v>172</v>
      </c>
      <c r="E20" s="207">
        <f t="shared" si="18"/>
        <v>3700.7741935483868</v>
      </c>
      <c r="F20">
        <f t="shared" si="20"/>
        <v>172</v>
      </c>
      <c r="G20" s="207">
        <f t="shared" si="1"/>
        <v>3700.7741935483868</v>
      </c>
      <c r="H20" s="207">
        <f t="shared" si="21"/>
        <v>172</v>
      </c>
      <c r="I20" s="207">
        <f t="shared" si="2"/>
        <v>3700.7741935483868</v>
      </c>
      <c r="J20" s="207">
        <f t="shared" si="22"/>
        <v>172</v>
      </c>
      <c r="K20" s="207">
        <f t="shared" si="3"/>
        <v>3700.7741935483868</v>
      </c>
      <c r="L20" s="207">
        <f t="shared" si="23"/>
        <v>172</v>
      </c>
      <c r="M20" s="207">
        <f t="shared" si="4"/>
        <v>3700.7741935483868</v>
      </c>
      <c r="N20" s="207">
        <f t="shared" si="24"/>
        <v>172</v>
      </c>
      <c r="O20" s="207">
        <f t="shared" si="5"/>
        <v>3700.7741935483868</v>
      </c>
      <c r="P20" s="207">
        <f t="shared" si="25"/>
        <v>172</v>
      </c>
      <c r="Q20" s="207">
        <f t="shared" si="6"/>
        <v>3700.7741935483868</v>
      </c>
      <c r="R20" s="207">
        <f t="shared" si="26"/>
        <v>172</v>
      </c>
      <c r="S20" s="207">
        <f t="shared" si="7"/>
        <v>3700.7741935483868</v>
      </c>
      <c r="T20" s="207">
        <f t="shared" si="27"/>
        <v>172</v>
      </c>
      <c r="U20" s="207">
        <f t="shared" si="8"/>
        <v>3700.7741935483868</v>
      </c>
      <c r="V20" s="207">
        <f t="shared" si="28"/>
        <v>172</v>
      </c>
      <c r="W20" s="207">
        <f t="shared" si="9"/>
        <v>3700.7741935483868</v>
      </c>
      <c r="X20" s="35">
        <f t="shared" si="10"/>
        <v>0.55483870967741933</v>
      </c>
      <c r="Y20" s="36">
        <f t="shared" si="29"/>
        <v>40708.516129032258</v>
      </c>
      <c r="Z20" s="207">
        <f>'B5'!C19</f>
        <v>178</v>
      </c>
      <c r="AA20" s="207">
        <f t="shared" si="30"/>
        <v>1780</v>
      </c>
      <c r="AB20" s="207">
        <f t="shared" si="31"/>
        <v>178</v>
      </c>
      <c r="AC20" s="207">
        <f t="shared" si="30"/>
        <v>1780</v>
      </c>
      <c r="AD20" s="207">
        <f t="shared" si="32"/>
        <v>178</v>
      </c>
      <c r="AE20" s="207">
        <f t="shared" si="11"/>
        <v>1780</v>
      </c>
      <c r="AF20" s="207">
        <f t="shared" si="33"/>
        <v>178</v>
      </c>
      <c r="AG20" s="207">
        <f t="shared" si="12"/>
        <v>1780</v>
      </c>
      <c r="AH20" s="207">
        <f t="shared" si="34"/>
        <v>178</v>
      </c>
      <c r="AI20" s="207">
        <f t="shared" si="13"/>
        <v>1780</v>
      </c>
      <c r="AJ20" s="207">
        <f t="shared" si="35"/>
        <v>178</v>
      </c>
      <c r="AK20" s="207">
        <f t="shared" si="14"/>
        <v>1780</v>
      </c>
      <c r="AL20" s="207">
        <f t="shared" si="36"/>
        <v>178</v>
      </c>
      <c r="AM20" s="207">
        <f t="shared" si="15"/>
        <v>1780</v>
      </c>
      <c r="AN20" s="35">
        <f t="shared" si="16"/>
        <v>0.63571428571428568</v>
      </c>
      <c r="AO20" s="36">
        <f t="shared" si="17"/>
        <v>12460</v>
      </c>
      <c r="AQ20" s="227">
        <f t="shared" si="37"/>
        <v>0.57188895481372759</v>
      </c>
      <c r="AR20" s="38">
        <f t="shared" si="41"/>
        <v>53168.516129032258</v>
      </c>
      <c r="AS20" s="201">
        <f t="shared" si="38"/>
        <v>-1553.0967741935456</v>
      </c>
      <c r="AT20" s="278">
        <v>8300</v>
      </c>
      <c r="AU20" s="452">
        <v>0.36</v>
      </c>
      <c r="AV20" s="539">
        <f t="shared" si="42"/>
        <v>0.36</v>
      </c>
      <c r="AW20" s="300">
        <f>-SUM('B5'!AI19)</f>
        <v>-352</v>
      </c>
      <c r="AX20" s="300">
        <f t="shared" si="39"/>
        <v>-1201.0967741935456</v>
      </c>
      <c r="AY20" s="37">
        <f t="shared" si="40"/>
        <v>-1553.0967741935456</v>
      </c>
      <c r="AZ20" s="101">
        <f>ELEC!A17</f>
        <v>1.2999999999999999E-2</v>
      </c>
      <c r="BA20" s="119">
        <f>'General information '!D20</f>
        <v>23</v>
      </c>
      <c r="BB20" s="407">
        <f>SUM('General information '!E20)</f>
        <v>0.62</v>
      </c>
      <c r="BC20" s="3">
        <f t="shared" si="43"/>
        <v>1</v>
      </c>
      <c r="BD20" s="103">
        <v>19222</v>
      </c>
      <c r="BE20" s="14">
        <f>(305/1185)*ELEC!Q18</f>
        <v>1286.9198312236288</v>
      </c>
      <c r="BF20" s="14"/>
      <c r="BG20" s="14" t="e">
        <f>#REF!-BE20</f>
        <v>#REF!</v>
      </c>
      <c r="BH20" s="11"/>
    </row>
    <row r="21" spans="1:61">
      <c r="A21" s="460">
        <f>ELEC!C18</f>
        <v>43998</v>
      </c>
      <c r="B21">
        <f>'B5'!B20</f>
        <v>166</v>
      </c>
      <c r="C21" s="207">
        <f t="shared" si="18"/>
        <v>3571.6774193548385</v>
      </c>
      <c r="D21">
        <f t="shared" si="19"/>
        <v>166</v>
      </c>
      <c r="E21" s="207">
        <f t="shared" si="18"/>
        <v>3571.6774193548385</v>
      </c>
      <c r="F21">
        <f t="shared" si="20"/>
        <v>166</v>
      </c>
      <c r="G21" s="207">
        <f t="shared" si="1"/>
        <v>3571.6774193548385</v>
      </c>
      <c r="H21" s="207">
        <f t="shared" si="21"/>
        <v>166</v>
      </c>
      <c r="I21" s="207">
        <f t="shared" si="2"/>
        <v>3571.6774193548385</v>
      </c>
      <c r="J21" s="207">
        <f t="shared" si="22"/>
        <v>166</v>
      </c>
      <c r="K21" s="207">
        <f t="shared" si="3"/>
        <v>3571.6774193548385</v>
      </c>
      <c r="L21" s="207">
        <f t="shared" si="23"/>
        <v>166</v>
      </c>
      <c r="M21" s="207">
        <f t="shared" si="4"/>
        <v>3571.6774193548385</v>
      </c>
      <c r="N21" s="207">
        <f t="shared" si="24"/>
        <v>166</v>
      </c>
      <c r="O21" s="207">
        <f t="shared" si="5"/>
        <v>3571.6774193548385</v>
      </c>
      <c r="P21" s="207">
        <f t="shared" si="25"/>
        <v>166</v>
      </c>
      <c r="Q21" s="207">
        <f t="shared" si="6"/>
        <v>3571.6774193548385</v>
      </c>
      <c r="R21" s="207">
        <f t="shared" si="26"/>
        <v>166</v>
      </c>
      <c r="S21" s="207">
        <f t="shared" si="7"/>
        <v>3571.6774193548385</v>
      </c>
      <c r="T21" s="207">
        <f t="shared" si="27"/>
        <v>166</v>
      </c>
      <c r="U21" s="207">
        <f t="shared" si="8"/>
        <v>3571.6774193548385</v>
      </c>
      <c r="V21" s="207">
        <f t="shared" si="28"/>
        <v>166</v>
      </c>
      <c r="W21" s="207">
        <f t="shared" si="9"/>
        <v>3571.6774193548385</v>
      </c>
      <c r="X21" s="35">
        <f t="shared" si="10"/>
        <v>0.53548387096774186</v>
      </c>
      <c r="Y21" s="36">
        <f t="shared" si="29"/>
        <v>39288.45161290322</v>
      </c>
      <c r="Z21" s="207">
        <f>'B5'!C20</f>
        <v>172</v>
      </c>
      <c r="AA21" s="207">
        <f t="shared" si="30"/>
        <v>1720</v>
      </c>
      <c r="AB21" s="207">
        <f t="shared" si="31"/>
        <v>172</v>
      </c>
      <c r="AC21" s="207">
        <f t="shared" si="30"/>
        <v>1720</v>
      </c>
      <c r="AD21" s="207">
        <f t="shared" si="32"/>
        <v>172</v>
      </c>
      <c r="AE21" s="207">
        <f t="shared" si="11"/>
        <v>1720</v>
      </c>
      <c r="AF21" s="207">
        <f t="shared" si="33"/>
        <v>172</v>
      </c>
      <c r="AG21" s="207">
        <f t="shared" si="12"/>
        <v>1720</v>
      </c>
      <c r="AH21" s="207">
        <f t="shared" si="34"/>
        <v>172</v>
      </c>
      <c r="AI21" s="207">
        <f t="shared" si="13"/>
        <v>1720</v>
      </c>
      <c r="AJ21" s="207">
        <f t="shared" si="35"/>
        <v>172</v>
      </c>
      <c r="AK21" s="207">
        <f t="shared" si="14"/>
        <v>1720</v>
      </c>
      <c r="AL21" s="207">
        <f t="shared" si="36"/>
        <v>172</v>
      </c>
      <c r="AM21" s="207">
        <f t="shared" si="15"/>
        <v>1720</v>
      </c>
      <c r="AN21" s="35">
        <f t="shared" si="16"/>
        <v>0.61428571428571432</v>
      </c>
      <c r="AO21" s="36">
        <f t="shared" si="17"/>
        <v>12040</v>
      </c>
      <c r="AQ21" s="227">
        <f t="shared" si="37"/>
        <v>0.55209693033132434</v>
      </c>
      <c r="AR21" s="38">
        <f t="shared" si="41"/>
        <v>51328.45161290322</v>
      </c>
      <c r="AS21" s="201">
        <f>SUM(AR21-AR20-AT21)</f>
        <v>-1840.0645161290377</v>
      </c>
      <c r="AT21" s="278"/>
      <c r="AU21" s="452"/>
      <c r="AV21" s="539">
        <f t="shared" si="42"/>
        <v>0.36</v>
      </c>
      <c r="AW21" s="300">
        <f>-SUM('B5'!AI20)</f>
        <v>-346</v>
      </c>
      <c r="AX21" s="300">
        <f t="shared" si="39"/>
        <v>-1494.0645161290377</v>
      </c>
      <c r="AY21" s="37">
        <f t="shared" si="40"/>
        <v>-1840.0645161290377</v>
      </c>
      <c r="AZ21" s="101">
        <f>ELEC!A18</f>
        <v>2.1700000000000001E-2</v>
      </c>
      <c r="BA21" s="119">
        <f>'General information '!D21</f>
        <v>23.5</v>
      </c>
      <c r="BB21" s="407">
        <f>SUM('General information '!E21)</f>
        <v>0.65</v>
      </c>
      <c r="BC21" s="3">
        <f t="shared" si="43"/>
        <v>0</v>
      </c>
      <c r="BD21" s="103">
        <v>19222</v>
      </c>
      <c r="BE21" s="14">
        <f>(305/1185)*ELEC!Q19</f>
        <v>772.15189873417728</v>
      </c>
      <c r="BF21" s="14"/>
      <c r="BG21" s="14" t="e">
        <f>#REF!-BE21</f>
        <v>#REF!</v>
      </c>
      <c r="BH21" s="11"/>
    </row>
    <row r="22" spans="1:61">
      <c r="A22" s="460">
        <f>ELEC!C19</f>
        <v>43999</v>
      </c>
      <c r="B22">
        <f>'B5'!B21</f>
        <v>192</v>
      </c>
      <c r="C22" s="207">
        <f t="shared" si="18"/>
        <v>4131.0967741935483</v>
      </c>
      <c r="D22">
        <f t="shared" si="19"/>
        <v>192</v>
      </c>
      <c r="E22" s="207">
        <f t="shared" si="18"/>
        <v>4131.0967741935483</v>
      </c>
      <c r="F22">
        <f t="shared" si="20"/>
        <v>192</v>
      </c>
      <c r="G22" s="207">
        <f t="shared" si="1"/>
        <v>4131.0967741935483</v>
      </c>
      <c r="H22" s="207">
        <f t="shared" si="21"/>
        <v>192</v>
      </c>
      <c r="I22" s="207">
        <f t="shared" si="2"/>
        <v>4131.0967741935483</v>
      </c>
      <c r="J22" s="207">
        <f t="shared" si="22"/>
        <v>192</v>
      </c>
      <c r="K22" s="207">
        <f t="shared" si="3"/>
        <v>4131.0967741935483</v>
      </c>
      <c r="L22" s="207">
        <f t="shared" si="23"/>
        <v>192</v>
      </c>
      <c r="M22" s="207">
        <f t="shared" si="4"/>
        <v>4131.0967741935483</v>
      </c>
      <c r="N22" s="207">
        <f t="shared" si="24"/>
        <v>192</v>
      </c>
      <c r="O22" s="207">
        <f t="shared" si="5"/>
        <v>4131.0967741935483</v>
      </c>
      <c r="P22" s="207">
        <f t="shared" si="25"/>
        <v>192</v>
      </c>
      <c r="Q22" s="207">
        <f t="shared" si="6"/>
        <v>4131.0967741935483</v>
      </c>
      <c r="R22" s="207">
        <f t="shared" si="26"/>
        <v>192</v>
      </c>
      <c r="S22" s="207">
        <f t="shared" si="7"/>
        <v>4131.0967741935483</v>
      </c>
      <c r="T22" s="207">
        <f t="shared" si="27"/>
        <v>192</v>
      </c>
      <c r="U22" s="207">
        <f t="shared" si="8"/>
        <v>4131.0967741935483</v>
      </c>
      <c r="V22" s="207">
        <f t="shared" si="28"/>
        <v>192</v>
      </c>
      <c r="W22" s="207">
        <f t="shared" si="9"/>
        <v>4131.0967741935483</v>
      </c>
      <c r="X22" s="35">
        <f t="shared" si="10"/>
        <v>0.61935483870967734</v>
      </c>
      <c r="Y22" s="36">
        <f t="shared" si="29"/>
        <v>45442.064516129023</v>
      </c>
      <c r="Z22" s="207">
        <f>'B5'!C21</f>
        <v>198</v>
      </c>
      <c r="AA22" s="207">
        <f t="shared" si="30"/>
        <v>1980</v>
      </c>
      <c r="AB22" s="207">
        <f t="shared" si="31"/>
        <v>198</v>
      </c>
      <c r="AC22" s="207">
        <f t="shared" si="30"/>
        <v>1980</v>
      </c>
      <c r="AD22" s="207">
        <f t="shared" si="32"/>
        <v>198</v>
      </c>
      <c r="AE22" s="207">
        <f t="shared" si="11"/>
        <v>1980</v>
      </c>
      <c r="AF22" s="207">
        <f t="shared" si="33"/>
        <v>198</v>
      </c>
      <c r="AG22" s="207">
        <f t="shared" si="12"/>
        <v>1980</v>
      </c>
      <c r="AH22" s="207">
        <f t="shared" si="34"/>
        <v>198</v>
      </c>
      <c r="AI22" s="207">
        <f t="shared" si="13"/>
        <v>1980</v>
      </c>
      <c r="AJ22" s="207">
        <f t="shared" si="35"/>
        <v>198</v>
      </c>
      <c r="AK22" s="207">
        <f t="shared" si="14"/>
        <v>1980</v>
      </c>
      <c r="AL22" s="207">
        <f t="shared" si="36"/>
        <v>198</v>
      </c>
      <c r="AM22" s="207">
        <f t="shared" si="15"/>
        <v>1980</v>
      </c>
      <c r="AN22" s="35">
        <f t="shared" si="16"/>
        <v>0.70714285714285718</v>
      </c>
      <c r="AO22" s="36">
        <f t="shared" si="17"/>
        <v>13860</v>
      </c>
      <c r="AQ22" s="227">
        <f t="shared" si="37"/>
        <v>0.63786236975507182</v>
      </c>
      <c r="AR22" s="38">
        <f t="shared" si="41"/>
        <v>59302.064516129023</v>
      </c>
      <c r="AS22" s="201">
        <f t="shared" si="38"/>
        <v>-217.38709677419683</v>
      </c>
      <c r="AT22" s="278">
        <v>8191</v>
      </c>
      <c r="AU22" s="452">
        <v>0.39300000000000002</v>
      </c>
      <c r="AV22" s="539">
        <f t="shared" si="42"/>
        <v>0.39300000000000002</v>
      </c>
      <c r="AW22" s="300">
        <f>-SUM('B5'!AI21)</f>
        <v>-312</v>
      </c>
      <c r="AX22" s="300">
        <f t="shared" si="39"/>
        <v>94.612903225803166</v>
      </c>
      <c r="AY22" s="37">
        <f t="shared" si="40"/>
        <v>-217.38709677419683</v>
      </c>
      <c r="AZ22" s="101">
        <f>ELEC!A19</f>
        <v>1.7399999999999999E-2</v>
      </c>
      <c r="BA22" s="119">
        <f>'General information '!D22</f>
        <v>24.5</v>
      </c>
      <c r="BB22" s="407">
        <f>SUM('General information '!E22)</f>
        <v>0.72</v>
      </c>
      <c r="BC22" s="3">
        <f t="shared" si="43"/>
        <v>1</v>
      </c>
      <c r="BD22" s="103">
        <v>19222</v>
      </c>
      <c r="BE22" s="14">
        <f>(305/1185)*ELEC!Q20</f>
        <v>1544.3037974683546</v>
      </c>
      <c r="BF22" s="14"/>
      <c r="BG22" s="14" t="e">
        <f>#REF!-BE22</f>
        <v>#REF!</v>
      </c>
      <c r="BH22" s="11"/>
    </row>
    <row r="23" spans="1:61">
      <c r="A23" s="460">
        <f>ELEC!C20</f>
        <v>44000</v>
      </c>
      <c r="B23">
        <f>'B5'!B22</f>
        <v>183</v>
      </c>
      <c r="C23" s="207">
        <f t="shared" si="18"/>
        <v>3937.4516129032259</v>
      </c>
      <c r="D23">
        <f t="shared" si="19"/>
        <v>183</v>
      </c>
      <c r="E23" s="207">
        <f t="shared" si="18"/>
        <v>3937.4516129032259</v>
      </c>
      <c r="F23">
        <f t="shared" si="20"/>
        <v>183</v>
      </c>
      <c r="G23" s="207">
        <f t="shared" si="1"/>
        <v>3937.4516129032259</v>
      </c>
      <c r="H23" s="207">
        <f t="shared" si="21"/>
        <v>183</v>
      </c>
      <c r="I23" s="207">
        <f t="shared" si="2"/>
        <v>3937.4516129032259</v>
      </c>
      <c r="J23" s="207">
        <f t="shared" si="22"/>
        <v>183</v>
      </c>
      <c r="K23" s="207">
        <f t="shared" si="3"/>
        <v>3937.4516129032259</v>
      </c>
      <c r="L23" s="207">
        <f t="shared" si="23"/>
        <v>183</v>
      </c>
      <c r="M23" s="207">
        <f t="shared" si="4"/>
        <v>3937.4516129032259</v>
      </c>
      <c r="N23" s="207">
        <f t="shared" si="24"/>
        <v>183</v>
      </c>
      <c r="O23" s="207">
        <f t="shared" si="5"/>
        <v>3937.4516129032259</v>
      </c>
      <c r="P23" s="207">
        <f t="shared" si="25"/>
        <v>183</v>
      </c>
      <c r="Q23" s="207">
        <f t="shared" si="6"/>
        <v>3937.4516129032259</v>
      </c>
      <c r="R23" s="207">
        <f t="shared" si="26"/>
        <v>183</v>
      </c>
      <c r="S23" s="207">
        <f t="shared" si="7"/>
        <v>3937.4516129032259</v>
      </c>
      <c r="T23" s="207">
        <f t="shared" si="27"/>
        <v>183</v>
      </c>
      <c r="U23" s="207">
        <f t="shared" si="8"/>
        <v>3937.4516129032259</v>
      </c>
      <c r="V23" s="207">
        <f t="shared" si="28"/>
        <v>183</v>
      </c>
      <c r="W23" s="207">
        <f t="shared" si="9"/>
        <v>3937.4516129032259</v>
      </c>
      <c r="X23" s="35">
        <f t="shared" si="10"/>
        <v>0.59032258064516141</v>
      </c>
      <c r="Y23" s="36">
        <f t="shared" si="29"/>
        <v>43311.967741935492</v>
      </c>
      <c r="Z23" s="207">
        <f>'B5'!C22</f>
        <v>189</v>
      </c>
      <c r="AA23" s="207">
        <f t="shared" si="30"/>
        <v>1890</v>
      </c>
      <c r="AB23" s="207">
        <f t="shared" si="31"/>
        <v>189</v>
      </c>
      <c r="AC23" s="207">
        <f t="shared" si="30"/>
        <v>1890</v>
      </c>
      <c r="AD23" s="207">
        <f t="shared" si="32"/>
        <v>189</v>
      </c>
      <c r="AE23" s="207">
        <f t="shared" si="11"/>
        <v>1890</v>
      </c>
      <c r="AF23" s="207">
        <f t="shared" si="33"/>
        <v>189</v>
      </c>
      <c r="AG23" s="207">
        <f t="shared" si="12"/>
        <v>1890</v>
      </c>
      <c r="AH23" s="207">
        <f t="shared" si="34"/>
        <v>189</v>
      </c>
      <c r="AI23" s="207">
        <f t="shared" si="13"/>
        <v>1890</v>
      </c>
      <c r="AJ23" s="207">
        <f t="shared" si="35"/>
        <v>189</v>
      </c>
      <c r="AK23" s="207">
        <f t="shared" si="14"/>
        <v>1890</v>
      </c>
      <c r="AL23" s="207">
        <f t="shared" si="36"/>
        <v>189</v>
      </c>
      <c r="AM23" s="207">
        <f t="shared" si="15"/>
        <v>1890</v>
      </c>
      <c r="AN23" s="35">
        <f t="shared" si="16"/>
        <v>0.67500000000000004</v>
      </c>
      <c r="AO23" s="36">
        <f t="shared" si="17"/>
        <v>13230</v>
      </c>
      <c r="AQ23" s="227">
        <f t="shared" si="37"/>
        <v>0.60817433303146706</v>
      </c>
      <c r="AR23" s="38">
        <f t="shared" si="41"/>
        <v>56541.967741935492</v>
      </c>
      <c r="AS23" s="201">
        <f t="shared" si="38"/>
        <v>-2760.096774193531</v>
      </c>
      <c r="AT23" s="278"/>
      <c r="AU23" s="452"/>
      <c r="AV23" s="539">
        <f t="shared" si="42"/>
        <v>0.39300000000000002</v>
      </c>
      <c r="AW23" s="300">
        <f>-SUM('B5'!AI22)</f>
        <v>-588.59999999997672</v>
      </c>
      <c r="AX23" s="300">
        <f t="shared" si="39"/>
        <v>-2171.4967741935543</v>
      </c>
      <c r="AY23" s="37">
        <f t="shared" si="40"/>
        <v>-2760.096774193531</v>
      </c>
      <c r="AZ23" s="101">
        <f>ELEC!A20</f>
        <v>2.1700000000000001E-2</v>
      </c>
      <c r="BA23" s="119">
        <f>'General information '!D23</f>
        <v>25.5</v>
      </c>
      <c r="BB23" s="407">
        <f>SUM('General information '!E23)</f>
        <v>0.65</v>
      </c>
      <c r="BC23" s="3">
        <f t="shared" si="43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60">
        <f>ELEC!C21</f>
        <v>44001</v>
      </c>
      <c r="B24">
        <f>'B5'!B23</f>
        <v>183</v>
      </c>
      <c r="C24" s="207">
        <f t="shared" si="18"/>
        <v>3937.4516129032259</v>
      </c>
      <c r="D24">
        <f t="shared" si="19"/>
        <v>183</v>
      </c>
      <c r="E24" s="207">
        <f t="shared" si="18"/>
        <v>3937.4516129032259</v>
      </c>
      <c r="F24">
        <f t="shared" si="20"/>
        <v>183</v>
      </c>
      <c r="G24" s="207">
        <f t="shared" si="1"/>
        <v>3937.4516129032259</v>
      </c>
      <c r="H24" s="207">
        <f t="shared" si="21"/>
        <v>183</v>
      </c>
      <c r="I24" s="207">
        <f t="shared" si="2"/>
        <v>3937.4516129032259</v>
      </c>
      <c r="J24" s="207">
        <f t="shared" si="22"/>
        <v>183</v>
      </c>
      <c r="K24" s="207">
        <f t="shared" si="3"/>
        <v>3937.4516129032259</v>
      </c>
      <c r="L24" s="207">
        <f t="shared" si="23"/>
        <v>183</v>
      </c>
      <c r="M24" s="207">
        <f t="shared" si="4"/>
        <v>3937.4516129032259</v>
      </c>
      <c r="N24" s="207">
        <f t="shared" si="24"/>
        <v>183</v>
      </c>
      <c r="O24" s="207">
        <f t="shared" si="5"/>
        <v>3937.4516129032259</v>
      </c>
      <c r="P24" s="207">
        <f t="shared" si="25"/>
        <v>183</v>
      </c>
      <c r="Q24" s="207">
        <f t="shared" si="6"/>
        <v>3937.4516129032259</v>
      </c>
      <c r="R24" s="207">
        <f t="shared" si="26"/>
        <v>183</v>
      </c>
      <c r="S24" s="207">
        <f t="shared" si="7"/>
        <v>3937.4516129032259</v>
      </c>
      <c r="T24" s="207">
        <f t="shared" si="27"/>
        <v>183</v>
      </c>
      <c r="U24" s="207">
        <f t="shared" si="8"/>
        <v>3937.4516129032259</v>
      </c>
      <c r="V24" s="207">
        <f t="shared" si="28"/>
        <v>183</v>
      </c>
      <c r="W24" s="207">
        <f t="shared" si="9"/>
        <v>3937.4516129032259</v>
      </c>
      <c r="X24" s="35">
        <f t="shared" si="10"/>
        <v>0.59032258064516141</v>
      </c>
      <c r="Y24" s="36">
        <f t="shared" si="29"/>
        <v>43311.967741935492</v>
      </c>
      <c r="Z24" s="207">
        <f>'B5'!C23</f>
        <v>189</v>
      </c>
      <c r="AA24" s="207">
        <f t="shared" si="30"/>
        <v>1890</v>
      </c>
      <c r="AB24" s="207">
        <f t="shared" si="31"/>
        <v>189</v>
      </c>
      <c r="AC24" s="207">
        <f t="shared" si="30"/>
        <v>1890</v>
      </c>
      <c r="AD24" s="207">
        <f t="shared" si="32"/>
        <v>189</v>
      </c>
      <c r="AE24" s="207">
        <f t="shared" si="11"/>
        <v>1890</v>
      </c>
      <c r="AF24" s="207">
        <f t="shared" si="33"/>
        <v>189</v>
      </c>
      <c r="AG24" s="207">
        <f t="shared" si="12"/>
        <v>1890</v>
      </c>
      <c r="AH24" s="207">
        <f t="shared" si="34"/>
        <v>189</v>
      </c>
      <c r="AI24" s="207">
        <f t="shared" si="13"/>
        <v>1890</v>
      </c>
      <c r="AJ24" s="207">
        <f t="shared" si="35"/>
        <v>189</v>
      </c>
      <c r="AK24" s="207">
        <f t="shared" si="14"/>
        <v>1890</v>
      </c>
      <c r="AL24" s="207">
        <f t="shared" si="36"/>
        <v>189</v>
      </c>
      <c r="AM24" s="207">
        <f t="shared" si="15"/>
        <v>1890</v>
      </c>
      <c r="AN24" s="35">
        <f t="shared" si="16"/>
        <v>0.67500000000000004</v>
      </c>
      <c r="AO24" s="36">
        <f t="shared" si="17"/>
        <v>13230</v>
      </c>
      <c r="AQ24" s="227">
        <f t="shared" si="37"/>
        <v>0.60817433303146706</v>
      </c>
      <c r="AR24" s="38">
        <f t="shared" si="41"/>
        <v>56541.967741935492</v>
      </c>
      <c r="AS24" s="201">
        <f t="shared" si="38"/>
        <v>0</v>
      </c>
      <c r="AT24" s="278"/>
      <c r="AU24" s="452"/>
      <c r="AV24" s="539">
        <f t="shared" si="42"/>
        <v>0.39300000000000002</v>
      </c>
      <c r="AW24" s="300">
        <f>-SUM('B5'!AI23)</f>
        <v>0</v>
      </c>
      <c r="AX24" s="300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407">
        <f>SUM('General information '!E24)</f>
        <v>0</v>
      </c>
      <c r="BC24" s="3">
        <f t="shared" si="43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60">
        <f>ELEC!C22</f>
        <v>44002</v>
      </c>
      <c r="B25">
        <f>'B5'!B24</f>
        <v>183</v>
      </c>
      <c r="C25" s="207">
        <f t="shared" si="18"/>
        <v>3937.4516129032259</v>
      </c>
      <c r="D25">
        <f t="shared" si="19"/>
        <v>183</v>
      </c>
      <c r="E25" s="207">
        <f t="shared" si="18"/>
        <v>3937.4516129032259</v>
      </c>
      <c r="F25">
        <f t="shared" si="20"/>
        <v>183</v>
      </c>
      <c r="G25" s="207">
        <f t="shared" si="1"/>
        <v>3937.4516129032259</v>
      </c>
      <c r="H25" s="207">
        <f t="shared" si="21"/>
        <v>183</v>
      </c>
      <c r="I25" s="207">
        <f t="shared" si="2"/>
        <v>3937.4516129032259</v>
      </c>
      <c r="J25" s="207">
        <f t="shared" si="22"/>
        <v>183</v>
      </c>
      <c r="K25" s="207">
        <f t="shared" si="3"/>
        <v>3937.4516129032259</v>
      </c>
      <c r="L25" s="207">
        <f t="shared" si="23"/>
        <v>183</v>
      </c>
      <c r="M25" s="207">
        <f t="shared" si="4"/>
        <v>3937.4516129032259</v>
      </c>
      <c r="N25" s="207">
        <f t="shared" si="24"/>
        <v>183</v>
      </c>
      <c r="O25" s="207">
        <f t="shared" si="5"/>
        <v>3937.4516129032259</v>
      </c>
      <c r="P25" s="207">
        <f t="shared" si="25"/>
        <v>183</v>
      </c>
      <c r="Q25" s="207">
        <f t="shared" si="6"/>
        <v>3937.4516129032259</v>
      </c>
      <c r="R25" s="207">
        <f t="shared" si="26"/>
        <v>183</v>
      </c>
      <c r="S25" s="207">
        <f t="shared" si="7"/>
        <v>3937.4516129032259</v>
      </c>
      <c r="T25" s="207">
        <f t="shared" si="27"/>
        <v>183</v>
      </c>
      <c r="U25" s="207">
        <f t="shared" si="8"/>
        <v>3937.4516129032259</v>
      </c>
      <c r="V25" s="207">
        <f t="shared" si="28"/>
        <v>183</v>
      </c>
      <c r="W25" s="207">
        <f t="shared" si="9"/>
        <v>3937.4516129032259</v>
      </c>
      <c r="X25" s="35">
        <f t="shared" si="10"/>
        <v>0.59032258064516141</v>
      </c>
      <c r="Y25" s="36">
        <f t="shared" si="29"/>
        <v>43311.967741935492</v>
      </c>
      <c r="Z25" s="207">
        <f>'B5'!C24</f>
        <v>189</v>
      </c>
      <c r="AA25" s="207">
        <f t="shared" si="30"/>
        <v>1890</v>
      </c>
      <c r="AB25" s="207">
        <f t="shared" si="31"/>
        <v>189</v>
      </c>
      <c r="AC25" s="207">
        <f t="shared" si="30"/>
        <v>1890</v>
      </c>
      <c r="AD25" s="207">
        <f t="shared" si="32"/>
        <v>189</v>
      </c>
      <c r="AE25" s="207">
        <f t="shared" si="11"/>
        <v>1890</v>
      </c>
      <c r="AF25" s="207">
        <f t="shared" si="33"/>
        <v>189</v>
      </c>
      <c r="AG25" s="207">
        <f t="shared" si="12"/>
        <v>1890</v>
      </c>
      <c r="AH25" s="207">
        <f t="shared" si="34"/>
        <v>189</v>
      </c>
      <c r="AI25" s="207">
        <f t="shared" si="13"/>
        <v>1890</v>
      </c>
      <c r="AJ25" s="207">
        <f t="shared" si="35"/>
        <v>189</v>
      </c>
      <c r="AK25" s="207">
        <f t="shared" si="14"/>
        <v>1890</v>
      </c>
      <c r="AL25" s="207">
        <f t="shared" si="36"/>
        <v>189</v>
      </c>
      <c r="AM25" s="207">
        <f t="shared" si="15"/>
        <v>1890</v>
      </c>
      <c r="AN25" s="35">
        <f t="shared" si="16"/>
        <v>0.67500000000000004</v>
      </c>
      <c r="AO25" s="36">
        <f t="shared" si="17"/>
        <v>13230</v>
      </c>
      <c r="AQ25" s="227">
        <f t="shared" si="37"/>
        <v>0.60817433303146706</v>
      </c>
      <c r="AR25" s="38">
        <f t="shared" si="41"/>
        <v>56541.967741935492</v>
      </c>
      <c r="AS25" s="201">
        <f t="shared" si="38"/>
        <v>0</v>
      </c>
      <c r="AT25" s="278"/>
      <c r="AU25" s="452"/>
      <c r="AV25" s="539">
        <f t="shared" si="42"/>
        <v>0.39300000000000002</v>
      </c>
      <c r="AW25" s="300">
        <f>-SUM('B5'!AI24)</f>
        <v>0</v>
      </c>
      <c r="AX25" s="300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07">
        <f>SUM('General information '!E25)</f>
        <v>0</v>
      </c>
      <c r="BC25" s="3">
        <f t="shared" si="43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60">
        <f>ELEC!C23</f>
        <v>44003</v>
      </c>
      <c r="B26">
        <f>'B5'!B25</f>
        <v>183</v>
      </c>
      <c r="C26" s="207">
        <f t="shared" si="18"/>
        <v>3937.4516129032259</v>
      </c>
      <c r="D26">
        <f t="shared" si="19"/>
        <v>183</v>
      </c>
      <c r="E26" s="207">
        <f t="shared" si="18"/>
        <v>3937.4516129032259</v>
      </c>
      <c r="F26">
        <f t="shared" si="20"/>
        <v>183</v>
      </c>
      <c r="G26" s="207">
        <f t="shared" si="1"/>
        <v>3937.4516129032259</v>
      </c>
      <c r="H26" s="207">
        <f t="shared" si="21"/>
        <v>183</v>
      </c>
      <c r="I26" s="207">
        <f t="shared" si="2"/>
        <v>3937.4516129032259</v>
      </c>
      <c r="J26" s="207">
        <f t="shared" si="22"/>
        <v>183</v>
      </c>
      <c r="K26" s="207">
        <f t="shared" si="3"/>
        <v>3937.4516129032259</v>
      </c>
      <c r="L26" s="207">
        <f t="shared" si="23"/>
        <v>183</v>
      </c>
      <c r="M26" s="207">
        <f t="shared" si="4"/>
        <v>3937.4516129032259</v>
      </c>
      <c r="N26" s="207">
        <f t="shared" si="24"/>
        <v>183</v>
      </c>
      <c r="O26" s="207">
        <f t="shared" si="5"/>
        <v>3937.4516129032259</v>
      </c>
      <c r="P26" s="207">
        <f t="shared" si="25"/>
        <v>183</v>
      </c>
      <c r="Q26" s="207">
        <f t="shared" si="6"/>
        <v>3937.4516129032259</v>
      </c>
      <c r="R26" s="207">
        <f t="shared" si="26"/>
        <v>183</v>
      </c>
      <c r="S26" s="207">
        <f t="shared" si="7"/>
        <v>3937.4516129032259</v>
      </c>
      <c r="T26" s="207">
        <f t="shared" si="27"/>
        <v>183</v>
      </c>
      <c r="U26" s="207">
        <f t="shared" si="8"/>
        <v>3937.4516129032259</v>
      </c>
      <c r="V26" s="207">
        <f t="shared" si="28"/>
        <v>183</v>
      </c>
      <c r="W26" s="207">
        <f t="shared" si="9"/>
        <v>3937.4516129032259</v>
      </c>
      <c r="X26" s="35">
        <f t="shared" si="10"/>
        <v>0.59032258064516141</v>
      </c>
      <c r="Y26" s="36">
        <f t="shared" si="29"/>
        <v>43311.967741935492</v>
      </c>
      <c r="Z26" s="207">
        <f>'B5'!C25</f>
        <v>189</v>
      </c>
      <c r="AA26" s="207">
        <f t="shared" si="30"/>
        <v>1890</v>
      </c>
      <c r="AB26" s="207">
        <f t="shared" si="31"/>
        <v>189</v>
      </c>
      <c r="AC26" s="207">
        <f t="shared" si="30"/>
        <v>1890</v>
      </c>
      <c r="AD26" s="207">
        <f t="shared" si="32"/>
        <v>189</v>
      </c>
      <c r="AE26" s="207">
        <f t="shared" si="11"/>
        <v>1890</v>
      </c>
      <c r="AF26" s="207">
        <f t="shared" si="33"/>
        <v>189</v>
      </c>
      <c r="AG26" s="207">
        <f t="shared" si="12"/>
        <v>1890</v>
      </c>
      <c r="AH26" s="207">
        <f t="shared" si="34"/>
        <v>189</v>
      </c>
      <c r="AI26" s="207">
        <f t="shared" si="13"/>
        <v>1890</v>
      </c>
      <c r="AJ26" s="207">
        <f t="shared" si="35"/>
        <v>189</v>
      </c>
      <c r="AK26" s="207">
        <f t="shared" si="14"/>
        <v>1890</v>
      </c>
      <c r="AL26" s="207">
        <f t="shared" si="36"/>
        <v>189</v>
      </c>
      <c r="AM26" s="207">
        <f t="shared" si="15"/>
        <v>1890</v>
      </c>
      <c r="AN26" s="35">
        <f t="shared" si="16"/>
        <v>0.67500000000000004</v>
      </c>
      <c r="AO26" s="36">
        <f t="shared" si="17"/>
        <v>13230</v>
      </c>
      <c r="AQ26" s="227">
        <f t="shared" si="37"/>
        <v>0.60817433303146706</v>
      </c>
      <c r="AR26" s="38">
        <f t="shared" si="41"/>
        <v>56541.967741935492</v>
      </c>
      <c r="AS26" s="201">
        <f t="shared" si="38"/>
        <v>0</v>
      </c>
      <c r="AT26" s="278"/>
      <c r="AU26" s="452"/>
      <c r="AV26" s="539">
        <f t="shared" si="42"/>
        <v>0.39300000000000002</v>
      </c>
      <c r="AW26" s="300">
        <f>-SUM('B5'!AI25)</f>
        <v>0</v>
      </c>
      <c r="AX26" s="300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07">
        <f>SUM('General information '!E26)</f>
        <v>0</v>
      </c>
      <c r="BC26" s="3">
        <f t="shared" si="43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60">
        <f>ELEC!C24</f>
        <v>44004</v>
      </c>
      <c r="B27">
        <f>'B5'!B26</f>
        <v>183</v>
      </c>
      <c r="C27" s="207">
        <f t="shared" si="18"/>
        <v>3937.4516129032259</v>
      </c>
      <c r="D27">
        <f t="shared" si="19"/>
        <v>183</v>
      </c>
      <c r="E27" s="207">
        <f t="shared" si="18"/>
        <v>3937.4516129032259</v>
      </c>
      <c r="F27">
        <f t="shared" si="20"/>
        <v>183</v>
      </c>
      <c r="G27" s="207">
        <f t="shared" si="1"/>
        <v>3937.4516129032259</v>
      </c>
      <c r="H27" s="207">
        <f t="shared" si="21"/>
        <v>183</v>
      </c>
      <c r="I27" s="207">
        <f t="shared" si="2"/>
        <v>3937.4516129032259</v>
      </c>
      <c r="J27" s="207">
        <f t="shared" si="22"/>
        <v>183</v>
      </c>
      <c r="K27" s="207">
        <f t="shared" si="3"/>
        <v>3937.4516129032259</v>
      </c>
      <c r="L27" s="207">
        <f t="shared" si="23"/>
        <v>183</v>
      </c>
      <c r="M27" s="207">
        <f t="shared" si="4"/>
        <v>3937.4516129032259</v>
      </c>
      <c r="N27" s="207">
        <f t="shared" si="24"/>
        <v>183</v>
      </c>
      <c r="O27" s="207">
        <f t="shared" si="5"/>
        <v>3937.4516129032259</v>
      </c>
      <c r="P27" s="207">
        <f t="shared" si="25"/>
        <v>183</v>
      </c>
      <c r="Q27" s="207">
        <f t="shared" si="6"/>
        <v>3937.4516129032259</v>
      </c>
      <c r="R27" s="207">
        <f t="shared" si="26"/>
        <v>183</v>
      </c>
      <c r="S27" s="207">
        <f t="shared" si="7"/>
        <v>3937.4516129032259</v>
      </c>
      <c r="T27" s="207">
        <f t="shared" si="27"/>
        <v>183</v>
      </c>
      <c r="U27" s="207">
        <f t="shared" si="8"/>
        <v>3937.4516129032259</v>
      </c>
      <c r="V27" s="207">
        <f t="shared" si="28"/>
        <v>183</v>
      </c>
      <c r="W27" s="207">
        <f t="shared" si="9"/>
        <v>3937.4516129032259</v>
      </c>
      <c r="X27" s="35">
        <f t="shared" si="10"/>
        <v>0.59032258064516141</v>
      </c>
      <c r="Y27" s="36">
        <f t="shared" si="29"/>
        <v>43311.967741935492</v>
      </c>
      <c r="Z27" s="207">
        <f>'B5'!C26</f>
        <v>189</v>
      </c>
      <c r="AA27" s="207">
        <f t="shared" si="30"/>
        <v>1890</v>
      </c>
      <c r="AB27" s="207">
        <f t="shared" si="31"/>
        <v>189</v>
      </c>
      <c r="AC27" s="207">
        <f t="shared" si="30"/>
        <v>1890</v>
      </c>
      <c r="AD27" s="207">
        <f t="shared" si="32"/>
        <v>189</v>
      </c>
      <c r="AE27" s="207">
        <f t="shared" si="11"/>
        <v>1890</v>
      </c>
      <c r="AF27" s="207">
        <f t="shared" si="33"/>
        <v>189</v>
      </c>
      <c r="AG27" s="207">
        <f t="shared" si="12"/>
        <v>1890</v>
      </c>
      <c r="AH27" s="207">
        <f t="shared" si="34"/>
        <v>189</v>
      </c>
      <c r="AI27" s="207">
        <f t="shared" si="13"/>
        <v>1890</v>
      </c>
      <c r="AJ27" s="207">
        <f t="shared" si="35"/>
        <v>189</v>
      </c>
      <c r="AK27" s="207">
        <f t="shared" si="14"/>
        <v>1890</v>
      </c>
      <c r="AL27" s="207">
        <f t="shared" si="36"/>
        <v>189</v>
      </c>
      <c r="AM27" s="207">
        <f t="shared" si="15"/>
        <v>1890</v>
      </c>
      <c r="AN27" s="35">
        <f t="shared" si="16"/>
        <v>0.67500000000000004</v>
      </c>
      <c r="AO27" s="36">
        <f t="shared" si="17"/>
        <v>13230</v>
      </c>
      <c r="AQ27" s="227">
        <f t="shared" si="37"/>
        <v>0.60817433303146706</v>
      </c>
      <c r="AR27" s="38">
        <f t="shared" si="41"/>
        <v>56541.967741935492</v>
      </c>
      <c r="AS27" s="201">
        <f t="shared" si="38"/>
        <v>0</v>
      </c>
      <c r="AT27" s="278"/>
      <c r="AU27" s="452"/>
      <c r="AV27" s="539">
        <f t="shared" si="42"/>
        <v>0.39300000000000002</v>
      </c>
      <c r="AW27" s="300">
        <f>-SUM('B5'!AI26)</f>
        <v>0</v>
      </c>
      <c r="AX27" s="300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07">
        <f>SUM('General information '!E27)</f>
        <v>0</v>
      </c>
      <c r="BC27" s="3">
        <f t="shared" si="43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60">
        <f>ELEC!C25</f>
        <v>44005</v>
      </c>
      <c r="B28">
        <f>'B5'!B27</f>
        <v>183</v>
      </c>
      <c r="C28" s="207">
        <f t="shared" si="18"/>
        <v>3937.4516129032259</v>
      </c>
      <c r="D28">
        <f t="shared" si="19"/>
        <v>183</v>
      </c>
      <c r="E28" s="207">
        <f t="shared" si="18"/>
        <v>3937.4516129032259</v>
      </c>
      <c r="F28">
        <f t="shared" si="20"/>
        <v>183</v>
      </c>
      <c r="G28" s="207">
        <f t="shared" si="1"/>
        <v>3937.4516129032259</v>
      </c>
      <c r="H28" s="207">
        <f t="shared" si="21"/>
        <v>183</v>
      </c>
      <c r="I28" s="207">
        <f t="shared" si="2"/>
        <v>3937.4516129032259</v>
      </c>
      <c r="J28" s="207">
        <f t="shared" si="22"/>
        <v>183</v>
      </c>
      <c r="K28" s="207">
        <f t="shared" si="3"/>
        <v>3937.4516129032259</v>
      </c>
      <c r="L28" s="207">
        <f t="shared" si="23"/>
        <v>183</v>
      </c>
      <c r="M28" s="207">
        <f t="shared" si="4"/>
        <v>3937.4516129032259</v>
      </c>
      <c r="N28" s="207">
        <f t="shared" si="24"/>
        <v>183</v>
      </c>
      <c r="O28" s="207">
        <f t="shared" si="5"/>
        <v>3937.4516129032259</v>
      </c>
      <c r="P28" s="207">
        <f t="shared" si="25"/>
        <v>183</v>
      </c>
      <c r="Q28" s="207">
        <f t="shared" si="6"/>
        <v>3937.4516129032259</v>
      </c>
      <c r="R28" s="207">
        <f t="shared" si="26"/>
        <v>183</v>
      </c>
      <c r="S28" s="207">
        <f t="shared" si="7"/>
        <v>3937.4516129032259</v>
      </c>
      <c r="T28" s="207">
        <f t="shared" si="27"/>
        <v>183</v>
      </c>
      <c r="U28" s="207">
        <f t="shared" si="8"/>
        <v>3937.4516129032259</v>
      </c>
      <c r="V28" s="207">
        <f t="shared" si="28"/>
        <v>183</v>
      </c>
      <c r="W28" s="207">
        <f t="shared" si="9"/>
        <v>3937.4516129032259</v>
      </c>
      <c r="X28" s="35">
        <f t="shared" si="10"/>
        <v>0.59032258064516141</v>
      </c>
      <c r="Y28" s="36">
        <f t="shared" si="29"/>
        <v>43311.967741935492</v>
      </c>
      <c r="Z28" s="207">
        <f>'B5'!C27</f>
        <v>189</v>
      </c>
      <c r="AA28" s="207">
        <f t="shared" si="30"/>
        <v>1890</v>
      </c>
      <c r="AB28" s="207">
        <f t="shared" si="31"/>
        <v>189</v>
      </c>
      <c r="AC28" s="207">
        <f t="shared" si="30"/>
        <v>1890</v>
      </c>
      <c r="AD28" s="207">
        <f t="shared" si="32"/>
        <v>189</v>
      </c>
      <c r="AE28" s="207">
        <f t="shared" si="11"/>
        <v>1890</v>
      </c>
      <c r="AF28" s="207">
        <f t="shared" si="33"/>
        <v>189</v>
      </c>
      <c r="AG28" s="207">
        <f t="shared" si="12"/>
        <v>1890</v>
      </c>
      <c r="AH28" s="207">
        <f t="shared" si="34"/>
        <v>189</v>
      </c>
      <c r="AI28" s="207">
        <f t="shared" si="13"/>
        <v>1890</v>
      </c>
      <c r="AJ28" s="207">
        <f t="shared" si="35"/>
        <v>189</v>
      </c>
      <c r="AK28" s="207">
        <f t="shared" si="14"/>
        <v>1890</v>
      </c>
      <c r="AL28" s="207">
        <f t="shared" si="36"/>
        <v>189</v>
      </c>
      <c r="AM28" s="207">
        <f t="shared" si="15"/>
        <v>1890</v>
      </c>
      <c r="AN28" s="35">
        <f t="shared" si="16"/>
        <v>0.67500000000000004</v>
      </c>
      <c r="AO28" s="36">
        <f t="shared" si="17"/>
        <v>13230</v>
      </c>
      <c r="AQ28" s="227">
        <f t="shared" si="37"/>
        <v>0.60817433303146706</v>
      </c>
      <c r="AR28" s="38">
        <f t="shared" si="41"/>
        <v>56541.967741935492</v>
      </c>
      <c r="AS28" s="201">
        <f t="shared" si="38"/>
        <v>0</v>
      </c>
      <c r="AT28" s="368"/>
      <c r="AU28" s="452"/>
      <c r="AV28" s="539">
        <f t="shared" si="42"/>
        <v>0.39300000000000002</v>
      </c>
      <c r="AW28" s="300">
        <f>-SUM('B5'!AI27)</f>
        <v>0</v>
      </c>
      <c r="AX28" s="300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07">
        <f>SUM('General information '!E28)</f>
        <v>0</v>
      </c>
      <c r="BC28" s="3">
        <f t="shared" si="43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60">
        <f>ELEC!C26</f>
        <v>44006</v>
      </c>
      <c r="B29">
        <f>'B5'!B28</f>
        <v>183</v>
      </c>
      <c r="C29" s="207">
        <f t="shared" si="18"/>
        <v>3937.4516129032259</v>
      </c>
      <c r="D29">
        <f t="shared" si="19"/>
        <v>183</v>
      </c>
      <c r="E29" s="207">
        <f t="shared" si="18"/>
        <v>3937.4516129032259</v>
      </c>
      <c r="F29">
        <f t="shared" si="20"/>
        <v>183</v>
      </c>
      <c r="G29" s="207">
        <f t="shared" si="1"/>
        <v>3937.4516129032259</v>
      </c>
      <c r="H29" s="207">
        <f t="shared" si="21"/>
        <v>183</v>
      </c>
      <c r="I29" s="207">
        <f t="shared" si="2"/>
        <v>3937.4516129032259</v>
      </c>
      <c r="J29" s="207">
        <f t="shared" si="22"/>
        <v>183</v>
      </c>
      <c r="K29" s="207">
        <f t="shared" si="3"/>
        <v>3937.4516129032259</v>
      </c>
      <c r="L29" s="207">
        <f t="shared" si="23"/>
        <v>183</v>
      </c>
      <c r="M29" s="207">
        <f t="shared" si="4"/>
        <v>3937.4516129032259</v>
      </c>
      <c r="N29" s="207">
        <f t="shared" si="24"/>
        <v>183</v>
      </c>
      <c r="O29" s="207">
        <f t="shared" si="5"/>
        <v>3937.4516129032259</v>
      </c>
      <c r="P29" s="207">
        <f t="shared" si="25"/>
        <v>183</v>
      </c>
      <c r="Q29" s="207">
        <f t="shared" si="6"/>
        <v>3937.4516129032259</v>
      </c>
      <c r="R29" s="207">
        <f t="shared" si="26"/>
        <v>183</v>
      </c>
      <c r="S29" s="207">
        <f t="shared" si="7"/>
        <v>3937.4516129032259</v>
      </c>
      <c r="T29" s="207">
        <f t="shared" si="27"/>
        <v>183</v>
      </c>
      <c r="U29" s="207">
        <f t="shared" si="8"/>
        <v>3937.4516129032259</v>
      </c>
      <c r="V29" s="207">
        <f t="shared" si="28"/>
        <v>183</v>
      </c>
      <c r="W29" s="207">
        <f t="shared" si="9"/>
        <v>3937.4516129032259</v>
      </c>
      <c r="X29" s="35">
        <f t="shared" si="10"/>
        <v>0.59032258064516141</v>
      </c>
      <c r="Y29" s="36">
        <f t="shared" si="29"/>
        <v>43311.967741935492</v>
      </c>
      <c r="Z29" s="207">
        <f>'B5'!C28</f>
        <v>189</v>
      </c>
      <c r="AA29" s="207">
        <f t="shared" si="30"/>
        <v>1890</v>
      </c>
      <c r="AB29" s="207">
        <f t="shared" si="31"/>
        <v>189</v>
      </c>
      <c r="AC29" s="207">
        <f t="shared" si="30"/>
        <v>1890</v>
      </c>
      <c r="AD29" s="207">
        <f t="shared" si="32"/>
        <v>189</v>
      </c>
      <c r="AE29" s="207">
        <f t="shared" si="11"/>
        <v>1890</v>
      </c>
      <c r="AF29" s="207">
        <f t="shared" si="33"/>
        <v>189</v>
      </c>
      <c r="AG29" s="207">
        <f t="shared" si="12"/>
        <v>1890</v>
      </c>
      <c r="AH29" s="207">
        <f t="shared" si="34"/>
        <v>189</v>
      </c>
      <c r="AI29" s="207">
        <f t="shared" si="13"/>
        <v>1890</v>
      </c>
      <c r="AJ29" s="207">
        <f t="shared" si="35"/>
        <v>189</v>
      </c>
      <c r="AK29" s="207">
        <f t="shared" si="14"/>
        <v>1890</v>
      </c>
      <c r="AL29" s="207">
        <f t="shared" si="36"/>
        <v>189</v>
      </c>
      <c r="AM29" s="207">
        <f t="shared" si="15"/>
        <v>1890</v>
      </c>
      <c r="AN29" s="35">
        <f t="shared" si="16"/>
        <v>0.67500000000000004</v>
      </c>
      <c r="AO29" s="36">
        <f t="shared" si="17"/>
        <v>13230</v>
      </c>
      <c r="AQ29" s="227">
        <f t="shared" si="37"/>
        <v>0.60817433303146706</v>
      </c>
      <c r="AR29" s="38">
        <f t="shared" si="41"/>
        <v>56541.967741935492</v>
      </c>
      <c r="AS29" s="201">
        <f t="shared" si="38"/>
        <v>0</v>
      </c>
      <c r="AT29" s="368"/>
      <c r="AU29" s="452"/>
      <c r="AV29" s="539">
        <f t="shared" si="42"/>
        <v>0.39300000000000002</v>
      </c>
      <c r="AW29" s="300">
        <f>-SUM('B5'!AI28)</f>
        <v>0</v>
      </c>
      <c r="AX29" s="300">
        <f>-SUM(AW29-AS29)</f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07">
        <f>SUM('General information '!E29)</f>
        <v>0</v>
      </c>
      <c r="BC29" s="3">
        <f t="shared" si="43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60">
        <f>ELEC!C27</f>
        <v>44007</v>
      </c>
      <c r="B30">
        <f>'B5'!B29</f>
        <v>183</v>
      </c>
      <c r="C30" s="207">
        <f t="shared" si="18"/>
        <v>3937.4516129032259</v>
      </c>
      <c r="D30">
        <f t="shared" ref="D30:D35" si="44">SUM(B30)</f>
        <v>183</v>
      </c>
      <c r="E30" s="207">
        <f t="shared" si="18"/>
        <v>3937.4516129032259</v>
      </c>
      <c r="F30">
        <f t="shared" ref="F30:F35" si="45">SUM(D30)</f>
        <v>183</v>
      </c>
      <c r="G30" s="207">
        <f t="shared" si="1"/>
        <v>3937.4516129032259</v>
      </c>
      <c r="H30" s="207">
        <f t="shared" ref="H30:H35" si="46">SUM(F30)</f>
        <v>183</v>
      </c>
      <c r="I30" s="207">
        <f t="shared" si="2"/>
        <v>3937.4516129032259</v>
      </c>
      <c r="J30" s="207">
        <f t="shared" ref="J30:J35" si="47">SUM(H30)</f>
        <v>183</v>
      </c>
      <c r="K30" s="207">
        <f t="shared" si="3"/>
        <v>3937.4516129032259</v>
      </c>
      <c r="L30" s="207">
        <f t="shared" ref="L30:L35" si="48">SUM(J30)</f>
        <v>183</v>
      </c>
      <c r="M30" s="207">
        <f t="shared" si="4"/>
        <v>3937.4516129032259</v>
      </c>
      <c r="N30" s="207">
        <f t="shared" ref="N30:N35" si="49">SUM(L30)</f>
        <v>183</v>
      </c>
      <c r="O30" s="207">
        <f t="shared" si="5"/>
        <v>3937.4516129032259</v>
      </c>
      <c r="P30" s="207">
        <f t="shared" ref="P30:P35" si="50">SUM(N30)</f>
        <v>183</v>
      </c>
      <c r="Q30" s="207">
        <f t="shared" si="6"/>
        <v>3937.4516129032259</v>
      </c>
      <c r="R30" s="207">
        <f t="shared" ref="R30:R35" si="51">SUM(P30)</f>
        <v>183</v>
      </c>
      <c r="S30" s="207">
        <f t="shared" si="7"/>
        <v>3937.4516129032259</v>
      </c>
      <c r="T30" s="207">
        <f t="shared" ref="T30:T35" si="52">SUM(R30)</f>
        <v>183</v>
      </c>
      <c r="U30" s="207">
        <f t="shared" si="8"/>
        <v>3937.4516129032259</v>
      </c>
      <c r="V30" s="207">
        <f t="shared" ref="V30:V35" si="53">SUM(T30)</f>
        <v>183</v>
      </c>
      <c r="W30" s="207">
        <f t="shared" si="9"/>
        <v>3937.4516129032259</v>
      </c>
      <c r="X30" s="35">
        <f t="shared" ref="X30:X35" si="54">SUM(Y30/73370)</f>
        <v>0.59032258064516141</v>
      </c>
      <c r="Y30" s="36">
        <f t="shared" ref="Y30:Y35" si="55">SUM(C30+E30+G30+I30+K30+M30+O30+Q30+S30+U30+W30)</f>
        <v>43311.967741935492</v>
      </c>
      <c r="Z30" s="207">
        <f>'B5'!C29</f>
        <v>189</v>
      </c>
      <c r="AA30" s="207">
        <f t="shared" si="30"/>
        <v>1890</v>
      </c>
      <c r="AB30" s="207">
        <f t="shared" ref="AB30:AB35" si="56">SUM(Z30)</f>
        <v>189</v>
      </c>
      <c r="AC30" s="207">
        <f t="shared" si="30"/>
        <v>1890</v>
      </c>
      <c r="AD30" s="207">
        <f t="shared" ref="AD30:AD35" si="57">SUM(AB30)</f>
        <v>189</v>
      </c>
      <c r="AE30" s="207">
        <f t="shared" si="11"/>
        <v>1890</v>
      </c>
      <c r="AF30" s="207">
        <f t="shared" ref="AF30:AF35" si="58">SUM(AD30)</f>
        <v>189</v>
      </c>
      <c r="AG30" s="207">
        <f t="shared" si="12"/>
        <v>1890</v>
      </c>
      <c r="AH30" s="207">
        <f t="shared" ref="AH30:AH35" si="59">SUM(AF30)</f>
        <v>189</v>
      </c>
      <c r="AI30" s="207">
        <f t="shared" si="13"/>
        <v>1890</v>
      </c>
      <c r="AJ30" s="207">
        <f t="shared" ref="AJ30:AJ35" si="60">SUM(AH30)</f>
        <v>189</v>
      </c>
      <c r="AK30" s="207">
        <f t="shared" si="14"/>
        <v>1890</v>
      </c>
      <c r="AL30" s="207">
        <f t="shared" ref="AL30:AL35" si="61">SUM(AJ30)</f>
        <v>189</v>
      </c>
      <c r="AM30" s="207">
        <f t="shared" si="15"/>
        <v>1890</v>
      </c>
      <c r="AN30" s="35">
        <f t="shared" ref="AN30:AN35" si="62">SUM(AO30/19600)</f>
        <v>0.67500000000000004</v>
      </c>
      <c r="AO30" s="36">
        <f t="shared" ref="AO30:AO35" si="63">SUM(AA30+AC30+AE30+AG30+AI30+AK30+AM30)</f>
        <v>13230</v>
      </c>
      <c r="AQ30" s="227">
        <f t="shared" si="37"/>
        <v>0.60817433303146706</v>
      </c>
      <c r="AR30" s="38">
        <f t="shared" si="41"/>
        <v>56541.967741935492</v>
      </c>
      <c r="AS30" s="201">
        <f t="shared" si="38"/>
        <v>0</v>
      </c>
      <c r="AT30" s="368"/>
      <c r="AU30" s="452"/>
      <c r="AV30" s="539">
        <f t="shared" si="42"/>
        <v>0.39300000000000002</v>
      </c>
      <c r="AW30" s="300">
        <f>-SUM('B5'!AI29)</f>
        <v>0</v>
      </c>
      <c r="AX30" s="300">
        <f>-SUM(AW30-AS30)</f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07">
        <f>SUM('General information '!E30)</f>
        <v>0</v>
      </c>
      <c r="BC30" s="3">
        <f t="shared" si="43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60">
        <f>ELEC!C28</f>
        <v>44008</v>
      </c>
      <c r="B31">
        <f>'B5'!B30</f>
        <v>183</v>
      </c>
      <c r="C31" s="207">
        <f t="shared" si="18"/>
        <v>3937.4516129032259</v>
      </c>
      <c r="D31">
        <f t="shared" si="44"/>
        <v>183</v>
      </c>
      <c r="E31" s="207">
        <f t="shared" si="18"/>
        <v>3937.4516129032259</v>
      </c>
      <c r="F31">
        <f t="shared" si="45"/>
        <v>183</v>
      </c>
      <c r="G31" s="207">
        <f t="shared" si="1"/>
        <v>3937.4516129032259</v>
      </c>
      <c r="H31" s="207">
        <f t="shared" si="46"/>
        <v>183</v>
      </c>
      <c r="I31" s="207">
        <f t="shared" si="2"/>
        <v>3937.4516129032259</v>
      </c>
      <c r="J31" s="207">
        <f t="shared" si="47"/>
        <v>183</v>
      </c>
      <c r="K31" s="207">
        <f t="shared" si="3"/>
        <v>3937.4516129032259</v>
      </c>
      <c r="L31" s="207">
        <f t="shared" si="48"/>
        <v>183</v>
      </c>
      <c r="M31" s="207">
        <f t="shared" si="4"/>
        <v>3937.4516129032259</v>
      </c>
      <c r="N31" s="207">
        <f t="shared" si="49"/>
        <v>183</v>
      </c>
      <c r="O31" s="207">
        <f t="shared" si="5"/>
        <v>3937.4516129032259</v>
      </c>
      <c r="P31" s="207">
        <f t="shared" si="50"/>
        <v>183</v>
      </c>
      <c r="Q31" s="207">
        <f t="shared" si="6"/>
        <v>3937.4516129032259</v>
      </c>
      <c r="R31" s="207">
        <f t="shared" si="51"/>
        <v>183</v>
      </c>
      <c r="S31" s="207">
        <f t="shared" si="7"/>
        <v>3937.4516129032259</v>
      </c>
      <c r="T31" s="207">
        <f t="shared" si="52"/>
        <v>183</v>
      </c>
      <c r="U31" s="207">
        <f t="shared" si="8"/>
        <v>3937.4516129032259</v>
      </c>
      <c r="V31" s="207">
        <f t="shared" si="53"/>
        <v>183</v>
      </c>
      <c r="W31" s="207">
        <f t="shared" si="9"/>
        <v>3937.4516129032259</v>
      </c>
      <c r="X31" s="35">
        <f t="shared" si="54"/>
        <v>0.59032258064516141</v>
      </c>
      <c r="Y31" s="36">
        <f t="shared" si="55"/>
        <v>43311.967741935492</v>
      </c>
      <c r="Z31" s="207">
        <f>'B5'!C30</f>
        <v>189</v>
      </c>
      <c r="AA31" s="207">
        <f t="shared" si="30"/>
        <v>1890</v>
      </c>
      <c r="AB31" s="207">
        <f t="shared" si="56"/>
        <v>189</v>
      </c>
      <c r="AC31" s="207">
        <f t="shared" si="30"/>
        <v>1890</v>
      </c>
      <c r="AD31" s="207">
        <f t="shared" si="57"/>
        <v>189</v>
      </c>
      <c r="AE31" s="207">
        <f t="shared" si="11"/>
        <v>1890</v>
      </c>
      <c r="AF31" s="207">
        <f t="shared" si="58"/>
        <v>189</v>
      </c>
      <c r="AG31" s="207">
        <f t="shared" si="12"/>
        <v>1890</v>
      </c>
      <c r="AH31" s="207">
        <f t="shared" si="59"/>
        <v>189</v>
      </c>
      <c r="AI31" s="207">
        <f t="shared" si="13"/>
        <v>1890</v>
      </c>
      <c r="AJ31" s="207">
        <f t="shared" si="60"/>
        <v>189</v>
      </c>
      <c r="AK31" s="207">
        <f t="shared" si="14"/>
        <v>1890</v>
      </c>
      <c r="AL31" s="207">
        <f t="shared" si="61"/>
        <v>189</v>
      </c>
      <c r="AM31" s="207">
        <f t="shared" si="15"/>
        <v>1890</v>
      </c>
      <c r="AN31" s="35">
        <f t="shared" si="62"/>
        <v>0.67500000000000004</v>
      </c>
      <c r="AO31" s="36">
        <f t="shared" si="63"/>
        <v>13230</v>
      </c>
      <c r="AQ31" s="227">
        <f t="shared" si="37"/>
        <v>0.60817433303146706</v>
      </c>
      <c r="AR31" s="38">
        <f t="shared" si="41"/>
        <v>56541.967741935492</v>
      </c>
      <c r="AS31" s="201">
        <f>SUM(AR31-AR30-AT31)</f>
        <v>0</v>
      </c>
      <c r="AT31" s="368"/>
      <c r="AU31" s="452"/>
      <c r="AV31" s="539">
        <f t="shared" si="42"/>
        <v>0.39300000000000002</v>
      </c>
      <c r="AW31" s="300">
        <f>-SUM('B5'!AI30)</f>
        <v>0</v>
      </c>
      <c r="AX31" s="300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07">
        <f>SUM('General information '!E31)</f>
        <v>0</v>
      </c>
      <c r="BC31" s="3">
        <f t="shared" si="43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60">
        <f>ELEC!C29</f>
        <v>44009</v>
      </c>
      <c r="B32">
        <f>'B5'!B31</f>
        <v>183</v>
      </c>
      <c r="C32" s="207">
        <f t="shared" si="18"/>
        <v>3937.4516129032259</v>
      </c>
      <c r="D32">
        <f t="shared" si="44"/>
        <v>183</v>
      </c>
      <c r="E32" s="207">
        <f t="shared" si="18"/>
        <v>3937.4516129032259</v>
      </c>
      <c r="F32">
        <f t="shared" si="45"/>
        <v>183</v>
      </c>
      <c r="G32" s="207">
        <f t="shared" si="1"/>
        <v>3937.4516129032259</v>
      </c>
      <c r="H32" s="207">
        <f t="shared" si="46"/>
        <v>183</v>
      </c>
      <c r="I32" s="207">
        <f t="shared" si="2"/>
        <v>3937.4516129032259</v>
      </c>
      <c r="J32" s="207">
        <f t="shared" si="47"/>
        <v>183</v>
      </c>
      <c r="K32" s="207">
        <f t="shared" si="3"/>
        <v>3937.4516129032259</v>
      </c>
      <c r="L32" s="207">
        <f t="shared" si="48"/>
        <v>183</v>
      </c>
      <c r="M32" s="207">
        <f t="shared" si="4"/>
        <v>3937.4516129032259</v>
      </c>
      <c r="N32" s="207">
        <f t="shared" si="49"/>
        <v>183</v>
      </c>
      <c r="O32" s="207">
        <f t="shared" si="5"/>
        <v>3937.4516129032259</v>
      </c>
      <c r="P32" s="207">
        <f t="shared" si="50"/>
        <v>183</v>
      </c>
      <c r="Q32" s="207">
        <f t="shared" si="6"/>
        <v>3937.4516129032259</v>
      </c>
      <c r="R32" s="207">
        <f t="shared" si="51"/>
        <v>183</v>
      </c>
      <c r="S32" s="207">
        <f t="shared" si="7"/>
        <v>3937.4516129032259</v>
      </c>
      <c r="T32" s="207">
        <f t="shared" si="52"/>
        <v>183</v>
      </c>
      <c r="U32" s="207">
        <f t="shared" si="8"/>
        <v>3937.4516129032259</v>
      </c>
      <c r="V32" s="207">
        <f t="shared" si="53"/>
        <v>183</v>
      </c>
      <c r="W32" s="207">
        <f t="shared" si="9"/>
        <v>3937.4516129032259</v>
      </c>
      <c r="X32" s="35">
        <f t="shared" si="54"/>
        <v>0.59032258064516141</v>
      </c>
      <c r="Y32" s="36">
        <f t="shared" si="55"/>
        <v>43311.967741935492</v>
      </c>
      <c r="Z32" s="207">
        <f>'B5'!C31</f>
        <v>189</v>
      </c>
      <c r="AA32" s="207">
        <f t="shared" si="30"/>
        <v>1890</v>
      </c>
      <c r="AB32" s="207">
        <f t="shared" si="56"/>
        <v>189</v>
      </c>
      <c r="AC32" s="207">
        <f t="shared" si="30"/>
        <v>1890</v>
      </c>
      <c r="AD32" s="207">
        <f t="shared" si="57"/>
        <v>189</v>
      </c>
      <c r="AE32" s="207">
        <f t="shared" si="11"/>
        <v>1890</v>
      </c>
      <c r="AF32" s="207">
        <f t="shared" si="58"/>
        <v>189</v>
      </c>
      <c r="AG32" s="207">
        <f t="shared" si="12"/>
        <v>1890</v>
      </c>
      <c r="AH32" s="207">
        <f t="shared" si="59"/>
        <v>189</v>
      </c>
      <c r="AI32" s="207">
        <f t="shared" si="13"/>
        <v>1890</v>
      </c>
      <c r="AJ32" s="207">
        <f t="shared" si="60"/>
        <v>189</v>
      </c>
      <c r="AK32" s="207">
        <f t="shared" si="14"/>
        <v>1890</v>
      </c>
      <c r="AL32" s="207">
        <f t="shared" si="61"/>
        <v>189</v>
      </c>
      <c r="AM32" s="207">
        <f t="shared" si="15"/>
        <v>1890</v>
      </c>
      <c r="AN32" s="35">
        <f t="shared" si="62"/>
        <v>0.67500000000000004</v>
      </c>
      <c r="AO32" s="36">
        <f t="shared" si="63"/>
        <v>13230</v>
      </c>
      <c r="AQ32" s="227">
        <f t="shared" si="37"/>
        <v>0.60817433303146706</v>
      </c>
      <c r="AR32" s="38">
        <f t="shared" si="41"/>
        <v>56541.967741935492</v>
      </c>
      <c r="AS32" s="201">
        <f t="shared" si="38"/>
        <v>0</v>
      </c>
      <c r="AT32" s="368"/>
      <c r="AU32" s="452"/>
      <c r="AV32" s="539">
        <f>IF(AT32&gt;0,AU32,AV31)</f>
        <v>0.39300000000000002</v>
      </c>
      <c r="AW32" s="300">
        <f>-SUM('B5'!AI31)</f>
        <v>0</v>
      </c>
      <c r="AX32" s="300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07">
        <f>SUM('General information '!E32)</f>
        <v>0</v>
      </c>
      <c r="BC32" s="3">
        <f t="shared" si="43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60">
        <f>ELEC!C30</f>
        <v>44010</v>
      </c>
      <c r="B33">
        <f>'B5'!B32</f>
        <v>183</v>
      </c>
      <c r="C33" s="207">
        <f t="shared" si="18"/>
        <v>3937.4516129032259</v>
      </c>
      <c r="D33">
        <f t="shared" si="44"/>
        <v>183</v>
      </c>
      <c r="E33" s="207">
        <f t="shared" si="18"/>
        <v>3937.4516129032259</v>
      </c>
      <c r="F33">
        <f t="shared" si="45"/>
        <v>183</v>
      </c>
      <c r="G33" s="207">
        <f t="shared" si="1"/>
        <v>3937.4516129032259</v>
      </c>
      <c r="H33" s="207">
        <f t="shared" si="46"/>
        <v>183</v>
      </c>
      <c r="I33" s="207">
        <f t="shared" si="2"/>
        <v>3937.4516129032259</v>
      </c>
      <c r="J33" s="207">
        <f t="shared" si="47"/>
        <v>183</v>
      </c>
      <c r="K33" s="207">
        <f t="shared" si="3"/>
        <v>3937.4516129032259</v>
      </c>
      <c r="L33" s="207">
        <f t="shared" si="48"/>
        <v>183</v>
      </c>
      <c r="M33" s="207">
        <f t="shared" si="4"/>
        <v>3937.4516129032259</v>
      </c>
      <c r="N33" s="207">
        <f t="shared" si="49"/>
        <v>183</v>
      </c>
      <c r="O33" s="207">
        <f t="shared" si="5"/>
        <v>3937.4516129032259</v>
      </c>
      <c r="P33" s="207">
        <f t="shared" si="50"/>
        <v>183</v>
      </c>
      <c r="Q33" s="207">
        <f t="shared" si="6"/>
        <v>3937.4516129032259</v>
      </c>
      <c r="R33" s="207">
        <f t="shared" si="51"/>
        <v>183</v>
      </c>
      <c r="S33" s="207">
        <f t="shared" si="7"/>
        <v>3937.4516129032259</v>
      </c>
      <c r="T33" s="207">
        <f t="shared" si="52"/>
        <v>183</v>
      </c>
      <c r="U33" s="207">
        <f t="shared" si="8"/>
        <v>3937.4516129032259</v>
      </c>
      <c r="V33" s="207">
        <f t="shared" si="53"/>
        <v>183</v>
      </c>
      <c r="W33" s="207">
        <f t="shared" si="9"/>
        <v>3937.4516129032259</v>
      </c>
      <c r="X33" s="35">
        <f t="shared" si="54"/>
        <v>0.59032258064516141</v>
      </c>
      <c r="Y33" s="36">
        <f t="shared" si="55"/>
        <v>43311.967741935492</v>
      </c>
      <c r="Z33" s="207">
        <f>'B5'!C32</f>
        <v>189</v>
      </c>
      <c r="AA33" s="207">
        <f t="shared" si="30"/>
        <v>1890</v>
      </c>
      <c r="AB33" s="207">
        <f t="shared" si="56"/>
        <v>189</v>
      </c>
      <c r="AC33" s="207">
        <f t="shared" si="30"/>
        <v>1890</v>
      </c>
      <c r="AD33" s="207">
        <f t="shared" si="57"/>
        <v>189</v>
      </c>
      <c r="AE33" s="207">
        <f t="shared" si="11"/>
        <v>1890</v>
      </c>
      <c r="AF33" s="207">
        <f t="shared" si="58"/>
        <v>189</v>
      </c>
      <c r="AG33" s="207">
        <f t="shared" si="12"/>
        <v>1890</v>
      </c>
      <c r="AH33" s="207">
        <f t="shared" si="59"/>
        <v>189</v>
      </c>
      <c r="AI33" s="207">
        <f t="shared" si="13"/>
        <v>1890</v>
      </c>
      <c r="AJ33" s="207">
        <f t="shared" si="60"/>
        <v>189</v>
      </c>
      <c r="AK33" s="207">
        <f t="shared" si="14"/>
        <v>1890</v>
      </c>
      <c r="AL33" s="207">
        <f t="shared" si="61"/>
        <v>189</v>
      </c>
      <c r="AM33" s="207">
        <f t="shared" si="15"/>
        <v>1890</v>
      </c>
      <c r="AN33" s="35">
        <f t="shared" si="62"/>
        <v>0.67500000000000004</v>
      </c>
      <c r="AO33" s="36">
        <f t="shared" si="63"/>
        <v>13230</v>
      </c>
      <c r="AQ33" s="227">
        <f t="shared" si="37"/>
        <v>0.60817433303146706</v>
      </c>
      <c r="AR33" s="38">
        <f t="shared" si="41"/>
        <v>56541.967741935492</v>
      </c>
      <c r="AS33" s="201">
        <f t="shared" si="38"/>
        <v>0</v>
      </c>
      <c r="AT33" s="368"/>
      <c r="AU33" s="452"/>
      <c r="AV33" s="539">
        <f>IF(AT33&gt;0,AU33,AV32)</f>
        <v>0.39300000000000002</v>
      </c>
      <c r="AW33" s="300">
        <f>-SUM('B5'!AI32)</f>
        <v>0</v>
      </c>
      <c r="AX33" s="300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3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60">
        <f>ELEC!C31</f>
        <v>44011</v>
      </c>
      <c r="B34">
        <f>'B5'!B33</f>
        <v>183</v>
      </c>
      <c r="C34" s="207">
        <f t="shared" si="18"/>
        <v>3937.4516129032259</v>
      </c>
      <c r="D34">
        <f t="shared" si="44"/>
        <v>183</v>
      </c>
      <c r="E34" s="207">
        <f t="shared" si="18"/>
        <v>3937.4516129032259</v>
      </c>
      <c r="F34">
        <f t="shared" si="45"/>
        <v>183</v>
      </c>
      <c r="G34" s="207">
        <f t="shared" si="1"/>
        <v>3937.4516129032259</v>
      </c>
      <c r="H34" s="207">
        <f t="shared" si="46"/>
        <v>183</v>
      </c>
      <c r="I34" s="207">
        <f t="shared" si="2"/>
        <v>3937.4516129032259</v>
      </c>
      <c r="J34" s="207">
        <f t="shared" si="47"/>
        <v>183</v>
      </c>
      <c r="K34" s="207">
        <f t="shared" si="3"/>
        <v>3937.4516129032259</v>
      </c>
      <c r="L34" s="207">
        <f t="shared" si="48"/>
        <v>183</v>
      </c>
      <c r="M34" s="207">
        <f t="shared" si="4"/>
        <v>3937.4516129032259</v>
      </c>
      <c r="N34" s="207">
        <f t="shared" si="49"/>
        <v>183</v>
      </c>
      <c r="O34" s="207">
        <f t="shared" si="5"/>
        <v>3937.4516129032259</v>
      </c>
      <c r="P34" s="207">
        <f t="shared" si="50"/>
        <v>183</v>
      </c>
      <c r="Q34" s="207">
        <f t="shared" si="6"/>
        <v>3937.4516129032259</v>
      </c>
      <c r="R34" s="207">
        <f t="shared" si="51"/>
        <v>183</v>
      </c>
      <c r="S34" s="207">
        <f t="shared" si="7"/>
        <v>3937.4516129032259</v>
      </c>
      <c r="T34" s="207">
        <f t="shared" si="52"/>
        <v>183</v>
      </c>
      <c r="U34" s="207">
        <f t="shared" si="8"/>
        <v>3937.4516129032259</v>
      </c>
      <c r="V34" s="207">
        <f t="shared" si="53"/>
        <v>183</v>
      </c>
      <c r="W34" s="207">
        <f t="shared" si="9"/>
        <v>3937.4516129032259</v>
      </c>
      <c r="X34" s="35">
        <f t="shared" si="54"/>
        <v>0.59032258064516141</v>
      </c>
      <c r="Y34" s="36">
        <f t="shared" si="55"/>
        <v>43311.967741935492</v>
      </c>
      <c r="Z34" s="207">
        <f>'B5'!C33</f>
        <v>189</v>
      </c>
      <c r="AA34" s="207">
        <f t="shared" si="30"/>
        <v>1890</v>
      </c>
      <c r="AB34" s="207">
        <f t="shared" si="56"/>
        <v>189</v>
      </c>
      <c r="AC34" s="207">
        <f t="shared" si="30"/>
        <v>1890</v>
      </c>
      <c r="AD34" s="207">
        <f t="shared" si="57"/>
        <v>189</v>
      </c>
      <c r="AE34" s="207">
        <f t="shared" si="11"/>
        <v>1890</v>
      </c>
      <c r="AF34" s="207">
        <f t="shared" si="58"/>
        <v>189</v>
      </c>
      <c r="AG34" s="207">
        <f t="shared" si="12"/>
        <v>1890</v>
      </c>
      <c r="AH34" s="207">
        <f t="shared" si="59"/>
        <v>189</v>
      </c>
      <c r="AI34" s="207">
        <f t="shared" si="13"/>
        <v>1890</v>
      </c>
      <c r="AJ34" s="207">
        <f t="shared" si="60"/>
        <v>189</v>
      </c>
      <c r="AK34" s="207">
        <f t="shared" si="14"/>
        <v>1890</v>
      </c>
      <c r="AL34" s="207">
        <f t="shared" si="61"/>
        <v>189</v>
      </c>
      <c r="AM34" s="207">
        <f t="shared" si="15"/>
        <v>1890</v>
      </c>
      <c r="AN34" s="35">
        <f t="shared" si="62"/>
        <v>0.67500000000000004</v>
      </c>
      <c r="AO34" s="36">
        <f t="shared" si="63"/>
        <v>13230</v>
      </c>
      <c r="AQ34" s="227">
        <f>SUM(AR34/92970)</f>
        <v>0.60817433303146706</v>
      </c>
      <c r="AR34" s="38">
        <f t="shared" si="41"/>
        <v>56541.967741935492</v>
      </c>
      <c r="AS34" s="201">
        <f t="shared" si="38"/>
        <v>0</v>
      </c>
      <c r="AT34" s="368"/>
      <c r="AU34" s="452"/>
      <c r="AV34" s="539">
        <f t="shared" si="42"/>
        <v>0.39300000000000002</v>
      </c>
      <c r="AW34" s="300">
        <f>-SUM('B5'!AI33)</f>
        <v>0</v>
      </c>
      <c r="AX34" s="300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0">
        <f>ELEC!C32</f>
        <v>44012</v>
      </c>
      <c r="B35">
        <f>'B5'!B34</f>
        <v>183</v>
      </c>
      <c r="C35" s="207">
        <f t="shared" si="18"/>
        <v>3937.4516129032259</v>
      </c>
      <c r="D35">
        <f t="shared" si="44"/>
        <v>183</v>
      </c>
      <c r="E35" s="207">
        <f t="shared" si="18"/>
        <v>3937.4516129032259</v>
      </c>
      <c r="F35">
        <f t="shared" si="45"/>
        <v>183</v>
      </c>
      <c r="G35" s="207">
        <f t="shared" si="1"/>
        <v>3937.4516129032259</v>
      </c>
      <c r="H35" s="207">
        <f t="shared" si="46"/>
        <v>183</v>
      </c>
      <c r="I35" s="207">
        <f t="shared" si="2"/>
        <v>3937.4516129032259</v>
      </c>
      <c r="J35" s="207">
        <f t="shared" si="47"/>
        <v>183</v>
      </c>
      <c r="K35" s="207">
        <f t="shared" si="3"/>
        <v>3937.4516129032259</v>
      </c>
      <c r="L35" s="207">
        <f t="shared" si="48"/>
        <v>183</v>
      </c>
      <c r="M35" s="207">
        <f t="shared" si="4"/>
        <v>3937.4516129032259</v>
      </c>
      <c r="N35" s="207">
        <f t="shared" si="49"/>
        <v>183</v>
      </c>
      <c r="O35" s="207">
        <f t="shared" si="5"/>
        <v>3937.4516129032259</v>
      </c>
      <c r="P35" s="207">
        <f t="shared" si="50"/>
        <v>183</v>
      </c>
      <c r="Q35" s="207">
        <f t="shared" si="6"/>
        <v>3937.4516129032259</v>
      </c>
      <c r="R35" s="207">
        <f t="shared" si="51"/>
        <v>183</v>
      </c>
      <c r="S35" s="207">
        <f t="shared" si="7"/>
        <v>3937.4516129032259</v>
      </c>
      <c r="T35" s="207">
        <f t="shared" si="52"/>
        <v>183</v>
      </c>
      <c r="U35" s="207">
        <f t="shared" si="8"/>
        <v>3937.4516129032259</v>
      </c>
      <c r="V35" s="207">
        <f t="shared" si="53"/>
        <v>183</v>
      </c>
      <c r="W35" s="207">
        <f t="shared" si="9"/>
        <v>3937.4516129032259</v>
      </c>
      <c r="X35" s="35">
        <f t="shared" si="54"/>
        <v>0.59032258064516141</v>
      </c>
      <c r="Y35" s="36">
        <f t="shared" si="55"/>
        <v>43311.967741935492</v>
      </c>
      <c r="Z35" s="207">
        <f>'B5'!C34</f>
        <v>189</v>
      </c>
      <c r="AA35" s="207">
        <f t="shared" si="30"/>
        <v>1890</v>
      </c>
      <c r="AB35" s="207">
        <f t="shared" si="56"/>
        <v>189</v>
      </c>
      <c r="AC35" s="207">
        <f t="shared" si="30"/>
        <v>1890</v>
      </c>
      <c r="AD35" s="207">
        <f t="shared" si="57"/>
        <v>189</v>
      </c>
      <c r="AE35" s="207">
        <f t="shared" si="11"/>
        <v>1890</v>
      </c>
      <c r="AF35" s="207">
        <f t="shared" si="58"/>
        <v>189</v>
      </c>
      <c r="AG35" s="207">
        <f t="shared" si="12"/>
        <v>1890</v>
      </c>
      <c r="AH35" s="207">
        <f t="shared" si="59"/>
        <v>189</v>
      </c>
      <c r="AI35" s="207">
        <f t="shared" si="13"/>
        <v>1890</v>
      </c>
      <c r="AJ35" s="207">
        <f t="shared" si="60"/>
        <v>189</v>
      </c>
      <c r="AK35" s="207">
        <f t="shared" si="14"/>
        <v>1890</v>
      </c>
      <c r="AL35" s="207">
        <f t="shared" si="61"/>
        <v>189</v>
      </c>
      <c r="AM35" s="207">
        <f t="shared" si="15"/>
        <v>1890</v>
      </c>
      <c r="AN35" s="35">
        <f t="shared" si="62"/>
        <v>0.67500000000000004</v>
      </c>
      <c r="AO35" s="36">
        <f t="shared" si="63"/>
        <v>13230</v>
      </c>
      <c r="AQ35" s="227">
        <f>SUM(AR35/92970)</f>
        <v>0.60817433303146706</v>
      </c>
      <c r="AR35" s="38">
        <f t="shared" si="41"/>
        <v>56541.967741935492</v>
      </c>
      <c r="AS35" s="201">
        <f t="shared" si="38"/>
        <v>0</v>
      </c>
      <c r="AT35" s="368"/>
      <c r="AU35" s="452"/>
      <c r="AV35" s="539">
        <f>IF(AT35&gt;0,AU35,AV34)</f>
        <v>0.39300000000000002</v>
      </c>
      <c r="AW35" s="300">
        <f>-SUM('B5'!AI34)</f>
        <v>0</v>
      </c>
      <c r="AX35" s="300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Q36" s="20"/>
      <c r="AR36" s="497" t="s">
        <v>226</v>
      </c>
      <c r="AS36" s="503">
        <f>COUNT(AT6:AT35)</f>
        <v>4</v>
      </c>
      <c r="AT36" s="207">
        <f>SUM(AT6:AT35)</f>
        <v>26844.1</v>
      </c>
      <c r="AU36">
        <f>SUM(AU6:AU35)/AS36</f>
        <v>0.29825000000000002</v>
      </c>
      <c r="AX36" s="207">
        <f>SUM(AX6:AX35)</f>
        <v>-18656.69032258066</v>
      </c>
      <c r="AY36" s="207">
        <f>SUM(AY6:AY35)</f>
        <v>-25687.390322580643</v>
      </c>
    </row>
    <row r="37" spans="1:60">
      <c r="AS37" s="210"/>
      <c r="AT37">
        <f>+AT36*AU36</f>
        <v>8006.2528249999996</v>
      </c>
    </row>
    <row r="39" spans="1:60">
      <c r="AS39" s="166">
        <f>SUM(AS6:AS35)/'EDl log'!A37</f>
        <v>-1427.077240143369</v>
      </c>
      <c r="AT39" s="207"/>
    </row>
  </sheetData>
  <mergeCells count="3">
    <mergeCell ref="AT3:AU3"/>
    <mergeCell ref="AS3:AS4"/>
    <mergeCell ref="AR3:AR4"/>
  </mergeCells>
  <conditionalFormatting sqref="AW6:AX35">
    <cfRule type="cellIs" dxfId="5" priority="3" stopIfTrue="1" operator="greaterThan">
      <formula>0</formula>
    </cfRule>
  </conditionalFormatting>
  <conditionalFormatting sqref="AT6:AU35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4"/>
  <sheetViews>
    <sheetView topLeftCell="O1" zoomScaleNormal="100" workbookViewId="0">
      <pane ySplit="1" topLeftCell="A3" activePane="bottomLeft" state="frozen"/>
      <selection pane="bottomLeft" activeCell="AC20" sqref="AC20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22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22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6"/>
      <c r="P1" s="25" t="s">
        <v>46</v>
      </c>
      <c r="Q1" s="25" t="s">
        <v>49</v>
      </c>
      <c r="R1" s="422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6" t="s">
        <v>375</v>
      </c>
      <c r="AC1" s="296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 ht="15.75" thickBot="1">
      <c r="A2" s="4">
        <f>ELEC!C2</f>
        <v>43982</v>
      </c>
      <c r="B2" s="277">
        <f>[2]GEN!B33</f>
        <v>8655</v>
      </c>
      <c r="C2" s="277">
        <f>[2]GEN!C33</f>
        <v>3</v>
      </c>
      <c r="D2" s="277">
        <f>[2]GEN!D33</f>
        <v>153095</v>
      </c>
      <c r="E2" s="277">
        <f>[2]GEN!E33</f>
        <v>1435</v>
      </c>
      <c r="F2" s="277">
        <f>[2]GEN!F33</f>
        <v>478.33333333333331</v>
      </c>
      <c r="G2" s="277">
        <f>[2]GEN!G33</f>
        <v>0</v>
      </c>
      <c r="H2" s="277">
        <f>[2]GEN!H33</f>
        <v>8770</v>
      </c>
      <c r="I2" s="277" t="str">
        <f>[2]GEN!I33</f>
        <v>ok</v>
      </c>
      <c r="J2" s="277">
        <f>[2]GEN!J33</f>
        <v>10689</v>
      </c>
      <c r="K2" s="277">
        <f>[2]GEN!K33</f>
        <v>0</v>
      </c>
      <c r="L2" s="277">
        <f>[2]GEN!L33</f>
        <v>237075</v>
      </c>
      <c r="M2" s="277">
        <f>[2]GEN!M33</f>
        <v>0</v>
      </c>
      <c r="N2" s="277">
        <f>[2]GEN!N33</f>
        <v>0</v>
      </c>
      <c r="O2" s="277">
        <f>[2]GEN!O33</f>
        <v>0</v>
      </c>
      <c r="P2" s="277">
        <f>[2]GEN!P33</f>
        <v>10873</v>
      </c>
      <c r="Q2" s="277" t="str">
        <f>[2]GEN!Q33</f>
        <v>ok</v>
      </c>
      <c r="R2" s="277">
        <f>[2]GEN!R33</f>
        <v>11201</v>
      </c>
      <c r="S2" s="277">
        <f>[2]GEN!S33</f>
        <v>1</v>
      </c>
      <c r="T2" s="277">
        <f>[2]GEN!T33</f>
        <v>253282</v>
      </c>
      <c r="U2" s="277">
        <f>[2]GEN!U33</f>
        <v>111</v>
      </c>
      <c r="V2" s="277">
        <f>[2]GEN!V33</f>
        <v>111</v>
      </c>
      <c r="W2" s="277">
        <f>[2]GEN!W33</f>
        <v>0</v>
      </c>
      <c r="X2" s="277">
        <f>[2]GEN!X33</f>
        <v>11889</v>
      </c>
      <c r="Y2" s="277" t="str">
        <f>[2]GEN!Y33</f>
        <v>ok</v>
      </c>
      <c r="Z2" s="277">
        <f>[2]GEN!Z33</f>
        <v>4</v>
      </c>
      <c r="AA2" s="277">
        <f>[2]GEN!AA33</f>
        <v>1546</v>
      </c>
      <c r="AB2" s="277">
        <f>[2]GEN!AB33</f>
        <v>589.33333333333326</v>
      </c>
      <c r="AC2" s="277">
        <f>[2]GEN!AC33</f>
        <v>386.5</v>
      </c>
      <c r="AD2" s="277">
        <f>[2]GEN!AD33</f>
        <v>1280.0000000006548</v>
      </c>
      <c r="AE2" s="277">
        <f>[2]GEN!AE33</f>
        <v>320.00000000016371</v>
      </c>
      <c r="AF2" s="277">
        <f>[2]GEN!AF33</f>
        <v>0.20000000000010232</v>
      </c>
      <c r="AG2" s="277">
        <f>[2]GEN!AG33</f>
        <v>64.000000000032742</v>
      </c>
      <c r="AH2" s="277">
        <f>[2]GEN!AH33</f>
        <v>322.49999999996726</v>
      </c>
      <c r="AI2" s="277">
        <f>[2]GEN!AI33</f>
        <v>0</v>
      </c>
      <c r="AJ2" s="277">
        <f>[2]GEN!AJ33</f>
        <v>0</v>
      </c>
      <c r="AK2" s="277">
        <f>[2]GEN!AK33</f>
        <v>0</v>
      </c>
    </row>
    <row r="3" spans="1:37" ht="15.75" thickBot="1">
      <c r="A3" s="4">
        <f>ELEC!C3</f>
        <v>43983</v>
      </c>
      <c r="B3" s="583">
        <v>8659</v>
      </c>
      <c r="C3" s="297">
        <f>B3-B2</f>
        <v>4</v>
      </c>
      <c r="D3" s="584">
        <v>153808</v>
      </c>
      <c r="E3" s="297">
        <f>SUM(D3-D2)</f>
        <v>713</v>
      </c>
      <c r="F3" s="297">
        <f t="shared" ref="F3:F32" si="0">IF(C3&gt;0,E3/C3,0)</f>
        <v>178.25</v>
      </c>
      <c r="G3" s="277">
        <f>[3]GEN!G32</f>
        <v>0</v>
      </c>
      <c r="H3" s="298">
        <f>H2</f>
        <v>8770</v>
      </c>
      <c r="I3" s="297" t="str">
        <f t="shared" ref="I3:I32" si="1">IF(B3-H3&lt;=0,"ok","oil change")</f>
        <v>ok</v>
      </c>
      <c r="J3" s="277">
        <f>J2</f>
        <v>10689</v>
      </c>
      <c r="K3" s="297">
        <f t="shared" ref="K3:K31" si="2">J3-J2</f>
        <v>0</v>
      </c>
      <c r="L3" s="584">
        <v>237118</v>
      </c>
      <c r="M3" s="297">
        <f t="shared" ref="M3:M32" si="3">SUM(L3-L2)</f>
        <v>43</v>
      </c>
      <c r="N3" s="297">
        <f>IF(K3&gt;0,M3/K3,0)</f>
        <v>0</v>
      </c>
      <c r="O3" s="277">
        <f>[3]GEN!O32</f>
        <v>0</v>
      </c>
      <c r="P3" s="298">
        <f>P2</f>
        <v>10873</v>
      </c>
      <c r="Q3" s="297" t="str">
        <f t="shared" ref="Q3:Q17" si="4">IF(J3-P3&lt;=0,"ok","oil change")</f>
        <v>ok</v>
      </c>
      <c r="R3" s="277">
        <f>R2</f>
        <v>11201</v>
      </c>
      <c r="S3" s="297">
        <f t="shared" ref="S3:S32" si="5">R3-R2</f>
        <v>0</v>
      </c>
      <c r="T3" s="584">
        <v>253331</v>
      </c>
      <c r="U3" s="297">
        <f t="shared" ref="U3:U19" si="6">SUM(T3-T2)</f>
        <v>49</v>
      </c>
      <c r="V3" s="297">
        <f>IF(S3&gt;0,U3/S3,0)</f>
        <v>0</v>
      </c>
      <c r="W3" s="277">
        <f>[3]GEN!W32</f>
        <v>0</v>
      </c>
      <c r="X3" s="298">
        <f>X2</f>
        <v>11889</v>
      </c>
      <c r="Y3" s="297" t="str">
        <f t="shared" ref="Y3:Y20" si="7">IF(R3-X3&lt;=0,"ok","oil change")</f>
        <v>ok</v>
      </c>
      <c r="Z3" s="297">
        <f t="shared" ref="Z3:Z32" si="8">C3+K3+S3</f>
        <v>4</v>
      </c>
      <c r="AA3" s="297">
        <f>U3+M3+E3</f>
        <v>805</v>
      </c>
      <c r="AB3" s="297">
        <f>V3+N3+F3</f>
        <v>178.25</v>
      </c>
      <c r="AC3" s="297">
        <f>IF(Z3&gt;0,AA3/Z3,0)</f>
        <v>201.25</v>
      </c>
      <c r="AD3" s="74">
        <f>ELEC!Q3</f>
        <v>2000</v>
      </c>
      <c r="AE3" s="74">
        <f>SUM(AD3/Z3)</f>
        <v>500</v>
      </c>
      <c r="AF3" s="416">
        <f>SUM(AE3/1600)</f>
        <v>0.3125</v>
      </c>
      <c r="AG3" s="417">
        <f>SUM(360*AF3)</f>
        <v>112.5</v>
      </c>
      <c r="AH3" s="417">
        <f>SUM(AC3-AG3)</f>
        <v>88.75</v>
      </c>
      <c r="AI3" s="74">
        <f>AD3*AJ3</f>
        <v>514.76793248945148</v>
      </c>
      <c r="AJ3" s="299">
        <f t="shared" ref="AJ3:AJ32" si="9">305/1185</f>
        <v>0.25738396624472576</v>
      </c>
      <c r="AK3" s="299">
        <f t="shared" ref="AK3:AK8" si="10">AI3/Z3</f>
        <v>128.69198312236287</v>
      </c>
    </row>
    <row r="4" spans="1:37" ht="15.75" thickBot="1">
      <c r="A4" s="4">
        <f>ELEC!C4</f>
        <v>43984</v>
      </c>
      <c r="B4" s="277">
        <v>8662</v>
      </c>
      <c r="C4" s="297">
        <f t="shared" ref="C4:C32" si="11">B4-B3</f>
        <v>3</v>
      </c>
      <c r="D4" s="277">
        <v>154342</v>
      </c>
      <c r="E4" s="297">
        <f t="shared" ref="E4:E32" si="12">SUM(D4-D3)</f>
        <v>534</v>
      </c>
      <c r="F4" s="297">
        <f t="shared" si="0"/>
        <v>178</v>
      </c>
      <c r="G4" s="200"/>
      <c r="H4" s="298">
        <f t="shared" ref="H4:H32" si="13">H3</f>
        <v>8770</v>
      </c>
      <c r="I4" s="297" t="str">
        <f t="shared" si="1"/>
        <v>ok</v>
      </c>
      <c r="J4" s="277">
        <f t="shared" ref="J4:L32" si="14">J3</f>
        <v>10689</v>
      </c>
      <c r="K4" s="297">
        <f t="shared" si="2"/>
        <v>0</v>
      </c>
      <c r="L4" s="277">
        <f t="shared" si="14"/>
        <v>237118</v>
      </c>
      <c r="M4" s="297">
        <f t="shared" si="3"/>
        <v>0</v>
      </c>
      <c r="N4" s="297">
        <f t="shared" ref="N4:N32" si="15">IF(K4&gt;0,M4/K4,0)</f>
        <v>0</v>
      </c>
      <c r="O4" s="200"/>
      <c r="P4" s="298">
        <f t="shared" ref="P4:P32" si="16">P3</f>
        <v>10873</v>
      </c>
      <c r="Q4" s="297" t="str">
        <f t="shared" si="4"/>
        <v>ok</v>
      </c>
      <c r="R4" s="277">
        <f t="shared" ref="R4:T32" si="17">R3</f>
        <v>11201</v>
      </c>
      <c r="S4" s="297">
        <f t="shared" si="5"/>
        <v>0</v>
      </c>
      <c r="T4" s="584">
        <v>253377</v>
      </c>
      <c r="U4" s="297">
        <f t="shared" si="6"/>
        <v>46</v>
      </c>
      <c r="V4" s="297">
        <f t="shared" ref="V4:V32" si="18">IF(S4&gt;0,U4/S4,0)</f>
        <v>0</v>
      </c>
      <c r="W4" s="200"/>
      <c r="X4" s="298">
        <f t="shared" ref="X4:X32" si="19">X3</f>
        <v>11889</v>
      </c>
      <c r="Y4" s="297" t="str">
        <f t="shared" si="7"/>
        <v>ok</v>
      </c>
      <c r="Z4" s="297">
        <f>C4+K4+S4</f>
        <v>3</v>
      </c>
      <c r="AA4" s="297">
        <f t="shared" ref="AA4:AA32" si="20">U4+M4+E4</f>
        <v>580</v>
      </c>
      <c r="AB4" s="297">
        <f t="shared" ref="AB4:AB32" si="21">V4+N4+F4</f>
        <v>178</v>
      </c>
      <c r="AC4" s="297">
        <f t="shared" ref="AC4:AC32" si="22">IF(Z4&gt;0,AA4/Z4,0)</f>
        <v>193.33333333333334</v>
      </c>
      <c r="AD4" s="74">
        <f>ELEC!Q4</f>
        <v>2000</v>
      </c>
      <c r="AE4" s="74">
        <f>SUM(AD4/Z4)</f>
        <v>666.66666666666663</v>
      </c>
      <c r="AF4" s="416">
        <f>SUM(AE4/1600)</f>
        <v>0.41666666666666663</v>
      </c>
      <c r="AG4" s="417">
        <f>SUM(360*AF4)</f>
        <v>150</v>
      </c>
      <c r="AH4" s="417">
        <f t="shared" ref="AH4:AH32" si="23">SUM(AC4-AG4)</f>
        <v>43.333333333333343</v>
      </c>
      <c r="AI4" s="74">
        <f>AD4*AJ4</f>
        <v>514.76793248945148</v>
      </c>
      <c r="AJ4" s="299">
        <f t="shared" si="9"/>
        <v>0.25738396624472576</v>
      </c>
      <c r="AK4" s="299">
        <f t="shared" si="10"/>
        <v>171.58931082981715</v>
      </c>
    </row>
    <row r="5" spans="1:37">
      <c r="A5" s="4">
        <f>ELEC!C5</f>
        <v>43985</v>
      </c>
      <c r="B5" s="277">
        <v>8665</v>
      </c>
      <c r="C5" s="297">
        <f t="shared" si="11"/>
        <v>3</v>
      </c>
      <c r="D5" s="277">
        <v>154903</v>
      </c>
      <c r="E5" s="297">
        <f t="shared" si="12"/>
        <v>561</v>
      </c>
      <c r="F5" s="297">
        <f t="shared" si="0"/>
        <v>187</v>
      </c>
      <c r="G5" s="295"/>
      <c r="H5" s="298">
        <f>H4</f>
        <v>8770</v>
      </c>
      <c r="I5" s="297" t="str">
        <f t="shared" si="1"/>
        <v>ok</v>
      </c>
      <c r="J5" s="277">
        <v>10689</v>
      </c>
      <c r="K5" s="297">
        <f t="shared" si="2"/>
        <v>0</v>
      </c>
      <c r="L5" s="277">
        <f t="shared" si="14"/>
        <v>237118</v>
      </c>
      <c r="M5" s="297">
        <f t="shared" si="3"/>
        <v>0</v>
      </c>
      <c r="N5" s="297">
        <f t="shared" si="15"/>
        <v>0</v>
      </c>
      <c r="O5" s="200"/>
      <c r="P5" s="298">
        <f>P4</f>
        <v>10873</v>
      </c>
      <c r="Q5" s="297" t="str">
        <f t="shared" si="4"/>
        <v>ok</v>
      </c>
      <c r="R5" s="277">
        <v>11201</v>
      </c>
      <c r="S5" s="297">
        <f t="shared" si="5"/>
        <v>0</v>
      </c>
      <c r="T5" s="584">
        <v>253380</v>
      </c>
      <c r="U5" s="297">
        <f t="shared" si="6"/>
        <v>3</v>
      </c>
      <c r="V5" s="297">
        <f>IF(S5&gt;0,U5/S5,0)</f>
        <v>0</v>
      </c>
      <c r="W5" s="200"/>
      <c r="X5" s="298">
        <f t="shared" si="19"/>
        <v>11889</v>
      </c>
      <c r="Y5" s="297" t="str">
        <f t="shared" si="7"/>
        <v>ok</v>
      </c>
      <c r="Z5" s="297">
        <f t="shared" si="8"/>
        <v>3</v>
      </c>
      <c r="AA5" s="297">
        <f t="shared" si="20"/>
        <v>564</v>
      </c>
      <c r="AB5" s="297">
        <f t="shared" si="21"/>
        <v>187</v>
      </c>
      <c r="AC5" s="297">
        <f t="shared" si="22"/>
        <v>188</v>
      </c>
      <c r="AD5" s="74">
        <f>ELEC!Q5</f>
        <v>2000</v>
      </c>
      <c r="AE5" s="74">
        <f t="shared" ref="AE5:AE32" si="24">SUM(AD5/Z5)</f>
        <v>666.66666666666663</v>
      </c>
      <c r="AF5" s="416">
        <f t="shared" ref="AF5:AF32" si="25">SUM(AE5/1600)</f>
        <v>0.41666666666666663</v>
      </c>
      <c r="AG5" s="417">
        <f t="shared" ref="AG5:AG32" si="26">SUM(320*AF5)</f>
        <v>133.33333333333331</v>
      </c>
      <c r="AH5" s="417">
        <f t="shared" si="23"/>
        <v>54.666666666666686</v>
      </c>
      <c r="AI5" s="74">
        <f t="shared" ref="AI5:AI32" si="27">AD5*AJ5</f>
        <v>514.76793248945148</v>
      </c>
      <c r="AJ5" s="299">
        <f t="shared" si="9"/>
        <v>0.25738396624472576</v>
      </c>
      <c r="AK5" s="299">
        <f t="shared" si="10"/>
        <v>171.58931082981715</v>
      </c>
    </row>
    <row r="6" spans="1:37">
      <c r="A6" s="4">
        <f>ELEC!C6</f>
        <v>43986</v>
      </c>
      <c r="B6" s="277">
        <v>8667</v>
      </c>
      <c r="C6" s="297">
        <f t="shared" si="11"/>
        <v>2</v>
      </c>
      <c r="D6" s="277">
        <v>155467</v>
      </c>
      <c r="E6" s="297">
        <f t="shared" si="12"/>
        <v>564</v>
      </c>
      <c r="F6" s="297">
        <f t="shared" si="0"/>
        <v>282</v>
      </c>
      <c r="G6" s="200"/>
      <c r="H6" s="298">
        <f t="shared" si="13"/>
        <v>8770</v>
      </c>
      <c r="I6" s="297" t="str">
        <f t="shared" si="1"/>
        <v>ok</v>
      </c>
      <c r="J6" s="277">
        <f t="shared" si="14"/>
        <v>10689</v>
      </c>
      <c r="K6" s="297">
        <f t="shared" si="2"/>
        <v>0</v>
      </c>
      <c r="L6" s="277">
        <f t="shared" si="14"/>
        <v>237118</v>
      </c>
      <c r="M6" s="297">
        <f t="shared" si="3"/>
        <v>0</v>
      </c>
      <c r="N6" s="297">
        <f t="shared" si="15"/>
        <v>0</v>
      </c>
      <c r="O6" s="317"/>
      <c r="P6" s="298">
        <f t="shared" si="16"/>
        <v>10873</v>
      </c>
      <c r="Q6" s="297" t="str">
        <f t="shared" si="4"/>
        <v>ok</v>
      </c>
      <c r="R6" s="277">
        <f t="shared" si="17"/>
        <v>11201</v>
      </c>
      <c r="S6" s="297">
        <f t="shared" si="5"/>
        <v>0</v>
      </c>
      <c r="T6" s="277">
        <v>253380</v>
      </c>
      <c r="U6" s="297">
        <f t="shared" si="6"/>
        <v>0</v>
      </c>
      <c r="V6" s="297">
        <f t="shared" si="18"/>
        <v>0</v>
      </c>
      <c r="W6" s="317"/>
      <c r="X6" s="298">
        <f t="shared" si="19"/>
        <v>11889</v>
      </c>
      <c r="Y6" s="297" t="str">
        <f t="shared" si="7"/>
        <v>ok</v>
      </c>
      <c r="Z6" s="297">
        <f t="shared" si="8"/>
        <v>2</v>
      </c>
      <c r="AA6" s="297">
        <f t="shared" si="20"/>
        <v>564</v>
      </c>
      <c r="AB6" s="297">
        <f t="shared" si="21"/>
        <v>282</v>
      </c>
      <c r="AC6" s="297">
        <f t="shared" si="22"/>
        <v>282</v>
      </c>
      <c r="AD6" s="74">
        <f>ELEC!Q6</f>
        <v>2000</v>
      </c>
      <c r="AE6" s="74">
        <f>SUM(AD6/Z6)</f>
        <v>1000</v>
      </c>
      <c r="AF6" s="416">
        <f t="shared" si="25"/>
        <v>0.625</v>
      </c>
      <c r="AG6" s="417">
        <f>SUM(320*AF6)</f>
        <v>200</v>
      </c>
      <c r="AH6" s="417">
        <f t="shared" si="23"/>
        <v>82</v>
      </c>
      <c r="AI6" s="74">
        <f t="shared" si="27"/>
        <v>514.76793248945148</v>
      </c>
      <c r="AJ6" s="299">
        <f t="shared" si="9"/>
        <v>0.25738396624472576</v>
      </c>
      <c r="AK6" s="299">
        <f t="shared" si="10"/>
        <v>257.38396624472574</v>
      </c>
    </row>
    <row r="7" spans="1:37">
      <c r="A7" s="4">
        <f>ELEC!C7</f>
        <v>43987</v>
      </c>
      <c r="B7" s="277">
        <f t="shared" ref="B7:D32" si="28">B6</f>
        <v>8667</v>
      </c>
      <c r="C7" s="297">
        <f t="shared" si="11"/>
        <v>0</v>
      </c>
      <c r="D7" s="277">
        <f t="shared" si="28"/>
        <v>155467</v>
      </c>
      <c r="E7" s="297">
        <f t="shared" si="12"/>
        <v>0</v>
      </c>
      <c r="F7" s="297">
        <f t="shared" si="0"/>
        <v>0</v>
      </c>
      <c r="G7" s="200"/>
      <c r="H7" s="298">
        <f t="shared" si="13"/>
        <v>8770</v>
      </c>
      <c r="I7" s="297" t="str">
        <f t="shared" si="1"/>
        <v>ok</v>
      </c>
      <c r="J7" s="277">
        <v>10693</v>
      </c>
      <c r="K7" s="297">
        <f t="shared" si="2"/>
        <v>4</v>
      </c>
      <c r="L7" s="277">
        <v>237634</v>
      </c>
      <c r="M7" s="297">
        <f t="shared" si="3"/>
        <v>516</v>
      </c>
      <c r="N7" s="297">
        <f t="shared" si="15"/>
        <v>129</v>
      </c>
      <c r="O7" s="317"/>
      <c r="P7" s="298">
        <f t="shared" si="16"/>
        <v>10873</v>
      </c>
      <c r="Q7" s="297" t="str">
        <f t="shared" si="4"/>
        <v>ok</v>
      </c>
      <c r="R7" s="277">
        <f t="shared" si="17"/>
        <v>11201</v>
      </c>
      <c r="S7" s="297">
        <f t="shared" si="5"/>
        <v>0</v>
      </c>
      <c r="T7" s="277">
        <v>253394</v>
      </c>
      <c r="U7" s="297">
        <f t="shared" si="6"/>
        <v>14</v>
      </c>
      <c r="V7" s="297">
        <f t="shared" si="18"/>
        <v>0</v>
      </c>
      <c r="W7" s="200"/>
      <c r="X7" s="298">
        <f t="shared" si="19"/>
        <v>11889</v>
      </c>
      <c r="Y7" s="297" t="str">
        <f t="shared" si="7"/>
        <v>ok</v>
      </c>
      <c r="Z7" s="297">
        <f t="shared" si="8"/>
        <v>4</v>
      </c>
      <c r="AA7" s="297">
        <f>U7+M7+E7</f>
        <v>530</v>
      </c>
      <c r="AB7" s="297">
        <f t="shared" si="21"/>
        <v>129</v>
      </c>
      <c r="AC7" s="297">
        <f t="shared" si="22"/>
        <v>132.5</v>
      </c>
      <c r="AD7" s="74">
        <f>ELEC!Q7</f>
        <v>2000</v>
      </c>
      <c r="AE7" s="74">
        <f t="shared" si="24"/>
        <v>500</v>
      </c>
      <c r="AF7" s="416">
        <f t="shared" si="25"/>
        <v>0.3125</v>
      </c>
      <c r="AG7" s="523" t="s">
        <v>406</v>
      </c>
      <c r="AH7" s="417" t="e">
        <f t="shared" si="23"/>
        <v>#VALUE!</v>
      </c>
      <c r="AI7" s="74">
        <f t="shared" si="27"/>
        <v>514.76793248945148</v>
      </c>
      <c r="AJ7" s="299">
        <f t="shared" si="9"/>
        <v>0.25738396624472576</v>
      </c>
      <c r="AK7" s="299">
        <f t="shared" si="10"/>
        <v>128.69198312236287</v>
      </c>
    </row>
    <row r="8" spans="1:37">
      <c r="A8" s="4">
        <f>ELEC!C8</f>
        <v>43988</v>
      </c>
      <c r="B8" s="277">
        <v>8668</v>
      </c>
      <c r="C8" s="297">
        <f t="shared" si="11"/>
        <v>1</v>
      </c>
      <c r="D8" s="277">
        <v>155499</v>
      </c>
      <c r="E8" s="297">
        <f t="shared" si="12"/>
        <v>32</v>
      </c>
      <c r="F8" s="297">
        <f t="shared" si="0"/>
        <v>32</v>
      </c>
      <c r="G8" s="200"/>
      <c r="H8" s="298">
        <f t="shared" si="13"/>
        <v>8770</v>
      </c>
      <c r="I8" s="297" t="str">
        <f t="shared" si="1"/>
        <v>ok</v>
      </c>
      <c r="J8" s="277">
        <v>10696</v>
      </c>
      <c r="K8" s="297">
        <f t="shared" si="2"/>
        <v>3</v>
      </c>
      <c r="L8" s="277">
        <v>238182</v>
      </c>
      <c r="M8" s="297">
        <f t="shared" si="3"/>
        <v>548</v>
      </c>
      <c r="N8" s="297">
        <f t="shared" si="15"/>
        <v>182.66666666666666</v>
      </c>
      <c r="O8" s="200"/>
      <c r="P8" s="298">
        <f t="shared" si="16"/>
        <v>10873</v>
      </c>
      <c r="Q8" s="297" t="str">
        <f t="shared" si="4"/>
        <v>ok</v>
      </c>
      <c r="R8" s="277">
        <f t="shared" si="17"/>
        <v>11201</v>
      </c>
      <c r="S8" s="297">
        <f t="shared" si="5"/>
        <v>0</v>
      </c>
      <c r="T8" s="277">
        <v>253394</v>
      </c>
      <c r="U8" s="297">
        <f t="shared" si="6"/>
        <v>0</v>
      </c>
      <c r="V8" s="297">
        <f t="shared" si="18"/>
        <v>0</v>
      </c>
      <c r="W8" s="200"/>
      <c r="X8" s="298">
        <f t="shared" si="19"/>
        <v>11889</v>
      </c>
      <c r="Y8" s="297" t="str">
        <f t="shared" si="7"/>
        <v>ok</v>
      </c>
      <c r="Z8" s="297">
        <f t="shared" si="8"/>
        <v>4</v>
      </c>
      <c r="AA8" s="297">
        <f t="shared" si="20"/>
        <v>580</v>
      </c>
      <c r="AB8" s="297">
        <f t="shared" si="21"/>
        <v>214.66666666666666</v>
      </c>
      <c r="AC8" s="297">
        <f t="shared" si="22"/>
        <v>145</v>
      </c>
      <c r="AD8" s="74">
        <f>ELEC!Q8</f>
        <v>2000</v>
      </c>
      <c r="AE8" s="74">
        <f t="shared" si="24"/>
        <v>500</v>
      </c>
      <c r="AF8" s="416">
        <f t="shared" si="25"/>
        <v>0.3125</v>
      </c>
      <c r="AG8" s="417">
        <f t="shared" si="26"/>
        <v>100</v>
      </c>
      <c r="AH8" s="417">
        <f t="shared" si="23"/>
        <v>45</v>
      </c>
      <c r="AI8" s="74">
        <f t="shared" si="27"/>
        <v>514.76793248945148</v>
      </c>
      <c r="AJ8" s="299">
        <f t="shared" si="9"/>
        <v>0.25738396624472576</v>
      </c>
      <c r="AK8" s="299">
        <f t="shared" si="10"/>
        <v>128.69198312236287</v>
      </c>
    </row>
    <row r="9" spans="1:37">
      <c r="A9" s="4">
        <f>ELEC!C9</f>
        <v>43989</v>
      </c>
      <c r="B9" s="277">
        <v>8669</v>
      </c>
      <c r="C9" s="297">
        <f t="shared" si="11"/>
        <v>1</v>
      </c>
      <c r="D9" s="277">
        <v>155788</v>
      </c>
      <c r="E9" s="297">
        <f t="shared" si="12"/>
        <v>289</v>
      </c>
      <c r="F9" s="297">
        <f t="shared" si="0"/>
        <v>289</v>
      </c>
      <c r="G9" s="200"/>
      <c r="H9" s="298">
        <f t="shared" si="13"/>
        <v>8770</v>
      </c>
      <c r="I9" s="297" t="str">
        <f t="shared" si="1"/>
        <v>ok</v>
      </c>
      <c r="J9" s="277">
        <v>10698</v>
      </c>
      <c r="K9" s="297">
        <f t="shared" si="2"/>
        <v>2</v>
      </c>
      <c r="L9" s="277">
        <v>238479</v>
      </c>
      <c r="M9" s="297">
        <f t="shared" si="3"/>
        <v>297</v>
      </c>
      <c r="N9" s="297">
        <f t="shared" si="15"/>
        <v>148.5</v>
      </c>
      <c r="O9" s="200"/>
      <c r="P9" s="298">
        <f t="shared" si="16"/>
        <v>10873</v>
      </c>
      <c r="Q9" s="297" t="str">
        <f t="shared" si="4"/>
        <v>ok</v>
      </c>
      <c r="R9" s="277">
        <f t="shared" si="17"/>
        <v>11201</v>
      </c>
      <c r="S9" s="297">
        <f t="shared" si="5"/>
        <v>0</v>
      </c>
      <c r="T9" s="277">
        <v>253394</v>
      </c>
      <c r="U9" s="297">
        <f t="shared" si="6"/>
        <v>0</v>
      </c>
      <c r="V9" s="297">
        <f t="shared" si="18"/>
        <v>0</v>
      </c>
      <c r="W9" s="200"/>
      <c r="X9" s="298">
        <f t="shared" si="19"/>
        <v>11889</v>
      </c>
      <c r="Y9" s="297" t="str">
        <f t="shared" si="7"/>
        <v>ok</v>
      </c>
      <c r="Z9" s="297">
        <f t="shared" si="8"/>
        <v>3</v>
      </c>
      <c r="AA9" s="297">
        <f t="shared" si="20"/>
        <v>586</v>
      </c>
      <c r="AB9" s="297">
        <f t="shared" si="21"/>
        <v>437.5</v>
      </c>
      <c r="AC9" s="297">
        <f t="shared" si="22"/>
        <v>195.33333333333334</v>
      </c>
      <c r="AD9" s="74">
        <f>ELEC!Q9</f>
        <v>2000</v>
      </c>
      <c r="AE9" s="74">
        <f t="shared" si="24"/>
        <v>666.66666666666663</v>
      </c>
      <c r="AF9" s="416">
        <f t="shared" si="25"/>
        <v>0.41666666666666663</v>
      </c>
      <c r="AG9" s="417">
        <f t="shared" si="26"/>
        <v>133.33333333333331</v>
      </c>
      <c r="AH9" s="417">
        <f t="shared" si="23"/>
        <v>62.000000000000028</v>
      </c>
      <c r="AI9" s="74">
        <f t="shared" si="27"/>
        <v>514.76793248945148</v>
      </c>
      <c r="AJ9" s="299">
        <v>0.25738396624472576</v>
      </c>
      <c r="AK9" s="299">
        <f t="shared" ref="AK9:AK16" si="29">IF(Z9&gt;0,AI9/Z9,0)</f>
        <v>171.58931082981715</v>
      </c>
    </row>
    <row r="10" spans="1:37">
      <c r="A10" s="4">
        <f>ELEC!C10</f>
        <v>43990</v>
      </c>
      <c r="B10" s="591">
        <v>8672</v>
      </c>
      <c r="C10" s="297">
        <f t="shared" si="11"/>
        <v>3</v>
      </c>
      <c r="D10" s="277">
        <v>156350</v>
      </c>
      <c r="E10" s="297">
        <f t="shared" si="12"/>
        <v>562</v>
      </c>
      <c r="F10" s="297">
        <f t="shared" si="0"/>
        <v>187.33333333333334</v>
      </c>
      <c r="G10" s="200"/>
      <c r="H10" s="298">
        <f t="shared" si="13"/>
        <v>8770</v>
      </c>
      <c r="I10" s="297" t="str">
        <f t="shared" si="1"/>
        <v>ok</v>
      </c>
      <c r="J10" s="277">
        <f t="shared" si="14"/>
        <v>10698</v>
      </c>
      <c r="K10" s="297">
        <f t="shared" si="2"/>
        <v>0</v>
      </c>
      <c r="L10" s="277">
        <f t="shared" si="14"/>
        <v>238479</v>
      </c>
      <c r="M10" s="297">
        <f t="shared" si="3"/>
        <v>0</v>
      </c>
      <c r="N10" s="297">
        <f t="shared" si="15"/>
        <v>0</v>
      </c>
      <c r="O10" s="200"/>
      <c r="P10" s="298">
        <v>10873</v>
      </c>
      <c r="Q10" s="297" t="str">
        <f t="shared" si="4"/>
        <v>ok</v>
      </c>
      <c r="R10" s="277">
        <f t="shared" si="17"/>
        <v>11201</v>
      </c>
      <c r="S10" s="297">
        <f t="shared" si="5"/>
        <v>0</v>
      </c>
      <c r="T10" s="277">
        <v>253394</v>
      </c>
      <c r="U10" s="297">
        <f t="shared" si="6"/>
        <v>0</v>
      </c>
      <c r="V10" s="297">
        <f t="shared" si="18"/>
        <v>0</v>
      </c>
      <c r="W10" s="200"/>
      <c r="X10" s="298">
        <f t="shared" si="19"/>
        <v>11889</v>
      </c>
      <c r="Y10" s="297" t="str">
        <f t="shared" si="7"/>
        <v>ok</v>
      </c>
      <c r="Z10" s="297">
        <f t="shared" si="8"/>
        <v>3</v>
      </c>
      <c r="AA10" s="297">
        <f t="shared" si="20"/>
        <v>562</v>
      </c>
      <c r="AB10" s="297">
        <f t="shared" si="21"/>
        <v>187.33333333333334</v>
      </c>
      <c r="AC10" s="297">
        <f t="shared" si="22"/>
        <v>187.33333333333334</v>
      </c>
      <c r="AD10" s="74">
        <f>ELEC!Q10</f>
        <v>2000</v>
      </c>
      <c r="AE10" s="74">
        <f t="shared" si="24"/>
        <v>666.66666666666663</v>
      </c>
      <c r="AF10" s="416">
        <f t="shared" si="25"/>
        <v>0.41666666666666663</v>
      </c>
      <c r="AG10" s="417">
        <f t="shared" si="26"/>
        <v>133.33333333333331</v>
      </c>
      <c r="AH10" s="417">
        <f t="shared" si="23"/>
        <v>54.000000000000028</v>
      </c>
      <c r="AI10" s="74">
        <f t="shared" si="27"/>
        <v>514.76793248945148</v>
      </c>
      <c r="AJ10" s="299">
        <f t="shared" si="9"/>
        <v>0.25738396624472576</v>
      </c>
      <c r="AK10" s="299">
        <f t="shared" si="29"/>
        <v>171.58931082981715</v>
      </c>
    </row>
    <row r="11" spans="1:37">
      <c r="A11" s="4">
        <f>ELEC!C11</f>
        <v>43991</v>
      </c>
      <c r="B11" s="591">
        <v>8672</v>
      </c>
      <c r="C11" s="297">
        <f t="shared" si="11"/>
        <v>0</v>
      </c>
      <c r="D11" s="277">
        <v>156429</v>
      </c>
      <c r="E11" s="297">
        <f t="shared" si="12"/>
        <v>79</v>
      </c>
      <c r="F11" s="297">
        <f t="shared" si="0"/>
        <v>0</v>
      </c>
      <c r="G11" s="200"/>
      <c r="H11" s="298">
        <f t="shared" si="13"/>
        <v>8770</v>
      </c>
      <c r="I11" s="297" t="str">
        <f t="shared" si="1"/>
        <v>ok</v>
      </c>
      <c r="J11" s="277">
        <v>10698</v>
      </c>
      <c r="K11" s="297">
        <f t="shared" si="2"/>
        <v>0</v>
      </c>
      <c r="L11" s="277">
        <f t="shared" si="14"/>
        <v>238479</v>
      </c>
      <c r="M11" s="297">
        <f t="shared" si="3"/>
        <v>0</v>
      </c>
      <c r="N11" s="297">
        <f t="shared" si="15"/>
        <v>0</v>
      </c>
      <c r="O11" s="200"/>
      <c r="P11" s="298">
        <f t="shared" si="16"/>
        <v>10873</v>
      </c>
      <c r="Q11" s="297" t="str">
        <f t="shared" si="4"/>
        <v>ok</v>
      </c>
      <c r="R11" s="277">
        <v>11205</v>
      </c>
      <c r="S11" s="297">
        <f t="shared" si="5"/>
        <v>4</v>
      </c>
      <c r="T11" s="277">
        <v>254281</v>
      </c>
      <c r="U11" s="297">
        <f t="shared" si="6"/>
        <v>887</v>
      </c>
      <c r="V11" s="297">
        <f t="shared" si="18"/>
        <v>221.75</v>
      </c>
      <c r="W11" s="200"/>
      <c r="X11" s="298">
        <f t="shared" si="19"/>
        <v>11889</v>
      </c>
      <c r="Y11" s="297" t="str">
        <f t="shared" si="7"/>
        <v>ok</v>
      </c>
      <c r="Z11" s="297">
        <f t="shared" si="8"/>
        <v>4</v>
      </c>
      <c r="AA11" s="297">
        <f t="shared" si="20"/>
        <v>966</v>
      </c>
      <c r="AB11" s="297">
        <f t="shared" si="21"/>
        <v>221.75</v>
      </c>
      <c r="AC11" s="297">
        <f t="shared" si="22"/>
        <v>241.5</v>
      </c>
      <c r="AD11" s="74">
        <f>ELEC!Q11</f>
        <v>2000</v>
      </c>
      <c r="AE11" s="74">
        <f t="shared" si="24"/>
        <v>500</v>
      </c>
      <c r="AF11" s="416">
        <f t="shared" si="25"/>
        <v>0.3125</v>
      </c>
      <c r="AG11" s="417">
        <f t="shared" si="26"/>
        <v>100</v>
      </c>
      <c r="AH11" s="417">
        <f t="shared" si="23"/>
        <v>141.5</v>
      </c>
      <c r="AI11" s="74">
        <f t="shared" si="27"/>
        <v>514.76793248945148</v>
      </c>
      <c r="AJ11" s="299">
        <f t="shared" si="9"/>
        <v>0.25738396624472576</v>
      </c>
      <c r="AK11" s="299">
        <f t="shared" si="29"/>
        <v>128.69198312236287</v>
      </c>
    </row>
    <row r="12" spans="1:37">
      <c r="A12" s="4">
        <f>ELEC!C12</f>
        <v>43992</v>
      </c>
      <c r="B12" s="591">
        <v>8672</v>
      </c>
      <c r="C12" s="297">
        <f t="shared" si="11"/>
        <v>0</v>
      </c>
      <c r="D12" s="277">
        <v>156438</v>
      </c>
      <c r="E12" s="297">
        <f t="shared" si="12"/>
        <v>9</v>
      </c>
      <c r="F12" s="297">
        <f t="shared" si="0"/>
        <v>0</v>
      </c>
      <c r="G12" s="200"/>
      <c r="H12" s="298">
        <f t="shared" si="13"/>
        <v>8770</v>
      </c>
      <c r="I12" s="297" t="str">
        <f t="shared" si="1"/>
        <v>ok</v>
      </c>
      <c r="J12" s="277">
        <f t="shared" si="14"/>
        <v>10698</v>
      </c>
      <c r="K12" s="297">
        <f t="shared" si="2"/>
        <v>0</v>
      </c>
      <c r="L12" s="277">
        <f t="shared" si="14"/>
        <v>238479</v>
      </c>
      <c r="M12" s="297">
        <f t="shared" si="3"/>
        <v>0</v>
      </c>
      <c r="N12" s="297">
        <f t="shared" si="15"/>
        <v>0</v>
      </c>
      <c r="O12" s="200"/>
      <c r="P12" s="298">
        <f t="shared" si="16"/>
        <v>10873</v>
      </c>
      <c r="Q12" s="297" t="str">
        <f t="shared" si="4"/>
        <v>ok</v>
      </c>
      <c r="R12" s="277">
        <v>11212</v>
      </c>
      <c r="S12" s="297">
        <f t="shared" si="5"/>
        <v>7</v>
      </c>
      <c r="T12" s="277">
        <v>256096</v>
      </c>
      <c r="U12" s="297">
        <f t="shared" si="6"/>
        <v>1815</v>
      </c>
      <c r="V12" s="297">
        <f t="shared" si="18"/>
        <v>259.28571428571428</v>
      </c>
      <c r="W12" s="200"/>
      <c r="X12" s="298">
        <f t="shared" si="19"/>
        <v>11889</v>
      </c>
      <c r="Y12" s="297" t="str">
        <f t="shared" si="7"/>
        <v>ok</v>
      </c>
      <c r="Z12" s="297">
        <f t="shared" si="8"/>
        <v>7</v>
      </c>
      <c r="AA12" s="297">
        <f t="shared" si="20"/>
        <v>1824</v>
      </c>
      <c r="AB12" s="297">
        <f t="shared" si="21"/>
        <v>259.28571428571428</v>
      </c>
      <c r="AC12" s="297">
        <f t="shared" si="22"/>
        <v>260.57142857142856</v>
      </c>
      <c r="AD12" s="74">
        <f>ELEC!Q12</f>
        <v>6000</v>
      </c>
      <c r="AE12" s="74">
        <f t="shared" si="24"/>
        <v>857.14285714285711</v>
      </c>
      <c r="AF12" s="416">
        <f t="shared" si="25"/>
        <v>0.5357142857142857</v>
      </c>
      <c r="AG12" s="417">
        <f t="shared" si="26"/>
        <v>171.42857142857142</v>
      </c>
      <c r="AH12" s="417">
        <f t="shared" si="23"/>
        <v>89.142857142857139</v>
      </c>
      <c r="AI12" s="74">
        <f t="shared" si="27"/>
        <v>1544.3037974683546</v>
      </c>
      <c r="AJ12" s="299">
        <f t="shared" si="9"/>
        <v>0.25738396624472576</v>
      </c>
      <c r="AK12" s="299">
        <f t="shared" si="29"/>
        <v>220.61482820976494</v>
      </c>
    </row>
    <row r="13" spans="1:37">
      <c r="A13" s="4">
        <f>ELEC!C13</f>
        <v>43993</v>
      </c>
      <c r="B13" s="591">
        <v>8672</v>
      </c>
      <c r="C13" s="297">
        <f t="shared" si="11"/>
        <v>0</v>
      </c>
      <c r="D13" s="277">
        <v>156998</v>
      </c>
      <c r="E13" s="297">
        <f t="shared" si="12"/>
        <v>560</v>
      </c>
      <c r="F13" s="297">
        <f t="shared" si="0"/>
        <v>0</v>
      </c>
      <c r="G13" s="200"/>
      <c r="H13" s="298">
        <f t="shared" si="13"/>
        <v>8770</v>
      </c>
      <c r="I13" s="297" t="str">
        <f t="shared" si="1"/>
        <v>ok</v>
      </c>
      <c r="J13" s="277">
        <v>10698</v>
      </c>
      <c r="K13" s="297">
        <f t="shared" si="2"/>
        <v>0</v>
      </c>
      <c r="L13" s="277">
        <f>L12</f>
        <v>238479</v>
      </c>
      <c r="M13" s="297">
        <f t="shared" si="3"/>
        <v>0</v>
      </c>
      <c r="N13" s="297">
        <f t="shared" si="15"/>
        <v>0</v>
      </c>
      <c r="O13" s="200"/>
      <c r="P13" s="298">
        <f t="shared" si="16"/>
        <v>10873</v>
      </c>
      <c r="Q13" s="297" t="str">
        <f t="shared" si="4"/>
        <v>ok</v>
      </c>
      <c r="R13" s="277">
        <v>11221</v>
      </c>
      <c r="S13" s="297">
        <f t="shared" si="5"/>
        <v>9</v>
      </c>
      <c r="T13" s="277">
        <v>258169</v>
      </c>
      <c r="U13" s="297">
        <f t="shared" si="6"/>
        <v>2073</v>
      </c>
      <c r="V13" s="297">
        <f t="shared" si="18"/>
        <v>230.33333333333334</v>
      </c>
      <c r="W13" s="200"/>
      <c r="X13" s="298">
        <f>X12+180</f>
        <v>12069</v>
      </c>
      <c r="Y13" s="297" t="str">
        <f t="shared" si="7"/>
        <v>ok</v>
      </c>
      <c r="Z13" s="297">
        <f t="shared" si="8"/>
        <v>9</v>
      </c>
      <c r="AA13" s="297">
        <f t="shared" si="20"/>
        <v>2633</v>
      </c>
      <c r="AB13" s="297">
        <f t="shared" si="21"/>
        <v>230.33333333333334</v>
      </c>
      <c r="AC13" s="297">
        <f t="shared" si="22"/>
        <v>292.55555555555554</v>
      </c>
      <c r="AD13" s="74">
        <f>ELEC!Q13</f>
        <v>5000</v>
      </c>
      <c r="AE13" s="74">
        <f t="shared" si="24"/>
        <v>555.55555555555554</v>
      </c>
      <c r="AF13" s="416">
        <f t="shared" si="25"/>
        <v>0.34722222222222221</v>
      </c>
      <c r="AG13" s="417">
        <f t="shared" si="26"/>
        <v>111.11111111111111</v>
      </c>
      <c r="AH13" s="417">
        <f t="shared" si="23"/>
        <v>181.44444444444443</v>
      </c>
      <c r="AI13" s="74">
        <f t="shared" si="27"/>
        <v>1286.9198312236288</v>
      </c>
      <c r="AJ13" s="299">
        <f t="shared" si="9"/>
        <v>0.25738396624472576</v>
      </c>
      <c r="AK13" s="299">
        <f t="shared" si="29"/>
        <v>142.99109235818096</v>
      </c>
    </row>
    <row r="14" spans="1:37">
      <c r="A14" s="4">
        <f>ELEC!C14</f>
        <v>43994</v>
      </c>
      <c r="B14" s="591">
        <v>8676</v>
      </c>
      <c r="C14" s="297">
        <f t="shared" si="11"/>
        <v>4</v>
      </c>
      <c r="D14" s="277">
        <v>158308</v>
      </c>
      <c r="E14" s="297">
        <f t="shared" si="12"/>
        <v>1310</v>
      </c>
      <c r="F14" s="297">
        <f t="shared" si="0"/>
        <v>327.5</v>
      </c>
      <c r="G14" s="200"/>
      <c r="H14" s="298">
        <f t="shared" si="13"/>
        <v>8770</v>
      </c>
      <c r="I14" s="297" t="str">
        <f t="shared" si="1"/>
        <v>ok</v>
      </c>
      <c r="J14" s="277">
        <v>10698</v>
      </c>
      <c r="K14" s="297">
        <f t="shared" si="2"/>
        <v>0</v>
      </c>
      <c r="L14" s="277">
        <f t="shared" si="14"/>
        <v>238479</v>
      </c>
      <c r="M14" s="297">
        <f t="shared" si="3"/>
        <v>0</v>
      </c>
      <c r="N14" s="297">
        <f t="shared" si="15"/>
        <v>0</v>
      </c>
      <c r="O14" s="200"/>
      <c r="P14" s="298">
        <f t="shared" si="16"/>
        <v>10873</v>
      </c>
      <c r="Q14" s="297" t="str">
        <f t="shared" si="4"/>
        <v>ok</v>
      </c>
      <c r="R14" s="277">
        <v>11226</v>
      </c>
      <c r="S14" s="297">
        <f t="shared" si="5"/>
        <v>5</v>
      </c>
      <c r="T14" s="277">
        <v>259153</v>
      </c>
      <c r="U14" s="297">
        <f t="shared" si="6"/>
        <v>984</v>
      </c>
      <c r="V14" s="297">
        <f t="shared" si="18"/>
        <v>196.8</v>
      </c>
      <c r="W14" s="200"/>
      <c r="X14" s="298">
        <f t="shared" si="19"/>
        <v>12069</v>
      </c>
      <c r="Y14" s="297" t="str">
        <f t="shared" si="7"/>
        <v>ok</v>
      </c>
      <c r="Z14" s="297">
        <f t="shared" si="8"/>
        <v>9</v>
      </c>
      <c r="AA14" s="297">
        <f t="shared" si="20"/>
        <v>2294</v>
      </c>
      <c r="AB14" s="297">
        <f t="shared" si="21"/>
        <v>524.29999999999995</v>
      </c>
      <c r="AC14" s="297">
        <f t="shared" si="22"/>
        <v>254.88888888888889</v>
      </c>
      <c r="AD14" s="74">
        <f>ELEC!Q14</f>
        <v>6000</v>
      </c>
      <c r="AE14" s="74">
        <f t="shared" si="24"/>
        <v>666.66666666666663</v>
      </c>
      <c r="AF14" s="416">
        <f t="shared" si="25"/>
        <v>0.41666666666666663</v>
      </c>
      <c r="AG14" s="417">
        <f t="shared" si="26"/>
        <v>133.33333333333331</v>
      </c>
      <c r="AH14" s="417">
        <f t="shared" si="23"/>
        <v>121.55555555555557</v>
      </c>
      <c r="AI14" s="74">
        <f t="shared" si="27"/>
        <v>1544.3037974683546</v>
      </c>
      <c r="AJ14" s="299">
        <f t="shared" si="9"/>
        <v>0.25738396624472576</v>
      </c>
      <c r="AK14" s="299">
        <f t="shared" si="29"/>
        <v>171.58931082981718</v>
      </c>
    </row>
    <row r="15" spans="1:37">
      <c r="A15" s="4">
        <f>ELEC!C15</f>
        <v>43995</v>
      </c>
      <c r="B15" s="591">
        <v>8684</v>
      </c>
      <c r="C15" s="297">
        <f t="shared" si="11"/>
        <v>8</v>
      </c>
      <c r="D15" s="277">
        <v>159491</v>
      </c>
      <c r="E15" s="297">
        <f t="shared" si="12"/>
        <v>1183</v>
      </c>
      <c r="F15" s="297">
        <f t="shared" si="0"/>
        <v>147.875</v>
      </c>
      <c r="G15" s="200"/>
      <c r="H15" s="298">
        <f t="shared" si="13"/>
        <v>8770</v>
      </c>
      <c r="I15" s="297" t="str">
        <f t="shared" si="1"/>
        <v>ok</v>
      </c>
      <c r="J15" s="277">
        <f t="shared" si="14"/>
        <v>10698</v>
      </c>
      <c r="K15" s="297">
        <f t="shared" si="2"/>
        <v>0</v>
      </c>
      <c r="L15" s="277">
        <f t="shared" si="14"/>
        <v>238479</v>
      </c>
      <c r="M15" s="297">
        <f t="shared" si="3"/>
        <v>0</v>
      </c>
      <c r="N15" s="297">
        <f t="shared" si="15"/>
        <v>0</v>
      </c>
      <c r="O15" s="200"/>
      <c r="P15" s="298">
        <f t="shared" si="16"/>
        <v>10873</v>
      </c>
      <c r="Q15" s="297" t="str">
        <f t="shared" si="4"/>
        <v>ok</v>
      </c>
      <c r="R15" s="277">
        <f t="shared" si="17"/>
        <v>11226</v>
      </c>
      <c r="S15" s="297">
        <f t="shared" si="5"/>
        <v>0</v>
      </c>
      <c r="T15" s="277">
        <v>259153</v>
      </c>
      <c r="U15" s="297">
        <f t="shared" si="6"/>
        <v>0</v>
      </c>
      <c r="V15" s="297">
        <f t="shared" si="18"/>
        <v>0</v>
      </c>
      <c r="W15" s="200"/>
      <c r="X15" s="298">
        <f t="shared" si="19"/>
        <v>12069</v>
      </c>
      <c r="Y15" s="297" t="str">
        <f t="shared" si="7"/>
        <v>ok</v>
      </c>
      <c r="Z15" s="297">
        <f t="shared" si="8"/>
        <v>8</v>
      </c>
      <c r="AA15" s="297">
        <f t="shared" si="20"/>
        <v>1183</v>
      </c>
      <c r="AB15" s="297">
        <f t="shared" si="21"/>
        <v>147.875</v>
      </c>
      <c r="AC15" s="297">
        <f t="shared" si="22"/>
        <v>147.875</v>
      </c>
      <c r="AD15" s="74">
        <f>ELEC!Q15</f>
        <v>6000</v>
      </c>
      <c r="AE15" s="74">
        <f t="shared" si="24"/>
        <v>750</v>
      </c>
      <c r="AF15" s="416">
        <f t="shared" si="25"/>
        <v>0.46875</v>
      </c>
      <c r="AG15" s="417">
        <f t="shared" si="26"/>
        <v>150</v>
      </c>
      <c r="AH15" s="417">
        <f t="shared" si="23"/>
        <v>-2.125</v>
      </c>
      <c r="AI15" s="74">
        <f t="shared" si="27"/>
        <v>1544.3037974683546</v>
      </c>
      <c r="AJ15" s="299">
        <f t="shared" si="9"/>
        <v>0.25738396624472576</v>
      </c>
      <c r="AK15" s="299">
        <f t="shared" si="29"/>
        <v>193.03797468354432</v>
      </c>
    </row>
    <row r="16" spans="1:37">
      <c r="A16" s="4">
        <f>ELEC!C16</f>
        <v>43996</v>
      </c>
      <c r="B16" s="591">
        <v>8689</v>
      </c>
      <c r="C16" s="297">
        <f t="shared" si="11"/>
        <v>5</v>
      </c>
      <c r="D16" s="277">
        <v>159491</v>
      </c>
      <c r="E16" s="297">
        <f t="shared" si="12"/>
        <v>0</v>
      </c>
      <c r="F16" s="297">
        <f t="shared" si="0"/>
        <v>0</v>
      </c>
      <c r="G16" s="200"/>
      <c r="H16" s="298">
        <f t="shared" si="13"/>
        <v>8770</v>
      </c>
      <c r="I16" s="297" t="str">
        <f t="shared" si="1"/>
        <v>ok</v>
      </c>
      <c r="J16" s="277">
        <v>10698</v>
      </c>
      <c r="K16" s="297">
        <f t="shared" si="2"/>
        <v>0</v>
      </c>
      <c r="L16" s="277">
        <f t="shared" si="14"/>
        <v>238479</v>
      </c>
      <c r="M16" s="297">
        <f t="shared" si="3"/>
        <v>0</v>
      </c>
      <c r="N16" s="297">
        <f t="shared" si="15"/>
        <v>0</v>
      </c>
      <c r="O16" s="200"/>
      <c r="P16" s="298">
        <f t="shared" si="16"/>
        <v>10873</v>
      </c>
      <c r="Q16" s="297" t="str">
        <f t="shared" si="4"/>
        <v>ok</v>
      </c>
      <c r="R16" s="277">
        <v>11226</v>
      </c>
      <c r="S16" s="530">
        <f t="shared" si="5"/>
        <v>0</v>
      </c>
      <c r="T16" s="277">
        <f t="shared" si="17"/>
        <v>259153</v>
      </c>
      <c r="U16" s="297">
        <f t="shared" si="6"/>
        <v>0</v>
      </c>
      <c r="V16" s="297">
        <f t="shared" si="18"/>
        <v>0</v>
      </c>
      <c r="W16" s="200"/>
      <c r="X16" s="298">
        <f t="shared" si="19"/>
        <v>12069</v>
      </c>
      <c r="Y16" s="297" t="str">
        <f t="shared" si="7"/>
        <v>ok</v>
      </c>
      <c r="Z16" s="297">
        <f t="shared" si="8"/>
        <v>5</v>
      </c>
      <c r="AA16" s="297">
        <f t="shared" si="20"/>
        <v>0</v>
      </c>
      <c r="AB16" s="297">
        <f t="shared" si="21"/>
        <v>0</v>
      </c>
      <c r="AC16" s="297">
        <f t="shared" si="22"/>
        <v>0</v>
      </c>
      <c r="AD16" s="74">
        <f>ELEC!Q16</f>
        <v>3000</v>
      </c>
      <c r="AE16" s="74">
        <f t="shared" si="24"/>
        <v>600</v>
      </c>
      <c r="AF16" s="416">
        <f t="shared" si="25"/>
        <v>0.375</v>
      </c>
      <c r="AG16" s="417">
        <f t="shared" si="26"/>
        <v>120</v>
      </c>
      <c r="AH16" s="417">
        <f t="shared" si="23"/>
        <v>-120</v>
      </c>
      <c r="AI16" s="74">
        <f t="shared" si="27"/>
        <v>772.15189873417728</v>
      </c>
      <c r="AJ16" s="299">
        <f t="shared" si="9"/>
        <v>0.25738396624472576</v>
      </c>
      <c r="AK16" s="299">
        <f t="shared" si="29"/>
        <v>154.43037974683546</v>
      </c>
    </row>
    <row r="17" spans="1:37">
      <c r="A17" s="4">
        <f>ELEC!C17</f>
        <v>43997</v>
      </c>
      <c r="B17" s="277">
        <v>8697</v>
      </c>
      <c r="C17" s="297">
        <f t="shared" si="11"/>
        <v>8</v>
      </c>
      <c r="D17" s="277">
        <v>160634</v>
      </c>
      <c r="E17" s="297">
        <f t="shared" si="12"/>
        <v>1143</v>
      </c>
      <c r="F17" s="297">
        <f t="shared" si="0"/>
        <v>142.875</v>
      </c>
      <c r="G17" s="200"/>
      <c r="H17" s="298">
        <f t="shared" si="13"/>
        <v>8770</v>
      </c>
      <c r="I17" s="297" t="str">
        <f t="shared" si="1"/>
        <v>ok</v>
      </c>
      <c r="J17" s="277">
        <f t="shared" si="14"/>
        <v>10698</v>
      </c>
      <c r="K17" s="297">
        <f t="shared" si="2"/>
        <v>0</v>
      </c>
      <c r="L17" s="277">
        <f t="shared" si="14"/>
        <v>238479</v>
      </c>
      <c r="M17" s="297">
        <f t="shared" si="3"/>
        <v>0</v>
      </c>
      <c r="N17" s="297">
        <f t="shared" si="15"/>
        <v>0</v>
      </c>
      <c r="O17" s="200"/>
      <c r="P17" s="298">
        <f t="shared" si="16"/>
        <v>10873</v>
      </c>
      <c r="Q17" s="297" t="str">
        <f t="shared" si="4"/>
        <v>ok</v>
      </c>
      <c r="R17" s="277">
        <f t="shared" si="17"/>
        <v>11226</v>
      </c>
      <c r="S17" s="531">
        <f t="shared" si="5"/>
        <v>0</v>
      </c>
      <c r="T17" s="277">
        <f t="shared" si="17"/>
        <v>259153</v>
      </c>
      <c r="U17" s="297">
        <f t="shared" si="6"/>
        <v>0</v>
      </c>
      <c r="V17" s="297">
        <f t="shared" si="18"/>
        <v>0</v>
      </c>
      <c r="W17" s="200"/>
      <c r="X17" s="298">
        <f t="shared" si="19"/>
        <v>12069</v>
      </c>
      <c r="Y17" s="297" t="str">
        <f t="shared" si="7"/>
        <v>ok</v>
      </c>
      <c r="Z17" s="297">
        <f t="shared" si="8"/>
        <v>8</v>
      </c>
      <c r="AA17" s="297">
        <f t="shared" si="20"/>
        <v>1143</v>
      </c>
      <c r="AB17" s="297">
        <f t="shared" si="21"/>
        <v>142.875</v>
      </c>
      <c r="AC17" s="297">
        <f t="shared" si="22"/>
        <v>142.875</v>
      </c>
      <c r="AD17" s="74">
        <f>ELEC!Q17</f>
        <v>6000</v>
      </c>
      <c r="AE17" s="74">
        <f t="shared" si="24"/>
        <v>750</v>
      </c>
      <c r="AF17" s="416">
        <f t="shared" si="25"/>
        <v>0.46875</v>
      </c>
      <c r="AG17" s="417">
        <f t="shared" si="26"/>
        <v>150</v>
      </c>
      <c r="AH17" s="417">
        <f t="shared" si="23"/>
        <v>-7.125</v>
      </c>
      <c r="AI17" s="74">
        <f t="shared" si="27"/>
        <v>1544.3037974683546</v>
      </c>
      <c r="AJ17" s="299">
        <f t="shared" si="9"/>
        <v>0.25738396624472576</v>
      </c>
      <c r="AK17" s="299">
        <f t="shared" ref="AK17:AK32" si="30">IF(Z17&gt;0,AI17/Z17,0)</f>
        <v>193.03797468354432</v>
      </c>
    </row>
    <row r="18" spans="1:37">
      <c r="A18" s="4">
        <f>ELEC!C18</f>
        <v>43998</v>
      </c>
      <c r="B18" s="277">
        <v>8704</v>
      </c>
      <c r="C18" s="297">
        <f t="shared" si="11"/>
        <v>7</v>
      </c>
      <c r="D18" s="277">
        <v>161446</v>
      </c>
      <c r="E18" s="297">
        <f t="shared" si="12"/>
        <v>812</v>
      </c>
      <c r="F18" s="297">
        <f t="shared" si="0"/>
        <v>116</v>
      </c>
      <c r="G18" s="200"/>
      <c r="H18" s="298">
        <f t="shared" si="13"/>
        <v>8770</v>
      </c>
      <c r="I18" s="297" t="str">
        <f t="shared" si="1"/>
        <v>ok</v>
      </c>
      <c r="J18" s="277">
        <f t="shared" si="14"/>
        <v>10698</v>
      </c>
      <c r="K18" s="297">
        <f t="shared" si="2"/>
        <v>0</v>
      </c>
      <c r="L18" s="277">
        <f t="shared" si="14"/>
        <v>238479</v>
      </c>
      <c r="M18" s="297">
        <f t="shared" si="3"/>
        <v>0</v>
      </c>
      <c r="N18" s="297">
        <f t="shared" si="15"/>
        <v>0</v>
      </c>
      <c r="O18" s="200"/>
      <c r="P18" s="298">
        <f t="shared" si="16"/>
        <v>10873</v>
      </c>
      <c r="Q18" s="297" t="str">
        <f>IF(J18-P14&lt;=0,"ok","oil change")</f>
        <v>ok</v>
      </c>
      <c r="R18" s="277">
        <f t="shared" si="17"/>
        <v>11226</v>
      </c>
      <c r="S18" s="297">
        <f t="shared" si="5"/>
        <v>0</v>
      </c>
      <c r="T18" s="277">
        <f t="shared" si="17"/>
        <v>259153</v>
      </c>
      <c r="U18" s="297">
        <f t="shared" si="6"/>
        <v>0</v>
      </c>
      <c r="V18" s="297">
        <f t="shared" si="18"/>
        <v>0</v>
      </c>
      <c r="W18" s="348"/>
      <c r="X18" s="298">
        <f t="shared" si="19"/>
        <v>12069</v>
      </c>
      <c r="Y18" s="297" t="str">
        <f t="shared" si="7"/>
        <v>ok</v>
      </c>
      <c r="Z18" s="297">
        <f t="shared" si="8"/>
        <v>7</v>
      </c>
      <c r="AA18" s="297">
        <f t="shared" si="20"/>
        <v>812</v>
      </c>
      <c r="AB18" s="297">
        <f t="shared" si="21"/>
        <v>116</v>
      </c>
      <c r="AC18" s="297">
        <f t="shared" si="22"/>
        <v>116</v>
      </c>
      <c r="AD18" s="74">
        <f>ELEC!Q18</f>
        <v>5000</v>
      </c>
      <c r="AE18" s="74">
        <f t="shared" si="24"/>
        <v>714.28571428571433</v>
      </c>
      <c r="AF18" s="416">
        <f t="shared" si="25"/>
        <v>0.44642857142857145</v>
      </c>
      <c r="AG18" s="417">
        <f t="shared" si="26"/>
        <v>142.85714285714286</v>
      </c>
      <c r="AH18" s="417">
        <f t="shared" si="23"/>
        <v>-26.857142857142861</v>
      </c>
      <c r="AI18" s="74">
        <f t="shared" si="27"/>
        <v>1286.9198312236288</v>
      </c>
      <c r="AJ18" s="299">
        <f t="shared" si="9"/>
        <v>0.25738396624472576</v>
      </c>
      <c r="AK18" s="299">
        <f t="shared" si="30"/>
        <v>183.8456901748041</v>
      </c>
    </row>
    <row r="19" spans="1:37">
      <c r="A19" s="4">
        <f>ELEC!C19</f>
        <v>43999</v>
      </c>
      <c r="B19" s="591">
        <v>8709</v>
      </c>
      <c r="C19" s="297">
        <f t="shared" si="11"/>
        <v>5</v>
      </c>
      <c r="D19" s="277">
        <v>162454</v>
      </c>
      <c r="E19" s="297">
        <f t="shared" si="12"/>
        <v>1008</v>
      </c>
      <c r="F19" s="297">
        <f t="shared" si="0"/>
        <v>201.6</v>
      </c>
      <c r="G19" s="200"/>
      <c r="H19" s="298">
        <f t="shared" si="13"/>
        <v>8770</v>
      </c>
      <c r="I19" s="297" t="str">
        <f t="shared" si="1"/>
        <v>ok</v>
      </c>
      <c r="J19" s="277">
        <f t="shared" si="14"/>
        <v>10698</v>
      </c>
      <c r="K19" s="297">
        <f t="shared" si="2"/>
        <v>0</v>
      </c>
      <c r="L19" s="277">
        <f t="shared" si="14"/>
        <v>238479</v>
      </c>
      <c r="M19" s="297">
        <f t="shared" si="3"/>
        <v>0</v>
      </c>
      <c r="N19" s="297">
        <f t="shared" si="15"/>
        <v>0</v>
      </c>
      <c r="O19" s="200"/>
      <c r="P19" s="298">
        <f t="shared" si="16"/>
        <v>10873</v>
      </c>
      <c r="Q19" s="297" t="str">
        <f t="shared" ref="Q19:Q32" si="31">IF(J19-P19&lt;=0,"ok","oil change")</f>
        <v>ok</v>
      </c>
      <c r="R19" s="277">
        <f t="shared" si="17"/>
        <v>11226</v>
      </c>
      <c r="S19" s="297">
        <f t="shared" si="5"/>
        <v>0</v>
      </c>
      <c r="T19" s="277">
        <f t="shared" si="17"/>
        <v>259153</v>
      </c>
      <c r="U19" s="297">
        <f t="shared" si="6"/>
        <v>0</v>
      </c>
      <c r="V19" s="297">
        <f t="shared" si="18"/>
        <v>0</v>
      </c>
      <c r="W19" s="200"/>
      <c r="X19" s="298">
        <f t="shared" si="19"/>
        <v>12069</v>
      </c>
      <c r="Y19" s="297" t="str">
        <f t="shared" si="7"/>
        <v>ok</v>
      </c>
      <c r="Z19" s="297">
        <f t="shared" si="8"/>
        <v>5</v>
      </c>
      <c r="AA19" s="297">
        <f t="shared" si="20"/>
        <v>1008</v>
      </c>
      <c r="AB19" s="297">
        <f t="shared" si="21"/>
        <v>201.6</v>
      </c>
      <c r="AC19" s="297">
        <f t="shared" si="22"/>
        <v>201.6</v>
      </c>
      <c r="AD19" s="74">
        <f>ELEC!Q19</f>
        <v>3000</v>
      </c>
      <c r="AE19" s="74">
        <f t="shared" si="24"/>
        <v>600</v>
      </c>
      <c r="AF19" s="416">
        <f t="shared" si="25"/>
        <v>0.375</v>
      </c>
      <c r="AG19" s="417">
        <f t="shared" si="26"/>
        <v>120</v>
      </c>
      <c r="AH19" s="417">
        <f t="shared" si="23"/>
        <v>81.599999999999994</v>
      </c>
      <c r="AI19" s="74">
        <f t="shared" si="27"/>
        <v>772.15189873417728</v>
      </c>
      <c r="AJ19" s="299">
        <f t="shared" si="9"/>
        <v>0.25738396624472576</v>
      </c>
      <c r="AK19" s="299">
        <f t="shared" si="30"/>
        <v>154.43037974683546</v>
      </c>
    </row>
    <row r="20" spans="1:37">
      <c r="A20" s="4">
        <f>ELEC!C20</f>
        <v>44000</v>
      </c>
      <c r="B20" s="277">
        <v>8717</v>
      </c>
      <c r="C20" s="297">
        <f>B20-B19</f>
        <v>8</v>
      </c>
      <c r="D20" s="277">
        <v>163377</v>
      </c>
      <c r="E20" s="297">
        <f t="shared" si="12"/>
        <v>923</v>
      </c>
      <c r="F20" s="297">
        <f t="shared" si="0"/>
        <v>115.375</v>
      </c>
      <c r="G20" s="200"/>
      <c r="H20" s="298">
        <f t="shared" si="13"/>
        <v>8770</v>
      </c>
      <c r="I20" s="297" t="str">
        <f t="shared" si="1"/>
        <v>ok</v>
      </c>
      <c r="J20" s="277">
        <v>10698</v>
      </c>
      <c r="K20" s="297">
        <f t="shared" si="2"/>
        <v>0</v>
      </c>
      <c r="L20" s="277">
        <f>L19</f>
        <v>238479</v>
      </c>
      <c r="M20" s="297">
        <f t="shared" si="3"/>
        <v>0</v>
      </c>
      <c r="N20" s="297">
        <f t="shared" si="15"/>
        <v>0</v>
      </c>
      <c r="O20" s="200"/>
      <c r="P20" s="298">
        <f t="shared" si="16"/>
        <v>10873</v>
      </c>
      <c r="Q20" s="297" t="str">
        <f t="shared" si="31"/>
        <v>ok</v>
      </c>
      <c r="R20" s="277">
        <v>11226</v>
      </c>
      <c r="S20" s="297">
        <f t="shared" si="5"/>
        <v>0</v>
      </c>
      <c r="T20" s="277">
        <f>T19</f>
        <v>259153</v>
      </c>
      <c r="U20" s="297">
        <f t="shared" ref="U20:U32" si="32">SUM(T20-T19)</f>
        <v>0</v>
      </c>
      <c r="V20" s="297">
        <f t="shared" si="18"/>
        <v>0</v>
      </c>
      <c r="W20" s="200"/>
      <c r="X20" s="298">
        <f t="shared" si="19"/>
        <v>12069</v>
      </c>
      <c r="Y20" s="297" t="str">
        <f t="shared" si="7"/>
        <v>ok</v>
      </c>
      <c r="Z20" s="297">
        <f t="shared" si="8"/>
        <v>8</v>
      </c>
      <c r="AA20" s="297">
        <f t="shared" si="20"/>
        <v>923</v>
      </c>
      <c r="AB20" s="297">
        <f t="shared" si="21"/>
        <v>115.375</v>
      </c>
      <c r="AC20" s="297">
        <f t="shared" si="22"/>
        <v>115.375</v>
      </c>
      <c r="AD20" s="74">
        <f>ELEC!Q20</f>
        <v>6000</v>
      </c>
      <c r="AE20" s="74">
        <f t="shared" si="24"/>
        <v>750</v>
      </c>
      <c r="AF20" s="416">
        <f t="shared" si="25"/>
        <v>0.46875</v>
      </c>
      <c r="AG20" s="417">
        <f t="shared" si="26"/>
        <v>150</v>
      </c>
      <c r="AH20" s="417">
        <f t="shared" si="23"/>
        <v>-34.625</v>
      </c>
      <c r="AI20" s="74">
        <f>AD20*AJ20</f>
        <v>1544.3037974683546</v>
      </c>
      <c r="AJ20" s="299">
        <f t="shared" si="9"/>
        <v>0.25738396624472576</v>
      </c>
      <c r="AK20" s="299">
        <f t="shared" si="30"/>
        <v>193.03797468354432</v>
      </c>
    </row>
    <row r="21" spans="1:37">
      <c r="A21" s="4">
        <f>ELEC!C21</f>
        <v>44001</v>
      </c>
      <c r="B21" s="277">
        <f t="shared" si="28"/>
        <v>8717</v>
      </c>
      <c r="C21" s="297">
        <f t="shared" si="11"/>
        <v>0</v>
      </c>
      <c r="D21" s="277">
        <f t="shared" si="28"/>
        <v>163377</v>
      </c>
      <c r="E21" s="297">
        <f t="shared" si="12"/>
        <v>0</v>
      </c>
      <c r="F21" s="297">
        <f t="shared" si="0"/>
        <v>0</v>
      </c>
      <c r="G21" s="200"/>
      <c r="H21" s="298">
        <f t="shared" si="13"/>
        <v>8770</v>
      </c>
      <c r="I21" s="297" t="str">
        <f t="shared" si="1"/>
        <v>ok</v>
      </c>
      <c r="J21" s="277">
        <f t="shared" si="14"/>
        <v>10698</v>
      </c>
      <c r="K21" s="297">
        <f t="shared" si="2"/>
        <v>0</v>
      </c>
      <c r="L21" s="277">
        <f t="shared" si="14"/>
        <v>238479</v>
      </c>
      <c r="M21" s="297">
        <f t="shared" si="3"/>
        <v>0</v>
      </c>
      <c r="N21" s="297">
        <f t="shared" si="15"/>
        <v>0</v>
      </c>
      <c r="O21" s="200"/>
      <c r="P21" s="298">
        <f t="shared" si="16"/>
        <v>10873</v>
      </c>
      <c r="Q21" s="297" t="str">
        <f t="shared" si="31"/>
        <v>ok</v>
      </c>
      <c r="R21" s="277">
        <f t="shared" si="17"/>
        <v>11226</v>
      </c>
      <c r="S21" s="297">
        <f t="shared" si="5"/>
        <v>0</v>
      </c>
      <c r="T21" s="277">
        <f t="shared" si="17"/>
        <v>259153</v>
      </c>
      <c r="U21" s="297">
        <f t="shared" si="32"/>
        <v>0</v>
      </c>
      <c r="V21" s="297">
        <f t="shared" si="18"/>
        <v>0</v>
      </c>
      <c r="W21" s="200"/>
      <c r="X21" s="298">
        <f t="shared" si="19"/>
        <v>12069</v>
      </c>
      <c r="Y21" s="297" t="str">
        <f>Y20</f>
        <v>ok</v>
      </c>
      <c r="Z21" s="297">
        <f t="shared" si="8"/>
        <v>0</v>
      </c>
      <c r="AA21" s="297">
        <f t="shared" si="20"/>
        <v>0</v>
      </c>
      <c r="AB21" s="297">
        <f t="shared" si="21"/>
        <v>0</v>
      </c>
      <c r="AC21" s="297">
        <f t="shared" si="22"/>
        <v>0</v>
      </c>
      <c r="AD21" s="74">
        <f>ELEC!Q21</f>
        <v>0</v>
      </c>
      <c r="AE21" s="74" t="e">
        <f t="shared" si="24"/>
        <v>#DIV/0!</v>
      </c>
      <c r="AF21" s="416" t="e">
        <f t="shared" si="25"/>
        <v>#DIV/0!</v>
      </c>
      <c r="AG21" s="417" t="e">
        <f t="shared" si="26"/>
        <v>#DIV/0!</v>
      </c>
      <c r="AH21" s="417" t="e">
        <f t="shared" si="23"/>
        <v>#DIV/0!</v>
      </c>
      <c r="AI21" s="74">
        <f t="shared" si="27"/>
        <v>0</v>
      </c>
      <c r="AJ21" s="299">
        <f t="shared" si="9"/>
        <v>0.25738396624472576</v>
      </c>
      <c r="AK21" s="299">
        <f t="shared" si="30"/>
        <v>0</v>
      </c>
    </row>
    <row r="22" spans="1:37">
      <c r="A22" s="4">
        <f>ELEC!C22</f>
        <v>44002</v>
      </c>
      <c r="B22" s="277">
        <f t="shared" si="28"/>
        <v>8717</v>
      </c>
      <c r="C22" s="297">
        <f t="shared" si="11"/>
        <v>0</v>
      </c>
      <c r="D22" s="277">
        <f t="shared" si="28"/>
        <v>163377</v>
      </c>
      <c r="E22" s="297">
        <f t="shared" si="12"/>
        <v>0</v>
      </c>
      <c r="F22" s="297">
        <f t="shared" si="0"/>
        <v>0</v>
      </c>
      <c r="G22" s="200"/>
      <c r="H22" s="298">
        <f t="shared" si="13"/>
        <v>8770</v>
      </c>
      <c r="I22" s="297" t="str">
        <f t="shared" si="1"/>
        <v>ok</v>
      </c>
      <c r="J22" s="277">
        <f t="shared" si="14"/>
        <v>10698</v>
      </c>
      <c r="K22" s="297">
        <f t="shared" si="2"/>
        <v>0</v>
      </c>
      <c r="L22" s="277">
        <f t="shared" si="14"/>
        <v>238479</v>
      </c>
      <c r="M22" s="297">
        <f t="shared" si="3"/>
        <v>0</v>
      </c>
      <c r="N22" s="297">
        <f t="shared" si="15"/>
        <v>0</v>
      </c>
      <c r="O22" s="200"/>
      <c r="P22" s="298">
        <f t="shared" si="16"/>
        <v>10873</v>
      </c>
      <c r="Q22" s="297" t="str">
        <f t="shared" si="31"/>
        <v>ok</v>
      </c>
      <c r="R22" s="277">
        <f t="shared" si="17"/>
        <v>11226</v>
      </c>
      <c r="S22" s="297">
        <f t="shared" si="5"/>
        <v>0</v>
      </c>
      <c r="T22" s="277">
        <f t="shared" si="17"/>
        <v>259153</v>
      </c>
      <c r="U22" s="297">
        <f t="shared" si="32"/>
        <v>0</v>
      </c>
      <c r="V22" s="297">
        <f t="shared" si="18"/>
        <v>0</v>
      </c>
      <c r="W22" s="200"/>
      <c r="X22" s="298">
        <f t="shared" si="19"/>
        <v>12069</v>
      </c>
      <c r="Y22" s="297" t="str">
        <f t="shared" ref="Y22:Y32" si="33">IF(R22-X22&lt;=0,"ok","oil change")</f>
        <v>ok</v>
      </c>
      <c r="Z22" s="297">
        <f t="shared" si="8"/>
        <v>0</v>
      </c>
      <c r="AA22" s="297">
        <f t="shared" si="20"/>
        <v>0</v>
      </c>
      <c r="AB22" s="297">
        <f t="shared" si="21"/>
        <v>0</v>
      </c>
      <c r="AC22" s="297">
        <f t="shared" si="22"/>
        <v>0</v>
      </c>
      <c r="AD22" s="74">
        <f>ELEC!Q22</f>
        <v>0</v>
      </c>
      <c r="AE22" s="74" t="e">
        <f t="shared" si="24"/>
        <v>#DIV/0!</v>
      </c>
      <c r="AF22" s="416" t="e">
        <f t="shared" si="25"/>
        <v>#DIV/0!</v>
      </c>
      <c r="AG22" s="417" t="e">
        <f t="shared" si="26"/>
        <v>#DIV/0!</v>
      </c>
      <c r="AH22" s="417" t="e">
        <f t="shared" si="23"/>
        <v>#DIV/0!</v>
      </c>
      <c r="AI22" s="74">
        <f t="shared" si="27"/>
        <v>0</v>
      </c>
      <c r="AJ22" s="299">
        <f t="shared" si="9"/>
        <v>0.25738396624472576</v>
      </c>
      <c r="AK22" s="299">
        <f t="shared" si="30"/>
        <v>0</v>
      </c>
    </row>
    <row r="23" spans="1:37">
      <c r="A23" s="4">
        <f>ELEC!C23</f>
        <v>44003</v>
      </c>
      <c r="B23" s="277">
        <f t="shared" si="28"/>
        <v>8717</v>
      </c>
      <c r="C23" s="297">
        <f t="shared" si="11"/>
        <v>0</v>
      </c>
      <c r="D23" s="277">
        <f t="shared" si="28"/>
        <v>163377</v>
      </c>
      <c r="E23" s="297">
        <f t="shared" si="12"/>
        <v>0</v>
      </c>
      <c r="F23" s="297">
        <f t="shared" si="0"/>
        <v>0</v>
      </c>
      <c r="G23" s="200"/>
      <c r="H23" s="298">
        <f t="shared" si="13"/>
        <v>8770</v>
      </c>
      <c r="I23" s="297" t="str">
        <f t="shared" si="1"/>
        <v>ok</v>
      </c>
      <c r="J23" s="277">
        <f t="shared" si="14"/>
        <v>10698</v>
      </c>
      <c r="K23" s="297">
        <f t="shared" si="2"/>
        <v>0</v>
      </c>
      <c r="L23" s="277">
        <f t="shared" si="14"/>
        <v>238479</v>
      </c>
      <c r="M23" s="297">
        <f t="shared" si="3"/>
        <v>0</v>
      </c>
      <c r="N23" s="297">
        <f t="shared" si="15"/>
        <v>0</v>
      </c>
      <c r="O23" s="200"/>
      <c r="P23" s="298">
        <f t="shared" si="16"/>
        <v>10873</v>
      </c>
      <c r="Q23" s="297" t="str">
        <f t="shared" si="31"/>
        <v>ok</v>
      </c>
      <c r="R23" s="277">
        <f t="shared" si="17"/>
        <v>11226</v>
      </c>
      <c r="S23" s="297">
        <f t="shared" si="5"/>
        <v>0</v>
      </c>
      <c r="T23" s="277">
        <f t="shared" si="17"/>
        <v>259153</v>
      </c>
      <c r="U23" s="297">
        <f t="shared" si="32"/>
        <v>0</v>
      </c>
      <c r="V23" s="297">
        <f t="shared" si="18"/>
        <v>0</v>
      </c>
      <c r="W23" s="200"/>
      <c r="X23" s="298">
        <f t="shared" si="19"/>
        <v>12069</v>
      </c>
      <c r="Y23" s="297" t="str">
        <f t="shared" si="33"/>
        <v>ok</v>
      </c>
      <c r="Z23" s="297">
        <f t="shared" si="8"/>
        <v>0</v>
      </c>
      <c r="AA23" s="297">
        <f t="shared" si="20"/>
        <v>0</v>
      </c>
      <c r="AB23" s="297">
        <f t="shared" si="21"/>
        <v>0</v>
      </c>
      <c r="AC23" s="297">
        <f t="shared" si="22"/>
        <v>0</v>
      </c>
      <c r="AD23" s="74">
        <f>ELEC!Q23</f>
        <v>0</v>
      </c>
      <c r="AE23" s="74" t="e">
        <f t="shared" si="24"/>
        <v>#DIV/0!</v>
      </c>
      <c r="AF23" s="416" t="e">
        <f t="shared" si="25"/>
        <v>#DIV/0!</v>
      </c>
      <c r="AG23" s="417" t="e">
        <f t="shared" si="26"/>
        <v>#DIV/0!</v>
      </c>
      <c r="AH23" s="417" t="e">
        <f t="shared" si="23"/>
        <v>#DIV/0!</v>
      </c>
      <c r="AI23" s="74">
        <f t="shared" si="27"/>
        <v>0</v>
      </c>
      <c r="AJ23" s="299">
        <f t="shared" si="9"/>
        <v>0.25738396624472576</v>
      </c>
      <c r="AK23" s="299">
        <f t="shared" si="30"/>
        <v>0</v>
      </c>
    </row>
    <row r="24" spans="1:37">
      <c r="A24" s="4">
        <f>ELEC!C24</f>
        <v>44004</v>
      </c>
      <c r="B24" s="277">
        <f t="shared" si="28"/>
        <v>8717</v>
      </c>
      <c r="C24" s="297">
        <f t="shared" si="11"/>
        <v>0</v>
      </c>
      <c r="D24" s="277">
        <f t="shared" si="28"/>
        <v>163377</v>
      </c>
      <c r="E24" s="297">
        <f t="shared" si="12"/>
        <v>0</v>
      </c>
      <c r="F24" s="297">
        <f t="shared" si="0"/>
        <v>0</v>
      </c>
      <c r="G24" s="200"/>
      <c r="H24" s="298">
        <f t="shared" si="13"/>
        <v>8770</v>
      </c>
      <c r="I24" s="297" t="str">
        <f t="shared" si="1"/>
        <v>ok</v>
      </c>
      <c r="J24" s="277">
        <f t="shared" si="14"/>
        <v>10698</v>
      </c>
      <c r="K24" s="297">
        <f t="shared" si="2"/>
        <v>0</v>
      </c>
      <c r="L24" s="277">
        <f t="shared" si="14"/>
        <v>238479</v>
      </c>
      <c r="M24" s="297">
        <f t="shared" si="3"/>
        <v>0</v>
      </c>
      <c r="N24" s="297">
        <f t="shared" si="15"/>
        <v>0</v>
      </c>
      <c r="O24" s="200"/>
      <c r="P24" s="298">
        <f>P23</f>
        <v>10873</v>
      </c>
      <c r="Q24" s="297" t="str">
        <f t="shared" si="31"/>
        <v>ok</v>
      </c>
      <c r="R24" s="277">
        <f t="shared" si="17"/>
        <v>11226</v>
      </c>
      <c r="S24" s="297">
        <f t="shared" si="5"/>
        <v>0</v>
      </c>
      <c r="T24" s="277">
        <f t="shared" si="17"/>
        <v>259153</v>
      </c>
      <c r="U24" s="297">
        <f t="shared" si="32"/>
        <v>0</v>
      </c>
      <c r="V24" s="297">
        <f t="shared" si="18"/>
        <v>0</v>
      </c>
      <c r="W24" s="200"/>
      <c r="X24" s="298">
        <f t="shared" si="19"/>
        <v>12069</v>
      </c>
      <c r="Y24" s="297" t="str">
        <f t="shared" si="33"/>
        <v>ok</v>
      </c>
      <c r="Z24" s="297">
        <f t="shared" si="8"/>
        <v>0</v>
      </c>
      <c r="AA24" s="297">
        <f t="shared" si="20"/>
        <v>0</v>
      </c>
      <c r="AB24" s="297">
        <f t="shared" si="21"/>
        <v>0</v>
      </c>
      <c r="AC24" s="297">
        <f t="shared" si="22"/>
        <v>0</v>
      </c>
      <c r="AD24" s="74">
        <f>ELEC!Q24</f>
        <v>0</v>
      </c>
      <c r="AE24" s="74" t="e">
        <f t="shared" si="24"/>
        <v>#DIV/0!</v>
      </c>
      <c r="AF24" s="416" t="e">
        <f t="shared" si="25"/>
        <v>#DIV/0!</v>
      </c>
      <c r="AG24" s="417" t="e">
        <f t="shared" si="26"/>
        <v>#DIV/0!</v>
      </c>
      <c r="AH24" s="417" t="e">
        <f t="shared" si="23"/>
        <v>#DIV/0!</v>
      </c>
      <c r="AI24" s="74">
        <f t="shared" si="27"/>
        <v>0</v>
      </c>
      <c r="AJ24" s="299">
        <f t="shared" si="9"/>
        <v>0.25738396624472576</v>
      </c>
      <c r="AK24" s="299">
        <f t="shared" si="30"/>
        <v>0</v>
      </c>
    </row>
    <row r="25" spans="1:37">
      <c r="A25" s="4">
        <f>ELEC!C25</f>
        <v>44005</v>
      </c>
      <c r="B25" s="277">
        <f t="shared" si="28"/>
        <v>8717</v>
      </c>
      <c r="C25" s="297">
        <f t="shared" si="11"/>
        <v>0</v>
      </c>
      <c r="D25" s="277">
        <f t="shared" si="28"/>
        <v>163377</v>
      </c>
      <c r="E25" s="297">
        <f t="shared" si="12"/>
        <v>0</v>
      </c>
      <c r="F25" s="297">
        <f t="shared" si="0"/>
        <v>0</v>
      </c>
      <c r="G25" s="200"/>
      <c r="H25" s="298">
        <v>8770</v>
      </c>
      <c r="I25" s="297" t="str">
        <f t="shared" si="1"/>
        <v>ok</v>
      </c>
      <c r="J25" s="277">
        <f t="shared" si="14"/>
        <v>10698</v>
      </c>
      <c r="K25" s="297">
        <f t="shared" si="2"/>
        <v>0</v>
      </c>
      <c r="L25" s="277">
        <f t="shared" si="14"/>
        <v>238479</v>
      </c>
      <c r="M25" s="297">
        <f t="shared" si="3"/>
        <v>0</v>
      </c>
      <c r="N25" s="297">
        <f t="shared" si="15"/>
        <v>0</v>
      </c>
      <c r="O25" s="200"/>
      <c r="P25" s="298">
        <f t="shared" si="16"/>
        <v>10873</v>
      </c>
      <c r="Q25" s="297" t="str">
        <f t="shared" si="31"/>
        <v>ok</v>
      </c>
      <c r="R25" s="277">
        <f t="shared" si="17"/>
        <v>11226</v>
      </c>
      <c r="S25" s="297">
        <f t="shared" si="5"/>
        <v>0</v>
      </c>
      <c r="T25" s="277">
        <f t="shared" si="17"/>
        <v>259153</v>
      </c>
      <c r="U25" s="297">
        <f t="shared" si="32"/>
        <v>0</v>
      </c>
      <c r="V25" s="297">
        <f t="shared" si="18"/>
        <v>0</v>
      </c>
      <c r="W25" s="200"/>
      <c r="X25" s="298">
        <f t="shared" si="19"/>
        <v>12069</v>
      </c>
      <c r="Y25" s="297" t="str">
        <f t="shared" si="33"/>
        <v>ok</v>
      </c>
      <c r="Z25" s="297">
        <f t="shared" si="8"/>
        <v>0</v>
      </c>
      <c r="AA25" s="297">
        <f t="shared" si="20"/>
        <v>0</v>
      </c>
      <c r="AB25" s="297">
        <f t="shared" si="21"/>
        <v>0</v>
      </c>
      <c r="AC25" s="297">
        <f t="shared" si="22"/>
        <v>0</v>
      </c>
      <c r="AD25" s="74">
        <f>ELEC!Q25</f>
        <v>0</v>
      </c>
      <c r="AE25" s="74" t="e">
        <f t="shared" si="24"/>
        <v>#DIV/0!</v>
      </c>
      <c r="AF25" s="416" t="e">
        <f t="shared" si="25"/>
        <v>#DIV/0!</v>
      </c>
      <c r="AG25" s="417" t="e">
        <f t="shared" si="26"/>
        <v>#DIV/0!</v>
      </c>
      <c r="AH25" s="417" t="e">
        <f t="shared" si="23"/>
        <v>#DIV/0!</v>
      </c>
      <c r="AI25" s="74">
        <f t="shared" si="27"/>
        <v>0</v>
      </c>
      <c r="AJ25" s="299">
        <f t="shared" si="9"/>
        <v>0.25738396624472576</v>
      </c>
      <c r="AK25" s="299">
        <f t="shared" si="30"/>
        <v>0</v>
      </c>
    </row>
    <row r="26" spans="1:37">
      <c r="A26" s="4">
        <f>ELEC!C26</f>
        <v>44006</v>
      </c>
      <c r="B26" s="277">
        <f t="shared" si="28"/>
        <v>8717</v>
      </c>
      <c r="C26" s="297">
        <f t="shared" si="11"/>
        <v>0</v>
      </c>
      <c r="D26" s="277">
        <f t="shared" si="28"/>
        <v>163377</v>
      </c>
      <c r="E26" s="297">
        <f t="shared" si="12"/>
        <v>0</v>
      </c>
      <c r="F26" s="297">
        <f t="shared" si="0"/>
        <v>0</v>
      </c>
      <c r="G26" s="200"/>
      <c r="H26" s="298">
        <f t="shared" si="13"/>
        <v>8770</v>
      </c>
      <c r="I26" s="297" t="str">
        <f t="shared" si="1"/>
        <v>ok</v>
      </c>
      <c r="J26" s="277">
        <f t="shared" si="14"/>
        <v>10698</v>
      </c>
      <c r="K26" s="297">
        <f t="shared" si="2"/>
        <v>0</v>
      </c>
      <c r="L26" s="277">
        <f t="shared" si="14"/>
        <v>238479</v>
      </c>
      <c r="M26" s="297">
        <f t="shared" si="3"/>
        <v>0</v>
      </c>
      <c r="N26" s="297">
        <f t="shared" si="15"/>
        <v>0</v>
      </c>
      <c r="O26" s="200"/>
      <c r="P26" s="298">
        <f t="shared" si="16"/>
        <v>10873</v>
      </c>
      <c r="Q26" s="297" t="str">
        <f t="shared" si="31"/>
        <v>ok</v>
      </c>
      <c r="R26" s="277">
        <f t="shared" si="17"/>
        <v>11226</v>
      </c>
      <c r="S26" s="297">
        <f t="shared" si="5"/>
        <v>0</v>
      </c>
      <c r="T26" s="277">
        <f t="shared" si="17"/>
        <v>259153</v>
      </c>
      <c r="U26" s="297">
        <f t="shared" si="32"/>
        <v>0</v>
      </c>
      <c r="V26" s="297">
        <f t="shared" si="18"/>
        <v>0</v>
      </c>
      <c r="W26" s="200"/>
      <c r="X26" s="298">
        <f t="shared" si="19"/>
        <v>12069</v>
      </c>
      <c r="Y26" s="297" t="str">
        <f t="shared" si="33"/>
        <v>ok</v>
      </c>
      <c r="Z26" s="297">
        <f t="shared" si="8"/>
        <v>0</v>
      </c>
      <c r="AA26" s="297">
        <f t="shared" si="20"/>
        <v>0</v>
      </c>
      <c r="AB26" s="297">
        <f t="shared" si="21"/>
        <v>0</v>
      </c>
      <c r="AC26" s="297">
        <f t="shared" si="22"/>
        <v>0</v>
      </c>
      <c r="AD26" s="74">
        <f>ELEC!Q26</f>
        <v>0</v>
      </c>
      <c r="AE26" s="74" t="e">
        <f t="shared" si="24"/>
        <v>#DIV/0!</v>
      </c>
      <c r="AF26" s="416" t="e">
        <f t="shared" si="25"/>
        <v>#DIV/0!</v>
      </c>
      <c r="AG26" s="417" t="e">
        <f t="shared" si="26"/>
        <v>#DIV/0!</v>
      </c>
      <c r="AH26" s="417" t="e">
        <f t="shared" si="23"/>
        <v>#DIV/0!</v>
      </c>
      <c r="AI26" s="74">
        <f t="shared" si="27"/>
        <v>0</v>
      </c>
      <c r="AJ26" s="299">
        <f t="shared" si="9"/>
        <v>0.25738396624472576</v>
      </c>
      <c r="AK26" s="299">
        <f t="shared" si="30"/>
        <v>0</v>
      </c>
    </row>
    <row r="27" spans="1:37">
      <c r="A27" s="4">
        <f>ELEC!C27</f>
        <v>44007</v>
      </c>
      <c r="B27" s="277">
        <f t="shared" si="28"/>
        <v>8717</v>
      </c>
      <c r="C27" s="297">
        <f t="shared" si="11"/>
        <v>0</v>
      </c>
      <c r="D27" s="277">
        <f t="shared" si="28"/>
        <v>163377</v>
      </c>
      <c r="E27" s="297">
        <f t="shared" si="12"/>
        <v>0</v>
      </c>
      <c r="F27" s="297">
        <f t="shared" si="0"/>
        <v>0</v>
      </c>
      <c r="G27" s="200"/>
      <c r="H27" s="298">
        <f t="shared" si="13"/>
        <v>8770</v>
      </c>
      <c r="I27" s="297" t="str">
        <f>IF(B27-H27&lt;=0,"ok","oil change")</f>
        <v>ok</v>
      </c>
      <c r="J27" s="277">
        <f t="shared" si="14"/>
        <v>10698</v>
      </c>
      <c r="K27" s="297">
        <f t="shared" si="2"/>
        <v>0</v>
      </c>
      <c r="L27" s="277">
        <f t="shared" si="14"/>
        <v>238479</v>
      </c>
      <c r="M27" s="297">
        <f t="shared" si="3"/>
        <v>0</v>
      </c>
      <c r="N27" s="297">
        <f t="shared" si="15"/>
        <v>0</v>
      </c>
      <c r="O27" s="200"/>
      <c r="P27" s="298">
        <f t="shared" si="16"/>
        <v>10873</v>
      </c>
      <c r="Q27" s="297" t="str">
        <f t="shared" si="31"/>
        <v>ok</v>
      </c>
      <c r="R27" s="277">
        <f t="shared" si="17"/>
        <v>11226</v>
      </c>
      <c r="S27" s="297">
        <f t="shared" si="5"/>
        <v>0</v>
      </c>
      <c r="T27" s="277">
        <f t="shared" si="17"/>
        <v>259153</v>
      </c>
      <c r="U27" s="297">
        <f t="shared" si="32"/>
        <v>0</v>
      </c>
      <c r="V27" s="297">
        <f t="shared" si="18"/>
        <v>0</v>
      </c>
      <c r="W27" s="200"/>
      <c r="X27" s="298">
        <f t="shared" si="19"/>
        <v>12069</v>
      </c>
      <c r="Y27" s="297" t="str">
        <f t="shared" si="33"/>
        <v>ok</v>
      </c>
      <c r="Z27" s="297">
        <f t="shared" si="8"/>
        <v>0</v>
      </c>
      <c r="AA27" s="297">
        <f t="shared" si="20"/>
        <v>0</v>
      </c>
      <c r="AB27" s="297">
        <f t="shared" si="21"/>
        <v>0</v>
      </c>
      <c r="AC27" s="297">
        <f t="shared" si="22"/>
        <v>0</v>
      </c>
      <c r="AD27" s="74">
        <f>ELEC!Q27</f>
        <v>0</v>
      </c>
      <c r="AE27" s="74" t="e">
        <f t="shared" si="24"/>
        <v>#DIV/0!</v>
      </c>
      <c r="AF27" s="416" t="e">
        <f t="shared" si="25"/>
        <v>#DIV/0!</v>
      </c>
      <c r="AG27" s="417" t="e">
        <f t="shared" si="26"/>
        <v>#DIV/0!</v>
      </c>
      <c r="AH27" s="417" t="e">
        <f t="shared" si="23"/>
        <v>#DIV/0!</v>
      </c>
      <c r="AI27" s="74">
        <f t="shared" si="27"/>
        <v>0</v>
      </c>
      <c r="AJ27" s="299">
        <f t="shared" si="9"/>
        <v>0.25738396624472576</v>
      </c>
      <c r="AK27" s="299">
        <f t="shared" si="30"/>
        <v>0</v>
      </c>
    </row>
    <row r="28" spans="1:37">
      <c r="A28" s="4">
        <f>ELEC!C28</f>
        <v>44008</v>
      </c>
      <c r="B28" s="277">
        <f t="shared" si="28"/>
        <v>8717</v>
      </c>
      <c r="C28" s="297">
        <f t="shared" si="11"/>
        <v>0</v>
      </c>
      <c r="D28" s="277">
        <f t="shared" si="28"/>
        <v>163377</v>
      </c>
      <c r="E28" s="297">
        <f t="shared" si="12"/>
        <v>0</v>
      </c>
      <c r="F28" s="297">
        <f t="shared" si="0"/>
        <v>0</v>
      </c>
      <c r="G28" s="295"/>
      <c r="H28" s="298">
        <f t="shared" si="13"/>
        <v>8770</v>
      </c>
      <c r="I28" s="297" t="str">
        <f t="shared" si="1"/>
        <v>ok</v>
      </c>
      <c r="J28" s="277">
        <f t="shared" si="14"/>
        <v>10698</v>
      </c>
      <c r="K28" s="297">
        <f t="shared" si="2"/>
        <v>0</v>
      </c>
      <c r="L28" s="277">
        <f t="shared" si="14"/>
        <v>238479</v>
      </c>
      <c r="M28" s="297">
        <f t="shared" si="3"/>
        <v>0</v>
      </c>
      <c r="N28" s="297">
        <f t="shared" si="15"/>
        <v>0</v>
      </c>
      <c r="O28" s="200"/>
      <c r="P28" s="298">
        <f t="shared" si="16"/>
        <v>10873</v>
      </c>
      <c r="Q28" s="297" t="str">
        <f t="shared" si="31"/>
        <v>ok</v>
      </c>
      <c r="R28" s="277">
        <f t="shared" si="17"/>
        <v>11226</v>
      </c>
      <c r="S28" s="297">
        <f t="shared" si="5"/>
        <v>0</v>
      </c>
      <c r="T28" s="277">
        <f t="shared" si="17"/>
        <v>259153</v>
      </c>
      <c r="U28" s="297">
        <f t="shared" si="32"/>
        <v>0</v>
      </c>
      <c r="V28" s="297">
        <f t="shared" si="18"/>
        <v>0</v>
      </c>
      <c r="W28" s="200"/>
      <c r="X28" s="298">
        <f t="shared" si="19"/>
        <v>12069</v>
      </c>
      <c r="Y28" s="297" t="str">
        <f t="shared" si="33"/>
        <v>ok</v>
      </c>
      <c r="Z28" s="297">
        <f t="shared" si="8"/>
        <v>0</v>
      </c>
      <c r="AA28" s="297">
        <f t="shared" si="20"/>
        <v>0</v>
      </c>
      <c r="AB28" s="297">
        <f t="shared" si="21"/>
        <v>0</v>
      </c>
      <c r="AC28" s="297">
        <f t="shared" si="22"/>
        <v>0</v>
      </c>
      <c r="AD28" s="74">
        <f>ELEC!Q28</f>
        <v>0</v>
      </c>
      <c r="AE28" s="74" t="e">
        <f t="shared" si="24"/>
        <v>#DIV/0!</v>
      </c>
      <c r="AF28" s="416" t="e">
        <f t="shared" si="25"/>
        <v>#DIV/0!</v>
      </c>
      <c r="AG28" s="417" t="e">
        <f t="shared" si="26"/>
        <v>#DIV/0!</v>
      </c>
      <c r="AH28" s="417" t="e">
        <f t="shared" si="23"/>
        <v>#DIV/0!</v>
      </c>
      <c r="AI28" s="74">
        <f t="shared" si="27"/>
        <v>0</v>
      </c>
      <c r="AJ28" s="299">
        <f t="shared" si="9"/>
        <v>0.25738396624472576</v>
      </c>
      <c r="AK28" s="299">
        <f t="shared" si="30"/>
        <v>0</v>
      </c>
    </row>
    <row r="29" spans="1:37">
      <c r="A29" s="4">
        <f>ELEC!C29</f>
        <v>44009</v>
      </c>
      <c r="B29" s="277">
        <f t="shared" si="28"/>
        <v>8717</v>
      </c>
      <c r="C29" s="297">
        <f t="shared" si="11"/>
        <v>0</v>
      </c>
      <c r="D29" s="277">
        <f t="shared" si="28"/>
        <v>163377</v>
      </c>
      <c r="E29" s="297">
        <f>SUM(D29-D28)</f>
        <v>0</v>
      </c>
      <c r="F29" s="297">
        <f t="shared" si="0"/>
        <v>0</v>
      </c>
      <c r="G29" s="200"/>
      <c r="H29" s="298">
        <f t="shared" si="13"/>
        <v>8770</v>
      </c>
      <c r="I29" s="297" t="str">
        <f t="shared" si="1"/>
        <v>ok</v>
      </c>
      <c r="J29" s="277">
        <f t="shared" si="14"/>
        <v>10698</v>
      </c>
      <c r="K29" s="297">
        <f t="shared" si="2"/>
        <v>0</v>
      </c>
      <c r="L29" s="277">
        <f t="shared" si="14"/>
        <v>238479</v>
      </c>
      <c r="M29" s="297">
        <f t="shared" si="3"/>
        <v>0</v>
      </c>
      <c r="N29" s="297">
        <f t="shared" si="15"/>
        <v>0</v>
      </c>
      <c r="O29" s="200"/>
      <c r="P29" s="298">
        <f t="shared" si="16"/>
        <v>10873</v>
      </c>
      <c r="Q29" s="297" t="str">
        <f t="shared" si="31"/>
        <v>ok</v>
      </c>
      <c r="R29" s="277">
        <f t="shared" si="17"/>
        <v>11226</v>
      </c>
      <c r="S29" s="297">
        <f t="shared" si="5"/>
        <v>0</v>
      </c>
      <c r="T29" s="277">
        <f t="shared" si="17"/>
        <v>259153</v>
      </c>
      <c r="U29" s="297">
        <f t="shared" si="32"/>
        <v>0</v>
      </c>
      <c r="V29" s="297">
        <f t="shared" si="18"/>
        <v>0</v>
      </c>
      <c r="W29" s="200"/>
      <c r="X29" s="298">
        <f t="shared" si="19"/>
        <v>12069</v>
      </c>
      <c r="Y29" s="297" t="str">
        <f t="shared" si="33"/>
        <v>ok</v>
      </c>
      <c r="Z29" s="297">
        <f t="shared" si="8"/>
        <v>0</v>
      </c>
      <c r="AA29" s="297">
        <f t="shared" si="20"/>
        <v>0</v>
      </c>
      <c r="AB29" s="297">
        <f t="shared" si="21"/>
        <v>0</v>
      </c>
      <c r="AC29" s="297">
        <f t="shared" si="22"/>
        <v>0</v>
      </c>
      <c r="AD29" s="74">
        <f>ELEC!Q29</f>
        <v>0</v>
      </c>
      <c r="AE29" s="74" t="e">
        <f t="shared" si="24"/>
        <v>#DIV/0!</v>
      </c>
      <c r="AF29" s="416" t="e">
        <f t="shared" si="25"/>
        <v>#DIV/0!</v>
      </c>
      <c r="AG29" s="417" t="e">
        <f t="shared" si="26"/>
        <v>#DIV/0!</v>
      </c>
      <c r="AH29" s="417" t="e">
        <f t="shared" si="23"/>
        <v>#DIV/0!</v>
      </c>
      <c r="AI29" s="74">
        <f t="shared" si="27"/>
        <v>0</v>
      </c>
      <c r="AJ29" s="299">
        <f t="shared" si="9"/>
        <v>0.25738396624472576</v>
      </c>
      <c r="AK29" s="299">
        <f t="shared" si="30"/>
        <v>0</v>
      </c>
    </row>
    <row r="30" spans="1:37">
      <c r="A30" s="4">
        <f>ELEC!C30</f>
        <v>44010</v>
      </c>
      <c r="B30" s="277">
        <f t="shared" si="28"/>
        <v>8717</v>
      </c>
      <c r="C30" s="297">
        <f t="shared" si="11"/>
        <v>0</v>
      </c>
      <c r="D30" s="277">
        <f t="shared" si="28"/>
        <v>163377</v>
      </c>
      <c r="E30" s="297">
        <f t="shared" si="12"/>
        <v>0</v>
      </c>
      <c r="F30" s="297">
        <f t="shared" si="0"/>
        <v>0</v>
      </c>
      <c r="G30" s="200"/>
      <c r="H30" s="298">
        <f t="shared" si="13"/>
        <v>8770</v>
      </c>
      <c r="I30" s="297" t="str">
        <f t="shared" si="1"/>
        <v>ok</v>
      </c>
      <c r="J30" s="277">
        <f t="shared" si="14"/>
        <v>10698</v>
      </c>
      <c r="K30" s="297">
        <f t="shared" si="2"/>
        <v>0</v>
      </c>
      <c r="L30" s="277">
        <f t="shared" si="14"/>
        <v>238479</v>
      </c>
      <c r="M30" s="297">
        <f t="shared" si="3"/>
        <v>0</v>
      </c>
      <c r="N30" s="297">
        <f t="shared" si="15"/>
        <v>0</v>
      </c>
      <c r="O30" s="200"/>
      <c r="P30" s="298">
        <f t="shared" si="16"/>
        <v>10873</v>
      </c>
      <c r="Q30" s="297" t="str">
        <f t="shared" si="31"/>
        <v>ok</v>
      </c>
      <c r="R30" s="277">
        <f t="shared" si="17"/>
        <v>11226</v>
      </c>
      <c r="S30" s="297">
        <f t="shared" si="5"/>
        <v>0</v>
      </c>
      <c r="T30" s="277">
        <f t="shared" si="17"/>
        <v>259153</v>
      </c>
      <c r="U30" s="297">
        <f t="shared" si="32"/>
        <v>0</v>
      </c>
      <c r="V30" s="297">
        <f t="shared" si="18"/>
        <v>0</v>
      </c>
      <c r="W30" s="295"/>
      <c r="X30" s="298">
        <f t="shared" si="19"/>
        <v>12069</v>
      </c>
      <c r="Y30" s="297" t="str">
        <f t="shared" si="33"/>
        <v>ok</v>
      </c>
      <c r="Z30" s="297">
        <f t="shared" si="8"/>
        <v>0</v>
      </c>
      <c r="AA30" s="297">
        <f t="shared" si="20"/>
        <v>0</v>
      </c>
      <c r="AB30" s="297">
        <f t="shared" si="21"/>
        <v>0</v>
      </c>
      <c r="AC30" s="297">
        <f t="shared" si="22"/>
        <v>0</v>
      </c>
      <c r="AD30" s="74">
        <f>ELEC!Q30</f>
        <v>0</v>
      </c>
      <c r="AE30" s="74" t="e">
        <f t="shared" si="24"/>
        <v>#DIV/0!</v>
      </c>
      <c r="AF30" s="416" t="e">
        <f t="shared" si="25"/>
        <v>#DIV/0!</v>
      </c>
      <c r="AG30" s="417" t="e">
        <f t="shared" si="26"/>
        <v>#DIV/0!</v>
      </c>
      <c r="AH30" s="417" t="e">
        <f t="shared" si="23"/>
        <v>#DIV/0!</v>
      </c>
      <c r="AI30" s="74">
        <f t="shared" si="27"/>
        <v>0</v>
      </c>
      <c r="AJ30" s="299">
        <f t="shared" si="9"/>
        <v>0.25738396624472576</v>
      </c>
      <c r="AK30" s="299">
        <f t="shared" si="30"/>
        <v>0</v>
      </c>
    </row>
    <row r="31" spans="1:37">
      <c r="A31" s="4">
        <f>ELEC!C31</f>
        <v>44011</v>
      </c>
      <c r="B31" s="277">
        <f t="shared" si="28"/>
        <v>8717</v>
      </c>
      <c r="C31" s="297">
        <f t="shared" si="11"/>
        <v>0</v>
      </c>
      <c r="D31" s="277">
        <f t="shared" si="28"/>
        <v>163377</v>
      </c>
      <c r="E31" s="297">
        <f t="shared" si="12"/>
        <v>0</v>
      </c>
      <c r="F31" s="297">
        <f t="shared" si="0"/>
        <v>0</v>
      </c>
      <c r="G31" s="200"/>
      <c r="H31" s="298">
        <f t="shared" si="13"/>
        <v>8770</v>
      </c>
      <c r="I31" s="297" t="str">
        <f t="shared" si="1"/>
        <v>ok</v>
      </c>
      <c r="J31" s="277">
        <f t="shared" si="14"/>
        <v>10698</v>
      </c>
      <c r="K31" s="297">
        <f t="shared" si="2"/>
        <v>0</v>
      </c>
      <c r="L31" s="277">
        <f t="shared" si="14"/>
        <v>238479</v>
      </c>
      <c r="M31" s="297">
        <f t="shared" si="3"/>
        <v>0</v>
      </c>
      <c r="N31" s="297">
        <f t="shared" si="15"/>
        <v>0</v>
      </c>
      <c r="O31" s="200"/>
      <c r="P31" s="298">
        <f t="shared" si="16"/>
        <v>10873</v>
      </c>
      <c r="Q31" s="297" t="str">
        <f t="shared" si="31"/>
        <v>ok</v>
      </c>
      <c r="R31" s="277">
        <f t="shared" si="17"/>
        <v>11226</v>
      </c>
      <c r="S31" s="297">
        <f t="shared" si="5"/>
        <v>0</v>
      </c>
      <c r="T31" s="277">
        <f t="shared" si="17"/>
        <v>259153</v>
      </c>
      <c r="U31" s="297">
        <f t="shared" si="32"/>
        <v>0</v>
      </c>
      <c r="V31" s="297">
        <f t="shared" si="18"/>
        <v>0</v>
      </c>
      <c r="W31" s="200"/>
      <c r="X31" s="298">
        <f t="shared" si="19"/>
        <v>12069</v>
      </c>
      <c r="Y31" s="297" t="str">
        <f t="shared" si="33"/>
        <v>ok</v>
      </c>
      <c r="Z31" s="297">
        <f t="shared" si="8"/>
        <v>0</v>
      </c>
      <c r="AA31" s="297">
        <f t="shared" si="20"/>
        <v>0</v>
      </c>
      <c r="AB31" s="297">
        <f t="shared" si="21"/>
        <v>0</v>
      </c>
      <c r="AC31" s="297">
        <f t="shared" si="22"/>
        <v>0</v>
      </c>
      <c r="AD31" s="74">
        <f>ELEC!Q31</f>
        <v>0</v>
      </c>
      <c r="AE31" s="74" t="e">
        <f t="shared" si="24"/>
        <v>#DIV/0!</v>
      </c>
      <c r="AF31" s="416" t="e">
        <f t="shared" si="25"/>
        <v>#DIV/0!</v>
      </c>
      <c r="AG31" s="417" t="e">
        <f t="shared" si="26"/>
        <v>#DIV/0!</v>
      </c>
      <c r="AH31" s="417" t="e">
        <f t="shared" si="23"/>
        <v>#DIV/0!</v>
      </c>
      <c r="AI31" s="74">
        <f t="shared" si="27"/>
        <v>0</v>
      </c>
      <c r="AJ31" s="299">
        <f t="shared" si="9"/>
        <v>0.25738396624472576</v>
      </c>
      <c r="AK31" s="299">
        <f t="shared" si="30"/>
        <v>0</v>
      </c>
    </row>
    <row r="32" spans="1:37">
      <c r="A32" s="4">
        <f>ELEC!C32</f>
        <v>44012</v>
      </c>
      <c r="B32" s="277">
        <f t="shared" si="28"/>
        <v>8717</v>
      </c>
      <c r="C32" s="297">
        <f t="shared" si="11"/>
        <v>0</v>
      </c>
      <c r="D32" s="277">
        <f t="shared" si="28"/>
        <v>163377</v>
      </c>
      <c r="E32" s="297">
        <f t="shared" si="12"/>
        <v>0</v>
      </c>
      <c r="F32" s="297">
        <f t="shared" si="0"/>
        <v>0</v>
      </c>
      <c r="G32" s="200"/>
      <c r="H32" s="298">
        <f t="shared" si="13"/>
        <v>8770</v>
      </c>
      <c r="I32" s="297" t="str">
        <f t="shared" si="1"/>
        <v>ok</v>
      </c>
      <c r="J32" s="277">
        <f t="shared" si="14"/>
        <v>10698</v>
      </c>
      <c r="K32" s="297">
        <f>J32-J31</f>
        <v>0</v>
      </c>
      <c r="L32" s="277">
        <f t="shared" si="14"/>
        <v>238479</v>
      </c>
      <c r="M32" s="297">
        <f t="shared" si="3"/>
        <v>0</v>
      </c>
      <c r="N32" s="297">
        <f t="shared" si="15"/>
        <v>0</v>
      </c>
      <c r="O32" s="200"/>
      <c r="P32" s="298">
        <f t="shared" si="16"/>
        <v>10873</v>
      </c>
      <c r="Q32" s="297" t="str">
        <f t="shared" si="31"/>
        <v>ok</v>
      </c>
      <c r="R32" s="277">
        <f t="shared" si="17"/>
        <v>11226</v>
      </c>
      <c r="S32" s="297">
        <f t="shared" si="5"/>
        <v>0</v>
      </c>
      <c r="T32" s="277">
        <f t="shared" si="17"/>
        <v>259153</v>
      </c>
      <c r="U32" s="297">
        <f t="shared" si="32"/>
        <v>0</v>
      </c>
      <c r="V32" s="297">
        <f t="shared" si="18"/>
        <v>0</v>
      </c>
      <c r="W32" s="200"/>
      <c r="X32" s="298">
        <f t="shared" si="19"/>
        <v>12069</v>
      </c>
      <c r="Y32" s="297" t="str">
        <f t="shared" si="33"/>
        <v>ok</v>
      </c>
      <c r="Z32" s="297">
        <f t="shared" si="8"/>
        <v>0</v>
      </c>
      <c r="AA32" s="297">
        <f t="shared" si="20"/>
        <v>0</v>
      </c>
      <c r="AB32" s="297">
        <f t="shared" si="21"/>
        <v>0</v>
      </c>
      <c r="AC32" s="297">
        <f t="shared" si="22"/>
        <v>0</v>
      </c>
      <c r="AD32" s="74">
        <f>ELEC!Q32</f>
        <v>0</v>
      </c>
      <c r="AE32" s="74" t="e">
        <f t="shared" si="24"/>
        <v>#DIV/0!</v>
      </c>
      <c r="AF32" s="416" t="e">
        <f t="shared" si="25"/>
        <v>#DIV/0!</v>
      </c>
      <c r="AG32" s="417" t="e">
        <f t="shared" si="26"/>
        <v>#DIV/0!</v>
      </c>
      <c r="AH32" s="417" t="e">
        <f t="shared" si="23"/>
        <v>#DIV/0!</v>
      </c>
      <c r="AI32" s="74">
        <f t="shared" si="27"/>
        <v>0</v>
      </c>
      <c r="AJ32" s="299">
        <f t="shared" si="9"/>
        <v>0.25738396624472576</v>
      </c>
      <c r="AK32" s="299">
        <f t="shared" si="30"/>
        <v>0</v>
      </c>
    </row>
    <row r="33" spans="3:26">
      <c r="H33" s="39"/>
      <c r="I33" s="274"/>
      <c r="M33" s="39"/>
      <c r="N33" s="39"/>
      <c r="O33" s="39"/>
      <c r="P33" s="83">
        <f>+O33/3</f>
        <v>0</v>
      </c>
      <c r="S33" s="39"/>
      <c r="T33" s="39"/>
      <c r="U33" s="40">
        <f>SUM(C34:S34)</f>
        <v>96</v>
      </c>
      <c r="V33" s="40"/>
      <c r="X33">
        <v>341</v>
      </c>
      <c r="Z33" s="435">
        <f>SUM(Z3:Z32)</f>
        <v>96</v>
      </c>
    </row>
    <row r="34" spans="3:26">
      <c r="C34" s="40">
        <f>SUM(C3:C32)</f>
        <v>62</v>
      </c>
      <c r="K34" s="40">
        <f>SUM(K3:K32)</f>
        <v>9</v>
      </c>
      <c r="S34" s="40">
        <f>SUM(S3:S32)</f>
        <v>25</v>
      </c>
      <c r="U34" s="40"/>
      <c r="V34" s="40"/>
      <c r="X34" s="40"/>
    </row>
  </sheetData>
  <conditionalFormatting sqref="C3:C32 K3:K32 Z3:Z32 S3:S32">
    <cfRule type="cellIs" dxfId="3" priority="10" stopIfTrue="1" operator="equal">
      <formula>0</formula>
    </cfRule>
  </conditionalFormatting>
  <conditionalFormatting sqref="AA3:AB32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2206</v>
      </c>
      <c r="C2" s="3">
        <f>ELEC!N3</f>
        <v>14293</v>
      </c>
      <c r="D2" s="3">
        <f>C2-E2</f>
        <v>12293</v>
      </c>
      <c r="E2" s="3">
        <f>ELEC!Q3</f>
        <v>2000</v>
      </c>
      <c r="F2" s="3">
        <f>GEN!Z2</f>
        <v>4</v>
      </c>
      <c r="G2" s="3">
        <f>WATER!C5+WATER!H5</f>
        <v>325</v>
      </c>
      <c r="H2" s="3">
        <f>WATER!L5</f>
        <v>5</v>
      </c>
      <c r="I2" s="15">
        <f>WATER!BC5+WATER!BD5+WATER!BE6-Sheet1!G2</f>
        <v>-203.20000000000005</v>
      </c>
      <c r="J2" s="9">
        <f>'B5'!A4</f>
        <v>43982</v>
      </c>
    </row>
    <row r="3" spans="1:10">
      <c r="A3" s="3">
        <f>ELEC!T4+ELEC!X2+ELEC!AB4</f>
        <v>11</v>
      </c>
      <c r="B3" s="3">
        <f>ELEC!AF4</f>
        <v>2404</v>
      </c>
      <c r="C3" s="3">
        <f>ELEC!N4</f>
        <v>13728</v>
      </c>
      <c r="D3" s="3">
        <f t="shared" ref="D3:D30" si="0">C3-E3</f>
        <v>11728</v>
      </c>
      <c r="E3" s="3">
        <f>ELEC!Q4</f>
        <v>2000</v>
      </c>
      <c r="F3" s="3">
        <f>GEN!Z3</f>
        <v>4</v>
      </c>
      <c r="G3" s="3">
        <f>WATER!C6+WATER!H6</f>
        <v>11</v>
      </c>
      <c r="H3" s="3">
        <f>WATER!L6</f>
        <v>0</v>
      </c>
      <c r="I3" s="15">
        <f>WATER!BC6+WATER!BD6+WATER!BE7-Sheet1!G3</f>
        <v>-79.799999999999983</v>
      </c>
      <c r="J3" s="9">
        <f>'B5'!A5</f>
        <v>43983</v>
      </c>
    </row>
    <row r="4" spans="1:10">
      <c r="A4" s="3">
        <f>ELEC!T5+ELEC!X5+ELEC!AB5</f>
        <v>12</v>
      </c>
      <c r="B4" s="3">
        <f>ELEC!AF5</f>
        <v>2198</v>
      </c>
      <c r="C4" s="3">
        <f>ELEC!N5</f>
        <v>14416</v>
      </c>
      <c r="D4" s="3">
        <f t="shared" si="0"/>
        <v>12416</v>
      </c>
      <c r="E4" s="3">
        <f>ELEC!Q5</f>
        <v>2000</v>
      </c>
      <c r="F4" s="3">
        <f>GEN!Z4</f>
        <v>3</v>
      </c>
      <c r="G4" s="3">
        <f>WATER!C7+WATER!H7</f>
        <v>0</v>
      </c>
      <c r="H4" s="3">
        <f>WATER!L7</f>
        <v>2</v>
      </c>
      <c r="I4" s="15">
        <f>WATER!BC7+WATER!BD7+WATER!BE8-Sheet1!G4</f>
        <v>-98.1</v>
      </c>
      <c r="J4" s="9">
        <f>'B5'!A6</f>
        <v>43984</v>
      </c>
    </row>
    <row r="5" spans="1:10">
      <c r="A5" s="3">
        <f>ELEC!T6+ELEC!X6+ELEC!AB6</f>
        <v>8</v>
      </c>
      <c r="B5" s="3">
        <f>ELEC!AF6</f>
        <v>1971</v>
      </c>
      <c r="C5" s="3">
        <f>ELEC!N6</f>
        <v>12453</v>
      </c>
      <c r="D5" s="3">
        <f t="shared" si="0"/>
        <v>10453</v>
      </c>
      <c r="E5" s="3">
        <f>ELEC!Q6</f>
        <v>2000</v>
      </c>
      <c r="F5" s="3">
        <f>GEN!Z5</f>
        <v>3</v>
      </c>
      <c r="G5" s="3">
        <f>WATER!C8+WATER!H8</f>
        <v>0</v>
      </c>
      <c r="H5" s="3">
        <f>WATER!L8</f>
        <v>4</v>
      </c>
      <c r="I5" s="15">
        <f>WATER!BC8+WATER!BD8+WATER!BE9-Sheet1!G5</f>
        <v>27.899999999999991</v>
      </c>
      <c r="J5" s="9">
        <f>'B5'!A7</f>
        <v>43985</v>
      </c>
    </row>
    <row r="6" spans="1:10">
      <c r="A6" s="3">
        <f>ELEC!T7+ELEC!X7+ELEC!AB7</f>
        <v>7</v>
      </c>
      <c r="B6" s="3">
        <f>ELEC!AF7</f>
        <v>1606</v>
      </c>
      <c r="C6" s="3">
        <f>ELEC!N7</f>
        <v>13633</v>
      </c>
      <c r="D6" s="3">
        <f t="shared" si="0"/>
        <v>13633</v>
      </c>
      <c r="E6" s="3">
        <f>ELEC!Q24</f>
        <v>0</v>
      </c>
      <c r="F6" s="3">
        <f>GEN!Z6</f>
        <v>2</v>
      </c>
      <c r="G6" s="3">
        <f>WATER!C9+WATER!H9</f>
        <v>172</v>
      </c>
      <c r="H6" s="3">
        <f>WATER!L9</f>
        <v>0</v>
      </c>
      <c r="I6" s="15">
        <f>WATER!BC9+WATER!BD9+WATER!BE10-Sheet1!G6</f>
        <v>-146.30000000000001</v>
      </c>
      <c r="J6" s="9">
        <f>'B5'!A8</f>
        <v>43986</v>
      </c>
    </row>
    <row r="7" spans="1:10">
      <c r="A7" s="3">
        <f>ELEC!T8+ELEC!X8+ELEC!AB8</f>
        <v>8</v>
      </c>
      <c r="B7" s="3">
        <f>ELEC!AF8</f>
        <v>2190</v>
      </c>
      <c r="C7" s="3">
        <f>ELEC!N8</f>
        <v>13778</v>
      </c>
      <c r="D7" s="3">
        <f t="shared" si="0"/>
        <v>11778</v>
      </c>
      <c r="E7" s="3">
        <f>ELEC!Q8</f>
        <v>2000</v>
      </c>
      <c r="F7" s="3">
        <f>GEN!Z7</f>
        <v>4</v>
      </c>
      <c r="G7" s="3">
        <f>WATER!C10+WATER!H10</f>
        <v>0</v>
      </c>
      <c r="H7" s="3">
        <f>WATER!L10</f>
        <v>10</v>
      </c>
      <c r="I7" s="15">
        <f>WATER!BC10+WATER!BD10+WATER!BE11-Sheet1!G7</f>
        <v>-82.199999999999974</v>
      </c>
      <c r="J7" s="9">
        <f>'B5'!A9</f>
        <v>43987</v>
      </c>
    </row>
    <row r="8" spans="1:10">
      <c r="A8" s="3">
        <f>ELEC!T9+ELEC!X9+ELEC!AB9</f>
        <v>13</v>
      </c>
      <c r="B8" s="3">
        <f>ELEC!AF9</f>
        <v>2909</v>
      </c>
      <c r="C8" s="3">
        <f>ELEC!N9</f>
        <v>16205</v>
      </c>
      <c r="D8" s="3">
        <f t="shared" si="0"/>
        <v>14205</v>
      </c>
      <c r="E8" s="3">
        <f>ELEC!Q9</f>
        <v>2000</v>
      </c>
      <c r="F8" s="3">
        <f>GEN!Z8</f>
        <v>4</v>
      </c>
      <c r="G8" s="3">
        <f>WATER!C11+WATER!H11</f>
        <v>0</v>
      </c>
      <c r="H8" s="3">
        <f>WATER!L11</f>
        <v>4</v>
      </c>
      <c r="I8" s="15">
        <f>WATER!BC11+WATER!BD11+WATER!BE12-Sheet1!G8</f>
        <v>-81.19999999999996</v>
      </c>
      <c r="J8" s="9">
        <f>'B5'!A10</f>
        <v>43988</v>
      </c>
    </row>
    <row r="9" spans="1:10">
      <c r="A9" s="3">
        <f>ELEC!T10+ELEC!X10+ELEC!AB10</f>
        <v>12</v>
      </c>
      <c r="B9" s="3">
        <f>ELEC!AF10</f>
        <v>2835</v>
      </c>
      <c r="C9" s="3">
        <f>ELEC!N10</f>
        <v>15745</v>
      </c>
      <c r="D9" s="3">
        <f t="shared" si="0"/>
        <v>13745</v>
      </c>
      <c r="E9" s="3">
        <f>ELEC!Q10</f>
        <v>2000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-10.200000000000031</v>
      </c>
      <c r="J9" s="9">
        <f>'B5'!A11</f>
        <v>43989</v>
      </c>
    </row>
    <row r="10" spans="1:10">
      <c r="A10" s="3">
        <f>ELEC!T11+ELEC!X11+ELEC!AB11</f>
        <v>11</v>
      </c>
      <c r="B10" s="3">
        <f>ELEC!AF11</f>
        <v>2372</v>
      </c>
      <c r="C10" s="3">
        <f>ELEC!N11</f>
        <v>15283</v>
      </c>
      <c r="D10" s="3">
        <f t="shared" si="0"/>
        <v>13283</v>
      </c>
      <c r="E10" s="3">
        <f>ELEC!Q11</f>
        <v>2000</v>
      </c>
      <c r="F10" s="3">
        <f>GEN!Z10</f>
        <v>3</v>
      </c>
      <c r="G10" s="3">
        <f>WATER!C13+WATER!H13</f>
        <v>72</v>
      </c>
      <c r="H10" s="3">
        <f>WATER!L13</f>
        <v>10</v>
      </c>
      <c r="I10" s="15">
        <f>WATER!BC13+WATER!BD13+WATER!BE14-Sheet1!G10</f>
        <v>-184.8</v>
      </c>
      <c r="J10" s="9">
        <f>'B5'!A12</f>
        <v>43990</v>
      </c>
    </row>
    <row r="11" spans="1:10">
      <c r="A11" s="3">
        <f>ELEC!T12+ELEC!X12+ELEC!AB12</f>
        <v>14</v>
      </c>
      <c r="B11" s="3">
        <f>ELEC!AF12</f>
        <v>3375</v>
      </c>
      <c r="C11" s="3">
        <f>ELEC!N12</f>
        <v>16634</v>
      </c>
      <c r="D11" s="3">
        <f t="shared" si="0"/>
        <v>10634</v>
      </c>
      <c r="E11" s="3">
        <f>ELEC!Q12</f>
        <v>6000</v>
      </c>
      <c r="F11" s="3">
        <f>GEN!Z11</f>
        <v>4</v>
      </c>
      <c r="G11" s="3">
        <f>WATER!C14+WATER!H14</f>
        <v>0</v>
      </c>
      <c r="H11" s="3">
        <f>WATER!L14</f>
        <v>5</v>
      </c>
      <c r="I11" s="15">
        <f>WATER!BC14+WATER!BD14+WATER!BE15-Sheet1!G11</f>
        <v>244.4</v>
      </c>
      <c r="J11" s="9">
        <f>'B5'!A13</f>
        <v>43991</v>
      </c>
    </row>
    <row r="12" spans="1:10">
      <c r="A12" s="3">
        <f>ELEC!T13+ELEC!X13+ELEC!AB13</f>
        <v>10</v>
      </c>
      <c r="B12" s="3">
        <f>ELEC!AF13</f>
        <v>2776</v>
      </c>
      <c r="C12" s="3">
        <f>ELEC!N13</f>
        <v>14437</v>
      </c>
      <c r="D12" s="3">
        <f t="shared" si="0"/>
        <v>9437</v>
      </c>
      <c r="E12" s="3">
        <f>ELEC!Q13</f>
        <v>5000</v>
      </c>
      <c r="F12" s="3">
        <f>GEN!Z12</f>
        <v>7</v>
      </c>
      <c r="G12" s="3">
        <f>WATER!C15+WATER!H15</f>
        <v>400</v>
      </c>
      <c r="H12" s="3">
        <f>WATER!L15</f>
        <v>5</v>
      </c>
      <c r="I12" s="15">
        <f>WATER!BC15+WATER!BD15+WATER!BE16-Sheet1!G12</f>
        <v>-387.9</v>
      </c>
      <c r="J12" s="9">
        <f>'B5'!A14</f>
        <v>43992</v>
      </c>
    </row>
    <row r="13" spans="1:10">
      <c r="A13" s="3">
        <f>ELEC!T14+ELEC!X14+ELEC!AB14</f>
        <v>10</v>
      </c>
      <c r="B13" s="3">
        <f>ELEC!AF14</f>
        <v>2346</v>
      </c>
      <c r="C13" s="3">
        <f>ELEC!N14</f>
        <v>15870</v>
      </c>
      <c r="D13" s="3">
        <f t="shared" si="0"/>
        <v>9870</v>
      </c>
      <c r="E13" s="3">
        <f>ELEC!Q14</f>
        <v>6000</v>
      </c>
      <c r="F13" s="3">
        <f>GEN!Z13</f>
        <v>9</v>
      </c>
      <c r="G13" s="3">
        <f>WATER!C16+WATER!H16</f>
        <v>0</v>
      </c>
      <c r="H13" s="3">
        <f>WATER!L16</f>
        <v>6</v>
      </c>
      <c r="I13" s="15">
        <f>WATER!BC16+WATER!BD16+WATER!BE17-Sheet1!G13</f>
        <v>28.700000000000003</v>
      </c>
      <c r="J13" s="9">
        <f>'B5'!A15</f>
        <v>43993</v>
      </c>
    </row>
    <row r="14" spans="1:10">
      <c r="A14" s="3">
        <f>ELEC!T15+ELEC!X15+ELEC!AB15</f>
        <v>11</v>
      </c>
      <c r="B14" s="3">
        <f>ELEC!AF15</f>
        <v>2481</v>
      </c>
      <c r="C14" s="3">
        <f>ELEC!N15</f>
        <v>15047</v>
      </c>
      <c r="D14" s="3">
        <f t="shared" si="0"/>
        <v>9047</v>
      </c>
      <c r="E14" s="3">
        <f>ELEC!Q15</f>
        <v>6000</v>
      </c>
      <c r="F14" s="3">
        <f>GEN!Z14</f>
        <v>9</v>
      </c>
      <c r="G14" s="3">
        <f>WATER!C17+WATER!H17</f>
        <v>120</v>
      </c>
      <c r="H14" s="3">
        <f>WATER!L17</f>
        <v>0</v>
      </c>
      <c r="I14" s="15">
        <f>WATER!BC17+WATER!BD17+WATER!BE18-Sheet1!G14</f>
        <v>-208.8</v>
      </c>
      <c r="J14" s="9">
        <f>'B5'!A16</f>
        <v>43994</v>
      </c>
    </row>
    <row r="15" spans="1:10">
      <c r="A15" s="3">
        <f>ELEC!T16+ELEC!X16+ELEC!AB16</f>
        <v>10</v>
      </c>
      <c r="B15" s="3">
        <f>ELEC!AF16</f>
        <v>2526</v>
      </c>
      <c r="C15" s="3">
        <f>ELEC!N16</f>
        <v>14400</v>
      </c>
      <c r="D15" s="3">
        <f t="shared" si="0"/>
        <v>11400</v>
      </c>
      <c r="E15" s="3">
        <f>ELEC!Q16</f>
        <v>3000</v>
      </c>
      <c r="F15" s="3">
        <f>GEN!Z15</f>
        <v>8</v>
      </c>
      <c r="G15" s="3">
        <f>WATER!C18+WATER!H18</f>
        <v>0</v>
      </c>
      <c r="H15" s="3">
        <f>WATER!L18</f>
        <v>8</v>
      </c>
      <c r="I15" s="15">
        <f>WATER!BC18+WATER!BD18+WATER!BE19-Sheet1!G15</f>
        <v>-70.400000000000006</v>
      </c>
      <c r="J15" s="9">
        <f>'B5'!A17</f>
        <v>43995</v>
      </c>
    </row>
    <row r="16" spans="1:10">
      <c r="A16" s="3">
        <f>ELEC!T17+ELEC!X17+ELEC!AB17</f>
        <v>11</v>
      </c>
      <c r="B16" s="3">
        <f>ELEC!AF17</f>
        <v>2471</v>
      </c>
      <c r="C16" s="3">
        <f>ELEC!N17</f>
        <v>15381</v>
      </c>
      <c r="D16" s="3">
        <f t="shared" si="0"/>
        <v>9381</v>
      </c>
      <c r="E16" s="3">
        <f>ELEC!Q17</f>
        <v>6000</v>
      </c>
      <c r="F16" s="3">
        <f>GEN!Z16</f>
        <v>5</v>
      </c>
      <c r="G16" s="3">
        <f>WATER!C19+WATER!H19</f>
        <v>0</v>
      </c>
      <c r="H16" s="3">
        <f>WATER!L19</f>
        <v>12</v>
      </c>
      <c r="I16" s="15">
        <f>WATER!BC19+WATER!BD19+WATER!BE20-Sheet1!G16</f>
        <v>-90.30000000000004</v>
      </c>
      <c r="J16" s="9">
        <f>'B5'!A18</f>
        <v>43996</v>
      </c>
    </row>
    <row r="17" spans="1:10">
      <c r="A17" s="3">
        <f>ELEC!T18+ELEC!X18+ELEC!AB18</f>
        <v>12</v>
      </c>
      <c r="B17" s="3">
        <f>ELEC!AF18</f>
        <v>0</v>
      </c>
      <c r="C17" s="3">
        <f>ELEC!N18</f>
        <v>15463</v>
      </c>
      <c r="D17" s="3">
        <f t="shared" si="0"/>
        <v>10463</v>
      </c>
      <c r="E17" s="3">
        <f>ELEC!Q18</f>
        <v>5000</v>
      </c>
      <c r="F17" s="3">
        <f>GEN!Z17</f>
        <v>8</v>
      </c>
      <c r="G17" s="3">
        <f>WATER!C20+WATER!H20</f>
        <v>0</v>
      </c>
      <c r="H17" s="3">
        <f>WATER!L20</f>
        <v>2</v>
      </c>
      <c r="I17" s="15">
        <f>WATER!BC20+WATER!BD20+WATER!BE21-Sheet1!G17</f>
        <v>-57.399999999999977</v>
      </c>
      <c r="J17" s="9">
        <f>'B5'!A19</f>
        <v>43997</v>
      </c>
    </row>
    <row r="18" spans="1:10">
      <c r="A18" s="3">
        <f>ELEC!T19+ELEC!X19+ELEC!AB19</f>
        <v>12</v>
      </c>
      <c r="B18" s="3">
        <f>ELEC!AF19</f>
        <v>5530</v>
      </c>
      <c r="C18" s="3">
        <f>ELEC!N19</f>
        <v>14854</v>
      </c>
      <c r="D18" s="3">
        <f t="shared" si="0"/>
        <v>11854</v>
      </c>
      <c r="E18" s="3">
        <f>ELEC!Q19</f>
        <v>3000</v>
      </c>
      <c r="F18" s="3">
        <f>GEN!Z18</f>
        <v>7</v>
      </c>
      <c r="G18" s="3">
        <f>WATER!C21+WATER!H21</f>
        <v>80</v>
      </c>
      <c r="H18" s="3">
        <f>WATER!L21</f>
        <v>8</v>
      </c>
      <c r="I18" s="15">
        <f>WATER!BC21+WATER!BD21+WATER!BE22-Sheet1!G18</f>
        <v>-115.89999999999998</v>
      </c>
      <c r="J18" s="9">
        <f>'B5'!A20</f>
        <v>43998</v>
      </c>
    </row>
    <row r="19" spans="1:10">
      <c r="A19" s="3">
        <f>ELEC!T20+ELEC!X20+ELEC!AB20</f>
        <v>13</v>
      </c>
      <c r="B19" s="3">
        <f>ELEC!AF20</f>
        <v>3223</v>
      </c>
      <c r="C19" s="3">
        <f>ELEC!N20</f>
        <v>17822</v>
      </c>
      <c r="D19" s="3">
        <f t="shared" si="0"/>
        <v>11822</v>
      </c>
      <c r="E19" s="3">
        <f>ELEC!Q20</f>
        <v>6000</v>
      </c>
      <c r="F19" s="3">
        <f>GEN!Z19</f>
        <v>5</v>
      </c>
      <c r="G19" s="3">
        <f>WATER!C22+WATER!H22</f>
        <v>0</v>
      </c>
      <c r="H19" s="3">
        <f>WATER!L22</f>
        <v>4</v>
      </c>
      <c r="I19" s="15">
        <f>WATER!BC22+WATER!BD22+WATER!BE23-Sheet1!G19</f>
        <v>189.4</v>
      </c>
      <c r="J19" s="9">
        <f>'B5'!A21</f>
        <v>43999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8</v>
      </c>
      <c r="G20" s="3">
        <f>WATER!C23+WATER!H23</f>
        <v>338</v>
      </c>
      <c r="H20" s="3">
        <f>WATER!L23</f>
        <v>2</v>
      </c>
      <c r="I20" s="15">
        <f>WATER!BC23+WATER!BD23+WATER!BE24-Sheet1!G20</f>
        <v>-313.5</v>
      </c>
      <c r="J20" s="9">
        <f>'B5'!A22</f>
        <v>44000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44001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44002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44003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44004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44005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44006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44007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44008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44009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44010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44011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37"/>
      <c r="B1" s="635" t="s">
        <v>119</v>
      </c>
      <c r="C1" s="635" t="s">
        <v>118</v>
      </c>
      <c r="D1" s="639" t="s">
        <v>113</v>
      </c>
      <c r="E1" s="639" t="s">
        <v>114</v>
      </c>
      <c r="F1" s="640" t="s">
        <v>120</v>
      </c>
      <c r="G1" s="641" t="s">
        <v>75</v>
      </c>
      <c r="H1" s="632" t="s">
        <v>115</v>
      </c>
      <c r="I1" s="633" t="s">
        <v>116</v>
      </c>
      <c r="J1" s="632" t="s">
        <v>117</v>
      </c>
      <c r="K1" s="631" t="s">
        <v>121</v>
      </c>
      <c r="L1" s="631" t="s">
        <v>122</v>
      </c>
      <c r="M1" s="631" t="s">
        <v>123</v>
      </c>
      <c r="N1" s="631" t="s">
        <v>124</v>
      </c>
    </row>
    <row r="2" spans="1:14">
      <c r="A2" s="638"/>
      <c r="B2" s="636"/>
      <c r="C2" s="636"/>
      <c r="D2" s="639"/>
      <c r="E2" s="639"/>
      <c r="F2" s="640"/>
      <c r="G2" s="641"/>
      <c r="H2" s="632"/>
      <c r="I2" s="634"/>
      <c r="J2" s="632"/>
      <c r="K2" s="631"/>
      <c r="L2" s="631"/>
      <c r="M2" s="631"/>
      <c r="N2" s="631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43983</v>
      </c>
      <c r="B5" s="77">
        <f>'B5'!V5</f>
        <v>452</v>
      </c>
      <c r="C5" s="77">
        <f>'B5'!AH5</f>
        <v>0</v>
      </c>
      <c r="D5" s="77">
        <f>GEN!AI3</f>
        <v>514.76793248945148</v>
      </c>
      <c r="E5" s="248">
        <f t="shared" ref="E5:E33" si="0">B5+C5+D5</f>
        <v>966.76793248945148</v>
      </c>
      <c r="F5" s="76">
        <f>WATER!L5</f>
        <v>5</v>
      </c>
      <c r="G5" s="79">
        <f>WATER!BG5</f>
        <v>116.39999999999998</v>
      </c>
      <c r="H5" s="80">
        <f>ELEC!AF3</f>
        <v>2206</v>
      </c>
      <c r="I5" s="80">
        <f>ELEC!Q3</f>
        <v>2000</v>
      </c>
      <c r="J5" s="80">
        <f>ELEC!R3</f>
        <v>12293</v>
      </c>
      <c r="K5" s="81"/>
      <c r="L5" s="3"/>
      <c r="M5" s="3"/>
      <c r="N5" s="3"/>
    </row>
    <row r="6" spans="1:14">
      <c r="A6" s="63">
        <f>'B5'!A6</f>
        <v>43984</v>
      </c>
      <c r="B6" s="77">
        <f>'B5'!V6</f>
        <v>296</v>
      </c>
      <c r="C6" s="77">
        <f>'B5'!AH6</f>
        <v>0</v>
      </c>
      <c r="D6" s="77">
        <f>GEN!AI4</f>
        <v>514.76793248945148</v>
      </c>
      <c r="E6" s="248">
        <f t="shared" si="0"/>
        <v>810.76793248945148</v>
      </c>
      <c r="F6" s="76">
        <f>WATER!L6</f>
        <v>0</v>
      </c>
      <c r="G6" s="79">
        <f>WATER!BG6</f>
        <v>-25.199999999999989</v>
      </c>
      <c r="H6" s="80">
        <f>ELEC!AF4</f>
        <v>2404</v>
      </c>
      <c r="I6" s="80">
        <f>ELEC!Q4</f>
        <v>2000</v>
      </c>
      <c r="J6" s="80">
        <f>ELEC!R4</f>
        <v>11728</v>
      </c>
      <c r="K6" s="3"/>
      <c r="L6" s="3"/>
      <c r="M6" s="3"/>
      <c r="N6" s="3"/>
    </row>
    <row r="7" spans="1:14">
      <c r="A7" s="63">
        <f>'B5'!A7</f>
        <v>43985</v>
      </c>
      <c r="B7" s="77">
        <f>'B5'!V7</f>
        <v>317</v>
      </c>
      <c r="C7" s="77">
        <f>'B5'!AH7</f>
        <v>53.599999999976717</v>
      </c>
      <c r="D7" s="77">
        <f>GEN!AI5</f>
        <v>514.76793248945148</v>
      </c>
      <c r="E7" s="248">
        <f t="shared" si="0"/>
        <v>885.3679324894282</v>
      </c>
      <c r="F7" s="76">
        <f>WATER!L7</f>
        <v>2</v>
      </c>
      <c r="G7" s="79">
        <f>WATER!BG7</f>
        <v>-43.599999999999994</v>
      </c>
      <c r="H7" s="80">
        <f>ELEC!AF5</f>
        <v>2198</v>
      </c>
      <c r="I7" s="80">
        <f>ELEC!Q5</f>
        <v>2000</v>
      </c>
      <c r="J7" s="80">
        <f>ELEC!R5</f>
        <v>12416</v>
      </c>
      <c r="K7" s="3"/>
      <c r="L7" s="3"/>
      <c r="M7" s="3"/>
      <c r="N7" s="3"/>
    </row>
    <row r="8" spans="1:14">
      <c r="A8" s="63">
        <f>'B5'!A8</f>
        <v>43986</v>
      </c>
      <c r="B8" s="77">
        <f>'B5'!V8</f>
        <v>400</v>
      </c>
      <c r="C8" s="77">
        <f>'B5'!AH8</f>
        <v>228</v>
      </c>
      <c r="D8" s="77">
        <f>GEN!AI6</f>
        <v>514.76793248945148</v>
      </c>
      <c r="E8" s="248">
        <f t="shared" si="0"/>
        <v>1142.7679324894516</v>
      </c>
      <c r="F8" s="76">
        <f>WATER!L8</f>
        <v>4</v>
      </c>
      <c r="G8" s="79">
        <f>WATER!BG8</f>
        <v>-63.5</v>
      </c>
      <c r="H8" s="80">
        <f>ELEC!AF6</f>
        <v>1971</v>
      </c>
      <c r="I8" s="80">
        <f>ELEC!Q6</f>
        <v>2000</v>
      </c>
      <c r="J8" s="80">
        <f>ELEC!R6</f>
        <v>10453</v>
      </c>
      <c r="K8" s="3"/>
      <c r="L8" s="3"/>
      <c r="M8" s="3"/>
      <c r="N8" s="3"/>
    </row>
    <row r="9" spans="1:14">
      <c r="A9" s="63">
        <f>'B5'!A9</f>
        <v>43987</v>
      </c>
      <c r="B9" s="77">
        <f>'B5'!V9</f>
        <v>334</v>
      </c>
      <c r="C9" s="77">
        <f>'B5'!AH9</f>
        <v>0</v>
      </c>
      <c r="D9" s="77">
        <f>GEN!AI7</f>
        <v>514.76793248945148</v>
      </c>
      <c r="E9" s="248">
        <f t="shared" si="0"/>
        <v>848.76793248945148</v>
      </c>
      <c r="F9" s="76">
        <f>WATER!L9</f>
        <v>0</v>
      </c>
      <c r="G9" s="79">
        <f>WATER!BG9</f>
        <v>91.399999999999991</v>
      </c>
      <c r="H9" s="80">
        <f>ELEC!AF7</f>
        <v>1606</v>
      </c>
      <c r="I9" s="80">
        <f>ELEC!Q7</f>
        <v>2000</v>
      </c>
      <c r="J9" s="80">
        <f>ELEC!R7</f>
        <v>11633</v>
      </c>
      <c r="K9" s="3"/>
      <c r="L9" s="3"/>
      <c r="M9" s="3"/>
      <c r="N9" s="3"/>
    </row>
    <row r="10" spans="1:14">
      <c r="A10" s="63">
        <f>'B5'!A10</f>
        <v>43988</v>
      </c>
      <c r="B10" s="77">
        <f>'B5'!V10</f>
        <v>391</v>
      </c>
      <c r="C10" s="77">
        <f>'B5'!AH10</f>
        <v>0</v>
      </c>
      <c r="D10" s="77">
        <f>GEN!AI8</f>
        <v>514.76793248945148</v>
      </c>
      <c r="E10" s="248">
        <f t="shared" si="0"/>
        <v>905.76793248945148</v>
      </c>
      <c r="F10" s="76">
        <f>WATER!L10</f>
        <v>10</v>
      </c>
      <c r="G10" s="79">
        <f>WATER!BG10</f>
        <v>-38.700000000000003</v>
      </c>
      <c r="H10" s="80">
        <f>ELEC!AF8</f>
        <v>2190</v>
      </c>
      <c r="I10" s="80">
        <f>ELEC!Q8</f>
        <v>2000</v>
      </c>
      <c r="J10" s="80">
        <f>ELEC!R8</f>
        <v>11778</v>
      </c>
      <c r="K10" s="3"/>
      <c r="L10" s="3"/>
      <c r="M10" s="3"/>
      <c r="N10" s="3"/>
    </row>
    <row r="11" spans="1:14">
      <c r="A11" s="63">
        <f>'B5'!A11</f>
        <v>43989</v>
      </c>
      <c r="B11" s="77">
        <f>'B5'!V11</f>
        <v>363</v>
      </c>
      <c r="C11" s="77">
        <f>'B5'!AH11</f>
        <v>0</v>
      </c>
      <c r="D11" s="77">
        <f>GEN!AI9</f>
        <v>514.76793248945148</v>
      </c>
      <c r="E11" s="248">
        <f t="shared" si="0"/>
        <v>877.76793248945148</v>
      </c>
      <c r="F11" s="76">
        <f>WATER!L11</f>
        <v>4</v>
      </c>
      <c r="G11" s="79">
        <f>WATER!BG11</f>
        <v>-69.599999999999966</v>
      </c>
      <c r="H11" s="80">
        <f>ELEC!AF9</f>
        <v>2909</v>
      </c>
      <c r="I11" s="80">
        <f>ELEC!Q9</f>
        <v>2000</v>
      </c>
      <c r="J11" s="80">
        <f>ELEC!R9</f>
        <v>14205</v>
      </c>
      <c r="K11" s="3"/>
      <c r="L11" s="3"/>
      <c r="M11" s="3"/>
      <c r="N11" s="3"/>
    </row>
    <row r="12" spans="1:14">
      <c r="A12" s="63">
        <f>'B5'!A12</f>
        <v>43990</v>
      </c>
      <c r="B12" s="77">
        <f>'B5'!V12</f>
        <v>360</v>
      </c>
      <c r="C12" s="77">
        <f>'B5'!AH12</f>
        <v>0</v>
      </c>
      <c r="D12" s="77">
        <f>GEN!AI10</f>
        <v>514.76793248945148</v>
      </c>
      <c r="E12" s="248">
        <f t="shared" si="0"/>
        <v>874.76793248945148</v>
      </c>
      <c r="F12" s="76">
        <f>WATER!L12</f>
        <v>0</v>
      </c>
      <c r="G12" s="79">
        <f>WATER!BG12</f>
        <v>-11.599999999999994</v>
      </c>
      <c r="H12" s="80">
        <f>ELEC!AF10</f>
        <v>2835</v>
      </c>
      <c r="I12" s="80">
        <f>ELEC!Q10</f>
        <v>2000</v>
      </c>
      <c r="J12" s="80">
        <f>ELEC!R10</f>
        <v>13745</v>
      </c>
      <c r="K12" s="3"/>
      <c r="L12" s="3"/>
      <c r="M12" s="3"/>
      <c r="N12" s="3"/>
    </row>
    <row r="13" spans="1:14">
      <c r="A13" s="63">
        <f>'B5'!A13</f>
        <v>43991</v>
      </c>
      <c r="B13" s="77">
        <f>'B5'!V13</f>
        <v>282</v>
      </c>
      <c r="C13" s="77">
        <f>'B5'!AH13</f>
        <v>0</v>
      </c>
      <c r="D13" s="77">
        <f>GEN!AI11</f>
        <v>514.76793248945148</v>
      </c>
      <c r="E13" s="248">
        <f t="shared" si="0"/>
        <v>796.76793248945148</v>
      </c>
      <c r="F13" s="76">
        <f>WATER!L13</f>
        <v>10</v>
      </c>
      <c r="G13" s="79">
        <f>WATER!BG13</f>
        <v>1.3999999999999631</v>
      </c>
      <c r="H13" s="80">
        <f>ELEC!AF11</f>
        <v>2372</v>
      </c>
      <c r="I13" s="80">
        <f>ELEC!Q11</f>
        <v>2000</v>
      </c>
      <c r="J13" s="80">
        <f>ELEC!R11</f>
        <v>13283</v>
      </c>
      <c r="K13" s="3"/>
      <c r="L13" s="3"/>
      <c r="M13" s="3"/>
      <c r="N13" s="3"/>
    </row>
    <row r="14" spans="1:14">
      <c r="A14" s="63">
        <f>'B5'!A14</f>
        <v>43992</v>
      </c>
      <c r="B14" s="77">
        <f>'B5'!V14</f>
        <v>378</v>
      </c>
      <c r="C14" s="77">
        <f>'B5'!AH14</f>
        <v>222.40000000002328</v>
      </c>
      <c r="D14" s="77">
        <f>GEN!AI12</f>
        <v>1544.3037974683546</v>
      </c>
      <c r="E14" s="248">
        <f t="shared" si="0"/>
        <v>2144.7037974683781</v>
      </c>
      <c r="F14" s="76">
        <f>WATER!L14</f>
        <v>5</v>
      </c>
      <c r="G14" s="79">
        <f>WATER!BG14</f>
        <v>-83.6</v>
      </c>
      <c r="H14" s="80">
        <f>ELEC!AF12</f>
        <v>3375</v>
      </c>
      <c r="I14" s="80">
        <f>ELEC!Q12</f>
        <v>6000</v>
      </c>
      <c r="J14" s="80">
        <f>ELEC!R12</f>
        <v>10634</v>
      </c>
      <c r="K14" s="3"/>
      <c r="L14" s="3"/>
      <c r="M14" s="3"/>
      <c r="N14" s="3"/>
    </row>
    <row r="15" spans="1:14">
      <c r="A15" s="63">
        <f>'B5'!A15</f>
        <v>43993</v>
      </c>
      <c r="B15" s="77">
        <f>'B5'!V15</f>
        <v>362</v>
      </c>
      <c r="C15" s="77">
        <f>'B5'!AH15</f>
        <v>6.1000000000058208</v>
      </c>
      <c r="D15" s="77">
        <f>GEN!AI13</f>
        <v>1286.9198312236288</v>
      </c>
      <c r="E15" s="248">
        <f t="shared" si="0"/>
        <v>1655.0198312236346</v>
      </c>
      <c r="F15" s="76">
        <f>WATER!L15</f>
        <v>5</v>
      </c>
      <c r="G15" s="79">
        <f>WATER!BG15</f>
        <v>201.1</v>
      </c>
      <c r="H15" s="80">
        <f>ELEC!AF13</f>
        <v>2776</v>
      </c>
      <c r="I15" s="80">
        <f>ELEC!Q13</f>
        <v>5000</v>
      </c>
      <c r="J15" s="80">
        <f>ELEC!R13</f>
        <v>9437</v>
      </c>
      <c r="K15" s="3"/>
      <c r="L15" s="3"/>
      <c r="M15" s="3"/>
      <c r="N15" s="3"/>
    </row>
    <row r="16" spans="1:14">
      <c r="A16" s="63">
        <f>'B5'!A16</f>
        <v>43994</v>
      </c>
      <c r="B16" s="77">
        <f>'B5'!V16</f>
        <v>366</v>
      </c>
      <c r="C16" s="77">
        <f>'B5'!AH16</f>
        <v>0</v>
      </c>
      <c r="D16" s="77">
        <f>GEN!AI14</f>
        <v>1544.3037974683546</v>
      </c>
      <c r="E16" s="248">
        <f t="shared" si="0"/>
        <v>1910.3037974683546</v>
      </c>
      <c r="F16" s="76">
        <f>WATER!L16</f>
        <v>6</v>
      </c>
      <c r="G16" s="79">
        <f>WATER!BG16</f>
        <v>-53.09999999999998</v>
      </c>
      <c r="H16" s="80">
        <f>ELEC!AF14</f>
        <v>2346</v>
      </c>
      <c r="I16" s="80">
        <f>ELEC!Q14</f>
        <v>6000</v>
      </c>
      <c r="J16" s="80">
        <f>ELEC!R14</f>
        <v>9870</v>
      </c>
      <c r="K16" s="3"/>
      <c r="L16" s="3"/>
      <c r="M16" s="3"/>
      <c r="N16" s="3"/>
    </row>
    <row r="17" spans="1:14">
      <c r="A17" s="63">
        <f>'B5'!A17</f>
        <v>43995</v>
      </c>
      <c r="B17" s="77">
        <f>'B5'!V17</f>
        <v>319</v>
      </c>
      <c r="C17" s="77">
        <f>'B5'!AH17</f>
        <v>0</v>
      </c>
      <c r="D17" s="77">
        <f>GEN!AI15</f>
        <v>1544.3037974683546</v>
      </c>
      <c r="E17" s="248">
        <f t="shared" si="0"/>
        <v>1863.3037974683546</v>
      </c>
      <c r="F17" s="76">
        <f>WATER!L17</f>
        <v>0</v>
      </c>
      <c r="G17" s="79">
        <f>WATER!BG17</f>
        <v>10.699999999999989</v>
      </c>
      <c r="H17" s="80">
        <f>ELEC!AF15</f>
        <v>2481</v>
      </c>
      <c r="I17" s="80">
        <f>ELEC!Q15</f>
        <v>6000</v>
      </c>
      <c r="J17" s="80">
        <f>ELEC!R15</f>
        <v>9047</v>
      </c>
      <c r="K17" s="3"/>
      <c r="L17" s="3"/>
      <c r="M17" s="3"/>
      <c r="N17" s="3"/>
    </row>
    <row r="18" spans="1:14">
      <c r="A18" s="63">
        <f>'B5'!A18</f>
        <v>43996</v>
      </c>
      <c r="B18" s="77">
        <f>'B5'!V18</f>
        <v>302</v>
      </c>
      <c r="C18" s="77">
        <f>'B5'!AH18</f>
        <v>0</v>
      </c>
      <c r="D18" s="77">
        <f>GEN!AI16</f>
        <v>772.15189873417728</v>
      </c>
      <c r="E18" s="248">
        <f t="shared" si="0"/>
        <v>1074.1518987341774</v>
      </c>
      <c r="F18" s="76">
        <f>WATER!L18</f>
        <v>8</v>
      </c>
      <c r="G18" s="79">
        <f>WATER!BG18</f>
        <v>-40.999999999999986</v>
      </c>
      <c r="H18" s="80">
        <f>ELEC!AF16</f>
        <v>2526</v>
      </c>
      <c r="I18" s="80">
        <f>ELEC!Q16</f>
        <v>3000</v>
      </c>
      <c r="J18" s="80">
        <f>ELEC!R16</f>
        <v>11400</v>
      </c>
      <c r="K18" s="3"/>
      <c r="L18" s="3"/>
      <c r="M18" s="3"/>
      <c r="N18" s="3"/>
    </row>
    <row r="19" spans="1:14">
      <c r="A19" s="63">
        <f>'B5'!A19</f>
        <v>43997</v>
      </c>
      <c r="B19" s="77">
        <f>'B5'!V19</f>
        <v>352</v>
      </c>
      <c r="C19" s="77">
        <f>'B5'!AH19</f>
        <v>0</v>
      </c>
      <c r="D19" s="77">
        <f>GEN!AI17</f>
        <v>1544.3037974683546</v>
      </c>
      <c r="E19" s="248">
        <f t="shared" si="0"/>
        <v>1896.3037974683546</v>
      </c>
      <c r="F19" s="76">
        <f>WATER!L19</f>
        <v>12</v>
      </c>
      <c r="G19" s="79">
        <f>WATER!BG19</f>
        <v>-29.40000000000002</v>
      </c>
      <c r="H19" s="80">
        <f>ELEC!AF17</f>
        <v>2471</v>
      </c>
      <c r="I19" s="80">
        <f>ELEC!Q17</f>
        <v>6000</v>
      </c>
      <c r="J19" s="80">
        <f>ELEC!R17</f>
        <v>9381</v>
      </c>
      <c r="K19" s="3"/>
      <c r="L19" s="3"/>
      <c r="M19" s="3"/>
      <c r="N19" s="3"/>
    </row>
    <row r="20" spans="1:14">
      <c r="A20" s="63">
        <f>'B5'!A20</f>
        <v>43998</v>
      </c>
      <c r="B20" s="77">
        <f>'B5'!V20</f>
        <v>346</v>
      </c>
      <c r="C20" s="77">
        <f>'B5'!AH20</f>
        <v>0</v>
      </c>
      <c r="D20" s="77">
        <f>GEN!AI18</f>
        <v>1286.9198312236288</v>
      </c>
      <c r="E20" s="248">
        <f t="shared" si="0"/>
        <v>1632.9198312236288</v>
      </c>
      <c r="F20" s="76">
        <f>WATER!L20</f>
        <v>2</v>
      </c>
      <c r="G20" s="79">
        <f>WATER!BG20</f>
        <v>-60.000000000000014</v>
      </c>
      <c r="H20" s="80">
        <f>ELEC!AF18</f>
        <v>0</v>
      </c>
      <c r="I20" s="80">
        <f>ELEC!Q18</f>
        <v>5000</v>
      </c>
      <c r="J20" s="80">
        <f>ELEC!R18</f>
        <v>10463</v>
      </c>
      <c r="K20" s="3"/>
      <c r="L20" s="3"/>
      <c r="M20" s="3"/>
      <c r="N20" s="3"/>
    </row>
    <row r="21" spans="1:14">
      <c r="A21" s="63">
        <f>'B5'!A21</f>
        <v>43999</v>
      </c>
      <c r="B21" s="77">
        <f>'B5'!V21</f>
        <v>312</v>
      </c>
      <c r="C21" s="77">
        <f>'B5'!AH21</f>
        <v>0</v>
      </c>
      <c r="D21" s="77">
        <f>GEN!AI19</f>
        <v>772.15189873417728</v>
      </c>
      <c r="E21" s="248">
        <f t="shared" si="0"/>
        <v>1084.1518987341774</v>
      </c>
      <c r="F21" s="76">
        <f>WATER!L21</f>
        <v>8</v>
      </c>
      <c r="G21" s="79">
        <f>WATER!BG21</f>
        <v>-11.799999999999969</v>
      </c>
      <c r="H21" s="80">
        <f>ELEC!AF19</f>
        <v>5530</v>
      </c>
      <c r="I21" s="80">
        <f>ELEC!Q19</f>
        <v>3000</v>
      </c>
      <c r="J21" s="80">
        <f>ELEC!R19</f>
        <v>11854</v>
      </c>
      <c r="K21" s="3"/>
      <c r="L21" s="3"/>
      <c r="M21" s="3"/>
      <c r="N21" s="3"/>
    </row>
    <row r="22" spans="1:14">
      <c r="A22" s="63">
        <f>'B5'!A22</f>
        <v>44000</v>
      </c>
      <c r="B22" s="77">
        <f>'B5'!V22</f>
        <v>351</v>
      </c>
      <c r="C22" s="77">
        <f>'B5'!AH22</f>
        <v>237.59999999997672</v>
      </c>
      <c r="D22" s="77">
        <f>GEN!AI20</f>
        <v>1544.3037974683546</v>
      </c>
      <c r="E22" s="248">
        <f t="shared" si="0"/>
        <v>2132.9037974683315</v>
      </c>
      <c r="F22" s="76">
        <f>WATER!L22</f>
        <v>4</v>
      </c>
      <c r="G22" s="79">
        <f>WATER!BG22</f>
        <v>-22.299999999999997</v>
      </c>
      <c r="H22" s="80">
        <f>ELEC!AF20</f>
        <v>3223</v>
      </c>
      <c r="I22" s="80">
        <f>ELEC!Q20</f>
        <v>6000</v>
      </c>
      <c r="J22" s="80">
        <f>ELEC!R20</f>
        <v>11822</v>
      </c>
      <c r="K22" s="3"/>
      <c r="L22" s="3"/>
      <c r="M22" s="3"/>
      <c r="N22" s="3"/>
    </row>
    <row r="23" spans="1:14">
      <c r="A23" s="63">
        <f>'B5'!A23</f>
        <v>44001</v>
      </c>
      <c r="B23" s="77">
        <f>'B5'!V23</f>
        <v>0</v>
      </c>
      <c r="C23" s="77">
        <f>'B5'!AH23</f>
        <v>0</v>
      </c>
      <c r="D23" s="77">
        <f>GEN!AI21</f>
        <v>0</v>
      </c>
      <c r="E23" s="248">
        <f t="shared" si="0"/>
        <v>0</v>
      </c>
      <c r="F23" s="76">
        <f>WATER!L23</f>
        <v>2</v>
      </c>
      <c r="G23" s="79">
        <f>WATER!BG23</f>
        <v>101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44002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44003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44004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44005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44006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44007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44008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44009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44010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44011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44012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2" t="s">
        <v>151</v>
      </c>
      <c r="U3" s="642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4</v>
      </c>
    </row>
    <row r="6" spans="3:21">
      <c r="C6" s="100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7</v>
      </c>
      <c r="E9">
        <f t="shared" si="0"/>
        <v>630</v>
      </c>
      <c r="F9">
        <f>'B5'!AM8</f>
        <v>4</v>
      </c>
      <c r="G9">
        <f t="shared" si="1"/>
        <v>428</v>
      </c>
    </row>
    <row r="10" spans="3:21">
      <c r="C10" s="100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4</v>
      </c>
      <c r="E12">
        <f t="shared" si="0"/>
        <v>360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5</v>
      </c>
      <c r="E13">
        <f t="shared" si="0"/>
        <v>450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6</v>
      </c>
      <c r="E15">
        <f t="shared" si="0"/>
        <v>540</v>
      </c>
      <c r="F15">
        <f>'B5'!AM14</f>
        <v>3</v>
      </c>
      <c r="G15">
        <f t="shared" si="1"/>
        <v>321</v>
      </c>
    </row>
    <row r="16" spans="3:21">
      <c r="C16" s="100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5</v>
      </c>
      <c r="E17">
        <f t="shared" si="0"/>
        <v>450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4</v>
      </c>
      <c r="E19">
        <f t="shared" si="0"/>
        <v>360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5</v>
      </c>
      <c r="E20">
        <f t="shared" si="0"/>
        <v>450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4</v>
      </c>
      <c r="E21">
        <f t="shared" si="0"/>
        <v>360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5</v>
      </c>
      <c r="E23">
        <f t="shared" si="0"/>
        <v>450</v>
      </c>
      <c r="F23">
        <f>'B5'!AM22</f>
        <v>4</v>
      </c>
      <c r="G23">
        <f t="shared" si="1"/>
        <v>428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0"/>
  <sheetViews>
    <sheetView topLeftCell="G1" zoomScale="80" zoomScaleNormal="80" workbookViewId="0">
      <selection activeCell="U22" sqref="U2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3" customWidth="1"/>
    <col min="20" max="20" width="10.28515625" style="347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08"/>
      <c r="T1" s="345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08"/>
      <c r="T2" s="345"/>
    </row>
    <row r="3" spans="1:30" ht="15.75" thickBot="1">
      <c r="A3" s="164">
        <f>ELEC!C2</f>
        <v>43982</v>
      </c>
      <c r="B3" s="271">
        <f>'[2]EDl log'!B34</f>
        <v>49988652</v>
      </c>
      <c r="C3" s="271">
        <f>'[2]EDl log'!C34</f>
        <v>6031</v>
      </c>
      <c r="D3" s="271">
        <f>'[2]EDl log'!D34</f>
        <v>6031</v>
      </c>
      <c r="E3" s="271">
        <f>'[2]EDl log'!E34</f>
        <v>49988652</v>
      </c>
      <c r="F3" s="271">
        <f>'[2]EDl log'!F34</f>
        <v>8028763</v>
      </c>
      <c r="G3" s="271">
        <f>'[2]EDl log'!G34</f>
        <v>887</v>
      </c>
      <c r="H3" s="271">
        <f>'[2]EDl log'!H34</f>
        <v>24624749</v>
      </c>
      <c r="I3" s="271">
        <f>'[2]EDl log'!I34</f>
        <v>3111</v>
      </c>
      <c r="J3" s="271">
        <f>'[2]EDl log'!J34</f>
        <v>17335141</v>
      </c>
      <c r="K3" s="271">
        <f>'[2]EDl log'!K34</f>
        <v>2033</v>
      </c>
      <c r="L3" s="271">
        <f>'[2]EDl log'!L34</f>
        <v>188.28524046434495</v>
      </c>
      <c r="M3" s="271">
        <f>'[2]EDl log'!M34</f>
        <v>231.13233830845772</v>
      </c>
      <c r="N3" s="271">
        <f>'[2]EDl log'!N34</f>
        <v>107.88723051409619</v>
      </c>
      <c r="O3" s="271">
        <f>'[2]EDl log'!O34</f>
        <v>154.80303857058792</v>
      </c>
      <c r="P3" s="271">
        <f>'[2]EDl log'!P34</f>
        <v>682.10784785748683</v>
      </c>
      <c r="Q3" s="271">
        <f>'[2]EDl log'!Q34</f>
        <v>152.05333870967581</v>
      </c>
      <c r="R3" s="271">
        <f>'[2]EDl log'!R34</f>
        <v>834.16118656716264</v>
      </c>
      <c r="S3" s="271">
        <f>'[2]EDl log'!S34</f>
        <v>13605</v>
      </c>
      <c r="T3" s="271">
        <f>'[2]EDl log'!T34</f>
        <v>6.1312839879982553E-2</v>
      </c>
      <c r="Z3" t="s">
        <v>214</v>
      </c>
      <c r="AA3">
        <v>0.1</v>
      </c>
    </row>
    <row r="4" spans="1:30">
      <c r="A4" s="164">
        <f>ELEC!C3</f>
        <v>43983</v>
      </c>
      <c r="B4" s="580">
        <v>49995052</v>
      </c>
      <c r="C4" s="280">
        <f>SUM(B4-B3)</f>
        <v>6400</v>
      </c>
      <c r="D4" s="318">
        <f>SUM(G4+I4+K4)</f>
        <v>6398</v>
      </c>
      <c r="E4" s="318">
        <f>B3+D4</f>
        <v>49995050</v>
      </c>
      <c r="F4" s="580">
        <v>8029660</v>
      </c>
      <c r="G4" s="161">
        <f t="shared" ref="G4:G33" si="0">F4-F3</f>
        <v>897</v>
      </c>
      <c r="H4" s="580">
        <v>24627769</v>
      </c>
      <c r="I4" s="162">
        <f t="shared" ref="I4:I34" si="1">H4-H3</f>
        <v>3020</v>
      </c>
      <c r="J4" s="582">
        <v>17337622</v>
      </c>
      <c r="K4" s="163">
        <f t="shared" ref="K4:K34" si="2">J4-J3</f>
        <v>2481</v>
      </c>
      <c r="L4" s="306">
        <f t="shared" ref="L4:L14" si="3">SUM(G4*$Y$29)/1507.5</f>
        <v>190.40796019900498</v>
      </c>
      <c r="M4" s="306">
        <f t="shared" ref="M4:M14" si="4">SUM(I4*$Y$28)/1507.5</f>
        <v>224.37147595356549</v>
      </c>
      <c r="N4" s="306">
        <f t="shared" ref="N4:N14" si="5">SUM(K4*$Y$27)/1507.5</f>
        <v>131.66169154228857</v>
      </c>
      <c r="O4" s="306">
        <f t="shared" ref="O4:O14" si="6">($AC$32/$A$39)/1507.5</f>
        <v>95.977883913764515</v>
      </c>
      <c r="P4" s="307">
        <f>SUM(L4:O4)</f>
        <v>642.41901160862358</v>
      </c>
      <c r="Q4" s="307">
        <f>SUM(-tanks!AX6*tanks!$AU$36)</f>
        <v>231.08698629032943</v>
      </c>
      <c r="R4" s="307">
        <f>SUM(P4:Q4)</f>
        <v>873.50599789895296</v>
      </c>
      <c r="S4" s="309">
        <f>SUM(ELEC!N3)</f>
        <v>14293</v>
      </c>
      <c r="T4" s="346">
        <f>IF(S4&gt;0,R4/S4,0)</f>
        <v>6.1114251584618549E-2</v>
      </c>
      <c r="U4" s="256"/>
      <c r="V4" s="257" t="str">
        <f>'[4]EDl log'!V21</f>
        <v xml:space="preserve">EDL </v>
      </c>
      <c r="W4" s="168">
        <v>43971</v>
      </c>
      <c r="X4" s="170"/>
      <c r="Y4" s="170"/>
      <c r="Z4" s="170" t="s">
        <v>202</v>
      </c>
      <c r="AA4" s="170"/>
      <c r="AB4" s="674"/>
      <c r="AC4" s="675"/>
    </row>
    <row r="5" spans="1:30">
      <c r="A5" s="164">
        <f>ELEC!C4</f>
        <v>43984</v>
      </c>
      <c r="B5" s="578">
        <v>50001162</v>
      </c>
      <c r="C5" s="271">
        <f t="shared" ref="C5:C34" si="7">SUM(B5-B4)</f>
        <v>6110</v>
      </c>
      <c r="D5" s="318">
        <f t="shared" ref="D5:D34" si="8">SUM(G5+I5+K5)</f>
        <v>6111</v>
      </c>
      <c r="E5" s="318">
        <f>B4+D5</f>
        <v>50001163</v>
      </c>
      <c r="F5" s="578">
        <v>8030570</v>
      </c>
      <c r="G5" s="161">
        <f t="shared" si="0"/>
        <v>910</v>
      </c>
      <c r="H5" s="578">
        <v>24630940</v>
      </c>
      <c r="I5" s="162">
        <f t="shared" si="1"/>
        <v>3171</v>
      </c>
      <c r="J5" s="586">
        <v>17339652</v>
      </c>
      <c r="K5" s="163">
        <f t="shared" si="2"/>
        <v>2030</v>
      </c>
      <c r="L5" s="306">
        <f t="shared" si="3"/>
        <v>193.16749585406302</v>
      </c>
      <c r="M5" s="306">
        <f t="shared" si="4"/>
        <v>235.59004975124378</v>
      </c>
      <c r="N5" s="306">
        <f t="shared" si="5"/>
        <v>107.72802653399668</v>
      </c>
      <c r="O5" s="306">
        <f t="shared" si="6"/>
        <v>95.977883913764515</v>
      </c>
      <c r="P5" s="307">
        <f t="shared" ref="P5:P33" si="9">SUM(L5:O5)</f>
        <v>632.46345605306806</v>
      </c>
      <c r="Q5" s="307">
        <f>SUM(-tanks!AX7*tanks!$AU$36)</f>
        <v>115.52858064515821</v>
      </c>
      <c r="R5" s="307">
        <f t="shared" ref="R5:R33" si="10">SUM(P5:Q5)</f>
        <v>747.99203669822623</v>
      </c>
      <c r="S5" s="309">
        <f>SUM(ELEC!N4)</f>
        <v>13728</v>
      </c>
      <c r="T5" s="346">
        <f>IF(S5&gt;0,R5/S5,0)</f>
        <v>5.4486599409835829E-2</v>
      </c>
      <c r="U5" s="256"/>
      <c r="V5" s="668"/>
      <c r="W5" s="669"/>
      <c r="X5" s="669"/>
      <c r="Y5" s="670"/>
      <c r="Z5" s="26" t="s">
        <v>203</v>
      </c>
      <c r="AA5" s="271">
        <f>'[2]EDl log'!AA22</f>
        <v>5000</v>
      </c>
      <c r="AB5" s="676"/>
      <c r="AC5" s="677"/>
    </row>
    <row r="6" spans="1:30">
      <c r="A6" s="164">
        <f>ELEC!C5</f>
        <v>43985</v>
      </c>
      <c r="B6" s="566">
        <v>50007676</v>
      </c>
      <c r="C6" s="271">
        <f t="shared" si="7"/>
        <v>6514</v>
      </c>
      <c r="D6" s="318">
        <f t="shared" si="8"/>
        <v>6517</v>
      </c>
      <c r="E6" s="318">
        <f t="shared" ref="E6:E34" si="11">B5+D6</f>
        <v>50007679</v>
      </c>
      <c r="F6" s="566">
        <v>8031383</v>
      </c>
      <c r="G6" s="161">
        <f t="shared" si="0"/>
        <v>813</v>
      </c>
      <c r="H6" s="566">
        <v>24635178</v>
      </c>
      <c r="I6" s="162">
        <f t="shared" si="1"/>
        <v>4238</v>
      </c>
      <c r="J6" s="566">
        <v>17341118</v>
      </c>
      <c r="K6" s="163">
        <f t="shared" si="2"/>
        <v>1466</v>
      </c>
      <c r="L6" s="306">
        <f t="shared" si="3"/>
        <v>172.57711442786069</v>
      </c>
      <c r="M6" s="306">
        <f t="shared" si="4"/>
        <v>314.86301824212273</v>
      </c>
      <c r="N6" s="306">
        <f t="shared" si="5"/>
        <v>77.79767827529021</v>
      </c>
      <c r="O6" s="306">
        <f t="shared" si="6"/>
        <v>95.977883913764515</v>
      </c>
      <c r="P6" s="307">
        <f t="shared" si="9"/>
        <v>661.21569485903819</v>
      </c>
      <c r="Q6" s="307">
        <f>SUM(-tanks!AX8*tanks!$AU$36)</f>
        <v>367.67875161290681</v>
      </c>
      <c r="R6" s="307">
        <f t="shared" si="10"/>
        <v>1028.894446471945</v>
      </c>
      <c r="S6" s="309">
        <f>SUM(ELEC!N5)</f>
        <v>14416</v>
      </c>
      <c r="T6" s="346">
        <f t="shared" ref="T6:T33" si="12">IF(S6&gt;0,R6/S6,0)</f>
        <v>7.1371701336844132E-2</v>
      </c>
      <c r="V6" s="671"/>
      <c r="W6" s="672"/>
      <c r="X6" s="672"/>
      <c r="Y6" s="673"/>
      <c r="Z6" s="3"/>
      <c r="AA6" s="3"/>
      <c r="AB6" s="676"/>
      <c r="AC6" s="677"/>
    </row>
    <row r="7" spans="1:30" ht="15" customHeight="1">
      <c r="A7" s="164">
        <f>ELEC!C6</f>
        <v>43986</v>
      </c>
      <c r="B7" s="588">
        <v>50013240</v>
      </c>
      <c r="C7" s="271">
        <f t="shared" si="7"/>
        <v>5564</v>
      </c>
      <c r="D7" s="318">
        <f t="shared" si="8"/>
        <v>5562</v>
      </c>
      <c r="E7" s="318">
        <f t="shared" si="11"/>
        <v>50013238</v>
      </c>
      <c r="F7" s="588">
        <v>8032171</v>
      </c>
      <c r="G7" s="161">
        <f t="shared" si="0"/>
        <v>788</v>
      </c>
      <c r="H7" s="588">
        <v>24638023</v>
      </c>
      <c r="I7" s="162">
        <f t="shared" si="1"/>
        <v>2845</v>
      </c>
      <c r="J7" s="586">
        <v>17343047</v>
      </c>
      <c r="K7" s="163">
        <f t="shared" si="2"/>
        <v>1929</v>
      </c>
      <c r="L7" s="306">
        <f t="shared" si="3"/>
        <v>167.27031509121062</v>
      </c>
      <c r="M7" s="306">
        <f t="shared" si="4"/>
        <v>211.3698175787728</v>
      </c>
      <c r="N7" s="306">
        <f t="shared" si="5"/>
        <v>102.3681592039801</v>
      </c>
      <c r="O7" s="306">
        <f t="shared" si="6"/>
        <v>95.977883913764515</v>
      </c>
      <c r="P7" s="307">
        <f t="shared" si="9"/>
        <v>576.98617578772803</v>
      </c>
      <c r="Q7" s="307">
        <f>SUM(-tanks!AX9*tanks!$AU$36)</f>
        <v>-342.60266129032078</v>
      </c>
      <c r="R7" s="307">
        <f t="shared" si="10"/>
        <v>234.38351449740725</v>
      </c>
      <c r="S7" s="309">
        <f>SUM(ELEC!N6)</f>
        <v>12453</v>
      </c>
      <c r="T7" s="346">
        <f t="shared" si="12"/>
        <v>1.882144981108225E-2</v>
      </c>
      <c r="V7" s="664" t="s">
        <v>204</v>
      </c>
      <c r="W7" s="665"/>
      <c r="X7" s="666" t="s">
        <v>205</v>
      </c>
      <c r="Y7" s="667"/>
      <c r="Z7" s="665"/>
      <c r="AA7" s="26"/>
      <c r="AB7" s="678"/>
      <c r="AC7" s="679"/>
    </row>
    <row r="8" spans="1:30" ht="15.75" customHeight="1">
      <c r="A8" s="164">
        <f>ELEC!C7</f>
        <v>43987</v>
      </c>
      <c r="B8" s="566">
        <v>50019099</v>
      </c>
      <c r="C8" s="271">
        <f t="shared" si="7"/>
        <v>5859</v>
      </c>
      <c r="D8" s="318">
        <f t="shared" si="8"/>
        <v>5858</v>
      </c>
      <c r="E8" s="318">
        <f t="shared" si="11"/>
        <v>50019098</v>
      </c>
      <c r="F8" s="566">
        <v>8032954</v>
      </c>
      <c r="G8" s="161">
        <f t="shared" si="0"/>
        <v>783</v>
      </c>
      <c r="H8" s="566">
        <v>24641021</v>
      </c>
      <c r="I8" s="162">
        <f t="shared" si="1"/>
        <v>2998</v>
      </c>
      <c r="J8" s="566">
        <v>17345124</v>
      </c>
      <c r="K8" s="163">
        <f>J8-J7</f>
        <v>2077</v>
      </c>
      <c r="L8" s="306">
        <f t="shared" si="3"/>
        <v>166.20895522388059</v>
      </c>
      <c r="M8" s="306">
        <f t="shared" si="4"/>
        <v>222.73698175787729</v>
      </c>
      <c r="N8" s="306">
        <f t="shared" si="5"/>
        <v>110.22222222222223</v>
      </c>
      <c r="O8" s="306">
        <f t="shared" si="6"/>
        <v>95.977883913764515</v>
      </c>
      <c r="P8" s="307">
        <f t="shared" si="9"/>
        <v>595.14604311774463</v>
      </c>
      <c r="Q8" s="307">
        <f>SUM(-tanks!AX10*tanks!$AU$36)</f>
        <v>287.12816129032075</v>
      </c>
      <c r="R8" s="307">
        <f t="shared" si="10"/>
        <v>882.27420440806532</v>
      </c>
      <c r="S8" s="309">
        <f>SUM(ELEC!N7)</f>
        <v>13633</v>
      </c>
      <c r="T8" s="346">
        <f>IF(S8&gt;0,R8/S8,0)</f>
        <v>6.4716071620924617E-2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555" t="str">
        <f>'[5]EDl log'!AB25</f>
        <v>Total cost LL</v>
      </c>
      <c r="AC8" s="258" t="s">
        <v>212</v>
      </c>
    </row>
    <row r="9" spans="1:30">
      <c r="A9" s="164">
        <f>ELEC!C8</f>
        <v>43988</v>
      </c>
      <c r="B9" s="566">
        <v>50025216</v>
      </c>
      <c r="C9" s="271">
        <f t="shared" si="7"/>
        <v>6117</v>
      </c>
      <c r="D9" s="318">
        <f t="shared" si="8"/>
        <v>6117</v>
      </c>
      <c r="E9" s="318">
        <f t="shared" si="11"/>
        <v>50025216</v>
      </c>
      <c r="F9" s="566">
        <v>8033888</v>
      </c>
      <c r="G9" s="161">
        <f t="shared" si="0"/>
        <v>934</v>
      </c>
      <c r="H9" s="566">
        <v>24644340</v>
      </c>
      <c r="I9" s="162">
        <f t="shared" si="1"/>
        <v>3319</v>
      </c>
      <c r="J9" s="566">
        <v>17346988</v>
      </c>
      <c r="K9" s="163">
        <f>J9-J8</f>
        <v>1864</v>
      </c>
      <c r="L9" s="306">
        <f t="shared" si="3"/>
        <v>198.2620232172471</v>
      </c>
      <c r="M9" s="306">
        <f t="shared" si="4"/>
        <v>246.58573797678275</v>
      </c>
      <c r="N9" s="306">
        <f t="shared" si="5"/>
        <v>98.91873963515755</v>
      </c>
      <c r="O9" s="306">
        <f t="shared" si="6"/>
        <v>95.977883913764515</v>
      </c>
      <c r="P9" s="307">
        <f t="shared" si="9"/>
        <v>639.74438474295198</v>
      </c>
      <c r="Q9" s="307">
        <f>SUM(-tanks!AX11*tanks!$AU$36)</f>
        <v>157.78387096774168</v>
      </c>
      <c r="R9" s="307">
        <f>SUM(P9:Q9)</f>
        <v>797.52825571069366</v>
      </c>
      <c r="S9" s="309">
        <f>SUM(ELEC!N8)</f>
        <v>13778</v>
      </c>
      <c r="T9" s="346">
        <f t="shared" si="12"/>
        <v>5.7884181718006508E-2</v>
      </c>
      <c r="V9" s="271">
        <f>'[2]EDl log'!V26</f>
        <v>17280141</v>
      </c>
      <c r="W9" s="271">
        <f>'[2]EDl log'!W26</f>
        <v>17335141</v>
      </c>
      <c r="X9" s="271" t="str">
        <f>'[2]EDl log'!X26</f>
        <v>Night</v>
      </c>
      <c r="Y9" s="271">
        <f>'[2]EDl log'!Y26</f>
        <v>80</v>
      </c>
      <c r="Z9" s="271">
        <f>'[2]EDl log'!Z26</f>
        <v>1</v>
      </c>
      <c r="AA9" s="271">
        <f>'[2]EDl log'!AA26</f>
        <v>55000</v>
      </c>
      <c r="AB9" s="271">
        <f>'[2]EDl log'!AB26</f>
        <v>4400000</v>
      </c>
      <c r="AC9" s="271">
        <f>'[2]EDl log'!AC26</f>
        <v>1033333</v>
      </c>
      <c r="AD9" s="271">
        <f>'[2]EDl log'!AD26</f>
        <v>0.33083150196794181</v>
      </c>
    </row>
    <row r="10" spans="1:30">
      <c r="A10" s="164">
        <f>ELEC!C9</f>
        <v>43989</v>
      </c>
      <c r="B10" s="566">
        <v>50032502</v>
      </c>
      <c r="C10" s="271">
        <f t="shared" si="7"/>
        <v>7286</v>
      </c>
      <c r="D10" s="318">
        <f t="shared" si="8"/>
        <v>7287</v>
      </c>
      <c r="E10" s="318">
        <f t="shared" si="11"/>
        <v>50032503</v>
      </c>
      <c r="F10" s="566">
        <v>8035096</v>
      </c>
      <c r="G10" s="161">
        <f t="shared" si="0"/>
        <v>1208</v>
      </c>
      <c r="H10" s="566">
        <v>24648943</v>
      </c>
      <c r="I10" s="162">
        <f t="shared" si="1"/>
        <v>4603</v>
      </c>
      <c r="J10" s="566">
        <v>17348464</v>
      </c>
      <c r="K10" s="163">
        <f t="shared" si="2"/>
        <v>1476</v>
      </c>
      <c r="L10" s="306">
        <f t="shared" si="3"/>
        <v>256.42454394693203</v>
      </c>
      <c r="M10" s="306">
        <f t="shared" si="4"/>
        <v>341.98076285240467</v>
      </c>
      <c r="N10" s="306">
        <f t="shared" si="5"/>
        <v>78.328358208955223</v>
      </c>
      <c r="O10" s="306">
        <f t="shared" si="6"/>
        <v>95.977883913764515</v>
      </c>
      <c r="P10" s="307">
        <f t="shared" si="9"/>
        <v>772.71154892205641</v>
      </c>
      <c r="Q10" s="307">
        <f>SUM(-tanks!AX12*tanks!$AU$36)</f>
        <v>257.60141129032729</v>
      </c>
      <c r="R10" s="307">
        <f t="shared" si="10"/>
        <v>1030.3129602123836</v>
      </c>
      <c r="S10" s="309">
        <f>SUM(ELEC!N9)</f>
        <v>16205</v>
      </c>
      <c r="T10" s="346">
        <f t="shared" si="12"/>
        <v>6.357994200631803E-2</v>
      </c>
      <c r="V10" s="271">
        <f>'[2]EDl log'!V27</f>
        <v>24537919</v>
      </c>
      <c r="W10" s="271">
        <f>'[2]EDl log'!W27</f>
        <v>24624749</v>
      </c>
      <c r="X10" s="271" t="str">
        <f>'[2]EDl log'!X27</f>
        <v>day</v>
      </c>
      <c r="Y10" s="271">
        <f>'[2]EDl log'!Y27</f>
        <v>112</v>
      </c>
      <c r="Z10" s="271">
        <f>'[2]EDl log'!Z27</f>
        <v>1</v>
      </c>
      <c r="AA10" s="271">
        <f>'[2]EDl log'!AA27</f>
        <v>86830</v>
      </c>
      <c r="AB10" s="271">
        <f>'[2]EDl log'!AB27</f>
        <v>9724960</v>
      </c>
      <c r="AC10" s="271">
        <f>'[2]EDl log'!AC27</f>
        <v>6200000</v>
      </c>
      <c r="AD10" s="271">
        <f>'[2]EDl log'!AD27</f>
        <v>0.52547770700636942</v>
      </c>
    </row>
    <row r="11" spans="1:30">
      <c r="A11" s="164">
        <f>ELEC!C10</f>
        <v>43990</v>
      </c>
      <c r="B11" s="589">
        <v>50039496</v>
      </c>
      <c r="C11" s="271">
        <f t="shared" si="7"/>
        <v>6994</v>
      </c>
      <c r="D11" s="318">
        <f>SUM(G11+I11+K11)</f>
        <v>6992</v>
      </c>
      <c r="E11" s="318">
        <f t="shared" si="11"/>
        <v>50039494</v>
      </c>
      <c r="F11" s="589">
        <v>8036024</v>
      </c>
      <c r="G11" s="161">
        <f t="shared" si="0"/>
        <v>928</v>
      </c>
      <c r="H11" s="589">
        <v>24652464</v>
      </c>
      <c r="I11" s="162">
        <f t="shared" si="1"/>
        <v>3521</v>
      </c>
      <c r="J11" s="586">
        <v>17351007</v>
      </c>
      <c r="K11" s="163">
        <f t="shared" si="2"/>
        <v>2543</v>
      </c>
      <c r="L11" s="306">
        <f t="shared" si="3"/>
        <v>196.98839137645109</v>
      </c>
      <c r="M11" s="306">
        <f t="shared" si="4"/>
        <v>261.59336650082918</v>
      </c>
      <c r="N11" s="306">
        <f t="shared" si="5"/>
        <v>134.95190713101161</v>
      </c>
      <c r="O11" s="306">
        <f t="shared" si="6"/>
        <v>95.977883913764515</v>
      </c>
      <c r="P11" s="307">
        <f t="shared" si="9"/>
        <v>689.51154892205636</v>
      </c>
      <c r="Q11" s="307">
        <f>SUM(-tanks!AX13*tanks!$AU$36)</f>
        <v>216.74116129032078</v>
      </c>
      <c r="R11" s="307">
        <f t="shared" si="10"/>
        <v>906.25271021237711</v>
      </c>
      <c r="S11" s="309">
        <f>SUM(ELEC!N10)</f>
        <v>15745</v>
      </c>
      <c r="T11" s="346">
        <f t="shared" si="12"/>
        <v>5.7558127037940748E-2</v>
      </c>
      <c r="V11" s="271">
        <f>'[2]EDl log'!V28</f>
        <v>8005117</v>
      </c>
      <c r="W11" s="271">
        <f>'[2]EDl log'!W28</f>
        <v>8028763</v>
      </c>
      <c r="X11" s="271" t="str">
        <f>'[2]EDl log'!X28</f>
        <v>Peak</v>
      </c>
      <c r="Y11" s="271">
        <f>'[2]EDl log'!Y28</f>
        <v>320</v>
      </c>
      <c r="Z11" s="271">
        <f>'[2]EDl log'!Z28</f>
        <v>1</v>
      </c>
      <c r="AA11" s="271">
        <f>'[2]EDl log'!AA28</f>
        <v>23646</v>
      </c>
      <c r="AB11" s="271">
        <f>'[2]EDl log'!AB28</f>
        <v>7566720</v>
      </c>
      <c r="AC11" s="271">
        <f>'[2]EDl log'!AC28</f>
        <v>1000</v>
      </c>
      <c r="AD11" s="271">
        <f>'[2]EDl log'!AD28</f>
        <v>0.1437032070622416</v>
      </c>
    </row>
    <row r="12" spans="1:30">
      <c r="A12" s="164">
        <f>ELEC!C11</f>
        <v>43991</v>
      </c>
      <c r="B12" s="566">
        <v>50046427</v>
      </c>
      <c r="C12" s="271">
        <f t="shared" si="7"/>
        <v>6931</v>
      </c>
      <c r="D12" s="318">
        <f t="shared" si="8"/>
        <v>6934</v>
      </c>
      <c r="E12" s="318">
        <f t="shared" si="11"/>
        <v>50046430</v>
      </c>
      <c r="F12" s="566">
        <v>8037265</v>
      </c>
      <c r="G12" s="161">
        <f t="shared" si="0"/>
        <v>1241</v>
      </c>
      <c r="H12" s="566">
        <v>24655859</v>
      </c>
      <c r="I12" s="162">
        <f t="shared" si="1"/>
        <v>3395</v>
      </c>
      <c r="J12" s="566">
        <v>17353305</v>
      </c>
      <c r="K12" s="163">
        <f t="shared" si="2"/>
        <v>2298</v>
      </c>
      <c r="L12" s="306">
        <f t="shared" si="3"/>
        <v>263.4295190713101</v>
      </c>
      <c r="M12" s="306">
        <f t="shared" si="4"/>
        <v>252.23217247097844</v>
      </c>
      <c r="N12" s="306">
        <f t="shared" si="5"/>
        <v>121.95024875621891</v>
      </c>
      <c r="O12" s="306">
        <f t="shared" si="6"/>
        <v>95.977883913764515</v>
      </c>
      <c r="P12" s="307">
        <f t="shared" si="9"/>
        <v>733.58982421227188</v>
      </c>
      <c r="Q12" s="307">
        <f>SUM(-tanks!AX14*tanks!$AU$36)</f>
        <v>211.66706290322671</v>
      </c>
      <c r="R12" s="307">
        <f t="shared" si="10"/>
        <v>945.25688711549856</v>
      </c>
      <c r="S12" s="309">
        <f>SUM(ELEC!N11)</f>
        <v>15283</v>
      </c>
      <c r="T12" s="346">
        <f t="shared" si="12"/>
        <v>6.1850218354740465E-2</v>
      </c>
      <c r="V12" s="271"/>
      <c r="W12" s="271"/>
      <c r="X12" s="3"/>
      <c r="Y12" s="271"/>
      <c r="Z12" s="28"/>
      <c r="AA12" s="271">
        <f>'[2]EDl log'!AA29</f>
        <v>165476</v>
      </c>
      <c r="AB12" s="271">
        <f>'[5]EDl log'!AB29</f>
        <v>0</v>
      </c>
      <c r="AC12" s="271">
        <f>'[5]EDl log'!AC29</f>
        <v>0</v>
      </c>
    </row>
    <row r="13" spans="1:30">
      <c r="A13" s="164">
        <f>ELEC!C12</f>
        <v>43992</v>
      </c>
      <c r="B13" s="566">
        <v>50052150</v>
      </c>
      <c r="C13" s="271">
        <f t="shared" si="7"/>
        <v>5723</v>
      </c>
      <c r="D13" s="318">
        <f t="shared" si="8"/>
        <v>5723</v>
      </c>
      <c r="E13" s="318">
        <f t="shared" si="11"/>
        <v>50052150</v>
      </c>
      <c r="F13" s="566">
        <v>8037688</v>
      </c>
      <c r="G13" s="161">
        <f t="shared" si="0"/>
        <v>423</v>
      </c>
      <c r="H13" s="566">
        <v>24658386</v>
      </c>
      <c r="I13" s="162">
        <f t="shared" si="1"/>
        <v>2527</v>
      </c>
      <c r="J13" s="566">
        <v>17356078</v>
      </c>
      <c r="K13" s="163">
        <f t="shared" si="2"/>
        <v>2773</v>
      </c>
      <c r="L13" s="306">
        <f t="shared" si="3"/>
        <v>89.791044776119406</v>
      </c>
      <c r="M13" s="306">
        <f t="shared" si="4"/>
        <v>187.74394693200662</v>
      </c>
      <c r="N13" s="306">
        <f t="shared" si="5"/>
        <v>147.15754560530681</v>
      </c>
      <c r="O13" s="306">
        <f t="shared" si="6"/>
        <v>95.977883913764515</v>
      </c>
      <c r="P13" s="307">
        <f t="shared" si="9"/>
        <v>520.67042122719727</v>
      </c>
      <c r="Q13" s="307">
        <f>SUM(-tanks!AX15*tanks!$AU$36)</f>
        <v>548.48752258063462</v>
      </c>
      <c r="R13" s="307">
        <f t="shared" si="10"/>
        <v>1069.157943807832</v>
      </c>
      <c r="S13" s="309">
        <f>SUM(ELEC!N12)</f>
        <v>16634</v>
      </c>
      <c r="T13" s="346">
        <f t="shared" si="12"/>
        <v>6.4275456523255503E-2</v>
      </c>
      <c r="V13" s="271" t="str">
        <f>'[2]EDl log'!V30</f>
        <v>Occ %</v>
      </c>
      <c r="W13" s="525">
        <f>'[2]EDl log'!W30</f>
        <v>1.9296774193548385E-2</v>
      </c>
      <c r="X13" s="271">
        <f>'[2]EDl log'!X30</f>
        <v>0</v>
      </c>
      <c r="Y13" s="271" t="str">
        <f>'[2]EDl log'!Y30</f>
        <v>Per G</v>
      </c>
      <c r="Z13" s="3"/>
      <c r="AA13" s="3"/>
      <c r="AB13" s="271">
        <f>'[2]EDl log'!AB30</f>
        <v>21691680</v>
      </c>
      <c r="AC13" s="271">
        <f>'[2]EDl log'!AC30</f>
        <v>7234333</v>
      </c>
    </row>
    <row r="14" spans="1:30">
      <c r="A14" s="659">
        <f>ELEC!C13</f>
        <v>43993</v>
      </c>
      <c r="B14" s="566">
        <v>50054654</v>
      </c>
      <c r="C14" s="657">
        <f>SUM(B15+B14-B13)</f>
        <v>6667</v>
      </c>
      <c r="D14" s="661">
        <f t="shared" si="8"/>
        <v>6668</v>
      </c>
      <c r="E14" s="661">
        <f t="shared" si="11"/>
        <v>50058818</v>
      </c>
      <c r="F14" s="592">
        <f t="shared" ref="F14:J34" si="13">F13</f>
        <v>8037688</v>
      </c>
      <c r="G14" s="651">
        <f>F15+F14-F13</f>
        <v>413</v>
      </c>
      <c r="H14" s="592">
        <v>24659259</v>
      </c>
      <c r="I14" s="653">
        <f>H15+H14-H13</f>
        <v>2785</v>
      </c>
      <c r="J14" s="592">
        <v>17357710</v>
      </c>
      <c r="K14" s="655">
        <f>J15+J14-J13</f>
        <v>3470</v>
      </c>
      <c r="L14" s="649">
        <f t="shared" si="3"/>
        <v>87.668325041459369</v>
      </c>
      <c r="M14" s="649">
        <f t="shared" si="4"/>
        <v>206.91210613598673</v>
      </c>
      <c r="N14" s="649">
        <f t="shared" si="5"/>
        <v>184.14593698175787</v>
      </c>
      <c r="O14" s="649">
        <f t="shared" si="6"/>
        <v>95.977883913764515</v>
      </c>
      <c r="P14" s="643">
        <f>SUM(L14:O15)</f>
        <v>574.70425207296853</v>
      </c>
      <c r="Q14" s="643">
        <f>SUM(-tanks!AX16*tanks!$AU$36)</f>
        <v>646.50305564516123</v>
      </c>
      <c r="R14" s="643">
        <f>SUM(P14:Q15)</f>
        <v>1221.2073077181299</v>
      </c>
      <c r="S14" s="645">
        <f>SUM(ELEC!N13)</f>
        <v>14437</v>
      </c>
      <c r="T14" s="647">
        <f t="shared" si="12"/>
        <v>8.4588717026953655E-2</v>
      </c>
      <c r="V14" s="271" t="str">
        <f>'[2]EDl log'!V31</f>
        <v>Gen RH</v>
      </c>
      <c r="W14" s="271">
        <f>'[2]EDl log'!W31</f>
        <v>119.48999999999978</v>
      </c>
      <c r="X14" s="271">
        <f>'[2]EDl log'!X31</f>
        <v>3.8545161290322509</v>
      </c>
      <c r="Y14" s="271">
        <f>'[2]EDl log'!Y31</f>
        <v>1.9272580645161255</v>
      </c>
      <c r="Z14" s="3"/>
      <c r="AA14" s="3"/>
      <c r="AB14" s="271">
        <f>'[2]EDl log'!AB31</f>
        <v>28926013</v>
      </c>
      <c r="AC14" s="271">
        <f>'[2]EDl log'!AC31</f>
        <v>7234333</v>
      </c>
    </row>
    <row r="15" spans="1:30">
      <c r="A15" s="660"/>
      <c r="B15" s="592">
        <v>4163</v>
      </c>
      <c r="C15" s="658"/>
      <c r="D15" s="662"/>
      <c r="E15" s="663"/>
      <c r="F15" s="592">
        <v>413</v>
      </c>
      <c r="G15" s="652"/>
      <c r="H15" s="592">
        <v>1912</v>
      </c>
      <c r="I15" s="654"/>
      <c r="J15" s="592">
        <v>1838</v>
      </c>
      <c r="K15" s="656"/>
      <c r="L15" s="650"/>
      <c r="M15" s="650"/>
      <c r="N15" s="650"/>
      <c r="O15" s="650"/>
      <c r="P15" s="644"/>
      <c r="Q15" s="644"/>
      <c r="R15" s="644"/>
      <c r="S15" s="646"/>
      <c r="T15" s="648"/>
      <c r="V15" s="271"/>
      <c r="W15" s="271"/>
      <c r="X15" s="271"/>
      <c r="Y15" s="271"/>
      <c r="Z15" s="3"/>
      <c r="AA15" s="3"/>
      <c r="AB15" s="271"/>
      <c r="AC15" s="271"/>
    </row>
    <row r="16" spans="1:30">
      <c r="A16" s="164">
        <f>ELEC!C14</f>
        <v>43994</v>
      </c>
      <c r="B16" s="566">
        <v>7734</v>
      </c>
      <c r="C16" s="271">
        <f>SUM(B16-B15)</f>
        <v>3571</v>
      </c>
      <c r="D16" s="318">
        <f t="shared" si="8"/>
        <v>3562</v>
      </c>
      <c r="E16" s="318">
        <f>B15+D16</f>
        <v>7725</v>
      </c>
      <c r="F16" s="566">
        <v>1332</v>
      </c>
      <c r="G16" s="161">
        <f>F16-F15</f>
        <v>919</v>
      </c>
      <c r="H16" s="566">
        <v>3574</v>
      </c>
      <c r="I16" s="162">
        <f>H16-H15</f>
        <v>1662</v>
      </c>
      <c r="J16" s="566">
        <v>2819</v>
      </c>
      <c r="K16" s="163">
        <f>J16-J15</f>
        <v>981</v>
      </c>
      <c r="L16" s="306">
        <f t="shared" ref="L16:L34" si="14">SUM(G16*$Y$29)/1507.5</f>
        <v>195.07794361525706</v>
      </c>
      <c r="M16" s="306">
        <f t="shared" ref="M16:M34" si="15">SUM(I16*$Y$28)/1507.5</f>
        <v>123.47860696517412</v>
      </c>
      <c r="N16" s="306">
        <f t="shared" ref="N16:N34" si="16">SUM(K16*$Y$27)/1507.5</f>
        <v>52.059701492537314</v>
      </c>
      <c r="O16" s="306">
        <f t="shared" ref="O16:O34" si="17">($AC$32/$A$39)/1507.5</f>
        <v>95.977883913764515</v>
      </c>
      <c r="P16" s="307">
        <f t="shared" si="9"/>
        <v>466.59413598673302</v>
      </c>
      <c r="Q16" s="307">
        <f>SUM(-tanks!AX17*tanks!$AU$36)</f>
        <v>566.4008024193563</v>
      </c>
      <c r="R16" s="307">
        <f t="shared" si="10"/>
        <v>1032.9949384060892</v>
      </c>
      <c r="S16" s="309">
        <f>SUM(ELEC!N14)</f>
        <v>15870</v>
      </c>
      <c r="T16" s="346">
        <f t="shared" si="12"/>
        <v>6.5091048418783187E-2</v>
      </c>
      <c r="V16" s="271" t="str">
        <f>'[2]EDl log'!V32</f>
        <v>H Deg</v>
      </c>
      <c r="W16" s="271">
        <f>'[2]EDl log'!W32</f>
        <v>-549.00000000000011</v>
      </c>
      <c r="X16" s="271">
        <f>'[2]EDl log'!X32</f>
        <v>0</v>
      </c>
      <c r="Y16" s="271">
        <f>'[2]EDl log'!Y32</f>
        <v>0</v>
      </c>
      <c r="Z16" s="3"/>
      <c r="AA16" s="3"/>
      <c r="AB16" s="271">
        <f>'[2]EDl log'!AB32</f>
        <v>0</v>
      </c>
      <c r="AC16" s="271">
        <f>'[2]EDl log'!AC32</f>
        <v>0</v>
      </c>
    </row>
    <row r="17" spans="1:32">
      <c r="A17" s="164">
        <f>ELEC!C15</f>
        <v>43995</v>
      </c>
      <c r="B17" s="596">
        <v>12114</v>
      </c>
      <c r="C17" s="271">
        <f t="shared" si="7"/>
        <v>4380</v>
      </c>
      <c r="D17" s="318">
        <f t="shared" si="8"/>
        <v>4391</v>
      </c>
      <c r="E17" s="318">
        <f t="shared" si="11"/>
        <v>12125</v>
      </c>
      <c r="F17" s="566">
        <v>1960</v>
      </c>
      <c r="G17" s="161">
        <f t="shared" si="0"/>
        <v>628</v>
      </c>
      <c r="H17" s="566">
        <v>5810</v>
      </c>
      <c r="I17" s="162">
        <f t="shared" si="1"/>
        <v>2236</v>
      </c>
      <c r="J17" s="566">
        <v>4346</v>
      </c>
      <c r="K17" s="163">
        <f t="shared" si="2"/>
        <v>1527</v>
      </c>
      <c r="L17" s="306">
        <f t="shared" si="14"/>
        <v>133.30679933665007</v>
      </c>
      <c r="M17" s="306">
        <f t="shared" si="15"/>
        <v>166.1240464344942</v>
      </c>
      <c r="N17" s="306">
        <f t="shared" si="16"/>
        <v>81.03482587064677</v>
      </c>
      <c r="O17" s="306">
        <f t="shared" si="17"/>
        <v>95.977883913764515</v>
      </c>
      <c r="P17" s="307">
        <f t="shared" si="9"/>
        <v>476.44355555555558</v>
      </c>
      <c r="Q17" s="307">
        <f>SUM(-tanks!AX18*tanks!$AU$36)</f>
        <v>509.82951209677287</v>
      </c>
      <c r="R17" s="307">
        <f t="shared" si="10"/>
        <v>986.27306765232845</v>
      </c>
      <c r="S17" s="309">
        <f>SUM(ELEC!N15)</f>
        <v>15047</v>
      </c>
      <c r="T17" s="346">
        <f t="shared" si="12"/>
        <v>6.5546159875877474E-2</v>
      </c>
      <c r="V17" s="271" t="str">
        <f>'[2]EDl log'!V33</f>
        <v>C Deg</v>
      </c>
      <c r="W17" s="271">
        <f>'[2]EDl log'!W33</f>
        <v>0</v>
      </c>
      <c r="X17" s="271">
        <f>'[2]EDl log'!X33</f>
        <v>0</v>
      </c>
      <c r="Y17" s="271">
        <f>'[2]EDl log'!Y33</f>
        <v>0</v>
      </c>
      <c r="Z17" s="3"/>
      <c r="AA17" s="3"/>
      <c r="AB17" s="271">
        <f>'[2]EDl log'!AB33</f>
        <v>0</v>
      </c>
      <c r="AC17" s="271">
        <f>'[2]EDl log'!AC33</f>
        <v>0</v>
      </c>
    </row>
    <row r="18" spans="1:32">
      <c r="A18" s="164">
        <f>ELEC!C16</f>
        <v>43996</v>
      </c>
      <c r="B18" s="596">
        <v>18112</v>
      </c>
      <c r="C18" s="271">
        <f t="shared" si="7"/>
        <v>5998</v>
      </c>
      <c r="D18" s="318">
        <f t="shared" si="8"/>
        <v>5996</v>
      </c>
      <c r="E18" s="318">
        <f t="shared" si="11"/>
        <v>18110</v>
      </c>
      <c r="F18" s="596">
        <v>2978</v>
      </c>
      <c r="G18" s="161">
        <f t="shared" si="0"/>
        <v>1018</v>
      </c>
      <c r="H18" s="596">
        <v>8675</v>
      </c>
      <c r="I18" s="162">
        <f t="shared" si="1"/>
        <v>2865</v>
      </c>
      <c r="J18" s="586">
        <v>6459</v>
      </c>
      <c r="K18" s="163">
        <f t="shared" si="2"/>
        <v>2113</v>
      </c>
      <c r="L18" s="306">
        <f t="shared" si="14"/>
        <v>216.09286898839139</v>
      </c>
      <c r="M18" s="306">
        <f t="shared" si="15"/>
        <v>212.85572139303483</v>
      </c>
      <c r="N18" s="306">
        <f t="shared" si="16"/>
        <v>112.13266998341625</v>
      </c>
      <c r="O18" s="306">
        <f t="shared" si="17"/>
        <v>95.977883913764515</v>
      </c>
      <c r="P18" s="307">
        <f t="shared" si="9"/>
        <v>637.05914427860694</v>
      </c>
      <c r="Q18" s="307">
        <f>SUM(-tanks!AX19*tanks!$AU$36)</f>
        <v>367.26120161290424</v>
      </c>
      <c r="R18" s="307">
        <f t="shared" si="10"/>
        <v>1004.3203458915111</v>
      </c>
      <c r="S18" s="309">
        <f>SUM(ELEC!N16)</f>
        <v>14400</v>
      </c>
      <c r="T18" s="346">
        <f t="shared" si="12"/>
        <v>6.9744468464688278E-2</v>
      </c>
      <c r="V18" s="259"/>
      <c r="W18" s="271">
        <f>'[6]EDl log'!W34</f>
        <v>0</v>
      </c>
      <c r="X18" s="17"/>
      <c r="Y18" s="446"/>
      <c r="Z18" s="525"/>
      <c r="AA18" s="525"/>
      <c r="AB18" s="271"/>
      <c r="AC18" s="555"/>
    </row>
    <row r="19" spans="1:32" ht="15.75" thickBot="1">
      <c r="A19" s="164">
        <f>ELEC!C17</f>
        <v>43997</v>
      </c>
      <c r="B19" s="566">
        <v>22998</v>
      </c>
      <c r="C19" s="271">
        <f t="shared" si="7"/>
        <v>4886</v>
      </c>
      <c r="D19" s="318">
        <f t="shared" si="8"/>
        <v>4887</v>
      </c>
      <c r="E19" s="318">
        <f t="shared" si="11"/>
        <v>22999</v>
      </c>
      <c r="F19" s="566">
        <v>3808</v>
      </c>
      <c r="G19" s="161">
        <f t="shared" si="0"/>
        <v>830</v>
      </c>
      <c r="H19" s="566">
        <v>11035</v>
      </c>
      <c r="I19" s="162">
        <f t="shared" si="1"/>
        <v>2360</v>
      </c>
      <c r="J19" s="566">
        <v>8156</v>
      </c>
      <c r="K19" s="163">
        <f t="shared" si="2"/>
        <v>1697</v>
      </c>
      <c r="L19" s="306">
        <f t="shared" si="14"/>
        <v>176.18573797678275</v>
      </c>
      <c r="M19" s="306">
        <f t="shared" si="15"/>
        <v>175.33665008291874</v>
      </c>
      <c r="N19" s="306">
        <f t="shared" si="16"/>
        <v>90.056384742951906</v>
      </c>
      <c r="O19" s="306">
        <f t="shared" si="17"/>
        <v>95.977883913764515</v>
      </c>
      <c r="P19" s="307">
        <f t="shared" si="9"/>
        <v>537.55665671641782</v>
      </c>
      <c r="Q19" s="307">
        <f>SUM(-tanks!AX20*tanks!$AU$36)</f>
        <v>358.22711290322496</v>
      </c>
      <c r="R19" s="307">
        <f t="shared" si="10"/>
        <v>895.78376961964273</v>
      </c>
      <c r="S19" s="309">
        <f>SUM(ELEC!N17)</f>
        <v>15381</v>
      </c>
      <c r="T19" s="346">
        <f t="shared" si="12"/>
        <v>5.8239631338641358E-2</v>
      </c>
      <c r="V19" s="233"/>
      <c r="W19" s="234"/>
      <c r="X19" s="234"/>
      <c r="Y19" s="446"/>
      <c r="Z19" s="525" t="str">
        <f>'[2]EDl log'!Z35</f>
        <v xml:space="preserve">VAT </v>
      </c>
      <c r="AA19" s="525">
        <f>'[2]EDl log'!AA35</f>
        <v>0.11</v>
      </c>
      <c r="AB19" s="271">
        <f>'[2]EDl log'!AB35</f>
        <v>3181861.43</v>
      </c>
      <c r="AC19" s="555">
        <f>'[5]EDl log'!AC35</f>
        <v>0</v>
      </c>
    </row>
    <row r="20" spans="1:32" ht="15.75" thickBot="1">
      <c r="A20" s="164">
        <f>ELEC!C18</f>
        <v>43998</v>
      </c>
      <c r="B20" s="566">
        <v>28479</v>
      </c>
      <c r="C20" s="271">
        <f t="shared" si="7"/>
        <v>5481</v>
      </c>
      <c r="D20" s="318">
        <f t="shared" si="8"/>
        <v>5482</v>
      </c>
      <c r="E20" s="318">
        <f t="shared" si="11"/>
        <v>28480</v>
      </c>
      <c r="F20" s="566">
        <v>5078</v>
      </c>
      <c r="G20" s="161">
        <f>F20-F19</f>
        <v>1270</v>
      </c>
      <c r="H20" s="566">
        <v>13018</v>
      </c>
      <c r="I20" s="162">
        <f t="shared" si="1"/>
        <v>1983</v>
      </c>
      <c r="J20" s="566">
        <v>10385</v>
      </c>
      <c r="K20" s="163">
        <f t="shared" si="2"/>
        <v>2229</v>
      </c>
      <c r="L20" s="306">
        <f t="shared" si="14"/>
        <v>269.58540630182421</v>
      </c>
      <c r="M20" s="306">
        <f t="shared" si="15"/>
        <v>147.32736318407962</v>
      </c>
      <c r="N20" s="306">
        <f t="shared" si="16"/>
        <v>118.28855721393035</v>
      </c>
      <c r="O20" s="306">
        <f t="shared" si="17"/>
        <v>95.977883913764515</v>
      </c>
      <c r="P20" s="307">
        <f t="shared" si="9"/>
        <v>631.1792106135988</v>
      </c>
      <c r="Q20" s="307">
        <f>SUM(-tanks!AX21*tanks!$AU$36)</f>
        <v>445.60474193548549</v>
      </c>
      <c r="R20" s="307">
        <f t="shared" si="10"/>
        <v>1076.7839525490842</v>
      </c>
      <c r="S20" s="309">
        <f>SUM(ELEC!N18)</f>
        <v>15463</v>
      </c>
      <c r="T20" s="346">
        <f t="shared" si="12"/>
        <v>6.9636160677040954E-2</v>
      </c>
      <c r="V20" s="233"/>
      <c r="W20" s="234"/>
      <c r="X20" s="234"/>
      <c r="Y20" s="446"/>
      <c r="Z20" s="446"/>
      <c r="AA20" s="271"/>
      <c r="AB20" s="271">
        <f>'[2]EDl log'!AB36</f>
        <v>32107874.43</v>
      </c>
      <c r="AC20" s="271">
        <f>'[2]EDl log'!AC36</f>
        <v>0</v>
      </c>
    </row>
    <row r="21" spans="1:32" ht="15.75" thickBot="1">
      <c r="A21" s="164">
        <f>ELEC!C19</f>
        <v>43999</v>
      </c>
      <c r="B21" s="597">
        <v>34439</v>
      </c>
      <c r="C21" s="271">
        <f t="shared" si="7"/>
        <v>5960</v>
      </c>
      <c r="D21" s="318">
        <f t="shared" si="8"/>
        <v>5958</v>
      </c>
      <c r="E21" s="318">
        <f t="shared" si="11"/>
        <v>34437</v>
      </c>
      <c r="F21" s="597">
        <v>6146</v>
      </c>
      <c r="G21" s="161">
        <f t="shared" si="0"/>
        <v>1068</v>
      </c>
      <c r="H21" s="597">
        <v>15953</v>
      </c>
      <c r="I21" s="162">
        <f t="shared" si="1"/>
        <v>2935</v>
      </c>
      <c r="J21" s="586">
        <v>12340</v>
      </c>
      <c r="K21" s="163">
        <f t="shared" si="2"/>
        <v>1955</v>
      </c>
      <c r="L21" s="306">
        <f t="shared" si="14"/>
        <v>226.70646766169153</v>
      </c>
      <c r="M21" s="306">
        <f t="shared" si="15"/>
        <v>218.05638474295191</v>
      </c>
      <c r="N21" s="306">
        <f t="shared" si="16"/>
        <v>103.74792703150912</v>
      </c>
      <c r="O21" s="306">
        <f t="shared" si="17"/>
        <v>95.977883913764515</v>
      </c>
      <c r="P21" s="307">
        <f t="shared" si="9"/>
        <v>644.48866334991703</v>
      </c>
      <c r="Q21" s="307">
        <f>SUM(-tanks!AX22*tanks!$AU$36)</f>
        <v>-28.218298387095796</v>
      </c>
      <c r="R21" s="307">
        <f t="shared" si="10"/>
        <v>616.27036496282119</v>
      </c>
      <c r="S21" s="309">
        <f>SUM(ELEC!N19)</f>
        <v>14854</v>
      </c>
      <c r="T21" s="346">
        <f t="shared" si="12"/>
        <v>4.1488512519376679E-2</v>
      </c>
      <c r="V21" t="s">
        <v>416</v>
      </c>
      <c r="AB21" s="271"/>
    </row>
    <row r="22" spans="1:32">
      <c r="A22" s="164">
        <f>ELEC!C20</f>
        <v>44000</v>
      </c>
      <c r="B22" s="566">
        <v>40512</v>
      </c>
      <c r="C22" s="271">
        <f t="shared" si="7"/>
        <v>6073</v>
      </c>
      <c r="D22" s="318">
        <f t="shared" si="8"/>
        <v>6074</v>
      </c>
      <c r="E22" s="318">
        <f t="shared" si="11"/>
        <v>40513</v>
      </c>
      <c r="F22" s="566">
        <v>6616</v>
      </c>
      <c r="G22" s="161">
        <f t="shared" si="0"/>
        <v>470</v>
      </c>
      <c r="H22" s="566">
        <v>18520</v>
      </c>
      <c r="I22" s="162">
        <f t="shared" si="1"/>
        <v>2567</v>
      </c>
      <c r="J22" s="566">
        <v>15377</v>
      </c>
      <c r="K22" s="163">
        <f t="shared" si="2"/>
        <v>3037</v>
      </c>
      <c r="L22" s="306">
        <f t="shared" si="14"/>
        <v>99.767827529021559</v>
      </c>
      <c r="M22" s="306">
        <f t="shared" si="15"/>
        <v>190.71575456053068</v>
      </c>
      <c r="N22" s="306">
        <f t="shared" si="16"/>
        <v>161.16749585406302</v>
      </c>
      <c r="O22" s="306">
        <f t="shared" si="17"/>
        <v>95.977883913764515</v>
      </c>
      <c r="P22" s="307">
        <f t="shared" si="9"/>
        <v>547.62896185737975</v>
      </c>
      <c r="Q22" s="307">
        <f>SUM(-tanks!AX23*tanks!$AU$36)</f>
        <v>647.6489129032276</v>
      </c>
      <c r="R22" s="307">
        <f t="shared" si="10"/>
        <v>1195.2778747606073</v>
      </c>
      <c r="S22" s="309">
        <f>SUM(ELEC!N20)</f>
        <v>17822</v>
      </c>
      <c r="T22" s="346">
        <f t="shared" si="12"/>
        <v>6.7067549924846107E-2</v>
      </c>
      <c r="V22" s="167" t="s">
        <v>201</v>
      </c>
      <c r="W22" s="168">
        <v>44002</v>
      </c>
      <c r="X22" s="169"/>
      <c r="Y22" s="169"/>
      <c r="Z22" s="170" t="s">
        <v>202</v>
      </c>
      <c r="AA22" s="169"/>
      <c r="AB22" s="674"/>
      <c r="AC22" s="675"/>
    </row>
    <row r="23" spans="1:32">
      <c r="A23" s="164">
        <f>ELEC!C21</f>
        <v>44001</v>
      </c>
      <c r="B23" s="566">
        <f t="shared" ref="B23:B34" si="18">B22</f>
        <v>40512</v>
      </c>
      <c r="C23" s="271">
        <f t="shared" si="7"/>
        <v>0</v>
      </c>
      <c r="D23" s="318">
        <f t="shared" si="8"/>
        <v>0</v>
      </c>
      <c r="E23" s="318">
        <f t="shared" si="11"/>
        <v>40512</v>
      </c>
      <c r="F23" s="566">
        <f t="shared" si="13"/>
        <v>6616</v>
      </c>
      <c r="G23" s="161">
        <f t="shared" si="0"/>
        <v>0</v>
      </c>
      <c r="H23" s="566">
        <f t="shared" si="13"/>
        <v>18520</v>
      </c>
      <c r="I23" s="162">
        <f t="shared" si="1"/>
        <v>0</v>
      </c>
      <c r="J23" s="566">
        <f t="shared" si="13"/>
        <v>15377</v>
      </c>
      <c r="K23" s="163">
        <f t="shared" si="2"/>
        <v>0</v>
      </c>
      <c r="L23" s="306">
        <f t="shared" si="14"/>
        <v>0</v>
      </c>
      <c r="M23" s="306">
        <f t="shared" si="15"/>
        <v>0</v>
      </c>
      <c r="N23" s="306">
        <f t="shared" si="16"/>
        <v>0</v>
      </c>
      <c r="O23" s="306">
        <f t="shared" si="17"/>
        <v>95.977883913764515</v>
      </c>
      <c r="P23" s="307">
        <f t="shared" si="9"/>
        <v>95.977883913764515</v>
      </c>
      <c r="Q23" s="307">
        <f>SUM(-tanks!AX24*tanks!$AU$36)</f>
        <v>0</v>
      </c>
      <c r="R23" s="307">
        <f t="shared" si="10"/>
        <v>95.977883913764515</v>
      </c>
      <c r="S23" s="309">
        <f>SUM(ELEC!N21)</f>
        <v>0</v>
      </c>
      <c r="T23" s="346">
        <f t="shared" si="12"/>
        <v>0</v>
      </c>
      <c r="V23" s="680"/>
      <c r="W23" s="681"/>
      <c r="X23" s="681"/>
      <c r="Y23" s="682"/>
      <c r="Z23" s="26" t="s">
        <v>203</v>
      </c>
      <c r="AA23" s="26">
        <v>5000</v>
      </c>
      <c r="AB23" s="676"/>
      <c r="AC23" s="677"/>
    </row>
    <row r="24" spans="1:32">
      <c r="A24" s="164">
        <f>ELEC!C22</f>
        <v>44002</v>
      </c>
      <c r="B24" s="566">
        <f t="shared" si="18"/>
        <v>40512</v>
      </c>
      <c r="C24" s="271">
        <f t="shared" si="7"/>
        <v>0</v>
      </c>
      <c r="D24" s="318">
        <f t="shared" si="8"/>
        <v>0</v>
      </c>
      <c r="E24" s="318">
        <f t="shared" si="11"/>
        <v>40512</v>
      </c>
      <c r="F24" s="566">
        <f t="shared" si="13"/>
        <v>6616</v>
      </c>
      <c r="G24" s="161">
        <f t="shared" si="0"/>
        <v>0</v>
      </c>
      <c r="H24" s="566">
        <f t="shared" si="13"/>
        <v>18520</v>
      </c>
      <c r="I24" s="162">
        <f t="shared" si="1"/>
        <v>0</v>
      </c>
      <c r="J24" s="566">
        <f t="shared" si="13"/>
        <v>15377</v>
      </c>
      <c r="K24" s="163">
        <f t="shared" si="2"/>
        <v>0</v>
      </c>
      <c r="L24" s="306">
        <f t="shared" si="14"/>
        <v>0</v>
      </c>
      <c r="M24" s="306">
        <f t="shared" si="15"/>
        <v>0</v>
      </c>
      <c r="N24" s="306">
        <f t="shared" si="16"/>
        <v>0</v>
      </c>
      <c r="O24" s="306">
        <f t="shared" si="17"/>
        <v>95.977883913764515</v>
      </c>
      <c r="P24" s="307">
        <f t="shared" si="9"/>
        <v>95.977883913764515</v>
      </c>
      <c r="Q24" s="307">
        <f>SUM(-tanks!AX25*tanks!$AU$36)</f>
        <v>0</v>
      </c>
      <c r="R24" s="307">
        <f t="shared" si="10"/>
        <v>95.977883913764515</v>
      </c>
      <c r="S24" s="309">
        <f>SUM(ELEC!N22)</f>
        <v>0</v>
      </c>
      <c r="T24" s="346">
        <f t="shared" si="12"/>
        <v>0</v>
      </c>
      <c r="V24" s="683"/>
      <c r="W24" s="684"/>
      <c r="X24" s="684"/>
      <c r="Y24" s="685"/>
      <c r="Z24" s="686"/>
      <c r="AA24" s="687"/>
      <c r="AB24" s="676"/>
      <c r="AC24" s="677"/>
    </row>
    <row r="25" spans="1:32" ht="15" customHeight="1">
      <c r="A25" s="164">
        <f>ELEC!C23</f>
        <v>44003</v>
      </c>
      <c r="B25" s="566">
        <f t="shared" si="18"/>
        <v>40512</v>
      </c>
      <c r="C25" s="271">
        <f t="shared" si="7"/>
        <v>0</v>
      </c>
      <c r="D25" s="318">
        <f t="shared" si="8"/>
        <v>0</v>
      </c>
      <c r="E25" s="318">
        <f t="shared" si="11"/>
        <v>40512</v>
      </c>
      <c r="F25" s="566">
        <f t="shared" si="13"/>
        <v>6616</v>
      </c>
      <c r="G25" s="161">
        <f t="shared" si="0"/>
        <v>0</v>
      </c>
      <c r="H25" s="566">
        <f t="shared" si="13"/>
        <v>18520</v>
      </c>
      <c r="I25" s="162">
        <f t="shared" si="1"/>
        <v>0</v>
      </c>
      <c r="J25" s="566">
        <f t="shared" si="13"/>
        <v>15377</v>
      </c>
      <c r="K25" s="163">
        <f t="shared" si="2"/>
        <v>0</v>
      </c>
      <c r="L25" s="306">
        <f t="shared" si="14"/>
        <v>0</v>
      </c>
      <c r="M25" s="306">
        <f t="shared" si="15"/>
        <v>0</v>
      </c>
      <c r="N25" s="306">
        <f t="shared" si="16"/>
        <v>0</v>
      </c>
      <c r="O25" s="306">
        <f t="shared" si="17"/>
        <v>95.977883913764515</v>
      </c>
      <c r="P25" s="307">
        <f t="shared" si="9"/>
        <v>95.977883913764515</v>
      </c>
      <c r="Q25" s="307">
        <f>SUM(-tanks!AX26*tanks!$AU$36)</f>
        <v>0</v>
      </c>
      <c r="R25" s="307">
        <f t="shared" si="10"/>
        <v>95.977883913764515</v>
      </c>
      <c r="S25" s="309">
        <f>SUM(ELEC!N23)</f>
        <v>0</v>
      </c>
      <c r="T25" s="346">
        <f t="shared" si="12"/>
        <v>0</v>
      </c>
      <c r="V25" s="688" t="s">
        <v>204</v>
      </c>
      <c r="W25" s="689"/>
      <c r="X25" s="690" t="s">
        <v>205</v>
      </c>
      <c r="Y25" s="691"/>
      <c r="Z25" s="692"/>
      <c r="AA25" s="171"/>
      <c r="AB25" s="678"/>
      <c r="AC25" s="679"/>
    </row>
    <row r="26" spans="1:32" ht="17.25" customHeight="1">
      <c r="A26" s="164">
        <f>ELEC!C24</f>
        <v>44004</v>
      </c>
      <c r="B26" s="566">
        <f t="shared" si="18"/>
        <v>40512</v>
      </c>
      <c r="C26" s="271">
        <f t="shared" si="7"/>
        <v>0</v>
      </c>
      <c r="D26" s="318">
        <f t="shared" si="8"/>
        <v>0</v>
      </c>
      <c r="E26" s="318">
        <f t="shared" si="11"/>
        <v>40512</v>
      </c>
      <c r="F26" s="566">
        <f t="shared" si="13"/>
        <v>6616</v>
      </c>
      <c r="G26" s="161">
        <f t="shared" si="0"/>
        <v>0</v>
      </c>
      <c r="H26" s="566">
        <f t="shared" si="13"/>
        <v>18520</v>
      </c>
      <c r="I26" s="162">
        <f t="shared" si="1"/>
        <v>0</v>
      </c>
      <c r="J26" s="566">
        <f t="shared" si="13"/>
        <v>15377</v>
      </c>
      <c r="K26" s="163">
        <f t="shared" si="2"/>
        <v>0</v>
      </c>
      <c r="L26" s="306">
        <f t="shared" si="14"/>
        <v>0</v>
      </c>
      <c r="M26" s="306">
        <f t="shared" si="15"/>
        <v>0</v>
      </c>
      <c r="N26" s="306">
        <f t="shared" si="16"/>
        <v>0</v>
      </c>
      <c r="O26" s="306">
        <f t="shared" si="17"/>
        <v>95.977883913764515</v>
      </c>
      <c r="P26" s="307">
        <f t="shared" si="9"/>
        <v>95.977883913764515</v>
      </c>
      <c r="Q26" s="307">
        <f>SUM(-tanks!AX27*tanks!$AU$36)</f>
        <v>0</v>
      </c>
      <c r="R26" s="307">
        <f t="shared" si="10"/>
        <v>95.977883913764515</v>
      </c>
      <c r="S26" s="309">
        <f>SUM(ELEC!N24)</f>
        <v>0</v>
      </c>
      <c r="T26" s="346">
        <f t="shared" si="12"/>
        <v>0</v>
      </c>
      <c r="V26" s="253" t="s">
        <v>206</v>
      </c>
      <c r="W26" s="254" t="s">
        <v>207</v>
      </c>
      <c r="X26" s="254"/>
      <c r="Y26" s="254" t="s">
        <v>208</v>
      </c>
      <c r="Z26" s="254" t="s">
        <v>209</v>
      </c>
      <c r="AA26" s="254" t="s">
        <v>210</v>
      </c>
      <c r="AB26" s="254" t="s">
        <v>211</v>
      </c>
      <c r="AC26" s="172" t="s">
        <v>212</v>
      </c>
    </row>
    <row r="27" spans="1:32">
      <c r="A27" s="164">
        <f>ELEC!C25</f>
        <v>44005</v>
      </c>
      <c r="B27" s="566">
        <f t="shared" si="18"/>
        <v>40512</v>
      </c>
      <c r="C27" s="271">
        <f t="shared" si="7"/>
        <v>0</v>
      </c>
      <c r="D27" s="318">
        <f t="shared" si="8"/>
        <v>0</v>
      </c>
      <c r="E27" s="318">
        <f t="shared" si="11"/>
        <v>40512</v>
      </c>
      <c r="F27" s="566">
        <f t="shared" si="13"/>
        <v>6616</v>
      </c>
      <c r="G27" s="161">
        <f t="shared" si="0"/>
        <v>0</v>
      </c>
      <c r="H27" s="566">
        <f t="shared" si="13"/>
        <v>18520</v>
      </c>
      <c r="I27" s="162">
        <f t="shared" si="1"/>
        <v>0</v>
      </c>
      <c r="J27" s="566">
        <f t="shared" si="13"/>
        <v>15377</v>
      </c>
      <c r="K27" s="163">
        <f t="shared" si="2"/>
        <v>0</v>
      </c>
      <c r="L27" s="306">
        <f t="shared" si="14"/>
        <v>0</v>
      </c>
      <c r="M27" s="306">
        <f t="shared" si="15"/>
        <v>0</v>
      </c>
      <c r="N27" s="306">
        <f t="shared" si="16"/>
        <v>0</v>
      </c>
      <c r="O27" s="306">
        <f t="shared" si="17"/>
        <v>95.977883913764515</v>
      </c>
      <c r="P27" s="307">
        <f t="shared" si="9"/>
        <v>95.977883913764515</v>
      </c>
      <c r="Q27" s="307">
        <f>SUM(-tanks!AX28*tanks!$AU$36)</f>
        <v>0</v>
      </c>
      <c r="R27" s="307">
        <f t="shared" si="10"/>
        <v>95.977883913764515</v>
      </c>
      <c r="S27" s="309">
        <f>SUM(ELEC!N25)</f>
        <v>0</v>
      </c>
      <c r="T27" s="346">
        <f t="shared" si="12"/>
        <v>0</v>
      </c>
      <c r="V27" s="260">
        <f>W9</f>
        <v>17335141</v>
      </c>
      <c r="W27" s="171">
        <f>J14</f>
        <v>17357710</v>
      </c>
      <c r="X27" s="173" t="s">
        <v>199</v>
      </c>
      <c r="Y27" s="173">
        <v>80</v>
      </c>
      <c r="Z27" s="173">
        <v>1</v>
      </c>
      <c r="AA27" s="200">
        <f>(W27-V27)*Z27</f>
        <v>22569</v>
      </c>
      <c r="AB27" s="200">
        <f>AA27*Y27</f>
        <v>1805520</v>
      </c>
      <c r="AC27" s="255">
        <f>AC9</f>
        <v>1033333</v>
      </c>
      <c r="AD27" s="216">
        <f>SUM(K38)</f>
        <v>0.35625363801941534</v>
      </c>
    </row>
    <row r="28" spans="1:32">
      <c r="A28" s="164">
        <f>ELEC!C26</f>
        <v>44006</v>
      </c>
      <c r="B28" s="566">
        <f t="shared" si="18"/>
        <v>40512</v>
      </c>
      <c r="C28" s="271">
        <f t="shared" si="7"/>
        <v>0</v>
      </c>
      <c r="D28" s="318">
        <f t="shared" si="8"/>
        <v>0</v>
      </c>
      <c r="E28" s="318">
        <f t="shared" si="11"/>
        <v>40512</v>
      </c>
      <c r="F28" s="566">
        <f t="shared" si="13"/>
        <v>6616</v>
      </c>
      <c r="G28" s="161">
        <f t="shared" si="0"/>
        <v>0</v>
      </c>
      <c r="H28" s="566">
        <f t="shared" si="13"/>
        <v>18520</v>
      </c>
      <c r="I28" s="162">
        <f t="shared" si="1"/>
        <v>0</v>
      </c>
      <c r="J28" s="566">
        <f t="shared" si="13"/>
        <v>15377</v>
      </c>
      <c r="K28" s="163">
        <f t="shared" si="2"/>
        <v>0</v>
      </c>
      <c r="L28" s="306">
        <f t="shared" si="14"/>
        <v>0</v>
      </c>
      <c r="M28" s="306">
        <f t="shared" si="15"/>
        <v>0</v>
      </c>
      <c r="N28" s="306">
        <f t="shared" si="16"/>
        <v>0</v>
      </c>
      <c r="O28" s="306">
        <f t="shared" si="17"/>
        <v>95.977883913764515</v>
      </c>
      <c r="P28" s="307">
        <f t="shared" si="9"/>
        <v>95.977883913764515</v>
      </c>
      <c r="Q28" s="307">
        <f>SUM(-tanks!AX29*tanks!$AU$36)</f>
        <v>0</v>
      </c>
      <c r="R28" s="307">
        <f t="shared" si="10"/>
        <v>95.977883913764515</v>
      </c>
      <c r="S28" s="309">
        <f>SUM(ELEC!N26)</f>
        <v>0</v>
      </c>
      <c r="T28" s="346">
        <f t="shared" si="12"/>
        <v>0</v>
      </c>
      <c r="V28" s="260">
        <f>W10</f>
        <v>24624749</v>
      </c>
      <c r="W28" s="171">
        <f>H14</f>
        <v>24659259</v>
      </c>
      <c r="X28" s="173" t="s">
        <v>213</v>
      </c>
      <c r="Y28" s="173">
        <v>112</v>
      </c>
      <c r="Z28" s="173">
        <v>1</v>
      </c>
      <c r="AA28" s="200">
        <f>(W28-V28)*Z28</f>
        <v>34510</v>
      </c>
      <c r="AB28" s="200">
        <f>SUM(AA28*Y28)</f>
        <v>3865120</v>
      </c>
      <c r="AC28" s="255">
        <f>AC10</f>
        <v>6200000</v>
      </c>
      <c r="AD28" s="216">
        <f>SUM(I38)</f>
        <v>0.49786882475543126</v>
      </c>
    </row>
    <row r="29" spans="1:32">
      <c r="A29" s="164">
        <f>ELEC!C27</f>
        <v>44007</v>
      </c>
      <c r="B29" s="566">
        <f t="shared" si="18"/>
        <v>40512</v>
      </c>
      <c r="C29" s="271">
        <f t="shared" si="7"/>
        <v>0</v>
      </c>
      <c r="D29" s="318">
        <f t="shared" si="8"/>
        <v>0</v>
      </c>
      <c r="E29" s="318">
        <f t="shared" si="11"/>
        <v>40512</v>
      </c>
      <c r="F29" s="566">
        <f t="shared" si="13"/>
        <v>6616</v>
      </c>
      <c r="G29" s="161">
        <f t="shared" si="0"/>
        <v>0</v>
      </c>
      <c r="H29" s="566">
        <f t="shared" si="13"/>
        <v>18520</v>
      </c>
      <c r="I29" s="162">
        <f t="shared" si="1"/>
        <v>0</v>
      </c>
      <c r="J29" s="566">
        <f t="shared" si="13"/>
        <v>15377</v>
      </c>
      <c r="K29" s="163">
        <f t="shared" si="2"/>
        <v>0</v>
      </c>
      <c r="L29" s="306">
        <f t="shared" si="14"/>
        <v>0</v>
      </c>
      <c r="M29" s="306">
        <f t="shared" si="15"/>
        <v>0</v>
      </c>
      <c r="N29" s="306">
        <f t="shared" si="16"/>
        <v>0</v>
      </c>
      <c r="O29" s="306">
        <f t="shared" si="17"/>
        <v>95.977883913764515</v>
      </c>
      <c r="P29" s="307">
        <f t="shared" si="9"/>
        <v>95.977883913764515</v>
      </c>
      <c r="Q29" s="307">
        <f>SUM(-tanks!AX30*tanks!$AU$36)</f>
        <v>0</v>
      </c>
      <c r="R29" s="307">
        <f t="shared" si="10"/>
        <v>95.977883913764515</v>
      </c>
      <c r="S29" s="309">
        <f>SUM(ELEC!N27)</f>
        <v>0</v>
      </c>
      <c r="T29" s="346">
        <f t="shared" si="12"/>
        <v>0</v>
      </c>
      <c r="V29" s="260">
        <f>W11</f>
        <v>8028763</v>
      </c>
      <c r="W29" s="171">
        <f>F14</f>
        <v>8037688</v>
      </c>
      <c r="X29" s="173" t="s">
        <v>197</v>
      </c>
      <c r="Y29" s="173">
        <v>320</v>
      </c>
      <c r="Z29" s="173">
        <v>1</v>
      </c>
      <c r="AA29" s="200">
        <f>(W29-V29)*Z29</f>
        <v>8925</v>
      </c>
      <c r="AB29" s="200">
        <f>SUM(AA29*Y29)</f>
        <v>2856000</v>
      </c>
      <c r="AC29" s="255">
        <f>AC11</f>
        <v>1000</v>
      </c>
      <c r="AD29" s="216">
        <f>SUM(G38)</f>
        <v>0.14590570253675575</v>
      </c>
      <c r="AE29" s="40">
        <f>SUM(AB29*5%)</f>
        <v>142800</v>
      </c>
      <c r="AF29" s="83">
        <f>SUM(AE29/7)*31</f>
        <v>632400</v>
      </c>
    </row>
    <row r="30" spans="1:32">
      <c r="A30" s="164">
        <f>ELEC!C28</f>
        <v>44008</v>
      </c>
      <c r="B30" s="566">
        <f t="shared" si="18"/>
        <v>40512</v>
      </c>
      <c r="C30" s="271">
        <f t="shared" si="7"/>
        <v>0</v>
      </c>
      <c r="D30" s="318">
        <f t="shared" si="8"/>
        <v>0</v>
      </c>
      <c r="E30" s="318">
        <f t="shared" si="11"/>
        <v>40512</v>
      </c>
      <c r="F30" s="566">
        <f t="shared" si="13"/>
        <v>6616</v>
      </c>
      <c r="G30" s="161">
        <f t="shared" si="0"/>
        <v>0</v>
      </c>
      <c r="H30" s="566">
        <f t="shared" si="13"/>
        <v>18520</v>
      </c>
      <c r="I30" s="162">
        <f t="shared" si="1"/>
        <v>0</v>
      </c>
      <c r="J30" s="566">
        <f t="shared" si="13"/>
        <v>15377</v>
      </c>
      <c r="K30" s="163">
        <f t="shared" si="2"/>
        <v>0</v>
      </c>
      <c r="L30" s="306">
        <f t="shared" si="14"/>
        <v>0</v>
      </c>
      <c r="M30" s="306">
        <f t="shared" si="15"/>
        <v>0</v>
      </c>
      <c r="N30" s="306">
        <f t="shared" si="16"/>
        <v>0</v>
      </c>
      <c r="O30" s="306">
        <f t="shared" si="17"/>
        <v>95.977883913764515</v>
      </c>
      <c r="P30" s="307">
        <f t="shared" si="9"/>
        <v>95.977883913764515</v>
      </c>
      <c r="Q30" s="307">
        <f>SUM(-tanks!AX31*tanks!$AU$36)</f>
        <v>0</v>
      </c>
      <c r="R30" s="307">
        <f t="shared" si="10"/>
        <v>95.977883913764515</v>
      </c>
      <c r="S30" s="309">
        <f>SUM(ELEC!N28)</f>
        <v>0</v>
      </c>
      <c r="T30" s="346">
        <f t="shared" si="12"/>
        <v>0</v>
      </c>
      <c r="V30" s="217"/>
      <c r="W30" s="218"/>
      <c r="X30" s="218"/>
      <c r="Y30" s="219"/>
      <c r="Z30" s="3"/>
      <c r="AA30" s="295">
        <f>SUM(AA27:AA29)</f>
        <v>66004</v>
      </c>
      <c r="AB30" s="200"/>
      <c r="AC30" s="255"/>
    </row>
    <row r="31" spans="1:32" ht="14.25" customHeight="1">
      <c r="A31" s="164">
        <f>ELEC!C29</f>
        <v>44009</v>
      </c>
      <c r="B31" s="566">
        <f t="shared" si="18"/>
        <v>40512</v>
      </c>
      <c r="C31" s="271">
        <f t="shared" si="7"/>
        <v>0</v>
      </c>
      <c r="D31" s="318">
        <f t="shared" si="8"/>
        <v>0</v>
      </c>
      <c r="E31" s="318">
        <f t="shared" si="11"/>
        <v>40512</v>
      </c>
      <c r="F31" s="566">
        <f t="shared" si="13"/>
        <v>6616</v>
      </c>
      <c r="G31" s="161">
        <f t="shared" si="0"/>
        <v>0</v>
      </c>
      <c r="H31" s="566">
        <f t="shared" si="13"/>
        <v>18520</v>
      </c>
      <c r="I31" s="162">
        <f t="shared" si="1"/>
        <v>0</v>
      </c>
      <c r="J31" s="566">
        <f t="shared" si="13"/>
        <v>15377</v>
      </c>
      <c r="K31" s="163">
        <f t="shared" si="2"/>
        <v>0</v>
      </c>
      <c r="L31" s="306">
        <f t="shared" si="14"/>
        <v>0</v>
      </c>
      <c r="M31" s="306">
        <f t="shared" si="15"/>
        <v>0</v>
      </c>
      <c r="N31" s="306">
        <f t="shared" si="16"/>
        <v>0</v>
      </c>
      <c r="O31" s="306">
        <f t="shared" si="17"/>
        <v>95.977883913764515</v>
      </c>
      <c r="P31" s="307">
        <f t="shared" si="9"/>
        <v>95.977883913764515</v>
      </c>
      <c r="Q31" s="307">
        <f>SUM(-tanks!AX32*tanks!$AU$36)</f>
        <v>0</v>
      </c>
      <c r="R31" s="307">
        <f t="shared" si="10"/>
        <v>95.977883913764515</v>
      </c>
      <c r="S31" s="309">
        <f>SUM(ELEC!N29)</f>
        <v>0</v>
      </c>
      <c r="T31" s="346">
        <f t="shared" si="12"/>
        <v>0</v>
      </c>
      <c r="V31" s="220" t="s">
        <v>317</v>
      </c>
      <c r="W31" s="459">
        <f>'General information '!F36</f>
        <v>1.8072222222222222E-2</v>
      </c>
      <c r="X31" s="221"/>
      <c r="Y31" s="222" t="s">
        <v>333</v>
      </c>
      <c r="Z31" s="3"/>
      <c r="AA31" s="295"/>
      <c r="AB31" s="200">
        <f>SUM(AB27:AB30)</f>
        <v>8526640</v>
      </c>
      <c r="AC31" s="255">
        <f>SUM(AC27:AC30)/A39*A37</f>
        <v>4340599.8</v>
      </c>
    </row>
    <row r="32" spans="1:32">
      <c r="A32" s="164">
        <f>ELEC!C30</f>
        <v>44010</v>
      </c>
      <c r="B32" s="566">
        <f t="shared" si="18"/>
        <v>40512</v>
      </c>
      <c r="C32" s="271">
        <f t="shared" si="7"/>
        <v>0</v>
      </c>
      <c r="D32" s="318">
        <f t="shared" si="8"/>
        <v>0</v>
      </c>
      <c r="E32" s="318">
        <f t="shared" si="11"/>
        <v>40512</v>
      </c>
      <c r="F32" s="566">
        <f t="shared" si="13"/>
        <v>6616</v>
      </c>
      <c r="G32" s="161">
        <f t="shared" si="0"/>
        <v>0</v>
      </c>
      <c r="H32" s="566">
        <f t="shared" si="13"/>
        <v>18520</v>
      </c>
      <c r="I32" s="162">
        <f t="shared" si="1"/>
        <v>0</v>
      </c>
      <c r="J32" s="566">
        <f t="shared" si="13"/>
        <v>15377</v>
      </c>
      <c r="K32" s="163">
        <f t="shared" si="2"/>
        <v>0</v>
      </c>
      <c r="L32" s="306">
        <f t="shared" si="14"/>
        <v>0</v>
      </c>
      <c r="M32" s="306">
        <f t="shared" si="15"/>
        <v>0</v>
      </c>
      <c r="N32" s="306">
        <f t="shared" si="16"/>
        <v>0</v>
      </c>
      <c r="O32" s="306">
        <f t="shared" si="17"/>
        <v>95.977883913764515</v>
      </c>
      <c r="P32" s="307">
        <f t="shared" si="9"/>
        <v>95.977883913764515</v>
      </c>
      <c r="Q32" s="307">
        <f>SUM(-tanks!AX33*tanks!$AU$36)</f>
        <v>0</v>
      </c>
      <c r="R32" s="307">
        <f t="shared" si="10"/>
        <v>95.977883913764515</v>
      </c>
      <c r="S32" s="309">
        <f>SUM(ELEC!N30)</f>
        <v>0</v>
      </c>
      <c r="T32" s="346">
        <f t="shared" si="12"/>
        <v>0</v>
      </c>
      <c r="V32" s="220" t="s">
        <v>318</v>
      </c>
      <c r="W32" s="221">
        <f>SUM(GEN!U33)</f>
        <v>96</v>
      </c>
      <c r="X32" s="226">
        <f>SUM(W32/A37)</f>
        <v>5.333333333333333</v>
      </c>
      <c r="Y32" s="267">
        <f>SUM(X32/2)</f>
        <v>2.6666666666666665</v>
      </c>
      <c r="Z32" s="3"/>
      <c r="AA32" s="3"/>
      <c r="AB32" s="593">
        <f>SUM(AB31+AC32)+AB56</f>
        <v>18288759.800000001</v>
      </c>
      <c r="AC32" s="255">
        <f>SUM(AC31)</f>
        <v>4340599.8</v>
      </c>
    </row>
    <row r="33" spans="1:29">
      <c r="A33" s="164">
        <f>ELEC!C31</f>
        <v>44011</v>
      </c>
      <c r="B33" s="566">
        <f t="shared" si="18"/>
        <v>40512</v>
      </c>
      <c r="C33" s="271">
        <f t="shared" si="7"/>
        <v>0</v>
      </c>
      <c r="D33" s="318">
        <f t="shared" si="8"/>
        <v>0</v>
      </c>
      <c r="E33" s="318">
        <f t="shared" si="11"/>
        <v>40512</v>
      </c>
      <c r="F33" s="566">
        <f t="shared" si="13"/>
        <v>6616</v>
      </c>
      <c r="G33" s="161">
        <f t="shared" si="0"/>
        <v>0</v>
      </c>
      <c r="H33" s="566">
        <f t="shared" si="13"/>
        <v>18520</v>
      </c>
      <c r="I33" s="162">
        <f t="shared" si="1"/>
        <v>0</v>
      </c>
      <c r="J33" s="566">
        <f t="shared" si="13"/>
        <v>15377</v>
      </c>
      <c r="K33" s="163">
        <f t="shared" si="2"/>
        <v>0</v>
      </c>
      <c r="L33" s="306">
        <f t="shared" si="14"/>
        <v>0</v>
      </c>
      <c r="M33" s="306">
        <f t="shared" si="15"/>
        <v>0</v>
      </c>
      <c r="N33" s="306">
        <f t="shared" si="16"/>
        <v>0</v>
      </c>
      <c r="O33" s="306">
        <f t="shared" si="17"/>
        <v>95.977883913764515</v>
      </c>
      <c r="P33" s="307">
        <f t="shared" si="9"/>
        <v>95.977883913764515</v>
      </c>
      <c r="Q33" s="307">
        <f>SUM(-tanks!AX34*tanks!$AU$36)</f>
        <v>0</v>
      </c>
      <c r="R33" s="307">
        <f t="shared" si="10"/>
        <v>95.977883913764515</v>
      </c>
      <c r="S33" s="309">
        <f>SUM(ELEC!N31)</f>
        <v>0</v>
      </c>
      <c r="T33" s="346">
        <f t="shared" si="12"/>
        <v>0</v>
      </c>
      <c r="V33" s="220" t="s">
        <v>319</v>
      </c>
      <c r="W33" s="221">
        <f>SUM('Degree Days 2020'!J81)</f>
        <v>-549.00000000000011</v>
      </c>
      <c r="X33" s="221"/>
      <c r="Y33" s="222"/>
      <c r="Z33" s="3"/>
      <c r="AA33" s="3"/>
      <c r="AB33" s="3"/>
      <c r="AC33" s="174"/>
    </row>
    <row r="34" spans="1:29">
      <c r="A34" s="164">
        <f>ELEC!C32</f>
        <v>44012</v>
      </c>
      <c r="B34" s="566">
        <f t="shared" si="18"/>
        <v>40512</v>
      </c>
      <c r="C34" s="271">
        <f t="shared" si="7"/>
        <v>0</v>
      </c>
      <c r="D34" s="318">
        <f t="shared" si="8"/>
        <v>0</v>
      </c>
      <c r="E34" s="318">
        <f t="shared" si="11"/>
        <v>40512</v>
      </c>
      <c r="F34" s="566">
        <f t="shared" si="13"/>
        <v>6616</v>
      </c>
      <c r="G34" s="161">
        <f>F34-F33</f>
        <v>0</v>
      </c>
      <c r="H34" s="566">
        <f t="shared" si="13"/>
        <v>18520</v>
      </c>
      <c r="I34" s="162">
        <f t="shared" si="1"/>
        <v>0</v>
      </c>
      <c r="J34" s="566">
        <f t="shared" si="13"/>
        <v>15377</v>
      </c>
      <c r="K34" s="163">
        <f t="shared" si="2"/>
        <v>0</v>
      </c>
      <c r="L34" s="306">
        <f t="shared" si="14"/>
        <v>0</v>
      </c>
      <c r="M34" s="306">
        <f t="shared" si="15"/>
        <v>0</v>
      </c>
      <c r="N34" s="306">
        <f t="shared" si="16"/>
        <v>0</v>
      </c>
      <c r="O34" s="306">
        <f t="shared" si="17"/>
        <v>95.977883913764515</v>
      </c>
      <c r="P34" s="307">
        <f>SUM(L34:O34)</f>
        <v>95.977883913764515</v>
      </c>
      <c r="Q34" s="307">
        <f>SUM(-tanks!AX35*tanks!$AU$36)</f>
        <v>0</v>
      </c>
      <c r="R34" s="307">
        <f>SUM(P34:Q34)</f>
        <v>95.977883913764515</v>
      </c>
      <c r="S34" s="309">
        <f>SUM(ELEC!N32)</f>
        <v>0</v>
      </c>
      <c r="T34" s="346">
        <f>IF(S34&gt;0,R34/S34,0)</f>
        <v>0</v>
      </c>
      <c r="V34" s="220" t="s">
        <v>320</v>
      </c>
      <c r="W34" s="221">
        <f>SUM('Degree Days 2020'!K81)</f>
        <v>0</v>
      </c>
      <c r="X34" s="221"/>
      <c r="Y34" s="222"/>
      <c r="Z34" s="3"/>
      <c r="AA34" s="3"/>
      <c r="AB34" s="3"/>
      <c r="AC34" s="174"/>
    </row>
    <row r="35" spans="1:29">
      <c r="A35" s="569"/>
      <c r="B35" s="570"/>
      <c r="C35" s="571"/>
      <c r="D35" s="570"/>
      <c r="E35" s="570"/>
      <c r="F35" s="570"/>
      <c r="G35" s="570"/>
      <c r="H35" s="570"/>
      <c r="I35" s="570"/>
      <c r="J35" s="570"/>
      <c r="K35" s="570"/>
      <c r="L35" s="572"/>
      <c r="M35" s="572"/>
      <c r="N35" s="572"/>
      <c r="O35" s="572"/>
      <c r="P35" s="573"/>
      <c r="Q35" s="573"/>
      <c r="R35" s="573"/>
      <c r="S35" s="574"/>
      <c r="T35" s="575"/>
      <c r="V35" s="220"/>
      <c r="W35" s="221"/>
      <c r="X35" s="221"/>
      <c r="Y35" s="221"/>
      <c r="Z35" s="3"/>
      <c r="AA35" s="3"/>
      <c r="AB35" s="3"/>
      <c r="AC35" s="247"/>
    </row>
    <row r="36" spans="1:29">
      <c r="A36" s="569"/>
      <c r="B36" s="570"/>
      <c r="C36" s="571"/>
      <c r="D36" s="571"/>
      <c r="E36" s="571"/>
      <c r="F36" s="570"/>
      <c r="G36" s="570"/>
      <c r="H36" s="570"/>
      <c r="I36" s="570"/>
      <c r="J36" s="570"/>
      <c r="K36" s="576"/>
      <c r="L36" s="573"/>
      <c r="M36" s="573"/>
      <c r="N36" s="573"/>
      <c r="O36" s="573"/>
      <c r="P36" s="574"/>
      <c r="Q36" s="574"/>
      <c r="R36" s="574"/>
      <c r="S36" s="574"/>
      <c r="T36" s="575"/>
      <c r="V36" s="259"/>
      <c r="W36" s="17"/>
      <c r="X36" s="17"/>
      <c r="Y36" s="17"/>
      <c r="Z36" s="3" t="s">
        <v>214</v>
      </c>
      <c r="AA36" s="286">
        <v>0.11</v>
      </c>
      <c r="AB36" s="301">
        <f>SUM(AB32*AA36)</f>
        <v>2011763.578</v>
      </c>
      <c r="AC36" s="288"/>
    </row>
    <row r="37" spans="1:29" ht="15.75" thickBot="1">
      <c r="A37" s="568">
        <f>A39-COUNTIF(C4:C35,0)</f>
        <v>18</v>
      </c>
      <c r="C37" s="177">
        <f>SUM(C4:C35)/A37</f>
        <v>5917.4444444444443</v>
      </c>
      <c r="D37" s="177"/>
      <c r="E37" s="177"/>
      <c r="G37" s="177">
        <f>SUM(G4:G35)/A37</f>
        <v>863.38888888888891</v>
      </c>
      <c r="I37" s="177">
        <f>SUM(I4:I35)/A37</f>
        <v>2946.1111111111113</v>
      </c>
      <c r="K37" s="177">
        <f>SUM(K4:K36)/A37</f>
        <v>2108.1111111111113</v>
      </c>
      <c r="L37" s="177">
        <f>SUM(L36*1507.5)</f>
        <v>0</v>
      </c>
      <c r="M37" s="177">
        <f>SUM(M36*1507.5)</f>
        <v>0</v>
      </c>
      <c r="N37" s="177">
        <f>SUM(N36*1507.5)</f>
        <v>0</v>
      </c>
      <c r="O37" s="177">
        <f>SUM(O36*1507.5)</f>
        <v>0</v>
      </c>
      <c r="P37" s="177"/>
      <c r="Q37" s="177"/>
      <c r="R37" s="177"/>
      <c r="S37" s="310"/>
      <c r="V37" s="233"/>
      <c r="W37" s="234"/>
      <c r="X37" s="234"/>
      <c r="Y37" s="234"/>
      <c r="Z37" s="3"/>
      <c r="AA37" s="45"/>
      <c r="AB37" s="301">
        <f>SUM(AB32+AB36)</f>
        <v>20300523.378000002</v>
      </c>
      <c r="AC37" s="288"/>
    </row>
    <row r="38" spans="1:29" ht="15.75" thickBot="1">
      <c r="A38" s="214"/>
      <c r="C38" s="216">
        <f>SUM(G38:K38)</f>
        <v>1.0000281653116023</v>
      </c>
      <c r="G38" s="229">
        <f>IF(C37&gt;0,G37/C37,0)</f>
        <v>0.14590570253675575</v>
      </c>
      <c r="H38" s="216"/>
      <c r="I38" s="229">
        <f>SUM(I37/C37)</f>
        <v>0.49786882475543126</v>
      </c>
      <c r="J38" s="216"/>
      <c r="K38" s="229">
        <f>SUM(K37/C37)</f>
        <v>0.35625363801941534</v>
      </c>
      <c r="L38" s="229"/>
      <c r="M38" s="229"/>
      <c r="N38" s="229"/>
      <c r="O38" s="229"/>
      <c r="P38" s="229"/>
      <c r="Q38" s="229"/>
      <c r="R38" s="229"/>
      <c r="S38" s="311"/>
      <c r="V38" s="233"/>
      <c r="W38" s="234"/>
      <c r="X38" s="234"/>
      <c r="Y38" s="234"/>
      <c r="Z38" s="234"/>
      <c r="AA38" s="234" t="s">
        <v>215</v>
      </c>
      <c r="AB38" s="301">
        <f>SUM(AB32/1507.5)</f>
        <v>12131.847296849088</v>
      </c>
      <c r="AC38" s="288"/>
    </row>
    <row r="39" spans="1:29" ht="15.75" thickBot="1">
      <c r="A39">
        <v>30</v>
      </c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V39" s="283"/>
      <c r="W39" s="223"/>
      <c r="X39" s="223"/>
      <c r="Y39" s="224"/>
      <c r="Z39" s="175"/>
      <c r="AA39" s="175"/>
      <c r="AB39" s="263"/>
      <c r="AC39" s="176"/>
    </row>
    <row r="40" spans="1:29">
      <c r="V40" s="221"/>
      <c r="W40" s="83">
        <f>AC31/1507.5</f>
        <v>2879.3365174129353</v>
      </c>
      <c r="Z40" s="40"/>
      <c r="AA40" s="302" t="s">
        <v>215</v>
      </c>
      <c r="AB40" s="303">
        <f>SUM(AB38)</f>
        <v>12131.847296849088</v>
      </c>
    </row>
    <row r="41" spans="1:29">
      <c r="V41" s="221"/>
      <c r="W41" s="83">
        <f>(AB31+AB56)/1507.5</f>
        <v>9252.510779436152</v>
      </c>
      <c r="X41" s="594"/>
      <c r="Z41" s="304">
        <f>SUM(AB40)</f>
        <v>12131.847296849088</v>
      </c>
      <c r="AA41" s="303"/>
      <c r="AB41" s="303"/>
    </row>
    <row r="42" spans="1:29">
      <c r="V42" s="17"/>
      <c r="W42" s="83">
        <f>SUM(W40:W41)</f>
        <v>12131.847296849088</v>
      </c>
      <c r="X42" s="594"/>
      <c r="Y42" s="83"/>
      <c r="Z42" s="304">
        <f>SUM(-tanks!AX36)*tanks!AU36</f>
        <v>5564.3578887096819</v>
      </c>
      <c r="AA42" s="102">
        <f>SUM(AB32/A37)</f>
        <v>1016042.2111111111</v>
      </c>
      <c r="AB42" s="361">
        <f>SUM(AA42*A39)</f>
        <v>30481266.333333332</v>
      </c>
    </row>
    <row r="43" spans="1:29" ht="18.75">
      <c r="W43" s="83">
        <f>(AB31+AB56)/1507.5</f>
        <v>9252.510779436152</v>
      </c>
      <c r="Z43" s="284">
        <f>SUM(Z41:Z42)</f>
        <v>17696.205185558771</v>
      </c>
      <c r="AA43" s="303">
        <f>SUM(AA42/1507.5)</f>
        <v>673.99151649161604</v>
      </c>
      <c r="AB43" s="360">
        <f>SUM(AB42/1507.5)</f>
        <v>20219.74549474848</v>
      </c>
    </row>
    <row r="44" spans="1:29">
      <c r="D44" s="540"/>
      <c r="E44" s="540"/>
      <c r="F44" s="540"/>
      <c r="W44" s="83">
        <f>SUM(W42:W43)</f>
        <v>21384.35807628524</v>
      </c>
      <c r="Z44" s="305" t="e">
        <f>SUM(ELEC!#REF!)</f>
        <v>#REF!</v>
      </c>
    </row>
    <row r="45" spans="1:29">
      <c r="Z45" s="303" t="e">
        <f>Z43/Z44</f>
        <v>#REF!</v>
      </c>
    </row>
    <row r="46" spans="1:29" ht="15.75" thickBot="1">
      <c r="V46" t="s">
        <v>415</v>
      </c>
    </row>
    <row r="47" spans="1:29">
      <c r="V47" s="167" t="s">
        <v>201</v>
      </c>
      <c r="W47" s="168">
        <v>44002</v>
      </c>
      <c r="X47" s="169"/>
      <c r="Y47" s="169"/>
      <c r="Z47" s="170" t="s">
        <v>202</v>
      </c>
      <c r="AA47" s="169"/>
      <c r="AB47" s="674"/>
      <c r="AC47" s="675"/>
    </row>
    <row r="48" spans="1:29">
      <c r="V48" s="680"/>
      <c r="W48" s="681"/>
      <c r="X48" s="681"/>
      <c r="Y48" s="682"/>
      <c r="Z48" s="26" t="s">
        <v>203</v>
      </c>
      <c r="AA48" s="26">
        <v>5000</v>
      </c>
      <c r="AB48" s="676"/>
      <c r="AC48" s="677"/>
    </row>
    <row r="49" spans="22:32">
      <c r="V49" s="683"/>
      <c r="W49" s="684"/>
      <c r="X49" s="684"/>
      <c r="Y49" s="685"/>
      <c r="Z49" s="686"/>
      <c r="AA49" s="687"/>
      <c r="AB49" s="676"/>
      <c r="AC49" s="677"/>
    </row>
    <row r="50" spans="22:32">
      <c r="V50" s="688" t="s">
        <v>204</v>
      </c>
      <c r="W50" s="689"/>
      <c r="X50" s="690" t="s">
        <v>205</v>
      </c>
      <c r="Y50" s="691"/>
      <c r="Z50" s="692"/>
      <c r="AA50" s="171"/>
      <c r="AB50" s="678"/>
      <c r="AC50" s="679"/>
    </row>
    <row r="51" spans="22:32">
      <c r="V51" s="253" t="s">
        <v>206</v>
      </c>
      <c r="W51" s="254" t="s">
        <v>207</v>
      </c>
      <c r="X51" s="254"/>
      <c r="Y51" s="254" t="s">
        <v>208</v>
      </c>
      <c r="Z51" s="254" t="s">
        <v>209</v>
      </c>
      <c r="AA51" s="254" t="s">
        <v>210</v>
      </c>
      <c r="AB51" s="254" t="s">
        <v>211</v>
      </c>
      <c r="AC51" s="172" t="s">
        <v>212</v>
      </c>
    </row>
    <row r="52" spans="22:32">
      <c r="V52" s="260">
        <f>W34</f>
        <v>0</v>
      </c>
      <c r="W52" s="171">
        <f>J34</f>
        <v>15377</v>
      </c>
      <c r="X52" s="173" t="s">
        <v>199</v>
      </c>
      <c r="Y52" s="173">
        <v>80</v>
      </c>
      <c r="Z52" s="173">
        <v>1</v>
      </c>
      <c r="AA52" s="348">
        <f>(W52-V52)*Z52</f>
        <v>15377</v>
      </c>
      <c r="AB52" s="348">
        <f>AA52*Y52</f>
        <v>1230160</v>
      </c>
      <c r="AC52" s="255">
        <f>AC9</f>
        <v>1033333</v>
      </c>
      <c r="AD52" s="216">
        <f>SUM(K63)</f>
        <v>0</v>
      </c>
    </row>
    <row r="53" spans="22:32">
      <c r="V53" s="260">
        <f>W35</f>
        <v>0</v>
      </c>
      <c r="W53" s="171">
        <f>H34</f>
        <v>18520</v>
      </c>
      <c r="X53" s="173" t="s">
        <v>213</v>
      </c>
      <c r="Y53" s="173">
        <v>112</v>
      </c>
      <c r="Z53" s="173">
        <v>1</v>
      </c>
      <c r="AA53" s="348">
        <f>(W53-V53)*Z53</f>
        <v>18520</v>
      </c>
      <c r="AB53" s="348">
        <f>SUM(AA53*Y53)</f>
        <v>2074240</v>
      </c>
      <c r="AC53" s="255">
        <f t="shared" ref="AC53:AC54" si="19">AC10</f>
        <v>6200000</v>
      </c>
      <c r="AD53" s="216">
        <f>SUM(I63)</f>
        <v>0</v>
      </c>
    </row>
    <row r="54" spans="22:32">
      <c r="V54" s="260">
        <f>W36</f>
        <v>0</v>
      </c>
      <c r="W54" s="171">
        <f>F34</f>
        <v>6616</v>
      </c>
      <c r="X54" s="173" t="s">
        <v>197</v>
      </c>
      <c r="Y54" s="173">
        <v>320</v>
      </c>
      <c r="Z54" s="173">
        <v>1</v>
      </c>
      <c r="AA54" s="348">
        <f>(W54-V54)*Z54</f>
        <v>6616</v>
      </c>
      <c r="AB54" s="348">
        <f>SUM(AA54*Y54)</f>
        <v>2117120</v>
      </c>
      <c r="AC54" s="255">
        <f t="shared" si="19"/>
        <v>1000</v>
      </c>
      <c r="AD54" s="216">
        <f>SUM(G63)</f>
        <v>0</v>
      </c>
      <c r="AE54" s="40">
        <f>SUM(AB54*5%)</f>
        <v>105856</v>
      </c>
      <c r="AF54" s="83">
        <f>SUM(AE54/7)*31</f>
        <v>468790.8571428571</v>
      </c>
    </row>
    <row r="55" spans="22:32">
      <c r="V55" s="217"/>
      <c r="W55" s="218"/>
      <c r="X55" s="218"/>
      <c r="Y55" s="219"/>
      <c r="Z55" s="3"/>
      <c r="AA55" s="348">
        <f>SUM(AA52:AA54)</f>
        <v>40513</v>
      </c>
      <c r="AB55" s="348"/>
      <c r="AC55" s="255"/>
    </row>
    <row r="56" spans="22:32">
      <c r="V56" s="220" t="s">
        <v>317</v>
      </c>
      <c r="W56" s="459">
        <f>'General information '!F36</f>
        <v>1.8072222222222222E-2</v>
      </c>
      <c r="X56" s="221"/>
      <c r="Y56" s="222" t="s">
        <v>333</v>
      </c>
      <c r="Z56" s="3"/>
      <c r="AA56" s="348"/>
      <c r="AB56" s="593">
        <f>SUM(AB52:AB55)</f>
        <v>5421520</v>
      </c>
      <c r="AC56" s="255">
        <f>SUM(AC52:AC55)/A39*A37</f>
        <v>4340599.8</v>
      </c>
    </row>
    <row r="57" spans="22:32">
      <c r="V57" s="220" t="s">
        <v>318</v>
      </c>
      <c r="W57" s="221">
        <f>GEN!Z33</f>
        <v>96</v>
      </c>
      <c r="X57" s="226">
        <f>SUM(W57/A37)</f>
        <v>5.333333333333333</v>
      </c>
      <c r="Y57" s="267">
        <f>SUM(X57/2)</f>
        <v>2.6666666666666665</v>
      </c>
      <c r="Z57" s="3"/>
      <c r="AA57" s="3"/>
      <c r="AB57" s="348">
        <f>SUM(AB56+AC57)</f>
        <v>9762119.8000000007</v>
      </c>
      <c r="AC57" s="255">
        <f>SUM(AC56)</f>
        <v>4340599.8</v>
      </c>
    </row>
    <row r="58" spans="22:32">
      <c r="V58" s="220" t="s">
        <v>319</v>
      </c>
      <c r="W58" s="221">
        <f>'Degree Days 2020'!V43</f>
        <v>-237.90000000000006</v>
      </c>
      <c r="X58" s="221"/>
      <c r="Y58" s="222"/>
      <c r="Z58" s="3"/>
      <c r="AA58" s="3"/>
      <c r="AB58" s="3"/>
      <c r="AC58" s="174"/>
    </row>
    <row r="59" spans="22:32">
      <c r="V59" s="220" t="s">
        <v>320</v>
      </c>
      <c r="W59" s="221">
        <f>'Degree Days 2020'!W43</f>
        <v>89.100000000000023</v>
      </c>
      <c r="X59" s="221"/>
      <c r="Y59" s="222"/>
      <c r="Z59" s="3"/>
      <c r="AA59" s="3"/>
      <c r="AB59" s="3"/>
      <c r="AC59" s="174"/>
    </row>
    <row r="60" spans="22:32">
      <c r="V60" s="220"/>
      <c r="W60" s="221"/>
      <c r="X60" s="221"/>
      <c r="Y60" s="221"/>
      <c r="Z60" s="3"/>
      <c r="AA60" s="3"/>
      <c r="AB60" s="3"/>
      <c r="AC60" s="247"/>
    </row>
    <row r="61" spans="22:32">
      <c r="V61" s="259"/>
      <c r="W61" s="17"/>
      <c r="X61" s="17"/>
      <c r="Y61" s="17"/>
      <c r="Z61" s="3" t="s">
        <v>214</v>
      </c>
      <c r="AA61" s="286">
        <v>0.11</v>
      </c>
      <c r="AB61" s="301">
        <f>SUM(AB57*AA61)</f>
        <v>1073833.1780000001</v>
      </c>
      <c r="AC61" s="288"/>
    </row>
    <row r="62" spans="22:32" ht="15.75" thickBot="1">
      <c r="V62" s="233"/>
      <c r="W62" s="234"/>
      <c r="X62" s="234"/>
      <c r="Y62" s="234"/>
      <c r="Z62" s="3"/>
      <c r="AA62" s="45"/>
      <c r="AB62" s="301">
        <f>SUM(AB57+AB61)</f>
        <v>10835952.978</v>
      </c>
      <c r="AC62" s="288"/>
    </row>
    <row r="63" spans="22:32" ht="15.75" thickBot="1">
      <c r="V63" s="233"/>
      <c r="W63" s="234"/>
      <c r="X63" s="234"/>
      <c r="Y63" s="234"/>
      <c r="Z63" s="234"/>
      <c r="AA63" s="234" t="s">
        <v>215</v>
      </c>
      <c r="AB63" s="301">
        <f>SUM(AB57/1507.5)</f>
        <v>6475.7013598673302</v>
      </c>
      <c r="AC63" s="288"/>
    </row>
    <row r="64" spans="22:32" ht="15.75" thickBot="1">
      <c r="V64" s="283"/>
      <c r="W64" s="223"/>
      <c r="X64" s="223"/>
      <c r="Y64" s="224"/>
      <c r="Z64" s="175"/>
      <c r="AA64" s="175"/>
      <c r="AB64" s="263"/>
      <c r="AC64" s="176"/>
    </row>
    <row r="65" spans="22:28">
      <c r="V65" s="221"/>
      <c r="W65" s="83">
        <f>AC56/1500</f>
        <v>2893.7331999999997</v>
      </c>
      <c r="Z65" s="40"/>
      <c r="AA65" s="370" t="s">
        <v>215</v>
      </c>
      <c r="AB65" s="303">
        <f>SUM(AB63)</f>
        <v>6475.7013598673302</v>
      </c>
    </row>
    <row r="66" spans="22:28">
      <c r="V66" s="221"/>
      <c r="W66" s="83">
        <f>AB56/1500</f>
        <v>3614.3466666666668</v>
      </c>
      <c r="Z66" s="304">
        <f>SUM(AB65)</f>
        <v>6475.7013598673302</v>
      </c>
      <c r="AA66" s="303"/>
      <c r="AB66" s="303"/>
    </row>
    <row r="67" spans="22:28">
      <c r="V67" s="17"/>
      <c r="W67" s="83">
        <f>SUM(W65:W66)</f>
        <v>6508.0798666666669</v>
      </c>
      <c r="Y67" s="83"/>
      <c r="Z67" s="304">
        <f>SUM(-tanks!AX61)*tanks!AU61</f>
        <v>0</v>
      </c>
      <c r="AA67" s="303" t="e">
        <f>SUM(AB57/A62)</f>
        <v>#DIV/0!</v>
      </c>
      <c r="AB67" s="361" t="e">
        <f>SUM(AA67*A64)</f>
        <v>#DIV/0!</v>
      </c>
    </row>
    <row r="68" spans="22:28" ht="18.75">
      <c r="W68" s="83">
        <f>AB56/1500</f>
        <v>3614.3466666666668</v>
      </c>
      <c r="Z68" s="284">
        <f>SUM(Z66:Z67)</f>
        <v>6475.7013598673302</v>
      </c>
      <c r="AA68" s="303" t="e">
        <f>SUM(AA67/1507.5)</f>
        <v>#DIV/0!</v>
      </c>
      <c r="AB68" s="360" t="e">
        <f>SUM(AB67/1507.5)</f>
        <v>#DIV/0!</v>
      </c>
    </row>
    <row r="69" spans="22:28">
      <c r="W69" s="83">
        <f>SUM(W67:W68)</f>
        <v>10122.426533333333</v>
      </c>
      <c r="Z69" s="305" t="e">
        <f>SUM(ELEC!#REF!)</f>
        <v>#REF!</v>
      </c>
    </row>
    <row r="70" spans="22:28">
      <c r="Z70" s="303" t="e">
        <f>Z68/Z69</f>
        <v>#REF!</v>
      </c>
    </row>
  </sheetData>
  <mergeCells count="30">
    <mergeCell ref="AB47:AC50"/>
    <mergeCell ref="V48:Y49"/>
    <mergeCell ref="Z49:AA49"/>
    <mergeCell ref="V50:W50"/>
    <mergeCell ref="X50:Z50"/>
    <mergeCell ref="V7:W7"/>
    <mergeCell ref="X7:Z7"/>
    <mergeCell ref="V5:Y6"/>
    <mergeCell ref="AB4:AC7"/>
    <mergeCell ref="AB22:AC25"/>
    <mergeCell ref="V23:Y24"/>
    <mergeCell ref="Z24:AA24"/>
    <mergeCell ref="V25:W25"/>
    <mergeCell ref="X25:Z25"/>
    <mergeCell ref="G14:G15"/>
    <mergeCell ref="I14:I15"/>
    <mergeCell ref="K14:K15"/>
    <mergeCell ref="C14:C15"/>
    <mergeCell ref="A14:A15"/>
    <mergeCell ref="D14:D15"/>
    <mergeCell ref="E14:E15"/>
    <mergeCell ref="Q14:Q15"/>
    <mergeCell ref="R14:R15"/>
    <mergeCell ref="S14:S15"/>
    <mergeCell ref="T14:T15"/>
    <mergeCell ref="L14:L15"/>
    <mergeCell ref="M14:M15"/>
    <mergeCell ref="N14:N15"/>
    <mergeCell ref="O14:O15"/>
    <mergeCell ref="P14:P15"/>
  </mergeCells>
  <pageMargins left="0.7" right="0.7" top="0.75" bottom="0.75" header="0.3" footer="0.3"/>
  <pageSetup orientation="portrait" r:id="rId1"/>
  <ignoredErrors>
    <ignoredError sqref="I5:I13 G5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topLeftCell="B1" workbookViewId="0">
      <pane ySplit="1" topLeftCell="A8" activePane="bottomLeft" state="frozen"/>
      <selection pane="bottomLeft" activeCell="Q23" sqref="Q23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61" customWidth="1"/>
    <col min="9" max="9" width="12.7109375" bestFit="1" customWidth="1"/>
    <col min="10" max="10" width="25.42578125" style="509" customWidth="1"/>
    <col min="12" max="12" width="26.42578125" bestFit="1" customWidth="1"/>
    <col min="14" max="14" width="14.28515625" customWidth="1"/>
  </cols>
  <sheetData>
    <row r="1" spans="1:18" ht="39.75" customHeight="1" thickBot="1">
      <c r="A1" s="693" t="s">
        <v>51</v>
      </c>
      <c r="B1" s="705" t="s">
        <v>321</v>
      </c>
      <c r="C1" s="706"/>
      <c r="D1" s="708"/>
      <c r="E1" s="705" t="s">
        <v>322</v>
      </c>
      <c r="F1" s="706"/>
      <c r="G1" s="707"/>
      <c r="H1" s="702" t="s">
        <v>327</v>
      </c>
      <c r="I1" s="699" t="s">
        <v>328</v>
      </c>
      <c r="J1" s="696" t="s">
        <v>43</v>
      </c>
    </row>
    <row r="2" spans="1:18" ht="38.25" thickBot="1">
      <c r="A2" s="694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703"/>
      <c r="I2" s="700"/>
      <c r="J2" s="697"/>
    </row>
    <row r="3" spans="1:18" ht="24" customHeight="1" thickBot="1">
      <c r="A3" s="695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704"/>
      <c r="I3" s="701"/>
      <c r="J3" s="698"/>
    </row>
    <row r="4" spans="1:18" ht="19.5" thickBot="1">
      <c r="A4" s="249"/>
      <c r="B4" s="527"/>
      <c r="C4" s="527"/>
      <c r="D4" s="527"/>
      <c r="E4" s="527"/>
      <c r="F4" s="527"/>
      <c r="G4" s="527"/>
      <c r="H4" s="250">
        <v>0</v>
      </c>
      <c r="I4" s="250"/>
      <c r="J4" s="504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26">
        <f>ELEC!C2</f>
        <v>43982</v>
      </c>
      <c r="B5" s="528">
        <f>'[2]Swimming Pool quality check '!B36</f>
        <v>2</v>
      </c>
      <c r="C5" s="528">
        <f>'[2]Swimming Pool quality check '!C36</f>
        <v>7.8</v>
      </c>
      <c r="D5" s="528">
        <f>'[2]Swimming Pool quality check '!D36</f>
        <v>29</v>
      </c>
      <c r="E5" s="528">
        <f>'[2]Swimming Pool quality check '!E36</f>
        <v>2</v>
      </c>
      <c r="F5" s="528">
        <f>'[2]Swimming Pool quality check '!F36</f>
        <v>8</v>
      </c>
      <c r="G5" s="528">
        <f>'[2]Swimming Pool quality check '!G36</f>
        <v>35</v>
      </c>
      <c r="H5" s="528">
        <f>'[2]Swimming Pool quality check '!H36</f>
        <v>6208</v>
      </c>
      <c r="I5" s="528">
        <f>'[2]Swimming Pool quality check '!I36</f>
        <v>5</v>
      </c>
      <c r="J5" s="538">
        <f>'[7]Swimming Pool quality check '!J36</f>
        <v>0.33333333333333398</v>
      </c>
      <c r="K5" s="420">
        <v>0</v>
      </c>
      <c r="L5" s="556">
        <f>A5</f>
        <v>43982</v>
      </c>
      <c r="M5" s="528">
        <f>'[2]Swimming Pool quality check '!M36</f>
        <v>6194</v>
      </c>
      <c r="N5" s="528">
        <f>'[2]Swimming Pool quality check '!N36</f>
        <v>642</v>
      </c>
      <c r="O5" s="528">
        <f>'[2]Swimming Pool quality check '!O36</f>
        <v>6836</v>
      </c>
    </row>
    <row r="6" spans="1:18" ht="15.75" customHeight="1" thickBot="1">
      <c r="A6" s="245">
        <f>ELEC!C3</f>
        <v>43983</v>
      </c>
      <c r="B6" s="579">
        <v>5.5</v>
      </c>
      <c r="C6" s="580">
        <v>7.84</v>
      </c>
      <c r="D6" s="581">
        <v>29</v>
      </c>
      <c r="E6" s="581">
        <v>4</v>
      </c>
      <c r="F6" s="581">
        <v>8</v>
      </c>
      <c r="G6" s="581">
        <v>35</v>
      </c>
      <c r="H6" s="581">
        <v>6212</v>
      </c>
      <c r="I6" s="528">
        <f>H6-H5</f>
        <v>4</v>
      </c>
      <c r="J6" s="505">
        <v>0.29166666666666669</v>
      </c>
      <c r="L6" s="100">
        <f t="shared" ref="L6:L35" si="0">A6</f>
        <v>43983</v>
      </c>
      <c r="M6" s="3">
        <f>M5</f>
        <v>6194</v>
      </c>
      <c r="N6" s="528">
        <v>487</v>
      </c>
      <c r="O6" s="528">
        <f t="shared" ref="O6:O35" si="1">M6+N6</f>
        <v>6681</v>
      </c>
    </row>
    <row r="7" spans="1:18" ht="15.75" thickBot="1">
      <c r="A7" s="245">
        <f>ELEC!C4</f>
        <v>43984</v>
      </c>
      <c r="B7" s="560">
        <v>3</v>
      </c>
      <c r="C7" s="578">
        <v>7.8</v>
      </c>
      <c r="D7" s="171">
        <v>27.5</v>
      </c>
      <c r="E7" s="171">
        <v>1</v>
      </c>
      <c r="F7" s="171">
        <v>8.3000000000000007</v>
      </c>
      <c r="G7" s="171">
        <v>34</v>
      </c>
      <c r="H7" s="577">
        <v>6214</v>
      </c>
      <c r="I7" s="528">
        <f t="shared" ref="I7:I35" si="2">H7-H6</f>
        <v>2</v>
      </c>
      <c r="J7" s="506">
        <v>0.29166666666666669</v>
      </c>
      <c r="L7" s="100">
        <f t="shared" si="0"/>
        <v>43984</v>
      </c>
      <c r="M7" s="3">
        <f t="shared" ref="M7:M35" si="3">M6</f>
        <v>6194</v>
      </c>
      <c r="N7" s="528">
        <v>487</v>
      </c>
      <c r="O7" s="528">
        <f t="shared" si="1"/>
        <v>6681</v>
      </c>
    </row>
    <row r="8" spans="1:18" ht="15.75" thickBot="1">
      <c r="A8" s="245">
        <f>ELEC!C5</f>
        <v>43985</v>
      </c>
      <c r="B8" s="560">
        <v>1</v>
      </c>
      <c r="C8" s="559">
        <v>7.9</v>
      </c>
      <c r="D8" s="171">
        <v>24</v>
      </c>
      <c r="E8" s="171">
        <v>1.5</v>
      </c>
      <c r="F8" s="171">
        <v>8.3000000000000007</v>
      </c>
      <c r="G8" s="171">
        <v>34</v>
      </c>
      <c r="H8" s="577">
        <v>6218</v>
      </c>
      <c r="I8" s="528">
        <f t="shared" si="2"/>
        <v>4</v>
      </c>
      <c r="J8" s="506">
        <v>0.29166666666666669</v>
      </c>
      <c r="L8" s="100">
        <f t="shared" si="0"/>
        <v>43985</v>
      </c>
      <c r="M8" s="3">
        <f t="shared" si="3"/>
        <v>6194</v>
      </c>
      <c r="N8" s="528">
        <v>487</v>
      </c>
      <c r="O8" s="528">
        <f t="shared" si="1"/>
        <v>6681</v>
      </c>
    </row>
    <row r="9" spans="1:18" ht="15.75" thickBot="1">
      <c r="A9" s="245">
        <f>ELEC!C6</f>
        <v>43986</v>
      </c>
      <c r="B9" s="560">
        <v>2.5</v>
      </c>
      <c r="C9" s="588">
        <v>7.8</v>
      </c>
      <c r="D9" s="171">
        <v>29</v>
      </c>
      <c r="E9" s="171">
        <v>1.2</v>
      </c>
      <c r="F9" s="171">
        <v>7.8</v>
      </c>
      <c r="G9" s="171">
        <v>35</v>
      </c>
      <c r="H9" s="171">
        <v>6218</v>
      </c>
      <c r="I9" s="528">
        <f t="shared" si="2"/>
        <v>0</v>
      </c>
      <c r="J9" s="506">
        <v>0.29166666666666669</v>
      </c>
      <c r="L9" s="100">
        <f t="shared" si="0"/>
        <v>43986</v>
      </c>
      <c r="M9" s="3">
        <f t="shared" si="3"/>
        <v>6194</v>
      </c>
      <c r="N9" s="528">
        <v>487</v>
      </c>
      <c r="O9" s="528">
        <f t="shared" si="1"/>
        <v>6681</v>
      </c>
    </row>
    <row r="10" spans="1:18" ht="15.75" thickBot="1">
      <c r="A10" s="245">
        <f>ELEC!C7</f>
        <v>43987</v>
      </c>
      <c r="B10" s="528">
        <v>1.5</v>
      </c>
      <c r="C10" s="528">
        <v>7.7</v>
      </c>
      <c r="D10" s="528">
        <v>29</v>
      </c>
      <c r="E10" s="171">
        <v>2.4</v>
      </c>
      <c r="F10" s="171">
        <v>8</v>
      </c>
      <c r="G10" s="171">
        <v>37</v>
      </c>
      <c r="H10" s="577">
        <v>6228</v>
      </c>
      <c r="I10" s="528">
        <f t="shared" si="2"/>
        <v>10</v>
      </c>
      <c r="J10" s="506">
        <v>0.29166666666666669</v>
      </c>
      <c r="L10" s="100">
        <f t="shared" si="0"/>
        <v>43987</v>
      </c>
      <c r="M10" s="3">
        <f t="shared" si="3"/>
        <v>6194</v>
      </c>
      <c r="N10" s="528">
        <v>487</v>
      </c>
      <c r="O10" s="528">
        <f t="shared" si="1"/>
        <v>6681</v>
      </c>
    </row>
    <row r="11" spans="1:18" ht="15.75" thickBot="1">
      <c r="A11" s="245">
        <f>ELEC!C8</f>
        <v>43988</v>
      </c>
      <c r="B11" s="528">
        <v>2.2000000000000002</v>
      </c>
      <c r="C11" s="528">
        <v>7.8</v>
      </c>
      <c r="D11" s="528">
        <v>28</v>
      </c>
      <c r="E11" s="528">
        <v>1.1000000000000001</v>
      </c>
      <c r="F11" s="528">
        <v>8.3000000000000007</v>
      </c>
      <c r="G11" s="528">
        <v>34</v>
      </c>
      <c r="H11" s="577">
        <v>6232</v>
      </c>
      <c r="I11" s="528">
        <f t="shared" si="2"/>
        <v>4</v>
      </c>
      <c r="J11" s="506">
        <v>0.29166666666666669</v>
      </c>
      <c r="L11" s="100">
        <f t="shared" si="0"/>
        <v>43988</v>
      </c>
      <c r="M11" s="3">
        <f t="shared" si="3"/>
        <v>6194</v>
      </c>
      <c r="N11" s="528">
        <v>487</v>
      </c>
      <c r="O11" s="528">
        <f t="shared" si="1"/>
        <v>6681</v>
      </c>
    </row>
    <row r="12" spans="1:18" ht="16.5" thickBot="1">
      <c r="A12" s="245">
        <f>ELEC!C9</f>
        <v>43989</v>
      </c>
      <c r="B12" s="528">
        <v>1.98</v>
      </c>
      <c r="C12" s="528">
        <v>7.7</v>
      </c>
      <c r="D12" s="528">
        <v>27</v>
      </c>
      <c r="E12" s="528">
        <v>2.2999999999999998</v>
      </c>
      <c r="F12" s="528">
        <v>8.5</v>
      </c>
      <c r="G12" s="528">
        <v>33</v>
      </c>
      <c r="H12" s="577">
        <f t="shared" ref="H12:H35" si="4">H11</f>
        <v>6232</v>
      </c>
      <c r="I12" s="528">
        <f t="shared" si="2"/>
        <v>0</v>
      </c>
      <c r="J12" s="506">
        <v>0.29166666666666669</v>
      </c>
      <c r="L12" s="100">
        <f t="shared" si="0"/>
        <v>43989</v>
      </c>
      <c r="M12" s="3">
        <f t="shared" si="3"/>
        <v>6194</v>
      </c>
      <c r="N12" s="528">
        <v>487</v>
      </c>
      <c r="O12" s="528">
        <f t="shared" si="1"/>
        <v>6681</v>
      </c>
      <c r="P12" s="453"/>
      <c r="Q12" s="371"/>
      <c r="R12" s="371"/>
    </row>
    <row r="13" spans="1:18" ht="15.75" thickBot="1">
      <c r="A13" s="245">
        <f>ELEC!C10</f>
        <v>43990</v>
      </c>
      <c r="B13" s="560">
        <v>1</v>
      </c>
      <c r="C13" s="589">
        <v>7.8</v>
      </c>
      <c r="D13" s="171">
        <v>28</v>
      </c>
      <c r="E13" s="171">
        <v>1.4</v>
      </c>
      <c r="F13" s="171">
        <v>8</v>
      </c>
      <c r="G13" s="171">
        <v>35</v>
      </c>
      <c r="H13" s="590">
        <v>6242</v>
      </c>
      <c r="I13" s="528">
        <f t="shared" si="2"/>
        <v>10</v>
      </c>
      <c r="J13" s="506">
        <v>0.29166666666666669</v>
      </c>
      <c r="L13" s="100">
        <f t="shared" si="0"/>
        <v>43990</v>
      </c>
      <c r="M13" s="3">
        <f t="shared" si="3"/>
        <v>6194</v>
      </c>
      <c r="N13" s="528">
        <v>487</v>
      </c>
      <c r="O13" s="528">
        <f t="shared" si="1"/>
        <v>6681</v>
      </c>
    </row>
    <row r="14" spans="1:18" ht="15.75" thickBot="1">
      <c r="A14" s="245">
        <f>ELEC!C11</f>
        <v>43991</v>
      </c>
      <c r="B14" s="260">
        <v>2.5</v>
      </c>
      <c r="C14" s="562">
        <v>7.7</v>
      </c>
      <c r="D14" s="171">
        <v>22</v>
      </c>
      <c r="E14" s="171">
        <v>1.5</v>
      </c>
      <c r="F14" s="171">
        <v>8</v>
      </c>
      <c r="G14" s="171">
        <v>35</v>
      </c>
      <c r="H14" s="577">
        <v>6247</v>
      </c>
      <c r="I14" s="528">
        <f t="shared" si="2"/>
        <v>5</v>
      </c>
      <c r="J14" s="506">
        <v>0.29166666666666669</v>
      </c>
      <c r="L14" s="100">
        <f t="shared" si="0"/>
        <v>43991</v>
      </c>
      <c r="M14" s="3">
        <f t="shared" si="3"/>
        <v>6194</v>
      </c>
      <c r="N14" s="528">
        <v>487</v>
      </c>
      <c r="O14" s="528">
        <f t="shared" si="1"/>
        <v>6681</v>
      </c>
    </row>
    <row r="15" spans="1:18" ht="15.75" thickBot="1">
      <c r="A15" s="245">
        <f>ELEC!C12</f>
        <v>43992</v>
      </c>
      <c r="B15" s="260">
        <v>2.2999999999999998</v>
      </c>
      <c r="C15" s="563">
        <v>7.8</v>
      </c>
      <c r="D15" s="171">
        <v>29</v>
      </c>
      <c r="E15" s="171">
        <v>1.5</v>
      </c>
      <c r="F15" s="171">
        <v>8.1</v>
      </c>
      <c r="G15" s="171">
        <v>35</v>
      </c>
      <c r="H15" s="577">
        <v>6252</v>
      </c>
      <c r="I15" s="528">
        <f t="shared" si="2"/>
        <v>5</v>
      </c>
      <c r="J15" s="506">
        <v>0.29166666666666669</v>
      </c>
      <c r="L15" s="100">
        <f t="shared" si="0"/>
        <v>43992</v>
      </c>
      <c r="M15" s="3">
        <f t="shared" si="3"/>
        <v>6194</v>
      </c>
      <c r="N15" s="528">
        <v>487</v>
      </c>
      <c r="O15" s="528">
        <f t="shared" si="1"/>
        <v>6681</v>
      </c>
    </row>
    <row r="16" spans="1:18" ht="15.75" thickBot="1">
      <c r="A16" s="245">
        <f>ELEC!C13</f>
        <v>43993</v>
      </c>
      <c r="B16" s="260">
        <v>2.48</v>
      </c>
      <c r="C16" s="564">
        <v>7.8</v>
      </c>
      <c r="D16" s="171">
        <v>29</v>
      </c>
      <c r="E16" s="171">
        <v>2</v>
      </c>
      <c r="F16" s="171">
        <v>7.8</v>
      </c>
      <c r="G16" s="171">
        <v>36</v>
      </c>
      <c r="H16" s="577">
        <v>6258</v>
      </c>
      <c r="I16" s="528">
        <f t="shared" si="2"/>
        <v>6</v>
      </c>
      <c r="J16" s="506">
        <v>0.29166666666666669</v>
      </c>
      <c r="L16" s="100">
        <f t="shared" si="0"/>
        <v>43993</v>
      </c>
      <c r="M16" s="3">
        <f t="shared" si="3"/>
        <v>6194</v>
      </c>
      <c r="N16" s="528">
        <v>487</v>
      </c>
      <c r="O16" s="528">
        <f t="shared" si="1"/>
        <v>6681</v>
      </c>
    </row>
    <row r="17" spans="1:17" ht="15.75" thickBot="1">
      <c r="A17" s="245">
        <f>ELEC!C14</f>
        <v>43994</v>
      </c>
      <c r="B17" s="528">
        <v>3.9</v>
      </c>
      <c r="C17" s="595">
        <v>7.8</v>
      </c>
      <c r="D17" s="528">
        <v>27</v>
      </c>
      <c r="E17" s="528">
        <v>1</v>
      </c>
      <c r="F17" s="528">
        <v>8</v>
      </c>
      <c r="G17" s="528">
        <v>37</v>
      </c>
      <c r="H17" s="577">
        <f t="shared" si="4"/>
        <v>6258</v>
      </c>
      <c r="I17" s="528">
        <f t="shared" si="2"/>
        <v>0</v>
      </c>
      <c r="J17" s="506">
        <v>0.29166666666666669</v>
      </c>
      <c r="L17" s="100">
        <f t="shared" si="0"/>
        <v>43994</v>
      </c>
      <c r="M17" s="3">
        <f t="shared" si="3"/>
        <v>6194</v>
      </c>
      <c r="N17" s="528">
        <v>487</v>
      </c>
      <c r="O17" s="528">
        <f t="shared" si="1"/>
        <v>6681</v>
      </c>
    </row>
    <row r="18" spans="1:17" ht="15.75" thickBot="1">
      <c r="A18" s="245">
        <f>ELEC!C15</f>
        <v>43995</v>
      </c>
      <c r="B18" s="528">
        <v>2.8</v>
      </c>
      <c r="C18" s="528">
        <v>7.8</v>
      </c>
      <c r="D18" s="528">
        <v>29</v>
      </c>
      <c r="E18" s="528">
        <v>1.5</v>
      </c>
      <c r="F18" s="528">
        <v>8.1</v>
      </c>
      <c r="G18" s="528">
        <v>36</v>
      </c>
      <c r="H18" s="577">
        <v>6266</v>
      </c>
      <c r="I18" s="528">
        <f t="shared" si="2"/>
        <v>8</v>
      </c>
      <c r="J18" s="506">
        <v>0.29166666666666669</v>
      </c>
      <c r="L18" s="100">
        <f t="shared" si="0"/>
        <v>43995</v>
      </c>
      <c r="M18" s="3">
        <f t="shared" si="3"/>
        <v>6194</v>
      </c>
      <c r="N18" s="528">
        <v>487</v>
      </c>
      <c r="O18" s="528">
        <f t="shared" si="1"/>
        <v>6681</v>
      </c>
    </row>
    <row r="19" spans="1:17" ht="15.75" thickBot="1">
      <c r="A19" s="245">
        <f>ELEC!C16</f>
        <v>43996</v>
      </c>
      <c r="B19" s="260">
        <v>2.78</v>
      </c>
      <c r="C19" s="596">
        <v>7.7</v>
      </c>
      <c r="D19" s="171">
        <v>29</v>
      </c>
      <c r="E19" s="171">
        <v>3</v>
      </c>
      <c r="F19" s="171">
        <v>8</v>
      </c>
      <c r="G19" s="171">
        <v>35</v>
      </c>
      <c r="H19" s="590">
        <v>6278</v>
      </c>
      <c r="I19" s="528">
        <f t="shared" si="2"/>
        <v>12</v>
      </c>
      <c r="J19" s="506">
        <v>0.29166666666666669</v>
      </c>
      <c r="L19" s="100">
        <f t="shared" si="0"/>
        <v>43996</v>
      </c>
      <c r="M19" s="3">
        <f t="shared" si="3"/>
        <v>6194</v>
      </c>
      <c r="N19" s="528">
        <v>487</v>
      </c>
      <c r="O19" s="528">
        <f t="shared" si="1"/>
        <v>6681</v>
      </c>
    </row>
    <row r="20" spans="1:17" ht="15.75" thickBot="1">
      <c r="A20" s="245">
        <f>ELEC!C17</f>
        <v>43997</v>
      </c>
      <c r="B20" s="528">
        <v>2.9</v>
      </c>
      <c r="C20" s="528">
        <v>7.8</v>
      </c>
      <c r="D20" s="528">
        <v>27</v>
      </c>
      <c r="E20" s="528">
        <v>1</v>
      </c>
      <c r="F20" s="528">
        <v>8</v>
      </c>
      <c r="G20" s="528">
        <v>35</v>
      </c>
      <c r="H20" s="577">
        <v>6280</v>
      </c>
      <c r="I20" s="528">
        <f t="shared" si="2"/>
        <v>2</v>
      </c>
      <c r="J20" s="506">
        <v>0.29166666666666669</v>
      </c>
      <c r="L20" s="100">
        <f t="shared" si="0"/>
        <v>43997</v>
      </c>
      <c r="M20" s="3">
        <f t="shared" si="3"/>
        <v>6194</v>
      </c>
      <c r="N20" s="528">
        <v>487</v>
      </c>
      <c r="O20" s="528">
        <f t="shared" si="1"/>
        <v>6681</v>
      </c>
    </row>
    <row r="21" spans="1:17" ht="15.75" thickBot="1">
      <c r="A21" s="245">
        <f>ELEC!C18</f>
        <v>43998</v>
      </c>
      <c r="B21" s="599">
        <v>3.6</v>
      </c>
      <c r="C21" s="528">
        <v>7.8</v>
      </c>
      <c r="D21" s="528">
        <v>29</v>
      </c>
      <c r="E21" s="599">
        <v>4</v>
      </c>
      <c r="F21" s="598">
        <v>8.6999999999999993</v>
      </c>
      <c r="G21" s="528">
        <v>36</v>
      </c>
      <c r="H21" s="577">
        <v>6288</v>
      </c>
      <c r="I21" s="528">
        <f t="shared" si="2"/>
        <v>8</v>
      </c>
      <c r="J21" s="506">
        <v>0.29166666666666669</v>
      </c>
      <c r="L21" s="100">
        <f t="shared" si="0"/>
        <v>43998</v>
      </c>
      <c r="M21" s="3">
        <f t="shared" si="3"/>
        <v>6194</v>
      </c>
      <c r="N21" s="528">
        <v>487</v>
      </c>
      <c r="O21" s="528">
        <f t="shared" si="1"/>
        <v>6681</v>
      </c>
    </row>
    <row r="22" spans="1:17" ht="15.75" thickBot="1">
      <c r="A22" s="245">
        <f>ELEC!C19</f>
        <v>43999</v>
      </c>
      <c r="B22" s="260">
        <v>2.8</v>
      </c>
      <c r="C22" s="597">
        <v>7.8</v>
      </c>
      <c r="D22" s="171">
        <v>29</v>
      </c>
      <c r="E22" s="171">
        <v>3</v>
      </c>
      <c r="F22" s="171">
        <v>8.1</v>
      </c>
      <c r="G22" s="171">
        <v>38</v>
      </c>
      <c r="H22" s="590">
        <v>6292</v>
      </c>
      <c r="I22" s="528">
        <f t="shared" si="2"/>
        <v>4</v>
      </c>
      <c r="J22" s="506">
        <v>0.29166666666666669</v>
      </c>
      <c r="L22" s="100">
        <f t="shared" si="0"/>
        <v>43999</v>
      </c>
      <c r="M22" s="3">
        <f t="shared" si="3"/>
        <v>6194</v>
      </c>
      <c r="N22" s="528">
        <v>487</v>
      </c>
      <c r="O22" s="528">
        <f t="shared" si="1"/>
        <v>6681</v>
      </c>
    </row>
    <row r="23" spans="1:17" ht="15.75" thickBot="1">
      <c r="A23" s="245">
        <f>ELEC!C20</f>
        <v>44000</v>
      </c>
      <c r="B23" s="171">
        <v>3.2</v>
      </c>
      <c r="C23" s="171">
        <v>7.8</v>
      </c>
      <c r="D23" s="171">
        <v>29</v>
      </c>
      <c r="E23" s="171">
        <v>1.4</v>
      </c>
      <c r="F23" s="171">
        <v>8</v>
      </c>
      <c r="G23" s="171">
        <v>31</v>
      </c>
      <c r="H23" s="577">
        <v>6294</v>
      </c>
      <c r="I23" s="528">
        <f t="shared" si="2"/>
        <v>2</v>
      </c>
      <c r="J23" s="506">
        <v>0.29166666666666669</v>
      </c>
      <c r="L23" s="100">
        <f t="shared" si="0"/>
        <v>44000</v>
      </c>
      <c r="M23" s="3">
        <f t="shared" si="3"/>
        <v>6194</v>
      </c>
      <c r="N23" s="528">
        <v>487</v>
      </c>
      <c r="O23" s="528">
        <f t="shared" si="1"/>
        <v>6681</v>
      </c>
    </row>
    <row r="24" spans="1:17" ht="15.75" thickBot="1">
      <c r="A24" s="245">
        <f>ELEC!C21</f>
        <v>44001</v>
      </c>
      <c r="B24" s="528"/>
      <c r="C24" s="528"/>
      <c r="D24" s="528"/>
      <c r="E24" s="528"/>
      <c r="F24" s="528"/>
      <c r="G24" s="528"/>
      <c r="H24" s="577">
        <f t="shared" si="4"/>
        <v>6294</v>
      </c>
      <c r="I24" s="528">
        <f t="shared" si="2"/>
        <v>0</v>
      </c>
      <c r="J24" s="506">
        <v>0.29166666666666702</v>
      </c>
      <c r="L24" s="100">
        <f t="shared" si="0"/>
        <v>44001</v>
      </c>
      <c r="M24" s="3">
        <f t="shared" si="3"/>
        <v>6194</v>
      </c>
      <c r="N24" s="528">
        <v>487</v>
      </c>
      <c r="O24" s="528">
        <f t="shared" si="1"/>
        <v>6681</v>
      </c>
    </row>
    <row r="25" spans="1:17" ht="15.75" thickBot="1">
      <c r="A25" s="245">
        <f>ELEC!C22</f>
        <v>44002</v>
      </c>
      <c r="B25" s="528"/>
      <c r="C25" s="528"/>
      <c r="D25" s="528"/>
      <c r="E25" s="528"/>
      <c r="F25" s="528"/>
      <c r="G25" s="528"/>
      <c r="H25" s="577">
        <f t="shared" si="4"/>
        <v>6294</v>
      </c>
      <c r="I25" s="528">
        <f t="shared" si="2"/>
        <v>0</v>
      </c>
      <c r="J25" s="506">
        <v>0.29166666666666702</v>
      </c>
      <c r="L25" s="100">
        <f t="shared" si="0"/>
        <v>44002</v>
      </c>
      <c r="M25" s="3">
        <f t="shared" si="3"/>
        <v>6194</v>
      </c>
      <c r="N25" s="528">
        <v>487</v>
      </c>
      <c r="O25" s="528">
        <f t="shared" si="1"/>
        <v>6681</v>
      </c>
    </row>
    <row r="26" spans="1:17" ht="15.75" thickBot="1">
      <c r="A26" s="245">
        <f>ELEC!C23</f>
        <v>44003</v>
      </c>
      <c r="B26" s="528"/>
      <c r="C26" s="528"/>
      <c r="D26" s="528"/>
      <c r="E26" s="528"/>
      <c r="F26" s="528"/>
      <c r="G26" s="528"/>
      <c r="H26" s="577">
        <f t="shared" si="4"/>
        <v>6294</v>
      </c>
      <c r="I26" s="528">
        <f t="shared" si="2"/>
        <v>0</v>
      </c>
      <c r="J26" s="506">
        <v>0.29166666666666702</v>
      </c>
      <c r="L26" s="100">
        <f t="shared" si="0"/>
        <v>44003</v>
      </c>
      <c r="M26" s="3">
        <f t="shared" si="3"/>
        <v>6194</v>
      </c>
      <c r="N26" s="528">
        <v>487</v>
      </c>
      <c r="O26" s="528">
        <f t="shared" si="1"/>
        <v>6681</v>
      </c>
    </row>
    <row r="27" spans="1:17" ht="15.75" thickBot="1">
      <c r="A27" s="245">
        <f>ELEC!C24</f>
        <v>44004</v>
      </c>
      <c r="B27" s="528"/>
      <c r="C27" s="528"/>
      <c r="D27" s="528"/>
      <c r="E27" s="528"/>
      <c r="F27" s="528"/>
      <c r="G27" s="528"/>
      <c r="H27" s="577">
        <f t="shared" si="4"/>
        <v>6294</v>
      </c>
      <c r="I27" s="528">
        <f t="shared" si="2"/>
        <v>0</v>
      </c>
      <c r="J27" s="506">
        <v>0.29166666666666702</v>
      </c>
      <c r="L27" s="100">
        <f t="shared" si="0"/>
        <v>44004</v>
      </c>
      <c r="M27" s="3">
        <f t="shared" si="3"/>
        <v>6194</v>
      </c>
      <c r="N27" s="3">
        <v>642</v>
      </c>
      <c r="O27" s="528">
        <f t="shared" si="1"/>
        <v>6836</v>
      </c>
    </row>
    <row r="28" spans="1:17" ht="15.75" thickBot="1">
      <c r="A28" s="245">
        <f>ELEC!C25</f>
        <v>44005</v>
      </c>
      <c r="B28" s="528"/>
      <c r="C28" s="528"/>
      <c r="D28" s="528"/>
      <c r="E28" s="528"/>
      <c r="F28" s="528"/>
      <c r="G28" s="528"/>
      <c r="H28" s="577">
        <f t="shared" si="4"/>
        <v>6294</v>
      </c>
      <c r="I28" s="528">
        <f t="shared" si="2"/>
        <v>0</v>
      </c>
      <c r="J28" s="507">
        <v>0.29166666666666702</v>
      </c>
      <c r="L28" s="100">
        <f t="shared" si="0"/>
        <v>44005</v>
      </c>
      <c r="M28" s="3">
        <f t="shared" si="3"/>
        <v>6194</v>
      </c>
      <c r="N28" s="3">
        <v>642</v>
      </c>
      <c r="O28" s="528">
        <f t="shared" si="1"/>
        <v>6836</v>
      </c>
    </row>
    <row r="29" spans="1:17" ht="15.75" thickBot="1">
      <c r="A29" s="245">
        <f>ELEC!C26</f>
        <v>44006</v>
      </c>
      <c r="B29" s="528"/>
      <c r="C29" s="528"/>
      <c r="D29" s="528"/>
      <c r="E29" s="528"/>
      <c r="F29" s="528"/>
      <c r="G29" s="528"/>
      <c r="H29" s="577">
        <f t="shared" si="4"/>
        <v>6294</v>
      </c>
      <c r="I29" s="528">
        <f t="shared" si="2"/>
        <v>0</v>
      </c>
      <c r="J29" s="506">
        <v>0.29166666666666702</v>
      </c>
      <c r="L29" s="100">
        <f t="shared" si="0"/>
        <v>44006</v>
      </c>
      <c r="M29" s="3">
        <f t="shared" si="3"/>
        <v>6194</v>
      </c>
      <c r="N29" s="3">
        <v>642</v>
      </c>
      <c r="O29" s="528">
        <f t="shared" si="1"/>
        <v>6836</v>
      </c>
    </row>
    <row r="30" spans="1:17" ht="15.75" thickBot="1">
      <c r="A30" s="245">
        <f>ELEC!C27</f>
        <v>44007</v>
      </c>
      <c r="B30" s="260"/>
      <c r="C30" s="565"/>
      <c r="D30" s="171"/>
      <c r="E30" s="171"/>
      <c r="F30" s="171"/>
      <c r="G30" s="171"/>
      <c r="H30" s="577">
        <f t="shared" si="4"/>
        <v>6294</v>
      </c>
      <c r="I30" s="528">
        <f t="shared" si="2"/>
        <v>0</v>
      </c>
      <c r="J30" s="506">
        <v>0.29166666666666702</v>
      </c>
      <c r="L30" s="100">
        <f t="shared" si="0"/>
        <v>44007</v>
      </c>
      <c r="M30" s="3">
        <f t="shared" si="3"/>
        <v>6194</v>
      </c>
      <c r="N30" s="3">
        <v>642</v>
      </c>
      <c r="O30" s="528">
        <f t="shared" si="1"/>
        <v>6836</v>
      </c>
    </row>
    <row r="31" spans="1:17" ht="15.75" thickBot="1">
      <c r="A31" s="245">
        <f>ELEC!C28</f>
        <v>44008</v>
      </c>
      <c r="B31" s="260"/>
      <c r="C31" s="565"/>
      <c r="D31" s="171"/>
      <c r="E31" s="171"/>
      <c r="F31" s="171"/>
      <c r="G31" s="171"/>
      <c r="H31" s="577">
        <f t="shared" si="4"/>
        <v>6294</v>
      </c>
      <c r="I31" s="528">
        <f t="shared" si="2"/>
        <v>0</v>
      </c>
      <c r="J31" s="506">
        <v>0.29166666666666702</v>
      </c>
      <c r="L31" s="100">
        <f t="shared" si="0"/>
        <v>44008</v>
      </c>
      <c r="M31" s="3">
        <f t="shared" si="3"/>
        <v>6194</v>
      </c>
      <c r="N31" s="3">
        <v>642</v>
      </c>
      <c r="O31" s="528">
        <f t="shared" si="1"/>
        <v>6836</v>
      </c>
    </row>
    <row r="32" spans="1:17" ht="15.75" thickBot="1">
      <c r="A32" s="245">
        <f>ELEC!C29</f>
        <v>44009</v>
      </c>
      <c r="B32" s="528"/>
      <c r="C32" s="528"/>
      <c r="D32" s="528"/>
      <c r="E32" s="528"/>
      <c r="F32" s="528"/>
      <c r="G32" s="528"/>
      <c r="H32" s="577">
        <f t="shared" si="4"/>
        <v>6294</v>
      </c>
      <c r="I32" s="528">
        <f t="shared" si="2"/>
        <v>0</v>
      </c>
      <c r="J32" s="506">
        <v>0.29166666666666702</v>
      </c>
      <c r="L32" s="100">
        <f t="shared" si="0"/>
        <v>44009</v>
      </c>
      <c r="M32" s="3">
        <f t="shared" si="3"/>
        <v>6194</v>
      </c>
      <c r="N32" s="3">
        <v>642</v>
      </c>
      <c r="O32" s="528">
        <f t="shared" si="1"/>
        <v>6836</v>
      </c>
    </row>
    <row r="33" spans="1:15" ht="15.75" thickBot="1">
      <c r="A33" s="245">
        <f>ELEC!C30</f>
        <v>44010</v>
      </c>
      <c r="B33" s="528"/>
      <c r="C33" s="528"/>
      <c r="D33" s="528"/>
      <c r="E33" s="528"/>
      <c r="F33" s="528"/>
      <c r="G33" s="528"/>
      <c r="H33" s="577">
        <f t="shared" si="4"/>
        <v>6294</v>
      </c>
      <c r="I33" s="528">
        <f t="shared" si="2"/>
        <v>0</v>
      </c>
      <c r="J33" s="506">
        <v>0.29166666666666702</v>
      </c>
      <c r="L33" s="100">
        <f t="shared" si="0"/>
        <v>44010</v>
      </c>
      <c r="M33" s="3">
        <f t="shared" si="3"/>
        <v>6194</v>
      </c>
      <c r="N33" s="3">
        <v>642</v>
      </c>
      <c r="O33" s="528">
        <f t="shared" si="1"/>
        <v>6836</v>
      </c>
    </row>
    <row r="34" spans="1:15" ht="15.75" thickBot="1">
      <c r="A34" s="245">
        <f>ELEC!C31</f>
        <v>44011</v>
      </c>
      <c r="B34" s="528"/>
      <c r="C34" s="528"/>
      <c r="D34" s="528"/>
      <c r="E34" s="528"/>
      <c r="F34" s="528"/>
      <c r="G34" s="528"/>
      <c r="H34" s="577">
        <f t="shared" si="4"/>
        <v>6294</v>
      </c>
      <c r="I34" s="528">
        <f t="shared" si="2"/>
        <v>0</v>
      </c>
      <c r="J34" s="506">
        <v>0.29166666666666702</v>
      </c>
      <c r="L34" s="100">
        <f t="shared" si="0"/>
        <v>44011</v>
      </c>
      <c r="M34" s="3">
        <f t="shared" si="3"/>
        <v>6194</v>
      </c>
      <c r="N34" s="3">
        <v>642</v>
      </c>
      <c r="O34" s="528">
        <f t="shared" si="1"/>
        <v>6836</v>
      </c>
    </row>
    <row r="35" spans="1:15">
      <c r="A35" s="421">
        <f>ELEC!C32</f>
        <v>44012</v>
      </c>
      <c r="B35" s="528"/>
      <c r="C35" s="528"/>
      <c r="D35" s="528"/>
      <c r="E35" s="528"/>
      <c r="F35" s="528"/>
      <c r="G35" s="528"/>
      <c r="H35" s="577">
        <f t="shared" si="4"/>
        <v>6294</v>
      </c>
      <c r="I35" s="528">
        <f t="shared" si="2"/>
        <v>0</v>
      </c>
      <c r="J35" s="508">
        <v>0.29166666666666702</v>
      </c>
      <c r="L35" s="100">
        <f t="shared" si="0"/>
        <v>44012</v>
      </c>
      <c r="M35" s="3">
        <f t="shared" si="3"/>
        <v>6194</v>
      </c>
      <c r="N35" s="3">
        <v>642</v>
      </c>
      <c r="O35" s="528">
        <f t="shared" si="1"/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L7" zoomScale="80" zoomScaleNormal="80" workbookViewId="0">
      <selection activeCell="AB16" sqref="AB16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720" t="s">
        <v>161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  <c r="O1" s="720"/>
      <c r="P1" s="720"/>
      <c r="Q1" s="720"/>
      <c r="R1" s="720"/>
      <c r="S1" s="720"/>
      <c r="T1" s="720"/>
      <c r="U1" s="720"/>
      <c r="V1" s="720"/>
      <c r="W1" s="720"/>
      <c r="X1" s="720"/>
    </row>
    <row r="2" spans="1:28" ht="19.5">
      <c r="A2" s="721"/>
      <c r="B2" s="721"/>
      <c r="C2" s="721"/>
      <c r="D2" s="721"/>
      <c r="E2" s="721"/>
      <c r="F2" s="721"/>
      <c r="G2" s="721"/>
      <c r="H2" s="721"/>
      <c r="I2" s="721"/>
      <c r="J2" s="721"/>
      <c r="K2" s="721"/>
      <c r="L2" s="721"/>
      <c r="M2" s="721"/>
      <c r="N2" s="721"/>
      <c r="O2" s="721"/>
      <c r="P2" s="721"/>
      <c r="Q2" s="721"/>
      <c r="R2" s="721"/>
      <c r="S2" s="721"/>
      <c r="T2" s="721"/>
      <c r="U2" s="721"/>
      <c r="V2" s="721"/>
      <c r="W2" s="721"/>
      <c r="X2" s="721"/>
    </row>
    <row r="3" spans="1:28" ht="19.5">
      <c r="A3" s="721" t="s">
        <v>162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721"/>
      <c r="N3" s="721"/>
      <c r="O3" s="721"/>
      <c r="P3" s="721"/>
      <c r="Q3" s="721"/>
      <c r="R3" s="721"/>
      <c r="S3" s="721"/>
      <c r="T3" s="721"/>
      <c r="U3" s="721"/>
      <c r="V3" s="721"/>
      <c r="W3" s="721"/>
      <c r="X3" s="721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721" t="s">
        <v>412</v>
      </c>
      <c r="B5" s="721"/>
      <c r="C5" s="721"/>
      <c r="D5" s="721"/>
      <c r="E5" s="721"/>
      <c r="F5" s="721"/>
      <c r="G5" s="721"/>
      <c r="H5" s="721"/>
      <c r="I5" s="721"/>
      <c r="J5" s="721"/>
      <c r="K5" s="721"/>
      <c r="L5" s="721"/>
      <c r="M5" s="721"/>
      <c r="N5" s="721"/>
      <c r="O5" s="721"/>
      <c r="P5" s="721"/>
      <c r="Q5" s="721"/>
      <c r="R5" s="721"/>
      <c r="S5" s="721"/>
      <c r="T5" s="721"/>
      <c r="U5" s="721"/>
      <c r="V5" s="721"/>
      <c r="W5" s="721"/>
      <c r="X5" s="721"/>
    </row>
    <row r="6" spans="1:28" ht="15.75" thickBot="1">
      <c r="A6" s="722"/>
      <c r="B6" s="722"/>
      <c r="C6" s="722"/>
      <c r="D6" s="722"/>
      <c r="E6" s="722"/>
      <c r="F6" s="722"/>
      <c r="G6" s="722"/>
      <c r="H6" s="722"/>
      <c r="I6" s="722"/>
      <c r="J6" s="722"/>
      <c r="K6" s="722"/>
      <c r="L6" s="722"/>
      <c r="M6" s="722"/>
      <c r="N6" s="722"/>
      <c r="O6" s="722"/>
      <c r="P6" s="722"/>
      <c r="Q6" s="722"/>
      <c r="R6" s="722"/>
      <c r="S6" s="722"/>
      <c r="T6" s="722"/>
      <c r="U6" s="722"/>
      <c r="V6" s="722"/>
      <c r="W6" s="722"/>
      <c r="X6" s="722"/>
    </row>
    <row r="7" spans="1:28" ht="15.75" thickBot="1">
      <c r="A7" s="710" t="s">
        <v>163</v>
      </c>
      <c r="B7" s="711"/>
      <c r="C7" s="712" t="s">
        <v>164</v>
      </c>
      <c r="D7" s="713"/>
      <c r="E7" s="713"/>
      <c r="F7" s="713"/>
      <c r="G7" s="713"/>
      <c r="H7" s="713"/>
      <c r="I7" s="713"/>
      <c r="J7" s="713"/>
      <c r="K7" s="714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'[2]Degree Days 2018'!B10</f>
        <v>16</v>
      </c>
      <c r="C10" s="279">
        <f>'[2]Degree Days 2018'!C10</f>
        <v>11</v>
      </c>
      <c r="D10" s="279">
        <f>(B10+C10)/2-18.3</f>
        <v>-4.8000000000000007</v>
      </c>
      <c r="E10" s="279">
        <f>'[5]Degree Days 2018'!E10</f>
        <v>1</v>
      </c>
      <c r="F10" s="279">
        <f>'[2]Degree Days 2018'!F10</f>
        <v>17</v>
      </c>
      <c r="G10" s="279">
        <f>'[2]Degree Days 2018'!G10</f>
        <v>12</v>
      </c>
      <c r="H10" s="279">
        <f>(F10+G10)/2-18.3</f>
        <v>-3.8000000000000007</v>
      </c>
      <c r="I10" s="279">
        <f>'[5]Degree Days 2018'!I10</f>
        <v>1</v>
      </c>
      <c r="J10" s="279">
        <f>'[2]Degree Days 2018'!J10</f>
        <v>17</v>
      </c>
      <c r="K10" s="279">
        <f>'[2]Degree Days 2018'!K10</f>
        <v>10</v>
      </c>
      <c r="L10" s="279">
        <f>(J10+K10)/2-18.3</f>
        <v>-4.8000000000000007</v>
      </c>
      <c r="M10" s="279">
        <f>'[5]Degree Days 2018'!M10</f>
        <v>1</v>
      </c>
      <c r="N10" s="279">
        <f>'[2]Degree Days 2018'!N10</f>
        <v>19</v>
      </c>
      <c r="O10" s="279">
        <f>'[2]Degree Days 2018'!O10</f>
        <v>14</v>
      </c>
      <c r="P10" s="279">
        <f>(N10+O10)/2-18.3</f>
        <v>-1.8000000000000007</v>
      </c>
      <c r="Q10" s="552">
        <v>1</v>
      </c>
      <c r="R10" s="279">
        <f>'[2]Degree Days 2018'!R10</f>
        <v>22</v>
      </c>
      <c r="S10" s="279">
        <f>'[2]Degree Days 2018'!S10</f>
        <v>16</v>
      </c>
      <c r="T10" s="279">
        <f>(R10+S10)/2-18.3</f>
        <v>0.69999999999999929</v>
      </c>
      <c r="U10" s="552">
        <v>1</v>
      </c>
      <c r="V10" s="279">
        <f>'General information '!B6</f>
        <v>25</v>
      </c>
      <c r="W10" s="279">
        <f>'General information '!C6</f>
        <v>20</v>
      </c>
      <c r="X10" s="279">
        <f>(V10+W10)/2-18.3</f>
        <v>4.1999999999999993</v>
      </c>
      <c r="Z10" t="s">
        <v>165</v>
      </c>
      <c r="AA10" s="279">
        <f>B43</f>
        <v>-148.80000000000001</v>
      </c>
      <c r="AB10" s="279">
        <f>'[6]Degree Days 2018'!AB10</f>
        <v>0</v>
      </c>
    </row>
    <row r="11" spans="1:28">
      <c r="A11" s="118">
        <v>2</v>
      </c>
      <c r="B11" s="279">
        <f>'[2]Degree Days 2018'!B11</f>
        <v>17</v>
      </c>
      <c r="C11" s="279">
        <f>'[2]Degree Days 2018'!C11</f>
        <v>12</v>
      </c>
      <c r="D11" s="279">
        <f t="shared" ref="D11:D40" si="0">(B11+C11)/2-18.3</f>
        <v>-3.8000000000000007</v>
      </c>
      <c r="E11" s="279">
        <f>'[5]Degree Days 2018'!E11</f>
        <v>2</v>
      </c>
      <c r="F11" s="279">
        <f>'[2]Degree Days 2018'!F11</f>
        <v>17</v>
      </c>
      <c r="G11" s="279">
        <f>'[2]Degree Days 2018'!G11</f>
        <v>11</v>
      </c>
      <c r="H11" s="279">
        <f t="shared" ref="H11:H40" si="1">(F11+G11)/2-18.3</f>
        <v>-4.3000000000000007</v>
      </c>
      <c r="I11" s="279">
        <f>'[5]Degree Days 2018'!I11</f>
        <v>2</v>
      </c>
      <c r="J11" s="279">
        <f>'[2]Degree Days 2018'!J11</f>
        <v>18</v>
      </c>
      <c r="K11" s="279">
        <f>'[2]Degree Days 2018'!K11</f>
        <v>11</v>
      </c>
      <c r="L11" s="279">
        <f t="shared" ref="L11:L40" si="2">(J11+K11)/2-18.3</f>
        <v>-3.8000000000000007</v>
      </c>
      <c r="M11" s="279">
        <f>'[5]Degree Days 2018'!M11</f>
        <v>2</v>
      </c>
      <c r="N11" s="279">
        <f>'[2]Degree Days 2018'!N11</f>
        <v>19</v>
      </c>
      <c r="O11" s="279">
        <f>'[2]Degree Days 2018'!O11</f>
        <v>15</v>
      </c>
      <c r="P11" s="279">
        <f t="shared" ref="P11:P40" si="3">(N11+O11)/2-18.3</f>
        <v>-1.3000000000000007</v>
      </c>
      <c r="Q11" s="552">
        <v>2</v>
      </c>
      <c r="R11" s="279">
        <f>'[2]Degree Days 2018'!R11</f>
        <v>21</v>
      </c>
      <c r="S11" s="279">
        <f>'[2]Degree Days 2018'!S11</f>
        <v>14</v>
      </c>
      <c r="T11" s="279">
        <f t="shared" ref="T11:T40" si="4">(R11+S11)/2-18.3</f>
        <v>-0.80000000000000071</v>
      </c>
      <c r="U11" s="552">
        <v>2</v>
      </c>
      <c r="V11" s="279">
        <f>'General information '!B7</f>
        <v>24</v>
      </c>
      <c r="W11" s="279">
        <f>'General information '!C7</f>
        <v>20</v>
      </c>
      <c r="X11" s="279">
        <f t="shared" ref="X11:X40" si="5">(V11+W11)/2-18.3</f>
        <v>3.6999999999999993</v>
      </c>
      <c r="Z11" t="s">
        <v>169</v>
      </c>
      <c r="AA11" s="279">
        <f>'[6]Degree Days 2018'!AA11</f>
        <v>-100.69999999999997</v>
      </c>
      <c r="AB11" s="279">
        <f>'[6]Degree Days 2018'!AB11</f>
        <v>2.2999999999999972</v>
      </c>
    </row>
    <row r="12" spans="1:28">
      <c r="A12" s="118">
        <v>3</v>
      </c>
      <c r="B12" s="279">
        <f>'[2]Degree Days 2018'!B12</f>
        <v>16</v>
      </c>
      <c r="C12" s="279">
        <f>'[2]Degree Days 2018'!C12</f>
        <v>12</v>
      </c>
      <c r="D12" s="279">
        <f t="shared" si="0"/>
        <v>-4.3000000000000007</v>
      </c>
      <c r="E12" s="279">
        <f>'[5]Degree Days 2018'!E12</f>
        <v>3</v>
      </c>
      <c r="F12" s="279">
        <f>'[2]Degree Days 2018'!F12</f>
        <v>16</v>
      </c>
      <c r="G12" s="279">
        <f>'[2]Degree Days 2018'!G12</f>
        <v>10</v>
      </c>
      <c r="H12" s="279">
        <f t="shared" si="1"/>
        <v>-5.3000000000000007</v>
      </c>
      <c r="I12" s="279">
        <f>'[5]Degree Days 2018'!I12</f>
        <v>3</v>
      </c>
      <c r="J12" s="279">
        <f>'[2]Degree Days 2018'!J12</f>
        <v>19</v>
      </c>
      <c r="K12" s="279">
        <f>'[2]Degree Days 2018'!K12</f>
        <v>12</v>
      </c>
      <c r="L12" s="279">
        <f t="shared" si="2"/>
        <v>-2.8000000000000007</v>
      </c>
      <c r="M12" s="279">
        <f>'[5]Degree Days 2018'!M12</f>
        <v>3</v>
      </c>
      <c r="N12" s="279">
        <f>'[2]Degree Days 2018'!N12</f>
        <v>20</v>
      </c>
      <c r="O12" s="279">
        <f>'[2]Degree Days 2018'!O12</f>
        <v>14</v>
      </c>
      <c r="P12" s="279">
        <f t="shared" si="3"/>
        <v>-1.3000000000000007</v>
      </c>
      <c r="Q12" s="552">
        <v>3</v>
      </c>
      <c r="R12" s="279">
        <f>'[2]Degree Days 2018'!R12</f>
        <v>24</v>
      </c>
      <c r="S12" s="279">
        <f>'[2]Degree Days 2018'!S12</f>
        <v>17</v>
      </c>
      <c r="T12" s="279">
        <f t="shared" si="4"/>
        <v>2.1999999999999993</v>
      </c>
      <c r="U12" s="552">
        <v>3</v>
      </c>
      <c r="V12" s="279">
        <f>'General information '!B8</f>
        <v>27</v>
      </c>
      <c r="W12" s="279">
        <f>'General information '!C8</f>
        <v>19</v>
      </c>
      <c r="X12" s="279">
        <f t="shared" si="5"/>
        <v>4.6999999999999993</v>
      </c>
      <c r="Z12" t="s">
        <v>170</v>
      </c>
      <c r="AA12" s="279">
        <f>F43</f>
        <v>-153.49999999999997</v>
      </c>
      <c r="AB12" s="279">
        <f>'[6]Degree Days 2018'!AB12</f>
        <v>0</v>
      </c>
    </row>
    <row r="13" spans="1:28">
      <c r="A13" s="118">
        <v>4</v>
      </c>
      <c r="B13" s="279">
        <f>'[2]Degree Days 2018'!B13</f>
        <v>15</v>
      </c>
      <c r="C13" s="279">
        <f>'[2]Degree Days 2018'!C13</f>
        <v>11</v>
      </c>
      <c r="D13" s="279">
        <f t="shared" si="0"/>
        <v>-5.3000000000000007</v>
      </c>
      <c r="E13" s="279">
        <f>'[5]Degree Days 2018'!E13</f>
        <v>4</v>
      </c>
      <c r="F13" s="279">
        <f>'[2]Degree Days 2018'!F13</f>
        <v>17</v>
      </c>
      <c r="G13" s="279">
        <f>'[2]Degree Days 2018'!G13</f>
        <v>13</v>
      </c>
      <c r="H13" s="279">
        <f t="shared" si="1"/>
        <v>-3.3000000000000007</v>
      </c>
      <c r="I13" s="279">
        <f>'[5]Degree Days 2018'!I13</f>
        <v>4</v>
      </c>
      <c r="J13" s="279">
        <f>'[2]Degree Days 2018'!J13</f>
        <v>19</v>
      </c>
      <c r="K13" s="279">
        <f>'[2]Degree Days 2018'!K13</f>
        <v>12</v>
      </c>
      <c r="L13" s="279">
        <f t="shared" si="2"/>
        <v>-2.8000000000000007</v>
      </c>
      <c r="M13" s="279">
        <f>'[5]Degree Days 2018'!M13</f>
        <v>4</v>
      </c>
      <c r="N13" s="279">
        <f>'[2]Degree Days 2018'!N13</f>
        <v>23</v>
      </c>
      <c r="O13" s="279">
        <f>'[2]Degree Days 2018'!O13</f>
        <v>14</v>
      </c>
      <c r="P13" s="279">
        <f t="shared" si="3"/>
        <v>0.19999999999999929</v>
      </c>
      <c r="Q13" s="552">
        <v>4</v>
      </c>
      <c r="R13" s="279">
        <f>'[2]Degree Days 2018'!R13</f>
        <v>23</v>
      </c>
      <c r="S13" s="279">
        <f>'[2]Degree Days 2018'!S13</f>
        <v>17</v>
      </c>
      <c r="T13" s="279">
        <f t="shared" si="4"/>
        <v>1.6999999999999993</v>
      </c>
      <c r="U13" s="552">
        <v>4</v>
      </c>
      <c r="V13" s="279">
        <f>'General information '!B9</f>
        <v>26</v>
      </c>
      <c r="W13" s="279">
        <f>'General information '!C9</f>
        <v>18</v>
      </c>
      <c r="X13" s="279">
        <f t="shared" si="5"/>
        <v>3.6999999999999993</v>
      </c>
      <c r="Z13" t="s">
        <v>171</v>
      </c>
      <c r="AA13" s="279">
        <f>N43</f>
        <v>-54.600000000000009</v>
      </c>
      <c r="AB13" s="279">
        <f>'[6]Degree Days 2018'!AB13</f>
        <v>33.199999999999989</v>
      </c>
    </row>
    <row r="14" spans="1:28">
      <c r="A14" s="118">
        <v>5</v>
      </c>
      <c r="B14" s="279">
        <f>'[2]Degree Days 2018'!B14</f>
        <v>15</v>
      </c>
      <c r="C14" s="279">
        <f>'[2]Degree Days 2018'!C14</f>
        <v>11</v>
      </c>
      <c r="D14" s="279">
        <f t="shared" si="0"/>
        <v>-5.3000000000000007</v>
      </c>
      <c r="E14" s="279">
        <f>'[5]Degree Days 2018'!E14</f>
        <v>5</v>
      </c>
      <c r="F14" s="279">
        <f>'[2]Degree Days 2018'!F14</f>
        <v>20</v>
      </c>
      <c r="G14" s="279">
        <f>'[2]Degree Days 2018'!G14</f>
        <v>15</v>
      </c>
      <c r="H14" s="279">
        <f t="shared" si="1"/>
        <v>-0.80000000000000071</v>
      </c>
      <c r="I14" s="279">
        <f>'[5]Degree Days 2018'!I14</f>
        <v>5</v>
      </c>
      <c r="J14" s="279">
        <f>'[2]Degree Days 2018'!J14</f>
        <v>19</v>
      </c>
      <c r="K14" s="279">
        <f>'[2]Degree Days 2018'!K14</f>
        <v>14</v>
      </c>
      <c r="L14" s="279">
        <f t="shared" si="2"/>
        <v>-1.8000000000000007</v>
      </c>
      <c r="M14" s="279">
        <f>'[5]Degree Days 2018'!M14</f>
        <v>5</v>
      </c>
      <c r="N14" s="279">
        <f>'[2]Degree Days 2018'!N14</f>
        <v>34</v>
      </c>
      <c r="O14" s="279">
        <f>'[2]Degree Days 2018'!O14</f>
        <v>17</v>
      </c>
      <c r="P14" s="279">
        <f t="shared" si="3"/>
        <v>7.1999999999999993</v>
      </c>
      <c r="Q14" s="552">
        <v>5</v>
      </c>
      <c r="R14" s="279">
        <f>'[2]Degree Days 2018'!R14</f>
        <v>22</v>
      </c>
      <c r="S14" s="279">
        <f>'[2]Degree Days 2018'!S14</f>
        <v>18</v>
      </c>
      <c r="T14" s="279">
        <f t="shared" si="4"/>
        <v>1.6999999999999993</v>
      </c>
      <c r="U14" s="552">
        <v>5</v>
      </c>
      <c r="V14" s="279">
        <f>'General information '!B10</f>
        <v>25</v>
      </c>
      <c r="W14" s="279">
        <f>'General information '!C10</f>
        <v>17</v>
      </c>
      <c r="X14" s="279">
        <f t="shared" si="5"/>
        <v>2.6999999999999993</v>
      </c>
      <c r="Z14" t="s">
        <v>172</v>
      </c>
      <c r="AA14" s="279">
        <f>R43</f>
        <v>-0.80000000000000071</v>
      </c>
      <c r="AB14" s="279">
        <f>'[6]Degree Days 2018'!AB14</f>
        <v>151</v>
      </c>
    </row>
    <row r="15" spans="1:28">
      <c r="A15" s="118">
        <v>6</v>
      </c>
      <c r="B15" s="279">
        <f>'[2]Degree Days 2018'!B15</f>
        <v>16</v>
      </c>
      <c r="C15" s="279">
        <f>'[2]Degree Days 2018'!C15</f>
        <v>12</v>
      </c>
      <c r="D15" s="279">
        <f t="shared" si="0"/>
        <v>-4.3000000000000007</v>
      </c>
      <c r="E15" s="279">
        <f>'[5]Degree Days 2018'!E15</f>
        <v>6</v>
      </c>
      <c r="F15" s="279">
        <f>'[2]Degree Days 2018'!F15</f>
        <v>22</v>
      </c>
      <c r="G15" s="279">
        <f>'[2]Degree Days 2018'!G15</f>
        <v>16</v>
      </c>
      <c r="H15" s="279">
        <f t="shared" si="1"/>
        <v>0.69999999999999929</v>
      </c>
      <c r="I15" s="279">
        <f>'[5]Degree Days 2018'!I15</f>
        <v>6</v>
      </c>
      <c r="J15" s="279">
        <f>'[2]Degree Days 2018'!J15</f>
        <v>18</v>
      </c>
      <c r="K15" s="279">
        <f>'[2]Degree Days 2018'!K15</f>
        <v>12</v>
      </c>
      <c r="L15" s="279">
        <f t="shared" si="2"/>
        <v>-3.3000000000000007</v>
      </c>
      <c r="M15" s="279">
        <f>'[5]Degree Days 2018'!M15</f>
        <v>6</v>
      </c>
      <c r="N15" s="279">
        <f>'[2]Degree Days 2018'!N15</f>
        <v>19</v>
      </c>
      <c r="O15" s="279">
        <f>'[2]Degree Days 2018'!O15</f>
        <v>17</v>
      </c>
      <c r="P15" s="279">
        <f t="shared" si="3"/>
        <v>-0.30000000000000071</v>
      </c>
      <c r="Q15" s="552">
        <v>6</v>
      </c>
      <c r="R15" s="279">
        <f>'[2]Degree Days 2018'!R15</f>
        <v>23</v>
      </c>
      <c r="S15" s="279">
        <f>'[2]Degree Days 2018'!S15</f>
        <v>17</v>
      </c>
      <c r="T15" s="279">
        <f t="shared" si="4"/>
        <v>1.6999999999999993</v>
      </c>
      <c r="U15" s="552">
        <v>6</v>
      </c>
      <c r="V15" s="279">
        <f>'General information '!B11</f>
        <v>26</v>
      </c>
      <c r="W15" s="279">
        <f>'General information '!C11</f>
        <v>18</v>
      </c>
      <c r="X15" s="279">
        <f t="shared" si="5"/>
        <v>3.6999999999999993</v>
      </c>
      <c r="Z15" t="s">
        <v>173</v>
      </c>
      <c r="AA15" s="279">
        <f>V43</f>
        <v>-237.90000000000006</v>
      </c>
      <c r="AB15" s="279">
        <f>W43</f>
        <v>89.100000000000023</v>
      </c>
    </row>
    <row r="16" spans="1:28">
      <c r="A16" s="118">
        <v>7</v>
      </c>
      <c r="B16" s="279">
        <f>'[2]Degree Days 2018'!B16</f>
        <v>16</v>
      </c>
      <c r="C16" s="279">
        <f>'[2]Degree Days 2018'!C16</f>
        <v>12</v>
      </c>
      <c r="D16" s="279">
        <f t="shared" si="0"/>
        <v>-4.3000000000000007</v>
      </c>
      <c r="E16" s="279">
        <f>'[5]Degree Days 2018'!E16</f>
        <v>7</v>
      </c>
      <c r="F16" s="279">
        <f>'[2]Degree Days 2018'!F16</f>
        <v>16</v>
      </c>
      <c r="G16" s="279">
        <f>'[2]Degree Days 2018'!G16</f>
        <v>10</v>
      </c>
      <c r="H16" s="279">
        <f t="shared" si="1"/>
        <v>-5.3000000000000007</v>
      </c>
      <c r="I16" s="279">
        <f>'[5]Degree Days 2018'!I16</f>
        <v>7</v>
      </c>
      <c r="J16" s="279">
        <f>'[2]Degree Days 2018'!J16</f>
        <v>18</v>
      </c>
      <c r="K16" s="279">
        <f>'[2]Degree Days 2018'!K16</f>
        <v>12</v>
      </c>
      <c r="L16" s="279">
        <f t="shared" si="2"/>
        <v>-3.3000000000000007</v>
      </c>
      <c r="M16" s="279">
        <f>'[5]Degree Days 2018'!M16</f>
        <v>7</v>
      </c>
      <c r="N16" s="279">
        <f>'[2]Degree Days 2018'!N16</f>
        <v>20</v>
      </c>
      <c r="O16" s="279">
        <f>'[2]Degree Days 2018'!O16</f>
        <v>16</v>
      </c>
      <c r="P16" s="279">
        <f t="shared" si="3"/>
        <v>-0.30000000000000071</v>
      </c>
      <c r="Q16" s="552">
        <v>7</v>
      </c>
      <c r="R16" s="279">
        <f>'[2]Degree Days 2018'!R16</f>
        <v>25</v>
      </c>
      <c r="S16" s="279">
        <f>'[2]Degree Days 2018'!S16</f>
        <v>18</v>
      </c>
      <c r="T16" s="279">
        <f t="shared" si="4"/>
        <v>3.1999999999999993</v>
      </c>
      <c r="U16" s="552">
        <v>7</v>
      </c>
      <c r="V16" s="279">
        <f>'General information '!B12</f>
        <v>27</v>
      </c>
      <c r="W16" s="279">
        <f>'General information '!C12</f>
        <v>21</v>
      </c>
      <c r="X16" s="279">
        <f t="shared" si="5"/>
        <v>5.6999999999999993</v>
      </c>
      <c r="Z16" t="s">
        <v>176</v>
      </c>
      <c r="AA16" s="279"/>
      <c r="AB16" s="279"/>
    </row>
    <row r="17" spans="1:28">
      <c r="A17" s="118">
        <v>8</v>
      </c>
      <c r="B17" s="279">
        <f>'[2]Degree Days 2018'!B17</f>
        <v>14</v>
      </c>
      <c r="C17" s="279">
        <f>'[2]Degree Days 2018'!C17</f>
        <v>11</v>
      </c>
      <c r="D17" s="279">
        <f t="shared" si="0"/>
        <v>-5.8000000000000007</v>
      </c>
      <c r="E17" s="279">
        <f>'[5]Degree Days 2018'!E17</f>
        <v>8</v>
      </c>
      <c r="F17" s="279">
        <f>'[2]Degree Days 2018'!F17</f>
        <v>14</v>
      </c>
      <c r="G17" s="279">
        <f>'[2]Degree Days 2018'!G17</f>
        <v>9</v>
      </c>
      <c r="H17" s="279">
        <f t="shared" si="1"/>
        <v>-6.8000000000000007</v>
      </c>
      <c r="I17" s="279">
        <f>'[5]Degree Days 2018'!I17</f>
        <v>8</v>
      </c>
      <c r="J17" s="279">
        <f>'[2]Degree Days 2018'!J17</f>
        <v>19</v>
      </c>
      <c r="K17" s="279">
        <f>'[2]Degree Days 2018'!K17</f>
        <v>13</v>
      </c>
      <c r="L17" s="279">
        <f t="shared" si="2"/>
        <v>-2.3000000000000007</v>
      </c>
      <c r="M17" s="279">
        <f>'[5]Degree Days 2018'!M17</f>
        <v>8</v>
      </c>
      <c r="N17" s="279">
        <f>'[2]Degree Days 2018'!N17</f>
        <v>19</v>
      </c>
      <c r="O17" s="279">
        <f>'[2]Degree Days 2018'!O17</f>
        <v>15</v>
      </c>
      <c r="P17" s="279">
        <f t="shared" si="3"/>
        <v>-1.3000000000000007</v>
      </c>
      <c r="Q17" s="552">
        <v>8</v>
      </c>
      <c r="R17" s="279">
        <f>'[2]Degree Days 2018'!R17</f>
        <v>23</v>
      </c>
      <c r="S17" s="279">
        <f>'[2]Degree Days 2018'!S17</f>
        <v>17</v>
      </c>
      <c r="T17" s="279">
        <f t="shared" si="4"/>
        <v>1.6999999999999993</v>
      </c>
      <c r="U17" s="552">
        <v>8</v>
      </c>
      <c r="V17" s="279">
        <f>'General information '!B13</f>
        <v>26</v>
      </c>
      <c r="W17" s="279">
        <f>'General information '!C13</f>
        <v>22</v>
      </c>
      <c r="X17" s="279">
        <f t="shared" si="5"/>
        <v>5.6999999999999993</v>
      </c>
      <c r="Z17" t="s">
        <v>177</v>
      </c>
      <c r="AA17" s="279"/>
      <c r="AB17" s="279"/>
    </row>
    <row r="18" spans="1:28">
      <c r="A18" s="118">
        <v>9</v>
      </c>
      <c r="B18" s="279">
        <f>'[2]Degree Days 2018'!B18</f>
        <v>14</v>
      </c>
      <c r="C18" s="279">
        <f>'[2]Degree Days 2018'!C18</f>
        <v>11</v>
      </c>
      <c r="D18" s="279">
        <f t="shared" si="0"/>
        <v>-5.8000000000000007</v>
      </c>
      <c r="E18" s="279">
        <f>'[5]Degree Days 2018'!E18</f>
        <v>9</v>
      </c>
      <c r="F18" s="279">
        <f>'[2]Degree Days 2018'!F18</f>
        <v>9</v>
      </c>
      <c r="G18" s="279">
        <f>'[2]Degree Days 2018'!G18</f>
        <v>8</v>
      </c>
      <c r="H18" s="279">
        <f t="shared" si="1"/>
        <v>-9.8000000000000007</v>
      </c>
      <c r="I18" s="279">
        <f>'[5]Degree Days 2018'!I18</f>
        <v>9</v>
      </c>
      <c r="J18" s="279">
        <f>'[2]Degree Days 2018'!J18</f>
        <v>20</v>
      </c>
      <c r="K18" s="279">
        <f>'[2]Degree Days 2018'!K18</f>
        <v>14</v>
      </c>
      <c r="L18" s="279">
        <f t="shared" si="2"/>
        <v>-1.3000000000000007</v>
      </c>
      <c r="M18" s="279">
        <f>'[5]Degree Days 2018'!M18</f>
        <v>9</v>
      </c>
      <c r="N18" s="279">
        <f>'[2]Degree Days 2018'!N18</f>
        <v>18</v>
      </c>
      <c r="O18" s="279">
        <f>'[2]Degree Days 2018'!O18</f>
        <v>15</v>
      </c>
      <c r="P18" s="279">
        <f t="shared" si="3"/>
        <v>-1.8000000000000007</v>
      </c>
      <c r="Q18" s="552">
        <v>9</v>
      </c>
      <c r="R18" s="279">
        <f>'[2]Degree Days 2018'!R18</f>
        <v>24</v>
      </c>
      <c r="S18" s="279">
        <f>'[2]Degree Days 2018'!S18</f>
        <v>18</v>
      </c>
      <c r="T18" s="279">
        <f t="shared" si="4"/>
        <v>2.6999999999999993</v>
      </c>
      <c r="U18" s="552">
        <v>9</v>
      </c>
      <c r="V18" s="279">
        <f>'General information '!B14</f>
        <v>28</v>
      </c>
      <c r="W18" s="279">
        <f>'General information '!C14</f>
        <v>20</v>
      </c>
      <c r="X18" s="279">
        <f t="shared" si="5"/>
        <v>5.6999999999999993</v>
      </c>
      <c r="Z18" t="s">
        <v>178</v>
      </c>
      <c r="AA18" s="279"/>
      <c r="AB18" s="279"/>
    </row>
    <row r="19" spans="1:28">
      <c r="A19" s="118">
        <v>10</v>
      </c>
      <c r="B19" s="279">
        <f>'[2]Degree Days 2018'!B19</f>
        <v>17</v>
      </c>
      <c r="C19" s="279">
        <f>'[2]Degree Days 2018'!C19</f>
        <v>12</v>
      </c>
      <c r="D19" s="279">
        <f t="shared" si="0"/>
        <v>-3.8000000000000007</v>
      </c>
      <c r="E19" s="279">
        <f>'[5]Degree Days 2018'!E19</f>
        <v>10</v>
      </c>
      <c r="F19" s="279">
        <f>'[2]Degree Days 2018'!F19</f>
        <v>10</v>
      </c>
      <c r="G19" s="279">
        <f>'[2]Degree Days 2018'!G19</f>
        <v>7</v>
      </c>
      <c r="H19" s="279">
        <f t="shared" si="1"/>
        <v>-9.8000000000000007</v>
      </c>
      <c r="I19" s="279">
        <f>'[5]Degree Days 2018'!I19</f>
        <v>10</v>
      </c>
      <c r="J19" s="279">
        <f>'[2]Degree Days 2018'!J19</f>
        <v>19</v>
      </c>
      <c r="K19" s="279">
        <f>'[2]Degree Days 2018'!K19</f>
        <v>16</v>
      </c>
      <c r="L19" s="279">
        <f t="shared" si="2"/>
        <v>-0.80000000000000071</v>
      </c>
      <c r="M19" s="279">
        <f>'[5]Degree Days 2018'!M19</f>
        <v>10</v>
      </c>
      <c r="N19" s="279">
        <f>'[2]Degree Days 2018'!N19</f>
        <v>16</v>
      </c>
      <c r="O19" s="279">
        <f>'[2]Degree Days 2018'!O19</f>
        <v>13</v>
      </c>
      <c r="P19" s="279">
        <f t="shared" si="3"/>
        <v>-3.8000000000000007</v>
      </c>
      <c r="Q19" s="552">
        <v>10</v>
      </c>
      <c r="R19" s="279">
        <f>'[2]Degree Days 2018'!R19</f>
        <v>23</v>
      </c>
      <c r="S19" s="279">
        <f>'[2]Degree Days 2018'!S19</f>
        <v>17</v>
      </c>
      <c r="T19" s="279">
        <f t="shared" si="4"/>
        <v>1.6999999999999993</v>
      </c>
      <c r="U19" s="552">
        <v>10</v>
      </c>
      <c r="V19" s="279">
        <f>'General information '!B15</f>
        <v>28</v>
      </c>
      <c r="W19" s="279">
        <f>'General information '!C15</f>
        <v>20</v>
      </c>
      <c r="X19" s="279">
        <f t="shared" si="5"/>
        <v>5.6999999999999993</v>
      </c>
      <c r="Z19" t="s">
        <v>179</v>
      </c>
      <c r="AA19" s="279"/>
      <c r="AB19" s="279"/>
    </row>
    <row r="20" spans="1:28">
      <c r="A20" s="118">
        <v>11</v>
      </c>
      <c r="B20" s="279">
        <f>'[2]Degree Days 2018'!B20</f>
        <v>17</v>
      </c>
      <c r="C20" s="279">
        <f>'[2]Degree Days 2018'!C20</f>
        <v>13</v>
      </c>
      <c r="D20" s="279">
        <f t="shared" si="0"/>
        <v>-3.3000000000000007</v>
      </c>
      <c r="E20" s="279">
        <f>'[5]Degree Days 2018'!E20</f>
        <v>11</v>
      </c>
      <c r="F20" s="279">
        <f>'[2]Degree Days 2018'!F20</f>
        <v>14</v>
      </c>
      <c r="G20" s="279">
        <f>'[2]Degree Days 2018'!G20</f>
        <v>8</v>
      </c>
      <c r="H20" s="279">
        <f t="shared" si="1"/>
        <v>-7.3000000000000007</v>
      </c>
      <c r="I20" s="279">
        <f>'[5]Degree Days 2018'!I20</f>
        <v>11</v>
      </c>
      <c r="J20" s="279">
        <f>'[2]Degree Days 2018'!J20</f>
        <v>18</v>
      </c>
      <c r="K20" s="279">
        <f>'[2]Degree Days 2018'!K20</f>
        <v>14</v>
      </c>
      <c r="L20" s="279">
        <f t="shared" si="2"/>
        <v>-2.3000000000000007</v>
      </c>
      <c r="M20" s="279">
        <f>'[5]Degree Days 2018'!M20</f>
        <v>11</v>
      </c>
      <c r="N20" s="279">
        <f>'[2]Degree Days 2018'!N20</f>
        <v>17</v>
      </c>
      <c r="O20" s="279">
        <f>'[2]Degree Days 2018'!O20</f>
        <v>14</v>
      </c>
      <c r="P20" s="279">
        <f t="shared" si="3"/>
        <v>-2.8000000000000007</v>
      </c>
      <c r="Q20" s="552">
        <v>11</v>
      </c>
      <c r="R20" s="279">
        <f>'[2]Degree Days 2018'!R20</f>
        <v>23</v>
      </c>
      <c r="S20" s="279">
        <f>'[2]Degree Days 2018'!S20</f>
        <v>18</v>
      </c>
      <c r="T20" s="279">
        <f t="shared" si="4"/>
        <v>2.1999999999999993</v>
      </c>
      <c r="U20" s="552">
        <v>11</v>
      </c>
      <c r="V20" s="279">
        <f>'General information '!B16</f>
        <v>28</v>
      </c>
      <c r="W20" s="279">
        <f>'General information '!C16</f>
        <v>20</v>
      </c>
      <c r="X20" s="279">
        <f t="shared" si="5"/>
        <v>5.6999999999999993</v>
      </c>
      <c r="Z20" t="s">
        <v>180</v>
      </c>
      <c r="AA20" s="279"/>
      <c r="AB20" s="279"/>
    </row>
    <row r="21" spans="1:28">
      <c r="A21" s="118">
        <v>12</v>
      </c>
      <c r="B21" s="279">
        <f>'[2]Degree Days 2018'!B21</f>
        <v>16</v>
      </c>
      <c r="C21" s="279">
        <f>'[2]Degree Days 2018'!C21</f>
        <v>12</v>
      </c>
      <c r="D21" s="279">
        <f t="shared" si="0"/>
        <v>-4.3000000000000007</v>
      </c>
      <c r="E21" s="279">
        <f>'[5]Degree Days 2018'!E21</f>
        <v>12</v>
      </c>
      <c r="F21" s="279">
        <f>'[2]Degree Days 2018'!F21</f>
        <v>16</v>
      </c>
      <c r="G21" s="279">
        <f>'[2]Degree Days 2018'!G21</f>
        <v>13</v>
      </c>
      <c r="H21" s="279">
        <f t="shared" si="1"/>
        <v>-3.8000000000000007</v>
      </c>
      <c r="I21" s="279">
        <f>'[5]Degree Days 2018'!I21</f>
        <v>12</v>
      </c>
      <c r="J21" s="279">
        <f>'[2]Degree Days 2018'!J21</f>
        <v>27</v>
      </c>
      <c r="K21" s="279">
        <f>'[2]Degree Days 2018'!K21</f>
        <v>16</v>
      </c>
      <c r="L21" s="279">
        <f t="shared" si="2"/>
        <v>3.1999999999999993</v>
      </c>
      <c r="M21" s="279">
        <f>'[5]Degree Days 2018'!M21</f>
        <v>12</v>
      </c>
      <c r="N21" s="279">
        <f>'[2]Degree Days 2018'!N21</f>
        <v>20</v>
      </c>
      <c r="O21" s="279">
        <f>'[2]Degree Days 2018'!O21</f>
        <v>14</v>
      </c>
      <c r="P21" s="279">
        <f t="shared" si="3"/>
        <v>-1.3000000000000007</v>
      </c>
      <c r="Q21" s="552">
        <v>12</v>
      </c>
      <c r="R21" s="279">
        <f>'[2]Degree Days 2018'!R21</f>
        <v>24</v>
      </c>
      <c r="S21" s="279">
        <f>'[2]Degree Days 2018'!S21</f>
        <v>18</v>
      </c>
      <c r="T21" s="279">
        <f t="shared" si="4"/>
        <v>2.6999999999999993</v>
      </c>
      <c r="U21" s="552">
        <v>12</v>
      </c>
      <c r="V21" s="279">
        <f>'General information '!B17</f>
        <v>27</v>
      </c>
      <c r="W21" s="279">
        <f>'General information '!C17</f>
        <v>20</v>
      </c>
      <c r="X21" s="279">
        <f t="shared" si="5"/>
        <v>5.1999999999999993</v>
      </c>
      <c r="Z21" t="s">
        <v>181</v>
      </c>
      <c r="AA21" s="135">
        <f t="shared" ref="AA21" si="6">SUM(B54)</f>
        <v>27</v>
      </c>
      <c r="AB21" s="135">
        <f t="shared" ref="AB21" si="7">SUM(C54)</f>
        <v>21</v>
      </c>
    </row>
    <row r="22" spans="1:28">
      <c r="A22" s="118">
        <v>13</v>
      </c>
      <c r="B22" s="279">
        <f>'[2]Degree Days 2018'!B22</f>
        <v>17</v>
      </c>
      <c r="C22" s="279">
        <f>'[2]Degree Days 2018'!C22</f>
        <v>13</v>
      </c>
      <c r="D22" s="279">
        <f t="shared" si="0"/>
        <v>-3.3000000000000007</v>
      </c>
      <c r="E22" s="279">
        <f>'[5]Degree Days 2018'!E22</f>
        <v>13</v>
      </c>
      <c r="F22" s="279">
        <f>'[2]Degree Days 2018'!F22</f>
        <v>17</v>
      </c>
      <c r="G22" s="279">
        <f>'[2]Degree Days 2018'!G22</f>
        <v>14</v>
      </c>
      <c r="H22" s="279">
        <f t="shared" si="1"/>
        <v>-2.8000000000000007</v>
      </c>
      <c r="I22" s="279">
        <f>'[5]Degree Days 2018'!I22</f>
        <v>13</v>
      </c>
      <c r="J22" s="279">
        <f>'[2]Degree Days 2018'!J22</f>
        <v>26</v>
      </c>
      <c r="K22" s="279">
        <f>'[2]Degree Days 2018'!K22</f>
        <v>15</v>
      </c>
      <c r="L22" s="279">
        <f t="shared" si="2"/>
        <v>2.1999999999999993</v>
      </c>
      <c r="M22" s="279">
        <f>'[5]Degree Days 2018'!M22</f>
        <v>13</v>
      </c>
      <c r="N22" s="279">
        <f>'[2]Degree Days 2018'!N22</f>
        <v>21</v>
      </c>
      <c r="O22" s="279">
        <f>'[2]Degree Days 2018'!O22</f>
        <v>15</v>
      </c>
      <c r="P22" s="279">
        <f t="shared" si="3"/>
        <v>-0.30000000000000071</v>
      </c>
      <c r="Q22" s="552">
        <v>13</v>
      </c>
      <c r="R22" s="279">
        <f>'[2]Degree Days 2018'!R22</f>
        <v>27</v>
      </c>
      <c r="S22" s="279">
        <f>'[2]Degree Days 2018'!S22</f>
        <v>21</v>
      </c>
      <c r="T22" s="279">
        <f t="shared" si="4"/>
        <v>5.6999999999999993</v>
      </c>
      <c r="U22" s="552">
        <v>13</v>
      </c>
      <c r="V22" s="279">
        <f>'General information '!B18</f>
        <v>25</v>
      </c>
      <c r="W22" s="279">
        <f>'General information '!C18</f>
        <v>20</v>
      </c>
      <c r="X22" s="279">
        <f t="shared" si="5"/>
        <v>4.1999999999999993</v>
      </c>
    </row>
    <row r="23" spans="1:28">
      <c r="A23" s="118">
        <v>14</v>
      </c>
      <c r="B23" s="279">
        <f>'[2]Degree Days 2018'!B23</f>
        <v>16</v>
      </c>
      <c r="C23" s="279">
        <f>'[2]Degree Days 2018'!C23</f>
        <v>12</v>
      </c>
      <c r="D23" s="279">
        <f t="shared" si="0"/>
        <v>-4.3000000000000007</v>
      </c>
      <c r="E23" s="279">
        <f>'[5]Degree Days 2018'!E23</f>
        <v>14</v>
      </c>
      <c r="F23" s="279">
        <f>'[2]Degree Days 2018'!F23</f>
        <v>17</v>
      </c>
      <c r="G23" s="279">
        <f>'[2]Degree Days 2018'!G23</f>
        <v>11</v>
      </c>
      <c r="H23" s="279">
        <f t="shared" si="1"/>
        <v>-4.3000000000000007</v>
      </c>
      <c r="I23" s="279">
        <f>'[5]Degree Days 2018'!I23</f>
        <v>14</v>
      </c>
      <c r="J23" s="279">
        <f>'[2]Degree Days 2018'!J23</f>
        <v>19</v>
      </c>
      <c r="K23" s="279">
        <f>'[2]Degree Days 2018'!K23</f>
        <v>15</v>
      </c>
      <c r="L23" s="279">
        <f t="shared" si="2"/>
        <v>-1.3000000000000007</v>
      </c>
      <c r="M23" s="279">
        <f>'[5]Degree Days 2018'!M23</f>
        <v>14</v>
      </c>
      <c r="N23" s="279">
        <f>'[2]Degree Days 2018'!N23</f>
        <v>22</v>
      </c>
      <c r="O23" s="279">
        <f>'[2]Degree Days 2018'!O23</f>
        <v>16</v>
      </c>
      <c r="P23" s="279">
        <f t="shared" si="3"/>
        <v>0.69999999999999929</v>
      </c>
      <c r="Q23" s="552">
        <v>14</v>
      </c>
      <c r="R23" s="279">
        <f>'[2]Degree Days 2018'!R23</f>
        <v>29</v>
      </c>
      <c r="S23" s="279">
        <f>'[2]Degree Days 2018'!S23</f>
        <v>22</v>
      </c>
      <c r="T23" s="279">
        <f t="shared" si="4"/>
        <v>7.1999999999999993</v>
      </c>
      <c r="U23" s="552">
        <v>14</v>
      </c>
      <c r="V23" s="279">
        <f>'General information '!B19</f>
        <v>26</v>
      </c>
      <c r="W23" s="279">
        <f>'General information '!C19</f>
        <v>21</v>
      </c>
      <c r="X23" s="279">
        <f t="shared" si="5"/>
        <v>5.1999999999999993</v>
      </c>
      <c r="AA23" s="135">
        <f>SUM(AA10:AA22)</f>
        <v>-669.30000000000007</v>
      </c>
      <c r="AB23" s="135">
        <f>SUM(AB10:AB22)</f>
        <v>296.60000000000002</v>
      </c>
    </row>
    <row r="24" spans="1:28">
      <c r="A24" s="118">
        <v>15</v>
      </c>
      <c r="B24" s="279">
        <f>'[2]Degree Days 2018'!B24</f>
        <v>17</v>
      </c>
      <c r="C24" s="279">
        <f>'[2]Degree Days 2018'!C24</f>
        <v>13</v>
      </c>
      <c r="D24" s="279">
        <f t="shared" si="0"/>
        <v>-3.3000000000000007</v>
      </c>
      <c r="E24" s="279">
        <f>'[5]Degree Days 2018'!E24</f>
        <v>15</v>
      </c>
      <c r="F24" s="279">
        <f>'[2]Degree Days 2018'!F24</f>
        <v>17</v>
      </c>
      <c r="G24" s="279">
        <f>'[2]Degree Days 2018'!G24</f>
        <v>12</v>
      </c>
      <c r="H24" s="279">
        <f t="shared" si="1"/>
        <v>-3.8000000000000007</v>
      </c>
      <c r="I24" s="279">
        <f>'[5]Degree Days 2018'!I24</f>
        <v>15</v>
      </c>
      <c r="J24" s="279">
        <f>'[2]Degree Days 2018'!J24</f>
        <v>19</v>
      </c>
      <c r="K24" s="279">
        <f>'[2]Degree Days 2018'!K24</f>
        <v>15</v>
      </c>
      <c r="L24" s="279">
        <f t="shared" si="2"/>
        <v>-1.3000000000000007</v>
      </c>
      <c r="M24" s="279">
        <f>'[5]Degree Days 2018'!M24</f>
        <v>15</v>
      </c>
      <c r="N24" s="279">
        <f>'[2]Degree Days 2018'!N24</f>
        <v>20</v>
      </c>
      <c r="O24" s="279">
        <f>'[2]Degree Days 2018'!O24</f>
        <v>16</v>
      </c>
      <c r="P24" s="279">
        <f t="shared" si="3"/>
        <v>-0.30000000000000071</v>
      </c>
      <c r="Q24" s="552">
        <v>15</v>
      </c>
      <c r="R24" s="279">
        <f>'[2]Degree Days 2018'!R24</f>
        <v>30</v>
      </c>
      <c r="S24" s="279">
        <f>'[2]Degree Days 2018'!S24</f>
        <v>23</v>
      </c>
      <c r="T24" s="279">
        <f t="shared" si="4"/>
        <v>8.1999999999999993</v>
      </c>
      <c r="U24" s="552">
        <v>15</v>
      </c>
      <c r="V24" s="279">
        <f>'General information '!B20</f>
        <v>26</v>
      </c>
      <c r="W24" s="279">
        <f>'General information '!C20</f>
        <v>20</v>
      </c>
      <c r="X24" s="279">
        <f t="shared" si="5"/>
        <v>4.6999999999999993</v>
      </c>
    </row>
    <row r="25" spans="1:28">
      <c r="A25" s="118">
        <v>16</v>
      </c>
      <c r="B25" s="279">
        <f>'[2]Degree Days 2018'!B25</f>
        <v>19</v>
      </c>
      <c r="C25" s="279">
        <f>'[2]Degree Days 2018'!C25</f>
        <v>13</v>
      </c>
      <c r="D25" s="279">
        <f t="shared" si="0"/>
        <v>-2.3000000000000007</v>
      </c>
      <c r="E25" s="279">
        <f>'[5]Degree Days 2018'!E25</f>
        <v>16</v>
      </c>
      <c r="F25" s="279">
        <f>'[2]Degree Days 2018'!F25</f>
        <v>17</v>
      </c>
      <c r="G25" s="279">
        <f>'[2]Degree Days 2018'!G25</f>
        <v>11</v>
      </c>
      <c r="H25" s="279">
        <f t="shared" si="1"/>
        <v>-4.3000000000000007</v>
      </c>
      <c r="I25" s="279">
        <f>'[5]Degree Days 2018'!I25</f>
        <v>16</v>
      </c>
      <c r="J25" s="279">
        <f>'[2]Degree Days 2018'!J25</f>
        <v>18</v>
      </c>
      <c r="K25" s="279">
        <f>'[2]Degree Days 2018'!K25</f>
        <v>11</v>
      </c>
      <c r="L25" s="279">
        <f t="shared" si="2"/>
        <v>-3.8000000000000007</v>
      </c>
      <c r="M25" s="279">
        <f>'[5]Degree Days 2018'!M25</f>
        <v>16</v>
      </c>
      <c r="N25" s="279">
        <f>'[2]Degree Days 2018'!N25</f>
        <v>20</v>
      </c>
      <c r="O25" s="279">
        <f>'[2]Degree Days 2018'!O25</f>
        <v>15</v>
      </c>
      <c r="P25" s="279">
        <f t="shared" si="3"/>
        <v>-0.80000000000000071</v>
      </c>
      <c r="Q25" s="552">
        <v>16</v>
      </c>
      <c r="R25" s="279">
        <f>'[2]Degree Days 2018'!R25</f>
        <v>32</v>
      </c>
      <c r="S25" s="279">
        <f>'[2]Degree Days 2018'!S25</f>
        <v>24</v>
      </c>
      <c r="T25" s="279">
        <f t="shared" si="4"/>
        <v>9.6999999999999993</v>
      </c>
      <c r="U25" s="552">
        <v>16</v>
      </c>
      <c r="V25" s="279">
        <f>'General information '!B21</f>
        <v>26</v>
      </c>
      <c r="W25" s="279">
        <f>'General information '!C21</f>
        <v>21</v>
      </c>
      <c r="X25" s="279">
        <f t="shared" si="5"/>
        <v>5.1999999999999993</v>
      </c>
    </row>
    <row r="26" spans="1:28">
      <c r="A26" s="118">
        <v>17</v>
      </c>
      <c r="B26" s="279">
        <f>'[2]Degree Days 2018'!B26</f>
        <v>20</v>
      </c>
      <c r="C26" s="279">
        <f>'[2]Degree Days 2018'!C26</f>
        <v>13</v>
      </c>
      <c r="D26" s="279">
        <f t="shared" si="0"/>
        <v>-1.8000000000000007</v>
      </c>
      <c r="E26" s="279">
        <f>'[5]Degree Days 2018'!E26</f>
        <v>17</v>
      </c>
      <c r="F26" s="279">
        <f>'[2]Degree Days 2018'!F26</f>
        <v>16</v>
      </c>
      <c r="G26" s="279">
        <f>'[2]Degree Days 2018'!G26</f>
        <v>12</v>
      </c>
      <c r="H26" s="279">
        <f t="shared" si="1"/>
        <v>-4.3000000000000007</v>
      </c>
      <c r="I26" s="279">
        <f>'[5]Degree Days 2018'!I26</f>
        <v>17</v>
      </c>
      <c r="J26" s="279">
        <f>'[2]Degree Days 2018'!J26</f>
        <v>19</v>
      </c>
      <c r="K26" s="279">
        <f>'[2]Degree Days 2018'!K26</f>
        <v>12</v>
      </c>
      <c r="L26" s="279">
        <f t="shared" si="2"/>
        <v>-2.8000000000000007</v>
      </c>
      <c r="M26" s="279">
        <f>'[5]Degree Days 2018'!M26</f>
        <v>17</v>
      </c>
      <c r="N26" s="279">
        <f>'[2]Degree Days 2018'!N26</f>
        <v>22</v>
      </c>
      <c r="O26" s="279">
        <f>'[2]Degree Days 2018'!O26</f>
        <v>17</v>
      </c>
      <c r="P26" s="279">
        <f t="shared" si="3"/>
        <v>1.1999999999999993</v>
      </c>
      <c r="Q26" s="552">
        <v>17</v>
      </c>
      <c r="R26" s="279">
        <f>'[2]Degree Days 2018'!R26</f>
        <v>36</v>
      </c>
      <c r="S26" s="279">
        <f>'[2]Degree Days 2018'!S26</f>
        <v>26</v>
      </c>
      <c r="T26" s="279">
        <f t="shared" si="4"/>
        <v>12.7</v>
      </c>
      <c r="U26" s="552">
        <v>17</v>
      </c>
      <c r="V26" s="279">
        <f>'General information '!B22</f>
        <v>27</v>
      </c>
      <c r="W26" s="279">
        <f>'General information '!C22</f>
        <v>22</v>
      </c>
      <c r="X26" s="279">
        <f t="shared" si="5"/>
        <v>6.1999999999999993</v>
      </c>
    </row>
    <row r="27" spans="1:28">
      <c r="A27" s="118">
        <v>18</v>
      </c>
      <c r="B27" s="279">
        <f>'[2]Degree Days 2018'!B27</f>
        <v>14</v>
      </c>
      <c r="C27" s="279">
        <f>'[2]Degree Days 2018'!C27</f>
        <v>13</v>
      </c>
      <c r="D27" s="279">
        <f t="shared" si="0"/>
        <v>-4.8000000000000007</v>
      </c>
      <c r="E27" s="279">
        <f>'[5]Degree Days 2018'!E27</f>
        <v>18</v>
      </c>
      <c r="F27" s="279">
        <f>'[2]Degree Days 2018'!F27</f>
        <v>17</v>
      </c>
      <c r="G27" s="279">
        <f>'[2]Degree Days 2018'!G27</f>
        <v>11</v>
      </c>
      <c r="H27" s="279">
        <f t="shared" si="1"/>
        <v>-4.3000000000000007</v>
      </c>
      <c r="I27" s="279">
        <f>'[5]Degree Days 2018'!I27</f>
        <v>18</v>
      </c>
      <c r="J27" s="279">
        <f>'[2]Degree Days 2018'!J27</f>
        <v>15</v>
      </c>
      <c r="K27" s="279">
        <f>'[2]Degree Days 2018'!K27</f>
        <v>13</v>
      </c>
      <c r="L27" s="279">
        <f t="shared" si="2"/>
        <v>-4.3000000000000007</v>
      </c>
      <c r="M27" s="279">
        <f>'[5]Degree Days 2018'!M27</f>
        <v>18</v>
      </c>
      <c r="N27" s="279">
        <f>'[2]Degree Days 2018'!N27</f>
        <v>24</v>
      </c>
      <c r="O27" s="279">
        <f>'[2]Degree Days 2018'!O27</f>
        <v>17</v>
      </c>
      <c r="P27" s="279">
        <f t="shared" si="3"/>
        <v>2.1999999999999993</v>
      </c>
      <c r="Q27" s="552">
        <v>18</v>
      </c>
      <c r="R27" s="279">
        <f>'[2]Degree Days 2018'!R27</f>
        <v>32</v>
      </c>
      <c r="S27" s="279">
        <f>'[2]Degree Days 2018'!S27</f>
        <v>24</v>
      </c>
      <c r="T27" s="279">
        <f t="shared" si="4"/>
        <v>9.6999999999999993</v>
      </c>
      <c r="U27" s="552">
        <v>18</v>
      </c>
      <c r="V27" s="279">
        <f>'General information '!B23</f>
        <v>27</v>
      </c>
      <c r="W27" s="279">
        <f>'General information '!C23</f>
        <v>24</v>
      </c>
      <c r="X27" s="279">
        <f t="shared" si="5"/>
        <v>7.1999999999999993</v>
      </c>
    </row>
    <row r="28" spans="1:28">
      <c r="A28" s="118">
        <v>19</v>
      </c>
      <c r="B28" s="279">
        <f>'[2]Degree Days 2018'!B28</f>
        <v>15</v>
      </c>
      <c r="C28" s="279">
        <f>'[2]Degree Days 2018'!C28</f>
        <v>13</v>
      </c>
      <c r="D28" s="279">
        <f t="shared" si="0"/>
        <v>-4.3000000000000007</v>
      </c>
      <c r="E28" s="279">
        <f>'[5]Degree Days 2018'!E28</f>
        <v>19</v>
      </c>
      <c r="F28" s="279">
        <f>'[2]Degree Days 2018'!F28</f>
        <v>17</v>
      </c>
      <c r="G28" s="279">
        <f>'[2]Degree Days 2018'!G28</f>
        <v>14</v>
      </c>
      <c r="H28" s="279">
        <f t="shared" si="1"/>
        <v>-2.8000000000000007</v>
      </c>
      <c r="I28" s="279">
        <f>'[5]Degree Days 2018'!I28</f>
        <v>19</v>
      </c>
      <c r="J28" s="279">
        <f>'[2]Degree Days 2018'!J28</f>
        <v>17</v>
      </c>
      <c r="K28" s="279">
        <f>'[2]Degree Days 2018'!K28</f>
        <v>14</v>
      </c>
      <c r="L28" s="279">
        <f t="shared" si="2"/>
        <v>-2.8000000000000007</v>
      </c>
      <c r="M28" s="279">
        <f>'[5]Degree Days 2018'!M28</f>
        <v>19</v>
      </c>
      <c r="N28" s="279">
        <f>'[2]Degree Days 2018'!N28</f>
        <v>24</v>
      </c>
      <c r="O28" s="279">
        <f>'[2]Degree Days 2018'!O28</f>
        <v>17</v>
      </c>
      <c r="P28" s="279">
        <f t="shared" si="3"/>
        <v>2.1999999999999993</v>
      </c>
      <c r="Q28" s="552">
        <v>19</v>
      </c>
      <c r="R28" s="279">
        <f>'[2]Degree Days 2018'!R28</f>
        <v>34</v>
      </c>
      <c r="S28" s="279">
        <f>'[2]Degree Days 2018'!S28</f>
        <v>27</v>
      </c>
      <c r="T28" s="279">
        <f t="shared" si="4"/>
        <v>12.2</v>
      </c>
      <c r="U28" s="552">
        <v>19</v>
      </c>
      <c r="V28" s="279">
        <f>'General information '!B24</f>
        <v>0</v>
      </c>
      <c r="W28" s="279">
        <f>'General information '!C24</f>
        <v>0</v>
      </c>
      <c r="X28" s="279">
        <f t="shared" si="5"/>
        <v>-18.3</v>
      </c>
    </row>
    <row r="29" spans="1:28">
      <c r="A29" s="118">
        <v>20</v>
      </c>
      <c r="B29" s="279">
        <f>'[2]Degree Days 2018'!B29</f>
        <v>15</v>
      </c>
      <c r="C29" s="279">
        <f>'[2]Degree Days 2018'!C29</f>
        <v>10</v>
      </c>
      <c r="D29" s="279">
        <f t="shared" si="0"/>
        <v>-5.8000000000000007</v>
      </c>
      <c r="E29" s="279">
        <f>'[5]Degree Days 2018'!E29</f>
        <v>20</v>
      </c>
      <c r="F29" s="279">
        <f>'[2]Degree Days 2018'!F29</f>
        <v>17</v>
      </c>
      <c r="G29" s="279">
        <f>'[2]Degree Days 2018'!G29</f>
        <v>14</v>
      </c>
      <c r="H29" s="279">
        <f t="shared" si="1"/>
        <v>-2.8000000000000007</v>
      </c>
      <c r="I29" s="279">
        <f>'[5]Degree Days 2018'!I29</f>
        <v>20</v>
      </c>
      <c r="J29" s="279">
        <f>'[2]Degree Days 2018'!J29</f>
        <v>16</v>
      </c>
      <c r="K29" s="279">
        <f>'[2]Degree Days 2018'!K29</f>
        <v>13</v>
      </c>
      <c r="L29" s="279">
        <f t="shared" si="2"/>
        <v>-3.8000000000000007</v>
      </c>
      <c r="M29" s="279">
        <f>'[5]Degree Days 2018'!M29</f>
        <v>20</v>
      </c>
      <c r="N29" s="279">
        <f>'[2]Degree Days 2018'!N29</f>
        <v>23</v>
      </c>
      <c r="O29" s="279">
        <f>'[2]Degree Days 2018'!O29</f>
        <v>18</v>
      </c>
      <c r="P29" s="279">
        <f t="shared" si="3"/>
        <v>2.1999999999999993</v>
      </c>
      <c r="Q29" s="552">
        <v>20</v>
      </c>
      <c r="R29" s="279">
        <f>'[2]Degree Days 2018'!R29</f>
        <v>30</v>
      </c>
      <c r="S29" s="279">
        <f>'[2]Degree Days 2018'!S29</f>
        <v>22</v>
      </c>
      <c r="T29" s="279">
        <f t="shared" si="4"/>
        <v>7.6999999999999993</v>
      </c>
      <c r="U29" s="552">
        <v>20</v>
      </c>
      <c r="V29" s="279">
        <f>'General information '!B25</f>
        <v>0</v>
      </c>
      <c r="W29" s="279">
        <f>'General information '!C25</f>
        <v>0</v>
      </c>
      <c r="X29" s="279">
        <f t="shared" si="5"/>
        <v>-18.3</v>
      </c>
    </row>
    <row r="30" spans="1:28">
      <c r="A30" s="118">
        <v>21</v>
      </c>
      <c r="B30" s="279">
        <f>'[2]Degree Days 2018'!B30</f>
        <v>13</v>
      </c>
      <c r="C30" s="279">
        <f>'[2]Degree Days 2018'!C30</f>
        <v>9</v>
      </c>
      <c r="D30" s="279">
        <f t="shared" si="0"/>
        <v>-7.3000000000000007</v>
      </c>
      <c r="E30" s="279">
        <f>'[5]Degree Days 2018'!E30</f>
        <v>21</v>
      </c>
      <c r="F30" s="279">
        <f>'[2]Degree Days 2018'!F30</f>
        <v>16</v>
      </c>
      <c r="G30" s="279">
        <f>'[2]Degree Days 2018'!G30</f>
        <v>12</v>
      </c>
      <c r="H30" s="279">
        <f t="shared" si="1"/>
        <v>-4.3000000000000007</v>
      </c>
      <c r="I30" s="279">
        <f>'[5]Degree Days 2018'!I30</f>
        <v>21</v>
      </c>
      <c r="J30" s="279">
        <f>'[2]Degree Days 2018'!J30</f>
        <v>17</v>
      </c>
      <c r="K30" s="279">
        <f>'[2]Degree Days 2018'!K30</f>
        <v>14</v>
      </c>
      <c r="L30" s="279">
        <f t="shared" si="2"/>
        <v>-2.8000000000000007</v>
      </c>
      <c r="M30" s="279">
        <f>'[5]Degree Days 2018'!M30</f>
        <v>21</v>
      </c>
      <c r="N30" s="279">
        <f>'[2]Degree Days 2018'!N30</f>
        <v>24</v>
      </c>
      <c r="O30" s="279">
        <f>'[2]Degree Days 2018'!O30</f>
        <v>18</v>
      </c>
      <c r="P30" s="279">
        <f t="shared" si="3"/>
        <v>2.6999999999999993</v>
      </c>
      <c r="Q30" s="552">
        <v>21</v>
      </c>
      <c r="R30" s="279">
        <f>'[2]Degree Days 2018'!R30</f>
        <v>31</v>
      </c>
      <c r="S30" s="279">
        <f>'[2]Degree Days 2018'!S30</f>
        <v>23</v>
      </c>
      <c r="T30" s="279">
        <f t="shared" si="4"/>
        <v>8.6999999999999993</v>
      </c>
      <c r="U30" s="552">
        <v>21</v>
      </c>
      <c r="V30" s="279">
        <f>'General information '!B26</f>
        <v>0</v>
      </c>
      <c r="W30" s="279">
        <f>'General information '!C26</f>
        <v>0</v>
      </c>
      <c r="X30" s="279">
        <f t="shared" si="5"/>
        <v>-18.3</v>
      </c>
    </row>
    <row r="31" spans="1:28">
      <c r="A31" s="118">
        <v>22</v>
      </c>
      <c r="B31" s="279">
        <f>'[2]Degree Days 2018'!B31</f>
        <v>14</v>
      </c>
      <c r="C31" s="279">
        <f>'[2]Degree Days 2018'!C31</f>
        <v>10</v>
      </c>
      <c r="D31" s="279">
        <f t="shared" si="0"/>
        <v>-6.3000000000000007</v>
      </c>
      <c r="E31" s="279">
        <f>'[5]Degree Days 2018'!E31</f>
        <v>22</v>
      </c>
      <c r="F31" s="279">
        <f>'[2]Degree Days 2018'!F31</f>
        <v>17</v>
      </c>
      <c r="G31" s="279">
        <f>'[2]Degree Days 2018'!G31</f>
        <v>12</v>
      </c>
      <c r="H31" s="279">
        <f t="shared" si="1"/>
        <v>-3.8000000000000007</v>
      </c>
      <c r="I31" s="279">
        <f>'[5]Degree Days 2018'!I31</f>
        <v>22</v>
      </c>
      <c r="J31" s="279">
        <f>'[2]Degree Days 2018'!J31</f>
        <v>19</v>
      </c>
      <c r="K31" s="279">
        <f>'[2]Degree Days 2018'!K31</f>
        <v>14</v>
      </c>
      <c r="L31" s="279">
        <f t="shared" si="2"/>
        <v>-1.8000000000000007</v>
      </c>
      <c r="M31" s="279">
        <f>'[5]Degree Days 2018'!M31</f>
        <v>22</v>
      </c>
      <c r="N31" s="279">
        <f>'[2]Degree Days 2018'!N31</f>
        <v>25</v>
      </c>
      <c r="O31" s="279">
        <f>'[2]Degree Days 2018'!O31</f>
        <v>18</v>
      </c>
      <c r="P31" s="279">
        <f t="shared" si="3"/>
        <v>3.1999999999999993</v>
      </c>
      <c r="Q31" s="552">
        <v>22</v>
      </c>
      <c r="R31" s="279">
        <f>'[2]Degree Days 2018'!R31</f>
        <v>25</v>
      </c>
      <c r="S31" s="279">
        <f>'[2]Degree Days 2018'!S31</f>
        <v>16</v>
      </c>
      <c r="T31" s="279">
        <f t="shared" si="4"/>
        <v>2.1999999999999993</v>
      </c>
      <c r="U31" s="552">
        <v>22</v>
      </c>
      <c r="V31" s="279">
        <f>'General information '!B27</f>
        <v>0</v>
      </c>
      <c r="W31" s="279">
        <f>'General information '!C27</f>
        <v>0</v>
      </c>
      <c r="X31" s="279">
        <f t="shared" si="5"/>
        <v>-18.3</v>
      </c>
    </row>
    <row r="32" spans="1:28">
      <c r="A32" s="118">
        <v>23</v>
      </c>
      <c r="B32" s="279">
        <f>'[2]Degree Days 2018'!B32</f>
        <v>13</v>
      </c>
      <c r="C32" s="279">
        <f>'[2]Degree Days 2018'!C32</f>
        <v>7</v>
      </c>
      <c r="D32" s="279">
        <f t="shared" si="0"/>
        <v>-8.3000000000000007</v>
      </c>
      <c r="E32" s="279">
        <f>'[5]Degree Days 2018'!E32</f>
        <v>23</v>
      </c>
      <c r="F32" s="279">
        <f>'[2]Degree Days 2018'!F32</f>
        <v>16</v>
      </c>
      <c r="G32" s="279">
        <f>'[2]Degree Days 2018'!G32</f>
        <v>14</v>
      </c>
      <c r="H32" s="279">
        <f t="shared" si="1"/>
        <v>-3.3000000000000007</v>
      </c>
      <c r="I32" s="279">
        <f>'[5]Degree Days 2018'!I32</f>
        <v>23</v>
      </c>
      <c r="J32" s="279">
        <f>'[2]Degree Days 2018'!J32</f>
        <v>21</v>
      </c>
      <c r="K32" s="279">
        <f>'[2]Degree Days 2018'!K32</f>
        <v>14</v>
      </c>
      <c r="L32" s="279">
        <f t="shared" si="2"/>
        <v>-0.80000000000000071</v>
      </c>
      <c r="M32" s="279">
        <f>'[5]Degree Days 2018'!M32</f>
        <v>23</v>
      </c>
      <c r="N32" s="279">
        <f>'[2]Degree Days 2018'!N32</f>
        <v>23</v>
      </c>
      <c r="O32" s="279">
        <f>'[2]Degree Days 2018'!O32</f>
        <v>15</v>
      </c>
      <c r="P32" s="279">
        <f t="shared" si="3"/>
        <v>0.69999999999999929</v>
      </c>
      <c r="Q32" s="552">
        <v>23</v>
      </c>
      <c r="R32" s="279">
        <f>'[2]Degree Days 2018'!R32</f>
        <v>22</v>
      </c>
      <c r="S32" s="279">
        <f>'[2]Degree Days 2018'!S32</f>
        <v>19</v>
      </c>
      <c r="T32" s="279">
        <f t="shared" si="4"/>
        <v>2.1999999999999993</v>
      </c>
      <c r="U32" s="552">
        <v>23</v>
      </c>
      <c r="V32" s="279">
        <f>'General information '!B28</f>
        <v>0</v>
      </c>
      <c r="W32" s="279">
        <f>'General information '!C28</f>
        <v>0</v>
      </c>
      <c r="X32" s="279">
        <f t="shared" si="5"/>
        <v>-18.3</v>
      </c>
    </row>
    <row r="33" spans="1:24">
      <c r="A33" s="118">
        <v>24</v>
      </c>
      <c r="B33" s="279">
        <f>'[2]Degree Days 2018'!B33</f>
        <v>14</v>
      </c>
      <c r="C33" s="279">
        <f>'[2]Degree Days 2018'!C33</f>
        <v>8</v>
      </c>
      <c r="D33" s="279">
        <f t="shared" si="0"/>
        <v>-7.3000000000000007</v>
      </c>
      <c r="E33" s="279">
        <f>'[5]Degree Days 2018'!E33</f>
        <v>24</v>
      </c>
      <c r="F33" s="279">
        <f>'[2]Degree Days 2018'!F33</f>
        <v>17</v>
      </c>
      <c r="G33" s="279">
        <f>'[2]Degree Days 2018'!G33</f>
        <v>13</v>
      </c>
      <c r="H33" s="279">
        <f t="shared" si="1"/>
        <v>-3.3000000000000007</v>
      </c>
      <c r="I33" s="279">
        <f>'[5]Degree Days 2018'!I33</f>
        <v>24</v>
      </c>
      <c r="J33" s="279">
        <f>'[2]Degree Days 2018'!J33</f>
        <v>22</v>
      </c>
      <c r="K33" s="279">
        <f>'[2]Degree Days 2018'!K33</f>
        <v>15</v>
      </c>
      <c r="L33" s="279">
        <f t="shared" si="2"/>
        <v>0.19999999999999929</v>
      </c>
      <c r="M33" s="279">
        <f>'[5]Degree Days 2018'!M33</f>
        <v>24</v>
      </c>
      <c r="N33" s="279">
        <f>'[2]Degree Days 2018'!N33</f>
        <v>23</v>
      </c>
      <c r="O33" s="279">
        <f>'[2]Degree Days 2018'!O33</f>
        <v>16</v>
      </c>
      <c r="P33" s="279">
        <f t="shared" si="3"/>
        <v>1.1999999999999993</v>
      </c>
      <c r="Q33" s="552">
        <v>24</v>
      </c>
      <c r="R33" s="279">
        <f>'[2]Degree Days 2018'!R33</f>
        <v>24</v>
      </c>
      <c r="S33" s="279">
        <f>'[2]Degree Days 2018'!S33</f>
        <v>16</v>
      </c>
      <c r="T33" s="279">
        <f t="shared" si="4"/>
        <v>1.6999999999999993</v>
      </c>
      <c r="U33" s="552">
        <v>24</v>
      </c>
      <c r="V33" s="279">
        <f>'General information '!B29</f>
        <v>0</v>
      </c>
      <c r="W33" s="279">
        <f>'General information '!C29</f>
        <v>0</v>
      </c>
      <c r="X33" s="279">
        <f t="shared" si="5"/>
        <v>-18.3</v>
      </c>
    </row>
    <row r="34" spans="1:24">
      <c r="A34" s="118">
        <v>25</v>
      </c>
      <c r="B34" s="279">
        <f>'[2]Degree Days 2018'!B34</f>
        <v>16</v>
      </c>
      <c r="C34" s="279">
        <f>'[2]Degree Days 2018'!C34</f>
        <v>10</v>
      </c>
      <c r="D34" s="279">
        <f t="shared" si="0"/>
        <v>-5.3000000000000007</v>
      </c>
      <c r="E34" s="279">
        <f>'[5]Degree Days 2018'!E34</f>
        <v>25</v>
      </c>
      <c r="F34" s="279">
        <f>'[2]Degree Days 2018'!F34</f>
        <v>17</v>
      </c>
      <c r="G34" s="279">
        <f>'[2]Degree Days 2018'!G34</f>
        <v>13</v>
      </c>
      <c r="H34" s="279">
        <f t="shared" si="1"/>
        <v>-3.3000000000000007</v>
      </c>
      <c r="I34" s="279">
        <f>'[5]Degree Days 2018'!I34</f>
        <v>25</v>
      </c>
      <c r="J34" s="279">
        <f>'[2]Degree Days 2018'!J34</f>
        <v>21</v>
      </c>
      <c r="K34" s="279">
        <f>'[2]Degree Days 2018'!K34</f>
        <v>15</v>
      </c>
      <c r="L34" s="279">
        <f t="shared" si="2"/>
        <v>-0.30000000000000071</v>
      </c>
      <c r="M34" s="279">
        <f>'[5]Degree Days 2018'!M34</f>
        <v>25</v>
      </c>
      <c r="N34" s="279">
        <f>'[2]Degree Days 2018'!N34</f>
        <v>22</v>
      </c>
      <c r="O34" s="279">
        <f>'[2]Degree Days 2018'!O34</f>
        <v>14</v>
      </c>
      <c r="P34" s="279">
        <f t="shared" si="3"/>
        <v>-0.30000000000000071</v>
      </c>
      <c r="Q34" s="552">
        <v>25</v>
      </c>
      <c r="R34" s="279">
        <f>'[2]Degree Days 2018'!R34</f>
        <v>24</v>
      </c>
      <c r="S34" s="279">
        <f>'[2]Degree Days 2018'!S34</f>
        <v>18</v>
      </c>
      <c r="T34" s="279">
        <f t="shared" si="4"/>
        <v>2.6999999999999993</v>
      </c>
      <c r="U34" s="552">
        <v>25</v>
      </c>
      <c r="V34" s="279">
        <f>'General information '!B30</f>
        <v>0</v>
      </c>
      <c r="W34" s="279">
        <f>'General information '!C30</f>
        <v>0</v>
      </c>
      <c r="X34" s="279">
        <f t="shared" si="5"/>
        <v>-18.3</v>
      </c>
    </row>
    <row r="35" spans="1:24">
      <c r="A35" s="118">
        <v>26</v>
      </c>
      <c r="B35" s="279">
        <f>'[2]Degree Days 2018'!B35</f>
        <v>15</v>
      </c>
      <c r="C35" s="279">
        <f>'[2]Degree Days 2018'!C35</f>
        <v>9</v>
      </c>
      <c r="D35" s="279">
        <f t="shared" si="0"/>
        <v>-6.3000000000000007</v>
      </c>
      <c r="E35" s="279">
        <f>'[5]Degree Days 2018'!E35</f>
        <v>26</v>
      </c>
      <c r="F35" s="279">
        <f>'[2]Degree Days 2018'!F35</f>
        <v>18</v>
      </c>
      <c r="G35" s="279">
        <f>'[2]Degree Days 2018'!G35</f>
        <v>14</v>
      </c>
      <c r="H35" s="279">
        <f t="shared" si="1"/>
        <v>-2.3000000000000007</v>
      </c>
      <c r="I35" s="279">
        <f>'[5]Degree Days 2018'!I35</f>
        <v>26</v>
      </c>
      <c r="J35" s="279">
        <f>'[2]Degree Days 2018'!J35</f>
        <v>21</v>
      </c>
      <c r="K35" s="279">
        <f>'[2]Degree Days 2018'!K35</f>
        <v>15</v>
      </c>
      <c r="L35" s="279">
        <f t="shared" si="2"/>
        <v>-0.30000000000000071</v>
      </c>
      <c r="M35" s="279">
        <f>'[5]Degree Days 2018'!M35</f>
        <v>26</v>
      </c>
      <c r="N35" s="279">
        <f>'[2]Degree Days 2018'!N35</f>
        <v>21</v>
      </c>
      <c r="O35" s="279">
        <f>'[2]Degree Days 2018'!O35</f>
        <v>17</v>
      </c>
      <c r="P35" s="279">
        <f t="shared" si="3"/>
        <v>0.69999999999999929</v>
      </c>
      <c r="Q35" s="552">
        <v>26</v>
      </c>
      <c r="R35" s="279">
        <f>'[2]Degree Days 2018'!R35</f>
        <v>25</v>
      </c>
      <c r="S35" s="279">
        <f>'[2]Degree Days 2018'!S35</f>
        <v>20</v>
      </c>
      <c r="T35" s="279">
        <f t="shared" si="4"/>
        <v>4.1999999999999993</v>
      </c>
      <c r="U35" s="552">
        <v>26</v>
      </c>
      <c r="V35" s="279">
        <f>'General information '!B31</f>
        <v>0</v>
      </c>
      <c r="W35" s="279">
        <f>'General information '!C31</f>
        <v>0</v>
      </c>
      <c r="X35" s="279">
        <f t="shared" si="5"/>
        <v>-18.3</v>
      </c>
    </row>
    <row r="36" spans="1:24">
      <c r="A36" s="118">
        <v>27</v>
      </c>
      <c r="B36" s="279">
        <f>'[2]Degree Days 2018'!B36</f>
        <v>17</v>
      </c>
      <c r="C36" s="279">
        <f>'[2]Degree Days 2018'!C36</f>
        <v>11</v>
      </c>
      <c r="D36" s="279">
        <f t="shared" si="0"/>
        <v>-4.3000000000000007</v>
      </c>
      <c r="E36" s="279">
        <f>'[5]Degree Days 2018'!E36</f>
        <v>27</v>
      </c>
      <c r="F36" s="279">
        <f>'[2]Degree Days 2018'!F36</f>
        <v>19</v>
      </c>
      <c r="G36" s="279">
        <f>'[2]Degree Days 2018'!G36</f>
        <v>13</v>
      </c>
      <c r="H36" s="279">
        <f t="shared" si="1"/>
        <v>-2.3000000000000007</v>
      </c>
      <c r="I36" s="279">
        <f>'[5]Degree Days 2018'!I36</f>
        <v>27</v>
      </c>
      <c r="J36" s="279">
        <f>'[2]Degree Days 2018'!J36</f>
        <v>18</v>
      </c>
      <c r="K36" s="279">
        <f>'[2]Degree Days 2018'!K36</f>
        <v>13</v>
      </c>
      <c r="L36" s="279">
        <f t="shared" si="2"/>
        <v>-2.8000000000000007</v>
      </c>
      <c r="M36" s="279">
        <f>'[5]Degree Days 2018'!M36</f>
        <v>27</v>
      </c>
      <c r="N36" s="279">
        <f>'[2]Degree Days 2018'!N36</f>
        <v>20</v>
      </c>
      <c r="O36" s="279">
        <f>'[2]Degree Days 2018'!O36</f>
        <v>16</v>
      </c>
      <c r="P36" s="279">
        <f t="shared" si="3"/>
        <v>-0.30000000000000071</v>
      </c>
      <c r="Q36" s="552">
        <v>27</v>
      </c>
      <c r="R36" s="279">
        <f>'[2]Degree Days 2018'!R36</f>
        <v>27</v>
      </c>
      <c r="S36" s="279">
        <f>'[2]Degree Days 2018'!S36</f>
        <v>19</v>
      </c>
      <c r="T36" s="279">
        <f t="shared" si="4"/>
        <v>4.6999999999999993</v>
      </c>
      <c r="U36" s="552">
        <v>27</v>
      </c>
      <c r="V36" s="279">
        <f>'General information '!B32</f>
        <v>0</v>
      </c>
      <c r="W36" s="279">
        <f>'General information '!C32</f>
        <v>0</v>
      </c>
      <c r="X36" s="279">
        <f t="shared" si="5"/>
        <v>-18.3</v>
      </c>
    </row>
    <row r="37" spans="1:24">
      <c r="A37" s="118">
        <v>28</v>
      </c>
      <c r="B37" s="279">
        <f>'[2]Degree Days 2018'!B37</f>
        <v>16</v>
      </c>
      <c r="C37" s="279">
        <f>'[2]Degree Days 2018'!C37</f>
        <v>10</v>
      </c>
      <c r="D37" s="279">
        <f t="shared" si="0"/>
        <v>-5.3000000000000007</v>
      </c>
      <c r="E37" s="279">
        <f>'[5]Degree Days 2018'!E37</f>
        <v>28</v>
      </c>
      <c r="F37" s="279">
        <f>'[2]Degree Days 2018'!F37</f>
        <v>19</v>
      </c>
      <c r="G37" s="279">
        <f>'[2]Degree Days 2018'!G37</f>
        <v>14</v>
      </c>
      <c r="H37" s="279">
        <f t="shared" si="1"/>
        <v>-1.8000000000000007</v>
      </c>
      <c r="I37" s="279">
        <f>'[5]Degree Days 2018'!I37</f>
        <v>28</v>
      </c>
      <c r="J37" s="279">
        <f>'[2]Degree Days 2018'!J37</f>
        <v>17</v>
      </c>
      <c r="K37" s="279">
        <f>'[2]Degree Days 2018'!K37</f>
        <v>13</v>
      </c>
      <c r="L37" s="279">
        <f t="shared" si="2"/>
        <v>-3.3000000000000007</v>
      </c>
      <c r="M37" s="279">
        <f>'[5]Degree Days 2018'!M37</f>
        <v>28</v>
      </c>
      <c r="N37" s="279">
        <f>'[2]Degree Days 2018'!N37</f>
        <v>21</v>
      </c>
      <c r="O37" s="279">
        <f>'[2]Degree Days 2018'!O37</f>
        <v>16</v>
      </c>
      <c r="P37" s="279">
        <f t="shared" si="3"/>
        <v>0.19999999999999929</v>
      </c>
      <c r="Q37" s="552">
        <v>28</v>
      </c>
      <c r="R37" s="279">
        <f>'[2]Degree Days 2018'!R37</f>
        <v>27</v>
      </c>
      <c r="S37" s="279">
        <f>'[2]Degree Days 2018'!S37</f>
        <v>19</v>
      </c>
      <c r="T37" s="279">
        <f t="shared" si="4"/>
        <v>4.6999999999999993</v>
      </c>
      <c r="U37" s="552">
        <v>28</v>
      </c>
      <c r="V37" s="279">
        <f>'General information '!B33</f>
        <v>0</v>
      </c>
      <c r="W37" s="279">
        <f>'General information '!C33</f>
        <v>0</v>
      </c>
      <c r="X37" s="279">
        <f t="shared" si="5"/>
        <v>-18.3</v>
      </c>
    </row>
    <row r="38" spans="1:24">
      <c r="A38" s="118">
        <v>29</v>
      </c>
      <c r="B38" s="279">
        <f>'[2]Degree Days 2018'!B38</f>
        <v>16</v>
      </c>
      <c r="C38" s="279">
        <f>'[2]Degree Days 2018'!C38</f>
        <v>10</v>
      </c>
      <c r="D38" s="279">
        <f t="shared" si="0"/>
        <v>-5.3000000000000007</v>
      </c>
      <c r="E38" s="279">
        <f>'[5]Degree Days 2018'!E38</f>
        <v>29</v>
      </c>
      <c r="F38" s="279">
        <f>'[2]Degree Days 2018'!F38</f>
        <v>18</v>
      </c>
      <c r="G38" s="279">
        <f>'[2]Degree Days 2018'!G38</f>
        <v>13</v>
      </c>
      <c r="H38" s="279">
        <f t="shared" si="1"/>
        <v>-2.8000000000000007</v>
      </c>
      <c r="I38" s="279">
        <f>'[5]Degree Days 2018'!I38</f>
        <v>29</v>
      </c>
      <c r="J38" s="279">
        <f>'[2]Degree Days 2018'!J38</f>
        <v>20</v>
      </c>
      <c r="K38" s="279">
        <f>'[2]Degree Days 2018'!K38</f>
        <v>16</v>
      </c>
      <c r="L38" s="279">
        <f t="shared" si="2"/>
        <v>-0.30000000000000071</v>
      </c>
      <c r="M38" s="279">
        <f>'[5]Degree Days 2018'!M38</f>
        <v>29</v>
      </c>
      <c r="N38" s="279">
        <f>'[2]Degree Days 2018'!N38</f>
        <v>21</v>
      </c>
      <c r="O38" s="279">
        <f>'[2]Degree Days 2018'!O38</f>
        <v>17</v>
      </c>
      <c r="P38" s="279">
        <f t="shared" si="3"/>
        <v>0.69999999999999929</v>
      </c>
      <c r="Q38" s="552">
        <v>29</v>
      </c>
      <c r="R38" s="279">
        <f>'[2]Degree Days 2018'!R38</f>
        <v>23</v>
      </c>
      <c r="S38" s="279">
        <f>'[2]Degree Days 2018'!S38</f>
        <v>14</v>
      </c>
      <c r="T38" s="279">
        <f t="shared" si="4"/>
        <v>0.19999999999999929</v>
      </c>
      <c r="U38" s="552">
        <v>29</v>
      </c>
      <c r="V38" s="279">
        <f>'General information '!B34</f>
        <v>0</v>
      </c>
      <c r="W38" s="279">
        <f>'General information '!C34</f>
        <v>0</v>
      </c>
      <c r="X38" s="279">
        <f t="shared" si="5"/>
        <v>-18.3</v>
      </c>
    </row>
    <row r="39" spans="1:24">
      <c r="A39" s="118">
        <v>30</v>
      </c>
      <c r="B39" s="279">
        <f>'[2]Degree Days 2018'!B39</f>
        <v>16</v>
      </c>
      <c r="C39" s="279">
        <f>'[2]Degree Days 2018'!C39</f>
        <v>11</v>
      </c>
      <c r="D39" s="279">
        <f t="shared" si="0"/>
        <v>-4.8000000000000007</v>
      </c>
      <c r="E39" s="279">
        <f>'[5]Degree Days 2018'!E39</f>
        <v>0</v>
      </c>
      <c r="F39" s="279">
        <f>'[2]Degree Days 2018'!F39</f>
        <v>0</v>
      </c>
      <c r="G39" s="279">
        <f>'[2]Degree Days 2018'!G39</f>
        <v>0</v>
      </c>
      <c r="H39" s="279">
        <f t="shared" si="1"/>
        <v>-18.3</v>
      </c>
      <c r="I39" s="279">
        <f>'[5]Degree Days 2018'!I39</f>
        <v>30</v>
      </c>
      <c r="J39" s="279">
        <f>'[2]Degree Days 2018'!J39</f>
        <v>20</v>
      </c>
      <c r="K39" s="279">
        <f>'[2]Degree Days 2018'!K39</f>
        <v>17</v>
      </c>
      <c r="L39" s="279">
        <f t="shared" si="2"/>
        <v>0.19999999999999929</v>
      </c>
      <c r="M39" s="279">
        <f>'[5]Degree Days 2018'!M39</f>
        <v>30</v>
      </c>
      <c r="N39" s="279">
        <f>'[2]Degree Days 2018'!N39</f>
        <v>0</v>
      </c>
      <c r="O39" s="279">
        <f>'[2]Degree Days 2018'!O39</f>
        <v>0</v>
      </c>
      <c r="P39" s="279">
        <f t="shared" si="3"/>
        <v>-18.3</v>
      </c>
      <c r="Q39" s="552">
        <v>30</v>
      </c>
      <c r="R39" s="279">
        <f>'[2]Degree Days 2018'!R39</f>
        <v>23</v>
      </c>
      <c r="S39" s="279">
        <f>'[2]Degree Days 2018'!S39</f>
        <v>17</v>
      </c>
      <c r="T39" s="279">
        <f t="shared" si="4"/>
        <v>1.6999999999999993</v>
      </c>
      <c r="U39" s="552">
        <v>30</v>
      </c>
      <c r="V39" s="279">
        <f>'General information '!B35</f>
        <v>0</v>
      </c>
      <c r="W39" s="279">
        <f>'General information '!C35</f>
        <v>0</v>
      </c>
      <c r="X39" s="279">
        <f t="shared" si="5"/>
        <v>-18.3</v>
      </c>
    </row>
    <row r="40" spans="1:24">
      <c r="A40" s="121">
        <v>31</v>
      </c>
      <c r="B40" s="279">
        <f>'[2]Degree Days 2018'!B40</f>
        <v>17</v>
      </c>
      <c r="C40" s="279">
        <f>'[2]Degree Days 2018'!C40</f>
        <v>13</v>
      </c>
      <c r="D40" s="279">
        <f t="shared" si="0"/>
        <v>-3.3000000000000007</v>
      </c>
      <c r="E40" s="279">
        <f>'[5]Degree Days 2018'!E40</f>
        <v>0</v>
      </c>
      <c r="F40" s="279">
        <f>'[2]Degree Days 2018'!F40</f>
        <v>0</v>
      </c>
      <c r="G40" s="279">
        <f>'[2]Degree Days 2018'!G40</f>
        <v>0</v>
      </c>
      <c r="H40" s="279">
        <f t="shared" si="1"/>
        <v>-18.3</v>
      </c>
      <c r="I40" s="279">
        <f>'[5]Degree Days 2018'!I40</f>
        <v>31</v>
      </c>
      <c r="J40" s="279">
        <f>'[2]Degree Days 2018'!J40</f>
        <v>30</v>
      </c>
      <c r="K40" s="279">
        <f>'[2]Degree Days 2018'!K40</f>
        <v>18</v>
      </c>
      <c r="L40" s="279">
        <f t="shared" si="2"/>
        <v>5.6999999999999993</v>
      </c>
      <c r="M40" s="279">
        <f>'[5]Degree Days 2018'!M40</f>
        <v>0</v>
      </c>
      <c r="N40" s="279">
        <f>'[2]Degree Days 2018'!N40</f>
        <v>0</v>
      </c>
      <c r="O40" s="279">
        <f>'[2]Degree Days 2018'!O40</f>
        <v>0</v>
      </c>
      <c r="P40" s="279">
        <f t="shared" si="3"/>
        <v>-18.3</v>
      </c>
      <c r="Q40" s="552">
        <v>31</v>
      </c>
      <c r="R40" s="279">
        <f>'[2]Degree Days 2018'!R40</f>
        <v>24</v>
      </c>
      <c r="S40" s="279">
        <f>'[2]Degree Days 2018'!S40</f>
        <v>19</v>
      </c>
      <c r="T40" s="279">
        <f t="shared" si="4"/>
        <v>3.1999999999999993</v>
      </c>
      <c r="U40" s="279"/>
      <c r="V40" s="279"/>
      <c r="W40" s="279"/>
      <c r="X40" s="279">
        <f t="shared" si="5"/>
        <v>-18.3</v>
      </c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-61.799999999999983</v>
      </c>
      <c r="K43" s="120">
        <f>SUMIF(L10:L40,"&gt;0")</f>
        <v>11.499999999999996</v>
      </c>
      <c r="L43" s="131"/>
      <c r="M43" s="130"/>
      <c r="N43" s="120">
        <f>SUMIF(P10:P40,"&lt;0")</f>
        <v>-54.600000000000009</v>
      </c>
      <c r="O43" s="120">
        <f>SUMIF(P10:P40,"&gt;0")</f>
        <v>25.29999999999999</v>
      </c>
      <c r="P43" s="131"/>
      <c r="Q43" s="130"/>
      <c r="R43" s="120">
        <f>SUMIF(T10:T40,"&lt;0")</f>
        <v>-0.80000000000000071</v>
      </c>
      <c r="S43" s="120">
        <f>SUMIF(T10:T40,"&gt;0")</f>
        <v>131.50000000000003</v>
      </c>
      <c r="T43" s="131"/>
      <c r="U43" s="130"/>
      <c r="V43" s="120">
        <f>SUMIF(X10:X40,"&lt;0")</f>
        <v>-237.90000000000006</v>
      </c>
      <c r="W43" s="120">
        <f>SUMIF(X10:X40,"&gt;0")</f>
        <v>89.100000000000023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>
        <f>'General information '!B6</f>
        <v>25</v>
      </c>
      <c r="C48" s="279">
        <f>'General information '!C6</f>
        <v>20</v>
      </c>
      <c r="D48" s="120">
        <f t="shared" ref="D48:D56" si="8">(B48+C48)/2-18.3</f>
        <v>4.1999999999999993</v>
      </c>
      <c r="E48" s="118">
        <v>1</v>
      </c>
      <c r="F48" s="279"/>
      <c r="G48" s="279"/>
      <c r="H48" s="120">
        <f t="shared" ref="H48:H78" si="9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10">(V48+W48)/2-18.3</f>
        <v>-18.3</v>
      </c>
    </row>
    <row r="49" spans="1:24">
      <c r="A49" s="118">
        <v>2</v>
      </c>
      <c r="B49" s="279">
        <f>'General information '!B7</f>
        <v>24</v>
      </c>
      <c r="C49" s="279">
        <f>'General information '!C7</f>
        <v>20</v>
      </c>
      <c r="D49" s="120">
        <f t="shared" si="8"/>
        <v>3.6999999999999993</v>
      </c>
      <c r="E49" s="118">
        <v>2</v>
      </c>
      <c r="F49" s="279"/>
      <c r="G49" s="279"/>
      <c r="H49" s="120">
        <f t="shared" si="9"/>
        <v>-18.3</v>
      </c>
      <c r="I49" s="118">
        <v>2</v>
      </c>
      <c r="J49" s="279"/>
      <c r="K49" s="279"/>
      <c r="L49" s="120">
        <f t="shared" ref="L49:L77" si="11">(J49+K49)/2-18.3</f>
        <v>-18.3</v>
      </c>
      <c r="M49" s="118">
        <v>2</v>
      </c>
      <c r="N49" s="279"/>
      <c r="O49" s="279"/>
      <c r="P49" s="120">
        <f t="shared" ref="P49:P78" si="12">(N49+O49)/2-18.3</f>
        <v>-18.3</v>
      </c>
      <c r="Q49" s="118">
        <v>2</v>
      </c>
      <c r="R49" s="279"/>
      <c r="S49" s="279"/>
      <c r="T49" s="120">
        <f t="shared" ref="T49:T77" si="13">(R49+S49)/2-18.3</f>
        <v>-18.3</v>
      </c>
      <c r="U49" s="118">
        <v>2</v>
      </c>
      <c r="V49" s="279"/>
      <c r="W49" s="279"/>
      <c r="X49" s="120">
        <f t="shared" si="10"/>
        <v>-18.3</v>
      </c>
    </row>
    <row r="50" spans="1:24">
      <c r="A50" s="118">
        <v>3</v>
      </c>
      <c r="B50" s="279">
        <f>'General information '!B8</f>
        <v>27</v>
      </c>
      <c r="C50" s="279">
        <f>'General information '!C8</f>
        <v>19</v>
      </c>
      <c r="D50" s="120">
        <f t="shared" si="8"/>
        <v>4.6999999999999993</v>
      </c>
      <c r="E50" s="118">
        <v>3</v>
      </c>
      <c r="F50" s="279"/>
      <c r="G50" s="279"/>
      <c r="H50" s="120">
        <f t="shared" si="9"/>
        <v>-18.3</v>
      </c>
      <c r="I50" s="118">
        <v>3</v>
      </c>
      <c r="J50" s="279"/>
      <c r="K50" s="279"/>
      <c r="L50" s="120">
        <f t="shared" si="11"/>
        <v>-18.3</v>
      </c>
      <c r="M50" s="118">
        <v>3</v>
      </c>
      <c r="N50" s="279"/>
      <c r="O50" s="279"/>
      <c r="P50" s="120">
        <f t="shared" si="12"/>
        <v>-18.3</v>
      </c>
      <c r="Q50" s="118">
        <v>3</v>
      </c>
      <c r="R50" s="279"/>
      <c r="S50" s="279"/>
      <c r="T50" s="120">
        <f t="shared" si="13"/>
        <v>-18.3</v>
      </c>
      <c r="U50" s="118">
        <v>3</v>
      </c>
      <c r="V50" s="279"/>
      <c r="W50" s="279"/>
      <c r="X50" s="120">
        <f t="shared" si="10"/>
        <v>-18.3</v>
      </c>
    </row>
    <row r="51" spans="1:24">
      <c r="A51" s="118">
        <v>4</v>
      </c>
      <c r="B51" s="279">
        <f>'General information '!B9</f>
        <v>26</v>
      </c>
      <c r="C51" s="279">
        <f>'General information '!C9</f>
        <v>18</v>
      </c>
      <c r="D51" s="120">
        <f t="shared" si="8"/>
        <v>3.6999999999999993</v>
      </c>
      <c r="E51" s="118">
        <v>4</v>
      </c>
      <c r="F51" s="279"/>
      <c r="G51" s="279"/>
      <c r="H51" s="120">
        <f t="shared" si="9"/>
        <v>-18.3</v>
      </c>
      <c r="I51" s="118">
        <v>4</v>
      </c>
      <c r="J51" s="279"/>
      <c r="K51" s="279"/>
      <c r="L51" s="120">
        <f t="shared" si="11"/>
        <v>-18.3</v>
      </c>
      <c r="M51" s="118">
        <v>4</v>
      </c>
      <c r="N51" s="279"/>
      <c r="O51" s="279"/>
      <c r="P51" s="120">
        <f t="shared" si="12"/>
        <v>-18.3</v>
      </c>
      <c r="Q51" s="118">
        <v>4</v>
      </c>
      <c r="R51" s="279"/>
      <c r="S51" s="279"/>
      <c r="T51" s="120">
        <f t="shared" si="13"/>
        <v>-18.3</v>
      </c>
      <c r="U51" s="118">
        <v>4</v>
      </c>
      <c r="V51" s="279"/>
      <c r="W51" s="279"/>
      <c r="X51" s="120">
        <f t="shared" si="10"/>
        <v>-18.3</v>
      </c>
    </row>
    <row r="52" spans="1:24">
      <c r="A52" s="118">
        <v>5</v>
      </c>
      <c r="B52" s="279">
        <f>'General information '!B10</f>
        <v>25</v>
      </c>
      <c r="C52" s="279">
        <f>'General information '!C10</f>
        <v>17</v>
      </c>
      <c r="D52" s="120">
        <f t="shared" si="8"/>
        <v>2.6999999999999993</v>
      </c>
      <c r="E52" s="118">
        <v>5</v>
      </c>
      <c r="F52" s="279"/>
      <c r="G52" s="279"/>
      <c r="H52" s="120">
        <f t="shared" si="9"/>
        <v>-18.3</v>
      </c>
      <c r="I52" s="118">
        <v>5</v>
      </c>
      <c r="J52" s="279"/>
      <c r="K52" s="279"/>
      <c r="L52" s="120">
        <f t="shared" si="11"/>
        <v>-18.3</v>
      </c>
      <c r="M52" s="118">
        <v>5</v>
      </c>
      <c r="N52" s="279"/>
      <c r="O52" s="279"/>
      <c r="P52" s="120">
        <f t="shared" si="12"/>
        <v>-18.3</v>
      </c>
      <c r="Q52" s="118">
        <v>5</v>
      </c>
      <c r="R52" s="279"/>
      <c r="S52" s="279"/>
      <c r="T52" s="120">
        <f t="shared" si="13"/>
        <v>-18.3</v>
      </c>
      <c r="U52" s="118">
        <v>5</v>
      </c>
      <c r="V52" s="279"/>
      <c r="W52" s="279"/>
      <c r="X52" s="120">
        <f t="shared" si="10"/>
        <v>-18.3</v>
      </c>
    </row>
    <row r="53" spans="1:24">
      <c r="A53" s="118">
        <v>6</v>
      </c>
      <c r="B53" s="279">
        <f>'General information '!B11</f>
        <v>26</v>
      </c>
      <c r="C53" s="279">
        <f>'General information '!C11</f>
        <v>18</v>
      </c>
      <c r="D53" s="120">
        <f t="shared" si="8"/>
        <v>3.6999999999999993</v>
      </c>
      <c r="E53" s="118">
        <v>6</v>
      </c>
      <c r="F53" s="279"/>
      <c r="G53" s="279"/>
      <c r="H53" s="120">
        <f t="shared" si="9"/>
        <v>-18.3</v>
      </c>
      <c r="I53" s="118">
        <v>6</v>
      </c>
      <c r="J53" s="279"/>
      <c r="K53" s="279"/>
      <c r="L53" s="120">
        <f t="shared" si="11"/>
        <v>-18.3</v>
      </c>
      <c r="M53" s="118">
        <v>6</v>
      </c>
      <c r="N53" s="279"/>
      <c r="O53" s="279"/>
      <c r="P53" s="120">
        <f t="shared" si="12"/>
        <v>-18.3</v>
      </c>
      <c r="Q53" s="118">
        <v>6</v>
      </c>
      <c r="R53" s="279"/>
      <c r="S53" s="279"/>
      <c r="T53" s="120">
        <f t="shared" si="13"/>
        <v>-18.3</v>
      </c>
      <c r="U53" s="118">
        <v>6</v>
      </c>
      <c r="V53" s="279"/>
      <c r="W53" s="279"/>
      <c r="X53" s="120">
        <f t="shared" si="10"/>
        <v>-18.3</v>
      </c>
    </row>
    <row r="54" spans="1:24">
      <c r="A54" s="118">
        <v>7</v>
      </c>
      <c r="B54" s="279">
        <f>'General information '!B12</f>
        <v>27</v>
      </c>
      <c r="C54" s="279">
        <f>'General information '!C12</f>
        <v>21</v>
      </c>
      <c r="D54" s="120">
        <f t="shared" si="8"/>
        <v>5.6999999999999993</v>
      </c>
      <c r="E54" s="118">
        <v>7</v>
      </c>
      <c r="F54" s="279"/>
      <c r="G54" s="279"/>
      <c r="H54" s="120">
        <f t="shared" si="9"/>
        <v>-18.3</v>
      </c>
      <c r="I54" s="118">
        <v>7</v>
      </c>
      <c r="J54" s="279"/>
      <c r="K54" s="279"/>
      <c r="L54" s="120">
        <f t="shared" si="11"/>
        <v>-18.3</v>
      </c>
      <c r="M54" s="118">
        <v>7</v>
      </c>
      <c r="N54" s="279"/>
      <c r="O54" s="279"/>
      <c r="P54" s="120">
        <f t="shared" si="12"/>
        <v>-18.3</v>
      </c>
      <c r="Q54" s="118">
        <v>7</v>
      </c>
      <c r="R54" s="279"/>
      <c r="S54" s="279"/>
      <c r="T54" s="120">
        <f t="shared" si="13"/>
        <v>-18.3</v>
      </c>
      <c r="U54" s="118">
        <v>7</v>
      </c>
      <c r="V54" s="279"/>
      <c r="W54" s="279"/>
      <c r="X54" s="120">
        <f t="shared" si="10"/>
        <v>-18.3</v>
      </c>
    </row>
    <row r="55" spans="1:24">
      <c r="A55" s="118">
        <v>8</v>
      </c>
      <c r="B55" s="279">
        <f>'General information '!B13</f>
        <v>26</v>
      </c>
      <c r="C55" s="279">
        <f>'General information '!C13</f>
        <v>22</v>
      </c>
      <c r="D55" s="120">
        <f t="shared" si="8"/>
        <v>5.6999999999999993</v>
      </c>
      <c r="E55" s="118">
        <v>8</v>
      </c>
      <c r="F55" s="279"/>
      <c r="G55" s="279"/>
      <c r="H55" s="120">
        <f t="shared" si="9"/>
        <v>-18.3</v>
      </c>
      <c r="I55" s="118">
        <v>8</v>
      </c>
      <c r="J55" s="279"/>
      <c r="K55" s="279"/>
      <c r="L55" s="120">
        <f t="shared" si="11"/>
        <v>-18.3</v>
      </c>
      <c r="M55" s="118">
        <v>8</v>
      </c>
      <c r="N55" s="279"/>
      <c r="O55" s="279"/>
      <c r="P55" s="120">
        <f t="shared" si="12"/>
        <v>-18.3</v>
      </c>
      <c r="Q55" s="118">
        <v>8</v>
      </c>
      <c r="R55" s="279"/>
      <c r="S55" s="279"/>
      <c r="T55" s="120">
        <f t="shared" si="13"/>
        <v>-18.3</v>
      </c>
      <c r="U55" s="118">
        <v>8</v>
      </c>
      <c r="V55" s="279"/>
      <c r="W55" s="279"/>
      <c r="X55" s="120">
        <f t="shared" si="10"/>
        <v>-18.3</v>
      </c>
    </row>
    <row r="56" spans="1:24">
      <c r="A56" s="118">
        <v>9</v>
      </c>
      <c r="B56" s="279">
        <f>'General information '!B14</f>
        <v>28</v>
      </c>
      <c r="C56" s="279">
        <f>'General information '!C14</f>
        <v>20</v>
      </c>
      <c r="D56" s="120">
        <f t="shared" si="8"/>
        <v>5.6999999999999993</v>
      </c>
      <c r="E56" s="118">
        <v>9</v>
      </c>
      <c r="F56" s="279"/>
      <c r="G56" s="279"/>
      <c r="H56" s="120">
        <f t="shared" si="9"/>
        <v>-18.3</v>
      </c>
      <c r="I56" s="118">
        <v>9</v>
      </c>
      <c r="J56" s="279"/>
      <c r="K56" s="279"/>
      <c r="L56" s="120">
        <f t="shared" si="11"/>
        <v>-18.3</v>
      </c>
      <c r="M56" s="118">
        <v>9</v>
      </c>
      <c r="N56" s="279"/>
      <c r="O56" s="279"/>
      <c r="P56" s="120">
        <f t="shared" si="12"/>
        <v>-18.3</v>
      </c>
      <c r="Q56" s="118">
        <v>9</v>
      </c>
      <c r="R56" s="279"/>
      <c r="S56" s="279"/>
      <c r="T56" s="120">
        <f t="shared" si="13"/>
        <v>-18.3</v>
      </c>
      <c r="U56" s="118">
        <v>9</v>
      </c>
      <c r="V56" s="279"/>
      <c r="W56" s="279"/>
      <c r="X56" s="120">
        <f t="shared" si="10"/>
        <v>-18.3</v>
      </c>
    </row>
    <row r="57" spans="1:24">
      <c r="A57" s="118">
        <v>10</v>
      </c>
      <c r="B57" s="279">
        <f>'General information '!B15</f>
        <v>28</v>
      </c>
      <c r="C57" s="279">
        <f>'General information '!C15</f>
        <v>20</v>
      </c>
      <c r="D57" s="120">
        <f t="shared" ref="D57:D78" si="14">(B57+C57)/2-18.3</f>
        <v>5.6999999999999993</v>
      </c>
      <c r="E57" s="118">
        <v>10</v>
      </c>
      <c r="F57" s="279"/>
      <c r="G57" s="279"/>
      <c r="H57" s="120">
        <f t="shared" si="9"/>
        <v>-18.3</v>
      </c>
      <c r="I57" s="118">
        <v>10</v>
      </c>
      <c r="J57" s="279"/>
      <c r="K57" s="279"/>
      <c r="L57" s="120">
        <f t="shared" si="11"/>
        <v>-18.3</v>
      </c>
      <c r="M57" s="118">
        <v>10</v>
      </c>
      <c r="N57" s="279"/>
      <c r="O57" s="279"/>
      <c r="P57" s="120">
        <f t="shared" si="12"/>
        <v>-18.3</v>
      </c>
      <c r="Q57" s="118">
        <v>10</v>
      </c>
      <c r="R57" s="279"/>
      <c r="S57" s="279"/>
      <c r="T57" s="120">
        <f t="shared" si="13"/>
        <v>-18.3</v>
      </c>
      <c r="U57" s="118">
        <v>10</v>
      </c>
      <c r="V57" s="279"/>
      <c r="W57" s="279"/>
      <c r="X57" s="120">
        <f t="shared" si="10"/>
        <v>-18.3</v>
      </c>
    </row>
    <row r="58" spans="1:24">
      <c r="A58" s="118">
        <v>11</v>
      </c>
      <c r="B58" s="279">
        <f>'General information '!B16</f>
        <v>28</v>
      </c>
      <c r="C58" s="279">
        <f>'General information '!C16</f>
        <v>20</v>
      </c>
      <c r="D58" s="120">
        <f t="shared" si="14"/>
        <v>5.6999999999999993</v>
      </c>
      <c r="E58" s="118">
        <v>11</v>
      </c>
      <c r="F58" s="279"/>
      <c r="G58" s="279"/>
      <c r="H58" s="120">
        <f t="shared" si="9"/>
        <v>-18.3</v>
      </c>
      <c r="I58" s="118">
        <v>11</v>
      </c>
      <c r="J58" s="279"/>
      <c r="K58" s="279"/>
      <c r="L58" s="120">
        <f t="shared" si="11"/>
        <v>-18.3</v>
      </c>
      <c r="M58" s="118">
        <v>11</v>
      </c>
      <c r="N58" s="279"/>
      <c r="O58" s="279"/>
      <c r="P58" s="120">
        <f t="shared" si="12"/>
        <v>-18.3</v>
      </c>
      <c r="Q58" s="118">
        <v>11</v>
      </c>
      <c r="R58" s="279"/>
      <c r="S58" s="279"/>
      <c r="T58" s="120">
        <f t="shared" si="13"/>
        <v>-18.3</v>
      </c>
      <c r="U58" s="118">
        <v>11</v>
      </c>
      <c r="V58" s="279"/>
      <c r="W58" s="279"/>
      <c r="X58" s="120">
        <f t="shared" si="10"/>
        <v>-18.3</v>
      </c>
    </row>
    <row r="59" spans="1:24">
      <c r="A59" s="118">
        <v>12</v>
      </c>
      <c r="B59" s="279">
        <f>'General information '!B17</f>
        <v>27</v>
      </c>
      <c r="C59" s="279">
        <f>'General information '!C17</f>
        <v>20</v>
      </c>
      <c r="D59" s="120">
        <f t="shared" si="14"/>
        <v>5.1999999999999993</v>
      </c>
      <c r="E59" s="118">
        <v>12</v>
      </c>
      <c r="F59" s="279"/>
      <c r="G59" s="279"/>
      <c r="H59" s="120">
        <f t="shared" si="9"/>
        <v>-18.3</v>
      </c>
      <c r="I59" s="118">
        <v>12</v>
      </c>
      <c r="J59" s="279"/>
      <c r="K59" s="279"/>
      <c r="L59" s="120">
        <f t="shared" si="11"/>
        <v>-18.3</v>
      </c>
      <c r="M59" s="118">
        <v>12</v>
      </c>
      <c r="N59" s="279"/>
      <c r="O59" s="279"/>
      <c r="P59" s="120">
        <f t="shared" si="12"/>
        <v>-18.3</v>
      </c>
      <c r="Q59" s="118">
        <v>12</v>
      </c>
      <c r="R59" s="279"/>
      <c r="S59" s="279"/>
      <c r="T59" s="120">
        <f t="shared" si="13"/>
        <v>-18.3</v>
      </c>
      <c r="U59" s="118">
        <v>12</v>
      </c>
      <c r="V59" s="279"/>
      <c r="W59" s="279"/>
      <c r="X59" s="120">
        <f t="shared" si="10"/>
        <v>-18.3</v>
      </c>
    </row>
    <row r="60" spans="1:24">
      <c r="A60" s="118">
        <v>13</v>
      </c>
      <c r="B60" s="279">
        <f>'General information '!B18</f>
        <v>25</v>
      </c>
      <c r="C60" s="279">
        <f>'General information '!C18</f>
        <v>20</v>
      </c>
      <c r="D60" s="120">
        <f t="shared" si="14"/>
        <v>4.1999999999999993</v>
      </c>
      <c r="E60" s="118">
        <v>13</v>
      </c>
      <c r="F60" s="279"/>
      <c r="G60" s="279"/>
      <c r="H60" s="120">
        <f t="shared" si="9"/>
        <v>-18.3</v>
      </c>
      <c r="I60" s="118">
        <v>13</v>
      </c>
      <c r="J60" s="279"/>
      <c r="K60" s="279"/>
      <c r="L60" s="120">
        <f t="shared" si="11"/>
        <v>-18.3</v>
      </c>
      <c r="M60" s="118">
        <v>13</v>
      </c>
      <c r="N60" s="279"/>
      <c r="O60" s="279"/>
      <c r="P60" s="120">
        <f t="shared" si="12"/>
        <v>-18.3</v>
      </c>
      <c r="Q60" s="118">
        <v>13</v>
      </c>
      <c r="R60" s="279"/>
      <c r="S60" s="279"/>
      <c r="T60" s="120">
        <f t="shared" si="13"/>
        <v>-18.3</v>
      </c>
      <c r="U60" s="118">
        <v>13</v>
      </c>
      <c r="V60" s="279"/>
      <c r="W60" s="279"/>
      <c r="X60" s="120">
        <f t="shared" si="10"/>
        <v>-18.3</v>
      </c>
    </row>
    <row r="61" spans="1:24">
      <c r="A61" s="118">
        <v>14</v>
      </c>
      <c r="B61" s="279">
        <f>'General information '!B19</f>
        <v>26</v>
      </c>
      <c r="C61" s="279">
        <f>'General information '!C19</f>
        <v>21</v>
      </c>
      <c r="D61" s="120">
        <f t="shared" si="14"/>
        <v>5.1999999999999993</v>
      </c>
      <c r="E61" s="118">
        <v>14</v>
      </c>
      <c r="F61" s="279"/>
      <c r="G61" s="279"/>
      <c r="H61" s="120">
        <f t="shared" si="9"/>
        <v>-18.3</v>
      </c>
      <c r="I61" s="118">
        <v>14</v>
      </c>
      <c r="J61" s="279"/>
      <c r="K61" s="279"/>
      <c r="L61" s="120">
        <f t="shared" si="11"/>
        <v>-18.3</v>
      </c>
      <c r="M61" s="118">
        <v>14</v>
      </c>
      <c r="N61" s="279"/>
      <c r="O61" s="279"/>
      <c r="P61" s="120">
        <f t="shared" si="12"/>
        <v>-18.3</v>
      </c>
      <c r="Q61" s="118">
        <v>14</v>
      </c>
      <c r="R61" s="279"/>
      <c r="S61" s="279"/>
      <c r="T61" s="120">
        <f t="shared" si="13"/>
        <v>-18.3</v>
      </c>
      <c r="U61" s="118">
        <v>14</v>
      </c>
      <c r="V61" s="279"/>
      <c r="W61" s="279"/>
      <c r="X61" s="120">
        <f t="shared" si="10"/>
        <v>-18.3</v>
      </c>
    </row>
    <row r="62" spans="1:24">
      <c r="A62" s="118">
        <v>15</v>
      </c>
      <c r="B62" s="279">
        <f>'General information '!B20</f>
        <v>26</v>
      </c>
      <c r="C62" s="279">
        <f>'General information '!C20</f>
        <v>20</v>
      </c>
      <c r="D62" s="120">
        <f t="shared" si="14"/>
        <v>4.6999999999999993</v>
      </c>
      <c r="E62" s="118">
        <v>15</v>
      </c>
      <c r="F62" s="279"/>
      <c r="G62" s="279"/>
      <c r="H62" s="120">
        <f t="shared" si="9"/>
        <v>-18.3</v>
      </c>
      <c r="I62" s="118">
        <v>15</v>
      </c>
      <c r="J62" s="279"/>
      <c r="K62" s="279"/>
      <c r="L62" s="120">
        <f t="shared" si="11"/>
        <v>-18.3</v>
      </c>
      <c r="M62" s="118">
        <v>15</v>
      </c>
      <c r="N62" s="279"/>
      <c r="O62" s="279"/>
      <c r="P62" s="120">
        <f t="shared" si="12"/>
        <v>-18.3</v>
      </c>
      <c r="Q62" s="118">
        <v>15</v>
      </c>
      <c r="R62" s="279"/>
      <c r="S62" s="279"/>
      <c r="T62" s="120">
        <f t="shared" si="13"/>
        <v>-18.3</v>
      </c>
      <c r="U62" s="118">
        <v>15</v>
      </c>
      <c r="V62" s="279"/>
      <c r="W62" s="279"/>
      <c r="X62" s="120">
        <f t="shared" si="10"/>
        <v>-18.3</v>
      </c>
    </row>
    <row r="63" spans="1:24">
      <c r="A63" s="118">
        <v>16</v>
      </c>
      <c r="B63" s="279">
        <f>'General information '!B21</f>
        <v>26</v>
      </c>
      <c r="C63" s="279">
        <f>'General information '!C21</f>
        <v>21</v>
      </c>
      <c r="D63" s="120">
        <f t="shared" si="14"/>
        <v>5.1999999999999993</v>
      </c>
      <c r="E63" s="118">
        <v>16</v>
      </c>
      <c r="F63" s="279"/>
      <c r="G63" s="279"/>
      <c r="H63" s="120">
        <f t="shared" si="9"/>
        <v>-18.3</v>
      </c>
      <c r="I63" s="118">
        <v>16</v>
      </c>
      <c r="J63" s="279"/>
      <c r="K63" s="279"/>
      <c r="L63" s="120">
        <f t="shared" si="11"/>
        <v>-18.3</v>
      </c>
      <c r="M63" s="118">
        <v>16</v>
      </c>
      <c r="N63" s="279"/>
      <c r="O63" s="279"/>
      <c r="P63" s="120">
        <f t="shared" si="12"/>
        <v>-18.3</v>
      </c>
      <c r="Q63" s="118">
        <v>16</v>
      </c>
      <c r="R63" s="279"/>
      <c r="S63" s="279"/>
      <c r="T63" s="120">
        <f t="shared" si="13"/>
        <v>-18.3</v>
      </c>
      <c r="U63" s="118">
        <v>16</v>
      </c>
      <c r="V63" s="279"/>
      <c r="W63" s="279"/>
      <c r="X63" s="120">
        <f t="shared" si="10"/>
        <v>-18.3</v>
      </c>
    </row>
    <row r="64" spans="1:24">
      <c r="A64" s="118">
        <v>17</v>
      </c>
      <c r="B64" s="279">
        <f>'General information '!B22</f>
        <v>27</v>
      </c>
      <c r="C64" s="279">
        <f>'General information '!C22</f>
        <v>22</v>
      </c>
      <c r="D64" s="120">
        <f t="shared" si="14"/>
        <v>6.1999999999999993</v>
      </c>
      <c r="E64" s="118">
        <v>17</v>
      </c>
      <c r="F64" s="279"/>
      <c r="G64" s="279"/>
      <c r="H64" s="120">
        <f t="shared" si="9"/>
        <v>-18.3</v>
      </c>
      <c r="I64" s="118">
        <v>17</v>
      </c>
      <c r="J64" s="279"/>
      <c r="K64" s="279"/>
      <c r="L64" s="120">
        <f t="shared" si="11"/>
        <v>-18.3</v>
      </c>
      <c r="M64" s="118">
        <v>17</v>
      </c>
      <c r="N64" s="279"/>
      <c r="O64" s="279"/>
      <c r="P64" s="120">
        <f t="shared" si="12"/>
        <v>-18.3</v>
      </c>
      <c r="Q64" s="118">
        <v>17</v>
      </c>
      <c r="R64" s="279"/>
      <c r="S64" s="279"/>
      <c r="T64" s="120">
        <f t="shared" si="13"/>
        <v>-18.3</v>
      </c>
      <c r="U64" s="118">
        <v>17</v>
      </c>
      <c r="V64" s="279"/>
      <c r="W64" s="279"/>
      <c r="X64" s="120">
        <f t="shared" si="10"/>
        <v>-18.3</v>
      </c>
    </row>
    <row r="65" spans="1:24">
      <c r="A65" s="118">
        <v>18</v>
      </c>
      <c r="B65" s="279">
        <f>'General information '!B23</f>
        <v>27</v>
      </c>
      <c r="C65" s="279">
        <f>'General information '!C23</f>
        <v>24</v>
      </c>
      <c r="D65" s="120">
        <f t="shared" si="14"/>
        <v>7.1999999999999993</v>
      </c>
      <c r="E65" s="118">
        <v>18</v>
      </c>
      <c r="F65" s="279"/>
      <c r="G65" s="279"/>
      <c r="H65" s="120">
        <f t="shared" si="9"/>
        <v>-18.3</v>
      </c>
      <c r="I65" s="118">
        <v>18</v>
      </c>
      <c r="J65" s="279"/>
      <c r="K65" s="279"/>
      <c r="L65" s="120">
        <f t="shared" si="11"/>
        <v>-18.3</v>
      </c>
      <c r="M65" s="118">
        <v>18</v>
      </c>
      <c r="N65" s="279"/>
      <c r="O65" s="279"/>
      <c r="P65" s="120">
        <f t="shared" si="12"/>
        <v>-18.3</v>
      </c>
      <c r="Q65" s="118">
        <v>18</v>
      </c>
      <c r="R65" s="279"/>
      <c r="S65" s="279"/>
      <c r="T65" s="120">
        <f t="shared" si="13"/>
        <v>-18.3</v>
      </c>
      <c r="U65" s="118">
        <v>18</v>
      </c>
      <c r="V65" s="279"/>
      <c r="W65" s="279"/>
      <c r="X65" s="120">
        <f t="shared" si="10"/>
        <v>-18.3</v>
      </c>
    </row>
    <row r="66" spans="1:24">
      <c r="A66" s="118">
        <v>19</v>
      </c>
      <c r="B66" s="279">
        <f>'General information '!B24</f>
        <v>0</v>
      </c>
      <c r="C66" s="279">
        <f>'General information '!C24</f>
        <v>0</v>
      </c>
      <c r="D66" s="120">
        <f t="shared" si="14"/>
        <v>-18.3</v>
      </c>
      <c r="E66" s="118">
        <v>19</v>
      </c>
      <c r="F66" s="279"/>
      <c r="G66" s="279"/>
      <c r="H66" s="120">
        <f t="shared" si="9"/>
        <v>-18.3</v>
      </c>
      <c r="I66" s="118">
        <v>19</v>
      </c>
      <c r="J66" s="279"/>
      <c r="K66" s="279"/>
      <c r="L66" s="120">
        <f t="shared" si="11"/>
        <v>-18.3</v>
      </c>
      <c r="M66" s="118">
        <v>19</v>
      </c>
      <c r="N66" s="279"/>
      <c r="O66" s="279"/>
      <c r="P66" s="120">
        <f t="shared" si="12"/>
        <v>-18.3</v>
      </c>
      <c r="Q66" s="118">
        <v>19</v>
      </c>
      <c r="R66" s="279"/>
      <c r="S66" s="279"/>
      <c r="T66" s="120">
        <f t="shared" si="13"/>
        <v>-18.3</v>
      </c>
      <c r="U66" s="118">
        <v>19</v>
      </c>
      <c r="V66" s="279"/>
      <c r="W66" s="279"/>
      <c r="X66" s="120">
        <f t="shared" si="10"/>
        <v>-18.3</v>
      </c>
    </row>
    <row r="67" spans="1:24">
      <c r="A67" s="118">
        <v>20</v>
      </c>
      <c r="B67" s="279">
        <f>'General information '!B25</f>
        <v>0</v>
      </c>
      <c r="C67" s="279">
        <f>'General information '!C25</f>
        <v>0</v>
      </c>
      <c r="D67" s="120">
        <f t="shared" si="14"/>
        <v>-18.3</v>
      </c>
      <c r="E67" s="118">
        <v>20</v>
      </c>
      <c r="F67" s="279"/>
      <c r="G67" s="279"/>
      <c r="H67" s="120">
        <f t="shared" si="9"/>
        <v>-18.3</v>
      </c>
      <c r="I67" s="118">
        <v>20</v>
      </c>
      <c r="J67" s="279"/>
      <c r="K67" s="279"/>
      <c r="L67" s="120">
        <f t="shared" si="11"/>
        <v>-18.3</v>
      </c>
      <c r="M67" s="118">
        <v>20</v>
      </c>
      <c r="N67" s="279"/>
      <c r="O67" s="279"/>
      <c r="P67" s="120">
        <f t="shared" si="12"/>
        <v>-18.3</v>
      </c>
      <c r="Q67" s="118">
        <v>20</v>
      </c>
      <c r="R67" s="279"/>
      <c r="S67" s="279"/>
      <c r="T67" s="120">
        <f t="shared" si="13"/>
        <v>-18.3</v>
      </c>
      <c r="U67" s="118">
        <v>20</v>
      </c>
      <c r="V67" s="279"/>
      <c r="W67" s="279"/>
      <c r="X67" s="120">
        <f t="shared" si="10"/>
        <v>-18.3</v>
      </c>
    </row>
    <row r="68" spans="1:24">
      <c r="A68" s="118">
        <v>21</v>
      </c>
      <c r="B68" s="279">
        <f>'General information '!B26</f>
        <v>0</v>
      </c>
      <c r="C68" s="279">
        <f>'General information '!C26</f>
        <v>0</v>
      </c>
      <c r="D68" s="120">
        <f t="shared" si="14"/>
        <v>-18.3</v>
      </c>
      <c r="E68" s="118">
        <v>21</v>
      </c>
      <c r="F68" s="279"/>
      <c r="G68" s="279"/>
      <c r="H68" s="120">
        <f t="shared" si="9"/>
        <v>-18.3</v>
      </c>
      <c r="I68" s="118">
        <v>21</v>
      </c>
      <c r="J68" s="279"/>
      <c r="K68" s="279"/>
      <c r="L68" s="120">
        <f t="shared" si="11"/>
        <v>-18.3</v>
      </c>
      <c r="M68" s="118">
        <v>21</v>
      </c>
      <c r="N68" s="279"/>
      <c r="O68" s="279"/>
      <c r="P68" s="120">
        <f t="shared" si="12"/>
        <v>-18.3</v>
      </c>
      <c r="Q68" s="118">
        <v>21</v>
      </c>
      <c r="R68" s="279"/>
      <c r="S68" s="279"/>
      <c r="T68" s="120">
        <f t="shared" si="13"/>
        <v>-18.3</v>
      </c>
      <c r="U68" s="118">
        <v>21</v>
      </c>
      <c r="V68" s="279"/>
      <c r="W68" s="279"/>
      <c r="X68" s="120">
        <f t="shared" si="10"/>
        <v>-18.3</v>
      </c>
    </row>
    <row r="69" spans="1:24">
      <c r="A69" s="118">
        <v>22</v>
      </c>
      <c r="B69" s="279">
        <f>'General information '!B27</f>
        <v>0</v>
      </c>
      <c r="C69" s="279">
        <f>'General information '!C27</f>
        <v>0</v>
      </c>
      <c r="D69" s="120">
        <f t="shared" si="14"/>
        <v>-18.3</v>
      </c>
      <c r="E69" s="118">
        <v>22</v>
      </c>
      <c r="F69" s="279"/>
      <c r="G69" s="279"/>
      <c r="H69" s="120">
        <f t="shared" si="9"/>
        <v>-18.3</v>
      </c>
      <c r="I69" s="118">
        <v>22</v>
      </c>
      <c r="J69" s="279"/>
      <c r="K69" s="279"/>
      <c r="L69" s="120">
        <f t="shared" si="11"/>
        <v>-18.3</v>
      </c>
      <c r="M69" s="118">
        <v>22</v>
      </c>
      <c r="N69" s="279"/>
      <c r="O69" s="279"/>
      <c r="P69" s="120">
        <f t="shared" si="12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10"/>
        <v>-18.3</v>
      </c>
    </row>
    <row r="70" spans="1:24">
      <c r="A70" s="118">
        <v>23</v>
      </c>
      <c r="B70" s="279">
        <f>'General information '!B28</f>
        <v>0</v>
      </c>
      <c r="C70" s="279">
        <f>'General information '!C28</f>
        <v>0</v>
      </c>
      <c r="D70" s="120">
        <f t="shared" si="14"/>
        <v>-18.3</v>
      </c>
      <c r="E70" s="118">
        <v>23</v>
      </c>
      <c r="F70" s="279"/>
      <c r="G70" s="279"/>
      <c r="H70" s="120">
        <f t="shared" si="9"/>
        <v>-18.3</v>
      </c>
      <c r="I70" s="118">
        <v>23</v>
      </c>
      <c r="J70" s="279"/>
      <c r="K70" s="279"/>
      <c r="L70" s="120">
        <f t="shared" si="11"/>
        <v>-18.3</v>
      </c>
      <c r="M70" s="118">
        <v>23</v>
      </c>
      <c r="N70" s="279"/>
      <c r="O70" s="279"/>
      <c r="P70" s="120">
        <f t="shared" si="12"/>
        <v>-18.3</v>
      </c>
      <c r="Q70" s="118">
        <v>23</v>
      </c>
      <c r="R70" s="279"/>
      <c r="S70" s="279"/>
      <c r="T70" s="120">
        <f t="shared" si="13"/>
        <v>-18.3</v>
      </c>
      <c r="U70" s="118">
        <v>23</v>
      </c>
      <c r="V70" s="279"/>
      <c r="W70" s="279"/>
      <c r="X70" s="120">
        <f t="shared" si="10"/>
        <v>-18.3</v>
      </c>
    </row>
    <row r="71" spans="1:24">
      <c r="A71" s="118">
        <v>24</v>
      </c>
      <c r="B71" s="279">
        <f>'General information '!B29</f>
        <v>0</v>
      </c>
      <c r="C71" s="279">
        <f>'General information '!C29</f>
        <v>0</v>
      </c>
      <c r="D71" s="120">
        <f t="shared" si="14"/>
        <v>-18.3</v>
      </c>
      <c r="E71" s="118">
        <v>24</v>
      </c>
      <c r="F71" s="279"/>
      <c r="G71" s="279"/>
      <c r="H71" s="120">
        <f t="shared" si="9"/>
        <v>-18.3</v>
      </c>
      <c r="I71" s="118">
        <v>24</v>
      </c>
      <c r="J71" s="279"/>
      <c r="K71" s="279"/>
      <c r="L71" s="120">
        <f t="shared" si="11"/>
        <v>-18.3</v>
      </c>
      <c r="M71" s="118">
        <v>24</v>
      </c>
      <c r="N71" s="279"/>
      <c r="O71" s="279"/>
      <c r="P71" s="120">
        <f t="shared" si="12"/>
        <v>-18.3</v>
      </c>
      <c r="Q71" s="118">
        <v>24</v>
      </c>
      <c r="R71" s="279"/>
      <c r="S71" s="279"/>
      <c r="T71" s="120">
        <f t="shared" si="13"/>
        <v>-18.3</v>
      </c>
      <c r="U71" s="118">
        <v>24</v>
      </c>
      <c r="V71" s="279"/>
      <c r="W71" s="279"/>
      <c r="X71" s="120">
        <f t="shared" si="10"/>
        <v>-18.3</v>
      </c>
    </row>
    <row r="72" spans="1:24">
      <c r="A72" s="118">
        <v>25</v>
      </c>
      <c r="B72" s="279">
        <f>'General information '!B30</f>
        <v>0</v>
      </c>
      <c r="C72" s="279">
        <f>'General information '!C30</f>
        <v>0</v>
      </c>
      <c r="D72" s="120">
        <f t="shared" si="14"/>
        <v>-18.3</v>
      </c>
      <c r="E72" s="118">
        <v>25</v>
      </c>
      <c r="F72" s="279"/>
      <c r="G72" s="279"/>
      <c r="H72" s="120">
        <f t="shared" si="9"/>
        <v>-18.3</v>
      </c>
      <c r="I72" s="118">
        <v>25</v>
      </c>
      <c r="J72" s="279"/>
      <c r="K72" s="279"/>
      <c r="L72" s="120">
        <f t="shared" si="11"/>
        <v>-18.3</v>
      </c>
      <c r="M72" s="118">
        <v>25</v>
      </c>
      <c r="N72" s="279"/>
      <c r="O72" s="279"/>
      <c r="P72" s="120">
        <f t="shared" si="12"/>
        <v>-18.3</v>
      </c>
      <c r="Q72" s="118">
        <v>25</v>
      </c>
      <c r="R72" s="279"/>
      <c r="S72" s="279"/>
      <c r="T72" s="120">
        <f t="shared" si="13"/>
        <v>-18.3</v>
      </c>
      <c r="U72" s="118">
        <v>25</v>
      </c>
      <c r="V72" s="279"/>
      <c r="W72" s="279"/>
      <c r="X72" s="120">
        <f t="shared" si="10"/>
        <v>-18.3</v>
      </c>
    </row>
    <row r="73" spans="1:24">
      <c r="A73" s="118">
        <v>26</v>
      </c>
      <c r="B73" s="279">
        <f>'General information '!B31</f>
        <v>0</v>
      </c>
      <c r="C73" s="279">
        <f>'General information '!C31</f>
        <v>0</v>
      </c>
      <c r="D73" s="120">
        <f t="shared" si="14"/>
        <v>-18.3</v>
      </c>
      <c r="E73" s="118">
        <v>26</v>
      </c>
      <c r="F73" s="279"/>
      <c r="G73" s="279"/>
      <c r="H73" s="120">
        <f t="shared" si="9"/>
        <v>-18.3</v>
      </c>
      <c r="I73" s="118">
        <v>26</v>
      </c>
      <c r="J73" s="279"/>
      <c r="K73" s="279"/>
      <c r="L73" s="120">
        <f t="shared" si="11"/>
        <v>-18.3</v>
      </c>
      <c r="M73" s="118">
        <v>26</v>
      </c>
      <c r="N73" s="279"/>
      <c r="O73" s="279"/>
      <c r="P73" s="120">
        <f t="shared" si="12"/>
        <v>-18.3</v>
      </c>
      <c r="Q73" s="118">
        <v>26</v>
      </c>
      <c r="R73" s="279"/>
      <c r="S73" s="279"/>
      <c r="T73" s="120">
        <f t="shared" si="13"/>
        <v>-18.3</v>
      </c>
      <c r="U73" s="118">
        <v>26</v>
      </c>
      <c r="V73" s="279"/>
      <c r="W73" s="279"/>
      <c r="X73" s="120">
        <f t="shared" si="10"/>
        <v>-18.3</v>
      </c>
    </row>
    <row r="74" spans="1:24">
      <c r="A74" s="118">
        <v>27</v>
      </c>
      <c r="B74" s="279">
        <f>'General information '!B32</f>
        <v>0</v>
      </c>
      <c r="C74" s="279">
        <f>'General information '!C32</f>
        <v>0</v>
      </c>
      <c r="D74" s="120">
        <f t="shared" si="14"/>
        <v>-18.3</v>
      </c>
      <c r="E74" s="118">
        <v>27</v>
      </c>
      <c r="F74" s="279"/>
      <c r="G74" s="279"/>
      <c r="H74" s="120">
        <f t="shared" si="9"/>
        <v>-18.3</v>
      </c>
      <c r="I74" s="118">
        <v>27</v>
      </c>
      <c r="J74" s="279"/>
      <c r="K74" s="279"/>
      <c r="L74" s="120">
        <f t="shared" si="11"/>
        <v>-18.3</v>
      </c>
      <c r="M74" s="118">
        <v>27</v>
      </c>
      <c r="N74" s="279"/>
      <c r="O74" s="279"/>
      <c r="P74" s="120">
        <f t="shared" si="12"/>
        <v>-18.3</v>
      </c>
      <c r="Q74" s="118">
        <v>27</v>
      </c>
      <c r="R74" s="279"/>
      <c r="S74" s="279"/>
      <c r="T74" s="120">
        <f t="shared" si="13"/>
        <v>-18.3</v>
      </c>
      <c r="U74" s="118">
        <v>27</v>
      </c>
      <c r="V74" s="279"/>
      <c r="W74" s="279"/>
      <c r="X74" s="120">
        <f t="shared" si="10"/>
        <v>-18.3</v>
      </c>
    </row>
    <row r="75" spans="1:24">
      <c r="A75" s="118">
        <v>28</v>
      </c>
      <c r="B75" s="279">
        <f>'General information '!B33</f>
        <v>0</v>
      </c>
      <c r="C75" s="279">
        <f>'General information '!C33</f>
        <v>0</v>
      </c>
      <c r="D75" s="120">
        <f t="shared" si="14"/>
        <v>-18.3</v>
      </c>
      <c r="E75" s="118">
        <v>28</v>
      </c>
      <c r="F75" s="279"/>
      <c r="G75" s="279"/>
      <c r="H75" s="120">
        <f t="shared" si="9"/>
        <v>-18.3</v>
      </c>
      <c r="I75" s="118">
        <v>28</v>
      </c>
      <c r="J75" s="279"/>
      <c r="K75" s="279"/>
      <c r="L75" s="120">
        <f t="shared" si="11"/>
        <v>-18.3</v>
      </c>
      <c r="M75" s="118">
        <v>28</v>
      </c>
      <c r="N75" s="279"/>
      <c r="O75" s="279"/>
      <c r="P75" s="120">
        <f t="shared" si="12"/>
        <v>-18.3</v>
      </c>
      <c r="Q75" s="118">
        <v>28</v>
      </c>
      <c r="R75" s="279"/>
      <c r="S75" s="279"/>
      <c r="T75" s="120">
        <f t="shared" si="13"/>
        <v>-18.3</v>
      </c>
      <c r="U75" s="118">
        <v>28</v>
      </c>
      <c r="V75" s="279"/>
      <c r="W75" s="279"/>
      <c r="X75" s="120">
        <f t="shared" si="10"/>
        <v>-18.3</v>
      </c>
    </row>
    <row r="76" spans="1:24">
      <c r="A76" s="118">
        <v>29</v>
      </c>
      <c r="B76" s="279">
        <f>'General information '!B34</f>
        <v>0</v>
      </c>
      <c r="C76" s="279">
        <f>'General information '!C34</f>
        <v>0</v>
      </c>
      <c r="D76" s="120">
        <f t="shared" si="14"/>
        <v>-18.3</v>
      </c>
      <c r="E76" s="118">
        <v>29</v>
      </c>
      <c r="F76" s="279"/>
      <c r="G76" s="279"/>
      <c r="H76" s="120">
        <f t="shared" si="9"/>
        <v>-18.3</v>
      </c>
      <c r="I76" s="118">
        <v>29</v>
      </c>
      <c r="J76" s="279"/>
      <c r="K76" s="279"/>
      <c r="L76" s="120">
        <f t="shared" si="11"/>
        <v>-18.3</v>
      </c>
      <c r="M76" s="118">
        <v>29</v>
      </c>
      <c r="N76" s="279"/>
      <c r="O76" s="279"/>
      <c r="P76" s="120">
        <f t="shared" si="12"/>
        <v>-18.3</v>
      </c>
      <c r="Q76" s="118">
        <v>29</v>
      </c>
      <c r="R76" s="279"/>
      <c r="S76" s="279"/>
      <c r="T76" s="120">
        <f t="shared" si="13"/>
        <v>-18.3</v>
      </c>
      <c r="U76" s="118">
        <v>29</v>
      </c>
      <c r="V76" s="279"/>
      <c r="W76" s="279"/>
      <c r="X76" s="120">
        <f t="shared" si="10"/>
        <v>-18.3</v>
      </c>
    </row>
    <row r="77" spans="1:24">
      <c r="A77" s="118">
        <v>30</v>
      </c>
      <c r="B77" s="279">
        <f>'General information '!B35</f>
        <v>0</v>
      </c>
      <c r="C77" s="279">
        <f>'General information '!C35</f>
        <v>0</v>
      </c>
      <c r="D77" s="120">
        <f t="shared" si="14"/>
        <v>-18.3</v>
      </c>
      <c r="E77" s="118">
        <v>30</v>
      </c>
      <c r="F77" s="279"/>
      <c r="G77" s="279"/>
      <c r="H77" s="120">
        <f t="shared" si="9"/>
        <v>-18.3</v>
      </c>
      <c r="I77" s="118">
        <v>30</v>
      </c>
      <c r="J77" s="279"/>
      <c r="K77" s="279"/>
      <c r="L77" s="120">
        <f t="shared" si="11"/>
        <v>-18.3</v>
      </c>
      <c r="M77" s="118">
        <v>30</v>
      </c>
      <c r="N77" s="279"/>
      <c r="O77" s="279"/>
      <c r="P77" s="120">
        <f t="shared" si="12"/>
        <v>-18.3</v>
      </c>
      <c r="Q77" s="118">
        <v>30</v>
      </c>
      <c r="R77" s="279"/>
      <c r="S77" s="279"/>
      <c r="T77" s="120">
        <f t="shared" si="13"/>
        <v>-18.3</v>
      </c>
      <c r="U77" s="118">
        <v>30</v>
      </c>
      <c r="V77" s="279"/>
      <c r="W77" s="279"/>
      <c r="X77" s="120">
        <f t="shared" si="10"/>
        <v>-18.3</v>
      </c>
    </row>
    <row r="78" spans="1:24">
      <c r="A78" s="121">
        <v>31</v>
      </c>
      <c r="B78" s="279"/>
      <c r="C78" s="279"/>
      <c r="D78" s="120">
        <f t="shared" si="14"/>
        <v>-18.3</v>
      </c>
      <c r="E78" s="121">
        <v>31</v>
      </c>
      <c r="F78" s="279"/>
      <c r="G78" s="279"/>
      <c r="H78" s="120">
        <f t="shared" si="9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12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-237.90000000000006</v>
      </c>
      <c r="C81" s="120">
        <f>SUMIF(D48:D78,"&gt;0")</f>
        <v>89.100000000000023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715" t="s">
        <v>174</v>
      </c>
      <c r="O84" s="715" t="s">
        <v>175</v>
      </c>
      <c r="P84" s="135"/>
      <c r="T84" s="135"/>
      <c r="X84" s="135"/>
    </row>
    <row r="85" spans="1:24" ht="20.25" thickBot="1">
      <c r="D85" s="135"/>
      <c r="I85" s="717" t="s">
        <v>182</v>
      </c>
      <c r="J85" s="718"/>
      <c r="K85" s="718"/>
      <c r="L85" s="718"/>
      <c r="N85" s="716"/>
      <c r="O85" s="716"/>
      <c r="P85" s="135"/>
      <c r="R85" s="17"/>
      <c r="S85" s="17"/>
      <c r="T85" s="141"/>
      <c r="U85" s="142"/>
      <c r="X85" s="135"/>
    </row>
    <row r="86" spans="1:24" ht="18.75" thickBot="1">
      <c r="D86" s="135"/>
      <c r="I86" s="719" t="s">
        <v>183</v>
      </c>
      <c r="J86" s="719"/>
      <c r="K86" s="719"/>
      <c r="L86" s="719"/>
      <c r="N86" s="143">
        <f>B43+F43+J43+N43+R43+V43+B81+F81+J81+N81+R81+V81</f>
        <v>-3676.9000000000005</v>
      </c>
      <c r="O86" s="143">
        <f>C43+G43+K43+O43+S43+W43+C81+G81+K81+O81+S81+W81</f>
        <v>347.20000000000005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  <c r="M88" s="709"/>
      <c r="N88" s="709"/>
      <c r="O88" s="709"/>
      <c r="P88" s="709"/>
      <c r="Q88" s="709"/>
      <c r="R88" s="709"/>
      <c r="S88" s="709"/>
      <c r="T88" s="709"/>
      <c r="U88" s="709"/>
      <c r="V88" s="709"/>
      <c r="W88" s="709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3" workbookViewId="0">
      <pane xSplit="1" topLeftCell="B1" activePane="topRight" state="frozen"/>
      <selection pane="topRight" activeCell="B14" sqref="B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3" t="s">
        <v>216</v>
      </c>
      <c r="B2" s="723"/>
      <c r="C2" s="723"/>
      <c r="D2" s="723"/>
      <c r="E2" s="723"/>
      <c r="F2" s="723"/>
      <c r="G2" s="723"/>
      <c r="H2" s="723"/>
      <c r="I2" s="723"/>
    </row>
    <row r="3" spans="1:11">
      <c r="A3" s="197">
        <v>43971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log'!A37</f>
        <v>18</v>
      </c>
      <c r="G4" s="199">
        <v>30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45"/>
    </row>
    <row r="6" spans="1:11">
      <c r="A6" s="188" t="s">
        <v>217</v>
      </c>
      <c r="B6" s="363">
        <f>WATER!C36</f>
        <v>0</v>
      </c>
      <c r="C6" s="339">
        <v>1.45</v>
      </c>
      <c r="D6" s="188">
        <f>SUM(C6*B6)*D4</f>
        <v>0</v>
      </c>
      <c r="E6" s="451">
        <f>SUM(D6/D4)/F4</f>
        <v>0</v>
      </c>
      <c r="F6" s="189">
        <f>SUM(E6*F4)</f>
        <v>0</v>
      </c>
      <c r="G6" s="190">
        <f>SUM(B6*C6)</f>
        <v>0</v>
      </c>
      <c r="H6" s="189">
        <f>9128-H7</f>
        <v>1628</v>
      </c>
      <c r="I6" s="354">
        <f>10400-I7</f>
        <v>2900</v>
      </c>
      <c r="J6" s="284"/>
    </row>
    <row r="7" spans="1:11">
      <c r="A7" s="188" t="s">
        <v>218</v>
      </c>
      <c r="B7" s="363">
        <f>WATER!H36</f>
        <v>1193</v>
      </c>
      <c r="C7" s="188">
        <v>7500</v>
      </c>
      <c r="D7" s="191">
        <f>SUM(C7)*D4</f>
        <v>11306250</v>
      </c>
      <c r="E7" s="189">
        <f>SUM(I7/G4)</f>
        <v>250</v>
      </c>
      <c r="F7" s="189">
        <f>SUM(E7*F4)</f>
        <v>4500</v>
      </c>
      <c r="G7" s="529">
        <v>7500</v>
      </c>
      <c r="H7" s="193">
        <v>7500</v>
      </c>
      <c r="I7" s="189">
        <v>7500</v>
      </c>
      <c r="J7" s="284"/>
    </row>
    <row r="8" spans="1:11">
      <c r="A8" s="194" t="s">
        <v>219</v>
      </c>
      <c r="B8" s="364">
        <f>tanks!AT36</f>
        <v>26844.1</v>
      </c>
      <c r="C8" s="512">
        <f>SUM(tanks!AU36)</f>
        <v>0.29825000000000002</v>
      </c>
      <c r="D8" s="195">
        <f>SUM(B8*C8)*D4</f>
        <v>12069426.1336875</v>
      </c>
      <c r="E8" s="196">
        <f>SUM(D8/D4/F4)</f>
        <v>444.79182361111111</v>
      </c>
      <c r="F8" s="196">
        <f>SUM(E8*F4)</f>
        <v>8006.2528249999996</v>
      </c>
      <c r="G8" s="529">
        <f>E8*$G$4</f>
        <v>13343.754708333334</v>
      </c>
      <c r="H8" s="193">
        <v>23290</v>
      </c>
      <c r="I8" s="196">
        <v>30600</v>
      </c>
      <c r="J8" s="284"/>
    </row>
    <row r="9" spans="1:11">
      <c r="A9" s="2" t="s">
        <v>220</v>
      </c>
      <c r="B9" s="365">
        <f>'B5'!AV35</f>
        <v>3200</v>
      </c>
      <c r="C9" s="362">
        <v>0.7</v>
      </c>
      <c r="D9" s="192">
        <f>SUM(B9*C9)*D4</f>
        <v>3376800</v>
      </c>
      <c r="E9" s="193">
        <f>SUM(C9*B9)/F4</f>
        <v>124.44444444444444</v>
      </c>
      <c r="F9" s="193">
        <f>SUM(E9*F4)</f>
        <v>2240</v>
      </c>
      <c r="G9" s="529">
        <f>E9*$G$4</f>
        <v>3733.3333333333335</v>
      </c>
      <c r="H9" s="193">
        <v>4425.42</v>
      </c>
      <c r="I9" s="193">
        <v>5800</v>
      </c>
      <c r="J9" s="284"/>
    </row>
    <row r="10" spans="1:11">
      <c r="A10" s="185" t="s">
        <v>221</v>
      </c>
      <c r="B10" s="366"/>
      <c r="C10" s="185"/>
      <c r="D10" s="187">
        <f>SUM('EDl log'!AB32)</f>
        <v>18288759.800000001</v>
      </c>
      <c r="E10" s="186">
        <f>SUM(D10/D4/F4)</f>
        <v>673.99151649161604</v>
      </c>
      <c r="F10" s="186">
        <f>SUM(E10*F4)</f>
        <v>12131.84729684909</v>
      </c>
      <c r="G10" s="529">
        <f>E10*$G$4</f>
        <v>20219.74549474848</v>
      </c>
      <c r="H10" s="193">
        <v>24092.08785</v>
      </c>
      <c r="I10" s="287">
        <v>33700</v>
      </c>
      <c r="J10" s="284"/>
      <c r="K10" s="284"/>
    </row>
    <row r="11" spans="1:11">
      <c r="I11" s="284"/>
      <c r="J11" s="284"/>
      <c r="K11" s="284"/>
    </row>
    <row r="12" spans="1:11" ht="42.75" customHeight="1">
      <c r="E12" s="444">
        <f>SUM(E6:E11)</f>
        <v>1493.2277845471717</v>
      </c>
      <c r="F12" s="184">
        <f>SUM(F6:F10)</f>
        <v>26878.100121849089</v>
      </c>
      <c r="G12" s="183">
        <f>SUM(G6:G10)</f>
        <v>44796.833536415143</v>
      </c>
      <c r="H12" s="183">
        <f>SUM(H6:H11)</f>
        <v>60935.507849999995</v>
      </c>
      <c r="I12" s="225">
        <f>SUM(I6:I11)</f>
        <v>80500</v>
      </c>
      <c r="J12" s="284"/>
    </row>
    <row r="13" spans="1:11" ht="30">
      <c r="A13" s="3"/>
      <c r="B13" s="179" t="s">
        <v>227</v>
      </c>
      <c r="C13" s="434" t="s">
        <v>387</v>
      </c>
      <c r="D13" s="434" t="s">
        <v>391</v>
      </c>
      <c r="E13" s="434" t="s">
        <v>388</v>
      </c>
      <c r="F13" s="434" t="s">
        <v>413</v>
      </c>
      <c r="G13" s="436"/>
      <c r="H13" s="17"/>
      <c r="I13" s="17"/>
      <c r="J13" s="17"/>
    </row>
    <row r="14" spans="1:11">
      <c r="A14" s="465" t="s">
        <v>303</v>
      </c>
      <c r="B14" s="98">
        <f>'Degree Days 2020'!AB15</f>
        <v>89.100000000000023</v>
      </c>
      <c r="C14" s="448">
        <f>'[8]Utility Cost '!C14</f>
        <v>151</v>
      </c>
      <c r="D14" s="171"/>
      <c r="E14" s="171">
        <f t="shared" ref="E14:E18" si="0">B14-C14</f>
        <v>-61.899999999999977</v>
      </c>
      <c r="F14" s="528">
        <v>0</v>
      </c>
      <c r="G14" s="436"/>
      <c r="H14" s="437">
        <f>SUM(G12-H12)</f>
        <v>-16138.674313584852</v>
      </c>
      <c r="I14" s="437">
        <f>SUM(G12-I12)</f>
        <v>-35703.166463584857</v>
      </c>
    </row>
    <row r="15" spans="1:11">
      <c r="A15" s="465" t="s">
        <v>304</v>
      </c>
      <c r="B15" s="98">
        <f>'Degree Days 2020'!AA15</f>
        <v>-237.90000000000006</v>
      </c>
      <c r="C15" s="448">
        <f>'[8]Utility Cost '!C15</f>
        <v>-18.3</v>
      </c>
      <c r="D15" s="171"/>
      <c r="E15" s="171">
        <f t="shared" si="0"/>
        <v>-219.60000000000005</v>
      </c>
      <c r="F15" s="528">
        <v>0</v>
      </c>
      <c r="G15" s="436"/>
      <c r="H15" s="17"/>
      <c r="I15" s="17"/>
      <c r="J15" s="17"/>
    </row>
    <row r="16" spans="1:11">
      <c r="A16" s="465" t="s">
        <v>305</v>
      </c>
      <c r="B16" s="98">
        <f>'General information '!D37</f>
        <v>23.25</v>
      </c>
      <c r="C16" s="448">
        <f>'[8]Utility Cost '!C16</f>
        <v>26.483333333333334</v>
      </c>
      <c r="D16" s="448"/>
      <c r="E16" s="449">
        <f t="shared" si="0"/>
        <v>-3.2333333333333343</v>
      </c>
      <c r="F16" s="550">
        <v>0</v>
      </c>
      <c r="G16" s="436"/>
      <c r="H16" s="17"/>
      <c r="I16" s="17"/>
      <c r="J16" s="17"/>
    </row>
    <row r="17" spans="1:10">
      <c r="A17" s="542" t="s">
        <v>317</v>
      </c>
      <c r="B17" s="545">
        <f>'General information '!F36</f>
        <v>1.8072222222222222E-2</v>
      </c>
      <c r="C17" s="448">
        <f>'[8]Utility Cost '!C17</f>
        <v>0.78620999999999996</v>
      </c>
      <c r="D17" s="495">
        <f>'[9]Other Fuel Calculation 2020'!$G$62</f>
        <v>0.59360000000000002</v>
      </c>
      <c r="E17" s="544">
        <f t="shared" si="0"/>
        <v>-0.7681377777777777</v>
      </c>
      <c r="F17" s="548">
        <f>B17-D17</f>
        <v>-0.57552777777777775</v>
      </c>
      <c r="G17" s="17"/>
      <c r="H17" s="17"/>
      <c r="I17" s="17"/>
      <c r="J17" s="17"/>
    </row>
    <row r="18" spans="1:10">
      <c r="A18" s="543" t="s">
        <v>389</v>
      </c>
      <c r="B18" s="547">
        <f>GEN!Z33</f>
        <v>96</v>
      </c>
      <c r="C18" s="448">
        <f>'[8]Utility Cost '!C18</f>
        <v>225</v>
      </c>
      <c r="D18" s="446">
        <f>'[9]Other Fuel Calculation 2020'!$G$60</f>
        <v>217</v>
      </c>
      <c r="E18" s="546">
        <f t="shared" si="0"/>
        <v>-129</v>
      </c>
      <c r="F18" s="549">
        <f>B18-D18</f>
        <v>-121</v>
      </c>
    </row>
    <row r="19" spans="1:10">
      <c r="A19" s="543" t="s">
        <v>414</v>
      </c>
      <c r="B19" s="541">
        <f>SUM(B18/$F$4)</f>
        <v>5.333333333333333</v>
      </c>
      <c r="C19" s="448">
        <f>'[8]Utility Cost '!C19</f>
        <v>7.5</v>
      </c>
      <c r="D19" s="447"/>
      <c r="E19" s="447"/>
      <c r="F19" s="528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18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Sheet7</vt:lpstr>
      <vt:lpstr>Sheet6</vt:lpstr>
      <vt:lpstr>Sheet2</vt:lpstr>
      <vt:lpstr>Sheet3</vt:lpstr>
      <vt:lpstr>Sheet4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2020-06-19T08:40:26Z</dcterms:modified>
</cp:coreProperties>
</file>