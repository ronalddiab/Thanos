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18763D33-09DF-4C05-8538-EF6BE74E9607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H18" i="4" s="1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D23" i="3"/>
  <c r="J14" i="8"/>
  <c r="C11" i="3"/>
  <c r="I22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E14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I6" i="3"/>
  <c r="K22" i="3"/>
  <c r="E32" i="3"/>
  <c r="J29" i="4"/>
  <c r="M25" i="3"/>
  <c r="M22" i="3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M8" i="3"/>
  <c r="D18" i="4"/>
  <c r="F19" i="3"/>
  <c r="F31" i="3"/>
  <c r="G6" i="4"/>
  <c r="G20" i="4"/>
  <c r="H29" i="4"/>
  <c r="L19" i="3"/>
  <c r="M31" i="3"/>
  <c r="F25" i="3"/>
  <c r="E22" i="3"/>
  <c r="H6" i="3"/>
  <c r="D13" i="3"/>
  <c r="J23" i="3"/>
  <c r="M32" i="3"/>
  <c r="F32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M23" i="3"/>
  <c r="M16" i="3"/>
  <c r="C33" i="3"/>
  <c r="M11" i="3"/>
  <c r="M7" i="3"/>
  <c r="M24" i="3"/>
  <c r="L12" i="3"/>
  <c r="F30" i="3"/>
  <c r="R18" i="8" l="1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8" i="4" l="1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<sst xmlns="http://schemas.openxmlformats.org/spreadsheetml/2006/main" count="236" uniqueCount="130">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</sst>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-368230.00000000006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N16" sqref="N16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311410.00000000029</v>
      </c>
      <c r="F33" s="113">
        <v>0</v>
      </c>
      <c r="G33" s="80">
        <f>SUM(G2:G32)</f>
        <v>86655</v>
      </c>
      <c r="H33" s="113">
        <v>0</v>
      </c>
      <c r="I33" s="80">
        <f>SUM(I2:I32)</f>
        <v>6897</v>
      </c>
      <c r="J33" s="113">
        <v>0</v>
      </c>
      <c r="K33" s="79">
        <f>SUM(K2:K31)</f>
        <v>0</v>
      </c>
      <c r="L33" s="120">
        <v>0</v>
      </c>
      <c r="M33" s="80">
        <f>SUM(M2:M32)</f>
        <v>1175</v>
      </c>
      <c r="N33" s="80">
        <f>SUM(N2:N32)</f>
        <v>2889</v>
      </c>
      <c r="O33" s="80">
        <f>SUM(O2:O32)</f>
        <v>7792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-694600</v>
      </c>
      <c r="F17" s="2">
        <f>('Kwh Reading'!F20-'Kwh Reading'!F19)*1000000</f>
        <v>-3848700</v>
      </c>
      <c r="G17" s="2">
        <f>('Kwh Reading'!C20-'Kwh Reading'!C19)*1000</f>
        <v>-372150</v>
      </c>
      <c r="H17" s="2">
        <f t="shared" si="0"/>
        <v>-1486440</v>
      </c>
      <c r="I17" s="2">
        <f>('Kwh Reading'!J20-'Kwh Reading'!J19)*1000</f>
        <v>-582200</v>
      </c>
      <c r="J17" s="2">
        <f>('Kwh Reading'!K20-'Kwh Reading'!K19)*1000</f>
        <v>-532910</v>
      </c>
      <c r="K17" s="2">
        <f>('Kwh Reading'!L20-'Kwh Reading'!L19)*1000</f>
        <v>-371330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-404700</v>
      </c>
      <c r="O17" s="2">
        <f>('Kwh Reading'!B20-'Kwh Reading'!B19)*1000000</f>
        <v>-1618100</v>
      </c>
      <c r="P17" s="2">
        <f>('Kwh Reading'!M20-'Kwh Reading'!M19)*1000</f>
        <v>-895020</v>
      </c>
      <c r="Q17" s="2">
        <f>('Kwh Reading'!H20-'Kwh Reading'!H19)*1000000</f>
        <v>-1119300</v>
      </c>
      <c r="R17" s="2">
        <f>('Kwh Reading'!P20-'Kwh Reading'!P19)*1000000</f>
        <v>-1084200</v>
      </c>
      <c r="S17" s="2">
        <f>('Kwh Reading'!G20-'Kwh Reading'!G19)*1000000</f>
        <v>-1189100</v>
      </c>
      <c r="T17" s="2">
        <f>('Kwh Reading'!Q20-'Kwh Reading'!Q19)*1000</f>
        <v>-785520</v>
      </c>
      <c r="U17" s="2">
        <f>('Kwh Reading'!N20-'Kwh Reading'!N19)*1000</f>
        <v>-808340</v>
      </c>
      <c r="V17" s="26">
        <f>'Kwh Reading'!E20-'Kwh Reading'!E19</f>
        <v>-9682176.4399999995</v>
      </c>
      <c r="W17" s="26">
        <f>'Kwh Reading'!D20-'Kwh Reading'!D19</f>
        <v>-158509.9</v>
      </c>
      <c r="X17" s="21">
        <f>('Kwh Reading'!O20-'Kwh Reading'!O19)*1000</f>
        <v>-272830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-368230.00000000006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-694600</v>
      </c>
      <c r="D18" s="1">
        <f>Submeters!F17</f>
        <v>-3848700</v>
      </c>
      <c r="E18" s="1">
        <f>Submeters!G17</f>
        <v>-372150</v>
      </c>
      <c r="F18" s="1">
        <f>(Submeters!I17+Submeters!J17+Submeters!K17)</f>
        <v>-1486440</v>
      </c>
      <c r="G18" s="1">
        <f>(Submeters!L17+Submeters!M17)</f>
        <v>0</v>
      </c>
      <c r="H18" s="1">
        <f>(Submeters!N17+Submeters!O17)</f>
        <v>-2022800</v>
      </c>
      <c r="I18" s="1">
        <f>(Submeters!P17+Submeters!Q17+Submeters!R17+Submeters!S17+Submeters!T17+Submeters!U17)</f>
        <v>-5881480</v>
      </c>
      <c r="J18" s="1">
        <f>(Submeters!V17+Submeters!W17)</f>
        <v>-9840686.3399999999</v>
      </c>
      <c r="K18" s="1">
        <f>Submeters!X17</f>
        <v>-272830</v>
      </c>
      <c r="L18" s="24">
        <f t="shared" si="0"/>
        <v>24419686.34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311410.00000000029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-368230.00000000006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24520734.390000001</v>
      </c>
      <c r="M33" s="66">
        <f>C33+D33+E33+F33+G33+H33+I33+J33+K33+L33</f>
        <v>311410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18" sqref="Q18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0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0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0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90" zoomScaleNormal="90" workbookViewId="0">
      <pane ySplit="3" topLeftCell="A4" activePane="bottomLeft" state="frozen"/>
      <selection activeCell="C25" sqref="C25"/>
      <selection pane="bottomLeft" activeCell="Y18" sqref="Y18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25</v>
      </c>
      <c r="J12" s="55">
        <f t="shared" si="5"/>
        <v>5.8411214953271028E-2</v>
      </c>
      <c r="K12" s="71">
        <f>('Water Reading'!I12-'Water Reading'!I11)-('Water Reading'!P12-'Water Reading'!P11)</f>
        <v>6</v>
      </c>
      <c r="L12" s="55">
        <f t="shared" si="6"/>
        <v>1.4018691588785047E-2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-74572</v>
      </c>
      <c r="D19" s="54" t="e">
        <f t="shared" si="2"/>
        <v>#DIV/0!</v>
      </c>
      <c r="E19" s="68">
        <f>'Water Reading'!H19-'Water Reading'!H18</f>
        <v>-1323</v>
      </c>
      <c r="F19" s="69">
        <f t="shared" si="3"/>
        <v>1.7741243362119831E-2</v>
      </c>
      <c r="G19" s="73">
        <f>('Water Reading'!D19-'Water Reading'!D18)-('Water Reading'!R19-'Water Reading'!R18)-('Water Reading'!Q19-'Water Reading'!Q18)</f>
        <v>-301051</v>
      </c>
      <c r="H19" s="69">
        <f t="shared" si="4"/>
        <v>4.0370514402188489</v>
      </c>
      <c r="I19" s="70">
        <f>'Water Reading'!P19-'Water Reading'!P18</f>
        <v>-33206</v>
      </c>
      <c r="J19" s="55">
        <f t="shared" si="5"/>
        <v>0.44528777557260096</v>
      </c>
      <c r="K19" s="71">
        <f>('Water Reading'!I19-'Water Reading'!I18)-('Water Reading'!P19-'Water Reading'!P18)</f>
        <v>-47403</v>
      </c>
      <c r="L19" s="55">
        <f t="shared" si="6"/>
        <v>0.63566754277744997</v>
      </c>
      <c r="M19" s="70">
        <f>'Water Reading'!R19-'Water Reading'!R18</f>
        <v>-1097</v>
      </c>
      <c r="N19" s="72">
        <f t="shared" si="7"/>
        <v>1.4710615244327629E-2</v>
      </c>
      <c r="O19" s="70">
        <f>'Water Reading'!Q19-'Water Reading'!Q18</f>
        <v>-2446</v>
      </c>
      <c r="P19" s="77">
        <f t="shared" si="8"/>
        <v>3.2800514938582846E-2</v>
      </c>
      <c r="Q19" s="71">
        <f>'Water Reading'!F19-'Water Reading'!F18</f>
        <v>-26764</v>
      </c>
      <c r="R19" s="78">
        <f t="shared" si="9"/>
        <v>0.35890146435659498</v>
      </c>
      <c r="S19" s="70">
        <f>'Water Reading'!E19-'Water Reading'!E18</f>
        <v>-287744</v>
      </c>
      <c r="T19" s="78">
        <f t="shared" si="10"/>
        <v>3.8586064474601729</v>
      </c>
      <c r="U19" s="70">
        <f>'Water Reading'!G19-'Water Reading'!G18</f>
        <v>-125262</v>
      </c>
      <c r="V19" s="78">
        <f t="shared" si="11"/>
        <v>1.6797457490747196</v>
      </c>
      <c r="W19" s="71">
        <f>'Water Reading'!J19-'Water Reading'!J18</f>
        <v>-24177</v>
      </c>
      <c r="X19" s="78">
        <f t="shared" si="12"/>
        <v>0.32421015930912406</v>
      </c>
      <c r="Y19" s="53">
        <f t="shared" si="0"/>
        <v>-850473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2023-01-16T08:52:37Z</dcterms:modified>
  <cp:category/>
  <cp:contentStatus/>
</cp:coreProperties>
</file>