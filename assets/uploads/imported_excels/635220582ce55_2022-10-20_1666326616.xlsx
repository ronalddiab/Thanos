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4" i="9" l="1"/>
  <c r="G32" i="5" s="1"/>
  <c r="I34" i="9"/>
  <c r="G34" i="9"/>
  <c r="I34" i="10"/>
  <c r="E32" i="5" s="1"/>
  <c r="H34" i="10"/>
  <c r="B32" i="5"/>
  <c r="H4" i="10" l="1"/>
  <c r="H29" i="10" l="1"/>
  <c r="G5" i="9" l="1"/>
  <c r="I5" i="9" s="1"/>
  <c r="G4" i="9"/>
  <c r="I4" i="9" s="1"/>
  <c r="H5" i="10"/>
  <c r="I5" i="10" l="1"/>
  <c r="J5" i="9"/>
  <c r="I35" i="8"/>
  <c r="G34" i="8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5" i="8" l="1"/>
  <c r="H12" i="8"/>
  <c r="H24" i="8"/>
  <c r="H31" i="8"/>
  <c r="H17" i="8"/>
  <c r="H29" i="8"/>
  <c r="H23" i="8"/>
  <c r="H18" i="8"/>
  <c r="H11" i="8"/>
  <c r="I9" i="5" s="1"/>
  <c r="H6" i="8"/>
  <c r="H13" i="8"/>
  <c r="H10" i="8"/>
  <c r="H16" i="8"/>
  <c r="H22" i="8"/>
  <c r="H28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H31" i="10"/>
  <c r="H30" i="10"/>
  <c r="I30" i="10" s="1"/>
  <c r="H28" i="10"/>
  <c r="I29" i="10" s="1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33" i="10" l="1"/>
  <c r="J33" i="9"/>
  <c r="I32" i="10"/>
  <c r="I28" i="10"/>
  <c r="I21" i="10"/>
  <c r="I16" i="10"/>
  <c r="E14" i="5" s="1"/>
  <c r="I9" i="10"/>
  <c r="I8" i="10"/>
  <c r="J10" i="9"/>
  <c r="J18" i="9"/>
  <c r="J7" i="9"/>
  <c r="J26" i="9"/>
  <c r="J9" i="9"/>
  <c r="I17" i="10"/>
  <c r="E15" i="5" s="1"/>
  <c r="I13" i="10"/>
  <c r="E11" i="5" s="1"/>
  <c r="I25" i="10"/>
  <c r="I12" i="10"/>
  <c r="E10" i="5" s="1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E12" i="5" s="1"/>
  <c r="I18" i="10"/>
  <c r="E16" i="5" s="1"/>
  <c r="I22" i="10"/>
  <c r="I26" i="10"/>
  <c r="I7" i="10"/>
  <c r="I11" i="10"/>
  <c r="I15" i="10"/>
  <c r="E13" i="5" s="1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<sst xmlns="http://schemas.openxmlformats.org/spreadsheetml/2006/main" count="74" uniqueCount="39">
  <si>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</si>
  <si>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</si>
  <si>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</si>
  <si>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</si>
  <si>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</si>
  <si>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</si>
  <si>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</si>
  <si>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</si>
  <si>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</si>
  <si>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</si>
  <si>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</si>
  <si>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</si>
  <si>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</si>
  <si>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</si>
  <si>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</si>
  <si>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</si>
  <si>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</si>
  <si>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</si>
  <si>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</si>
  <si>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</si>
  <si>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</si>
  <si>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</si>
  <si>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</si>
  <si>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</si>
  <si>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</si>
  <si>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</si>
  <si>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</si>
  <si>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</si>
  <si>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</si>
  <si>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</si>
  <si>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</si>
  <si>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</si>
  <si>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</si>
  <si>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</si>
  <si>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</si>
  <si>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</si>
  <si>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OCTOBER.2022</t>
  </si>
  <si>
    <t>NATURAL GAS CONSUMPTION , OCTOBER.2022</t>
  </si>
  <si>
    <t>WATER CONSUMPTION , OCTOBER.2022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</si>
</sst>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3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24376"/>
        <c:axId val="368120848"/>
      </c:lineChart>
      <c:dateAx>
        <c:axId val="368124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0848"/>
        <c:crosses val="autoZero"/>
        <c:auto val="0"/>
        <c:lblOffset val="100"/>
        <c:baseTimeUnit val="days"/>
      </c:dateAx>
      <c:valAx>
        <c:axId val="36812084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4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F2" sqref="F2:F3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10</v>
      </c>
      <c r="D2" s="12">
        <v>2022</v>
      </c>
      <c r="E2" s="13">
        <f>Electricity!I4</f>
        <v>8649.7999999999993</v>
      </c>
      <c r="F2" s="3">
        <v>4.33</v>
      </c>
      <c r="G2" s="13">
        <f>Gas!J4</f>
        <v>312</v>
      </c>
      <c r="H2" s="3">
        <v>8.31</v>
      </c>
      <c r="I2" s="13">
        <f>Water!H4</f>
        <v>108</v>
      </c>
      <c r="J2" s="3">
        <v>23.37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10</v>
      </c>
      <c r="D3" s="12">
        <v>2022</v>
      </c>
      <c r="E3" s="13">
        <f>Electricity!I5</f>
        <v>9094.1999999973923</v>
      </c>
      <c r="F3" s="3">
        <v>4.33</v>
      </c>
      <c r="G3" s="13">
        <f>Gas!J5</f>
        <v>386.57424400001764</v>
      </c>
      <c r="H3" s="3">
        <v>8.31</v>
      </c>
      <c r="I3" s="13">
        <f>Water!H5</f>
        <v>67</v>
      </c>
      <c r="J3" s="3">
        <v>23.37</v>
      </c>
      <c r="K3" s="12">
        <v>0</v>
      </c>
    </row>
    <row r="4" spans="1:11" s="16" customFormat="1" x14ac:dyDescent="0.25">
      <c r="A4" s="25" t="s">
        <v>34</v>
      </c>
      <c r="B4" s="15">
        <f t="shared" ref="B4:B32" si="0">B3+1</f>
        <v>3</v>
      </c>
      <c r="C4" s="3">
        <v>10</v>
      </c>
      <c r="D4" s="12">
        <v>2022</v>
      </c>
      <c r="E4" s="13">
        <f>Electricity!I6</f>
        <v>8086.8000000007451</v>
      </c>
      <c r="F4" s="3">
        <v>4.33</v>
      </c>
      <c r="G4" s="13">
        <f>Gas!J6</f>
        <v>309.50799599988386</v>
      </c>
      <c r="H4" s="3">
        <v>8.31</v>
      </c>
      <c r="I4" s="13">
        <f>Water!H6</f>
        <v>56</v>
      </c>
      <c r="J4" s="3">
        <v>23.37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10</v>
      </c>
      <c r="D5" s="12">
        <v>2022</v>
      </c>
      <c r="E5" s="13">
        <f>Electricity!I7</f>
        <v>7780.4400000013411</v>
      </c>
      <c r="F5" s="3">
        <v>4.33</v>
      </c>
      <c r="G5" s="13">
        <f>Gas!J7</f>
        <v>392.78926400002092</v>
      </c>
      <c r="H5" s="3">
        <v>8.31</v>
      </c>
      <c r="I5" s="13">
        <f>Water!H7</f>
        <v>48</v>
      </c>
      <c r="J5" s="3">
        <v>23.37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10</v>
      </c>
      <c r="D6" s="12">
        <v>2022</v>
      </c>
      <c r="E6" s="13">
        <f>Electricity!I8</f>
        <v>7380.2400000002235</v>
      </c>
      <c r="F6" s="3">
        <v>4.33</v>
      </c>
      <c r="G6" s="13">
        <f>Gas!J8</f>
        <v>396.51827599992976</v>
      </c>
      <c r="H6" s="3">
        <v>8.31</v>
      </c>
      <c r="I6" s="13">
        <f>Water!H8</f>
        <v>52</v>
      </c>
      <c r="J6" s="3">
        <v>23.37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10</v>
      </c>
      <c r="D7" s="12">
        <v>2022</v>
      </c>
      <c r="E7" s="13">
        <f>Electricity!I9</f>
        <v>7225.6799999978393</v>
      </c>
      <c r="F7" s="3">
        <v>4.33</v>
      </c>
      <c r="G7" s="13">
        <f>Gas!J9</f>
        <v>438.78041200013831</v>
      </c>
      <c r="H7" s="3">
        <v>8.31</v>
      </c>
      <c r="I7" s="13">
        <f>Water!H9</f>
        <v>56</v>
      </c>
      <c r="J7" s="3">
        <v>23.37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10</v>
      </c>
      <c r="D8" s="12">
        <v>2022</v>
      </c>
      <c r="E8" s="13">
        <f>Electricity!I10</f>
        <v>7173.2400000002235</v>
      </c>
      <c r="F8" s="3">
        <v>4.33</v>
      </c>
      <c r="G8" s="13">
        <f>Gas!J10</f>
        <v>473.58452399983071</v>
      </c>
      <c r="H8" s="3">
        <v>8.31</v>
      </c>
      <c r="I8" s="13">
        <f>Water!H10</f>
        <v>50</v>
      </c>
      <c r="J8" s="3">
        <v>23.37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10</v>
      </c>
      <c r="D9" s="12">
        <v>2022</v>
      </c>
      <c r="E9" s="13">
        <f>Electricity!I11</f>
        <v>7176.0000000018626</v>
      </c>
      <c r="F9" s="3">
        <v>4.33</v>
      </c>
      <c r="G9" s="13">
        <f>Gas!J11</f>
        <v>437.53740800009109</v>
      </c>
      <c r="H9" s="3">
        <v>8.31</v>
      </c>
      <c r="I9" s="13">
        <f>Water!H11</f>
        <v>60</v>
      </c>
      <c r="J9" s="3">
        <v>23.37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10</v>
      </c>
      <c r="D10" s="12">
        <v>2022</v>
      </c>
      <c r="E10" s="13">
        <f>Electricity!I12</f>
        <v>7449.2399999983609</v>
      </c>
      <c r="F10" s="3">
        <v>4.33</v>
      </c>
      <c r="G10" s="13">
        <f>Gas!J12</f>
        <v>462.3974880001042</v>
      </c>
      <c r="H10" s="3">
        <v>8.31</v>
      </c>
      <c r="I10" s="13">
        <f>Water!H12</f>
        <v>61</v>
      </c>
      <c r="J10" s="3">
        <v>23.37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10</v>
      </c>
      <c r="D11" s="12">
        <v>2022</v>
      </c>
      <c r="E11" s="13">
        <f>Electricity!I13</f>
        <v>7239.4800000023097</v>
      </c>
      <c r="F11" s="3">
        <v>4.33</v>
      </c>
      <c r="G11" s="13">
        <f>Gas!J13</f>
        <v>478.55653999978676</v>
      </c>
      <c r="H11" s="3">
        <v>8.31</v>
      </c>
      <c r="I11" s="13">
        <f>Water!H13</f>
        <v>56</v>
      </c>
      <c r="J11" s="3">
        <v>23.37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10</v>
      </c>
      <c r="D12" s="12">
        <v>2022</v>
      </c>
      <c r="E12" s="13">
        <f>Electricity!I14</f>
        <v>7084.9199999999255</v>
      </c>
      <c r="F12" s="3">
        <v>4.33</v>
      </c>
      <c r="G12" s="13">
        <f>Gas!J14</f>
        <v>446.23843600018881</v>
      </c>
      <c r="H12" s="3">
        <v>8.31</v>
      </c>
      <c r="I12" s="13">
        <f>Water!H14</f>
        <v>106</v>
      </c>
      <c r="J12" s="3">
        <v>23.37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10</v>
      </c>
      <c r="D13" s="12">
        <v>2022</v>
      </c>
      <c r="E13" s="13">
        <f>Electricity!I15</f>
        <v>7440.9599999990314</v>
      </c>
      <c r="F13" s="3">
        <v>4.33</v>
      </c>
      <c r="G13" s="13">
        <f>Gas!J15</f>
        <v>449.96744799986482</v>
      </c>
      <c r="H13" s="3">
        <v>8.31</v>
      </c>
      <c r="I13" s="13">
        <f>Water!H15</f>
        <v>46</v>
      </c>
      <c r="J13" s="3">
        <v>23.37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10</v>
      </c>
      <c r="D14" s="12">
        <v>2022</v>
      </c>
      <c r="E14" s="13">
        <f>Electricity!I16</f>
        <v>7082.160000000149</v>
      </c>
      <c r="F14" s="3">
        <v>4.33</v>
      </c>
      <c r="G14" s="13">
        <f>Gas!J16</f>
        <v>441.26641999999993</v>
      </c>
      <c r="H14" s="3">
        <v>8.31</v>
      </c>
      <c r="I14" s="13">
        <f>Water!H16</f>
        <v>59</v>
      </c>
      <c r="J14" s="3">
        <v>23.37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10</v>
      </c>
      <c r="D15" s="12">
        <v>2022</v>
      </c>
      <c r="E15" s="13">
        <f>Electricity!I17</f>
        <v>7236.7200000006706</v>
      </c>
      <c r="F15" s="3">
        <v>4.33</v>
      </c>
      <c r="G15" s="13">
        <f>Gas!J17</f>
        <v>420.13535200012848</v>
      </c>
      <c r="H15" s="3">
        <v>8.31</v>
      </c>
      <c r="I15" s="13">
        <f>Water!H17</f>
        <v>55</v>
      </c>
      <c r="J15" s="3">
        <v>23.37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10</v>
      </c>
      <c r="D16" s="12">
        <v>2022</v>
      </c>
      <c r="E16" s="13">
        <f>Electricity!I18</f>
        <v>7904.6399999987334</v>
      </c>
      <c r="F16" s="3">
        <v>4.33</v>
      </c>
      <c r="G16" s="13">
        <f>Gas!J18</f>
        <v>523.30468399985693</v>
      </c>
      <c r="H16" s="3">
        <v>8.31</v>
      </c>
      <c r="I16" s="13">
        <f>Water!H18</f>
        <v>69</v>
      </c>
      <c r="J16" s="3">
        <v>23.37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10</v>
      </c>
      <c r="D17" s="12">
        <v>2022</v>
      </c>
      <c r="E17" s="13">
        <f>Electricity!I19</f>
        <v>7959.839999999851</v>
      </c>
      <c r="F17" s="3">
        <v>4.33</v>
      </c>
      <c r="G17" s="13">
        <f>Gas!J19</f>
        <v>555.62278800015338</v>
      </c>
      <c r="H17" s="3">
        <v>8.31</v>
      </c>
      <c r="I17" s="13">
        <f>Water!H19</f>
        <v>68</v>
      </c>
      <c r="J17" s="3">
        <v>23.37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10</v>
      </c>
      <c r="D18" s="12">
        <v>2022</v>
      </c>
      <c r="E18" s="13">
        <f>Electricity!I20</f>
        <v>7802.5200000014156</v>
      </c>
      <c r="F18" s="3">
        <v>4.33</v>
      </c>
      <c r="G18" s="13">
        <f>Gas!J20</f>
        <v>586.69788799993694</v>
      </c>
      <c r="H18" s="3">
        <v>8.31</v>
      </c>
      <c r="I18" s="13">
        <f>Water!H20</f>
        <v>57</v>
      </c>
      <c r="J18" s="3">
        <v>23.37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10</v>
      </c>
      <c r="D19" s="12">
        <v>2022</v>
      </c>
      <c r="E19" s="13">
        <f>Electricity!I21</f>
        <v>7981.9199999980628</v>
      </c>
      <c r="F19" s="3">
        <v>4.33</v>
      </c>
      <c r="G19" s="13">
        <f>Gas!J21</f>
        <v>533.24871600000188</v>
      </c>
      <c r="H19" s="3">
        <v>8.31</v>
      </c>
      <c r="I19" s="13">
        <f>Water!H21</f>
        <v>52</v>
      </c>
      <c r="J19" s="3">
        <v>23.37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10</v>
      </c>
      <c r="D20" s="12">
        <v>2022</v>
      </c>
      <c r="E20" s="13">
        <f>Electricity!I22</f>
        <v>7598.2799999993294</v>
      </c>
      <c r="F20" s="3">
        <v>4.33</v>
      </c>
      <c r="G20" s="13">
        <f>Gas!J22</f>
        <v>522.06168000004254</v>
      </c>
      <c r="H20" s="3">
        <v>8.31</v>
      </c>
      <c r="I20" s="13">
        <f>Water!H22</f>
        <v>92</v>
      </c>
      <c r="J20" s="3">
        <v>23.37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10</v>
      </c>
      <c r="D21" s="12">
        <v>2022</v>
      </c>
      <c r="E21" s="13">
        <f>Electricity!I23</f>
        <v>7463.0400000028312</v>
      </c>
      <c r="F21" s="3">
        <v>4.33</v>
      </c>
      <c r="G21" s="13">
        <f>Gas!J23</f>
        <v>561.83780799992383</v>
      </c>
      <c r="H21" s="3">
        <v>8.31</v>
      </c>
      <c r="I21" s="13">
        <f>Water!H23</f>
        <v>103</v>
      </c>
      <c r="J21" s="3">
        <v>23.37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10</v>
      </c>
      <c r="D22" s="12">
        <v>2022</v>
      </c>
      <c r="E22" s="13">
        <f>Electricity!I24</f>
        <v>7363.6799999978393</v>
      </c>
      <c r="F22" s="3">
        <v>4.33</v>
      </c>
      <c r="G22" s="13">
        <f>Gas!J24</f>
        <v>556.86579199996777</v>
      </c>
      <c r="H22" s="3">
        <v>8.31</v>
      </c>
      <c r="I22" s="13">
        <f>Water!H24</f>
        <v>103</v>
      </c>
      <c r="J22" s="3">
        <v>23.37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10</v>
      </c>
      <c r="D23" s="12">
        <v>2022</v>
      </c>
      <c r="E23" s="13">
        <f>Electricity!I25</f>
        <v>-14631044.279999999</v>
      </c>
      <c r="F23" s="3">
        <v>4.33</v>
      </c>
      <c r="G23" s="13">
        <f>Gas!J25</f>
        <v>-1211409.324328</v>
      </c>
      <c r="H23" s="3">
        <v>8.31</v>
      </c>
      <c r="I23" s="13">
        <f>Water!H25</f>
        <v>-19594</v>
      </c>
      <c r="J23" s="3">
        <v>23.37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10</v>
      </c>
      <c r="D24" s="12">
        <v>2022</v>
      </c>
      <c r="E24" s="13">
        <f>Electricity!I26</f>
        <v>0</v>
      </c>
      <c r="F24" s="3">
        <v>4.33</v>
      </c>
      <c r="G24" s="13">
        <f>Gas!J26</f>
        <v>0</v>
      </c>
      <c r="H24" s="3">
        <v>8.31</v>
      </c>
      <c r="I24" s="13">
        <f>Water!H26</f>
        <v>0</v>
      </c>
      <c r="J24" s="3">
        <v>23.37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10</v>
      </c>
      <c r="D25" s="12">
        <v>2022</v>
      </c>
      <c r="E25" s="13">
        <f>Electricity!I27</f>
        <v>0</v>
      </c>
      <c r="F25" s="3">
        <v>4.33</v>
      </c>
      <c r="G25" s="13">
        <f>Gas!J27</f>
        <v>0</v>
      </c>
      <c r="H25" s="3">
        <v>8.31</v>
      </c>
      <c r="I25" s="13">
        <f>Water!H27</f>
        <v>0</v>
      </c>
      <c r="J25" s="3">
        <v>23.37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10</v>
      </c>
      <c r="D26" s="12">
        <v>2022</v>
      </c>
      <c r="E26" s="13">
        <f>Electricity!I28</f>
        <v>0</v>
      </c>
      <c r="F26" s="3">
        <v>4.33</v>
      </c>
      <c r="G26" s="13">
        <f>Gas!J28</f>
        <v>0</v>
      </c>
      <c r="H26" s="3">
        <v>8.31</v>
      </c>
      <c r="I26" s="13">
        <f>Water!H28</f>
        <v>0</v>
      </c>
      <c r="J26" s="3">
        <v>23.37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10</v>
      </c>
      <c r="D27" s="12">
        <v>2022</v>
      </c>
      <c r="E27" s="13">
        <f>Electricity!I29</f>
        <v>0</v>
      </c>
      <c r="F27" s="3">
        <v>4.33</v>
      </c>
      <c r="G27" s="13">
        <f>Gas!J29</f>
        <v>0</v>
      </c>
      <c r="H27" s="3">
        <v>8.31</v>
      </c>
      <c r="I27" s="13">
        <f>Water!H29</f>
        <v>0</v>
      </c>
      <c r="J27" s="3">
        <v>23.37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10</v>
      </c>
      <c r="D28" s="12">
        <v>2022</v>
      </c>
      <c r="E28" s="13">
        <f>Electricity!I30</f>
        <v>0</v>
      </c>
      <c r="F28" s="3">
        <v>4.33</v>
      </c>
      <c r="G28" s="13">
        <f>Gas!J30</f>
        <v>0</v>
      </c>
      <c r="H28" s="3">
        <v>8.31</v>
      </c>
      <c r="I28" s="13">
        <f>Water!H30</f>
        <v>0</v>
      </c>
      <c r="J28" s="3">
        <v>23.37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10</v>
      </c>
      <c r="D29" s="12">
        <v>2022</v>
      </c>
      <c r="E29" s="13">
        <f>Electricity!I31</f>
        <v>0</v>
      </c>
      <c r="F29" s="3">
        <v>4.33</v>
      </c>
      <c r="G29" s="13">
        <f>Gas!J31</f>
        <v>0</v>
      </c>
      <c r="H29" s="3">
        <v>8.31</v>
      </c>
      <c r="I29" s="13">
        <f>Water!H31</f>
        <v>0</v>
      </c>
      <c r="J29" s="3">
        <v>23.37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10</v>
      </c>
      <c r="D30" s="12">
        <v>2022</v>
      </c>
      <c r="E30" s="13">
        <f>Electricity!I32</f>
        <v>0</v>
      </c>
      <c r="F30" s="3">
        <v>4.33</v>
      </c>
      <c r="G30" s="13">
        <f>Gas!J32</f>
        <v>0</v>
      </c>
      <c r="H30" s="3">
        <v>8.31</v>
      </c>
      <c r="I30" s="13">
        <f>Water!H32</f>
        <v>0</v>
      </c>
      <c r="J30" s="3">
        <v>23.37</v>
      </c>
      <c r="K30" s="12">
        <v>0</v>
      </c>
    </row>
    <row r="31" spans="1:11" s="14" customFormat="1" x14ac:dyDescent="0.25">
      <c r="A31" s="25" t="s">
        <v>34</v>
      </c>
      <c r="B31" s="15">
        <f>B30+1</f>
        <v>30</v>
      </c>
      <c r="C31" s="3">
        <v>10</v>
      </c>
      <c r="D31" s="12">
        <v>2022</v>
      </c>
      <c r="E31" s="13">
        <f>Electricity!I33</f>
        <v>0</v>
      </c>
      <c r="F31" s="3">
        <v>4.33</v>
      </c>
      <c r="G31" s="13">
        <f>Gas!J33</f>
        <v>0</v>
      </c>
      <c r="H31" s="3">
        <v>8.31</v>
      </c>
      <c r="I31" s="13">
        <f>Water!H33</f>
        <v>0</v>
      </c>
      <c r="J31" s="3">
        <v>23.37</v>
      </c>
      <c r="K31" s="12">
        <v>0</v>
      </c>
    </row>
    <row r="32" spans="1:11" x14ac:dyDescent="0.25">
      <c r="A32" s="25" t="s">
        <v>34</v>
      </c>
      <c r="B32" s="15">
        <f t="shared" si="0"/>
        <v>31</v>
      </c>
      <c r="C32" s="3">
        <v>10</v>
      </c>
      <c r="D32" s="12">
        <v>2022</v>
      </c>
      <c r="E32" s="13">
        <f>Electricity!I34</f>
        <v>0</v>
      </c>
      <c r="F32" s="3">
        <v>4.33</v>
      </c>
      <c r="G32" s="13">
        <f>Gas!J34</f>
        <v>0</v>
      </c>
      <c r="H32" s="3">
        <v>8.31</v>
      </c>
      <c r="I32" s="13">
        <f>Water!H34</f>
        <v>0</v>
      </c>
      <c r="J32" s="3">
        <v>23.37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topLeftCell="A10" workbookViewId="0">
      <selection activeCell="E24" sqref="E2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9" t="s">
        <v>38</v>
      </c>
      <c r="E1" s="109"/>
      <c r="F1" s="109"/>
      <c r="G1" s="109"/>
      <c r="H1" s="109"/>
      <c r="I1" s="109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44835</v>
      </c>
      <c r="E4" s="23">
        <v>18278</v>
      </c>
      <c r="F4" s="23">
        <v>1065</v>
      </c>
      <c r="G4" s="23">
        <f>E4+F4</f>
        <v>19343</v>
      </c>
      <c r="H4" s="24">
        <v>108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44836</v>
      </c>
      <c r="E5" s="108">
        <v>18345</v>
      </c>
      <c r="F5" s="23">
        <v>1065</v>
      </c>
      <c r="G5" s="23">
        <f>E5+F5</f>
        <v>19410</v>
      </c>
      <c r="H5" s="24">
        <f>G5-G4</f>
        <v>67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44837</v>
      </c>
      <c r="E6" s="108">
        <v>18401</v>
      </c>
      <c r="F6" s="23">
        <v>1065</v>
      </c>
      <c r="G6" s="23">
        <f>E6+F6</f>
        <v>19466</v>
      </c>
      <c r="H6" s="24">
        <f t="shared" ref="H6:H34" si="0">G6-G5</f>
        <v>56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44838</v>
      </c>
      <c r="E7" s="108">
        <v>18449</v>
      </c>
      <c r="F7" s="23">
        <v>1065</v>
      </c>
      <c r="G7" s="23">
        <f>E7+F7</f>
        <v>19514</v>
      </c>
      <c r="H7" s="24">
        <f t="shared" si="0"/>
        <v>48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44839</v>
      </c>
      <c r="E8" s="108">
        <v>18501</v>
      </c>
      <c r="F8" s="23">
        <v>1065</v>
      </c>
      <c r="G8" s="23">
        <f t="shared" ref="G8:G31" si="1">E8+F8</f>
        <v>19566</v>
      </c>
      <c r="H8" s="24">
        <f t="shared" si="0"/>
        <v>52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44840</v>
      </c>
      <c r="E9" s="108">
        <v>18557</v>
      </c>
      <c r="F9" s="23">
        <v>1065</v>
      </c>
      <c r="G9" s="23">
        <f t="shared" si="1"/>
        <v>19622</v>
      </c>
      <c r="H9" s="24">
        <f t="shared" si="0"/>
        <v>56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44841</v>
      </c>
      <c r="E10" s="108">
        <v>18607</v>
      </c>
      <c r="F10" s="23">
        <v>1065</v>
      </c>
      <c r="G10" s="23">
        <f t="shared" si="1"/>
        <v>19672</v>
      </c>
      <c r="H10" s="24">
        <f>G10-G9</f>
        <v>50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44842</v>
      </c>
      <c r="E11" s="108">
        <v>18667</v>
      </c>
      <c r="F11" s="23">
        <v>1065</v>
      </c>
      <c r="G11" s="23">
        <f t="shared" si="1"/>
        <v>19732</v>
      </c>
      <c r="H11" s="24">
        <f t="shared" ref="H11:H33" si="2">G11-G10</f>
        <v>60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44843</v>
      </c>
      <c r="E12" s="108">
        <v>18728</v>
      </c>
      <c r="F12" s="23">
        <v>1065</v>
      </c>
      <c r="G12" s="23">
        <f t="shared" si="1"/>
        <v>19793</v>
      </c>
      <c r="H12" s="24">
        <f t="shared" si="2"/>
        <v>61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44844</v>
      </c>
      <c r="E13" s="108">
        <v>18784</v>
      </c>
      <c r="F13" s="23">
        <v>1065</v>
      </c>
      <c r="G13" s="23">
        <f t="shared" si="1"/>
        <v>19849</v>
      </c>
      <c r="H13" s="24">
        <f t="shared" si="2"/>
        <v>56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44845</v>
      </c>
      <c r="E14" s="23">
        <v>18890</v>
      </c>
      <c r="F14" s="23">
        <v>1065</v>
      </c>
      <c r="G14" s="23">
        <f t="shared" si="1"/>
        <v>19955</v>
      </c>
      <c r="H14" s="24">
        <f t="shared" si="2"/>
        <v>106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44846</v>
      </c>
      <c r="E15" s="23">
        <v>18936</v>
      </c>
      <c r="F15" s="23">
        <v>1065</v>
      </c>
      <c r="G15" s="23">
        <f t="shared" si="1"/>
        <v>20001</v>
      </c>
      <c r="H15" s="24">
        <f t="shared" si="2"/>
        <v>46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44847</v>
      </c>
      <c r="E16" s="23">
        <v>18995</v>
      </c>
      <c r="F16" s="23">
        <v>1065</v>
      </c>
      <c r="G16" s="23">
        <f t="shared" si="1"/>
        <v>20060</v>
      </c>
      <c r="H16" s="24">
        <f t="shared" si="2"/>
        <v>59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44848</v>
      </c>
      <c r="E17" s="23">
        <v>19050</v>
      </c>
      <c r="F17" s="23">
        <v>1065</v>
      </c>
      <c r="G17" s="23">
        <f t="shared" si="1"/>
        <v>20115</v>
      </c>
      <c r="H17" s="24">
        <f t="shared" si="2"/>
        <v>55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44849</v>
      </c>
      <c r="E18" s="23">
        <v>19119</v>
      </c>
      <c r="F18" s="23">
        <v>1065</v>
      </c>
      <c r="G18" s="23">
        <f t="shared" si="1"/>
        <v>20184</v>
      </c>
      <c r="H18" s="24">
        <f t="shared" si="2"/>
        <v>69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44850</v>
      </c>
      <c r="E19" s="23">
        <v>19187</v>
      </c>
      <c r="F19" s="23">
        <v>1065</v>
      </c>
      <c r="G19" s="23">
        <f t="shared" si="1"/>
        <v>20252</v>
      </c>
      <c r="H19" s="24">
        <f t="shared" si="2"/>
        <v>68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44851</v>
      </c>
      <c r="E20" s="108">
        <v>19244</v>
      </c>
      <c r="F20" s="23">
        <v>1065</v>
      </c>
      <c r="G20" s="23">
        <f t="shared" si="1"/>
        <v>20309</v>
      </c>
      <c r="H20" s="24">
        <f t="shared" si="2"/>
        <v>57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44852</v>
      </c>
      <c r="E21" s="108">
        <v>19296</v>
      </c>
      <c r="F21" s="23">
        <v>1065</v>
      </c>
      <c r="G21" s="23">
        <f t="shared" si="1"/>
        <v>20361</v>
      </c>
      <c r="H21" s="24">
        <f t="shared" si="2"/>
        <v>52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44853</v>
      </c>
      <c r="E22" s="108">
        <v>19388</v>
      </c>
      <c r="F22" s="23">
        <v>1065</v>
      </c>
      <c r="G22" s="23">
        <f t="shared" si="1"/>
        <v>20453</v>
      </c>
      <c r="H22" s="24">
        <f t="shared" si="2"/>
        <v>92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44854</v>
      </c>
      <c r="E23" s="108">
        <v>19491</v>
      </c>
      <c r="F23" s="23">
        <v>1065</v>
      </c>
      <c r="G23" s="23">
        <f t="shared" si="1"/>
        <v>20556</v>
      </c>
      <c r="H23" s="24">
        <f t="shared" si="2"/>
        <v>103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44855</v>
      </c>
      <c r="E24" s="108">
        <v>19594</v>
      </c>
      <c r="F24" s="23">
        <v>1065</v>
      </c>
      <c r="G24" s="23">
        <f t="shared" si="1"/>
        <v>20659</v>
      </c>
      <c r="H24" s="24">
        <f t="shared" si="2"/>
        <v>103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44856</v>
      </c>
      <c r="E25" s="23"/>
      <c r="F25" s="23">
        <v>1065</v>
      </c>
      <c r="G25" s="23">
        <f t="shared" si="1"/>
        <v>1065</v>
      </c>
      <c r="H25" s="24">
        <f t="shared" si="2"/>
        <v>-19594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44857</v>
      </c>
      <c r="E26" s="23"/>
      <c r="F26" s="23">
        <v>1065</v>
      </c>
      <c r="G26" s="23">
        <f t="shared" si="1"/>
        <v>1065</v>
      </c>
      <c r="H26" s="24">
        <f t="shared" si="2"/>
        <v>0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44858</v>
      </c>
      <c r="E27" s="23"/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44859</v>
      </c>
      <c r="E28" s="23"/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44860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44861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44862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44863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44864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44865</v>
      </c>
      <c r="E34" s="23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-18170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/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24" sqref="E24:F2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9" t="s">
        <v>37</v>
      </c>
      <c r="E1" s="109"/>
      <c r="F1" s="109"/>
      <c r="G1" s="109"/>
      <c r="H1" s="109"/>
      <c r="I1" s="109"/>
      <c r="J1" s="109"/>
      <c r="K1" s="109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44835</v>
      </c>
      <c r="E4" s="23">
        <v>787200</v>
      </c>
      <c r="F4" s="23">
        <v>179841</v>
      </c>
      <c r="G4" s="23">
        <f>E4+F4</f>
        <v>967041</v>
      </c>
      <c r="H4" s="18">
        <v>1.243004</v>
      </c>
      <c r="I4" s="23">
        <f>H4*G4</f>
        <v>1202035.8311640001</v>
      </c>
      <c r="J4" s="24">
        <v>312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44836</v>
      </c>
      <c r="E5" s="23">
        <v>787418</v>
      </c>
      <c r="F5" s="23">
        <v>179934</v>
      </c>
      <c r="G5" s="23">
        <f>E5+F5</f>
        <v>967352</v>
      </c>
      <c r="H5" s="18">
        <v>1.243004</v>
      </c>
      <c r="I5" s="23">
        <f>H5*G5</f>
        <v>1202422.4054080001</v>
      </c>
      <c r="J5" s="24">
        <f>I5-I4</f>
        <v>386.57424400001764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44837</v>
      </c>
      <c r="E6" s="23">
        <v>787607</v>
      </c>
      <c r="F6" s="23">
        <v>179994</v>
      </c>
      <c r="G6" s="23">
        <f t="shared" ref="G6:G34" si="0">E6+F6</f>
        <v>967601</v>
      </c>
      <c r="H6" s="18">
        <v>1.243004</v>
      </c>
      <c r="I6" s="23">
        <f t="shared" ref="I6:I34" si="1">H6*G6</f>
        <v>1202731.913404</v>
      </c>
      <c r="J6" s="24">
        <f>I6-I5</f>
        <v>309.50799599988386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44838</v>
      </c>
      <c r="E7" s="23">
        <v>787845</v>
      </c>
      <c r="F7" s="23">
        <v>180072</v>
      </c>
      <c r="G7" s="23">
        <f t="shared" si="0"/>
        <v>967917</v>
      </c>
      <c r="H7" s="18">
        <v>1.243004</v>
      </c>
      <c r="I7" s="23">
        <f t="shared" si="1"/>
        <v>1203124.702668</v>
      </c>
      <c r="J7" s="24">
        <f t="shared" ref="J7:J34" si="2">I7-I6</f>
        <v>392.78926400002092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44839</v>
      </c>
      <c r="E8" s="23">
        <v>788092</v>
      </c>
      <c r="F8" s="23">
        <v>180144</v>
      </c>
      <c r="G8" s="23">
        <f t="shared" si="0"/>
        <v>968236</v>
      </c>
      <c r="H8" s="18">
        <v>1.243004</v>
      </c>
      <c r="I8" s="23">
        <f t="shared" si="1"/>
        <v>1203521.2209439999</v>
      </c>
      <c r="J8" s="24">
        <f t="shared" si="2"/>
        <v>396.51827599992976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44840</v>
      </c>
      <c r="E9" s="23">
        <v>788348</v>
      </c>
      <c r="F9" s="23">
        <v>180241</v>
      </c>
      <c r="G9" s="23">
        <f>E9+F9</f>
        <v>968589</v>
      </c>
      <c r="H9" s="18">
        <v>1.243004</v>
      </c>
      <c r="I9" s="23">
        <f>H9*G9</f>
        <v>1203960.0013560001</v>
      </c>
      <c r="J9" s="24">
        <f t="shared" si="2"/>
        <v>438.78041200013831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44841</v>
      </c>
      <c r="E10" s="23">
        <v>788632</v>
      </c>
      <c r="F10" s="23">
        <v>180338</v>
      </c>
      <c r="G10" s="23">
        <f t="shared" si="0"/>
        <v>968970</v>
      </c>
      <c r="H10" s="18">
        <v>1.243004</v>
      </c>
      <c r="I10" s="23">
        <f>H10*G10</f>
        <v>1204433.5858799999</v>
      </c>
      <c r="J10" s="24">
        <f t="shared" si="2"/>
        <v>473.58452399983071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44842</v>
      </c>
      <c r="E11" s="23">
        <v>788891</v>
      </c>
      <c r="F11" s="23">
        <v>180431</v>
      </c>
      <c r="G11" s="23">
        <f t="shared" si="0"/>
        <v>969322</v>
      </c>
      <c r="H11" s="18">
        <v>1.243004</v>
      </c>
      <c r="I11" s="23">
        <f>H11*G11</f>
        <v>1204871.123288</v>
      </c>
      <c r="J11" s="24">
        <f>I11-I10</f>
        <v>437.53740800009109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44843</v>
      </c>
      <c r="E12" s="23">
        <v>789179</v>
      </c>
      <c r="F12" s="23">
        <v>180515</v>
      </c>
      <c r="G12" s="23">
        <f t="shared" si="0"/>
        <v>969694</v>
      </c>
      <c r="H12" s="18">
        <v>1.243004</v>
      </c>
      <c r="I12" s="23">
        <f t="shared" si="1"/>
        <v>1205333.5207760001</v>
      </c>
      <c r="J12" s="24">
        <f>I12-I11</f>
        <v>462.3974880001042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44844</v>
      </c>
      <c r="E13" s="23">
        <v>789475</v>
      </c>
      <c r="F13" s="23">
        <v>180604</v>
      </c>
      <c r="G13" s="23">
        <f>E13+F13</f>
        <v>970079</v>
      </c>
      <c r="H13" s="18">
        <v>1.243004</v>
      </c>
      <c r="I13" s="23">
        <f>H13*G13</f>
        <v>1205812.0773159999</v>
      </c>
      <c r="J13" s="24">
        <f>I13-I12</f>
        <v>478.55653999978676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44845</v>
      </c>
      <c r="E14" s="23">
        <v>789745</v>
      </c>
      <c r="F14" s="23">
        <v>180693</v>
      </c>
      <c r="G14" s="23">
        <f t="shared" si="0"/>
        <v>970438</v>
      </c>
      <c r="H14" s="18">
        <v>1.243004</v>
      </c>
      <c r="I14" s="23">
        <f>H14*G14</f>
        <v>1206258.3157520001</v>
      </c>
      <c r="J14" s="24">
        <f>I14-I13</f>
        <v>446.23843600018881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44846</v>
      </c>
      <c r="E15" s="23">
        <v>790033</v>
      </c>
      <c r="F15" s="23">
        <v>180767</v>
      </c>
      <c r="G15" s="23">
        <f t="shared" si="0"/>
        <v>970800</v>
      </c>
      <c r="H15" s="18">
        <v>1.243004</v>
      </c>
      <c r="I15" s="23">
        <f t="shared" si="1"/>
        <v>1206708.2831999999</v>
      </c>
      <c r="J15" s="24">
        <f t="shared" si="2"/>
        <v>449.96744799986482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44847</v>
      </c>
      <c r="E16" s="23">
        <v>790299</v>
      </c>
      <c r="F16" s="23">
        <v>180856</v>
      </c>
      <c r="G16" s="23">
        <f t="shared" si="0"/>
        <v>971155</v>
      </c>
      <c r="H16" s="18">
        <v>1.243004</v>
      </c>
      <c r="I16" s="23">
        <f t="shared" si="1"/>
        <v>1207149.5496199999</v>
      </c>
      <c r="J16" s="24">
        <f t="shared" si="2"/>
        <v>441.26641999999993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44848</v>
      </c>
      <c r="E17" s="23">
        <v>790555</v>
      </c>
      <c r="F17" s="23">
        <v>180938</v>
      </c>
      <c r="G17" s="23">
        <f t="shared" si="0"/>
        <v>971493</v>
      </c>
      <c r="H17" s="18">
        <v>1.243004</v>
      </c>
      <c r="I17" s="23">
        <f t="shared" si="1"/>
        <v>1207569.6849720001</v>
      </c>
      <c r="J17" s="24">
        <f t="shared" si="2"/>
        <v>420.13535200012848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44849</v>
      </c>
      <c r="E18" s="23">
        <v>790885</v>
      </c>
      <c r="F18" s="23">
        <v>181029</v>
      </c>
      <c r="G18" s="23">
        <f t="shared" si="0"/>
        <v>971914</v>
      </c>
      <c r="H18" s="18">
        <v>1.243004</v>
      </c>
      <c r="I18" s="23">
        <f t="shared" si="1"/>
        <v>1208092.9896559999</v>
      </c>
      <c r="J18" s="24">
        <f t="shared" si="2"/>
        <v>523.30468399985693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44850</v>
      </c>
      <c r="E19" s="23">
        <v>791242</v>
      </c>
      <c r="F19" s="23">
        <v>181119</v>
      </c>
      <c r="G19" s="23">
        <f t="shared" si="0"/>
        <v>972361</v>
      </c>
      <c r="H19" s="18">
        <v>1.243004</v>
      </c>
      <c r="I19" s="23">
        <f>H19*G19</f>
        <v>1208648.6124440001</v>
      </c>
      <c r="J19" s="24">
        <f>I19-I18</f>
        <v>555.62278800015338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44851</v>
      </c>
      <c r="E20" s="23">
        <v>791607</v>
      </c>
      <c r="F20" s="23">
        <v>181226</v>
      </c>
      <c r="G20" s="23">
        <f t="shared" si="0"/>
        <v>972833</v>
      </c>
      <c r="H20" s="18">
        <v>1.243004</v>
      </c>
      <c r="I20" s="23">
        <f t="shared" si="1"/>
        <v>1209235.310332</v>
      </c>
      <c r="J20" s="24">
        <f t="shared" si="2"/>
        <v>586.69788799993694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44852</v>
      </c>
      <c r="E21" s="23">
        <v>791950</v>
      </c>
      <c r="F21" s="23">
        <v>181312</v>
      </c>
      <c r="G21" s="23">
        <f t="shared" si="0"/>
        <v>973262</v>
      </c>
      <c r="H21" s="18">
        <v>1.243004</v>
      </c>
      <c r="I21" s="23">
        <f t="shared" si="1"/>
        <v>1209768.559048</v>
      </c>
      <c r="J21" s="24">
        <f t="shared" si="2"/>
        <v>533.24871600000188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44853</v>
      </c>
      <c r="E22" s="23">
        <v>792286</v>
      </c>
      <c r="F22" s="23">
        <v>181396</v>
      </c>
      <c r="G22" s="23">
        <f t="shared" si="0"/>
        <v>973682</v>
      </c>
      <c r="H22" s="18">
        <v>1.243004</v>
      </c>
      <c r="I22" s="23">
        <f t="shared" si="1"/>
        <v>1210290.6207280001</v>
      </c>
      <c r="J22" s="24">
        <f t="shared" si="2"/>
        <v>522.06168000004254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44854</v>
      </c>
      <c r="E23" s="23">
        <v>792652</v>
      </c>
      <c r="F23" s="23">
        <v>181482</v>
      </c>
      <c r="G23" s="23">
        <f t="shared" si="0"/>
        <v>974134</v>
      </c>
      <c r="H23" s="18">
        <v>1.243004</v>
      </c>
      <c r="I23" s="23">
        <f t="shared" si="1"/>
        <v>1210852.458536</v>
      </c>
      <c r="J23" s="24">
        <f t="shared" si="2"/>
        <v>561.83780799992383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44855</v>
      </c>
      <c r="E24" s="23">
        <v>793011</v>
      </c>
      <c r="F24" s="23">
        <v>181571</v>
      </c>
      <c r="G24" s="23">
        <f t="shared" si="0"/>
        <v>974582</v>
      </c>
      <c r="H24" s="18">
        <v>1.243004</v>
      </c>
      <c r="I24" s="23">
        <f t="shared" si="1"/>
        <v>1211409.324328</v>
      </c>
      <c r="J24" s="24">
        <f t="shared" si="2"/>
        <v>556.86579199996777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44856</v>
      </c>
      <c r="E25" s="23"/>
      <c r="F25" s="23"/>
      <c r="G25" s="23">
        <f t="shared" si="0"/>
        <v>0</v>
      </c>
      <c r="H25" s="18">
        <v>1.243004</v>
      </c>
      <c r="I25" s="23">
        <f t="shared" si="1"/>
        <v>0</v>
      </c>
      <c r="J25" s="24">
        <f t="shared" si="2"/>
        <v>-1211409.324328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44857</v>
      </c>
      <c r="E26" s="23"/>
      <c r="F26" s="23"/>
      <c r="G26" s="23">
        <f t="shared" si="0"/>
        <v>0</v>
      </c>
      <c r="H26" s="18">
        <v>1.243004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44858</v>
      </c>
      <c r="E27" s="23"/>
      <c r="F27" s="23"/>
      <c r="G27" s="23">
        <f t="shared" si="0"/>
        <v>0</v>
      </c>
      <c r="H27" s="18">
        <v>1.243004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44859</v>
      </c>
      <c r="E28" s="23"/>
      <c r="F28" s="23"/>
      <c r="G28" s="23">
        <f t="shared" si="0"/>
        <v>0</v>
      </c>
      <c r="H28" s="18">
        <v>1.243004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44860</v>
      </c>
      <c r="E29" s="23"/>
      <c r="F29" s="23"/>
      <c r="G29" s="23">
        <f t="shared" si="0"/>
        <v>0</v>
      </c>
      <c r="H29" s="18">
        <v>1.243004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44861</v>
      </c>
      <c r="E30" s="23"/>
      <c r="F30" s="23"/>
      <c r="G30" s="23">
        <f t="shared" si="0"/>
        <v>0</v>
      </c>
      <c r="H30" s="18">
        <v>1.243004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44862</v>
      </c>
      <c r="E31" s="23"/>
      <c r="F31" s="23"/>
      <c r="G31" s="23">
        <f t="shared" si="0"/>
        <v>0</v>
      </c>
      <c r="H31" s="18">
        <v>1.243004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44863</v>
      </c>
      <c r="E32" s="23"/>
      <c r="F32" s="23"/>
      <c r="G32" s="23">
        <f t="shared" si="0"/>
        <v>0</v>
      </c>
      <c r="H32" s="18">
        <v>1.243004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44864</v>
      </c>
      <c r="E33" s="23"/>
      <c r="F33" s="23"/>
      <c r="G33" s="23">
        <f t="shared" si="0"/>
        <v>0</v>
      </c>
      <c r="H33" s="18">
        <v>1.243004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44865</v>
      </c>
      <c r="E34" s="23"/>
      <c r="F34" s="23"/>
      <c r="G34" s="23">
        <f t="shared" si="0"/>
        <v>0</v>
      </c>
      <c r="H34" s="18">
        <v>1.243004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-1201723.8311640001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359.47795599997045</v>
      </c>
      <c r="M36" s="17">
        <f>+(L36*31)</f>
        <v>11143.816635999085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13" workbookViewId="0">
      <selection activeCell="F24" sqref="F24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9" t="s">
        <v>36</v>
      </c>
      <c r="F1" s="109"/>
      <c r="G1" s="109"/>
      <c r="H1" s="109"/>
      <c r="I1" s="109"/>
      <c r="J1" s="109"/>
      <c r="K1" s="28"/>
      <c r="L1" s="28"/>
      <c r="M1" s="28"/>
      <c r="N1" s="28"/>
      <c r="O1" s="17"/>
      <c r="P1" s="17"/>
      <c r="Q1" s="110"/>
      <c r="R1" s="110"/>
      <c r="S1" s="110"/>
      <c r="T1" s="110"/>
      <c r="U1" s="110"/>
      <c r="V1" s="110"/>
      <c r="W1" s="110"/>
      <c r="X1" s="110"/>
      <c r="Y1" s="81"/>
      <c r="Z1" s="110"/>
      <c r="AA1" s="110"/>
      <c r="AB1" s="110"/>
      <c r="AC1" s="110"/>
      <c r="AD1" s="110"/>
      <c r="AE1" s="110"/>
      <c r="AF1" s="110"/>
      <c r="AG1" s="110"/>
      <c r="AH1" s="82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35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1"/>
      <c r="AP3" s="112"/>
      <c r="AQ3" s="111"/>
      <c r="AR3" s="112"/>
      <c r="AS3" s="111"/>
      <c r="AT3" s="112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44835</v>
      </c>
      <c r="F4" s="55">
        <v>5246.2030000000004</v>
      </c>
      <c r="G4" s="22">
        <v>2760</v>
      </c>
      <c r="H4" s="23">
        <f>G4*F4</f>
        <v>14479520.280000001</v>
      </c>
      <c r="I4" s="24">
        <v>8649.7999999999993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44836</v>
      </c>
      <c r="F5" s="55">
        <v>5249.4979999999996</v>
      </c>
      <c r="G5" s="22">
        <v>2760</v>
      </c>
      <c r="H5" s="23">
        <f>G5*F5</f>
        <v>14488614.479999999</v>
      </c>
      <c r="I5" s="24">
        <f>+(H5-H4)</f>
        <v>9094.1999999973923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44837</v>
      </c>
      <c r="F6" s="55">
        <v>5252.4279999999999</v>
      </c>
      <c r="G6" s="22">
        <v>2760</v>
      </c>
      <c r="H6" s="23">
        <f t="shared" ref="H6:H34" si="0">G6*F6</f>
        <v>14496701.279999999</v>
      </c>
      <c r="I6" s="24">
        <f t="shared" ref="I6:I34" si="1">+(H6-H5)</f>
        <v>8086.8000000007451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44838</v>
      </c>
      <c r="F7" s="55">
        <v>5255.2470000000003</v>
      </c>
      <c r="G7" s="22">
        <v>2760</v>
      </c>
      <c r="H7" s="23">
        <f t="shared" si="0"/>
        <v>14504481.720000001</v>
      </c>
      <c r="I7" s="24">
        <f t="shared" si="1"/>
        <v>7780.4400000013411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44839</v>
      </c>
      <c r="F8" s="55">
        <v>5257.9210000000003</v>
      </c>
      <c r="G8" s="22">
        <v>2760</v>
      </c>
      <c r="H8" s="23">
        <f>G8*F8</f>
        <v>14511861.960000001</v>
      </c>
      <c r="I8" s="24">
        <f t="shared" si="1"/>
        <v>7380.2400000002235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44840</v>
      </c>
      <c r="F9" s="55">
        <v>5260.5389999999998</v>
      </c>
      <c r="G9" s="22">
        <v>2760</v>
      </c>
      <c r="H9" s="23">
        <f t="shared" si="0"/>
        <v>14519087.639999999</v>
      </c>
      <c r="I9" s="24">
        <f t="shared" si="1"/>
        <v>7225.6799999978393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44841</v>
      </c>
      <c r="F10" s="55">
        <v>5263.1379999999999</v>
      </c>
      <c r="G10" s="22">
        <v>2760</v>
      </c>
      <c r="H10" s="23">
        <f t="shared" si="0"/>
        <v>14526260.879999999</v>
      </c>
      <c r="I10" s="24">
        <f t="shared" si="1"/>
        <v>7173.2400000002235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44842</v>
      </c>
      <c r="F11" s="55">
        <v>5265.7380000000003</v>
      </c>
      <c r="G11" s="22">
        <v>2760</v>
      </c>
      <c r="H11" s="23">
        <f t="shared" si="0"/>
        <v>14533436.880000001</v>
      </c>
      <c r="I11" s="24">
        <f t="shared" si="1"/>
        <v>7176.0000000018626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44843</v>
      </c>
      <c r="F12" s="55">
        <v>5268.4369999999999</v>
      </c>
      <c r="G12" s="22">
        <v>2760</v>
      </c>
      <c r="H12" s="23">
        <f>G12*F12</f>
        <v>14540886.119999999</v>
      </c>
      <c r="I12" s="24">
        <f t="shared" si="1"/>
        <v>7449.2399999983609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44844</v>
      </c>
      <c r="F13" s="55">
        <v>5271.06</v>
      </c>
      <c r="G13" s="22">
        <v>2760</v>
      </c>
      <c r="H13" s="23">
        <f t="shared" si="0"/>
        <v>14548125.600000001</v>
      </c>
      <c r="I13" s="24">
        <f t="shared" si="1"/>
        <v>7239.4800000023097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44845</v>
      </c>
      <c r="F14" s="55">
        <v>5273.6270000000004</v>
      </c>
      <c r="G14" s="22">
        <v>2760</v>
      </c>
      <c r="H14" s="23">
        <f t="shared" si="0"/>
        <v>14555210.520000001</v>
      </c>
      <c r="I14" s="24">
        <f t="shared" si="1"/>
        <v>7084.9199999999255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44846</v>
      </c>
      <c r="F15" s="55">
        <v>5276.3230000000003</v>
      </c>
      <c r="G15" s="22">
        <v>2760</v>
      </c>
      <c r="H15" s="23">
        <f t="shared" si="0"/>
        <v>14562651.48</v>
      </c>
      <c r="I15" s="24">
        <f t="shared" si="1"/>
        <v>7440.9599999990314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44847</v>
      </c>
      <c r="F16" s="55">
        <v>5278.8890000000001</v>
      </c>
      <c r="G16" s="22">
        <v>2760</v>
      </c>
      <c r="H16" s="23">
        <f t="shared" si="0"/>
        <v>14569733.640000001</v>
      </c>
      <c r="I16" s="24">
        <f t="shared" si="1"/>
        <v>7082.160000000149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44848</v>
      </c>
      <c r="F17" s="55">
        <v>5281.5110000000004</v>
      </c>
      <c r="G17" s="22">
        <v>2760</v>
      </c>
      <c r="H17" s="23">
        <f t="shared" si="0"/>
        <v>14576970.360000001</v>
      </c>
      <c r="I17" s="24">
        <f t="shared" si="1"/>
        <v>7236.7200000006706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44849</v>
      </c>
      <c r="F18" s="55">
        <v>5284.375</v>
      </c>
      <c r="G18" s="22">
        <v>2760</v>
      </c>
      <c r="H18" s="23">
        <f t="shared" si="0"/>
        <v>14584875</v>
      </c>
      <c r="I18" s="24">
        <f t="shared" si="1"/>
        <v>7904.6399999987334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44850</v>
      </c>
      <c r="F19" s="55">
        <v>5287.259</v>
      </c>
      <c r="G19" s="22">
        <v>2760</v>
      </c>
      <c r="H19" s="23">
        <f>G19*F19</f>
        <v>14592834.84</v>
      </c>
      <c r="I19" s="24">
        <f>+(H19-H18)</f>
        <v>7959.839999999851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44851</v>
      </c>
      <c r="F20" s="55">
        <v>5290.0860000000002</v>
      </c>
      <c r="G20" s="22">
        <v>2760</v>
      </c>
      <c r="H20" s="23">
        <f t="shared" si="0"/>
        <v>14600637.360000001</v>
      </c>
      <c r="I20" s="24">
        <f t="shared" si="1"/>
        <v>7802.5200000014156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44852</v>
      </c>
      <c r="F21" s="55">
        <v>5292.9780000000001</v>
      </c>
      <c r="G21" s="22">
        <v>2760</v>
      </c>
      <c r="H21" s="23">
        <f t="shared" si="0"/>
        <v>14608619.279999999</v>
      </c>
      <c r="I21" s="24">
        <f>+(H21-H20)</f>
        <v>7981.9199999980628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44853</v>
      </c>
      <c r="F22" s="55">
        <v>5295.7309999999998</v>
      </c>
      <c r="G22" s="22">
        <v>2760</v>
      </c>
      <c r="H22" s="23">
        <f t="shared" si="0"/>
        <v>14616217.559999999</v>
      </c>
      <c r="I22" s="24">
        <f t="shared" si="1"/>
        <v>7598.2799999993294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44854</v>
      </c>
      <c r="F23" s="55">
        <v>5298.4350000000004</v>
      </c>
      <c r="G23" s="22">
        <v>2760</v>
      </c>
      <c r="H23" s="23">
        <f t="shared" si="0"/>
        <v>14623680.600000001</v>
      </c>
      <c r="I23" s="24">
        <f t="shared" si="1"/>
        <v>7463.0400000028312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44855</v>
      </c>
      <c r="F24" s="55">
        <v>5301.1030000000001</v>
      </c>
      <c r="G24" s="22">
        <v>2760</v>
      </c>
      <c r="H24" s="23">
        <f t="shared" si="0"/>
        <v>14631044.279999999</v>
      </c>
      <c r="I24" s="24">
        <f t="shared" si="1"/>
        <v>7363.6799999978393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44856</v>
      </c>
      <c r="F25" s="55"/>
      <c r="G25" s="22">
        <v>2760</v>
      </c>
      <c r="H25" s="23">
        <f t="shared" si="0"/>
        <v>0</v>
      </c>
      <c r="I25" s="24">
        <f t="shared" si="1"/>
        <v>-14631044.279999999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44857</v>
      </c>
      <c r="F26" s="55"/>
      <c r="G26" s="22">
        <v>2760</v>
      </c>
      <c r="H26" s="23">
        <f t="shared" si="0"/>
        <v>0</v>
      </c>
      <c r="I26" s="24">
        <f t="shared" si="1"/>
        <v>0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44858</v>
      </c>
      <c r="F27" s="55"/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44859</v>
      </c>
      <c r="F28" s="55"/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44860</v>
      </c>
      <c r="F29" s="61"/>
      <c r="G29" s="22">
        <v>2760</v>
      </c>
      <c r="H29" s="23">
        <f>G29*F29</f>
        <v>0</v>
      </c>
      <c r="I29" s="24">
        <f>+(H29-H28)</f>
        <v>0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44861</v>
      </c>
      <c r="F30" s="61"/>
      <c r="G30" s="22">
        <v>2760</v>
      </c>
      <c r="H30" s="23">
        <f t="shared" si="0"/>
        <v>0</v>
      </c>
      <c r="I30" s="24">
        <f>+(H30-H29)</f>
        <v>0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44862</v>
      </c>
      <c r="F31" s="61"/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44863</v>
      </c>
      <c r="F32" s="61"/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44864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44865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-14470870.48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2022-10-21T04:29:31Z</dcterms:modified>
</cp:coreProperties>
</file>