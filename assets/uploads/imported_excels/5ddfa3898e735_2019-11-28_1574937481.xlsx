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19" sheetId="1" r:id="rId3"/>
  </sheets>
  <definedNames>
    <definedName name="_xlnm.Print_Area" localSheetId="2">'11 - 2019'!$A$1:$J$37</definedName>
  </definedNames>
  <calcPr calcId="162913"/>
</workbook>
</file>

<file path=xl/calcChain.xml><?xml version="1.0" encoding="utf-8"?>
<calcChain xmlns="http://schemas.openxmlformats.org/spreadsheetml/2006/main"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L23" i="3"/>
  <c r="K23" i="3"/>
  <c r="I23" i="3"/>
  <c r="G23" i="3"/>
  <c r="E23" i="3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L16" i="3"/>
  <c r="K16" i="3"/>
  <c r="I16" i="3"/>
  <c r="G16" i="3"/>
  <c r="E16" i="3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4" i="3"/>
  <c r="K14" i="3"/>
  <c r="I14" i="3"/>
  <c r="G14" i="3"/>
  <c r="E14" i="3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J10" i="2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K37" i="1" l="1"/>
  <c r="J37" i="1"/>
  <c r="I37" i="1"/>
  <c r="I38" i="1" s="1"/>
  <c r="H37" i="1"/>
  <c r="H38" i="1" s="1"/>
  <c r="G37" i="1"/>
  <c r="F37" i="1"/>
  <c r="E37" i="1"/>
  <c r="D37" i="1"/>
  <c r="C37" i="1"/>
  <c r="B37" i="1"/>
  <c r="E31" i="3" l="1"/>
  <c r="L31" i="3"/>
  <c r="K31" i="3"/>
  <c r="I31" i="3"/>
  <c r="G31" i="3"/>
  <c r="J31" i="2"/>
  <c r="I31" i="2"/>
  <c r="H31" i="2"/>
  <c r="F31" i="2"/>
  <c r="E31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2" i="2" l="1"/>
  <c r="I2" i="2"/>
  <c r="H2" i="2"/>
  <c r="F2" i="2"/>
  <c r="E2" i="2"/>
  <c r="K2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<sst xmlns="http://schemas.openxmlformats.org/spreadsheetml/2006/main" count="105" uniqueCount="38">
  <si>
    <t>DEWA Electricity (KWH)</t>
  </si>
  <si>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</si>
  <si>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</si>
  <si>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</si>
  <si>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</si>
  <si>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</si>
  <si>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</si>
  <si>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</si>
  <si>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</si>
  <si>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</si>
  <si>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</si>
  <si>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</si>
  <si>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</si>
  <si>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</si>
  <si>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</si>
  <si>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</si>
  <si>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</si>
  <si>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</si>
  <si>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</si>
  <si>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</si>
  <si>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</si>
  <si>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</si>
  <si>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</si>
  <si>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</si>
  <si>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</si>
  <si>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</si>
  <si>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</si>
  <si>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</si>
  <si>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</si>
  <si>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</si>
  <si>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</si>
  <si>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</si>
  <si>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</si>
  <si>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</si>
  <si>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</si>
  <si>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</si>
  <si>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HLP READING MONTH OF NOVEMBER' 2019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</si>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</sst>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G25" sqref="G2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10</v>
      </c>
      <c r="B1" t="s">
        <v>11</v>
      </c>
      <c r="C1" t="s">
        <v>12</v>
      </c>
      <c r="D1" t="s">
        <v>13</v>
      </c>
      <c r="E1" s="5" t="s">
        <v>14</v>
      </c>
      <c r="F1" s="4" t="s">
        <v>15</v>
      </c>
      <c r="G1" s="5" t="s">
        <v>16</v>
      </c>
      <c r="H1" s="4" t="s">
        <v>17</v>
      </c>
      <c r="I1" s="5" t="s">
        <v>18</v>
      </c>
      <c r="J1" s="4" t="s">
        <v>19</v>
      </c>
      <c r="K1" s="4" t="s">
        <v>20</v>
      </c>
      <c r="L1" s="4" t="s">
        <v>20</v>
      </c>
      <c r="M1" s="7" t="s">
        <v>21</v>
      </c>
      <c r="N1" s="4" t="s">
        <v>22</v>
      </c>
      <c r="O1" s="4"/>
    </row>
    <row r="2" spans="1:15" x14ac:dyDescent="0.25">
      <c r="A2" t="s">
        <v>28</v>
      </c>
      <c r="B2">
        <v>1</v>
      </c>
      <c r="C2">
        <v>11</v>
      </c>
      <c r="D2">
        <v>2019</v>
      </c>
      <c r="E2" s="6">
        <f>'11 - 2019'!B7-'11 - 2019'!B6+'11 - 2019'!C7-'11 - 2019'!C6</f>
        <v>10023</v>
      </c>
      <c r="F2">
        <v>0.11799999999999999</v>
      </c>
      <c r="G2" s="6">
        <f>(('11 - 2019'!E7-'11 - 2019'!E6)+('11 - 2019'!F7-'11 - 2019'!F6)+('11 - 2019'!G7-'11 - 2019'!G6))*1.81</f>
        <v>131.06209999999851</v>
      </c>
      <c r="H2">
        <v>0.99</v>
      </c>
      <c r="I2" s="6">
        <f>'11 - 2019'!J7-'11 - 2019'!J6</f>
        <v>26120</v>
      </c>
      <c r="J2">
        <v>8.1000000000000003E-2</v>
      </c>
      <c r="K2" s="6">
        <f>'11 - 2019'!H7-'11 - 2019'!H6</f>
        <v>0</v>
      </c>
      <c r="L2" s="6">
        <f>'11 - 2019'!I7-'11 - 2019'!I6</f>
        <v>126</v>
      </c>
      <c r="M2" s="1">
        <v>4.393629424766913</v>
      </c>
      <c r="N2" s="6">
        <v>96</v>
      </c>
    </row>
    <row r="3" spans="1:15" x14ac:dyDescent="0.25">
      <c r="A3" t="s">
        <v>28</v>
      </c>
      <c r="B3">
        <f>B2+1</f>
        <v>2</v>
      </c>
      <c r="C3" s="25">
        <v>11</v>
      </c>
      <c r="D3">
        <v>2019</v>
      </c>
      <c r="E3" s="27">
        <f>'11 - 2019'!B8-'11 - 2019'!B7+'11 - 2019'!C8-'11 - 2019'!C7</f>
        <v>9510</v>
      </c>
      <c r="F3" s="25">
        <v>0.11799999999999999</v>
      </c>
      <c r="G3" s="27">
        <f>(('11 - 2019'!E8-'11 - 2019'!E7)+('11 - 2019'!F8-'11 - 2019'!F7)+('11 - 2019'!G8-'11 - 2019'!G7))*1.81</f>
        <v>125.08910000000105</v>
      </c>
      <c r="H3" s="25">
        <v>0.99</v>
      </c>
      <c r="I3" s="27">
        <f>'11 - 2019'!J8-'11 - 2019'!J7</f>
        <v>26339</v>
      </c>
      <c r="J3" s="25">
        <v>8.1000000000000003E-2</v>
      </c>
      <c r="K3" s="27">
        <f>'11 - 2019'!H8-'11 - 2019'!H7</f>
        <v>0</v>
      </c>
      <c r="L3" s="27">
        <f>'11 - 2019'!I8-'11 - 2019'!I7</f>
        <v>111</v>
      </c>
      <c r="M3" s="26">
        <v>4.393629424766913</v>
      </c>
      <c r="N3" s="6">
        <v>89</v>
      </c>
    </row>
    <row r="4" spans="1:15" x14ac:dyDescent="0.25">
      <c r="A4" t="s">
        <v>28</v>
      </c>
      <c r="B4">
        <f t="shared" ref="B4:B31" si="0">B3+1</f>
        <v>3</v>
      </c>
      <c r="C4" s="25">
        <v>11</v>
      </c>
      <c r="D4">
        <v>2019</v>
      </c>
      <c r="E4" s="27">
        <f>'11 - 2019'!B9-'11 - 2019'!B8+'11 - 2019'!C9-'11 - 2019'!C8</f>
        <v>9961</v>
      </c>
      <c r="F4" s="25">
        <v>0.11799999999999999</v>
      </c>
      <c r="G4" s="27">
        <f>(('11 - 2019'!E9-'11 - 2019'!E8)+('11 - 2019'!F9-'11 - 2019'!F8)+('11 - 2019'!G9-'11 - 2019'!G8))*1.81</f>
        <v>118.19299999999869</v>
      </c>
      <c r="H4" s="25">
        <v>0.99</v>
      </c>
      <c r="I4" s="27">
        <f>'11 - 2019'!J9-'11 - 2019'!J8</f>
        <v>24691</v>
      </c>
      <c r="J4" s="25">
        <v>8.1000000000000003E-2</v>
      </c>
      <c r="K4" s="27">
        <f>'11 - 2019'!H9-'11 - 2019'!H8</f>
        <v>0</v>
      </c>
      <c r="L4" s="27">
        <f>'11 - 2019'!I9-'11 - 2019'!I8</f>
        <v>111</v>
      </c>
      <c r="M4" s="26">
        <v>4.393629424766913</v>
      </c>
      <c r="N4" s="6">
        <v>86</v>
      </c>
    </row>
    <row r="5" spans="1:15" x14ac:dyDescent="0.25">
      <c r="A5" t="s">
        <v>28</v>
      </c>
      <c r="B5">
        <f t="shared" si="0"/>
        <v>4</v>
      </c>
      <c r="C5" s="25">
        <v>11</v>
      </c>
      <c r="D5">
        <v>2019</v>
      </c>
      <c r="E5" s="27">
        <f>'11 - 2019'!B10-'11 - 2019'!B9+'11 - 2019'!C10-'11 - 2019'!C9</f>
        <v>10063</v>
      </c>
      <c r="F5" s="25">
        <v>0.11799999999999999</v>
      </c>
      <c r="G5" s="27">
        <f>(('11 - 2019'!E10-'11 - 2019'!E9)+('11 - 2019'!F10-'11 - 2019'!F9)+('11 - 2019'!G10-'11 - 2019'!G9))*1.81</f>
        <v>118.51880000000128</v>
      </c>
      <c r="H5" s="25">
        <v>0.99</v>
      </c>
      <c r="I5" s="27">
        <f>'11 - 2019'!J10-'11 - 2019'!J9</f>
        <v>18977</v>
      </c>
      <c r="J5" s="25">
        <v>8.1000000000000003E-2</v>
      </c>
      <c r="K5" s="27">
        <f>'11 - 2019'!H10-'11 - 2019'!H9</f>
        <v>0</v>
      </c>
      <c r="L5" s="27">
        <f>'11 - 2019'!I10-'11 - 2019'!I9</f>
        <v>118</v>
      </c>
      <c r="M5" s="26">
        <v>4.393629424766913</v>
      </c>
      <c r="N5" s="6">
        <v>84</v>
      </c>
    </row>
    <row r="6" spans="1:15" x14ac:dyDescent="0.25">
      <c r="A6" t="s">
        <v>28</v>
      </c>
      <c r="B6">
        <f t="shared" si="0"/>
        <v>5</v>
      </c>
      <c r="C6" s="25">
        <v>11</v>
      </c>
      <c r="D6">
        <v>2019</v>
      </c>
      <c r="E6" s="27">
        <f>'11 - 2019'!B11-'11 - 2019'!B10+'11 - 2019'!C11-'11 - 2019'!C10</f>
        <v>9476</v>
      </c>
      <c r="F6" s="25">
        <v>0.11799999999999999</v>
      </c>
      <c r="G6" s="27">
        <f>(('11 - 2019'!E11-'11 - 2019'!E10)+('11 - 2019'!F11-'11 - 2019'!F10)+('11 - 2019'!G11-'11 - 2019'!G10))*1.81</f>
        <v>116.47350000000189</v>
      </c>
      <c r="H6" s="25">
        <v>0.99</v>
      </c>
      <c r="I6" s="27">
        <f>'11 - 2019'!J11-'11 - 2019'!J10</f>
        <v>25893</v>
      </c>
      <c r="J6" s="25">
        <v>8.1000000000000003E-2</v>
      </c>
      <c r="K6" s="27">
        <f>'11 - 2019'!H11-'11 - 2019'!H10</f>
        <v>0</v>
      </c>
      <c r="L6" s="27">
        <f>'11 - 2019'!I11-'11 - 2019'!I10</f>
        <v>66</v>
      </c>
      <c r="M6" s="26">
        <v>4.393629424766913</v>
      </c>
      <c r="N6" s="15">
        <v>87</v>
      </c>
    </row>
    <row r="7" spans="1:15" x14ac:dyDescent="0.25">
      <c r="A7" t="s">
        <v>28</v>
      </c>
      <c r="B7">
        <f t="shared" si="0"/>
        <v>6</v>
      </c>
      <c r="C7" s="25">
        <v>11</v>
      </c>
      <c r="D7">
        <v>2019</v>
      </c>
      <c r="E7" s="27">
        <f>'11 - 2019'!B12-'11 - 2019'!B11+'11 - 2019'!C12-'11 - 2019'!C11</f>
        <v>9967</v>
      </c>
      <c r="F7" s="25">
        <v>0.11799999999999999</v>
      </c>
      <c r="G7" s="27">
        <f>(('11 - 2019'!E12-'11 - 2019'!E11)+('11 - 2019'!F12-'11 - 2019'!F11)+('11 - 2019'!G12-'11 - 2019'!G11))*1.81</f>
        <v>114.9168999999992</v>
      </c>
      <c r="H7" s="25">
        <v>0.99</v>
      </c>
      <c r="I7" s="27">
        <f>'11 - 2019'!J12-'11 - 2019'!J11</f>
        <v>23543</v>
      </c>
      <c r="J7" s="25">
        <v>8.1000000000000003E-2</v>
      </c>
      <c r="K7" s="27">
        <f>'11 - 2019'!H12-'11 - 2019'!H11</f>
        <v>0</v>
      </c>
      <c r="L7" s="27">
        <f>'11 - 2019'!I12-'11 - 2019'!I11</f>
        <v>167</v>
      </c>
      <c r="M7" s="26">
        <v>4.393629424766913</v>
      </c>
      <c r="N7" s="6">
        <v>88</v>
      </c>
    </row>
    <row r="8" spans="1:15" x14ac:dyDescent="0.25">
      <c r="A8" t="s">
        <v>28</v>
      </c>
      <c r="B8">
        <f t="shared" si="0"/>
        <v>7</v>
      </c>
      <c r="C8" s="25">
        <v>11</v>
      </c>
      <c r="D8">
        <v>2019</v>
      </c>
      <c r="E8" s="27">
        <f>'11 - 2019'!B13-'11 - 2019'!B12+'11 - 2019'!C13-'11 - 2019'!C12</f>
        <v>9691</v>
      </c>
      <c r="F8" s="25">
        <v>0.11799999999999999</v>
      </c>
      <c r="G8" s="27">
        <f>(('11 - 2019'!E13-'11 - 2019'!E12)+('11 - 2019'!F13-'11 - 2019'!F12)+('11 - 2019'!G13-'11 - 2019'!G12))*1.81</f>
        <v>112.12949999999927</v>
      </c>
      <c r="H8" s="25">
        <v>0.99</v>
      </c>
      <c r="I8" s="27">
        <f>'11 - 2019'!J13-'11 - 2019'!J12</f>
        <v>24427</v>
      </c>
      <c r="J8" s="25">
        <v>8.1000000000000003E-2</v>
      </c>
      <c r="K8" s="27">
        <f>'11 - 2019'!H13-'11 - 2019'!H12</f>
        <v>0</v>
      </c>
      <c r="L8" s="27">
        <f>'11 - 2019'!I13-'11 - 2019'!I12</f>
        <v>109</v>
      </c>
      <c r="M8" s="26">
        <v>4.393629424766913</v>
      </c>
      <c r="N8" s="6">
        <v>84</v>
      </c>
    </row>
    <row r="9" spans="1:15" x14ac:dyDescent="0.25">
      <c r="A9" t="s">
        <v>28</v>
      </c>
      <c r="B9">
        <f t="shared" si="0"/>
        <v>8</v>
      </c>
      <c r="C9" s="25">
        <v>11</v>
      </c>
      <c r="D9">
        <v>2019</v>
      </c>
      <c r="E9" s="27">
        <f>'11 - 2019'!B14-'11 - 2019'!B13+'11 - 2019'!C14-'11 - 2019'!C13</f>
        <v>10083</v>
      </c>
      <c r="F9" s="25">
        <v>0.11799999999999999</v>
      </c>
      <c r="G9" s="27">
        <f>(('11 - 2019'!E14-'11 - 2019'!E13)+('11 - 2019'!F14-'11 - 2019'!F13)+('11 - 2019'!G14-'11 - 2019'!G13))*1.81</f>
        <v>128.63669999999988</v>
      </c>
      <c r="H9" s="25">
        <v>0.99</v>
      </c>
      <c r="I9" s="27">
        <f>'11 - 2019'!J14-'11 - 2019'!J13</f>
        <v>23525</v>
      </c>
      <c r="J9" s="25">
        <v>8.1000000000000003E-2</v>
      </c>
      <c r="K9" s="27">
        <f>'11 - 2019'!H14-'11 - 2019'!H13</f>
        <v>0</v>
      </c>
      <c r="L9" s="27">
        <f>'11 - 2019'!I14-'11 - 2019'!I13</f>
        <v>137</v>
      </c>
      <c r="M9" s="26">
        <v>4.393629424766913</v>
      </c>
      <c r="N9" s="6">
        <v>79</v>
      </c>
    </row>
    <row r="10" spans="1:15" x14ac:dyDescent="0.25">
      <c r="A10" t="s">
        <v>28</v>
      </c>
      <c r="B10">
        <f t="shared" si="0"/>
        <v>9</v>
      </c>
      <c r="C10" s="25">
        <v>11</v>
      </c>
      <c r="D10">
        <v>2019</v>
      </c>
      <c r="E10" s="27">
        <f>'11 - 2019'!B15-'11 - 2019'!B14+'11 - 2019'!C15-'11 - 2019'!C14</f>
        <v>9948</v>
      </c>
      <c r="F10" s="25">
        <v>0.11799999999999999</v>
      </c>
      <c r="G10" s="27">
        <f>(('11 - 2019'!E15-'11 - 2019'!E14)+('11 - 2019'!F15-'11 - 2019'!F14)+('11 - 2019'!G15-'11 - 2019'!G14))*1.81</f>
        <v>127.26109999999827</v>
      </c>
      <c r="H10" s="25">
        <v>0.99</v>
      </c>
      <c r="I10" s="27">
        <f>'11 - 2019'!J15-'11 - 2019'!J14</f>
        <v>26196</v>
      </c>
      <c r="J10" s="25">
        <v>8.1000000000000003E-2</v>
      </c>
      <c r="K10" s="27">
        <f>'11 - 2019'!H15-'11 - 2019'!H14</f>
        <v>0</v>
      </c>
      <c r="L10" s="27">
        <f>'11 - 2019'!I15-'11 - 2019'!I14</f>
        <v>100</v>
      </c>
      <c r="M10" s="26">
        <v>4.393629424766913</v>
      </c>
      <c r="N10" s="6">
        <v>73</v>
      </c>
    </row>
    <row r="11" spans="1:15" x14ac:dyDescent="0.25">
      <c r="A11" t="s">
        <v>28</v>
      </c>
      <c r="B11">
        <f t="shared" si="0"/>
        <v>10</v>
      </c>
      <c r="C11" s="25">
        <v>11</v>
      </c>
      <c r="D11">
        <v>2019</v>
      </c>
      <c r="E11" s="27">
        <f>'11 - 2019'!B16-'11 - 2019'!B15+'11 - 2019'!C16-'11 - 2019'!C15</f>
        <v>9616</v>
      </c>
      <c r="F11" s="25">
        <v>0.11799999999999999</v>
      </c>
      <c r="G11" s="27">
        <f>(('11 - 2019'!E16-'11 - 2019'!E15)+('11 - 2019'!F16-'11 - 2019'!F15)+('11 - 2019'!G16-'11 - 2019'!G15))*1.81</f>
        <v>125.0348000000007</v>
      </c>
      <c r="H11" s="25">
        <v>0.99</v>
      </c>
      <c r="I11" s="27">
        <f>'11 - 2019'!J16-'11 - 2019'!J15</f>
        <v>20273</v>
      </c>
      <c r="J11" s="25">
        <v>8.1000000000000003E-2</v>
      </c>
      <c r="K11" s="27">
        <f>'11 - 2019'!H16-'11 - 2019'!H15</f>
        <v>0</v>
      </c>
      <c r="L11" s="27">
        <f>'11 - 2019'!I16-'11 - 2019'!I15</f>
        <v>79.179999999993015</v>
      </c>
      <c r="M11" s="26">
        <v>4.393629424766913</v>
      </c>
      <c r="N11" s="6">
        <v>78</v>
      </c>
    </row>
    <row r="12" spans="1:15" x14ac:dyDescent="0.25">
      <c r="A12" t="s">
        <v>28</v>
      </c>
      <c r="B12">
        <f t="shared" si="0"/>
        <v>11</v>
      </c>
      <c r="C12" s="25">
        <v>11</v>
      </c>
      <c r="D12">
        <v>2019</v>
      </c>
      <c r="E12" s="27">
        <f>'11 - 2019'!B17-'11 - 2019'!B16+'11 - 2019'!C17-'11 - 2019'!C16</f>
        <v>9162</v>
      </c>
      <c r="F12" s="25">
        <v>0.11799999999999999</v>
      </c>
      <c r="G12" s="27">
        <f>(('11 - 2019'!E17-'11 - 2019'!E16)+('11 - 2019'!F17-'11 - 2019'!F16)+('11 - 2019'!G17-'11 - 2019'!G16))*1.81</f>
        <v>120.07539999999904</v>
      </c>
      <c r="H12" s="25">
        <v>0.99</v>
      </c>
      <c r="I12" s="27">
        <f>'11 - 2019'!J17-'11 - 2019'!J16</f>
        <v>14944</v>
      </c>
      <c r="J12" s="25">
        <v>8.1000000000000003E-2</v>
      </c>
      <c r="K12" s="27">
        <f>'11 - 2019'!H17-'11 - 2019'!H16</f>
        <v>0</v>
      </c>
      <c r="L12" s="27">
        <f>'11 - 2019'!I17-'11 - 2019'!I16</f>
        <v>119.82000000000698</v>
      </c>
      <c r="M12" s="26">
        <v>4.393629424766913</v>
      </c>
      <c r="N12" s="6">
        <v>73</v>
      </c>
    </row>
    <row r="13" spans="1:15" x14ac:dyDescent="0.25">
      <c r="A13" t="s">
        <v>28</v>
      </c>
      <c r="B13">
        <f t="shared" si="0"/>
        <v>12</v>
      </c>
      <c r="C13" s="25">
        <v>11</v>
      </c>
      <c r="D13">
        <v>2019</v>
      </c>
      <c r="E13" s="27">
        <f>'11 - 2019'!B18-'11 - 2019'!B17+'11 - 2019'!C18-'11 - 2019'!C17</f>
        <v>10654</v>
      </c>
      <c r="F13" s="25">
        <v>0.11799999999999999</v>
      </c>
      <c r="G13" s="27">
        <f>(('11 - 2019'!E18-'11 - 2019'!E17)+('11 - 2019'!F18-'11 - 2019'!F17)+('11 - 2019'!G18-'11 - 2019'!G17))*1.81</f>
        <v>123.33339999999977</v>
      </c>
      <c r="H13" s="25">
        <v>0.99</v>
      </c>
      <c r="I13" s="27">
        <f>'11 - 2019'!J18-'11 - 2019'!J17</f>
        <v>16092</v>
      </c>
      <c r="J13" s="25">
        <v>8.1000000000000003E-2</v>
      </c>
      <c r="K13" s="27">
        <f>'11 - 2019'!H18-'11 - 2019'!H17</f>
        <v>0</v>
      </c>
      <c r="L13" s="27">
        <f>'11 - 2019'!I18-'11 - 2019'!I17</f>
        <v>150</v>
      </c>
      <c r="M13" s="26">
        <v>4.393629424766913</v>
      </c>
      <c r="N13" s="6">
        <v>60</v>
      </c>
    </row>
    <row r="14" spans="1:15" x14ac:dyDescent="0.25">
      <c r="A14" t="s">
        <v>28</v>
      </c>
      <c r="B14">
        <f t="shared" si="0"/>
        <v>13</v>
      </c>
      <c r="C14" s="25">
        <v>11</v>
      </c>
      <c r="D14">
        <v>2019</v>
      </c>
      <c r="E14" s="27">
        <f>'11 - 2019'!B19-'11 - 2019'!B18+'11 - 2019'!C19-'11 - 2019'!C18</f>
        <v>9796</v>
      </c>
      <c r="F14" s="25">
        <v>0.11799999999999999</v>
      </c>
      <c r="G14" s="27">
        <f>(('11 - 2019'!E19-'11 - 2019'!E18)+('11 - 2019'!F19-'11 - 2019'!F18)+('11 - 2019'!G19-'11 - 2019'!G18))*1.81</f>
        <v>126.73620000000162</v>
      </c>
      <c r="H14" s="25">
        <v>0.99</v>
      </c>
      <c r="I14" s="27">
        <f>'11 - 2019'!J19-'11 - 2019'!J18</f>
        <v>18578</v>
      </c>
      <c r="J14" s="25">
        <v>8.1000000000000003E-2</v>
      </c>
      <c r="K14" s="27">
        <f>'11 - 2019'!H19-'11 - 2019'!H18</f>
        <v>0</v>
      </c>
      <c r="L14" s="27">
        <f>'11 - 2019'!I19-'11 - 2019'!I18</f>
        <v>112</v>
      </c>
      <c r="M14" s="26">
        <v>4.393629424766913</v>
      </c>
      <c r="N14" s="6">
        <v>77</v>
      </c>
    </row>
    <row r="15" spans="1:15" x14ac:dyDescent="0.25">
      <c r="A15" t="s">
        <v>28</v>
      </c>
      <c r="B15">
        <f t="shared" si="0"/>
        <v>14</v>
      </c>
      <c r="C15" s="25">
        <v>11</v>
      </c>
      <c r="D15">
        <v>2019</v>
      </c>
      <c r="E15" s="27">
        <f>'11 - 2019'!B20-'11 - 2019'!B19+'11 - 2019'!C20-'11 - 2019'!C19</f>
        <v>10079</v>
      </c>
      <c r="F15" s="25">
        <v>0.11799999999999999</v>
      </c>
      <c r="G15" s="27">
        <f>(('11 - 2019'!E20-'11 - 2019'!E19)+('11 - 2019'!F20-'11 - 2019'!F19)+('11 - 2019'!G20-'11 - 2019'!G19))*1.81</f>
        <v>125.43300000000198</v>
      </c>
      <c r="H15" s="25">
        <v>0.99</v>
      </c>
      <c r="I15" s="27">
        <f>'11 - 2019'!J20-'11 - 2019'!J19</f>
        <v>17315</v>
      </c>
      <c r="J15" s="25">
        <v>8.1000000000000003E-2</v>
      </c>
      <c r="K15" s="27">
        <f>'11 - 2019'!H20-'11 - 2019'!H19</f>
        <v>0</v>
      </c>
      <c r="L15" s="27">
        <f>'11 - 2019'!I20-'11 - 2019'!I19</f>
        <v>125</v>
      </c>
      <c r="M15" s="26">
        <v>4.393629424766913</v>
      </c>
      <c r="N15" s="6">
        <v>89</v>
      </c>
    </row>
    <row r="16" spans="1:15" x14ac:dyDescent="0.25">
      <c r="A16" t="s">
        <v>28</v>
      </c>
      <c r="B16">
        <f t="shared" si="0"/>
        <v>15</v>
      </c>
      <c r="C16" s="25">
        <v>11</v>
      </c>
      <c r="D16">
        <v>2019</v>
      </c>
      <c r="E16" s="27">
        <f>'11 - 2019'!B21-'11 - 2019'!B20+'11 - 2019'!C21-'11 - 2019'!C20</f>
        <v>10455</v>
      </c>
      <c r="F16" s="25">
        <v>0.11799999999999999</v>
      </c>
      <c r="G16" s="27">
        <f>(('11 - 2019'!E21-'11 - 2019'!E20)+('11 - 2019'!F21-'11 - 2019'!F20)+('11 - 2019'!G21-'11 - 2019'!G20))*1.81</f>
        <v>132.1842999999983</v>
      </c>
      <c r="H16" s="25">
        <v>0.99</v>
      </c>
      <c r="I16" s="27">
        <f>'11 - 2019'!J21-'11 - 2019'!J20</f>
        <v>15951</v>
      </c>
      <c r="J16" s="25">
        <v>8.1000000000000003E-2</v>
      </c>
      <c r="K16" s="27">
        <f>'11 - 2019'!H21-'11 - 2019'!H20</f>
        <v>0</v>
      </c>
      <c r="L16" s="27">
        <f>'11 - 2019'!I21-'11 - 2019'!I20</f>
        <v>112</v>
      </c>
      <c r="M16" s="26">
        <v>4.393629424766913</v>
      </c>
      <c r="N16" s="6">
        <v>82</v>
      </c>
    </row>
    <row r="17" spans="1:16" x14ac:dyDescent="0.25">
      <c r="A17" t="s">
        <v>28</v>
      </c>
      <c r="B17">
        <f t="shared" si="0"/>
        <v>16</v>
      </c>
      <c r="C17" s="25">
        <v>11</v>
      </c>
      <c r="D17">
        <v>2019</v>
      </c>
      <c r="E17" s="27">
        <f>'11 - 2019'!B22-'11 - 2019'!B21+'11 - 2019'!C22-'11 - 2019'!C21</f>
        <v>10033</v>
      </c>
      <c r="F17" s="25">
        <v>0.11799999999999999</v>
      </c>
      <c r="G17" s="27">
        <f>(('11 - 2019'!E22-'11 - 2019'!E21)+('11 - 2019'!F22-'11 - 2019'!F21)+('11 - 2019'!G22-'11 - 2019'!G21))*1.81</f>
        <v>125.52349999999819</v>
      </c>
      <c r="H17" s="25">
        <v>0.99</v>
      </c>
      <c r="I17" s="27">
        <f>'11 - 2019'!J22-'11 - 2019'!J21</f>
        <v>14198</v>
      </c>
      <c r="J17" s="25">
        <v>8.1000000000000003E-2</v>
      </c>
      <c r="K17" s="27">
        <f>'11 - 2019'!H22-'11 - 2019'!H21</f>
        <v>0</v>
      </c>
      <c r="L17" s="27">
        <f>'11 - 2019'!I22-'11 - 2019'!I21</f>
        <v>134</v>
      </c>
      <c r="M17" s="26">
        <v>4.393629424766913</v>
      </c>
      <c r="N17" s="27">
        <v>91</v>
      </c>
    </row>
    <row r="18" spans="1:16" x14ac:dyDescent="0.25">
      <c r="A18" t="s">
        <v>28</v>
      </c>
      <c r="B18">
        <f t="shared" si="0"/>
        <v>17</v>
      </c>
      <c r="C18" s="25">
        <v>11</v>
      </c>
      <c r="D18">
        <v>2019</v>
      </c>
      <c r="E18" s="27">
        <f>'11 - 2019'!B23-'11 - 2019'!B22+'11 - 2019'!C23-'11 - 2019'!C22</f>
        <v>10466</v>
      </c>
      <c r="F18" s="25">
        <v>0.11799999999999999</v>
      </c>
      <c r="G18" s="27">
        <f>(('11 - 2019'!E23-'11 - 2019'!E22)+('11 - 2019'!F23-'11 - 2019'!F22)+('11 - 2019'!G23-'11 - 2019'!G22))*1.81</f>
        <v>114.53680000000202</v>
      </c>
      <c r="H18" s="25">
        <v>0.99</v>
      </c>
      <c r="I18" s="27">
        <f>'11 - 2019'!J23-'11 - 2019'!J22</f>
        <v>17220</v>
      </c>
      <c r="J18" s="25">
        <v>8.1000000000000003E-2</v>
      </c>
      <c r="K18" s="27">
        <f>'11 - 2019'!H23-'11 - 2019'!H22</f>
        <v>0</v>
      </c>
      <c r="L18" s="27">
        <f>'11 - 2019'!I23-'11 - 2019'!I22</f>
        <v>119</v>
      </c>
      <c r="M18" s="26">
        <v>4.393629424766913</v>
      </c>
      <c r="N18" s="27">
        <v>93</v>
      </c>
    </row>
    <row r="19" spans="1:16" x14ac:dyDescent="0.25">
      <c r="A19" t="s">
        <v>28</v>
      </c>
      <c r="B19">
        <f>B18+1</f>
        <v>18</v>
      </c>
      <c r="C19" s="25">
        <v>11</v>
      </c>
      <c r="D19" s="25">
        <v>2019</v>
      </c>
      <c r="E19" s="27">
        <f>'11 - 2019'!B24-'11 - 2019'!B23+'11 - 2019'!C24-'11 - 2019'!C23</f>
        <v>10106</v>
      </c>
      <c r="F19" s="25">
        <v>0.11799999999999999</v>
      </c>
      <c r="G19" s="27">
        <f>(('11 - 2019'!E24-'11 - 2019'!E23)+('11 - 2019'!F24-'11 - 2019'!F23)+('11 - 2019'!G24-'11 - 2019'!G23))*1.81</f>
        <v>136.76359999999784</v>
      </c>
      <c r="H19" s="25">
        <v>0.99</v>
      </c>
      <c r="I19" s="27">
        <f>'11 - 2019'!J24-'11 - 2019'!J23</f>
        <v>16151</v>
      </c>
      <c r="J19" s="25">
        <v>8.1000000000000003E-2</v>
      </c>
      <c r="K19" s="27">
        <f>'11 - 2019'!H24-'11 - 2019'!H23</f>
        <v>0</v>
      </c>
      <c r="L19" s="27">
        <f>'11 - 2019'!I24-'11 - 2019'!I23</f>
        <v>89</v>
      </c>
      <c r="M19" s="26">
        <v>4.393629424766913</v>
      </c>
      <c r="N19" s="27">
        <v>87</v>
      </c>
    </row>
    <row r="20" spans="1:16" x14ac:dyDescent="0.25">
      <c r="A20" t="s">
        <v>28</v>
      </c>
      <c r="B20">
        <f t="shared" si="0"/>
        <v>19</v>
      </c>
      <c r="C20" s="25">
        <v>11</v>
      </c>
      <c r="D20">
        <v>2019</v>
      </c>
      <c r="E20" s="27">
        <f>'11 - 2019'!B25-'11 - 2019'!B24+'11 - 2019'!C25-'11 - 2019'!C24</f>
        <v>9898.7399999999907</v>
      </c>
      <c r="F20" s="25">
        <v>0.11799999999999999</v>
      </c>
      <c r="G20" s="27">
        <f>(('11 - 2019'!E25-'11 - 2019'!E24)+('11 - 2019'!F25-'11 - 2019'!F24)+('11 - 2019'!G25-'11 - 2019'!G24))*1.81</f>
        <v>123.17050000000033</v>
      </c>
      <c r="H20" s="25">
        <v>0.99</v>
      </c>
      <c r="I20" s="27">
        <f>'11 - 2019'!J25-'11 - 2019'!J24</f>
        <v>17777</v>
      </c>
      <c r="J20" s="25">
        <v>8.1000000000000003E-2</v>
      </c>
      <c r="K20" s="27">
        <f>'11 - 2019'!H25-'11 - 2019'!H24</f>
        <v>0</v>
      </c>
      <c r="L20" s="27">
        <f>'11 - 2019'!I25-'11 - 2019'!I24</f>
        <v>110</v>
      </c>
      <c r="M20" s="26">
        <v>4.393629424766913</v>
      </c>
      <c r="N20" s="27">
        <v>102</v>
      </c>
    </row>
    <row r="21" spans="1:16" x14ac:dyDescent="0.25">
      <c r="A21" t="s">
        <v>28</v>
      </c>
      <c r="B21">
        <f t="shared" si="0"/>
        <v>20</v>
      </c>
      <c r="C21" s="25">
        <v>11</v>
      </c>
      <c r="D21" s="25">
        <v>2019</v>
      </c>
      <c r="E21" s="27">
        <f>'11 - 2019'!B26-'11 - 2019'!B25+'11 - 2019'!C26-'11 - 2019'!C25</f>
        <v>9271.4599999999627</v>
      </c>
      <c r="F21" s="25">
        <v>0.11799999999999999</v>
      </c>
      <c r="G21" s="27">
        <f>(('11 - 2019'!E26-'11 - 2019'!E25)+('11 - 2019'!F26-'11 - 2019'!F25)+('11 - 2019'!G26-'11 - 2019'!G25))*1.81</f>
        <v>116.364900000002</v>
      </c>
      <c r="H21" s="25">
        <v>0.99</v>
      </c>
      <c r="I21" s="27">
        <f>'11 - 2019'!J26-'11 - 2019'!J25</f>
        <v>18547</v>
      </c>
      <c r="J21" s="25">
        <v>8.1000000000000003E-2</v>
      </c>
      <c r="K21" s="27">
        <f>'11 - 2019'!H26-'11 - 2019'!H25</f>
        <v>0</v>
      </c>
      <c r="L21" s="27">
        <f>'11 - 2019'!I26-'11 - 2019'!I25</f>
        <v>109</v>
      </c>
      <c r="M21" s="26">
        <v>4.393629424766913</v>
      </c>
      <c r="N21" s="6">
        <v>100</v>
      </c>
    </row>
    <row r="22" spans="1:16" x14ac:dyDescent="0.25">
      <c r="A22" t="s">
        <v>28</v>
      </c>
      <c r="B22">
        <f t="shared" si="0"/>
        <v>21</v>
      </c>
      <c r="C22" s="25">
        <v>11</v>
      </c>
      <c r="D22" s="25">
        <v>2019</v>
      </c>
      <c r="E22" s="27">
        <f>'11 - 2019'!B27-'11 - 2019'!B26+'11 - 2019'!C27-'11 - 2019'!C26</f>
        <v>10050.20000000007</v>
      </c>
      <c r="F22" s="25">
        <v>0.11799999999999999</v>
      </c>
      <c r="G22" s="27">
        <f>(('11 - 2019'!E27-'11 - 2019'!E26)+('11 - 2019'!F27-'11 - 2019'!F26)+('11 - 2019'!G27-'11 - 2019'!G26))*1.81</f>
        <v>72.074199999999891</v>
      </c>
      <c r="H22" s="25">
        <v>0.99</v>
      </c>
      <c r="I22" s="27">
        <f>'11 - 2019'!J27-'11 - 2019'!J26</f>
        <v>16707</v>
      </c>
      <c r="J22" s="25">
        <v>8.1000000000000003E-2</v>
      </c>
      <c r="K22" s="27">
        <f>'11 - 2019'!H27-'11 - 2019'!H26</f>
        <v>0</v>
      </c>
      <c r="L22" s="27">
        <f>'11 - 2019'!I27-'11 - 2019'!I26</f>
        <v>120</v>
      </c>
      <c r="M22" s="26">
        <v>4.393629424766913</v>
      </c>
      <c r="N22" s="6">
        <v>99</v>
      </c>
    </row>
    <row r="23" spans="1:16" x14ac:dyDescent="0.25">
      <c r="A23" t="s">
        <v>28</v>
      </c>
      <c r="B23">
        <f t="shared" si="0"/>
        <v>22</v>
      </c>
      <c r="C23" s="25">
        <v>11</v>
      </c>
      <c r="D23" s="25">
        <v>2019</v>
      </c>
      <c r="E23" s="27">
        <f>'11 - 2019'!B28-'11 - 2019'!B27+'11 - 2019'!C28-'11 - 2019'!C27</f>
        <v>10169.29999999993</v>
      </c>
      <c r="F23" s="25">
        <v>0.11799999999999999</v>
      </c>
      <c r="G23" s="27">
        <f>(('11 - 2019'!E28-'11 - 2019'!E27)+('11 - 2019'!F28-'11 - 2019'!F27)+('11 - 2019'!G28-'11 - 2019'!G27))*1.81</f>
        <v>197.81490000000076</v>
      </c>
      <c r="H23" s="25">
        <v>0.99</v>
      </c>
      <c r="I23" s="27">
        <f>'11 - 2019'!J28-'11 - 2019'!J27</f>
        <v>17989</v>
      </c>
      <c r="J23" s="25">
        <v>8.1000000000000003E-2</v>
      </c>
      <c r="K23" s="27">
        <f>'11 - 2019'!H28-'11 - 2019'!H27</f>
        <v>0</v>
      </c>
      <c r="L23" s="27">
        <f>'11 - 2019'!I28-'11 - 2019'!I27</f>
        <v>154</v>
      </c>
      <c r="M23" s="26">
        <v>4.393629424766913</v>
      </c>
      <c r="N23" s="6">
        <v>100</v>
      </c>
    </row>
    <row r="24" spans="1:16" x14ac:dyDescent="0.25">
      <c r="A24" t="s">
        <v>28</v>
      </c>
      <c r="B24">
        <f t="shared" si="0"/>
        <v>23</v>
      </c>
      <c r="C24" s="25">
        <v>11</v>
      </c>
      <c r="D24" s="25">
        <v>2019</v>
      </c>
      <c r="E24" s="27">
        <f>'11 - 2019'!B29-'11 - 2019'!B28+'11 - 2019'!C29-'11 - 2019'!C28</f>
        <v>10290.100000000093</v>
      </c>
      <c r="F24" s="25">
        <v>0.11799999999999999</v>
      </c>
      <c r="G24" s="27">
        <f>(('11 - 2019'!E29-'11 - 2019'!E28)+('11 - 2019'!F29-'11 - 2019'!F28)+('11 - 2019'!G29-'11 - 2019'!G28))*1.81</f>
        <v>132.36529999999937</v>
      </c>
      <c r="H24" s="25">
        <v>0.99</v>
      </c>
      <c r="I24" s="27">
        <f>'11 - 2019'!J29-'11 - 2019'!J28</f>
        <v>12216</v>
      </c>
      <c r="J24" s="25">
        <v>8.1000000000000003E-2</v>
      </c>
      <c r="K24" s="27">
        <f>'11 - 2019'!H29-'11 - 2019'!H28</f>
        <v>0</v>
      </c>
      <c r="L24" s="27">
        <f>'11 - 2019'!I29-'11 - 2019'!I28</f>
        <v>116</v>
      </c>
      <c r="M24" s="26">
        <v>4.393629424766913</v>
      </c>
      <c r="N24" s="6">
        <v>64</v>
      </c>
    </row>
    <row r="25" spans="1:16" x14ac:dyDescent="0.25">
      <c r="A25" t="s">
        <v>28</v>
      </c>
      <c r="B25">
        <f t="shared" si="0"/>
        <v>24</v>
      </c>
      <c r="C25" s="25">
        <v>11</v>
      </c>
      <c r="D25" s="25">
        <v>2019</v>
      </c>
      <c r="E25" s="27">
        <f>'11 - 2019'!B30-'11 - 2019'!B29+'11 - 2019'!C30-'11 - 2019'!C29</f>
        <v>11036.79999999993</v>
      </c>
      <c r="F25" s="25">
        <v>0.11799999999999999</v>
      </c>
      <c r="G25" s="27">
        <f>(('11 - 2019'!E30-'11 - 2019'!E29)+('11 - 2019'!F30-'11 - 2019'!F29)+('11 - 2019'!G30-'11 - 2019'!G29))*1.81</f>
        <v>143.76830000000135</v>
      </c>
      <c r="H25" s="25">
        <v>0.99</v>
      </c>
      <c r="I25" s="27">
        <f>'11 - 2019'!J30-'11 - 2019'!J29</f>
        <v>15410</v>
      </c>
      <c r="J25" s="25">
        <v>8.1000000000000003E-2</v>
      </c>
      <c r="K25" s="27">
        <f>'11 - 2019'!H30-'11 - 2019'!H29</f>
        <v>0</v>
      </c>
      <c r="L25" s="27">
        <f>'11 - 2019'!I30-'11 - 2019'!I29</f>
        <v>104</v>
      </c>
      <c r="M25" s="26">
        <v>4.393629424766913</v>
      </c>
      <c r="N25" s="6">
        <v>64</v>
      </c>
      <c r="P25" s="14"/>
    </row>
    <row r="26" spans="1:16" x14ac:dyDescent="0.25">
      <c r="A26" t="s">
        <v>28</v>
      </c>
      <c r="B26">
        <f>B25+1</f>
        <v>25</v>
      </c>
      <c r="C26" s="25">
        <v>11</v>
      </c>
      <c r="D26" s="25">
        <v>2019</v>
      </c>
      <c r="E26" s="27">
        <f>'11 - 2019'!B31-'11 - 2019'!B30+'11 - 2019'!C31-'11 - 2019'!C30</f>
        <v>8724.9000000000233</v>
      </c>
      <c r="F26" s="25">
        <v>0.11799999999999999</v>
      </c>
      <c r="G26" s="27">
        <f>(('11 - 2019'!E31-'11 - 2019'!E30)+('11 - 2019'!F31-'11 - 2019'!F30)+('11 - 2019'!G31-'11 - 2019'!G30))*1.81</f>
        <v>97.66759999999924</v>
      </c>
      <c r="H26" s="25">
        <v>0.99</v>
      </c>
      <c r="I26" s="27">
        <f>'11 - 2019'!J31-'11 - 2019'!J30</f>
        <v>12667</v>
      </c>
      <c r="J26" s="25">
        <v>8.1000000000000003E-2</v>
      </c>
      <c r="K26" s="27">
        <f>'11 - 2019'!H31-'11 - 2019'!H30</f>
        <v>0</v>
      </c>
      <c r="L26" s="27">
        <f>'11 - 2019'!I31-'11 - 2019'!I30</f>
        <v>94</v>
      </c>
      <c r="M26" s="26">
        <v>4.393629424766913</v>
      </c>
      <c r="N26" s="6">
        <v>82</v>
      </c>
    </row>
    <row r="27" spans="1:16" x14ac:dyDescent="0.25">
      <c r="A27" t="s">
        <v>28</v>
      </c>
      <c r="B27">
        <f t="shared" si="0"/>
        <v>26</v>
      </c>
      <c r="C27" s="25">
        <v>11</v>
      </c>
      <c r="D27" s="25">
        <v>2019</v>
      </c>
      <c r="E27" s="27">
        <f>'11 - 2019'!B32-'11 - 2019'!B31+'11 - 2019'!C32-'11 - 2019'!C31</f>
        <v>9584.3999999999069</v>
      </c>
      <c r="F27" s="25">
        <v>0.11799999999999999</v>
      </c>
      <c r="G27" s="27">
        <f>(('11 - 2019'!E32-'11 - 2019'!E31)+('11 - 2019'!F32-'11 - 2019'!F31)+('11 - 2019'!G32-'11 - 2019'!G31))*1.81</f>
        <v>123.84019999999725</v>
      </c>
      <c r="H27" s="25">
        <v>0.99</v>
      </c>
      <c r="I27" s="27">
        <f>'11 - 2019'!J32-'11 - 2019'!J31</f>
        <v>13873</v>
      </c>
      <c r="J27" s="25">
        <v>8.1000000000000003E-2</v>
      </c>
      <c r="K27" s="27">
        <f>'11 - 2019'!H32-'11 - 2019'!H31</f>
        <v>0</v>
      </c>
      <c r="L27" s="27">
        <f>'11 - 2019'!I32-'11 - 2019'!I31</f>
        <v>93</v>
      </c>
      <c r="M27" s="26">
        <v>4.393629424766913</v>
      </c>
      <c r="N27" s="6">
        <v>92</v>
      </c>
    </row>
    <row r="28" spans="1:16" x14ac:dyDescent="0.25">
      <c r="A28" t="s">
        <v>28</v>
      </c>
      <c r="B28">
        <f t="shared" si="0"/>
        <v>27</v>
      </c>
      <c r="C28" s="25">
        <v>11</v>
      </c>
      <c r="D28" s="25">
        <v>2019</v>
      </c>
      <c r="E28" s="27">
        <f>'11 - 2019'!B33-'11 - 2019'!B32+'11 - 2019'!C33-'11 - 2019'!C32</f>
        <v>9796.0999999999767</v>
      </c>
      <c r="F28" s="25">
        <v>0.11799999999999999</v>
      </c>
      <c r="G28" s="27">
        <f>(('11 - 2019'!E33-'11 - 2019'!E32)+('11 - 2019'!F33-'11 - 2019'!F32)+('11 - 2019'!G33-'11 - 2019'!G32))*1.81</f>
        <v>130.88110000000236</v>
      </c>
      <c r="H28" s="25">
        <v>0.99</v>
      </c>
      <c r="I28" s="27">
        <f>'11 - 2019'!J33-'11 - 2019'!J32</f>
        <v>15500</v>
      </c>
      <c r="J28" s="25">
        <v>8.1000000000000003E-2</v>
      </c>
      <c r="K28" s="27">
        <f>'11 - 2019'!H33-'11 - 2019'!H32</f>
        <v>0</v>
      </c>
      <c r="L28" s="27">
        <f>'11 - 2019'!I33-'11 - 2019'!I32</f>
        <v>145</v>
      </c>
      <c r="M28" s="26">
        <v>4.393629424766913</v>
      </c>
      <c r="N28" s="6">
        <v>85</v>
      </c>
    </row>
    <row r="29" spans="1:16" x14ac:dyDescent="0.25">
      <c r="A29" t="s">
        <v>28</v>
      </c>
      <c r="B29">
        <f t="shared" si="0"/>
        <v>28</v>
      </c>
      <c r="C29" s="25">
        <v>11</v>
      </c>
      <c r="D29" s="25">
        <v>2019</v>
      </c>
      <c r="E29" s="27">
        <f>'11 - 2019'!B34-'11 - 2019'!B33+'11 - 2019'!C34-'11 - 2019'!C33</f>
        <v>9967.1000000000931</v>
      </c>
      <c r="F29" s="25">
        <v>0.11799999999999999</v>
      </c>
      <c r="G29" s="27">
        <f>(('11 - 2019'!E34-'11 - 2019'!E33)+('11 - 2019'!F34-'11 - 2019'!F33)+('11 - 2019'!G34-'11 - 2019'!G33))*1.81</f>
        <v>169.39789999999985</v>
      </c>
      <c r="H29" s="25">
        <v>0.99</v>
      </c>
      <c r="I29" s="27">
        <f>'11 - 2019'!J34-'11 - 2019'!J33</f>
        <v>15353</v>
      </c>
      <c r="J29" s="25">
        <v>8.1000000000000003E-2</v>
      </c>
      <c r="K29" s="27">
        <f>'11 - 2019'!H34-'11 - 2019'!H33</f>
        <v>0</v>
      </c>
      <c r="L29" s="27">
        <f>'11 - 2019'!I34-'11 - 2019'!I33</f>
        <v>115</v>
      </c>
      <c r="M29" s="26">
        <v>4.393629424766913</v>
      </c>
      <c r="N29" s="6">
        <v>86</v>
      </c>
    </row>
    <row r="30" spans="1:16" x14ac:dyDescent="0.25">
      <c r="A30" t="s">
        <v>28</v>
      </c>
      <c r="B30">
        <f t="shared" si="0"/>
        <v>29</v>
      </c>
      <c r="C30" s="25">
        <v>11</v>
      </c>
      <c r="D30" s="25">
        <v>2019</v>
      </c>
      <c r="E30" s="27">
        <v>0</v>
      </c>
      <c r="F30" s="25">
        <v>0.11799999999999999</v>
      </c>
      <c r="G30" s="27">
        <v>0</v>
      </c>
      <c r="H30" s="25">
        <v>0.99</v>
      </c>
      <c r="I30" s="27">
        <v>0</v>
      </c>
      <c r="J30" s="25">
        <v>8.1000000000000003E-2</v>
      </c>
      <c r="K30" s="27">
        <v>0</v>
      </c>
      <c r="L30" s="27">
        <v>0</v>
      </c>
      <c r="M30" s="26">
        <v>4.393629424766913</v>
      </c>
      <c r="N30" s="6"/>
    </row>
    <row r="31" spans="1:16" x14ac:dyDescent="0.25">
      <c r="A31" t="s">
        <v>28</v>
      </c>
      <c r="B31">
        <f t="shared" si="0"/>
        <v>30</v>
      </c>
      <c r="C31" s="25">
        <v>11</v>
      </c>
      <c r="D31">
        <v>2019</v>
      </c>
      <c r="E31" s="27">
        <f>'11 - 2019'!B36-'11 - 2019'!B35+'11 - 2019'!C36-'11 - 2019'!C35</f>
        <v>0</v>
      </c>
      <c r="F31" s="25">
        <v>0.11799999999999999</v>
      </c>
      <c r="G31" s="27">
        <f>(('11 - 2019'!E36-'11 - 2019'!E35)+('11 - 2019'!F36-'11 - 2019'!F35)+('11 - 2019'!G36-'11 - 2019'!G35))*1.81</f>
        <v>0</v>
      </c>
      <c r="H31" s="25">
        <v>0.99</v>
      </c>
      <c r="I31" s="27">
        <f>'11 - 2019'!J36-'11 - 2019'!J35</f>
        <v>0</v>
      </c>
      <c r="J31" s="25">
        <v>8.1000000000000003E-2</v>
      </c>
      <c r="K31" s="27">
        <f>'11 - 2019'!H36-'11 - 2019'!H35</f>
        <v>0</v>
      </c>
      <c r="L31" s="27">
        <f>'11 - 2019'!I36-'11 - 2019'!I35</f>
        <v>0</v>
      </c>
      <c r="M31" s="26">
        <v>4.393629424766913</v>
      </c>
      <c r="N31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G21" sqref="G2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10</v>
      </c>
      <c r="B1" s="9" t="s">
        <v>11</v>
      </c>
      <c r="C1" s="9" t="s">
        <v>12</v>
      </c>
      <c r="D1" s="9" t="s">
        <v>13</v>
      </c>
      <c r="E1" s="10" t="s">
        <v>23</v>
      </c>
      <c r="F1" s="10" t="s">
        <v>24</v>
      </c>
      <c r="G1" s="11" t="s">
        <v>15</v>
      </c>
      <c r="H1" s="10" t="s">
        <v>25</v>
      </c>
      <c r="I1" s="10" t="s">
        <v>26</v>
      </c>
      <c r="J1" s="10" t="s">
        <v>27</v>
      </c>
      <c r="K1" s="11" t="s">
        <v>17</v>
      </c>
      <c r="L1" s="11" t="s">
        <v>22</v>
      </c>
      <c r="M1" s="11"/>
    </row>
    <row r="2" spans="1:13" x14ac:dyDescent="0.25">
      <c r="A2" t="s">
        <v>28</v>
      </c>
      <c r="B2">
        <v>1</v>
      </c>
      <c r="C2">
        <v>11</v>
      </c>
      <c r="D2">
        <v>2019</v>
      </c>
      <c r="E2" s="6">
        <f>'11 - 2019'!B7-'11 - 2019'!B6</f>
        <v>3616</v>
      </c>
      <c r="F2" s="6">
        <f>'11 - 2019'!C7-'11 - 2019'!C6</f>
        <v>6407</v>
      </c>
      <c r="G2">
        <v>0.11799999999999999</v>
      </c>
      <c r="H2" s="6">
        <f>'11 - 2019'!E7-'11 - 2019'!E6</f>
        <v>23.520000000000437</v>
      </c>
      <c r="I2" s="6">
        <f>'11 - 2019'!F7-'11 - 2019'!F6</f>
        <v>5.1099999999999</v>
      </c>
      <c r="J2" s="6">
        <f>'11 - 2019'!G7-'11 - 2019'!G6</f>
        <v>43.779999999998836</v>
      </c>
      <c r="K2">
        <v>0.74</v>
      </c>
      <c r="L2" s="6">
        <v>96</v>
      </c>
      <c r="M2" s="12"/>
    </row>
    <row r="3" spans="1:13" x14ac:dyDescent="0.25">
      <c r="A3" t="s">
        <v>28</v>
      </c>
      <c r="B3">
        <f>B2+1</f>
        <v>2</v>
      </c>
      <c r="C3" s="25">
        <v>11</v>
      </c>
      <c r="D3">
        <v>2019</v>
      </c>
      <c r="E3" s="27">
        <f>'11 - 2019'!B8-'11 - 2019'!B7</f>
        <v>3351</v>
      </c>
      <c r="F3" s="27">
        <f>'11 - 2019'!C8-'11 - 2019'!C7</f>
        <v>6159</v>
      </c>
      <c r="G3" s="25">
        <v>0.11799999999999999</v>
      </c>
      <c r="H3" s="27">
        <f>'11 - 2019'!E8-'11 - 2019'!E7</f>
        <v>29.1299999999992</v>
      </c>
      <c r="I3" s="27">
        <f>'11 - 2019'!F8-'11 - 2019'!F7</f>
        <v>6</v>
      </c>
      <c r="J3" s="27">
        <f>'11 - 2019'!G8-'11 - 2019'!G7</f>
        <v>33.980000000001382</v>
      </c>
      <c r="K3" s="25">
        <v>0.74</v>
      </c>
      <c r="L3" s="6">
        <v>89</v>
      </c>
      <c r="M3" s="12"/>
    </row>
    <row r="4" spans="1:13" x14ac:dyDescent="0.25">
      <c r="A4" t="s">
        <v>28</v>
      </c>
      <c r="B4">
        <f t="shared" ref="B4:B31" si="0">B3+1</f>
        <v>3</v>
      </c>
      <c r="C4" s="25">
        <v>11</v>
      </c>
      <c r="D4">
        <v>2019</v>
      </c>
      <c r="E4" s="27">
        <f>'11 - 2019'!B9-'11 - 2019'!B8</f>
        <v>3684</v>
      </c>
      <c r="F4" s="27">
        <f>'11 - 2019'!C9-'11 - 2019'!C8</f>
        <v>6277</v>
      </c>
      <c r="G4" s="25">
        <v>0.11799999999999999</v>
      </c>
      <c r="H4" s="27">
        <f>'11 - 2019'!E9-'11 - 2019'!E8</f>
        <v>21.350000000000364</v>
      </c>
      <c r="I4" s="27">
        <f>'11 - 2019'!F9-'11 - 2019'!F8</f>
        <v>6</v>
      </c>
      <c r="J4" s="27">
        <f>'11 - 2019'!G9-'11 - 2019'!G8</f>
        <v>37.949999999998909</v>
      </c>
      <c r="K4" s="25">
        <v>0.74</v>
      </c>
      <c r="L4" s="6">
        <v>86</v>
      </c>
      <c r="M4" s="12"/>
    </row>
    <row r="5" spans="1:13" x14ac:dyDescent="0.25">
      <c r="A5" t="s">
        <v>28</v>
      </c>
      <c r="B5">
        <f t="shared" si="0"/>
        <v>4</v>
      </c>
      <c r="C5" s="25">
        <v>11</v>
      </c>
      <c r="D5">
        <v>2019</v>
      </c>
      <c r="E5" s="27">
        <f>'11 - 2019'!B10-'11 - 2019'!B9</f>
        <v>3667</v>
      </c>
      <c r="F5" s="27">
        <f>'11 - 2019'!C10-'11 - 2019'!C9</f>
        <v>6396</v>
      </c>
      <c r="G5" s="25">
        <v>0.11799999999999999</v>
      </c>
      <c r="H5" s="27">
        <f>'11 - 2019'!E10-'11 - 2019'!E9</f>
        <v>25.3100000000004</v>
      </c>
      <c r="I5" s="27">
        <f>'11 - 2019'!F10-'11 - 2019'!F9</f>
        <v>4.4900000000000091</v>
      </c>
      <c r="J5" s="27">
        <f>'11 - 2019'!G10-'11 - 2019'!G9</f>
        <v>35.680000000000291</v>
      </c>
      <c r="K5" s="25">
        <v>0.74</v>
      </c>
      <c r="L5" s="6">
        <v>84</v>
      </c>
      <c r="M5" s="12"/>
    </row>
    <row r="6" spans="1:13" x14ac:dyDescent="0.25">
      <c r="A6" t="s">
        <v>28</v>
      </c>
      <c r="B6">
        <f t="shared" si="0"/>
        <v>5</v>
      </c>
      <c r="C6" s="25">
        <v>11</v>
      </c>
      <c r="D6">
        <v>2019</v>
      </c>
      <c r="E6" s="27">
        <f>'11 - 2019'!B11-'11 - 2019'!B10</f>
        <v>3470</v>
      </c>
      <c r="F6" s="27">
        <f>'11 - 2019'!C11-'11 - 2019'!C10</f>
        <v>6006</v>
      </c>
      <c r="G6" s="25">
        <v>0.11799999999999999</v>
      </c>
      <c r="H6" s="27">
        <f>'11 - 2019'!E11-'11 - 2019'!E10</f>
        <v>23.75</v>
      </c>
      <c r="I6" s="27">
        <f>'11 - 2019'!F11-'11 - 2019'!F10</f>
        <v>5.2999999999999545</v>
      </c>
      <c r="J6" s="27">
        <f>'11 - 2019'!G11-'11 - 2019'!G10</f>
        <v>35.300000000001091</v>
      </c>
      <c r="K6" s="25">
        <v>0.74</v>
      </c>
      <c r="L6" s="15">
        <v>87</v>
      </c>
      <c r="M6" s="13"/>
    </row>
    <row r="7" spans="1:13" x14ac:dyDescent="0.25">
      <c r="A7" t="s">
        <v>28</v>
      </c>
      <c r="B7">
        <f t="shared" si="0"/>
        <v>6</v>
      </c>
      <c r="C7" s="25">
        <v>11</v>
      </c>
      <c r="D7">
        <v>2019</v>
      </c>
      <c r="E7" s="27">
        <f>'11 - 2019'!B12-'11 - 2019'!B11</f>
        <v>3587</v>
      </c>
      <c r="F7" s="27">
        <f>'11 - 2019'!C12-'11 - 2019'!C11</f>
        <v>6380</v>
      </c>
      <c r="G7" s="25">
        <v>0.11799999999999999</v>
      </c>
      <c r="H7" s="27">
        <f>'11 - 2019'!E12-'11 - 2019'!E11</f>
        <v>22.369999999999891</v>
      </c>
      <c r="I7" s="27">
        <f>'11 - 2019'!F12-'11 - 2019'!F11</f>
        <v>4.3900000000001</v>
      </c>
      <c r="J7" s="27">
        <f>'11 - 2019'!G12-'11 - 2019'!G11</f>
        <v>36.729999999999563</v>
      </c>
      <c r="K7" s="25">
        <v>0.74</v>
      </c>
      <c r="L7" s="6">
        <v>88</v>
      </c>
      <c r="M7" s="13"/>
    </row>
    <row r="8" spans="1:13" x14ac:dyDescent="0.25">
      <c r="A8" t="s">
        <v>28</v>
      </c>
      <c r="B8">
        <f t="shared" si="0"/>
        <v>7</v>
      </c>
      <c r="C8" s="25">
        <v>11</v>
      </c>
      <c r="D8">
        <v>2019</v>
      </c>
      <c r="E8" s="27">
        <f>'11 - 2019'!B13-'11 - 2019'!B12</f>
        <v>3508</v>
      </c>
      <c r="F8" s="27">
        <f>'11 - 2019'!C13-'11 - 2019'!C12</f>
        <v>6183</v>
      </c>
      <c r="G8" s="25">
        <v>0.11799999999999999</v>
      </c>
      <c r="H8" s="27">
        <f>'11 - 2019'!E13-'11 - 2019'!E12</f>
        <v>20.079999999999927</v>
      </c>
      <c r="I8" s="27">
        <f>'11 - 2019'!F13-'11 - 2019'!F12</f>
        <v>6.2200000000000273</v>
      </c>
      <c r="J8" s="27">
        <f>'11 - 2019'!G13-'11 - 2019'!G12</f>
        <v>35.649999999999636</v>
      </c>
      <c r="K8" s="25">
        <v>0.74</v>
      </c>
      <c r="L8" s="6">
        <v>84</v>
      </c>
      <c r="M8" s="13"/>
    </row>
    <row r="9" spans="1:13" x14ac:dyDescent="0.25">
      <c r="A9" t="s">
        <v>28</v>
      </c>
      <c r="B9">
        <f t="shared" si="0"/>
        <v>8</v>
      </c>
      <c r="C9" s="25">
        <v>11</v>
      </c>
      <c r="D9">
        <v>2019</v>
      </c>
      <c r="E9" s="27">
        <f>'11 - 2019'!B14-'11 - 2019'!B13</f>
        <v>3659</v>
      </c>
      <c r="F9" s="27">
        <f>'11 - 2019'!C14-'11 - 2019'!C13</f>
        <v>6424</v>
      </c>
      <c r="G9" s="25">
        <v>0.11799999999999999</v>
      </c>
      <c r="H9" s="27">
        <f>'11 - 2019'!E14-'11 - 2019'!E13</f>
        <v>24.479999999999563</v>
      </c>
      <c r="I9" s="27">
        <f>'11 - 2019'!F14-'11 - 2019'!F13</f>
        <v>5.8199999999999363</v>
      </c>
      <c r="J9" s="27">
        <f>'11 - 2019'!G14-'11 - 2019'!G13</f>
        <v>40.770000000000437</v>
      </c>
      <c r="K9" s="25">
        <v>0.74</v>
      </c>
      <c r="L9" s="6">
        <v>79</v>
      </c>
      <c r="M9" s="13"/>
    </row>
    <row r="10" spans="1:13" x14ac:dyDescent="0.25">
      <c r="A10" t="s">
        <v>28</v>
      </c>
      <c r="B10">
        <f t="shared" si="0"/>
        <v>9</v>
      </c>
      <c r="C10" s="25">
        <v>11</v>
      </c>
      <c r="D10">
        <v>2019</v>
      </c>
      <c r="E10" s="27">
        <f>'11 - 2019'!B15-'11 - 2019'!B14</f>
        <v>3587</v>
      </c>
      <c r="F10" s="27">
        <f>'11 - 2019'!C15-'11 - 2019'!C14</f>
        <v>6361</v>
      </c>
      <c r="G10" s="25">
        <v>0.11799999999999999</v>
      </c>
      <c r="H10" s="27">
        <f>'11 - 2019'!E15-'11 - 2019'!E14</f>
        <v>25.5</v>
      </c>
      <c r="I10" s="27">
        <f>'11 - 2019'!F15-'11 - 2019'!F14</f>
        <v>5.5999999999999091</v>
      </c>
      <c r="J10" s="27">
        <f>'11 - 2019'!G15-'11 - 2019'!G14</f>
        <v>39.209999999999127</v>
      </c>
      <c r="K10" s="25">
        <v>0.74</v>
      </c>
      <c r="L10" s="27">
        <v>73</v>
      </c>
      <c r="M10" s="13"/>
    </row>
    <row r="11" spans="1:13" x14ac:dyDescent="0.25">
      <c r="A11" t="s">
        <v>28</v>
      </c>
      <c r="B11">
        <f t="shared" si="0"/>
        <v>10</v>
      </c>
      <c r="C11" s="25">
        <v>11</v>
      </c>
      <c r="D11">
        <v>2019</v>
      </c>
      <c r="E11" s="27">
        <f>'11 - 2019'!B16-'11 - 2019'!B15</f>
        <v>3607</v>
      </c>
      <c r="F11" s="27">
        <f>'11 - 2019'!C16-'11 - 2019'!C15</f>
        <v>6009</v>
      </c>
      <c r="G11" s="25">
        <v>0.11799999999999999</v>
      </c>
      <c r="H11" s="27">
        <f>'11 - 2019'!E16-'11 - 2019'!E15</f>
        <v>26.220000000000255</v>
      </c>
      <c r="I11" s="27">
        <f>'11 - 2019'!F16-'11 - 2019'!F15</f>
        <v>4.3600000000001273</v>
      </c>
      <c r="J11" s="27">
        <f>'11 - 2019'!G16-'11 - 2019'!G15</f>
        <v>38.5</v>
      </c>
      <c r="K11" s="25">
        <v>0.74</v>
      </c>
      <c r="L11" s="27">
        <v>78</v>
      </c>
      <c r="M11" s="13"/>
    </row>
    <row r="12" spans="1:13" x14ac:dyDescent="0.25">
      <c r="A12" t="s">
        <v>28</v>
      </c>
      <c r="B12">
        <f t="shared" si="0"/>
        <v>11</v>
      </c>
      <c r="C12" s="25">
        <v>11</v>
      </c>
      <c r="D12">
        <v>2019</v>
      </c>
      <c r="E12" s="27">
        <f>'11 - 2019'!B17-'11 - 2019'!B16</f>
        <v>3487</v>
      </c>
      <c r="F12" s="27">
        <f>'11 - 2019'!C17-'11 - 2019'!C16</f>
        <v>5675</v>
      </c>
      <c r="G12" s="25">
        <v>0.11799999999999999</v>
      </c>
      <c r="H12" s="27">
        <f>'11 - 2019'!E17-'11 - 2019'!E16</f>
        <v>27.199999999999818</v>
      </c>
      <c r="I12" s="27">
        <f>'11 - 2019'!F17-'11 - 2019'!F16</f>
        <v>6.6499999999998636</v>
      </c>
      <c r="J12" s="27">
        <f>'11 - 2019'!G17-'11 - 2019'!G16</f>
        <v>32.489999999999782</v>
      </c>
      <c r="K12" s="25">
        <v>0.74</v>
      </c>
      <c r="L12" s="27">
        <v>73</v>
      </c>
      <c r="M12" s="13"/>
    </row>
    <row r="13" spans="1:13" x14ac:dyDescent="0.25">
      <c r="A13" t="s">
        <v>28</v>
      </c>
      <c r="B13">
        <f t="shared" si="0"/>
        <v>12</v>
      </c>
      <c r="C13" s="25">
        <v>11</v>
      </c>
      <c r="D13">
        <v>2019</v>
      </c>
      <c r="E13" s="27">
        <f>'11 - 2019'!B18-'11 - 2019'!B17</f>
        <v>3974</v>
      </c>
      <c r="F13" s="27">
        <f>'11 - 2019'!C18-'11 - 2019'!C17</f>
        <v>6680</v>
      </c>
      <c r="G13" s="25">
        <v>0.11799999999999999</v>
      </c>
      <c r="H13" s="27">
        <f>'11 - 2019'!E18-'11 - 2019'!E17</f>
        <v>27.210000000000036</v>
      </c>
      <c r="I13" s="27">
        <f>'11 - 2019'!F18-'11 - 2019'!F17</f>
        <v>5.2699999999999818</v>
      </c>
      <c r="J13" s="27">
        <f>'11 - 2019'!G18-'11 - 2019'!G17</f>
        <v>35.659999999999854</v>
      </c>
      <c r="K13" s="25">
        <v>0.74</v>
      </c>
      <c r="L13" s="27">
        <v>60</v>
      </c>
      <c r="M13" s="13"/>
    </row>
    <row r="14" spans="1:13" x14ac:dyDescent="0.25">
      <c r="A14" t="s">
        <v>28</v>
      </c>
      <c r="B14">
        <f t="shared" si="0"/>
        <v>13</v>
      </c>
      <c r="C14" s="25">
        <v>11</v>
      </c>
      <c r="D14">
        <v>2019</v>
      </c>
      <c r="E14" s="27">
        <f>'11 - 2019'!B19-'11 - 2019'!B18</f>
        <v>3740</v>
      </c>
      <c r="F14" s="27">
        <f>'11 - 2019'!C19-'11 - 2019'!C18</f>
        <v>6056</v>
      </c>
      <c r="G14" s="25">
        <v>0.11799999999999999</v>
      </c>
      <c r="H14" s="27">
        <f>'11 - 2019'!E19-'11 - 2019'!E18</f>
        <v>25.920000000000073</v>
      </c>
      <c r="I14" s="27">
        <f>'11 - 2019'!F19-'11 - 2019'!F18</f>
        <v>4.9000000000000909</v>
      </c>
      <c r="J14" s="27">
        <f>'11 - 2019'!G19-'11 - 2019'!G18</f>
        <v>39.200000000000728</v>
      </c>
      <c r="K14" s="25">
        <v>0.74</v>
      </c>
      <c r="L14" s="6">
        <v>77</v>
      </c>
      <c r="M14" s="13"/>
    </row>
    <row r="15" spans="1:13" x14ac:dyDescent="0.25">
      <c r="A15" t="s">
        <v>28</v>
      </c>
      <c r="B15">
        <f t="shared" si="0"/>
        <v>14</v>
      </c>
      <c r="C15" s="25">
        <v>11</v>
      </c>
      <c r="D15">
        <v>2019</v>
      </c>
      <c r="E15" s="27">
        <f>'11 - 2019'!B20-'11 - 2019'!B19</f>
        <v>3844</v>
      </c>
      <c r="F15" s="27">
        <f>'11 - 2019'!C20-'11 - 2019'!C19</f>
        <v>6235</v>
      </c>
      <c r="G15" s="25">
        <v>0.11799999999999999</v>
      </c>
      <c r="H15" s="27">
        <f>'11 - 2019'!E20-'11 - 2019'!E19</f>
        <v>23.190000000000509</v>
      </c>
      <c r="I15" s="27">
        <f>'11 - 2019'!F20-'11 - 2019'!F19</f>
        <v>8.3299999999999272</v>
      </c>
      <c r="J15" s="27">
        <f>'11 - 2019'!G20-'11 - 2019'!G19</f>
        <v>37.780000000000655</v>
      </c>
      <c r="K15" s="25">
        <v>0.74</v>
      </c>
      <c r="L15" s="6">
        <v>89</v>
      </c>
      <c r="M15" s="13"/>
    </row>
    <row r="16" spans="1:13" x14ac:dyDescent="0.25">
      <c r="A16" t="s">
        <v>28</v>
      </c>
      <c r="B16">
        <f t="shared" si="0"/>
        <v>15</v>
      </c>
      <c r="C16" s="25">
        <v>11</v>
      </c>
      <c r="D16">
        <v>2019</v>
      </c>
      <c r="E16" s="27">
        <f>'11 - 2019'!B21-'11 - 2019'!B20</f>
        <v>3924</v>
      </c>
      <c r="F16" s="27">
        <f>'11 - 2019'!C21-'11 - 2019'!C20</f>
        <v>6531</v>
      </c>
      <c r="G16" s="25">
        <v>0.11799999999999999</v>
      </c>
      <c r="H16" s="27">
        <f>'11 - 2019'!E21-'11 - 2019'!E20</f>
        <v>26.899999999999636</v>
      </c>
      <c r="I16" s="27">
        <f>'11 - 2019'!F21-'11 - 2019'!F20</f>
        <v>5.9100000000000819</v>
      </c>
      <c r="J16" s="27">
        <f>'11 - 2019'!G21-'11 - 2019'!G20</f>
        <v>40.219999999999345</v>
      </c>
      <c r="K16" s="25">
        <v>0.74</v>
      </c>
      <c r="L16" s="27">
        <v>82</v>
      </c>
      <c r="M16" s="13"/>
    </row>
    <row r="17" spans="1:13" x14ac:dyDescent="0.25">
      <c r="A17" t="s">
        <v>28</v>
      </c>
      <c r="B17">
        <f t="shared" si="0"/>
        <v>16</v>
      </c>
      <c r="C17" s="25">
        <v>11</v>
      </c>
      <c r="D17">
        <v>2019</v>
      </c>
      <c r="E17" s="27">
        <f>'11 - 2019'!B22-'11 - 2019'!B21</f>
        <v>3744</v>
      </c>
      <c r="F17" s="27">
        <f>'11 - 2019'!C22-'11 - 2019'!C21</f>
        <v>6289</v>
      </c>
      <c r="G17" s="25">
        <v>0.11799999999999999</v>
      </c>
      <c r="H17" s="27">
        <f>'11 - 2019'!E22-'11 - 2019'!E21</f>
        <v>25.699999999999818</v>
      </c>
      <c r="I17" s="27">
        <f>'11 - 2019'!F22-'11 - 2019'!F21</f>
        <v>4.9400000000000546</v>
      </c>
      <c r="J17" s="27">
        <f>'11 - 2019'!G22-'11 - 2019'!G21</f>
        <v>38.709999999999127</v>
      </c>
      <c r="K17" s="25">
        <v>0.74</v>
      </c>
      <c r="L17" s="27">
        <v>91</v>
      </c>
      <c r="M17" s="13"/>
    </row>
    <row r="18" spans="1:13" x14ac:dyDescent="0.25">
      <c r="A18" t="s">
        <v>28</v>
      </c>
      <c r="B18">
        <f t="shared" si="0"/>
        <v>17</v>
      </c>
      <c r="C18" s="25">
        <v>11</v>
      </c>
      <c r="D18">
        <v>2019</v>
      </c>
      <c r="E18" s="27">
        <f>'11 - 2019'!B23-'11 - 2019'!B22</f>
        <v>3840</v>
      </c>
      <c r="F18" s="27">
        <f>'11 - 2019'!C23-'11 - 2019'!C22</f>
        <v>6626</v>
      </c>
      <c r="G18" s="25">
        <v>0.11799999999999999</v>
      </c>
      <c r="H18" s="27">
        <f>'11 - 2019'!E23-'11 - 2019'!E22</f>
        <v>25.079999999999927</v>
      </c>
      <c r="I18" s="27">
        <f>'11 - 2019'!F23-'11 - 2019'!F22</f>
        <v>5.7300000000000182</v>
      </c>
      <c r="J18" s="27">
        <f>'11 - 2019'!G23-'11 - 2019'!G22</f>
        <v>32.470000000001164</v>
      </c>
      <c r="K18" s="25">
        <v>0.74</v>
      </c>
      <c r="L18" s="27">
        <v>93</v>
      </c>
      <c r="M18" s="13"/>
    </row>
    <row r="19" spans="1:13" x14ac:dyDescent="0.25">
      <c r="A19" t="s">
        <v>28</v>
      </c>
      <c r="B19">
        <f>B18+1</f>
        <v>18</v>
      </c>
      <c r="C19" s="25">
        <v>11</v>
      </c>
      <c r="D19" s="25">
        <v>2019</v>
      </c>
      <c r="E19" s="27">
        <f>'11 - 2019'!B24-'11 - 2019'!B23</f>
        <v>3701</v>
      </c>
      <c r="F19" s="27">
        <f>'11 - 2019'!C24-'11 - 2019'!C23</f>
        <v>6405</v>
      </c>
      <c r="G19" s="25">
        <v>0.11799999999999999</v>
      </c>
      <c r="H19" s="27">
        <f>'11 - 2019'!E24-'11 - 2019'!E23</f>
        <v>26.199999999999818</v>
      </c>
      <c r="I19" s="27">
        <f>'11 - 2019'!F24-'11 - 2019'!F23</f>
        <v>6.7400000000000091</v>
      </c>
      <c r="J19" s="27">
        <f>'11 - 2019'!G24-'11 - 2019'!G23</f>
        <v>42.619999999998981</v>
      </c>
      <c r="K19" s="25">
        <v>0.74</v>
      </c>
      <c r="L19" s="6">
        <v>87</v>
      </c>
      <c r="M19" s="13"/>
    </row>
    <row r="20" spans="1:13" x14ac:dyDescent="0.25">
      <c r="A20" t="s">
        <v>28</v>
      </c>
      <c r="B20">
        <f t="shared" si="0"/>
        <v>19</v>
      </c>
      <c r="C20" s="25">
        <v>11</v>
      </c>
      <c r="D20" s="25">
        <v>2019</v>
      </c>
      <c r="E20" s="27">
        <f>'11 - 2019'!B25-'11 - 2019'!B24</f>
        <v>3737</v>
      </c>
      <c r="F20" s="27">
        <f>'11 - 2019'!C25-'11 - 2019'!C24</f>
        <v>6161.7399999999907</v>
      </c>
      <c r="G20" s="25">
        <v>0.11799999999999999</v>
      </c>
      <c r="H20" s="27">
        <f>'11 - 2019'!E25-'11 - 2019'!E24</f>
        <v>24.090000000000146</v>
      </c>
      <c r="I20" s="27">
        <f>'11 - 2019'!F25-'11 - 2019'!F24</f>
        <v>5.1999999999998181</v>
      </c>
      <c r="J20" s="27">
        <f>'11 - 2019'!G25-'11 - 2019'!G24</f>
        <v>38.760000000000218</v>
      </c>
      <c r="K20" s="25">
        <v>0.74</v>
      </c>
      <c r="L20" s="6">
        <v>102</v>
      </c>
      <c r="M20" s="13"/>
    </row>
    <row r="21" spans="1:13" x14ac:dyDescent="0.25">
      <c r="A21" t="s">
        <v>28</v>
      </c>
      <c r="B21">
        <f t="shared" si="0"/>
        <v>20</v>
      </c>
      <c r="C21" s="25">
        <v>11</v>
      </c>
      <c r="D21" s="25">
        <v>2019</v>
      </c>
      <c r="E21" s="27">
        <f>'11 - 2019'!B26-'11 - 2019'!B25</f>
        <v>3454</v>
      </c>
      <c r="F21" s="27">
        <f>'11 - 2019'!C26-'11 - 2019'!C25</f>
        <v>5817.4599999999627</v>
      </c>
      <c r="G21" s="25">
        <v>0.11799999999999999</v>
      </c>
      <c r="H21" s="27">
        <f>'11 - 2019'!E26-'11 - 2019'!E25</f>
        <v>24.840000000000146</v>
      </c>
      <c r="I21" s="27">
        <f>'11 - 2019'!F26-'11 - 2019'!F25</f>
        <v>5.2400000000000091</v>
      </c>
      <c r="J21" s="27">
        <f>'11 - 2019'!G26-'11 - 2019'!G25</f>
        <v>34.210000000000946</v>
      </c>
      <c r="K21" s="25">
        <v>0.74</v>
      </c>
      <c r="L21" s="6">
        <v>100</v>
      </c>
      <c r="M21" s="13"/>
    </row>
    <row r="22" spans="1:13" x14ac:dyDescent="0.25">
      <c r="A22" t="s">
        <v>28</v>
      </c>
      <c r="B22">
        <f t="shared" si="0"/>
        <v>21</v>
      </c>
      <c r="C22" s="25">
        <v>11</v>
      </c>
      <c r="D22" s="25">
        <v>2019</v>
      </c>
      <c r="E22" s="27">
        <f>'11 - 2019'!B27-'11 - 2019'!B26</f>
        <v>3797</v>
      </c>
      <c r="F22" s="27">
        <f>'11 - 2019'!C27-'11 - 2019'!C26</f>
        <v>6253.2000000000698</v>
      </c>
      <c r="G22" s="25">
        <v>0.11799999999999999</v>
      </c>
      <c r="H22" s="27">
        <f>'11 - 2019'!E27-'11 - 2019'!E26</f>
        <v>15.869999999999891</v>
      </c>
      <c r="I22" s="27">
        <f>'11 - 2019'!F27-'11 - 2019'!F26</f>
        <v>5.7000000000000455</v>
      </c>
      <c r="J22" s="27">
        <f>'11 - 2019'!G27-'11 - 2019'!G26</f>
        <v>18.25</v>
      </c>
      <c r="K22" s="25">
        <v>0.74</v>
      </c>
      <c r="L22" s="27">
        <v>99</v>
      </c>
      <c r="M22" s="13"/>
    </row>
    <row r="23" spans="1:13" x14ac:dyDescent="0.25">
      <c r="A23" t="s">
        <v>28</v>
      </c>
      <c r="B23">
        <f t="shared" si="0"/>
        <v>22</v>
      </c>
      <c r="C23" s="25">
        <v>11</v>
      </c>
      <c r="D23" s="25">
        <v>2019</v>
      </c>
      <c r="E23" s="27">
        <f>'11 - 2019'!B28-'11 - 2019'!B27</f>
        <v>3781</v>
      </c>
      <c r="F23" s="27">
        <f>'11 - 2019'!C28-'11 - 2019'!C27</f>
        <v>6388.2999999999302</v>
      </c>
      <c r="G23" s="25">
        <v>0.11799999999999999</v>
      </c>
      <c r="H23" s="27">
        <f>'11 - 2019'!E28-'11 - 2019'!E27</f>
        <v>38.980000000000473</v>
      </c>
      <c r="I23" s="27">
        <f>'11 - 2019'!F28-'11 - 2019'!F27</f>
        <v>4.6500000000000909</v>
      </c>
      <c r="J23" s="27">
        <f>'11 - 2019'!G28-'11 - 2019'!G27</f>
        <v>65.659999999999854</v>
      </c>
      <c r="K23" s="25">
        <v>0.74</v>
      </c>
      <c r="L23" s="27">
        <v>100</v>
      </c>
      <c r="M23" s="13"/>
    </row>
    <row r="24" spans="1:13" x14ac:dyDescent="0.25">
      <c r="A24" t="s">
        <v>28</v>
      </c>
      <c r="B24">
        <f t="shared" si="0"/>
        <v>23</v>
      </c>
      <c r="C24" s="25">
        <v>11</v>
      </c>
      <c r="D24" s="25">
        <v>2019</v>
      </c>
      <c r="E24" s="27">
        <f>'11 - 2019'!B29-'11 - 2019'!B28</f>
        <v>3915</v>
      </c>
      <c r="F24" s="27">
        <f>'11 - 2019'!C29-'11 - 2019'!C28</f>
        <v>6375.1000000000931</v>
      </c>
      <c r="G24" s="25">
        <v>0.11799999999999999</v>
      </c>
      <c r="H24" s="27">
        <f>'11 - 2019'!E29-'11 - 2019'!E28</f>
        <v>25.449999999999818</v>
      </c>
      <c r="I24" s="27">
        <f>'11 - 2019'!F29-'11 - 2019'!F28</f>
        <v>5.1799999999998363</v>
      </c>
      <c r="J24" s="27">
        <f>'11 - 2019'!G29-'11 - 2019'!G28</f>
        <v>42.5</v>
      </c>
      <c r="K24" s="25">
        <v>0.74</v>
      </c>
      <c r="L24" s="27">
        <v>64</v>
      </c>
      <c r="M24" s="13"/>
    </row>
    <row r="25" spans="1:13" x14ac:dyDescent="0.25">
      <c r="A25" t="s">
        <v>28</v>
      </c>
      <c r="B25">
        <f t="shared" si="0"/>
        <v>24</v>
      </c>
      <c r="C25" s="25">
        <v>11</v>
      </c>
      <c r="D25" s="25">
        <v>2019</v>
      </c>
      <c r="E25" s="27">
        <f>'11 - 2019'!B30-'11 - 2019'!B29</f>
        <v>4142</v>
      </c>
      <c r="F25" s="27">
        <f>'11 - 2019'!C30-'11 - 2019'!C29</f>
        <v>6894.7999999999302</v>
      </c>
      <c r="G25" s="25">
        <v>0.11799999999999999</v>
      </c>
      <c r="H25" s="27">
        <f>'11 - 2019'!E30-'11 - 2019'!E29</f>
        <v>29.970000000000255</v>
      </c>
      <c r="I25" s="27">
        <f>'11 - 2019'!F30-'11 - 2019'!F29</f>
        <v>5.3600000000001273</v>
      </c>
      <c r="J25" s="27">
        <f>'11 - 2019'!G30-'11 - 2019'!G29</f>
        <v>44.100000000000364</v>
      </c>
      <c r="K25" s="25">
        <v>0.74</v>
      </c>
      <c r="L25" s="6">
        <v>64</v>
      </c>
      <c r="M25" s="13"/>
    </row>
    <row r="26" spans="1:13" x14ac:dyDescent="0.25">
      <c r="A26" t="s">
        <v>28</v>
      </c>
      <c r="B26">
        <f>B25+1</f>
        <v>25</v>
      </c>
      <c r="C26" s="25">
        <v>11</v>
      </c>
      <c r="D26" s="25">
        <v>2019</v>
      </c>
      <c r="E26" s="27">
        <f>'11 - 2019'!B31-'11 - 2019'!B30</f>
        <v>3348</v>
      </c>
      <c r="F26" s="27">
        <f>'11 - 2019'!C31-'11 - 2019'!C30</f>
        <v>5376.9000000000233</v>
      </c>
      <c r="G26" s="25">
        <v>0.11799999999999999</v>
      </c>
      <c r="H26" s="27">
        <f>'11 - 2019'!E31-'11 - 2019'!E30</f>
        <v>21.210000000000036</v>
      </c>
      <c r="I26" s="27">
        <f>'11 - 2019'!F31-'11 - 2019'!F30</f>
        <v>3.9400000000000546</v>
      </c>
      <c r="J26" s="27">
        <f>'11 - 2019'!G31-'11 - 2019'!G30</f>
        <v>28.809999999999491</v>
      </c>
      <c r="K26" s="25">
        <v>0.74</v>
      </c>
      <c r="L26" s="6">
        <v>82</v>
      </c>
      <c r="M26" s="13"/>
    </row>
    <row r="27" spans="1:13" x14ac:dyDescent="0.25">
      <c r="A27" t="s">
        <v>28</v>
      </c>
      <c r="B27">
        <f t="shared" si="0"/>
        <v>26</v>
      </c>
      <c r="C27" s="25">
        <v>11</v>
      </c>
      <c r="D27" s="25">
        <v>2019</v>
      </c>
      <c r="E27" s="27">
        <f>'11 - 2019'!B32-'11 - 2019'!B31</f>
        <v>3595</v>
      </c>
      <c r="F27" s="27">
        <f>'11 - 2019'!C32-'11 - 2019'!C31</f>
        <v>5989.4000000000233</v>
      </c>
      <c r="G27" s="25">
        <v>0.11799999999999999</v>
      </c>
      <c r="H27" s="27">
        <f>'11 - 2019'!E32-'11 - 2019'!E31</f>
        <v>25.639999999999418</v>
      </c>
      <c r="I27" s="27">
        <f>'11 - 2019'!F32-'11 - 2019'!F31</f>
        <v>5.1499999999998636</v>
      </c>
      <c r="J27" s="27">
        <f>'11 - 2019'!G32-'11 - 2019'!G31</f>
        <v>37.6299999999992</v>
      </c>
      <c r="K27" s="25">
        <v>0.74</v>
      </c>
      <c r="L27" s="6">
        <v>92</v>
      </c>
      <c r="M27" s="13"/>
    </row>
    <row r="28" spans="1:13" x14ac:dyDescent="0.25">
      <c r="A28" t="s">
        <v>28</v>
      </c>
      <c r="B28">
        <f t="shared" si="0"/>
        <v>27</v>
      </c>
      <c r="C28" s="25">
        <v>11</v>
      </c>
      <c r="D28" s="25">
        <v>2019</v>
      </c>
      <c r="E28" s="27">
        <f>'11 - 2019'!B33-'11 - 2019'!B32</f>
        <v>3597</v>
      </c>
      <c r="F28" s="27">
        <f>'11 - 2019'!C33-'11 - 2019'!C32</f>
        <v>6199.0999999999767</v>
      </c>
      <c r="G28" s="25">
        <v>0.11799999999999999</v>
      </c>
      <c r="H28" s="27">
        <f>'11 - 2019'!E33-'11 - 2019'!E32</f>
        <v>25.199999999999818</v>
      </c>
      <c r="I28" s="27">
        <f>'11 - 2019'!F33-'11 - 2019'!F32</f>
        <v>5.2899999999999636</v>
      </c>
      <c r="J28" s="27">
        <f>'11 - 2019'!G33-'11 - 2019'!G32</f>
        <v>41.820000000001528</v>
      </c>
      <c r="K28" s="25">
        <v>0.74</v>
      </c>
      <c r="L28" s="6">
        <v>85</v>
      </c>
      <c r="M28" s="13"/>
    </row>
    <row r="29" spans="1:13" x14ac:dyDescent="0.25">
      <c r="A29" t="s">
        <v>28</v>
      </c>
      <c r="B29">
        <f t="shared" si="0"/>
        <v>28</v>
      </c>
      <c r="C29" s="25">
        <v>11</v>
      </c>
      <c r="D29">
        <v>2019</v>
      </c>
      <c r="E29" s="27">
        <f>'11 - 2019'!B34-'11 - 2019'!B33</f>
        <v>3716</v>
      </c>
      <c r="F29" s="27">
        <f>'11 - 2019'!C34-'11 - 2019'!C33</f>
        <v>6251.1000000000931</v>
      </c>
      <c r="G29" s="25">
        <v>0.11799999999999999</v>
      </c>
      <c r="H29" s="27">
        <f>'11 - 2019'!E34-'11 - 2019'!E33</f>
        <v>26.770000000000437</v>
      </c>
      <c r="I29" s="27">
        <f>'11 - 2019'!F34-'11 - 2019'!F33</f>
        <v>5.5099999999999909</v>
      </c>
      <c r="J29" s="27">
        <f>'11 - 2019'!G34-'11 - 2019'!G33</f>
        <v>61.309999999999491</v>
      </c>
      <c r="K29" s="25">
        <v>0.74</v>
      </c>
      <c r="L29" s="6">
        <v>86</v>
      </c>
      <c r="M29" s="13"/>
    </row>
    <row r="30" spans="1:13" x14ac:dyDescent="0.25">
      <c r="A30" t="s">
        <v>28</v>
      </c>
      <c r="B30">
        <f t="shared" si="0"/>
        <v>29</v>
      </c>
      <c r="C30" s="25">
        <v>11</v>
      </c>
      <c r="D30" s="25">
        <v>2019</v>
      </c>
      <c r="E30" s="27">
        <v>0</v>
      </c>
      <c r="F30" s="27">
        <v>0</v>
      </c>
      <c r="G30" s="25">
        <v>0.11799999999999999</v>
      </c>
      <c r="H30" s="27">
        <v>0</v>
      </c>
      <c r="I30" s="27">
        <v>0</v>
      </c>
      <c r="J30" s="27">
        <v>0</v>
      </c>
      <c r="K30" s="25">
        <v>0.74</v>
      </c>
      <c r="L30" s="6"/>
    </row>
    <row r="31" spans="1:13" x14ac:dyDescent="0.25">
      <c r="A31" t="s">
        <v>28</v>
      </c>
      <c r="B31">
        <f t="shared" si="0"/>
        <v>30</v>
      </c>
      <c r="C31" s="25">
        <v>11</v>
      </c>
      <c r="D31">
        <v>2019</v>
      </c>
      <c r="E31" s="27">
        <f>'11 - 2019'!B36-'11 - 2019'!B35</f>
        <v>0</v>
      </c>
      <c r="F31" s="27">
        <f>'11 - 2019'!C36-'11 - 2019'!C35</f>
        <v>0</v>
      </c>
      <c r="G31" s="25">
        <v>0.11799999999999999</v>
      </c>
      <c r="H31" s="27">
        <f>'11 - 2019'!E36-'11 - 2019'!E35</f>
        <v>0</v>
      </c>
      <c r="I31" s="27">
        <f>'11 - 2019'!F36-'11 - 2019'!F35</f>
        <v>0</v>
      </c>
      <c r="J31" s="27">
        <f>'11 - 2019'!G36-'11 - 2019'!G35</f>
        <v>0</v>
      </c>
      <c r="K31" s="25">
        <v>0.74</v>
      </c>
      <c r="L3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F27" sqref="F27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3" t="s">
        <v>31</v>
      </c>
      <c r="B2" s="63"/>
      <c r="C2" s="63"/>
      <c r="D2" s="63"/>
      <c r="E2" s="63"/>
      <c r="F2" s="63"/>
      <c r="G2" s="63"/>
      <c r="H2" s="63"/>
      <c r="I2" s="63"/>
      <c r="J2" s="63"/>
      <c r="K2" s="25"/>
      <c r="L2" s="25"/>
    </row>
    <row r="3" spans="1:15" ht="16.5" thickBot="1" x14ac:dyDescent="0.3">
      <c r="A3" s="56" t="s">
        <v>36</v>
      </c>
      <c r="B3" s="56"/>
      <c r="C3" s="56"/>
      <c r="D3" s="56"/>
      <c r="E3" s="56"/>
      <c r="F3" s="56"/>
      <c r="G3" s="56"/>
      <c r="H3" s="56"/>
      <c r="I3" s="56"/>
      <c r="J3" s="56"/>
      <c r="K3" s="25"/>
      <c r="L3" s="25"/>
    </row>
    <row r="4" spans="1:15" ht="16.5" thickBot="1" x14ac:dyDescent="0.3">
      <c r="A4" s="2"/>
      <c r="B4" s="57" t="s">
        <v>0</v>
      </c>
      <c r="C4" s="58"/>
      <c r="D4" s="57" t="s">
        <v>1</v>
      </c>
      <c r="E4" s="59"/>
      <c r="F4" s="59"/>
      <c r="G4" s="60"/>
      <c r="H4" s="61" t="s">
        <v>2</v>
      </c>
      <c r="I4" s="62"/>
      <c r="J4" s="31" t="s">
        <v>3</v>
      </c>
      <c r="K4" s="3"/>
      <c r="L4" s="25"/>
    </row>
    <row r="5" spans="1:15" ht="30" x14ac:dyDescent="0.25">
      <c r="A5" s="45" t="s">
        <v>4</v>
      </c>
      <c r="B5" s="46" t="s">
        <v>34</v>
      </c>
      <c r="C5" s="47" t="s">
        <v>35</v>
      </c>
      <c r="D5" s="47" t="s">
        <v>5</v>
      </c>
      <c r="E5" s="47" t="s">
        <v>6</v>
      </c>
      <c r="F5" s="47" t="s">
        <v>7</v>
      </c>
      <c r="G5" s="48" t="s">
        <v>8</v>
      </c>
      <c r="H5" s="47" t="s">
        <v>29</v>
      </c>
      <c r="I5" s="47" t="s">
        <v>30</v>
      </c>
      <c r="J5" s="47" t="s">
        <v>9</v>
      </c>
      <c r="K5" s="32" t="s">
        <v>32</v>
      </c>
      <c r="L5" s="33" t="s">
        <v>33</v>
      </c>
    </row>
    <row r="6" spans="1:15" ht="12.75" customHeight="1" x14ac:dyDescent="0.25">
      <c r="A6" s="53">
        <v>43769</v>
      </c>
      <c r="B6" s="51">
        <v>142140</v>
      </c>
      <c r="C6" s="51">
        <v>885738</v>
      </c>
      <c r="D6" s="52">
        <v>0.8</v>
      </c>
      <c r="E6" s="30">
        <v>7187.29</v>
      </c>
      <c r="F6" s="30">
        <v>1311.89</v>
      </c>
      <c r="G6" s="30">
        <v>12766.1</v>
      </c>
      <c r="H6" s="51">
        <v>14528</v>
      </c>
      <c r="I6" s="51">
        <v>76693</v>
      </c>
      <c r="J6" s="51">
        <v>36204001</v>
      </c>
      <c r="K6" s="49"/>
      <c r="L6" s="34"/>
    </row>
    <row r="7" spans="1:15" ht="12.75" customHeight="1" x14ac:dyDescent="0.25">
      <c r="A7" s="50">
        <v>43770</v>
      </c>
      <c r="B7" s="38">
        <v>145756</v>
      </c>
      <c r="C7" s="39">
        <v>892145</v>
      </c>
      <c r="D7" s="40">
        <v>0.75</v>
      </c>
      <c r="E7" s="41">
        <v>7210.81</v>
      </c>
      <c r="F7" s="41">
        <v>1317</v>
      </c>
      <c r="G7" s="41">
        <v>12809.88</v>
      </c>
      <c r="H7" s="42">
        <v>14528</v>
      </c>
      <c r="I7" s="42">
        <v>76819</v>
      </c>
      <c r="J7" s="42">
        <v>36230121</v>
      </c>
      <c r="K7" s="43"/>
      <c r="L7" s="44"/>
    </row>
    <row r="8" spans="1:15" ht="12.75" customHeight="1" x14ac:dyDescent="0.25">
      <c r="A8" s="50">
        <v>43771</v>
      </c>
      <c r="B8" s="28">
        <v>149107</v>
      </c>
      <c r="C8" s="20">
        <v>898304</v>
      </c>
      <c r="D8" s="17">
        <v>0.7</v>
      </c>
      <c r="E8" s="24">
        <v>7239.94</v>
      </c>
      <c r="F8" s="24">
        <v>1323</v>
      </c>
      <c r="G8" s="24">
        <v>12843.86</v>
      </c>
      <c r="H8" s="20">
        <v>14528</v>
      </c>
      <c r="I8" s="16">
        <v>76930</v>
      </c>
      <c r="J8" s="16">
        <v>36256460</v>
      </c>
      <c r="K8" s="19"/>
      <c r="L8" s="34"/>
    </row>
    <row r="9" spans="1:15" ht="12.75" customHeight="1" x14ac:dyDescent="0.25">
      <c r="A9" s="50">
        <v>43772</v>
      </c>
      <c r="B9" s="16">
        <v>152791</v>
      </c>
      <c r="C9" s="16">
        <v>904581</v>
      </c>
      <c r="D9" s="17">
        <v>0.65</v>
      </c>
      <c r="E9" s="24">
        <v>7261.29</v>
      </c>
      <c r="F9" s="24">
        <v>1329</v>
      </c>
      <c r="G9" s="24">
        <v>12881.81</v>
      </c>
      <c r="H9" s="20">
        <v>14528</v>
      </c>
      <c r="I9" s="16">
        <v>77041</v>
      </c>
      <c r="J9" s="16">
        <v>36281151</v>
      </c>
      <c r="K9" s="19"/>
      <c r="L9" s="34"/>
    </row>
    <row r="10" spans="1:15" ht="12.75" customHeight="1" x14ac:dyDescent="0.25">
      <c r="A10" s="50">
        <v>43773</v>
      </c>
      <c r="B10" s="16">
        <v>156458</v>
      </c>
      <c r="C10" s="16">
        <v>910977</v>
      </c>
      <c r="D10" s="17">
        <v>0.54</v>
      </c>
      <c r="E10" s="24">
        <v>7286.6</v>
      </c>
      <c r="F10" s="24">
        <v>1333.49</v>
      </c>
      <c r="G10" s="24">
        <v>12917.49</v>
      </c>
      <c r="H10" s="20">
        <v>14528</v>
      </c>
      <c r="I10" s="16">
        <v>77159</v>
      </c>
      <c r="J10" s="16">
        <v>36300128</v>
      </c>
      <c r="K10" s="19"/>
      <c r="L10" s="34"/>
    </row>
    <row r="11" spans="1:15" ht="12.75" customHeight="1" x14ac:dyDescent="0.25">
      <c r="A11" s="50">
        <v>43774</v>
      </c>
      <c r="B11" s="16">
        <v>159928</v>
      </c>
      <c r="C11" s="16">
        <v>916983</v>
      </c>
      <c r="D11" s="17">
        <v>0.45</v>
      </c>
      <c r="E11" s="24">
        <v>7310.35</v>
      </c>
      <c r="F11" s="24">
        <v>1338.79</v>
      </c>
      <c r="G11" s="24">
        <v>12952.79</v>
      </c>
      <c r="H11" s="16">
        <v>14528</v>
      </c>
      <c r="I11" s="16">
        <v>77225</v>
      </c>
      <c r="J11" s="16">
        <v>36326021</v>
      </c>
      <c r="K11" s="19"/>
      <c r="L11" s="34"/>
    </row>
    <row r="12" spans="1:15" ht="12.75" customHeight="1" x14ac:dyDescent="0.25">
      <c r="A12" s="50">
        <v>43775</v>
      </c>
      <c r="B12" s="16">
        <v>163515</v>
      </c>
      <c r="C12" s="16">
        <v>923363</v>
      </c>
      <c r="D12" s="17">
        <v>0.36</v>
      </c>
      <c r="E12" s="24">
        <v>7332.72</v>
      </c>
      <c r="F12" s="24">
        <v>1343.18</v>
      </c>
      <c r="G12" s="24">
        <v>12989.52</v>
      </c>
      <c r="H12" s="16">
        <v>14528</v>
      </c>
      <c r="I12" s="18">
        <v>77392</v>
      </c>
      <c r="J12" s="18">
        <v>36349564</v>
      </c>
      <c r="K12" s="19"/>
      <c r="L12" s="34"/>
    </row>
    <row r="13" spans="1:15" ht="12.75" customHeight="1" x14ac:dyDescent="0.25">
      <c r="A13" s="50">
        <v>43776</v>
      </c>
      <c r="B13" s="16">
        <v>167023</v>
      </c>
      <c r="C13" s="16">
        <v>929546</v>
      </c>
      <c r="D13" s="17">
        <v>0.85</v>
      </c>
      <c r="E13" s="24">
        <v>7352.8</v>
      </c>
      <c r="F13" s="24">
        <v>1349.4</v>
      </c>
      <c r="G13" s="18">
        <v>13025.17</v>
      </c>
      <c r="H13" s="16">
        <v>14528</v>
      </c>
      <c r="I13" s="16">
        <v>77501</v>
      </c>
      <c r="J13" s="16">
        <v>36373991</v>
      </c>
      <c r="K13" s="28"/>
      <c r="L13" s="34"/>
      <c r="O13" s="27"/>
    </row>
    <row r="14" spans="1:15" ht="12.75" customHeight="1" x14ac:dyDescent="0.25">
      <c r="A14" s="50">
        <v>43777</v>
      </c>
      <c r="B14" s="20">
        <v>170682</v>
      </c>
      <c r="C14" s="16">
        <v>935970</v>
      </c>
      <c r="D14" s="17">
        <v>0.77</v>
      </c>
      <c r="E14" s="24">
        <v>7377.28</v>
      </c>
      <c r="F14" s="24">
        <v>1355.22</v>
      </c>
      <c r="G14" s="18">
        <v>13065.94</v>
      </c>
      <c r="H14" s="16">
        <v>14528</v>
      </c>
      <c r="I14" s="16">
        <v>77638</v>
      </c>
      <c r="J14" s="16">
        <v>36397516</v>
      </c>
      <c r="K14" s="19"/>
      <c r="L14" s="34"/>
      <c r="O14" s="27"/>
    </row>
    <row r="15" spans="1:15" ht="12.75" customHeight="1" x14ac:dyDescent="0.25">
      <c r="A15" s="50">
        <v>43778</v>
      </c>
      <c r="B15" s="54">
        <v>174269</v>
      </c>
      <c r="C15" s="16">
        <v>942331</v>
      </c>
      <c r="D15" s="17">
        <v>0.7</v>
      </c>
      <c r="E15" s="24">
        <v>7402.78</v>
      </c>
      <c r="F15" s="24">
        <v>1360.82</v>
      </c>
      <c r="G15" s="18">
        <v>13105.15</v>
      </c>
      <c r="H15" s="16">
        <v>14528</v>
      </c>
      <c r="I15" s="16">
        <v>77738</v>
      </c>
      <c r="J15" s="16">
        <v>36423712</v>
      </c>
      <c r="K15" s="19"/>
      <c r="L15" s="34"/>
    </row>
    <row r="16" spans="1:15" ht="12.75" customHeight="1" x14ac:dyDescent="0.25">
      <c r="A16" s="50">
        <v>43779</v>
      </c>
      <c r="B16" s="18">
        <v>177876</v>
      </c>
      <c r="C16" s="18">
        <v>948340</v>
      </c>
      <c r="D16" s="29">
        <v>0.63</v>
      </c>
      <c r="E16" s="24">
        <v>7429</v>
      </c>
      <c r="F16" s="24">
        <v>1365.18</v>
      </c>
      <c r="G16" s="18">
        <v>13143.65</v>
      </c>
      <c r="H16" s="16">
        <v>14528</v>
      </c>
      <c r="I16" s="18">
        <v>77817.179999999993</v>
      </c>
      <c r="J16" s="18">
        <v>36443985</v>
      </c>
      <c r="K16" s="19"/>
      <c r="L16" s="34"/>
    </row>
    <row r="17" spans="1:16" ht="12.75" customHeight="1" x14ac:dyDescent="0.25">
      <c r="A17" s="50">
        <v>43780</v>
      </c>
      <c r="B17" s="16">
        <v>181363</v>
      </c>
      <c r="C17" s="16">
        <v>954015</v>
      </c>
      <c r="D17" s="17">
        <v>0.55000000000000004</v>
      </c>
      <c r="E17" s="24">
        <v>7456.2</v>
      </c>
      <c r="F17" s="24">
        <v>1371.83</v>
      </c>
      <c r="G17" s="18">
        <v>13176.14</v>
      </c>
      <c r="H17" s="16">
        <v>14528</v>
      </c>
      <c r="I17" s="16">
        <v>77937</v>
      </c>
      <c r="J17" s="16">
        <v>36458929</v>
      </c>
      <c r="K17" s="19"/>
      <c r="L17" s="34"/>
      <c r="P17" s="27"/>
    </row>
    <row r="18" spans="1:16" ht="12.75" customHeight="1" x14ac:dyDescent="0.25">
      <c r="A18" s="50">
        <v>43781</v>
      </c>
      <c r="B18" s="16">
        <v>185337</v>
      </c>
      <c r="C18" s="16">
        <v>960695</v>
      </c>
      <c r="D18" s="17">
        <v>0.48</v>
      </c>
      <c r="E18" s="24">
        <v>7483.41</v>
      </c>
      <c r="F18" s="24">
        <v>1377.1</v>
      </c>
      <c r="G18" s="18">
        <v>13211.8</v>
      </c>
      <c r="H18" s="16">
        <v>14528</v>
      </c>
      <c r="I18" s="16">
        <v>78087</v>
      </c>
      <c r="J18" s="16">
        <v>36475021</v>
      </c>
      <c r="K18" s="19"/>
      <c r="L18" s="34"/>
      <c r="P18" s="27"/>
    </row>
    <row r="19" spans="1:16" ht="12.75" customHeight="1" x14ac:dyDescent="0.25">
      <c r="A19" s="50">
        <v>43782</v>
      </c>
      <c r="B19" s="16">
        <v>189077</v>
      </c>
      <c r="C19" s="16">
        <v>966751</v>
      </c>
      <c r="D19" s="17">
        <v>0.8</v>
      </c>
      <c r="E19" s="24">
        <v>7509.33</v>
      </c>
      <c r="F19" s="24">
        <v>1382</v>
      </c>
      <c r="G19" s="18">
        <v>13251</v>
      </c>
      <c r="H19" s="16">
        <v>14528</v>
      </c>
      <c r="I19" s="16">
        <v>78199</v>
      </c>
      <c r="J19" s="16">
        <v>36493599</v>
      </c>
      <c r="K19" s="19"/>
      <c r="L19" s="34"/>
    </row>
    <row r="20" spans="1:16" ht="12.75" customHeight="1" x14ac:dyDescent="0.25">
      <c r="A20" s="50">
        <v>43783</v>
      </c>
      <c r="B20" s="16">
        <v>192921</v>
      </c>
      <c r="C20" s="16">
        <v>972986</v>
      </c>
      <c r="D20" s="17">
        <v>0.73</v>
      </c>
      <c r="E20" s="24">
        <v>7532.52</v>
      </c>
      <c r="F20" s="24">
        <v>1390.33</v>
      </c>
      <c r="G20" s="18">
        <v>13288.78</v>
      </c>
      <c r="H20" s="16">
        <v>14528</v>
      </c>
      <c r="I20" s="16">
        <v>78324</v>
      </c>
      <c r="J20" s="16">
        <v>36510914</v>
      </c>
      <c r="K20" s="19"/>
      <c r="L20" s="34"/>
    </row>
    <row r="21" spans="1:16" ht="12.75" customHeight="1" x14ac:dyDescent="0.25">
      <c r="A21" s="50">
        <v>43784</v>
      </c>
      <c r="B21" s="16">
        <v>196845</v>
      </c>
      <c r="C21" s="16">
        <v>979517</v>
      </c>
      <c r="D21" s="17">
        <v>0.66</v>
      </c>
      <c r="E21" s="24">
        <v>7559.42</v>
      </c>
      <c r="F21" s="24">
        <v>1396.24</v>
      </c>
      <c r="G21" s="18">
        <v>13329</v>
      </c>
      <c r="H21" s="16">
        <v>14528</v>
      </c>
      <c r="I21" s="18">
        <v>78436</v>
      </c>
      <c r="J21" s="16">
        <v>36526865</v>
      </c>
      <c r="K21" s="28"/>
      <c r="L21" s="34"/>
    </row>
    <row r="22" spans="1:16" ht="12.75" customHeight="1" x14ac:dyDescent="0.25">
      <c r="A22" s="50">
        <v>43785</v>
      </c>
      <c r="B22" s="22">
        <v>200589</v>
      </c>
      <c r="C22" s="22">
        <v>985806</v>
      </c>
      <c r="D22" s="17">
        <v>0.57999999999999996</v>
      </c>
      <c r="E22" s="30">
        <v>7585.12</v>
      </c>
      <c r="F22" s="30">
        <v>1401.18</v>
      </c>
      <c r="G22" s="18">
        <v>13367.71</v>
      </c>
      <c r="H22" s="16">
        <v>14528</v>
      </c>
      <c r="I22" s="16">
        <v>78570</v>
      </c>
      <c r="J22" s="16">
        <v>36541063</v>
      </c>
      <c r="K22" s="28"/>
      <c r="L22" s="34"/>
    </row>
    <row r="23" spans="1:16" ht="12.75" customHeight="1" x14ac:dyDescent="0.25">
      <c r="A23" s="50">
        <v>43786</v>
      </c>
      <c r="B23" s="22">
        <v>204429</v>
      </c>
      <c r="C23" s="22">
        <v>992432</v>
      </c>
      <c r="D23" s="17">
        <v>0.5</v>
      </c>
      <c r="E23" s="30">
        <v>7610.2</v>
      </c>
      <c r="F23" s="30">
        <v>1406.91</v>
      </c>
      <c r="G23" s="18">
        <v>13400.18</v>
      </c>
      <c r="H23" s="16">
        <v>14528</v>
      </c>
      <c r="I23" s="16">
        <v>78689</v>
      </c>
      <c r="J23" s="16">
        <v>36558283</v>
      </c>
      <c r="K23" s="19"/>
      <c r="L23" s="35"/>
    </row>
    <row r="24" spans="1:16" ht="12.75" customHeight="1" x14ac:dyDescent="0.25">
      <c r="A24" s="50">
        <v>43787</v>
      </c>
      <c r="B24" s="18">
        <v>208130</v>
      </c>
      <c r="C24" s="18">
        <v>998837</v>
      </c>
      <c r="D24" s="29">
        <v>0.43</v>
      </c>
      <c r="E24" s="30">
        <v>7636.4</v>
      </c>
      <c r="F24" s="30">
        <v>1413.65</v>
      </c>
      <c r="G24" s="18">
        <v>13442.8</v>
      </c>
      <c r="H24" s="16">
        <v>14528</v>
      </c>
      <c r="I24" s="16">
        <v>78778</v>
      </c>
      <c r="J24" s="16">
        <v>36574434</v>
      </c>
      <c r="K24" s="28"/>
      <c r="L24" s="35"/>
    </row>
    <row r="25" spans="1:16" ht="12.75" customHeight="1" x14ac:dyDescent="0.25">
      <c r="A25" s="50">
        <v>43788</v>
      </c>
      <c r="B25" s="16">
        <v>211867</v>
      </c>
      <c r="C25" s="16">
        <v>1004998.74</v>
      </c>
      <c r="D25" s="17">
        <v>0.36</v>
      </c>
      <c r="E25" s="30">
        <v>7660.49</v>
      </c>
      <c r="F25" s="30">
        <v>1418.85</v>
      </c>
      <c r="G25" s="18">
        <v>13481.56</v>
      </c>
      <c r="H25" s="16">
        <v>14528</v>
      </c>
      <c r="I25" s="16">
        <v>78888</v>
      </c>
      <c r="J25" s="16">
        <v>36592211</v>
      </c>
      <c r="K25" s="19"/>
      <c r="L25" s="34"/>
    </row>
    <row r="26" spans="1:16" ht="12.75" customHeight="1" x14ac:dyDescent="0.25">
      <c r="A26" s="50">
        <v>43789</v>
      </c>
      <c r="B26" s="16">
        <v>215321</v>
      </c>
      <c r="C26" s="16">
        <v>1010816.2</v>
      </c>
      <c r="D26" s="17">
        <v>0.8</v>
      </c>
      <c r="E26" s="30">
        <v>7685.33</v>
      </c>
      <c r="F26" s="30">
        <v>1424.09</v>
      </c>
      <c r="G26" s="18">
        <v>13515.77</v>
      </c>
      <c r="H26" s="16">
        <v>14528</v>
      </c>
      <c r="I26" s="16">
        <v>78997</v>
      </c>
      <c r="J26" s="16">
        <v>36610758</v>
      </c>
      <c r="K26" s="19"/>
      <c r="L26" s="34"/>
    </row>
    <row r="27" spans="1:16" ht="12.75" customHeight="1" x14ac:dyDescent="0.25">
      <c r="A27" s="50">
        <v>43790</v>
      </c>
      <c r="B27" s="16">
        <v>219118</v>
      </c>
      <c r="C27" s="16">
        <v>1017069.4</v>
      </c>
      <c r="D27" s="17">
        <v>0.75</v>
      </c>
      <c r="E27" s="30">
        <v>7701.2</v>
      </c>
      <c r="F27" s="30">
        <v>1429.79</v>
      </c>
      <c r="G27" s="18">
        <v>13534.02</v>
      </c>
      <c r="H27" s="16">
        <v>14528</v>
      </c>
      <c r="I27" s="16">
        <v>79117</v>
      </c>
      <c r="J27" s="16">
        <v>36627465</v>
      </c>
      <c r="K27" s="19"/>
      <c r="L27" s="34"/>
    </row>
    <row r="28" spans="1:16" ht="12.75" customHeight="1" x14ac:dyDescent="0.25">
      <c r="A28" s="50">
        <v>43791</v>
      </c>
      <c r="B28" s="16">
        <v>222899</v>
      </c>
      <c r="C28" s="16">
        <v>1023457.7</v>
      </c>
      <c r="D28" s="17">
        <v>0.68</v>
      </c>
      <c r="E28" s="30">
        <v>7740.18</v>
      </c>
      <c r="F28" s="30">
        <v>1434.44</v>
      </c>
      <c r="G28" s="18">
        <v>13599.68</v>
      </c>
      <c r="H28" s="16">
        <v>14528</v>
      </c>
      <c r="I28" s="16">
        <v>79271</v>
      </c>
      <c r="J28" s="16">
        <v>36645454</v>
      </c>
      <c r="K28" s="19"/>
      <c r="L28" s="34"/>
      <c r="P28" s="6"/>
    </row>
    <row r="29" spans="1:16" ht="12.75" customHeight="1" x14ac:dyDescent="0.25">
      <c r="A29" s="50">
        <v>43792</v>
      </c>
      <c r="B29" s="16">
        <v>226814</v>
      </c>
      <c r="C29" s="16">
        <v>1029832.8</v>
      </c>
      <c r="D29" s="17">
        <v>0.6</v>
      </c>
      <c r="E29" s="30">
        <v>7765.63</v>
      </c>
      <c r="F29" s="30">
        <v>1439.62</v>
      </c>
      <c r="G29" s="18">
        <v>13642.18</v>
      </c>
      <c r="H29" s="16">
        <v>14528</v>
      </c>
      <c r="I29" s="16">
        <v>79387</v>
      </c>
      <c r="J29" s="16">
        <v>36657670</v>
      </c>
      <c r="K29" s="19"/>
      <c r="L29" s="36"/>
      <c r="P29" s="6"/>
    </row>
    <row r="30" spans="1:16" ht="12.75" customHeight="1" x14ac:dyDescent="0.25">
      <c r="A30" s="50">
        <v>43793</v>
      </c>
      <c r="B30" s="16">
        <v>230956</v>
      </c>
      <c r="C30" s="16">
        <v>1036727.6</v>
      </c>
      <c r="D30" s="17">
        <v>0.52</v>
      </c>
      <c r="E30" s="30">
        <v>7795.6</v>
      </c>
      <c r="F30" s="30">
        <v>1444.98</v>
      </c>
      <c r="G30" s="18">
        <v>13686.28</v>
      </c>
      <c r="H30" s="16">
        <v>14528</v>
      </c>
      <c r="I30" s="16">
        <v>79491</v>
      </c>
      <c r="J30" s="16">
        <v>36673080</v>
      </c>
      <c r="K30" s="19"/>
      <c r="L30" s="36"/>
      <c r="P30" s="6"/>
    </row>
    <row r="31" spans="1:16" ht="12.75" customHeight="1" x14ac:dyDescent="0.25">
      <c r="A31" s="50">
        <v>43794</v>
      </c>
      <c r="B31" s="16">
        <v>234304</v>
      </c>
      <c r="C31" s="16">
        <v>1042104.5</v>
      </c>
      <c r="D31" s="17">
        <v>0.44</v>
      </c>
      <c r="E31" s="30">
        <v>7816.81</v>
      </c>
      <c r="F31" s="30">
        <v>1448.92</v>
      </c>
      <c r="G31" s="18">
        <v>13715.09</v>
      </c>
      <c r="H31" s="16">
        <v>14528</v>
      </c>
      <c r="I31" s="16">
        <v>79585</v>
      </c>
      <c r="J31" s="16">
        <v>36685747</v>
      </c>
      <c r="K31" s="19"/>
      <c r="L31" s="34"/>
      <c r="P31" s="6"/>
    </row>
    <row r="32" spans="1:16" ht="12.75" customHeight="1" x14ac:dyDescent="0.25">
      <c r="A32" s="50">
        <v>43795</v>
      </c>
      <c r="B32" s="18">
        <v>237899</v>
      </c>
      <c r="C32" s="21">
        <v>1048093.9</v>
      </c>
      <c r="D32" s="29">
        <v>0.36</v>
      </c>
      <c r="E32" s="30">
        <v>7842.45</v>
      </c>
      <c r="F32" s="30">
        <v>1454.07</v>
      </c>
      <c r="G32" s="18">
        <v>13752.72</v>
      </c>
      <c r="H32" s="16">
        <v>14528</v>
      </c>
      <c r="I32" s="18">
        <v>79678</v>
      </c>
      <c r="J32" s="18">
        <v>36699620</v>
      </c>
      <c r="K32" s="19"/>
      <c r="L32" s="34"/>
      <c r="P32" s="6"/>
    </row>
    <row r="33" spans="1:12" ht="12.75" customHeight="1" x14ac:dyDescent="0.25">
      <c r="A33" s="50">
        <v>43796</v>
      </c>
      <c r="B33" s="16">
        <v>241496</v>
      </c>
      <c r="C33" s="21">
        <v>1054293</v>
      </c>
      <c r="D33" s="17">
        <v>0.8</v>
      </c>
      <c r="E33" s="30">
        <v>7867.65</v>
      </c>
      <c r="F33" s="30">
        <v>1459.36</v>
      </c>
      <c r="G33" s="18">
        <v>13794.54</v>
      </c>
      <c r="H33" s="18">
        <v>14528</v>
      </c>
      <c r="I33" s="16">
        <v>79823</v>
      </c>
      <c r="J33" s="16">
        <v>36715120</v>
      </c>
      <c r="K33" s="19"/>
      <c r="L33" s="34"/>
    </row>
    <row r="34" spans="1:12" ht="12.75" customHeight="1" x14ac:dyDescent="0.25">
      <c r="A34" s="50">
        <v>43797</v>
      </c>
      <c r="B34" s="16">
        <v>245212</v>
      </c>
      <c r="C34" s="21">
        <v>1060544.1000000001</v>
      </c>
      <c r="D34" s="17">
        <v>0.72</v>
      </c>
      <c r="E34" s="30">
        <v>7894.42</v>
      </c>
      <c r="F34" s="30">
        <v>1464.87</v>
      </c>
      <c r="G34" s="18">
        <v>13855.85</v>
      </c>
      <c r="H34" s="18">
        <v>14528</v>
      </c>
      <c r="I34" s="16">
        <v>79938</v>
      </c>
      <c r="J34" s="16">
        <v>36730473</v>
      </c>
      <c r="K34" s="19"/>
      <c r="L34" s="34"/>
    </row>
    <row r="35" spans="1:12" ht="12.75" customHeight="1" x14ac:dyDescent="0.25">
      <c r="A35" s="50">
        <v>43798</v>
      </c>
      <c r="B35" s="16"/>
      <c r="C35" s="16"/>
      <c r="D35" s="17"/>
      <c r="E35" s="30"/>
      <c r="F35" s="30"/>
      <c r="G35" s="18"/>
      <c r="H35" s="16"/>
      <c r="I35" s="16"/>
      <c r="J35" s="16"/>
      <c r="K35" s="19"/>
      <c r="L35" s="34"/>
    </row>
    <row r="36" spans="1:12" ht="12.75" customHeight="1" x14ac:dyDescent="0.25">
      <c r="A36" s="50">
        <v>43799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55" t="s">
        <v>37</v>
      </c>
      <c r="B37" s="37">
        <f>B36-B6</f>
        <v>-142140</v>
      </c>
      <c r="C37" s="37">
        <f t="shared" ref="C37:J37" si="0">C36-C6</f>
        <v>-885738</v>
      </c>
      <c r="D37" s="37">
        <f t="shared" si="0"/>
        <v>-0.8</v>
      </c>
      <c r="E37" s="37">
        <f t="shared" si="0"/>
        <v>-7187.29</v>
      </c>
      <c r="F37" s="37">
        <f t="shared" si="0"/>
        <v>-1311.89</v>
      </c>
      <c r="G37" s="37">
        <f t="shared" si="0"/>
        <v>-12766.1</v>
      </c>
      <c r="H37" s="37">
        <f t="shared" si="0"/>
        <v>-14528</v>
      </c>
      <c r="I37" s="37">
        <f t="shared" si="0"/>
        <v>-76693</v>
      </c>
      <c r="J37" s="37">
        <f t="shared" si="0"/>
        <v>-36204001</v>
      </c>
      <c r="K37" s="37">
        <f>SUM(K6:K36)</f>
        <v>0</v>
      </c>
      <c r="L37" s="25"/>
    </row>
    <row r="38" spans="1:12" x14ac:dyDescent="0.25">
      <c r="A38" s="25"/>
      <c r="B38" s="25"/>
      <c r="C38" s="37"/>
      <c r="D38" s="25"/>
      <c r="E38" s="27"/>
      <c r="F38" s="27"/>
      <c r="G38" s="27"/>
      <c r="H38" s="23">
        <f>H37*219.969</f>
        <v>-3195709.6319999998</v>
      </c>
      <c r="I38" s="37">
        <f>I37*219.969</f>
        <v>-16870082.517000001</v>
      </c>
      <c r="J38" s="27"/>
      <c r="K38" s="25"/>
      <c r="L38" s="25"/>
    </row>
    <row r="39" spans="1:12" x14ac:dyDescent="0.25">
      <c r="A39" s="25"/>
      <c r="B39" s="25"/>
      <c r="C39" s="25"/>
      <c r="D39" s="25"/>
      <c r="E39" s="25"/>
      <c r="F39" s="25"/>
      <c r="G39" s="25"/>
      <c r="H39" s="14"/>
      <c r="I39" s="25"/>
      <c r="J39" s="25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11 - 2019</vt:lpstr>
      <vt:lpstr>'11 - 2019'!Print_Area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2019-11-28T05:58:34Z</dcterms:modified>
</cp:coreProperties>
</file>