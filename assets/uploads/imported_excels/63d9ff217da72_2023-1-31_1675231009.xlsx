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A2F6425D-A246-4ADA-BB20-3B8478DCCEFE}" xr6:coauthVersionLast="36" xr6:coauthVersionMax="36" xr10:uidLastSave="{00000000-0000-0000-0000-000000000000}"/>
  <bookViews>
    <workbookView xWindow="0" yWindow="0" windowWidth="28800" windowHeight="12435" tabRatio="433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<sst xmlns="http://schemas.openxmlformats.org/spreadsheetml/2006/main" count="67" uniqueCount="32">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</sst>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A7"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0</v>
      </c>
      <c r="F2" s="10">
        <v>2.9000000000000001E-2</v>
      </c>
      <c r="G2" s="1">
        <f>'February 2023'!J5</f>
        <v>0</v>
      </c>
      <c r="H2" s="10">
        <v>0.112</v>
      </c>
      <c r="I2" s="1">
        <f>'February 2023'!G5*1000</f>
        <v>0</v>
      </c>
      <c r="J2" s="10">
        <v>3.61E-2</v>
      </c>
      <c r="K2" s="1">
        <f>'February 2023'!I5</f>
        <v>0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0</v>
      </c>
      <c r="F3" s="10">
        <v>2.9000000000000001E-2</v>
      </c>
      <c r="G3" s="1">
        <f>'February 2023'!J6</f>
        <v>0</v>
      </c>
      <c r="H3" s="10">
        <v>0.112</v>
      </c>
      <c r="I3" s="1">
        <f>'February 2023'!G6*1000</f>
        <v>0</v>
      </c>
      <c r="J3" s="10">
        <v>3.61E-2</v>
      </c>
      <c r="K3" s="1">
        <f>'February 2023'!I6</f>
        <v>0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0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0</v>
      </c>
      <c r="F4" s="10">
        <v>2.9000000000000001E-2</v>
      </c>
      <c r="G4" s="1">
        <f>'February 2023'!J7</f>
        <v>0</v>
      </c>
      <c r="H4" s="10">
        <v>0.112</v>
      </c>
      <c r="I4" s="1">
        <f>'February 2023'!G7*1000</f>
        <v>0</v>
      </c>
      <c r="J4" s="10">
        <v>3.61E-2</v>
      </c>
      <c r="K4" s="1">
        <f>'February 2023'!I7</f>
        <v>0</v>
      </c>
      <c r="L4" s="10">
        <v>0.75</v>
      </c>
      <c r="M4" s="10">
        <f>'February 2023'!L7</f>
        <v>0</v>
      </c>
      <c r="N4" s="10">
        <v>0.56299999999999994</v>
      </c>
      <c r="O4" s="14">
        <f>'February 2023'!D7</f>
        <v>0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0</v>
      </c>
      <c r="F5" s="10">
        <v>2.9000000000000001E-2</v>
      </c>
      <c r="G5" s="1">
        <f>'February 2023'!J8</f>
        <v>0</v>
      </c>
      <c r="H5" s="10">
        <v>0.112</v>
      </c>
      <c r="I5" s="1">
        <f>'February 2023'!G8*1000</f>
        <v>0</v>
      </c>
      <c r="J5" s="10">
        <v>3.61E-2</v>
      </c>
      <c r="K5" s="1">
        <f>'February 2023'!I8</f>
        <v>0</v>
      </c>
      <c r="L5" s="10">
        <v>0.75</v>
      </c>
      <c r="M5" s="10">
        <f>'February 2023'!L8</f>
        <v>0</v>
      </c>
      <c r="N5" s="10">
        <v>0.56299999999999994</v>
      </c>
      <c r="O5" s="14">
        <f>'February 2023'!D8</f>
        <v>0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0</v>
      </c>
      <c r="F6" s="10">
        <v>2.9000000000000001E-2</v>
      </c>
      <c r="G6" s="1">
        <f>'February 2023'!J9</f>
        <v>0</v>
      </c>
      <c r="H6" s="10">
        <v>0.112</v>
      </c>
      <c r="I6" s="1">
        <f>'February 2023'!G9*1000</f>
        <v>0</v>
      </c>
      <c r="J6" s="10">
        <v>3.61E-2</v>
      </c>
      <c r="K6" s="1">
        <f>'February 2023'!I9</f>
        <v>0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0</v>
      </c>
      <c r="F7" s="10">
        <v>2.9000000000000001E-2</v>
      </c>
      <c r="G7" s="1">
        <v>0</v>
      </c>
      <c r="H7" s="10">
        <v>0.112</v>
      </c>
      <c r="I7" s="1">
        <f>'February 2023'!G10*1000</f>
        <v>0</v>
      </c>
      <c r="J7" s="10">
        <v>3.61E-2</v>
      </c>
      <c r="K7" s="1">
        <f>'February 2023'!I10</f>
        <v>0</v>
      </c>
      <c r="L7" s="10">
        <v>0.75</v>
      </c>
      <c r="M7" s="10">
        <f>'February 2023'!L10</f>
        <v>0</v>
      </c>
      <c r="N7" s="10">
        <v>0.56299999999999994</v>
      </c>
      <c r="O7" s="14">
        <f>'February 2023'!D10</f>
        <v>0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0</v>
      </c>
      <c r="F8" s="10">
        <v>2.9000000000000001E-2</v>
      </c>
      <c r="G8" s="1">
        <f>'February 2023'!J11</f>
        <v>0</v>
      </c>
      <c r="H8" s="10">
        <v>0.112</v>
      </c>
      <c r="I8" s="1">
        <f>'February 2023'!G11*1000</f>
        <v>0</v>
      </c>
      <c r="J8" s="10">
        <v>3.61E-2</v>
      </c>
      <c r="K8" s="1">
        <f>'February 2023'!I11</f>
        <v>0</v>
      </c>
      <c r="L8" s="10">
        <v>0.75</v>
      </c>
      <c r="M8" s="10">
        <f>'February 2023'!L11</f>
        <v>0</v>
      </c>
      <c r="N8" s="10">
        <v>0.56299999999999994</v>
      </c>
      <c r="O8" s="14">
        <f>'February 2023'!D11</f>
        <v>0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0</v>
      </c>
      <c r="F9" s="10">
        <v>2.9000000000000001E-2</v>
      </c>
      <c r="G9" s="1">
        <f>'February 2023'!J12</f>
        <v>0</v>
      </c>
      <c r="H9" s="10">
        <v>0.112</v>
      </c>
      <c r="I9" s="1">
        <f>'February 2023'!G12*1000</f>
        <v>0</v>
      </c>
      <c r="J9" s="10">
        <v>3.61E-2</v>
      </c>
      <c r="K9" s="1">
        <f>'February 2023'!I12</f>
        <v>0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workbookViewId="0">
      <selection activeCell="G11" sqref="G1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/>
      <c r="E5" s="4"/>
      <c r="F5" s="12">
        <v>231498</v>
      </c>
      <c r="G5" s="8"/>
      <c r="H5" s="4">
        <v>759187</v>
      </c>
      <c r="I5" s="3"/>
      <c r="J5" s="3"/>
      <c r="K5" s="4">
        <v>367167</v>
      </c>
      <c r="L5" s="9"/>
      <c r="N5" s="1"/>
    </row>
    <row r="6" spans="1:14" x14ac:dyDescent="0.2">
      <c r="B6" s="2">
        <v>2</v>
      </c>
      <c r="C6" s="11">
        <v>44959</v>
      </c>
      <c r="D6" s="7"/>
      <c r="E6" s="4"/>
      <c r="F6" s="12"/>
      <c r="G6" s="8"/>
      <c r="H6" s="4"/>
      <c r="I6" s="3"/>
      <c r="J6" s="3"/>
      <c r="K6" s="4"/>
      <c r="L6" s="9"/>
      <c r="N6" s="1"/>
    </row>
    <row r="7" spans="1:14" x14ac:dyDescent="0.2">
      <c r="B7" s="2">
        <v>3</v>
      </c>
      <c r="C7" s="11">
        <v>44960</v>
      </c>
      <c r="D7" s="7"/>
      <c r="E7" s="4"/>
      <c r="F7" s="12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44961</v>
      </c>
      <c r="D8" s="7"/>
      <c r="E8" s="4"/>
      <c r="F8" s="12"/>
      <c r="G8" s="8"/>
      <c r="H8" s="7"/>
      <c r="I8" s="3"/>
      <c r="J8" s="3"/>
      <c r="K8" s="4"/>
      <c r="L8" s="9"/>
      <c r="N8" s="1"/>
    </row>
    <row r="9" spans="1:14" ht="12" customHeight="1" x14ac:dyDescent="0.2">
      <c r="B9" s="2">
        <v>5</v>
      </c>
      <c r="C9" s="11">
        <v>44962</v>
      </c>
      <c r="D9" s="7"/>
      <c r="E9" s="4"/>
      <c r="F9" s="12"/>
      <c r="G9" s="8"/>
      <c r="H9" s="23"/>
      <c r="I9" s="3"/>
      <c r="J9" s="3"/>
      <c r="K9" s="4"/>
      <c r="L9" s="9"/>
      <c r="N9" s="1"/>
    </row>
    <row r="10" spans="1:14" x14ac:dyDescent="0.2">
      <c r="B10" s="2">
        <v>6</v>
      </c>
      <c r="C10" s="11">
        <v>44963</v>
      </c>
      <c r="D10" s="7"/>
      <c r="E10" s="7"/>
      <c r="F10" s="35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44964</v>
      </c>
      <c r="D11" s="7"/>
      <c r="E11" s="7"/>
      <c r="F11" s="35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44965</v>
      </c>
      <c r="D12" s="7"/>
      <c r="E12" s="4"/>
      <c r="F12" s="35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/>
      <c r="G13" s="8"/>
      <c r="H13" s="23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2023-02-01T05:54:42Z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