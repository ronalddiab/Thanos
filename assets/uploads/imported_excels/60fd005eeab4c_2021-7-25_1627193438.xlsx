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E3B64D61-524E-4703-88E0-827435ACD1C6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<sst xmlns="http://schemas.openxmlformats.org/spreadsheetml/2006/main" count="201" uniqueCount="128">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</sst>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-2380799.9999999995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4" sqref="M24:O2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/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/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>
        <v>22999.999999999091</v>
      </c>
      <c r="F22" s="48">
        <v>0.14000000000000001</v>
      </c>
      <c r="G22" s="107">
        <v>6094</v>
      </c>
      <c r="H22" s="48">
        <v>0.45</v>
      </c>
      <c r="I22" s="65">
        <v>323</v>
      </c>
      <c r="J22" s="76">
        <v>0.4</v>
      </c>
      <c r="K22" s="108"/>
      <c r="L22" s="76"/>
      <c r="M22" s="72">
        <v>32</v>
      </c>
      <c r="N22" s="72">
        <v>100</v>
      </c>
      <c r="O22" s="72">
        <v>245</v>
      </c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>
        <v>24500.000000001361</v>
      </c>
      <c r="F23" s="48">
        <v>0.14000000000000001</v>
      </c>
      <c r="G23" s="107">
        <v>7298</v>
      </c>
      <c r="H23" s="48">
        <v>0.45</v>
      </c>
      <c r="I23" s="65">
        <v>255</v>
      </c>
      <c r="J23" s="76">
        <v>0.4</v>
      </c>
      <c r="K23" s="108"/>
      <c r="L23" s="76"/>
      <c r="M23" s="72">
        <v>46</v>
      </c>
      <c r="N23" s="72">
        <v>124</v>
      </c>
      <c r="O23" s="72">
        <v>334</v>
      </c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>
        <v>22229.999999998883</v>
      </c>
      <c r="F24" s="48">
        <v>0.14000000000000001</v>
      </c>
      <c r="G24" s="107">
        <v>5720</v>
      </c>
      <c r="H24" s="48">
        <v>0.45</v>
      </c>
      <c r="I24" s="65">
        <v>281</v>
      </c>
      <c r="J24" s="76">
        <v>0.4</v>
      </c>
      <c r="K24" s="108"/>
      <c r="L24" s="76"/>
      <c r="M24" s="72">
        <v>39</v>
      </c>
      <c r="N24" s="72">
        <v>107</v>
      </c>
      <c r="O24" s="72">
        <v>287</v>
      </c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>
        <v>22500.000000000684</v>
      </c>
      <c r="F25" s="48">
        <v>0.14000000000000001</v>
      </c>
      <c r="G25" s="107">
        <v>6230</v>
      </c>
      <c r="H25" s="48">
        <v>0.45</v>
      </c>
      <c r="I25" s="65">
        <v>243</v>
      </c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552720.00000000058</v>
      </c>
      <c r="F33" s="104">
        <v>0</v>
      </c>
      <c r="G33" s="101">
        <f>SUM(G2:G32)</f>
        <v>150234</v>
      </c>
      <c r="H33" s="102">
        <v>0</v>
      </c>
      <c r="I33" s="103">
        <f>SUM(I2:I32)</f>
        <v>6530</v>
      </c>
      <c r="J33" s="104">
        <v>0</v>
      </c>
      <c r="K33" s="105">
        <v>0</v>
      </c>
      <c r="L33" s="102">
        <v>0</v>
      </c>
      <c r="M33" s="106">
        <f t="shared" ref="M33:O33" si="1">SUM(M2:M32)</f>
        <v>597</v>
      </c>
      <c r="N33" s="106">
        <f t="shared" si="1"/>
        <v>1444</v>
      </c>
      <c r="O33" s="106">
        <f t="shared" si="1"/>
        <v>3722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26" sqref="V26:X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>
        <v>32</v>
      </c>
      <c r="W24" s="71">
        <v>100</v>
      </c>
      <c r="X24" s="71">
        <v>245</v>
      </c>
      <c r="Y24" s="17"/>
    </row>
    <row r="25" spans="1:25" ht="21" customHeight="1" x14ac:dyDescent="0.25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71">
        <v>46</v>
      </c>
      <c r="W25" s="71">
        <v>124</v>
      </c>
      <c r="X25" s="71">
        <v>334</v>
      </c>
      <c r="Y25" s="17"/>
    </row>
    <row r="26" spans="1:25" ht="21" customHeight="1" x14ac:dyDescent="0.25">
      <c r="A26" s="8">
        <v>44400</v>
      </c>
      <c r="B26" s="1">
        <v>1011.3</v>
      </c>
      <c r="C26" s="1">
        <v>234.78</v>
      </c>
      <c r="D26" s="1">
        <v>7535306.1399999997</v>
      </c>
      <c r="E26" s="1">
        <v>8257835.1799999997</v>
      </c>
      <c r="F26" s="1">
        <v>2.4340999999999999</v>
      </c>
      <c r="G26" s="1">
        <v>765.09</v>
      </c>
      <c r="H26" s="1">
        <v>632.59</v>
      </c>
      <c r="I26" s="1">
        <v>243.4</v>
      </c>
      <c r="J26" s="1">
        <v>321.41000000000003</v>
      </c>
      <c r="K26" s="1">
        <v>346.8</v>
      </c>
      <c r="L26" s="1">
        <v>238.19</v>
      </c>
      <c r="M26" s="1">
        <v>536.08000000000004</v>
      </c>
      <c r="N26" s="1">
        <v>489.1</v>
      </c>
      <c r="O26" s="1">
        <v>156.43</v>
      </c>
      <c r="P26" s="1">
        <v>642.41999999999996</v>
      </c>
      <c r="Q26" s="1">
        <v>476.94</v>
      </c>
      <c r="R26" s="1">
        <v>164.34</v>
      </c>
      <c r="S26" s="1">
        <v>117.85</v>
      </c>
      <c r="T26" s="1">
        <v>430.92</v>
      </c>
      <c r="V26" s="71">
        <v>39</v>
      </c>
      <c r="W26" s="71">
        <v>107</v>
      </c>
      <c r="X26" s="71">
        <v>287</v>
      </c>
      <c r="Y26" s="17"/>
    </row>
    <row r="27" spans="1:25" ht="21" customHeight="1" x14ac:dyDescent="0.25">
      <c r="A27" s="8">
        <v>44401</v>
      </c>
      <c r="B27" s="1">
        <v>1012.6</v>
      </c>
      <c r="C27" s="1">
        <v>235.05</v>
      </c>
      <c r="D27" s="1">
        <v>7537473.21</v>
      </c>
      <c r="E27" s="1">
        <v>8260576.0199999996</v>
      </c>
      <c r="F27" s="1">
        <v>2.4365999999999999</v>
      </c>
      <c r="G27" s="1">
        <v>765.95</v>
      </c>
      <c r="H27" s="1">
        <v>632.79999999999995</v>
      </c>
      <c r="I27" s="1">
        <v>243.71</v>
      </c>
      <c r="J27" s="1">
        <v>321.64</v>
      </c>
      <c r="K27" s="1">
        <v>347.06</v>
      </c>
      <c r="L27" s="1">
        <v>238.36</v>
      </c>
      <c r="M27" s="1">
        <v>536.77</v>
      </c>
      <c r="N27" s="1">
        <v>489.86</v>
      </c>
      <c r="O27" s="1">
        <v>156.69</v>
      </c>
      <c r="P27" s="1">
        <v>643.33000000000004</v>
      </c>
      <c r="Q27" s="1">
        <v>477.69</v>
      </c>
      <c r="R27" s="1">
        <v>164.68</v>
      </c>
      <c r="S27" s="1">
        <v>117.98</v>
      </c>
      <c r="T27" s="1">
        <v>431</v>
      </c>
      <c r="V27" s="71"/>
      <c r="W27" s="71"/>
      <c r="X27" s="71"/>
      <c r="Y27" s="17"/>
    </row>
    <row r="28" spans="1:25" ht="21" customHeight="1" x14ac:dyDescent="0.25">
      <c r="A28" s="8">
        <v>44402</v>
      </c>
      <c r="B28" s="1">
        <v>1014</v>
      </c>
      <c r="C28" s="1">
        <v>235.3</v>
      </c>
      <c r="D28" s="1">
        <v>7539841.3700000001</v>
      </c>
      <c r="E28" s="1">
        <v>8263901.0700000003</v>
      </c>
      <c r="F28" s="1">
        <v>2.4592000000000001</v>
      </c>
      <c r="G28" s="1">
        <v>766.79</v>
      </c>
      <c r="H28" s="1">
        <v>633.20000000000005</v>
      </c>
      <c r="I28" s="1">
        <v>244.03</v>
      </c>
      <c r="J28" s="1">
        <v>321.95999999999998</v>
      </c>
      <c r="K28" s="1">
        <v>347.38</v>
      </c>
      <c r="L28" s="1">
        <v>238.57</v>
      </c>
      <c r="M28" s="1">
        <v>537.48</v>
      </c>
      <c r="N28" s="1">
        <v>490.61</v>
      </c>
      <c r="O28" s="1">
        <v>156.94999999999999</v>
      </c>
      <c r="P28" s="1">
        <v>644.34</v>
      </c>
      <c r="Q28" s="1">
        <v>478.37</v>
      </c>
      <c r="R28" s="1">
        <v>164.78</v>
      </c>
      <c r="S28" s="1">
        <v>118.12</v>
      </c>
      <c r="T28" s="1">
        <v>431.76</v>
      </c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597</v>
      </c>
      <c r="W35" s="78">
        <f>SUM(W4:W34)</f>
        <v>1444</v>
      </c>
      <c r="X35" s="78">
        <f>SUM(X4:X34)</f>
        <v>3722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7">
        <f>('Kwh Reading'!O25-'Kwh Reading'!O24)*1000</f>
        <v>240.00000000000909</v>
      </c>
      <c r="V24" s="16">
        <f t="shared" si="1"/>
        <v>6179.3699999991586</v>
      </c>
    </row>
    <row r="25" spans="1:22" x14ac:dyDescent="0.25">
      <c r="A25" s="3">
        <f>'Kwh Reading'!A25</f>
        <v>44399</v>
      </c>
      <c r="B25" s="26">
        <f>TOTAL!E23</f>
        <v>24500.000000001361</v>
      </c>
      <c r="C25" s="4">
        <f>('Kwh Reading'!T26-'Kwh Reading'!T25)*1000</f>
        <v>520.00000000003865</v>
      </c>
      <c r="D25" s="2">
        <f>('Kwh Reading'!F26-'Kwh Reading'!F25)*1000000</f>
        <v>2699.9999999999245</v>
      </c>
      <c r="E25" s="2">
        <f>('Kwh Reading'!C26-'Kwh Reading'!C25)*1000</f>
        <v>270.00000000001023</v>
      </c>
      <c r="F25" s="2">
        <f>('Kwh Reading'!J26-'Kwh Reading'!J25)*1000</f>
        <v>330.00000000004093</v>
      </c>
      <c r="G25" s="2">
        <f>('Kwh Reading'!K26-'Kwh Reading'!K25)*1000</f>
        <v>430.00000000000682</v>
      </c>
      <c r="H25" s="2">
        <f>('Kwh Reading'!L26-'Kwh Reading'!L25)*1000</f>
        <v>219.99999999999886</v>
      </c>
      <c r="I25" s="2">
        <f>('Kwh Reading'!R26-'Kwh Reading'!R25)*1000</f>
        <v>289.99999999999204</v>
      </c>
      <c r="J25" s="2">
        <f>('Kwh Reading'!S26-'Kwh Reading'!S25)*1000</f>
        <v>140.00000000000057</v>
      </c>
      <c r="K25" s="2">
        <f>('Kwh Reading'!I26-'Kwh Reading'!I25)*1000</f>
        <v>390.00000000001478</v>
      </c>
      <c r="L25" s="2">
        <f>('Kwh Reading'!B26-'Kwh Reading'!B25)*1000</f>
        <v>1500</v>
      </c>
      <c r="M25" s="2">
        <f>('Kwh Reading'!M26-'Kwh Reading'!M25)*1000</f>
        <v>840.00000000003183</v>
      </c>
      <c r="N25" s="2">
        <f>('Kwh Reading'!H26-'Kwh Reading'!H25)*1000</f>
        <v>670.00000000007276</v>
      </c>
      <c r="O25" s="2">
        <f>('Kwh Reading'!P26-'Kwh Reading'!P25)*1000</f>
        <v>1110.0000000000136</v>
      </c>
      <c r="P25" s="2">
        <f>('Kwh Reading'!G26-'Kwh Reading'!G25)*1000</f>
        <v>980.00000000001819</v>
      </c>
      <c r="Q25" s="2">
        <f>('Kwh Reading'!Q26-'Kwh Reading'!Q25)*1000</f>
        <v>769.99999999998181</v>
      </c>
      <c r="R25" s="2">
        <f>('Kwh Reading'!N26-'Kwh Reading'!N25)*1000</f>
        <v>830.00000000004093</v>
      </c>
      <c r="S25" s="2">
        <f>'Kwh Reading'!E26-'Kwh Reading'!E25</f>
        <v>3856.179999999702</v>
      </c>
      <c r="T25" s="2">
        <f>'Kwh Reading'!D26-'Kwh Reading'!D25</f>
        <v>2655.3300000000745</v>
      </c>
      <c r="U25" s="27">
        <f>('Kwh Reading'!O26-'Kwh Reading'!O25)*1000</f>
        <v>319.99999999999318</v>
      </c>
      <c r="V25" s="16">
        <f t="shared" si="1"/>
        <v>5678.4900000014059</v>
      </c>
    </row>
    <row r="26" spans="1:22" x14ac:dyDescent="0.25">
      <c r="A26" s="3">
        <f>'Kwh Reading'!A26</f>
        <v>44400</v>
      </c>
      <c r="B26" s="26">
        <f>TOTAL!E24</f>
        <v>22229.999999998883</v>
      </c>
      <c r="C26" s="4">
        <f>('Kwh Reading'!T27-'Kwh Reading'!T26)*1000</f>
        <v>79.999999999984084</v>
      </c>
      <c r="D26" s="2">
        <f>('Kwh Reading'!F27-'Kwh Reading'!F26)*1000000</f>
        <v>2499.9999999999468</v>
      </c>
      <c r="E26" s="2">
        <f>('Kwh Reading'!C27-'Kwh Reading'!C26)*1000</f>
        <v>270.00000000001023</v>
      </c>
      <c r="F26" s="2">
        <f>('Kwh Reading'!J27-'Kwh Reading'!J26)*1000</f>
        <v>229.99999999996135</v>
      </c>
      <c r="G26" s="2">
        <f>('Kwh Reading'!K27-'Kwh Reading'!K26)*1000</f>
        <v>259.99999999999091</v>
      </c>
      <c r="H26" s="2">
        <f>('Kwh Reading'!L27-'Kwh Reading'!L26)*1000</f>
        <v>170.00000000001592</v>
      </c>
      <c r="I26" s="2">
        <f>('Kwh Reading'!R27-'Kwh Reading'!R26)*1000</f>
        <v>340.00000000000341</v>
      </c>
      <c r="J26" s="2">
        <f>('Kwh Reading'!S27-'Kwh Reading'!S26)*1000</f>
        <v>130.00000000000966</v>
      </c>
      <c r="K26" s="2">
        <f>('Kwh Reading'!I27-'Kwh Reading'!I26)*1000</f>
        <v>310.00000000000227</v>
      </c>
      <c r="L26" s="2">
        <f>('Kwh Reading'!B27-'Kwh Reading'!B26)*1000</f>
        <v>1300.0000000000682</v>
      </c>
      <c r="M26" s="2">
        <f>('Kwh Reading'!M27-'Kwh Reading'!M26)*1000</f>
        <v>689.99999999994088</v>
      </c>
      <c r="N26" s="2">
        <f>('Kwh Reading'!H27-'Kwh Reading'!H26)*1000</f>
        <v>209.99999999992269</v>
      </c>
      <c r="O26" s="2">
        <f>('Kwh Reading'!P27-'Kwh Reading'!P26)*1000</f>
        <v>910.00000000008185</v>
      </c>
      <c r="P26" s="2">
        <f>('Kwh Reading'!G27-'Kwh Reading'!G26)*1000</f>
        <v>860.00000000001364</v>
      </c>
      <c r="Q26" s="2">
        <f>('Kwh Reading'!Q27-'Kwh Reading'!Q26)*1000</f>
        <v>750</v>
      </c>
      <c r="R26" s="2">
        <f>('Kwh Reading'!N27-'Kwh Reading'!N26)*1000</f>
        <v>759.99999999999091</v>
      </c>
      <c r="S26" s="2">
        <f>'Kwh Reading'!E27-'Kwh Reading'!E26</f>
        <v>2740.839999999851</v>
      </c>
      <c r="T26" s="2">
        <f>'Kwh Reading'!D27-'Kwh Reading'!D26</f>
        <v>2167.070000000298</v>
      </c>
      <c r="U26" s="27">
        <f>('Kwh Reading'!O27-'Kwh Reading'!O26)*1000</f>
        <v>259.99999999999091</v>
      </c>
      <c r="V26" s="16">
        <f t="shared" si="1"/>
        <v>7292.0899999987996</v>
      </c>
    </row>
    <row r="27" spans="1:22" x14ac:dyDescent="0.25">
      <c r="A27" s="3">
        <f>'Kwh Reading'!A27</f>
        <v>44401</v>
      </c>
      <c r="B27" s="26">
        <f>TOTAL!E25</f>
        <v>22500.000000000684</v>
      </c>
      <c r="C27" s="4">
        <f>('Kwh Reading'!T28-'Kwh Reading'!T27)*1000</f>
        <v>759.99999999999091</v>
      </c>
      <c r="D27" s="2">
        <f>('Kwh Reading'!F28-'Kwh Reading'!F27)*1000000</f>
        <v>22600.000000000175</v>
      </c>
      <c r="E27" s="2">
        <f>('Kwh Reading'!C28-'Kwh Reading'!C27)*1000</f>
        <v>250</v>
      </c>
      <c r="F27" s="2">
        <f>('Kwh Reading'!J28-'Kwh Reading'!J27)*1000</f>
        <v>319.99999999999318</v>
      </c>
      <c r="G27" s="2">
        <f>('Kwh Reading'!K28-'Kwh Reading'!K27)*1000</f>
        <v>319.99999999999318</v>
      </c>
      <c r="H27" s="2">
        <f>('Kwh Reading'!L28-'Kwh Reading'!L27)*1000</f>
        <v>209.99999999997954</v>
      </c>
      <c r="I27" s="2">
        <f>('Kwh Reading'!R28-'Kwh Reading'!R27)*1000</f>
        <v>99.999999999994316</v>
      </c>
      <c r="J27" s="2">
        <f>('Kwh Reading'!S28-'Kwh Reading'!S27)*1000</f>
        <v>140.00000000000057</v>
      </c>
      <c r="K27" s="2">
        <f>('Kwh Reading'!I28-'Kwh Reading'!I27)*1000</f>
        <v>319.99999999999318</v>
      </c>
      <c r="L27" s="2">
        <f>('Kwh Reading'!B28-'Kwh Reading'!B27)*1000</f>
        <v>1399.9999999999773</v>
      </c>
      <c r="M27" s="2">
        <f>('Kwh Reading'!M28-'Kwh Reading'!M27)*1000</f>
        <v>710.00000000003638</v>
      </c>
      <c r="N27" s="2">
        <f>('Kwh Reading'!H28-'Kwh Reading'!H27)*1000</f>
        <v>400.00000000009095</v>
      </c>
      <c r="O27" s="2">
        <f>('Kwh Reading'!P28-'Kwh Reading'!P27)*1000</f>
        <v>1009.9999999999909</v>
      </c>
      <c r="P27" s="2">
        <f>('Kwh Reading'!G28-'Kwh Reading'!G27)*1000</f>
        <v>839.99999999991815</v>
      </c>
      <c r="Q27" s="2">
        <f>('Kwh Reading'!Q28-'Kwh Reading'!Q27)*1000</f>
        <v>680.00000000000682</v>
      </c>
      <c r="R27" s="2">
        <f>('Kwh Reading'!N28-'Kwh Reading'!N27)*1000</f>
        <v>750</v>
      </c>
      <c r="S27" s="2">
        <f>'Kwh Reading'!E28-'Kwh Reading'!E27</f>
        <v>3325.0500000007451</v>
      </c>
      <c r="T27" s="2">
        <f>'Kwh Reading'!D28-'Kwh Reading'!D27</f>
        <v>2368.160000000149</v>
      </c>
      <c r="U27" s="27">
        <f>('Kwh Reading'!O28-'Kwh Reading'!O27)*1000</f>
        <v>259.99999999999091</v>
      </c>
      <c r="V27" s="16">
        <f t="shared" si="1"/>
        <v>-14263.210000000341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-431760</v>
      </c>
      <c r="D28" s="2">
        <f>('Kwh Reading'!F29-'Kwh Reading'!F28)*1000000</f>
        <v>-2459200</v>
      </c>
      <c r="E28" s="2">
        <f>('Kwh Reading'!C29-'Kwh Reading'!C28)*1000</f>
        <v>-235300</v>
      </c>
      <c r="F28" s="2">
        <f>('Kwh Reading'!J29-'Kwh Reading'!J28)*1000</f>
        <v>-321960</v>
      </c>
      <c r="G28" s="2">
        <f>('Kwh Reading'!K29-'Kwh Reading'!K28)*1000</f>
        <v>-347380</v>
      </c>
      <c r="H28" s="2">
        <f>('Kwh Reading'!L29-'Kwh Reading'!L28)*1000</f>
        <v>-238570</v>
      </c>
      <c r="I28" s="2">
        <f>('Kwh Reading'!R29-'Kwh Reading'!R28)*1000</f>
        <v>-164780</v>
      </c>
      <c r="J28" s="2">
        <f>('Kwh Reading'!S29-'Kwh Reading'!S28)*1000</f>
        <v>-118120</v>
      </c>
      <c r="K28" s="2">
        <f>('Kwh Reading'!I29-'Kwh Reading'!I28)*1000</f>
        <v>-244030</v>
      </c>
      <c r="L28" s="2">
        <f>('Kwh Reading'!B29-'Kwh Reading'!B28)*1000</f>
        <v>-1014000</v>
      </c>
      <c r="M28" s="2">
        <f>('Kwh Reading'!M29-'Kwh Reading'!M28)*1000</f>
        <v>-537480</v>
      </c>
      <c r="N28" s="2">
        <f>('Kwh Reading'!H29-'Kwh Reading'!H28)*1000</f>
        <v>-633200</v>
      </c>
      <c r="O28" s="2">
        <f>('Kwh Reading'!P29-'Kwh Reading'!P28)*1000</f>
        <v>-644340</v>
      </c>
      <c r="P28" s="2">
        <f>('Kwh Reading'!G29-'Kwh Reading'!G28)*1000</f>
        <v>-766790</v>
      </c>
      <c r="Q28" s="2">
        <f>('Kwh Reading'!Q29-'Kwh Reading'!Q28)*1000</f>
        <v>-478370</v>
      </c>
      <c r="R28" s="2">
        <f>('Kwh Reading'!N29-'Kwh Reading'!N28)*1000</f>
        <v>-490610</v>
      </c>
      <c r="S28" s="2">
        <f>'Kwh Reading'!E29-'Kwh Reading'!E28</f>
        <v>-8263901.0700000003</v>
      </c>
      <c r="T28" s="2">
        <f>'Kwh Reading'!D29-'Kwh Reading'!D28</f>
        <v>-7539841.3700000001</v>
      </c>
      <c r="U28" s="27">
        <f>('Kwh Reading'!O29-'Kwh Reading'!O28)*1000</f>
        <v>-156950</v>
      </c>
      <c r="V28" s="16">
        <f t="shared" si="1"/>
        <v>25086582.440000001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555920.00000000047</v>
      </c>
      <c r="C35" s="75">
        <f t="shared" ref="C35" si="2">SUM(C4:C34)</f>
        <v>-420700</v>
      </c>
      <c r="D35" s="75">
        <f t="shared" ref="D35" si="3">SUM(D4:D34)</f>
        <v>-2380799.9999999995</v>
      </c>
      <c r="E35" s="75">
        <f t="shared" ref="E35" si="4">SUM(E4:E34)</f>
        <v>-229580</v>
      </c>
      <c r="F35" s="75">
        <f t="shared" ref="F35" si="5">SUM(F4:F34)</f>
        <v>-316460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-157730</v>
      </c>
      <c r="J35" s="75">
        <f t="shared" si="6"/>
        <v>-115159.99999999999</v>
      </c>
      <c r="K35" s="75">
        <f t="shared" si="6"/>
        <v>-236040</v>
      </c>
      <c r="L35" s="75">
        <f t="shared" si="6"/>
        <v>-981180</v>
      </c>
      <c r="M35" s="75">
        <f t="shared" si="6"/>
        <v>-518450</v>
      </c>
      <c r="N35" s="75">
        <f t="shared" si="6"/>
        <v>-622149.99999999988</v>
      </c>
      <c r="O35" s="75">
        <f t="shared" si="6"/>
        <v>-618580</v>
      </c>
      <c r="P35" s="75">
        <f t="shared" si="6"/>
        <v>-746170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25223901.440000001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6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2">
        <f t="shared" si="0"/>
        <v>6179.369999999155</v>
      </c>
    </row>
    <row r="24" spans="1:12" x14ac:dyDescent="0.25">
      <c r="A24" s="14">
        <f>'Kwh Reading'!A25</f>
        <v>44399</v>
      </c>
      <c r="B24" s="83">
        <f>TOTAL!E23</f>
        <v>24500.000000001361</v>
      </c>
      <c r="C24" s="1">
        <f>'Kwh Consumption'!C25</f>
        <v>520.00000000003865</v>
      </c>
      <c r="D24" s="1">
        <f>'Kwh Consumption'!D25</f>
        <v>2699.9999999999245</v>
      </c>
      <c r="E24" s="1">
        <f>'Kwh Consumption'!E25</f>
        <v>270.00000000001023</v>
      </c>
      <c r="F24" s="1">
        <f>('Kwh Consumption'!F25+'Kwh Consumption'!G25+'Kwh Consumption'!H25)</f>
        <v>980.00000000004661</v>
      </c>
      <c r="G24" s="16">
        <f>('Kwh Consumption'!I25+'Kwh Consumption'!J25)</f>
        <v>429.99999999999261</v>
      </c>
      <c r="H24" s="1">
        <f>('Kwh Consumption'!K25+'Kwh Consumption'!L25)</f>
        <v>1890.0000000000148</v>
      </c>
      <c r="I24" s="1">
        <f>('Kwh Consumption'!M25+'Kwh Consumption'!N25+'Kwh Consumption'!O25+'Kwh Consumption'!P25+'Kwh Consumption'!Q25+'Kwh Consumption'!R25)</f>
        <v>5200.0000000001592</v>
      </c>
      <c r="J24" s="1">
        <f>('Kwh Consumption'!S25+'Kwh Consumption'!T25)</f>
        <v>6511.5099999997765</v>
      </c>
      <c r="K24" s="1">
        <f>'Kwh Consumption'!U25</f>
        <v>319.99999999999318</v>
      </c>
      <c r="L24" s="32">
        <f t="shared" si="0"/>
        <v>5678.4900000014022</v>
      </c>
    </row>
    <row r="25" spans="1:12" x14ac:dyDescent="0.25">
      <c r="A25" s="14">
        <f>'Kwh Reading'!A26</f>
        <v>44400</v>
      </c>
      <c r="B25" s="83">
        <f>TOTAL!E24</f>
        <v>22229.999999998883</v>
      </c>
      <c r="C25" s="1">
        <f>'Kwh Consumption'!C26</f>
        <v>79.999999999984084</v>
      </c>
      <c r="D25" s="1">
        <f>'Kwh Consumption'!D26</f>
        <v>2499.9999999999468</v>
      </c>
      <c r="E25" s="1">
        <f>'Kwh Consumption'!E26</f>
        <v>270.00000000001023</v>
      </c>
      <c r="F25" s="1">
        <f>('Kwh Consumption'!F26+'Kwh Consumption'!G26+'Kwh Consumption'!H26)</f>
        <v>659.99999999996817</v>
      </c>
      <c r="G25" s="16">
        <f>('Kwh Consumption'!I26+'Kwh Consumption'!J26)</f>
        <v>470.00000000001307</v>
      </c>
      <c r="H25" s="1">
        <f>('Kwh Consumption'!K26+'Kwh Consumption'!L26)</f>
        <v>1610.0000000000705</v>
      </c>
      <c r="I25" s="1">
        <f>('Kwh Consumption'!M26+'Kwh Consumption'!N26+'Kwh Consumption'!O26+'Kwh Consumption'!P26+'Kwh Consumption'!Q26+'Kwh Consumption'!R26)</f>
        <v>4179.99999999995</v>
      </c>
      <c r="J25" s="1">
        <f>('Kwh Consumption'!S26+'Kwh Consumption'!T26)</f>
        <v>4907.910000000149</v>
      </c>
      <c r="K25" s="1">
        <f>'Kwh Consumption'!U26</f>
        <v>259.99999999999091</v>
      </c>
      <c r="L25" s="32">
        <f t="shared" si="0"/>
        <v>7292.0899999988014</v>
      </c>
    </row>
    <row r="26" spans="1:12" x14ac:dyDescent="0.25">
      <c r="A26" s="14">
        <f>'Kwh Reading'!A27</f>
        <v>44401</v>
      </c>
      <c r="B26" s="83">
        <f>TOTAL!E25</f>
        <v>22500.000000000684</v>
      </c>
      <c r="C26" s="1">
        <f>'Kwh Consumption'!C27</f>
        <v>759.99999999999091</v>
      </c>
      <c r="D26" s="1">
        <f>'Kwh Consumption'!D27</f>
        <v>22600.000000000175</v>
      </c>
      <c r="E26" s="1">
        <f>'Kwh Consumption'!E27</f>
        <v>250</v>
      </c>
      <c r="F26" s="1">
        <f>('Kwh Consumption'!F27+'Kwh Consumption'!G27+'Kwh Consumption'!H27)</f>
        <v>849.99999999996589</v>
      </c>
      <c r="G26" s="16">
        <f>('Kwh Consumption'!I27+'Kwh Consumption'!J27)</f>
        <v>239.99999999999488</v>
      </c>
      <c r="H26" s="1">
        <f>('Kwh Consumption'!K27+'Kwh Consumption'!L27)</f>
        <v>1719.9999999999704</v>
      </c>
      <c r="I26" s="1">
        <f>('Kwh Consumption'!M27+'Kwh Consumption'!N27+'Kwh Consumption'!O27+'Kwh Consumption'!P27+'Kwh Consumption'!Q27+'Kwh Consumption'!R27)</f>
        <v>4390.0000000000437</v>
      </c>
      <c r="J26" s="1">
        <f>('Kwh Consumption'!S27+'Kwh Consumption'!T27)</f>
        <v>5693.2100000008941</v>
      </c>
      <c r="K26" s="1">
        <f>'Kwh Consumption'!U27</f>
        <v>259.99999999999091</v>
      </c>
      <c r="L26" s="32">
        <f t="shared" si="0"/>
        <v>-14263.210000000343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-431760</v>
      </c>
      <c r="D27" s="1">
        <f>'Kwh Consumption'!D28</f>
        <v>-2459200</v>
      </c>
      <c r="E27" s="1">
        <f>'Kwh Consumption'!E28</f>
        <v>-235300</v>
      </c>
      <c r="F27" s="1">
        <f>('Kwh Consumption'!F28+'Kwh Consumption'!G28+'Kwh Consumption'!H28)</f>
        <v>-907910</v>
      </c>
      <c r="G27" s="16">
        <f>('Kwh Consumption'!I28+'Kwh Consumption'!J28)</f>
        <v>-282900</v>
      </c>
      <c r="H27" s="1">
        <f>('Kwh Consumption'!K28+'Kwh Consumption'!L28)</f>
        <v>-1258030</v>
      </c>
      <c r="I27" s="1">
        <f>('Kwh Consumption'!M28+'Kwh Consumption'!N28+'Kwh Consumption'!O28+'Kwh Consumption'!P28+'Kwh Consumption'!Q28+'Kwh Consumption'!R28)</f>
        <v>-3550790</v>
      </c>
      <c r="J27" s="1">
        <f>('Kwh Consumption'!S28+'Kwh Consumption'!T28)</f>
        <v>-15803742.440000001</v>
      </c>
      <c r="K27" s="1">
        <f>'Kwh Consumption'!U28</f>
        <v>-156950</v>
      </c>
      <c r="L27" s="32">
        <f t="shared" si="0"/>
        <v>25086582.440000001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552720.00000000058</v>
      </c>
      <c r="C34" s="75">
        <f>SUM(C3:C33)</f>
        <v>-420700</v>
      </c>
      <c r="D34" s="75">
        <f t="shared" ref="D34:L34" si="1">SUM(D3:D33)</f>
        <v>-2380799.9999999995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-15665211.440000001</v>
      </c>
      <c r="K34" s="75">
        <f t="shared" si="1"/>
        <v>-151380</v>
      </c>
      <c r="L34" s="75">
        <f t="shared" si="1"/>
        <v>25220701.440000001</v>
      </c>
      <c r="M34" s="84">
        <f>C34+D34+E34+F34+G34+H34+I34+J34+K34+L34</f>
        <v>552720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-333311.99999999994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3530898.2016000007</v>
      </c>
      <c r="M36" s="84">
        <f>C36+D36+E36+F36+G36+H36+I36+J36+K36+L36</f>
        <v>77380.800000000279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3219.9999999998731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30.799999999999844</v>
      </c>
      <c r="G23" s="1">
        <f>('Kwh Consumption'!F24+'Kwh Consumption'!G24+'Kwh Consumption'!H24)*' Kwh area wise $ '!B23</f>
        <v>95.200000000000969</v>
      </c>
      <c r="H23" s="16">
        <f>('Kwh Consumption'!I24+'Kwh Consumption'!J24)*' Kwh area wise $ '!B23</f>
        <v>44.800000000001042</v>
      </c>
      <c r="I23" s="1">
        <f>('Kwh Consumption'!K24+'Kwh Consumption'!L24)*' Kwh area wise $ '!B23</f>
        <v>240.79999999999589</v>
      </c>
      <c r="J23" s="1">
        <f>('Kwh Consumption'!M24+'Kwh Consumption'!N24+'Kwh Consumption'!O24+'Kwh Consumption'!P24+'Kwh Consumption'!Q24+'Kwh Consumption'!R24)*' Kwh area wise $ '!B23</f>
        <v>648.19999999998356</v>
      </c>
      <c r="K23" s="1">
        <f>('Kwh Consumption'!S24+'Kwh Consumption'!T24)*' Kwh area wise $ '!B23</f>
        <v>854.08819999998445</v>
      </c>
      <c r="L23" s="1">
        <f>'Kwh Consumption'!U24*' Kwh area wise $ '!B23</f>
        <v>33.600000000001273</v>
      </c>
      <c r="M23" s="1">
        <f>'Kwh Consumption'!V24*' Kwh area wise $ '!B23</f>
        <v>865.11179999988224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3430.000000000191</v>
      </c>
      <c r="D24" s="1">
        <f>'Kwh Consumption'!C25*' Kwh area wise $ '!B24</f>
        <v>72.800000000005411</v>
      </c>
      <c r="E24" s="1">
        <f>'Kwh Consumption'!D25*' Kwh area wise $ '!B24</f>
        <v>377.99999999998948</v>
      </c>
      <c r="F24" s="1">
        <f>'Kwh Consumption'!E25*' Kwh area wise $ '!B24</f>
        <v>37.80000000000144</v>
      </c>
      <c r="G24" s="1">
        <f>('Kwh Consumption'!F25+'Kwh Consumption'!G25+'Kwh Consumption'!H25)*' Kwh area wise $ '!B24</f>
        <v>137.20000000000653</v>
      </c>
      <c r="H24" s="16">
        <f>('Kwh Consumption'!I25+'Kwh Consumption'!J25)*' Kwh area wise $ '!B24</f>
        <v>60.199999999998973</v>
      </c>
      <c r="I24" s="1">
        <f>('Kwh Consumption'!K25+'Kwh Consumption'!L25)*' Kwh area wise $ '!B24</f>
        <v>264.60000000000207</v>
      </c>
      <c r="J24" s="1">
        <f>('Kwh Consumption'!M25+'Kwh Consumption'!N25+'Kwh Consumption'!O25+'Kwh Consumption'!P25+'Kwh Consumption'!Q25+'Kwh Consumption'!R25)*' Kwh area wise $ '!B24</f>
        <v>728.0000000000224</v>
      </c>
      <c r="K24" s="1">
        <f>('Kwh Consumption'!S25+'Kwh Consumption'!T25)*' Kwh area wise $ '!B24</f>
        <v>911.61139999996874</v>
      </c>
      <c r="L24" s="1">
        <f>'Kwh Consumption'!U25*' Kwh area wise $ '!B24</f>
        <v>44.799999999999052</v>
      </c>
      <c r="M24" s="1">
        <f>'Kwh Consumption'!V25*' Kwh area wise $ '!B24</f>
        <v>794.98860000019693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3112.1999999998438</v>
      </c>
      <c r="D25" s="1">
        <f>'Kwh Consumption'!C26*' Kwh area wise $ '!B25</f>
        <v>11.199999999997774</v>
      </c>
      <c r="E25" s="1">
        <f>'Kwh Consumption'!D26*' Kwh area wise $ '!B25</f>
        <v>349.99999999999261</v>
      </c>
      <c r="F25" s="1">
        <f>'Kwh Consumption'!E26*' Kwh area wise $ '!B25</f>
        <v>37.80000000000144</v>
      </c>
      <c r="G25" s="1">
        <f>('Kwh Consumption'!F26+'Kwh Consumption'!G26+'Kwh Consumption'!H26)*' Kwh area wise $ '!B25</f>
        <v>92.399999999995558</v>
      </c>
      <c r="H25" s="16">
        <f>('Kwh Consumption'!I26+'Kwh Consumption'!J26)*' Kwh area wise $ '!B25</f>
        <v>65.80000000000183</v>
      </c>
      <c r="I25" s="1">
        <f>('Kwh Consumption'!K26+'Kwh Consumption'!L26)*' Kwh area wise $ '!B25</f>
        <v>225.4000000000099</v>
      </c>
      <c r="J25" s="1">
        <f>('Kwh Consumption'!M26+'Kwh Consumption'!N26+'Kwh Consumption'!O26+'Kwh Consumption'!P26+'Kwh Consumption'!Q26+'Kwh Consumption'!R26)*' Kwh area wise $ '!B25</f>
        <v>585.199999999993</v>
      </c>
      <c r="K25" s="1">
        <f>('Kwh Consumption'!S26+'Kwh Consumption'!T26)*' Kwh area wise $ '!B25</f>
        <v>687.1074000000209</v>
      </c>
      <c r="L25" s="1">
        <f>'Kwh Consumption'!U26*' Kwh area wise $ '!B25</f>
        <v>36.399999999998727</v>
      </c>
      <c r="M25" s="1">
        <f>'Kwh Consumption'!V26*' Kwh area wise $ '!B25</f>
        <v>1020.892599999832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3150.000000000096</v>
      </c>
      <c r="D26" s="1">
        <f>'Kwh Consumption'!C27*' Kwh area wise $ '!B26</f>
        <v>106.39999999999874</v>
      </c>
      <c r="E26" s="1">
        <f>'Kwh Consumption'!D27*' Kwh area wise $ '!B26</f>
        <v>3164.0000000000246</v>
      </c>
      <c r="F26" s="1">
        <f>'Kwh Consumption'!E27*' Kwh area wise $ '!B26</f>
        <v>35</v>
      </c>
      <c r="G26" s="1">
        <f>('Kwh Consumption'!F27+'Kwh Consumption'!G27+'Kwh Consumption'!H27)*' Kwh area wise $ '!B26</f>
        <v>118.99999999999524</v>
      </c>
      <c r="H26" s="16">
        <f>('Kwh Consumption'!I27+'Kwh Consumption'!J27)*' Kwh area wise $ '!B26</f>
        <v>33.599999999999284</v>
      </c>
      <c r="I26" s="1">
        <f>('Kwh Consumption'!K27+'Kwh Consumption'!L27)*' Kwh area wise $ '!B26</f>
        <v>240.79999999999589</v>
      </c>
      <c r="J26" s="1">
        <f>('Kwh Consumption'!M27+'Kwh Consumption'!N27+'Kwh Consumption'!O27+'Kwh Consumption'!P27+'Kwh Consumption'!Q27+'Kwh Consumption'!R27)*' Kwh area wise $ '!B26</f>
        <v>614.60000000000616</v>
      </c>
      <c r="K26" s="1">
        <f>('Kwh Consumption'!S27+'Kwh Consumption'!T27)*' Kwh area wise $ '!B26</f>
        <v>797.04940000012527</v>
      </c>
      <c r="L26" s="1">
        <f>'Kwh Consumption'!U27*' Kwh area wise $ '!B26</f>
        <v>36.399999999998727</v>
      </c>
      <c r="M26" s="1">
        <f>'Kwh Consumption'!V27*' Kwh area wise $ '!B26</f>
        <v>-1996.849400000048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-60446.400000000009</v>
      </c>
      <c r="E27" s="1">
        <f>'Kwh Consumption'!D28*' Kwh area wise $ '!B27</f>
        <v>-344288.00000000006</v>
      </c>
      <c r="F27" s="1">
        <f>'Kwh Consumption'!E28*' Kwh area wise $ '!B27</f>
        <v>-32942</v>
      </c>
      <c r="G27" s="1">
        <f>('Kwh Consumption'!F28+'Kwh Consumption'!G28+'Kwh Consumption'!H28)*' Kwh area wise $ '!B27</f>
        <v>-127107.40000000001</v>
      </c>
      <c r="H27" s="16">
        <f>('Kwh Consumption'!I28+'Kwh Consumption'!J28)*' Kwh area wise $ '!B27</f>
        <v>-39606.000000000007</v>
      </c>
      <c r="I27" s="1">
        <f>('Kwh Consumption'!K28+'Kwh Consumption'!L28)*' Kwh area wise $ '!B27</f>
        <v>-176124.2</v>
      </c>
      <c r="J27" s="1">
        <f>('Kwh Consumption'!M28+'Kwh Consumption'!N28+'Kwh Consumption'!O28+'Kwh Consumption'!P28+'Kwh Consumption'!Q28+'Kwh Consumption'!R28)*' Kwh area wise $ '!B27</f>
        <v>-497110.60000000003</v>
      </c>
      <c r="K27" s="1">
        <f>('Kwh Consumption'!S28+'Kwh Consumption'!T28)*' Kwh area wise $ '!B27</f>
        <v>-2212523.9416000005</v>
      </c>
      <c r="L27" s="1">
        <f>'Kwh Consumption'!U28*' Kwh area wise $ '!B27</f>
        <v>-21973.000000000004</v>
      </c>
      <c r="M27" s="1">
        <f>'Kwh Consumption'!V28*' Kwh area wise $ '!B27</f>
        <v>3512121.5416000006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77828.80000000009</v>
      </c>
      <c r="D34" s="75">
        <f t="shared" si="0"/>
        <v>-58898.000000000007</v>
      </c>
      <c r="E34" s="75">
        <f t="shared" si="0"/>
        <v>-333312</v>
      </c>
      <c r="F34" s="75">
        <f t="shared" si="0"/>
        <v>-32141.200000000001</v>
      </c>
      <c r="G34" s="75">
        <f t="shared" si="0"/>
        <v>-124762.40000000001</v>
      </c>
      <c r="H34" s="75">
        <f t="shared" si="0"/>
        <v>-38204.600000000006</v>
      </c>
      <c r="I34" s="75">
        <f t="shared" si="0"/>
        <v>-170410.8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-21193.200000000004</v>
      </c>
      <c r="M34" s="75">
        <f>SUM(M3:M33)</f>
        <v>3531346.2016000003</v>
      </c>
      <c r="N34" s="84">
        <f>D34+E34+F34+G34+H34+I34+J34+K34+L34+M34</f>
        <v>77828.799999999814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H30" sqref="H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>
        <v>171248</v>
      </c>
      <c r="C24" s="56">
        <v>133104</v>
      </c>
      <c r="D24" s="55">
        <v>212049</v>
      </c>
      <c r="E24" s="55">
        <v>249113</v>
      </c>
      <c r="F24" s="55">
        <v>66948</v>
      </c>
      <c r="G24" s="55">
        <v>111988</v>
      </c>
      <c r="H24" s="33">
        <v>53927</v>
      </c>
      <c r="I24" s="55">
        <v>64181</v>
      </c>
      <c r="J24" s="55">
        <v>20552</v>
      </c>
      <c r="K24" s="55">
        <v>1024</v>
      </c>
      <c r="L24" s="55">
        <v>17395</v>
      </c>
      <c r="M24" s="55">
        <v>24488</v>
      </c>
      <c r="N24" s="55">
        <v>7395</v>
      </c>
      <c r="O24" s="55">
        <v>1691</v>
      </c>
      <c r="P24" s="55">
        <v>27213</v>
      </c>
      <c r="Q24" s="33">
        <v>744</v>
      </c>
      <c r="R24" s="55">
        <v>6342</v>
      </c>
    </row>
    <row r="25" spans="1:22" x14ac:dyDescent="0.25">
      <c r="A25" s="54">
        <v>44400</v>
      </c>
      <c r="B25" s="33">
        <v>171362</v>
      </c>
      <c r="C25" s="33">
        <v>133122</v>
      </c>
      <c r="D25" s="55">
        <v>212161</v>
      </c>
      <c r="E25" s="55">
        <v>249175</v>
      </c>
      <c r="F25" s="55">
        <v>66949</v>
      </c>
      <c r="G25" s="55">
        <v>112011</v>
      </c>
      <c r="H25" s="33">
        <v>53987</v>
      </c>
      <c r="I25" s="55">
        <v>64217</v>
      </c>
      <c r="J25" s="55">
        <v>20564</v>
      </c>
      <c r="K25" s="55">
        <v>1024</v>
      </c>
      <c r="L25" s="55">
        <v>17402</v>
      </c>
      <c r="M25" s="55">
        <v>24504</v>
      </c>
      <c r="N25" s="55">
        <v>7398</v>
      </c>
      <c r="O25" s="55">
        <v>1692</v>
      </c>
      <c r="P25" s="55">
        <v>27225</v>
      </c>
      <c r="Q25" s="33">
        <v>748</v>
      </c>
      <c r="R25" s="55">
        <v>6347</v>
      </c>
    </row>
    <row r="26" spans="1:22" x14ac:dyDescent="0.25">
      <c r="A26" s="54">
        <v>44401</v>
      </c>
      <c r="B26" s="33">
        <v>171439</v>
      </c>
      <c r="C26" s="56">
        <v>133122</v>
      </c>
      <c r="D26" s="55">
        <v>212272</v>
      </c>
      <c r="E26" s="55">
        <v>249232</v>
      </c>
      <c r="F26" s="55">
        <v>66950</v>
      </c>
      <c r="G26" s="55">
        <v>112028</v>
      </c>
      <c r="H26" s="33">
        <v>54044</v>
      </c>
      <c r="I26" s="55">
        <v>64240</v>
      </c>
      <c r="J26" s="55">
        <v>20575</v>
      </c>
      <c r="K26" s="55">
        <v>1024</v>
      </c>
      <c r="L26" s="55">
        <v>17409</v>
      </c>
      <c r="M26" s="55">
        <v>24521</v>
      </c>
      <c r="N26" s="55">
        <v>7403</v>
      </c>
      <c r="O26" s="55">
        <v>1693</v>
      </c>
      <c r="P26" s="55">
        <v>27225</v>
      </c>
      <c r="Q26" s="33">
        <v>748</v>
      </c>
      <c r="R26" s="55">
        <v>6350</v>
      </c>
    </row>
    <row r="27" spans="1:22" x14ac:dyDescent="0.25">
      <c r="A27" s="54">
        <v>44402</v>
      </c>
      <c r="B27" s="33">
        <v>171570</v>
      </c>
      <c r="C27" s="33">
        <v>133128</v>
      </c>
      <c r="D27" s="55">
        <v>212403</v>
      </c>
      <c r="E27" s="55">
        <v>249292</v>
      </c>
      <c r="F27" s="55">
        <v>66951</v>
      </c>
      <c r="G27" s="55">
        <v>112048</v>
      </c>
      <c r="H27" s="33">
        <v>54082</v>
      </c>
      <c r="I27" s="55">
        <v>64274</v>
      </c>
      <c r="J27" s="55">
        <v>20587</v>
      </c>
      <c r="K27" s="55">
        <v>1024</v>
      </c>
      <c r="L27" s="55">
        <v>17417</v>
      </c>
      <c r="M27" s="55">
        <v>24537</v>
      </c>
      <c r="N27" s="55">
        <v>7407</v>
      </c>
      <c r="O27" s="55">
        <v>1695</v>
      </c>
      <c r="P27" s="55">
        <v>27243</v>
      </c>
      <c r="Q27" s="33">
        <v>758</v>
      </c>
      <c r="R27" s="55">
        <v>6388</v>
      </c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U27" sqref="U2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323</v>
      </c>
      <c r="C24" s="66">
        <f>('Water Reading'!B24-'Water Reading'!B23)+('Water Reading'!C24-'Water Reading'!C23)</f>
        <v>767</v>
      </c>
      <c r="D24" s="67">
        <f t="shared" si="2"/>
        <v>2.3746130030959751</v>
      </c>
      <c r="E24" s="87">
        <f>'Water Reading'!H24-'Water Reading'!H23</f>
        <v>58</v>
      </c>
      <c r="F24" s="89">
        <f t="shared" si="3"/>
        <v>7.5619295958279015E-2</v>
      </c>
      <c r="G24" s="93">
        <f>('Water Reading'!D24-'Water Reading'!D23)-('Water Reading'!R24-'Water Reading'!R23)-('Water Reading'!Q24-'Water Reading'!Q23)</f>
        <v>70</v>
      </c>
      <c r="H24" s="89">
        <f t="shared" si="4"/>
        <v>9.126466753585398E-2</v>
      </c>
      <c r="I24" s="90">
        <f>'Water Reading'!P24-'Water Reading'!P23</f>
        <v>12</v>
      </c>
      <c r="J24" s="68">
        <f t="shared" si="5"/>
        <v>1.5645371577574969E-2</v>
      </c>
      <c r="K24" s="91">
        <f>('Water Reading'!I24-'Water Reading'!I23)-('Water Reading'!P24-'Water Reading'!P23)</f>
        <v>18</v>
      </c>
      <c r="L24" s="68">
        <f t="shared" si="6"/>
        <v>2.3468057366362451E-2</v>
      </c>
      <c r="M24" s="90">
        <f>'Water Reading'!R24-'Water Reading'!R23</f>
        <v>7</v>
      </c>
      <c r="N24" s="92">
        <f t="shared" si="7"/>
        <v>9.126466753585397E-3</v>
      </c>
      <c r="O24" s="90">
        <f>'Water Reading'!Q24-'Water Reading'!Q23</f>
        <v>5</v>
      </c>
      <c r="P24" s="99">
        <f t="shared" si="8"/>
        <v>6.51890482398957E-3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7.5619295958279015E-2</v>
      </c>
      <c r="U24" s="90">
        <f>'Water Reading'!G24-'Water Reading'!G23</f>
        <v>18</v>
      </c>
      <c r="V24" s="100">
        <f t="shared" si="11"/>
        <v>2.3468057366362451E-2</v>
      </c>
      <c r="W24" s="90">
        <f>'Water Reading'!J24-'Water Reading'!J23</f>
        <v>11</v>
      </c>
      <c r="X24" s="100">
        <f t="shared" si="12"/>
        <v>1.4341590612777053E-2</v>
      </c>
      <c r="Y24" s="66">
        <f t="shared" si="0"/>
        <v>257</v>
      </c>
      <c r="Z24" s="67">
        <f t="shared" si="1"/>
        <v>0.79566563467492257</v>
      </c>
    </row>
    <row r="25" spans="1:26" x14ac:dyDescent="0.25">
      <c r="A25" s="8">
        <f>'Water Reading'!A24</f>
        <v>44399</v>
      </c>
      <c r="B25" s="65">
        <f>TOTAL!I23</f>
        <v>255</v>
      </c>
      <c r="C25" s="66">
        <f>('Water Reading'!B25-'Water Reading'!B24)+('Water Reading'!C25-'Water Reading'!C24)</f>
        <v>132</v>
      </c>
      <c r="D25" s="67">
        <f t="shared" si="2"/>
        <v>0.51764705882352946</v>
      </c>
      <c r="E25" s="87">
        <f>'Water Reading'!H25-'Water Reading'!H24</f>
        <v>60</v>
      </c>
      <c r="F25" s="89">
        <f t="shared" si="3"/>
        <v>0.45454545454545453</v>
      </c>
      <c r="G25" s="93">
        <f>('Water Reading'!D25-'Water Reading'!D24)-('Water Reading'!R25-'Water Reading'!R24)-('Water Reading'!Q25-'Water Reading'!Q24)</f>
        <v>103</v>
      </c>
      <c r="H25" s="89">
        <f t="shared" si="4"/>
        <v>0.78030303030303028</v>
      </c>
      <c r="I25" s="90">
        <f>'Water Reading'!P25-'Water Reading'!P24</f>
        <v>12</v>
      </c>
      <c r="J25" s="68">
        <f t="shared" si="5"/>
        <v>9.0909090909090912E-2</v>
      </c>
      <c r="K25" s="91">
        <f>('Water Reading'!I25-'Water Reading'!I24)-('Water Reading'!P25-'Water Reading'!P24)</f>
        <v>24</v>
      </c>
      <c r="L25" s="68">
        <f t="shared" si="6"/>
        <v>0.18181818181818182</v>
      </c>
      <c r="M25" s="90">
        <f>'Water Reading'!R25-'Water Reading'!R24</f>
        <v>5</v>
      </c>
      <c r="N25" s="92">
        <f t="shared" si="7"/>
        <v>3.787878787878788E-2</v>
      </c>
      <c r="O25" s="90">
        <f>'Water Reading'!Q25-'Water Reading'!Q24</f>
        <v>4</v>
      </c>
      <c r="P25" s="99">
        <f t="shared" si="8"/>
        <v>3.0303030303030304E-2</v>
      </c>
      <c r="Q25" s="91">
        <f>'Water Reading'!F25-'Water Reading'!F24</f>
        <v>1</v>
      </c>
      <c r="R25" s="100">
        <f t="shared" si="9"/>
        <v>7.575757575757576E-3</v>
      </c>
      <c r="S25" s="94">
        <f>'Water Reading'!E25-'Water Reading'!E24</f>
        <v>62</v>
      </c>
      <c r="T25" s="100">
        <f t="shared" si="10"/>
        <v>0.46969696969696972</v>
      </c>
      <c r="U25" s="90">
        <f>'Water Reading'!G25-'Water Reading'!G24</f>
        <v>23</v>
      </c>
      <c r="V25" s="100">
        <f t="shared" si="11"/>
        <v>0.17424242424242425</v>
      </c>
      <c r="W25" s="90">
        <f>'Water Reading'!J25-'Water Reading'!J24</f>
        <v>12</v>
      </c>
      <c r="X25" s="100">
        <f t="shared" si="12"/>
        <v>9.0909090909090912E-2</v>
      </c>
      <c r="Y25" s="66">
        <f t="shared" si="0"/>
        <v>306</v>
      </c>
      <c r="Z25" s="67">
        <f t="shared" si="1"/>
        <v>1.2</v>
      </c>
    </row>
    <row r="26" spans="1:26" x14ac:dyDescent="0.25">
      <c r="A26" s="8">
        <f>'Water Reading'!A25</f>
        <v>44400</v>
      </c>
      <c r="B26" s="65">
        <f>TOTAL!I24</f>
        <v>281</v>
      </c>
      <c r="C26" s="66">
        <f>('Water Reading'!B26-'Water Reading'!B25)+('Water Reading'!C26-'Water Reading'!C25)</f>
        <v>77</v>
      </c>
      <c r="D26" s="67">
        <f t="shared" si="2"/>
        <v>0.27402135231316727</v>
      </c>
      <c r="E26" s="87">
        <f>'Water Reading'!H26-'Water Reading'!H25</f>
        <v>57</v>
      </c>
      <c r="F26" s="89">
        <f t="shared" si="3"/>
        <v>0.74025974025974028</v>
      </c>
      <c r="G26" s="93">
        <f>('Water Reading'!D26-'Water Reading'!D25)-('Water Reading'!R26-'Water Reading'!R25)-('Water Reading'!Q26-'Water Reading'!Q25)</f>
        <v>108</v>
      </c>
      <c r="H26" s="89">
        <f t="shared" si="4"/>
        <v>1.4025974025974026</v>
      </c>
      <c r="I26" s="90">
        <f>'Water Reading'!P26-'Water Reading'!P25</f>
        <v>0</v>
      </c>
      <c r="J26" s="68">
        <f t="shared" si="5"/>
        <v>0</v>
      </c>
      <c r="K26" s="91">
        <f>('Water Reading'!I26-'Water Reading'!I25)-('Water Reading'!P26-'Water Reading'!P25)</f>
        <v>23</v>
      </c>
      <c r="L26" s="68">
        <f t="shared" si="6"/>
        <v>0.29870129870129869</v>
      </c>
      <c r="M26" s="90">
        <f>'Water Reading'!R26-'Water Reading'!R25</f>
        <v>3</v>
      </c>
      <c r="N26" s="92">
        <f t="shared" si="7"/>
        <v>3.896103896103896E-2</v>
      </c>
      <c r="O26" s="90">
        <f>'Water Reading'!Q26-'Water Reading'!Q25</f>
        <v>0</v>
      </c>
      <c r="P26" s="99">
        <f t="shared" si="8"/>
        <v>0</v>
      </c>
      <c r="Q26" s="91">
        <f>'Water Reading'!F26-'Water Reading'!F25</f>
        <v>1</v>
      </c>
      <c r="R26" s="100">
        <f t="shared" si="9"/>
        <v>1.2987012987012988E-2</v>
      </c>
      <c r="S26" s="94">
        <f>'Water Reading'!E26-'Water Reading'!E25</f>
        <v>57</v>
      </c>
      <c r="T26" s="100">
        <f t="shared" si="10"/>
        <v>0.74025974025974028</v>
      </c>
      <c r="U26" s="90">
        <f>'Water Reading'!G26-'Water Reading'!G25</f>
        <v>17</v>
      </c>
      <c r="V26" s="100">
        <f t="shared" si="11"/>
        <v>0.22077922077922077</v>
      </c>
      <c r="W26" s="90">
        <f>'Water Reading'!J26-'Water Reading'!J25</f>
        <v>11</v>
      </c>
      <c r="X26" s="100">
        <f t="shared" si="12"/>
        <v>0.14285714285714285</v>
      </c>
      <c r="Y26" s="66">
        <f t="shared" si="0"/>
        <v>277</v>
      </c>
      <c r="Z26" s="67">
        <f t="shared" si="1"/>
        <v>0.98576512455516019</v>
      </c>
    </row>
    <row r="27" spans="1:26" x14ac:dyDescent="0.25">
      <c r="A27" s="8">
        <f>'Water Reading'!A26</f>
        <v>44401</v>
      </c>
      <c r="B27" s="65">
        <f>TOTAL!I25</f>
        <v>243</v>
      </c>
      <c r="C27" s="66">
        <f>('Water Reading'!B27-'Water Reading'!B26)+('Water Reading'!C27-'Water Reading'!C26)</f>
        <v>137</v>
      </c>
      <c r="D27" s="67">
        <f t="shared" si="2"/>
        <v>0.56378600823045266</v>
      </c>
      <c r="E27" s="87">
        <f>'Water Reading'!H27-'Water Reading'!H26</f>
        <v>38</v>
      </c>
      <c r="F27" s="89">
        <f t="shared" si="3"/>
        <v>0.27737226277372262</v>
      </c>
      <c r="G27" s="93">
        <f>('Water Reading'!D27-'Water Reading'!D26)-('Water Reading'!R27-'Water Reading'!R26)-('Water Reading'!Q27-'Water Reading'!Q26)</f>
        <v>83</v>
      </c>
      <c r="H27" s="89">
        <f t="shared" si="4"/>
        <v>0.6058394160583942</v>
      </c>
      <c r="I27" s="90">
        <f>'Water Reading'!P27-'Water Reading'!P26</f>
        <v>18</v>
      </c>
      <c r="J27" s="68">
        <f t="shared" si="5"/>
        <v>0.13138686131386862</v>
      </c>
      <c r="K27" s="91">
        <f>('Water Reading'!I27-'Water Reading'!I26)-('Water Reading'!P27-'Water Reading'!P26)</f>
        <v>16</v>
      </c>
      <c r="L27" s="68">
        <f t="shared" si="6"/>
        <v>0.11678832116788321</v>
      </c>
      <c r="M27" s="90">
        <f>'Water Reading'!R27-'Water Reading'!R26</f>
        <v>38</v>
      </c>
      <c r="N27" s="92">
        <f t="shared" si="7"/>
        <v>0.27737226277372262</v>
      </c>
      <c r="O27" s="90">
        <f>'Water Reading'!Q27-'Water Reading'!Q26</f>
        <v>10</v>
      </c>
      <c r="P27" s="99">
        <f t="shared" si="8"/>
        <v>7.2992700729927001E-2</v>
      </c>
      <c r="Q27" s="91">
        <f>'Water Reading'!F27-'Water Reading'!F26</f>
        <v>1</v>
      </c>
      <c r="R27" s="100">
        <f t="shared" si="9"/>
        <v>7.2992700729927005E-3</v>
      </c>
      <c r="S27" s="94">
        <f>'Water Reading'!E27-'Water Reading'!E26</f>
        <v>60</v>
      </c>
      <c r="T27" s="100">
        <f t="shared" si="10"/>
        <v>0.43795620437956206</v>
      </c>
      <c r="U27" s="90">
        <f>'Water Reading'!G27-'Water Reading'!G26</f>
        <v>20</v>
      </c>
      <c r="V27" s="100">
        <f t="shared" si="11"/>
        <v>0.145985401459854</v>
      </c>
      <c r="W27" s="90">
        <f>'Water Reading'!J27-'Water Reading'!J26</f>
        <v>12</v>
      </c>
      <c r="X27" s="100">
        <f t="shared" si="12"/>
        <v>8.7591240875912413E-2</v>
      </c>
      <c r="Y27" s="66">
        <f t="shared" si="0"/>
        <v>296</v>
      </c>
      <c r="Z27" s="67">
        <f t="shared" si="1"/>
        <v>1.2181069958847737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-304698</v>
      </c>
      <c r="D28" s="67" t="e">
        <f t="shared" si="2"/>
        <v>#DIV/0!</v>
      </c>
      <c r="E28" s="87">
        <f>'Water Reading'!H28-'Water Reading'!H27</f>
        <v>-54082</v>
      </c>
      <c r="F28" s="89">
        <f t="shared" si="3"/>
        <v>0.17749378072714622</v>
      </c>
      <c r="G28" s="93">
        <f>('Water Reading'!D28-'Water Reading'!D27)-('Water Reading'!R28-'Water Reading'!R27)-('Water Reading'!Q28-'Water Reading'!Q27)</f>
        <v>-205257</v>
      </c>
      <c r="H28" s="89">
        <f t="shared" si="4"/>
        <v>0.67364078530216809</v>
      </c>
      <c r="I28" s="90">
        <f>'Water Reading'!P28-'Water Reading'!P27</f>
        <v>-27243</v>
      </c>
      <c r="J28" s="68">
        <f t="shared" si="5"/>
        <v>8.9409841876218421E-2</v>
      </c>
      <c r="K28" s="91">
        <f>('Water Reading'!I28-'Water Reading'!I27)-('Water Reading'!P28-'Water Reading'!P27)</f>
        <v>-37031</v>
      </c>
      <c r="L28" s="68">
        <f t="shared" si="6"/>
        <v>0.12153345279588314</v>
      </c>
      <c r="M28" s="90">
        <f>'Water Reading'!R28-'Water Reading'!R27</f>
        <v>-6388</v>
      </c>
      <c r="N28" s="92">
        <f t="shared" si="7"/>
        <v>2.0965021102862507E-2</v>
      </c>
      <c r="O28" s="90">
        <f>'Water Reading'!Q28-'Water Reading'!Q27</f>
        <v>-758</v>
      </c>
      <c r="P28" s="99">
        <f t="shared" si="8"/>
        <v>2.4877091415106104E-3</v>
      </c>
      <c r="Q28" s="91">
        <f>'Water Reading'!F28-'Water Reading'!F27</f>
        <v>-66951</v>
      </c>
      <c r="R28" s="100">
        <f t="shared" si="9"/>
        <v>0.21972904318374259</v>
      </c>
      <c r="S28" s="94">
        <f>'Water Reading'!E28-'Water Reading'!E27</f>
        <v>-249292</v>
      </c>
      <c r="T28" s="100">
        <f t="shared" si="10"/>
        <v>0.81816093312066374</v>
      </c>
      <c r="U28" s="90">
        <f>'Water Reading'!G28-'Water Reading'!G27</f>
        <v>-112048</v>
      </c>
      <c r="V28" s="100">
        <f t="shared" si="11"/>
        <v>0.36773460935089824</v>
      </c>
      <c r="W28" s="90">
        <f>'Water Reading'!J28-'Water Reading'!J27</f>
        <v>-20587</v>
      </c>
      <c r="X28" s="100">
        <f t="shared" si="12"/>
        <v>6.7565261340737384E-2</v>
      </c>
      <c r="Y28" s="66">
        <f t="shared" si="0"/>
        <v>-779637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6772</v>
      </c>
      <c r="C35" s="75">
        <f>SUM(C4:C34)</f>
        <v>-297465</v>
      </c>
      <c r="D35" s="96">
        <f>C35/B35</f>
        <v>-43.925723567631422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-114.08284111045481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2021-07-25T06:09:58Z</dcterms:modified>
  <cp:category/>
  <cp:contentStatus/>
</cp:coreProperties>
</file>