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<sst xmlns="http://schemas.openxmlformats.org/spreadsheetml/2006/main" count="106" uniqueCount="37">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</sst>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N29" sqref="N2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11035</v>
      </c>
      <c r="F20" s="25">
        <v>0.11799999999999999</v>
      </c>
      <c r="G20" s="27">
        <f>(('12 - 2019'!E25-'12 - 2019'!E24)+('12 - 2019'!F25-'12 - 2019'!F24)+('12 - 2019'!G25-'12 - 2019'!G24))*1.81</f>
        <v>129.63219999999939</v>
      </c>
      <c r="H20" s="25">
        <v>0.99</v>
      </c>
      <c r="I20" s="27">
        <f>'12 - 2019'!J25-'12 - 2019'!J24</f>
        <v>19690</v>
      </c>
      <c r="J20" s="25">
        <v>8.1000000000000003E-2</v>
      </c>
      <c r="K20" s="27">
        <f>'12 - 2019'!H25-'12 - 2019'!H24</f>
        <v>0</v>
      </c>
      <c r="L20" s="27">
        <f>'12 - 2019'!I25-'12 - 2019'!I24</f>
        <v>117</v>
      </c>
      <c r="M20" s="26">
        <v>4.393629424766913</v>
      </c>
      <c r="N20" s="27">
        <v>87</v>
      </c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9622</v>
      </c>
      <c r="F21" s="25">
        <v>0.11799999999999999</v>
      </c>
      <c r="G21" s="27">
        <f>(('12 - 2019'!E26-'12 - 2019'!E25)+('12 - 2019'!F26-'12 - 2019'!F25)+('12 - 2019'!G26-'12 - 2019'!G25))*1.81</f>
        <v>143.82260000000008</v>
      </c>
      <c r="H21" s="25">
        <v>0.99</v>
      </c>
      <c r="I21" s="27">
        <f>'12 - 2019'!J26-'12 - 2019'!J25</f>
        <v>14817</v>
      </c>
      <c r="J21" s="25">
        <v>8.1000000000000003E-2</v>
      </c>
      <c r="K21" s="27">
        <f>'12 - 2019'!H26-'12 - 2019'!H25</f>
        <v>0</v>
      </c>
      <c r="L21" s="27">
        <f>'12 - 2019'!I26-'12 - 2019'!I25</f>
        <v>118</v>
      </c>
      <c r="M21" s="26">
        <v>4.393629424766913</v>
      </c>
      <c r="N21" s="6">
        <v>84</v>
      </c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9987</v>
      </c>
      <c r="F22" s="25">
        <v>0.11799999999999999</v>
      </c>
      <c r="G22" s="27">
        <f>(('12 - 2019'!E27-'12 - 2019'!E26)+('12 - 2019'!F27-'12 - 2019'!F26)+('12 - 2019'!G27-'12 - 2019'!G26))*1.81</f>
        <v>133.34270000000177</v>
      </c>
      <c r="H22" s="25">
        <v>0.99</v>
      </c>
      <c r="I22" s="27">
        <f>'12 - 2019'!J27-'12 - 2019'!J26</f>
        <v>12479</v>
      </c>
      <c r="J22" s="25">
        <v>8.1000000000000003E-2</v>
      </c>
      <c r="K22" s="27">
        <f>'12 - 2019'!H27-'12 - 2019'!H26</f>
        <v>0</v>
      </c>
      <c r="L22" s="27">
        <f>'12 - 2019'!I27-'12 - 2019'!I26</f>
        <v>110</v>
      </c>
      <c r="M22" s="26">
        <v>4.393629424766913</v>
      </c>
      <c r="N22" s="6">
        <v>63</v>
      </c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9713</v>
      </c>
      <c r="F23" s="25">
        <v>0.11799999999999999</v>
      </c>
      <c r="G23" s="27">
        <f>(('12 - 2019'!E28-'12 - 2019'!E27)+('12 - 2019'!F28-'12 - 2019'!F27)+('12 - 2019'!G28-'12 - 2019'!G27))*1.81</f>
        <v>126.26559999999876</v>
      </c>
      <c r="H23" s="25">
        <v>0.99</v>
      </c>
      <c r="I23" s="27">
        <f>'12 - 2019'!J28-'12 - 2019'!J27</f>
        <v>11951</v>
      </c>
      <c r="J23" s="25">
        <v>8.1000000000000003E-2</v>
      </c>
      <c r="K23" s="27">
        <f>'12 - 2019'!H28-'12 - 2019'!H27</f>
        <v>0</v>
      </c>
      <c r="L23" s="27">
        <f>'12 - 2019'!I28-'12 - 2019'!I27</f>
        <v>112</v>
      </c>
      <c r="M23" s="26">
        <v>4.393629424766913</v>
      </c>
      <c r="N23" s="6">
        <v>51</v>
      </c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v>0</v>
      </c>
      <c r="F24" s="25">
        <v>0.11799999999999999</v>
      </c>
      <c r="G24" s="27">
        <v>0</v>
      </c>
      <c r="H24" s="25">
        <v>0.99</v>
      </c>
      <c r="I24" s="27">
        <v>0</v>
      </c>
      <c r="J24" s="25">
        <v>8.1000000000000003E-2</v>
      </c>
      <c r="K24" s="27">
        <v>0</v>
      </c>
      <c r="L24" s="27"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I26" sqref="I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4084</v>
      </c>
      <c r="F20" s="27">
        <f>'12 - 2019'!C25-'12 - 2019'!C24</f>
        <v>6951</v>
      </c>
      <c r="G20" s="25">
        <v>0.11799999999999999</v>
      </c>
      <c r="H20" s="27">
        <f>'12 - 2019'!E25-'12 - 2019'!E24</f>
        <v>25.549999999999272</v>
      </c>
      <c r="I20" s="27">
        <f>'12 - 2019'!F25-'12 - 2019'!F24</f>
        <v>5.2200000000000273</v>
      </c>
      <c r="J20" s="27">
        <f>'12 - 2019'!G25-'12 - 2019'!G24</f>
        <v>40.850000000000364</v>
      </c>
      <c r="K20" s="25">
        <v>0.74</v>
      </c>
      <c r="L20" s="6">
        <v>87</v>
      </c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3790</v>
      </c>
      <c r="F21" s="27">
        <f>'12 - 2019'!C26-'12 - 2019'!C25</f>
        <v>5832</v>
      </c>
      <c r="G21" s="25">
        <v>0.11799999999999999</v>
      </c>
      <c r="H21" s="27">
        <f>'12 - 2019'!E26-'12 - 2019'!E25</f>
        <v>26.540000000000873</v>
      </c>
      <c r="I21" s="27">
        <f>'12 - 2019'!F26-'12 - 2019'!F25</f>
        <v>6.8699999999998909</v>
      </c>
      <c r="J21" s="27">
        <f>'12 - 2019'!G26-'12 - 2019'!G25</f>
        <v>46.049999999999272</v>
      </c>
      <c r="K21" s="25">
        <v>0.74</v>
      </c>
      <c r="L21" s="6">
        <v>84</v>
      </c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3867</v>
      </c>
      <c r="F22" s="27">
        <f>'12 - 2019'!C27-'12 - 2019'!C26</f>
        <v>6120</v>
      </c>
      <c r="G22" s="25">
        <v>0.11799999999999999</v>
      </c>
      <c r="H22" s="27">
        <f>'12 - 2019'!E27-'12 - 2019'!E26</f>
        <v>25.530000000000655</v>
      </c>
      <c r="I22" s="27">
        <f>'12 - 2019'!F27-'12 - 2019'!F26</f>
        <v>6.3800000000001091</v>
      </c>
      <c r="J22" s="27">
        <f>'12 - 2019'!G27-'12 - 2019'!G26</f>
        <v>41.760000000000218</v>
      </c>
      <c r="K22" s="25">
        <v>0.74</v>
      </c>
      <c r="L22" s="27">
        <v>63</v>
      </c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3756</v>
      </c>
      <c r="F23" s="27">
        <f>'12 - 2019'!C28-'12 - 2019'!C27</f>
        <v>5957</v>
      </c>
      <c r="G23" s="25">
        <v>0.11799999999999999</v>
      </c>
      <c r="H23" s="27">
        <f>'12 - 2019'!E28-'12 - 2019'!E27</f>
        <v>25.949999999998909</v>
      </c>
      <c r="I23" s="27">
        <f>'12 - 2019'!F28-'12 - 2019'!F27</f>
        <v>5.1199999999998909</v>
      </c>
      <c r="J23" s="27">
        <f>'12 - 2019'!G28-'12 - 2019'!G27</f>
        <v>38.690000000000509</v>
      </c>
      <c r="K23" s="25">
        <v>0.74</v>
      </c>
      <c r="L23" s="27">
        <v>51</v>
      </c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v>0</v>
      </c>
      <c r="F24" s="27">
        <v>0</v>
      </c>
      <c r="G24" s="25">
        <v>0.11799999999999999</v>
      </c>
      <c r="H24" s="27">
        <v>0</v>
      </c>
      <c r="I24" s="27">
        <v>0</v>
      </c>
      <c r="J24" s="27"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8" sqref="B28:J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>
        <v>323903</v>
      </c>
      <c r="C25" s="18">
        <v>189943</v>
      </c>
      <c r="D25" s="29">
        <v>0.78</v>
      </c>
      <c r="E25" s="30">
        <v>8446.5499999999993</v>
      </c>
      <c r="F25" s="30">
        <v>1580.22</v>
      </c>
      <c r="G25" s="18">
        <v>14647.85</v>
      </c>
      <c r="H25" s="16">
        <v>14528</v>
      </c>
      <c r="I25" s="16">
        <v>82192</v>
      </c>
      <c r="J25" s="16">
        <v>37066505</v>
      </c>
      <c r="K25" s="28"/>
      <c r="L25" s="35"/>
    </row>
    <row r="26" spans="1:16" ht="12.75" customHeight="1" x14ac:dyDescent="0.25">
      <c r="A26" s="49">
        <v>43819</v>
      </c>
      <c r="B26" s="16">
        <v>327693</v>
      </c>
      <c r="C26" s="16">
        <v>195775</v>
      </c>
      <c r="D26" s="17">
        <v>0.7</v>
      </c>
      <c r="E26" s="30">
        <v>8473.09</v>
      </c>
      <c r="F26" s="30">
        <v>1587.09</v>
      </c>
      <c r="G26" s="18">
        <v>14693.9</v>
      </c>
      <c r="H26" s="16">
        <v>14528</v>
      </c>
      <c r="I26" s="16">
        <v>82310</v>
      </c>
      <c r="J26" s="16">
        <v>37081322</v>
      </c>
      <c r="K26" s="19"/>
      <c r="L26" s="34"/>
    </row>
    <row r="27" spans="1:16" ht="12.75" customHeight="1" x14ac:dyDescent="0.25">
      <c r="A27" s="49">
        <v>43820</v>
      </c>
      <c r="B27" s="16">
        <v>331560</v>
      </c>
      <c r="C27" s="16">
        <v>201895</v>
      </c>
      <c r="D27" s="17">
        <v>0.64</v>
      </c>
      <c r="E27" s="30">
        <v>8498.6200000000008</v>
      </c>
      <c r="F27" s="30">
        <v>1593.47</v>
      </c>
      <c r="G27" s="18">
        <v>14735.66</v>
      </c>
      <c r="H27" s="16">
        <v>14528</v>
      </c>
      <c r="I27" s="16">
        <v>82420</v>
      </c>
      <c r="J27" s="16">
        <v>37093801</v>
      </c>
      <c r="K27" s="19"/>
      <c r="L27" s="34"/>
    </row>
    <row r="28" spans="1:16" ht="12.75" customHeight="1" x14ac:dyDescent="0.25">
      <c r="A28" s="49">
        <v>43821</v>
      </c>
      <c r="B28" s="16">
        <v>335316</v>
      </c>
      <c r="C28" s="16">
        <v>207852</v>
      </c>
      <c r="D28" s="17">
        <v>0.56000000000000005</v>
      </c>
      <c r="E28" s="30">
        <v>8524.57</v>
      </c>
      <c r="F28" s="30">
        <v>1598.59</v>
      </c>
      <c r="G28" s="18">
        <v>14774.35</v>
      </c>
      <c r="H28" s="16">
        <v>14528</v>
      </c>
      <c r="I28" s="16">
        <v>82532</v>
      </c>
      <c r="J28" s="16">
        <v>37105752</v>
      </c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2019-12-22T10:50:48Z</dcterms:modified>
</cp:coreProperties>
</file>