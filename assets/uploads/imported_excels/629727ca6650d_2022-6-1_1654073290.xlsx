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HEP Logs\"/>
    </mc:Choice>
  </mc:AlternateContent>
  <xr:revisionPtr revIDLastSave="0" documentId="8_{27734940-097D-4758-B398-20CF36170D7A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7" i="3" l="1"/>
  <c r="R7" i="3"/>
  <c r="K27" i="1"/>
  <c r="L27" i="1"/>
  <c r="K28" i="1"/>
  <c r="L28" i="1"/>
  <c r="K29" i="1"/>
  <c r="L29" i="1"/>
  <c r="K30" i="1"/>
  <c r="L30" i="1"/>
  <c r="K31" i="1"/>
  <c r="L31" i="1"/>
  <c r="K32" i="1"/>
  <c r="L32" i="1"/>
  <c r="K25" i="1"/>
  <c r="L25" i="1"/>
  <c r="K26" i="1"/>
  <c r="L26" i="1"/>
  <c r="K6" i="1"/>
  <c r="L6" i="1"/>
  <c r="K7" i="1"/>
  <c r="L7" i="1"/>
  <c r="K8" i="1"/>
  <c r="L8" i="1"/>
  <c r="K9" i="1"/>
  <c r="L9" i="1"/>
  <c r="B32" i="1"/>
  <c r="B32" i="3"/>
  <c r="B30" i="1"/>
  <c r="B3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2" i="3"/>
  <c r="P2" i="3"/>
  <c r="O2" i="3"/>
  <c r="N2" i="3"/>
  <c r="E2" i="3"/>
  <c r="G2" i="3"/>
  <c r="G3" i="3"/>
  <c r="H2" i="3"/>
  <c r="I2" i="3"/>
  <c r="J2" i="3"/>
  <c r="K2" i="3"/>
  <c r="L2" i="3"/>
  <c r="M2" i="3"/>
  <c r="S29" i="3"/>
  <c r="S30" i="3"/>
  <c r="S31" i="3"/>
  <c r="S32" i="3"/>
  <c r="R29" i="3"/>
  <c r="R30" i="3"/>
  <c r="R31" i="3"/>
  <c r="R32" i="3"/>
  <c r="P29" i="3"/>
  <c r="P30" i="3"/>
  <c r="P31" i="3"/>
  <c r="P32" i="3"/>
  <c r="O29" i="3"/>
  <c r="O30" i="3"/>
  <c r="O31" i="3"/>
  <c r="O32" i="3"/>
  <c r="N29" i="3"/>
  <c r="N30" i="3"/>
  <c r="I30" i="1" s="1"/>
  <c r="N31" i="3"/>
  <c r="I31" i="1" s="1"/>
  <c r="N32" i="3"/>
  <c r="I32" i="1" s="1"/>
  <c r="M29" i="3"/>
  <c r="M30" i="3"/>
  <c r="G30" i="1" s="1"/>
  <c r="M31" i="3"/>
  <c r="G31" i="1" s="1"/>
  <c r="M32" i="3"/>
  <c r="G32" i="1" s="1"/>
  <c r="L29" i="3"/>
  <c r="L30" i="3"/>
  <c r="L31" i="3"/>
  <c r="L32" i="3"/>
  <c r="K29" i="3"/>
  <c r="K30" i="3"/>
  <c r="K31" i="3"/>
  <c r="K32" i="3"/>
  <c r="J29" i="3"/>
  <c r="J30" i="3"/>
  <c r="J31" i="3"/>
  <c r="J32" i="3"/>
  <c r="I29" i="3"/>
  <c r="I30" i="3"/>
  <c r="I31" i="3"/>
  <c r="I32" i="3"/>
  <c r="H29" i="3"/>
  <c r="H30" i="3"/>
  <c r="H31" i="3"/>
  <c r="H32" i="3"/>
  <c r="G30" i="3"/>
  <c r="G31" i="3"/>
  <c r="G32" i="3"/>
  <c r="G29" i="3"/>
  <c r="E29" i="3"/>
  <c r="E30" i="3"/>
  <c r="E30" i="1" s="1"/>
  <c r="E31" i="3"/>
  <c r="E31" i="1" s="1"/>
  <c r="E32" i="3"/>
  <c r="E32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L3" i="1"/>
  <c r="L4" i="1"/>
  <c r="L5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" i="1"/>
  <c r="R2" i="3"/>
  <c r="R3" i="3"/>
  <c r="R4" i="3"/>
  <c r="R5" i="3"/>
  <c r="R6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S21" i="3" l="1"/>
  <c r="S22" i="3"/>
  <c r="S23" i="3"/>
  <c r="S24" i="3"/>
  <c r="S25" i="3"/>
  <c r="S26" i="3"/>
  <c r="S27" i="3"/>
  <c r="S28" i="3"/>
  <c r="K3" i="1" l="1"/>
  <c r="K4" i="1"/>
  <c r="K5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<sst xmlns="http://schemas.openxmlformats.org/spreadsheetml/2006/main" count="117" uniqueCount="46">
  <si>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</si>
  <si>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</si>
  <si>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</si>
  <si>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</si>
  <si>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</si>
  <si>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</si>
  <si>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</si>
  <si>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</si>
  <si>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</si>
  <si>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</si>
  <si>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</si>
  <si>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</si>
  <si>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</si>
  <si>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</si>
  <si>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</si>
  <si>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</si>
  <si>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</si>
  <si>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</si>
  <si>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</si>
  <si>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</si>
  <si>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</si>
  <si>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</si>
  <si>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</si>
  <si>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</si>
  <si>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</si>
  <si>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</si>
  <si>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</si>
  <si>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</si>
  <si>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</si>
  <si>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>Main Site Water Meter</t>
  </si>
  <si>
    <t>Water Softener 
Sub Meter</t>
  </si>
  <si>
    <t>Hard Water Supply Sub Meter</t>
  </si>
  <si>
    <t>Pool Supply Sub Meter</t>
  </si>
  <si>
    <t xml:space="preserve">Kids pool Sub Meter 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</si>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</sst>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1" fontId="0" fillId="0" borderId="0" xfId="0" applyNumberFormat="1"/>
    <xf numFmtId="0" fontId="10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3"/>
  <sheetViews>
    <sheetView topLeftCell="A10" workbookViewId="0">
      <selection activeCell="H36" sqref="H36"/>
    </sheetView>
  </sheetViews>
  <sheetFormatPr defaultColWidth="11.5703125" defaultRowHeight="1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12</v>
      </c>
      <c r="B2" s="2">
        <v>1</v>
      </c>
      <c r="C2" s="2">
        <v>5</v>
      </c>
      <c r="D2" s="2">
        <v>2022</v>
      </c>
      <c r="E2" s="4">
        <f>(Submetering!E2+Submetering!F2)</f>
        <v>6587</v>
      </c>
      <c r="F2" s="12">
        <v>0.35</v>
      </c>
      <c r="G2" s="4">
        <f>Submetering!M2</f>
        <v>2473</v>
      </c>
      <c r="H2" s="12">
        <v>0.77</v>
      </c>
      <c r="I2" s="4">
        <f>Submetering!N2</f>
        <v>112</v>
      </c>
      <c r="J2" s="13">
        <v>2.86</v>
      </c>
      <c r="K2" s="4">
        <f>'Hampshire Daily'!B5</f>
        <v>98</v>
      </c>
      <c r="L2" s="4">
        <f>'Hampshire Daily'!C5</f>
        <v>255</v>
      </c>
    </row>
    <row r="3" spans="1:24">
      <c r="A3" s="3" t="s">
        <v>12</v>
      </c>
      <c r="B3" s="2">
        <f>B2+1</f>
        <v>2</v>
      </c>
      <c r="C3" s="2">
        <v>5</v>
      </c>
      <c r="D3" s="2">
        <v>2022</v>
      </c>
      <c r="E3" s="4">
        <f>Submetering!E3+Submetering!F3</f>
        <v>5812</v>
      </c>
      <c r="F3" s="12">
        <v>0.35</v>
      </c>
      <c r="G3" s="4">
        <f>Submetering!M3</f>
        <v>2722</v>
      </c>
      <c r="H3" s="12">
        <v>0.77</v>
      </c>
      <c r="I3" s="4">
        <f>Submetering!N3</f>
        <v>137</v>
      </c>
      <c r="J3" s="13">
        <v>2.86</v>
      </c>
      <c r="K3" s="4">
        <f>'Hampshire Daily'!B6</f>
        <v>63</v>
      </c>
      <c r="L3" s="4">
        <f>'Hampshire Daily'!C6</f>
        <v>96</v>
      </c>
    </row>
    <row r="4" spans="1:24">
      <c r="A4" s="3" t="s">
        <v>12</v>
      </c>
      <c r="B4" s="2">
        <f t="shared" ref="B4:B32" si="0">B3+1</f>
        <v>3</v>
      </c>
      <c r="C4" s="2">
        <v>5</v>
      </c>
      <c r="D4" s="2">
        <v>2022</v>
      </c>
      <c r="E4" s="4">
        <f>Submetering!E4+Submetering!F4</f>
        <v>5430</v>
      </c>
      <c r="F4" s="12">
        <v>0.35</v>
      </c>
      <c r="G4" s="4">
        <f>Submetering!M4</f>
        <v>2498</v>
      </c>
      <c r="H4" s="12">
        <v>0.77</v>
      </c>
      <c r="I4" s="4">
        <f>Submetering!N4</f>
        <v>99</v>
      </c>
      <c r="J4" s="13">
        <v>2.86</v>
      </c>
      <c r="K4" s="4">
        <f>'Hampshire Daily'!B7</f>
        <v>69</v>
      </c>
      <c r="L4" s="4">
        <f>'Hampshire Daily'!C7</f>
        <v>110</v>
      </c>
    </row>
    <row r="5" spans="1:24">
      <c r="A5" s="3" t="s">
        <v>12</v>
      </c>
      <c r="B5" s="2">
        <f t="shared" si="0"/>
        <v>4</v>
      </c>
      <c r="C5" s="2">
        <v>5</v>
      </c>
      <c r="D5" s="2">
        <v>2022</v>
      </c>
      <c r="E5" s="4">
        <f>Submetering!E5+Submetering!F5</f>
        <v>5734</v>
      </c>
      <c r="F5" s="12">
        <v>0.35</v>
      </c>
      <c r="G5" s="4">
        <f>Submetering!M5</f>
        <v>2467</v>
      </c>
      <c r="H5" s="12">
        <v>0.77</v>
      </c>
      <c r="I5" s="4">
        <f>Submetering!N5</f>
        <v>98</v>
      </c>
      <c r="J5" s="13">
        <v>2.86</v>
      </c>
      <c r="K5" s="4">
        <f>'Hampshire Daily'!B8</f>
        <v>116</v>
      </c>
      <c r="L5" s="4">
        <f>'Hampshire Daily'!C8</f>
        <v>153</v>
      </c>
    </row>
    <row r="6" spans="1:24">
      <c r="A6" s="3" t="s">
        <v>12</v>
      </c>
      <c r="B6" s="2">
        <f t="shared" si="0"/>
        <v>5</v>
      </c>
      <c r="C6" s="2">
        <v>5</v>
      </c>
      <c r="D6" s="2">
        <v>2022</v>
      </c>
      <c r="E6" s="4">
        <f>Submetering!E6+Submetering!F6</f>
        <v>5668</v>
      </c>
      <c r="F6" s="12">
        <v>0.35</v>
      </c>
      <c r="G6" s="4">
        <f>Submetering!M6</f>
        <v>2425</v>
      </c>
      <c r="H6" s="12">
        <v>0.77</v>
      </c>
      <c r="I6" s="4">
        <f>Submetering!N6</f>
        <v>105</v>
      </c>
      <c r="J6" s="13">
        <v>2.86</v>
      </c>
      <c r="K6" s="4">
        <f>'Hampshire Daily'!B9</f>
        <v>128</v>
      </c>
      <c r="L6" s="4">
        <f>'Hampshire Daily'!C9</f>
        <v>144</v>
      </c>
    </row>
    <row r="7" spans="1:24">
      <c r="A7" s="3" t="s">
        <v>12</v>
      </c>
      <c r="B7" s="2">
        <f t="shared" si="0"/>
        <v>6</v>
      </c>
      <c r="C7" s="2">
        <v>5</v>
      </c>
      <c r="D7" s="2">
        <v>2022</v>
      </c>
      <c r="E7" s="4">
        <f>Submetering!E7+Submetering!F7</f>
        <v>6390</v>
      </c>
      <c r="F7" s="12">
        <v>0.35</v>
      </c>
      <c r="G7" s="4">
        <f>Submetering!M7</f>
        <v>2422</v>
      </c>
      <c r="H7" s="12">
        <v>0.77</v>
      </c>
      <c r="I7" s="4">
        <f>Submetering!N7</f>
        <v>105</v>
      </c>
      <c r="J7" s="13">
        <v>2.86</v>
      </c>
      <c r="K7" s="4">
        <f>'Hampshire Daily'!B10</f>
        <v>40</v>
      </c>
      <c r="L7" s="4">
        <f>'Hampshire Daily'!C10</f>
        <v>80</v>
      </c>
    </row>
    <row r="8" spans="1:24">
      <c r="A8" s="3" t="s">
        <v>12</v>
      </c>
      <c r="B8" s="2">
        <f t="shared" si="0"/>
        <v>7</v>
      </c>
      <c r="C8" s="2">
        <v>5</v>
      </c>
      <c r="D8" s="2">
        <v>2022</v>
      </c>
      <c r="E8" s="4">
        <f>Submetering!E8+Submetering!F8</f>
        <v>5779</v>
      </c>
      <c r="F8" s="12">
        <v>0.35</v>
      </c>
      <c r="G8" s="4">
        <f>Submetering!M8</f>
        <v>2243</v>
      </c>
      <c r="H8" s="12">
        <v>0.77</v>
      </c>
      <c r="I8" s="4">
        <f>Submetering!N8</f>
        <v>95</v>
      </c>
      <c r="J8" s="13">
        <v>2.86</v>
      </c>
      <c r="K8" s="4">
        <f>'Hampshire Daily'!B11</f>
        <v>68</v>
      </c>
      <c r="L8" s="4">
        <f>'Hampshire Daily'!C11</f>
        <v>144</v>
      </c>
    </row>
    <row r="9" spans="1:24">
      <c r="A9" s="3" t="s">
        <v>12</v>
      </c>
      <c r="B9" s="2">
        <f t="shared" si="0"/>
        <v>8</v>
      </c>
      <c r="C9" s="2">
        <v>5</v>
      </c>
      <c r="D9" s="2">
        <v>2022</v>
      </c>
      <c r="E9" s="4">
        <f>Submetering!E9+Submetering!F9</f>
        <v>5233</v>
      </c>
      <c r="F9" s="12">
        <v>0.35</v>
      </c>
      <c r="G9" s="4">
        <f>Submetering!M9</f>
        <v>2308</v>
      </c>
      <c r="H9" s="12">
        <v>0.77</v>
      </c>
      <c r="I9" s="4">
        <f>Submetering!N9</f>
        <v>95</v>
      </c>
      <c r="J9" s="13">
        <v>2.86</v>
      </c>
      <c r="K9" s="4">
        <f>'Hampshire Daily'!B12</f>
        <v>48</v>
      </c>
      <c r="L9" s="4">
        <f>'Hampshire Daily'!C12</f>
        <v>73</v>
      </c>
    </row>
    <row r="10" spans="1:24">
      <c r="A10" s="3" t="s">
        <v>12</v>
      </c>
      <c r="B10" s="2">
        <f t="shared" si="0"/>
        <v>9</v>
      </c>
      <c r="C10" s="2">
        <v>5</v>
      </c>
      <c r="D10" s="2">
        <v>2022</v>
      </c>
      <c r="E10" s="4">
        <f>Submetering!E10+Submetering!F10</f>
        <v>5306</v>
      </c>
      <c r="F10" s="12">
        <v>0.35</v>
      </c>
      <c r="G10" s="4">
        <f>Submetering!M10</f>
        <v>2447</v>
      </c>
      <c r="H10" s="12">
        <v>0.77</v>
      </c>
      <c r="I10" s="4">
        <f>Submetering!N10</f>
        <v>114</v>
      </c>
      <c r="J10" s="13">
        <v>2.86</v>
      </c>
      <c r="K10" s="4">
        <f>'Hampshire Daily'!B12</f>
        <v>48</v>
      </c>
      <c r="L10" s="4">
        <f>'Hampshire Daily'!C12</f>
        <v>73</v>
      </c>
    </row>
    <row r="11" spans="1:24">
      <c r="A11" s="3" t="s">
        <v>12</v>
      </c>
      <c r="B11" s="2">
        <f t="shared" si="0"/>
        <v>10</v>
      </c>
      <c r="C11" s="2">
        <v>5</v>
      </c>
      <c r="D11" s="2">
        <v>2022</v>
      </c>
      <c r="E11" s="4">
        <f>Submetering!E11+Submetering!F11</f>
        <v>8307</v>
      </c>
      <c r="F11" s="12">
        <v>0.35</v>
      </c>
      <c r="G11" s="4">
        <f>Submetering!M11</f>
        <v>1948</v>
      </c>
      <c r="H11" s="12">
        <v>0.77</v>
      </c>
      <c r="I11" s="4">
        <f>Submetering!N11</f>
        <v>92</v>
      </c>
      <c r="J11" s="13">
        <v>2.86</v>
      </c>
      <c r="K11" s="4">
        <f>'Hampshire Daily'!B14</f>
        <v>132</v>
      </c>
      <c r="L11" s="4">
        <f>'Hampshire Daily'!C14</f>
        <v>135</v>
      </c>
    </row>
    <row r="12" spans="1:24">
      <c r="A12" s="3" t="s">
        <v>12</v>
      </c>
      <c r="B12" s="2">
        <f t="shared" si="0"/>
        <v>11</v>
      </c>
      <c r="C12" s="2">
        <v>5</v>
      </c>
      <c r="D12" s="2">
        <v>2022</v>
      </c>
      <c r="E12" s="4">
        <f>Submetering!E12+Submetering!F12</f>
        <v>6141</v>
      </c>
      <c r="F12" s="12">
        <v>0.35</v>
      </c>
      <c r="G12" s="4">
        <f>Submetering!M12</f>
        <v>2385</v>
      </c>
      <c r="H12" s="12">
        <v>0.77</v>
      </c>
      <c r="I12" s="4">
        <f>Submetering!N12</f>
        <v>117</v>
      </c>
      <c r="J12" s="13">
        <v>2.86</v>
      </c>
      <c r="K12" s="4">
        <f>'Hampshire Daily'!B15</f>
        <v>29</v>
      </c>
      <c r="L12" s="4">
        <f>'Hampshire Daily'!C15</f>
        <v>44</v>
      </c>
    </row>
    <row r="13" spans="1:24">
      <c r="A13" s="3" t="s">
        <v>12</v>
      </c>
      <c r="B13" s="2">
        <f t="shared" si="0"/>
        <v>12</v>
      </c>
      <c r="C13" s="2">
        <v>5</v>
      </c>
      <c r="D13" s="2">
        <v>2022</v>
      </c>
      <c r="E13" s="4">
        <f>Submetering!E13+Submetering!F13</f>
        <v>4998</v>
      </c>
      <c r="F13" s="12">
        <v>0.35</v>
      </c>
      <c r="G13" s="4">
        <f>Submetering!M13</f>
        <v>2359</v>
      </c>
      <c r="H13" s="12">
        <v>0.77</v>
      </c>
      <c r="I13" s="4">
        <f>Submetering!N13</f>
        <v>93</v>
      </c>
      <c r="J13" s="13">
        <v>2.86</v>
      </c>
      <c r="K13" s="4">
        <f>'Hampshire Daily'!B16</f>
        <v>20</v>
      </c>
      <c r="L13" s="4">
        <f>'Hampshire Daily'!C16</f>
        <v>38</v>
      </c>
    </row>
    <row r="14" spans="1:24">
      <c r="A14" s="3" t="s">
        <v>12</v>
      </c>
      <c r="B14" s="2">
        <f t="shared" si="0"/>
        <v>13</v>
      </c>
      <c r="C14" s="2">
        <v>5</v>
      </c>
      <c r="D14" s="2">
        <v>2022</v>
      </c>
      <c r="E14" s="4">
        <f>Submetering!E14+Submetering!F14</f>
        <v>5256</v>
      </c>
      <c r="F14" s="12">
        <v>0.35</v>
      </c>
      <c r="G14" s="4">
        <f>Submetering!M14</f>
        <v>2263</v>
      </c>
      <c r="H14" s="12">
        <v>0.77</v>
      </c>
      <c r="I14" s="4">
        <f>Submetering!N14</f>
        <v>91</v>
      </c>
      <c r="J14" s="13">
        <v>2.86</v>
      </c>
      <c r="K14" s="4">
        <f>'Hampshire Daily'!B17</f>
        <v>47</v>
      </c>
      <c r="L14" s="4">
        <f>'Hampshire Daily'!C17</f>
        <v>135</v>
      </c>
    </row>
    <row r="15" spans="1:24">
      <c r="A15" s="3" t="s">
        <v>12</v>
      </c>
      <c r="B15" s="2">
        <f t="shared" si="0"/>
        <v>14</v>
      </c>
      <c r="C15" s="2">
        <v>5</v>
      </c>
      <c r="D15" s="2">
        <v>2022</v>
      </c>
      <c r="E15" s="4">
        <f>Submetering!E15+Submetering!F15</f>
        <v>8872</v>
      </c>
      <c r="F15" s="12">
        <v>0.35</v>
      </c>
      <c r="G15" s="4">
        <f>Submetering!M15</f>
        <v>1973</v>
      </c>
      <c r="H15" s="12">
        <v>0.77</v>
      </c>
      <c r="I15" s="4">
        <f>Submetering!N15</f>
        <v>81</v>
      </c>
      <c r="J15" s="13">
        <v>2.86</v>
      </c>
      <c r="K15" s="4">
        <f>'Hampshire Daily'!B18</f>
        <v>60</v>
      </c>
      <c r="L15" s="4">
        <f>'Hampshire Daily'!C18</f>
        <v>141</v>
      </c>
    </row>
    <row r="16" spans="1:24">
      <c r="A16" s="3" t="s">
        <v>12</v>
      </c>
      <c r="B16" s="2">
        <f t="shared" si="0"/>
        <v>15</v>
      </c>
      <c r="C16" s="2">
        <v>5</v>
      </c>
      <c r="D16" s="2">
        <v>2022</v>
      </c>
      <c r="E16" s="4">
        <f>Submetering!E16+Submetering!F16</f>
        <v>8504</v>
      </c>
      <c r="F16" s="12">
        <v>0.35</v>
      </c>
      <c r="G16" s="4">
        <f>Submetering!M16</f>
        <v>1699</v>
      </c>
      <c r="H16" s="12">
        <v>0.77</v>
      </c>
      <c r="I16" s="4">
        <f>Submetering!N16</f>
        <v>98</v>
      </c>
      <c r="J16" s="13">
        <v>2.86</v>
      </c>
      <c r="K16" s="4">
        <f>'Hampshire Daily'!B19</f>
        <v>35</v>
      </c>
      <c r="L16" s="4">
        <f>'Hampshire Daily'!C19</f>
        <v>59</v>
      </c>
    </row>
    <row r="17" spans="1:12">
      <c r="A17" s="3" t="s">
        <v>12</v>
      </c>
      <c r="B17" s="2">
        <f t="shared" si="0"/>
        <v>16</v>
      </c>
      <c r="C17" s="2">
        <v>5</v>
      </c>
      <c r="D17" s="2">
        <v>2022</v>
      </c>
      <c r="E17" s="4">
        <f>Submetering!E17+Submetering!F17</f>
        <v>7858</v>
      </c>
      <c r="F17" s="12">
        <v>0.35</v>
      </c>
      <c r="G17" s="4">
        <f>Submetering!M17</f>
        <v>1750</v>
      </c>
      <c r="H17" s="12">
        <v>0.77</v>
      </c>
      <c r="I17" s="4">
        <f>Submetering!N17</f>
        <v>103</v>
      </c>
      <c r="J17" s="13">
        <v>2.86</v>
      </c>
      <c r="K17" s="4">
        <f>'Hampshire Daily'!B20</f>
        <v>98</v>
      </c>
      <c r="L17" s="4">
        <f>'Hampshire Daily'!C20</f>
        <v>105</v>
      </c>
    </row>
    <row r="18" spans="1:12">
      <c r="A18" s="3" t="s">
        <v>12</v>
      </c>
      <c r="B18" s="2">
        <f t="shared" si="0"/>
        <v>17</v>
      </c>
      <c r="C18" s="2">
        <v>5</v>
      </c>
      <c r="D18" s="2">
        <v>2022</v>
      </c>
      <c r="E18" s="4">
        <f>Submetering!E18+Submetering!F18</f>
        <v>8876</v>
      </c>
      <c r="F18" s="12">
        <v>0.35</v>
      </c>
      <c r="G18" s="4">
        <f>Submetering!M18</f>
        <v>1801</v>
      </c>
      <c r="H18" s="12">
        <v>0.77</v>
      </c>
      <c r="I18" s="4">
        <f>Submetering!N18</f>
        <v>93</v>
      </c>
      <c r="J18" s="13">
        <v>2.86</v>
      </c>
      <c r="K18" s="4">
        <f>'Hampshire Daily'!B21</f>
        <v>104</v>
      </c>
      <c r="L18" s="4">
        <f>'Hampshire Daily'!C21</f>
        <v>115</v>
      </c>
    </row>
    <row r="19" spans="1:12">
      <c r="A19" s="3" t="s">
        <v>12</v>
      </c>
      <c r="B19" s="2">
        <f t="shared" si="0"/>
        <v>18</v>
      </c>
      <c r="C19" s="2">
        <v>5</v>
      </c>
      <c r="D19" s="2">
        <v>2022</v>
      </c>
      <c r="E19" s="4">
        <f>Submetering!E19+Submetering!F19</f>
        <v>9218</v>
      </c>
      <c r="F19" s="12">
        <v>0.35</v>
      </c>
      <c r="G19" s="4">
        <f>Submetering!M19</f>
        <v>1623</v>
      </c>
      <c r="H19" s="12">
        <v>0.77</v>
      </c>
      <c r="I19" s="4">
        <f>Submetering!N19</f>
        <v>96</v>
      </c>
      <c r="J19" s="13">
        <v>2.86</v>
      </c>
      <c r="K19" s="4">
        <f>'Hampshire Daily'!B22</f>
        <v>62</v>
      </c>
      <c r="L19" s="4">
        <f>'Hampshire Daily'!C22</f>
        <v>79</v>
      </c>
    </row>
    <row r="20" spans="1:12">
      <c r="A20" s="3" t="s">
        <v>12</v>
      </c>
      <c r="B20" s="2">
        <f t="shared" si="0"/>
        <v>19</v>
      </c>
      <c r="C20" s="2">
        <v>5</v>
      </c>
      <c r="D20" s="2">
        <v>2022</v>
      </c>
      <c r="E20" s="4">
        <f>Submetering!E20+Submetering!F20</f>
        <v>9392</v>
      </c>
      <c r="F20" s="12">
        <v>0.35</v>
      </c>
      <c r="G20" s="4">
        <f>Submetering!M20</f>
        <v>1743</v>
      </c>
      <c r="H20" s="12">
        <v>0.77</v>
      </c>
      <c r="I20" s="4">
        <f>Submetering!N20</f>
        <v>97</v>
      </c>
      <c r="J20" s="13">
        <v>2.86</v>
      </c>
      <c r="K20" s="4">
        <f>'Hampshire Daily'!B23</f>
        <v>79</v>
      </c>
      <c r="L20" s="4">
        <f>'Hampshire Daily'!C23</f>
        <v>124</v>
      </c>
    </row>
    <row r="21" spans="1:12">
      <c r="A21" s="3" t="s">
        <v>12</v>
      </c>
      <c r="B21" s="2">
        <f t="shared" si="0"/>
        <v>20</v>
      </c>
      <c r="C21" s="2">
        <v>5</v>
      </c>
      <c r="D21" s="2">
        <v>2022</v>
      </c>
      <c r="E21" s="4">
        <f>Submetering!E21+Submetering!F21</f>
        <v>6903</v>
      </c>
      <c r="F21" s="12">
        <v>0.35</v>
      </c>
      <c r="G21" s="4">
        <f>Submetering!M21</f>
        <v>2004</v>
      </c>
      <c r="H21" s="12">
        <v>0.77</v>
      </c>
      <c r="I21" s="4">
        <f>Submetering!N21</f>
        <v>82</v>
      </c>
      <c r="J21" s="13">
        <v>2.86</v>
      </c>
      <c r="K21" s="4">
        <f>'Hampshire Daily'!B24</f>
        <v>68</v>
      </c>
      <c r="L21" s="4">
        <f>'Hampshire Daily'!C24</f>
        <v>141</v>
      </c>
    </row>
    <row r="22" spans="1:12">
      <c r="A22" s="3" t="s">
        <v>12</v>
      </c>
      <c r="B22" s="2">
        <f t="shared" si="0"/>
        <v>21</v>
      </c>
      <c r="C22" s="2">
        <v>5</v>
      </c>
      <c r="D22" s="2">
        <v>2022</v>
      </c>
      <c r="E22" s="4">
        <f>Submetering!E22+Submetering!F22</f>
        <v>5970</v>
      </c>
      <c r="F22" s="12">
        <v>0.35</v>
      </c>
      <c r="G22" s="4">
        <f>Submetering!M22</f>
        <v>2295</v>
      </c>
      <c r="H22" s="12">
        <v>0.77</v>
      </c>
      <c r="I22" s="4">
        <f>Submetering!N22</f>
        <v>95</v>
      </c>
      <c r="J22" s="13">
        <v>2.86</v>
      </c>
      <c r="K22" s="4">
        <f>'Hampshire Daily'!B25</f>
        <v>103</v>
      </c>
      <c r="L22" s="4">
        <f>'Hampshire Daily'!C25</f>
        <v>218</v>
      </c>
    </row>
    <row r="23" spans="1:12">
      <c r="A23" s="3" t="s">
        <v>12</v>
      </c>
      <c r="B23" s="2">
        <f t="shared" si="0"/>
        <v>22</v>
      </c>
      <c r="C23" s="2">
        <v>5</v>
      </c>
      <c r="D23" s="2">
        <v>2022</v>
      </c>
      <c r="E23" s="4">
        <f>Submetering!E23+Submetering!F23</f>
        <v>6088</v>
      </c>
      <c r="F23" s="12">
        <v>0.35</v>
      </c>
      <c r="G23" s="4">
        <f>Submetering!M23</f>
        <v>2232</v>
      </c>
      <c r="H23" s="12">
        <v>0.77</v>
      </c>
      <c r="I23" s="4">
        <f>Submetering!N23</f>
        <v>110</v>
      </c>
      <c r="J23" s="13">
        <v>2.86</v>
      </c>
      <c r="K23" s="4">
        <f>'Hampshire Daily'!B26</f>
        <v>53</v>
      </c>
      <c r="L23" s="4">
        <f>'Hampshire Daily'!C26</f>
        <v>95</v>
      </c>
    </row>
    <row r="24" spans="1:12">
      <c r="A24" s="3" t="s">
        <v>12</v>
      </c>
      <c r="B24" s="2">
        <f t="shared" si="0"/>
        <v>23</v>
      </c>
      <c r="C24" s="2">
        <v>5</v>
      </c>
      <c r="D24" s="2">
        <v>2022</v>
      </c>
      <c r="E24" s="4">
        <f>Submetering!E24+Submetering!F24</f>
        <v>6220</v>
      </c>
      <c r="F24" s="12">
        <v>0.35</v>
      </c>
      <c r="G24" s="4">
        <f>Submetering!M24</f>
        <v>2047</v>
      </c>
      <c r="H24" s="12">
        <v>0.77</v>
      </c>
      <c r="I24" s="4">
        <f>Submetering!N24</f>
        <v>123</v>
      </c>
      <c r="J24" s="13">
        <v>2.86</v>
      </c>
      <c r="K24" s="4">
        <f>'Hampshire Daily'!B27</f>
        <v>84</v>
      </c>
      <c r="L24" s="4">
        <f>'Hampshire Daily'!C27</f>
        <v>111</v>
      </c>
    </row>
    <row r="25" spans="1:12">
      <c r="A25" s="3" t="s">
        <v>12</v>
      </c>
      <c r="B25" s="2">
        <f t="shared" si="0"/>
        <v>24</v>
      </c>
      <c r="C25" s="2">
        <v>5</v>
      </c>
      <c r="D25" s="2">
        <v>2022</v>
      </c>
      <c r="E25" s="4">
        <f>Submetering!E25+Submetering!F25</f>
        <v>5755</v>
      </c>
      <c r="F25" s="12">
        <v>0.35</v>
      </c>
      <c r="G25" s="4">
        <f>Submetering!M25</f>
        <v>2197</v>
      </c>
      <c r="H25" s="12">
        <v>0.77</v>
      </c>
      <c r="I25" s="4">
        <f>Submetering!N25</f>
        <v>114</v>
      </c>
      <c r="J25" s="13">
        <v>2.86</v>
      </c>
      <c r="K25" s="4">
        <f>'Hampshire Daily'!B28</f>
        <v>64</v>
      </c>
      <c r="L25" s="4">
        <f>'Hampshire Daily'!C28</f>
        <v>90</v>
      </c>
    </row>
    <row r="26" spans="1:12">
      <c r="A26" s="3" t="s">
        <v>12</v>
      </c>
      <c r="B26" s="2">
        <f>B25+1</f>
        <v>25</v>
      </c>
      <c r="C26" s="2">
        <v>5</v>
      </c>
      <c r="D26" s="2">
        <v>2022</v>
      </c>
      <c r="E26" s="4">
        <f>Submetering!E26+Submetering!F26</f>
        <v>5270</v>
      </c>
      <c r="F26" s="12">
        <v>0.35</v>
      </c>
      <c r="G26" s="4">
        <f>Submetering!M26</f>
        <v>2217</v>
      </c>
      <c r="H26" s="12">
        <v>0.77</v>
      </c>
      <c r="I26" s="4">
        <f>Submetering!N26</f>
        <v>98</v>
      </c>
      <c r="J26" s="13">
        <v>2.86</v>
      </c>
      <c r="K26" s="4">
        <f>'Hampshire Daily'!B29</f>
        <v>119</v>
      </c>
      <c r="L26" s="4">
        <f>'Hampshire Daily'!C29</f>
        <v>210</v>
      </c>
    </row>
    <row r="27" spans="1:12">
      <c r="A27" s="3" t="s">
        <v>12</v>
      </c>
      <c r="B27" s="2">
        <f t="shared" si="0"/>
        <v>26</v>
      </c>
      <c r="C27" s="2">
        <v>5</v>
      </c>
      <c r="D27" s="2">
        <v>2022</v>
      </c>
      <c r="E27" s="4">
        <f>Submetering!E27+Submetering!F27</f>
        <v>6551</v>
      </c>
      <c r="F27" s="12">
        <v>0.35</v>
      </c>
      <c r="G27" s="4">
        <f>Submetering!M27</f>
        <v>2021</v>
      </c>
      <c r="H27" s="12">
        <v>0.77</v>
      </c>
      <c r="I27" s="4">
        <f>Submetering!N27</f>
        <v>117</v>
      </c>
      <c r="J27" s="13">
        <v>2.86</v>
      </c>
      <c r="K27" s="4">
        <f>'Hampshire Daily'!B30</f>
        <v>117</v>
      </c>
      <c r="L27" s="4">
        <f>'Hampshire Daily'!C30</f>
        <v>207</v>
      </c>
    </row>
    <row r="28" spans="1:12">
      <c r="A28" s="3" t="s">
        <v>12</v>
      </c>
      <c r="B28" s="2">
        <f t="shared" si="0"/>
        <v>27</v>
      </c>
      <c r="C28" s="2">
        <v>5</v>
      </c>
      <c r="D28" s="2">
        <v>2022</v>
      </c>
      <c r="E28" s="4">
        <f>Submetering!E28+Submetering!F28</f>
        <v>5340</v>
      </c>
      <c r="F28" s="12">
        <v>0.35</v>
      </c>
      <c r="G28" s="4">
        <f>Submetering!M28</f>
        <v>2199</v>
      </c>
      <c r="H28" s="12">
        <v>0.77</v>
      </c>
      <c r="I28" s="4">
        <f>Submetering!N28</f>
        <v>122</v>
      </c>
      <c r="J28" s="13">
        <v>2.86</v>
      </c>
      <c r="K28" s="4">
        <f>'Hampshire Daily'!B31</f>
        <v>120</v>
      </c>
      <c r="L28" s="4">
        <f>'Hampshire Daily'!C31</f>
        <v>229</v>
      </c>
    </row>
    <row r="29" spans="1:12">
      <c r="A29" s="3" t="s">
        <v>12</v>
      </c>
      <c r="B29" s="2">
        <f t="shared" si="0"/>
        <v>28</v>
      </c>
      <c r="C29" s="2">
        <v>5</v>
      </c>
      <c r="D29" s="2">
        <v>2022</v>
      </c>
      <c r="E29" s="4">
        <f>Submetering!E29+Submetering!F29</f>
        <v>8441</v>
      </c>
      <c r="F29" s="12">
        <v>0.35</v>
      </c>
      <c r="G29" s="4">
        <f>Submetering!M29</f>
        <v>1853</v>
      </c>
      <c r="H29" s="12">
        <v>0.77</v>
      </c>
      <c r="I29" s="4">
        <f>Submetering!N29</f>
        <v>128</v>
      </c>
      <c r="J29" s="13">
        <v>2.86</v>
      </c>
      <c r="K29" s="4">
        <f>'Hampshire Daily'!B32</f>
        <v>60</v>
      </c>
      <c r="L29" s="4">
        <f>'Hampshire Daily'!C32</f>
        <v>138</v>
      </c>
    </row>
    <row r="30" spans="1:12">
      <c r="A30" s="3" t="s">
        <v>12</v>
      </c>
      <c r="B30" s="2">
        <f t="shared" si="0"/>
        <v>29</v>
      </c>
      <c r="C30" s="2">
        <v>5</v>
      </c>
      <c r="D30" s="2">
        <v>2022</v>
      </c>
      <c r="E30" s="4">
        <f>Submetering!E30+Submetering!F30</f>
        <v>8337</v>
      </c>
      <c r="F30" s="12">
        <v>0.35</v>
      </c>
      <c r="G30" s="4">
        <f>Submetering!M30</f>
        <v>1647</v>
      </c>
      <c r="H30" s="12">
        <v>0.77</v>
      </c>
      <c r="I30" s="4">
        <f>Submetering!N30</f>
        <v>103</v>
      </c>
      <c r="J30" s="13">
        <v>2.86</v>
      </c>
      <c r="K30" s="4">
        <f>'Hampshire Daily'!B33</f>
        <v>66</v>
      </c>
      <c r="L30" s="4">
        <f>'Hampshire Daily'!C33</f>
        <v>149</v>
      </c>
    </row>
    <row r="31" spans="1:12">
      <c r="A31" s="3" t="s">
        <v>12</v>
      </c>
      <c r="B31" s="2">
        <f t="shared" si="0"/>
        <v>30</v>
      </c>
      <c r="C31" s="2">
        <v>5</v>
      </c>
      <c r="D31" s="2">
        <v>2022</v>
      </c>
      <c r="E31" s="4">
        <f>Submetering!E31+Submetering!F31</f>
        <v>8241</v>
      </c>
      <c r="F31" s="12">
        <v>0.35</v>
      </c>
      <c r="G31" s="4">
        <f>Submetering!M31</f>
        <v>1670</v>
      </c>
      <c r="H31" s="12">
        <v>0.77</v>
      </c>
      <c r="I31" s="4">
        <f>Submetering!N31</f>
        <v>128</v>
      </c>
      <c r="J31" s="13">
        <v>2.86</v>
      </c>
      <c r="K31" s="4">
        <f>'Hampshire Daily'!B34</f>
        <v>66</v>
      </c>
      <c r="L31" s="4">
        <f>'Hampshire Daily'!C34</f>
        <v>150</v>
      </c>
    </row>
    <row r="32" spans="1:12">
      <c r="A32" s="3" t="s">
        <v>12</v>
      </c>
      <c r="B32" s="2">
        <f t="shared" si="0"/>
        <v>31</v>
      </c>
      <c r="C32" s="2">
        <v>5</v>
      </c>
      <c r="D32" s="2">
        <v>2022</v>
      </c>
      <c r="E32" s="4">
        <f>Submetering!E32+Submetering!F32</f>
        <v>8711</v>
      </c>
      <c r="F32" s="12">
        <v>0.35</v>
      </c>
      <c r="G32" s="4">
        <f>Submetering!M32</f>
        <v>1728</v>
      </c>
      <c r="H32" s="12">
        <v>0.77</v>
      </c>
      <c r="I32" s="4">
        <f>Submetering!N32</f>
        <v>108</v>
      </c>
      <c r="J32" s="13">
        <v>2.86</v>
      </c>
      <c r="K32" s="4">
        <f>'Hampshire Daily'!B35</f>
        <v>92</v>
      </c>
      <c r="L32" s="4">
        <f>'Hampshire Daily'!C35</f>
        <v>187</v>
      </c>
    </row>
    <row r="33" spans="5:9">
      <c r="E33" s="4"/>
      <c r="G33" s="4"/>
      <c r="I3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C9" activePane="bottomRight" state="frozen"/>
      <selection pane="bottomRight" activeCell="N33" sqref="N33"/>
      <selection pane="bottomLeft" activeCell="A2" sqref="A2"/>
      <selection pane="topRight" activeCell="C1" sqref="C1"/>
    </sheetView>
  </sheetViews>
  <sheetFormatPr defaultColWidth="11.5703125" defaultRowHeight="1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>
      <c r="A2" s="3" t="s">
        <v>12</v>
      </c>
      <c r="B2" s="1">
        <v>1</v>
      </c>
      <c r="C2" s="1">
        <v>5</v>
      </c>
      <c r="D2" s="1">
        <v>2022</v>
      </c>
      <c r="E2" s="4">
        <f>'Hampshire Daily'!D5-'Hampshire Daily'!D4</f>
        <v>3169</v>
      </c>
      <c r="F2" s="4">
        <f>'Hampshire Daily'!E5-'Hampshire Daily'!E4</f>
        <v>3418</v>
      </c>
      <c r="G2" s="4">
        <f>'Hampshire Daily'!F5-'Hampshire Daily'!F4</f>
        <v>0</v>
      </c>
      <c r="H2" s="4">
        <f>'Hampshire Daily'!G5-'Hampshire Daily'!G4</f>
        <v>1908</v>
      </c>
      <c r="I2" s="4">
        <f>'Hampshire Daily'!H5-'Hampshire Daily'!H4</f>
        <v>0</v>
      </c>
      <c r="J2" s="4">
        <f>'Hampshire Daily'!I5-'Hampshire Daily'!I4</f>
        <v>2741</v>
      </c>
      <c r="K2" s="4">
        <f>'Hampshire Daily'!J5-'Hampshire Daily'!J4</f>
        <v>1276</v>
      </c>
      <c r="L2" s="4">
        <f>'Hampshire Daily'!K5-'Hampshire Daily'!K4</f>
        <v>196</v>
      </c>
      <c r="M2" s="4">
        <f>'Hampshire Daily'!N5-'Hampshire Daily'!N4</f>
        <v>2473</v>
      </c>
      <c r="N2" s="4">
        <f>'Hampshire Daily'!O5-'Hampshire Daily'!O4</f>
        <v>112</v>
      </c>
      <c r="O2" s="4">
        <f>'Hampshire Daily'!P5-'Hampshire Daily'!P4</f>
        <v>61</v>
      </c>
      <c r="P2" s="4">
        <f>'Hampshire Daily'!Q5-'Hampshire Daily'!Q4</f>
        <v>65</v>
      </c>
      <c r="Q2" s="4">
        <f>'Hampshire Daily'!T5-'Hampshire Daily'!T4</f>
        <v>11</v>
      </c>
      <c r="R2" s="4">
        <f>'Hampshire Daily'!B5</f>
        <v>98</v>
      </c>
      <c r="S2" s="4">
        <f>'Hampshire Daily'!C5</f>
        <v>255</v>
      </c>
    </row>
    <row r="3" spans="1:23">
      <c r="A3" s="3" t="s">
        <v>12</v>
      </c>
      <c r="B3" s="1">
        <f>B2+1</f>
        <v>2</v>
      </c>
      <c r="C3" s="1">
        <v>5</v>
      </c>
      <c r="D3" s="1">
        <v>2022</v>
      </c>
      <c r="E3" s="4">
        <f>'Hampshire Daily'!D6-'Hampshire Daily'!D5</f>
        <v>2335</v>
      </c>
      <c r="F3" s="4">
        <f>'Hampshire Daily'!E6-'Hampshire Daily'!E5</f>
        <v>3477</v>
      </c>
      <c r="G3" s="4">
        <f>'Hampshire Daily'!F6-'Hampshire Daily'!F5</f>
        <v>0</v>
      </c>
      <c r="H3" s="4">
        <f>'Hampshire Daily'!G6-'Hampshire Daily'!G5</f>
        <v>1826</v>
      </c>
      <c r="I3" s="4">
        <f>'Hampshire Daily'!H6-'Hampshire Daily'!H5</f>
        <v>0</v>
      </c>
      <c r="J3" s="4">
        <f>'Hampshire Daily'!I6-'Hampshire Daily'!I5</f>
        <v>2765</v>
      </c>
      <c r="K3" s="4">
        <f>'Hampshire Daily'!J6-'Hampshire Daily'!J5</f>
        <v>1329</v>
      </c>
      <c r="L3" s="4">
        <f>'Hampshire Daily'!K6-'Hampshire Daily'!K5</f>
        <v>1</v>
      </c>
      <c r="M3" s="4">
        <f>'Hampshire Daily'!N6-'Hampshire Daily'!N5</f>
        <v>2722</v>
      </c>
      <c r="N3" s="4">
        <f>'Hampshire Daily'!O6-'Hampshire Daily'!O5</f>
        <v>137</v>
      </c>
      <c r="O3" s="4">
        <f>'Hampshire Daily'!P6-'Hampshire Daily'!P5</f>
        <v>70</v>
      </c>
      <c r="P3" s="4">
        <f>'Hampshire Daily'!Q6-'Hampshire Daily'!Q5</f>
        <v>76</v>
      </c>
      <c r="Q3" s="4">
        <f>'Hampshire Daily'!T6-'Hampshire Daily'!T5</f>
        <v>6</v>
      </c>
      <c r="R3" s="4">
        <f>'Hampshire Daily'!B6</f>
        <v>63</v>
      </c>
      <c r="S3" s="4">
        <f>'Hampshire Daily'!C6</f>
        <v>96</v>
      </c>
      <c r="T3" t="s">
        <v>26</v>
      </c>
      <c r="U3" t="s">
        <v>26</v>
      </c>
      <c r="V3" t="s">
        <v>26</v>
      </c>
      <c r="W3" t="s">
        <v>26</v>
      </c>
    </row>
    <row r="4" spans="1:23">
      <c r="A4" s="3" t="s">
        <v>12</v>
      </c>
      <c r="B4" s="1">
        <f t="shared" ref="B4:B33" si="0">B3+1</f>
        <v>3</v>
      </c>
      <c r="C4" s="1">
        <v>5</v>
      </c>
      <c r="D4" s="1">
        <v>2022</v>
      </c>
      <c r="E4" s="4">
        <f>'Hampshire Daily'!D7-'Hampshire Daily'!D6</f>
        <v>2350</v>
      </c>
      <c r="F4" s="4">
        <f>'Hampshire Daily'!E7-'Hampshire Daily'!E6</f>
        <v>3080</v>
      </c>
      <c r="G4" s="4">
        <f>'Hampshire Daily'!F7-'Hampshire Daily'!F6</f>
        <v>0</v>
      </c>
      <c r="H4" s="4">
        <f>'Hampshire Daily'!G7-'Hampshire Daily'!G6</f>
        <v>1867</v>
      </c>
      <c r="I4" s="4">
        <f>'Hampshire Daily'!H7-'Hampshire Daily'!H6</f>
        <v>0</v>
      </c>
      <c r="J4" s="4">
        <f>'Hampshire Daily'!I7-'Hampshire Daily'!I6</f>
        <v>2478</v>
      </c>
      <c r="K4" s="4">
        <f>'Hampshire Daily'!J7-'Hampshire Daily'!J6</f>
        <v>1095</v>
      </c>
      <c r="L4" s="4">
        <f>'Hampshire Daily'!K7-'Hampshire Daily'!K6</f>
        <v>0</v>
      </c>
      <c r="M4" s="4">
        <f>'Hampshire Daily'!N7-'Hampshire Daily'!N6</f>
        <v>2498</v>
      </c>
      <c r="N4" s="4">
        <f>'Hampshire Daily'!O7-'Hampshire Daily'!O6</f>
        <v>99</v>
      </c>
      <c r="O4" s="4">
        <f>'Hampshire Daily'!P7-'Hampshire Daily'!P6</f>
        <v>57</v>
      </c>
      <c r="P4" s="4">
        <f>'Hampshire Daily'!Q7-'Hampshire Daily'!Q6</f>
        <v>64</v>
      </c>
      <c r="Q4" s="4">
        <f>'Hampshire Daily'!T7-'Hampshire Daily'!T6</f>
        <v>5</v>
      </c>
      <c r="R4" s="4">
        <f>'Hampshire Daily'!B7</f>
        <v>69</v>
      </c>
      <c r="S4" s="4">
        <f>'Hampshire Daily'!C7</f>
        <v>110</v>
      </c>
      <c r="T4" t="s">
        <v>26</v>
      </c>
    </row>
    <row r="5" spans="1:23">
      <c r="A5" s="3" t="s">
        <v>12</v>
      </c>
      <c r="B5" s="1">
        <f t="shared" si="0"/>
        <v>4</v>
      </c>
      <c r="C5" s="1">
        <v>5</v>
      </c>
      <c r="D5" s="1">
        <v>2022</v>
      </c>
      <c r="E5" s="4">
        <f>'Hampshire Daily'!D8-'Hampshire Daily'!D7</f>
        <v>2557</v>
      </c>
      <c r="F5" s="4">
        <f>'Hampshire Daily'!E8-'Hampshire Daily'!E7</f>
        <v>3177</v>
      </c>
      <c r="G5" s="4">
        <f>'Hampshire Daily'!F8-'Hampshire Daily'!F7</f>
        <v>11</v>
      </c>
      <c r="H5" s="4">
        <f>'Hampshire Daily'!G8-'Hampshire Daily'!G7</f>
        <v>2011</v>
      </c>
      <c r="I5" s="4">
        <f>'Hampshire Daily'!H8-'Hampshire Daily'!H7</f>
        <v>0</v>
      </c>
      <c r="J5" s="4">
        <f>'Hampshire Daily'!I8-'Hampshire Daily'!I7</f>
        <v>2467</v>
      </c>
      <c r="K5" s="4">
        <f>'Hampshire Daily'!J8-'Hampshire Daily'!J7</f>
        <v>1072</v>
      </c>
      <c r="L5" s="4">
        <f>'Hampshire Daily'!K8-'Hampshire Daily'!K7</f>
        <v>11</v>
      </c>
      <c r="M5" s="4">
        <f>'Hampshire Daily'!N8-'Hampshire Daily'!N7</f>
        <v>2467</v>
      </c>
      <c r="N5" s="4">
        <f>'Hampshire Daily'!O8-'Hampshire Daily'!O7</f>
        <v>98</v>
      </c>
      <c r="O5" s="4">
        <f>'Hampshire Daily'!P8-'Hampshire Daily'!P7</f>
        <v>50</v>
      </c>
      <c r="P5" s="4">
        <f>'Hampshire Daily'!Q8-'Hampshire Daily'!Q7</f>
        <v>55</v>
      </c>
      <c r="Q5" s="4">
        <f>'Hampshire Daily'!T8-'Hampshire Daily'!T7</f>
        <v>5</v>
      </c>
      <c r="R5" s="4">
        <f>'Hampshire Daily'!B8</f>
        <v>116</v>
      </c>
      <c r="S5" s="4">
        <f>'Hampshire Daily'!C8</f>
        <v>153</v>
      </c>
    </row>
    <row r="6" spans="1:23">
      <c r="A6" s="3" t="s">
        <v>12</v>
      </c>
      <c r="B6" s="1">
        <f t="shared" si="0"/>
        <v>5</v>
      </c>
      <c r="C6" s="1">
        <v>5</v>
      </c>
      <c r="D6" s="1">
        <v>2022</v>
      </c>
      <c r="E6" s="4">
        <f>'Hampshire Daily'!D9-'Hampshire Daily'!D8</f>
        <v>2593</v>
      </c>
      <c r="F6" s="4">
        <f>'Hampshire Daily'!E9-'Hampshire Daily'!E8</f>
        <v>3075</v>
      </c>
      <c r="G6" s="4">
        <f>'Hampshire Daily'!F9-'Hampshire Daily'!F8</f>
        <v>0</v>
      </c>
      <c r="H6" s="4">
        <f>'Hampshire Daily'!G9-'Hampshire Daily'!G8</f>
        <v>1967</v>
      </c>
      <c r="I6" s="4">
        <f>'Hampshire Daily'!H9-'Hampshire Daily'!H8</f>
        <v>1</v>
      </c>
      <c r="J6" s="4">
        <f>'Hampshire Daily'!I9-'Hampshire Daily'!I8</f>
        <v>2415</v>
      </c>
      <c r="K6" s="4">
        <f>'Hampshire Daily'!J9-'Hampshire Daily'!J8</f>
        <v>1036</v>
      </c>
      <c r="L6" s="4">
        <f>'Hampshire Daily'!K9-'Hampshire Daily'!K8</f>
        <v>0</v>
      </c>
      <c r="M6" s="4">
        <f>'Hampshire Daily'!N9-'Hampshire Daily'!N8</f>
        <v>2425</v>
      </c>
      <c r="N6" s="4">
        <f>'Hampshire Daily'!O9-'Hampshire Daily'!O8</f>
        <v>105</v>
      </c>
      <c r="O6" s="4">
        <f>'Hampshire Daily'!P9-'Hampshire Daily'!P8</f>
        <v>57</v>
      </c>
      <c r="P6" s="4">
        <f>'Hampshire Daily'!Q9-'Hampshire Daily'!Q8</f>
        <v>63</v>
      </c>
      <c r="Q6" s="4">
        <f>'Hampshire Daily'!T9-'Hampshire Daily'!T8</f>
        <v>5</v>
      </c>
      <c r="R6" s="4">
        <f>'Hampshire Daily'!B9</f>
        <v>128</v>
      </c>
      <c r="S6" s="4">
        <f>'Hampshire Daily'!C9</f>
        <v>144</v>
      </c>
    </row>
    <row r="7" spans="1:23">
      <c r="A7" s="3" t="s">
        <v>12</v>
      </c>
      <c r="B7" s="1">
        <f t="shared" si="0"/>
        <v>6</v>
      </c>
      <c r="C7" s="1">
        <v>5</v>
      </c>
      <c r="D7" s="1">
        <v>2022</v>
      </c>
      <c r="E7" s="4">
        <f>'Hampshire Daily'!D10-'Hampshire Daily'!D9</f>
        <v>2884</v>
      </c>
      <c r="F7" s="4">
        <f>'Hampshire Daily'!E10-'Hampshire Daily'!E9</f>
        <v>3506</v>
      </c>
      <c r="G7" s="4">
        <f>'Hampshire Daily'!F10-'Hampshire Daily'!F9</f>
        <v>25</v>
      </c>
      <c r="H7" s="4">
        <f>'Hampshire Daily'!G10-'Hampshire Daily'!G9</f>
        <v>2073</v>
      </c>
      <c r="I7" s="4">
        <f>'Hampshire Daily'!H10-'Hampshire Daily'!H9</f>
        <v>2</v>
      </c>
      <c r="J7" s="4">
        <f>'Hampshire Daily'!I10-'Hampshire Daily'!I9</f>
        <v>2713</v>
      </c>
      <c r="K7" s="4">
        <f>'Hampshire Daily'!J10-'Hampshire Daily'!J9</f>
        <v>1221</v>
      </c>
      <c r="L7" s="4">
        <f>'Hampshire Daily'!K10-'Hampshire Daily'!K9</f>
        <v>2</v>
      </c>
      <c r="M7" s="4">
        <f>'Hampshire Daily'!N10-'Hampshire Daily'!N9</f>
        <v>2422</v>
      </c>
      <c r="N7" s="4">
        <f>'Hampshire Daily'!O10-'Hampshire Daily'!O9</f>
        <v>105</v>
      </c>
      <c r="O7" s="4">
        <f>'Hampshire Daily'!P10-'Hampshire Daily'!P9</f>
        <v>61</v>
      </c>
      <c r="P7" s="4">
        <f>'Hampshire Daily'!Q10-'Hampshire Daily'!Q9</f>
        <v>63</v>
      </c>
      <c r="Q7" s="4">
        <f>'Hampshire Daily'!T10-'Hampshire Daily'!T9</f>
        <v>4</v>
      </c>
      <c r="R7" s="4">
        <f>'Hampshire Daily'!B10</f>
        <v>40</v>
      </c>
      <c r="S7" s="4">
        <f>'Hampshire Daily'!C10</f>
        <v>80</v>
      </c>
    </row>
    <row r="8" spans="1:23">
      <c r="A8" s="3" t="s">
        <v>12</v>
      </c>
      <c r="B8" s="1">
        <f t="shared" si="0"/>
        <v>7</v>
      </c>
      <c r="C8" s="1">
        <v>5</v>
      </c>
      <c r="D8" s="1">
        <v>2022</v>
      </c>
      <c r="E8" s="4">
        <f>'Hampshire Daily'!D11-'Hampshire Daily'!D10</f>
        <v>2640</v>
      </c>
      <c r="F8" s="4">
        <f>'Hampshire Daily'!E11-'Hampshire Daily'!E10</f>
        <v>3139</v>
      </c>
      <c r="G8" s="4">
        <f>'Hampshire Daily'!F11-'Hampshire Daily'!F10</f>
        <v>0</v>
      </c>
      <c r="H8" s="4">
        <f>'Hampshire Daily'!G11-'Hampshire Daily'!G10</f>
        <v>1826</v>
      </c>
      <c r="I8" s="4">
        <f>'Hampshire Daily'!H11-'Hampshire Daily'!H10</f>
        <v>1</v>
      </c>
      <c r="J8" s="4">
        <f>'Hampshire Daily'!I11-'Hampshire Daily'!I10</f>
        <v>2392</v>
      </c>
      <c r="K8" s="4">
        <f>'Hampshire Daily'!J11-'Hampshire Daily'!J10</f>
        <v>1082</v>
      </c>
      <c r="L8" s="4">
        <f>'Hampshire Daily'!K11-'Hampshire Daily'!K10</f>
        <v>0</v>
      </c>
      <c r="M8" s="4">
        <f>'Hampshire Daily'!N11-'Hampshire Daily'!N10</f>
        <v>2243</v>
      </c>
      <c r="N8" s="4">
        <f>'Hampshire Daily'!O11-'Hampshire Daily'!O10</f>
        <v>95</v>
      </c>
      <c r="O8" s="4">
        <f>'Hampshire Daily'!P11-'Hampshire Daily'!P10</f>
        <v>53</v>
      </c>
      <c r="P8" s="4">
        <f>'Hampshire Daily'!Q11-'Hampshire Daily'!Q10</f>
        <v>59</v>
      </c>
      <c r="Q8" s="4">
        <f>'Hampshire Daily'!T11-'Hampshire Daily'!T10</f>
        <v>5</v>
      </c>
      <c r="R8" s="4">
        <f>'Hampshire Daily'!B10</f>
        <v>40</v>
      </c>
      <c r="S8" s="4">
        <f>'Hampshire Daily'!C10</f>
        <v>80</v>
      </c>
    </row>
    <row r="9" spans="1:23">
      <c r="A9" s="3" t="s">
        <v>12</v>
      </c>
      <c r="B9" s="1">
        <f t="shared" si="0"/>
        <v>8</v>
      </c>
      <c r="C9" s="1">
        <v>5</v>
      </c>
      <c r="D9" s="1">
        <v>2022</v>
      </c>
      <c r="E9" s="4">
        <f>'Hampshire Daily'!D12-'Hampshire Daily'!D11</f>
        <v>1956</v>
      </c>
      <c r="F9" s="4">
        <f>'Hampshire Daily'!E12-'Hampshire Daily'!E11</f>
        <v>3277</v>
      </c>
      <c r="G9" s="4">
        <f>'Hampshire Daily'!F12-'Hampshire Daily'!F11</f>
        <v>0</v>
      </c>
      <c r="H9" s="4">
        <f>'Hampshire Daily'!G12-'Hampshire Daily'!G11</f>
        <v>1670</v>
      </c>
      <c r="I9" s="4">
        <f>'Hampshire Daily'!H12-'Hampshire Daily'!H11</f>
        <v>0</v>
      </c>
      <c r="J9" s="4">
        <f>'Hampshire Daily'!I12-'Hampshire Daily'!I11</f>
        <v>2522</v>
      </c>
      <c r="K9" s="4">
        <f>'Hampshire Daily'!J12-'Hampshire Daily'!J11</f>
        <v>1139</v>
      </c>
      <c r="L9" s="4">
        <f>'Hampshire Daily'!K12-'Hampshire Daily'!K11</f>
        <v>0</v>
      </c>
      <c r="M9" s="4">
        <f>'Hampshire Daily'!N12-'Hampshire Daily'!N11</f>
        <v>2308</v>
      </c>
      <c r="N9" s="4">
        <f>'Hampshire Daily'!O12-'Hampshire Daily'!O11</f>
        <v>95</v>
      </c>
      <c r="O9" s="4">
        <f>'Hampshire Daily'!P12-'Hampshire Daily'!P11</f>
        <v>47</v>
      </c>
      <c r="P9" s="4">
        <f>'Hampshire Daily'!Q12-'Hampshire Daily'!Q11</f>
        <v>52</v>
      </c>
      <c r="Q9" s="4">
        <f>'Hampshire Daily'!T12-'Hampshire Daily'!T11</f>
        <v>7</v>
      </c>
      <c r="R9" s="4">
        <f>'Hampshire Daily'!B11</f>
        <v>68</v>
      </c>
      <c r="S9" s="4">
        <f>'Hampshire Daily'!C11</f>
        <v>144</v>
      </c>
    </row>
    <row r="10" spans="1:23">
      <c r="A10" s="3" t="s">
        <v>12</v>
      </c>
      <c r="B10" s="1">
        <f t="shared" si="0"/>
        <v>9</v>
      </c>
      <c r="C10" s="1">
        <v>5</v>
      </c>
      <c r="D10" s="1">
        <v>2022</v>
      </c>
      <c r="E10" s="4">
        <f>'Hampshire Daily'!D13-'Hampshire Daily'!D12</f>
        <v>2125</v>
      </c>
      <c r="F10" s="4">
        <f>'Hampshire Daily'!E13-'Hampshire Daily'!E12</f>
        <v>3181</v>
      </c>
      <c r="G10" s="4">
        <f>'Hampshire Daily'!F13-'Hampshire Daily'!F12</f>
        <v>0</v>
      </c>
      <c r="H10" s="4">
        <f>'Hampshire Daily'!G13-'Hampshire Daily'!G12</f>
        <v>2001</v>
      </c>
      <c r="I10" s="4">
        <f>'Hampshire Daily'!H13-'Hampshire Daily'!H12</f>
        <v>0</v>
      </c>
      <c r="J10" s="4">
        <f>'Hampshire Daily'!I13-'Hampshire Daily'!I12</f>
        <v>2608</v>
      </c>
      <c r="K10" s="4">
        <f>'Hampshire Daily'!J13-'Hampshire Daily'!J12</f>
        <v>1098</v>
      </c>
      <c r="L10" s="4">
        <f>'Hampshire Daily'!K13-'Hampshire Daily'!K12</f>
        <v>0</v>
      </c>
      <c r="M10" s="4">
        <f>'Hampshire Daily'!N13-'Hampshire Daily'!N12</f>
        <v>2447</v>
      </c>
      <c r="N10" s="4">
        <f>'Hampshire Daily'!O13-'Hampshire Daily'!O12</f>
        <v>114</v>
      </c>
      <c r="O10" s="4">
        <f>'Hampshire Daily'!P13-'Hampshire Daily'!P12</f>
        <v>52</v>
      </c>
      <c r="P10" s="4">
        <f>'Hampshire Daily'!Q13-'Hampshire Daily'!Q12</f>
        <v>58</v>
      </c>
      <c r="Q10" s="4">
        <f>'Hampshire Daily'!T13-'Hampshire Daily'!T12</f>
        <v>12</v>
      </c>
      <c r="R10" s="4">
        <f>'Hampshire Daily'!B12</f>
        <v>48</v>
      </c>
      <c r="S10" s="4">
        <f>'Hampshire Daily'!C12</f>
        <v>73</v>
      </c>
    </row>
    <row r="11" spans="1:23">
      <c r="A11" s="3" t="s">
        <v>12</v>
      </c>
      <c r="B11" s="1">
        <f t="shared" si="0"/>
        <v>10</v>
      </c>
      <c r="C11" s="1">
        <v>5</v>
      </c>
      <c r="D11" s="1">
        <v>2022</v>
      </c>
      <c r="E11" s="4">
        <f>'Hampshire Daily'!D14-'Hampshire Daily'!D13</f>
        <v>2800</v>
      </c>
      <c r="F11" s="4">
        <f>'Hampshire Daily'!E14-'Hampshire Daily'!E13</f>
        <v>5507</v>
      </c>
      <c r="G11" s="4">
        <f>'Hampshire Daily'!F14-'Hampshire Daily'!F13</f>
        <v>583</v>
      </c>
      <c r="H11" s="4">
        <f>'Hampshire Daily'!G14-'Hampshire Daily'!G13</f>
        <v>1875</v>
      </c>
      <c r="I11" s="4">
        <f>'Hampshire Daily'!H14-'Hampshire Daily'!H13</f>
        <v>0</v>
      </c>
      <c r="J11" s="4">
        <f>'Hampshire Daily'!I14-'Hampshire Daily'!I13</f>
        <v>2187</v>
      </c>
      <c r="K11" s="4">
        <f>'Hampshire Daily'!J14-'Hampshire Daily'!J13</f>
        <v>852</v>
      </c>
      <c r="L11" s="4">
        <f>'Hampshire Daily'!K14-'Hampshire Daily'!K13</f>
        <v>0</v>
      </c>
      <c r="M11" s="4">
        <f>'Hampshire Daily'!N14-'Hampshire Daily'!N13</f>
        <v>1948</v>
      </c>
      <c r="N11" s="4">
        <f>'Hampshire Daily'!O14-'Hampshire Daily'!O13</f>
        <v>92</v>
      </c>
      <c r="O11" s="4">
        <f>'Hampshire Daily'!P14-'Hampshire Daily'!P13</f>
        <v>55</v>
      </c>
      <c r="P11" s="4">
        <f>'Hampshire Daily'!Q14-'Hampshire Daily'!Q13</f>
        <v>59</v>
      </c>
      <c r="Q11" s="4">
        <f>'Hampshire Daily'!T14-'Hampshire Daily'!T13</f>
        <v>7</v>
      </c>
      <c r="R11" s="4">
        <f>'Hampshire Daily'!B14</f>
        <v>132</v>
      </c>
      <c r="S11" s="4">
        <f>'Hampshire Daily'!C14</f>
        <v>135</v>
      </c>
    </row>
    <row r="12" spans="1:23">
      <c r="A12" s="3" t="s">
        <v>12</v>
      </c>
      <c r="B12" s="1">
        <f t="shared" si="0"/>
        <v>11</v>
      </c>
      <c r="C12" s="1">
        <v>5</v>
      </c>
      <c r="D12" s="1">
        <v>2022</v>
      </c>
      <c r="E12" s="4">
        <f>'Hampshire Daily'!D15-'Hampshire Daily'!D14</f>
        <v>2676</v>
      </c>
      <c r="F12" s="4">
        <f>'Hampshire Daily'!E15-'Hampshire Daily'!E14</f>
        <v>3465</v>
      </c>
      <c r="G12" s="4">
        <f>'Hampshire Daily'!F15-'Hampshire Daily'!F14</f>
        <v>15</v>
      </c>
      <c r="H12" s="4">
        <f>'Hampshire Daily'!G15-'Hampshire Daily'!G14</f>
        <v>1997</v>
      </c>
      <c r="I12" s="4">
        <f>'Hampshire Daily'!H15-'Hampshire Daily'!H14</f>
        <v>0</v>
      </c>
      <c r="J12" s="4">
        <f>'Hampshire Daily'!I15-'Hampshire Daily'!I14</f>
        <v>2350</v>
      </c>
      <c r="K12" s="4">
        <f>'Hampshire Daily'!J15-'Hampshire Daily'!J14</f>
        <v>948</v>
      </c>
      <c r="L12" s="4">
        <f>'Hampshire Daily'!K15-'Hampshire Daily'!K14</f>
        <v>11</v>
      </c>
      <c r="M12" s="4">
        <f>'Hampshire Daily'!N15-'Hampshire Daily'!N14</f>
        <v>2385</v>
      </c>
      <c r="N12" s="4">
        <f>'Hampshire Daily'!O15-'Hampshire Daily'!O14</f>
        <v>117</v>
      </c>
      <c r="O12" s="4">
        <f>'Hampshire Daily'!P15-'Hampshire Daily'!P14</f>
        <v>58</v>
      </c>
      <c r="P12" s="4">
        <f>'Hampshire Daily'!Q15-'Hampshire Daily'!Q14</f>
        <v>64</v>
      </c>
      <c r="Q12" s="4">
        <f>'Hampshire Daily'!T15-'Hampshire Daily'!T14</f>
        <v>8</v>
      </c>
      <c r="R12" s="4">
        <f>'Hampshire Daily'!B15</f>
        <v>29</v>
      </c>
      <c r="S12" s="4">
        <f>'Hampshire Daily'!C15</f>
        <v>44</v>
      </c>
    </row>
    <row r="13" spans="1:23">
      <c r="A13" s="3" t="s">
        <v>12</v>
      </c>
      <c r="B13" s="1">
        <f t="shared" si="0"/>
        <v>12</v>
      </c>
      <c r="C13" s="1">
        <v>5</v>
      </c>
      <c r="D13" s="1">
        <v>2022</v>
      </c>
      <c r="E13" s="4">
        <f>'Hampshire Daily'!D16-'Hampshire Daily'!D15</f>
        <v>2085</v>
      </c>
      <c r="F13" s="4">
        <f>'Hampshire Daily'!E16-'Hampshire Daily'!E15</f>
        <v>2913</v>
      </c>
      <c r="G13" s="4">
        <f>'Hampshire Daily'!F16-'Hampshire Daily'!F15</f>
        <v>0</v>
      </c>
      <c r="H13" s="4">
        <f>'Hampshire Daily'!G16-'Hampshire Daily'!G15</f>
        <v>1781</v>
      </c>
      <c r="I13" s="4">
        <f>'Hampshire Daily'!H16-'Hampshire Daily'!H15</f>
        <v>0</v>
      </c>
      <c r="J13" s="4">
        <f>'Hampshire Daily'!I16-'Hampshire Daily'!I15</f>
        <v>2487</v>
      </c>
      <c r="K13" s="4">
        <f>'Hampshire Daily'!J16-'Hampshire Daily'!J15</f>
        <v>1122</v>
      </c>
      <c r="L13" s="4">
        <f>'Hampshire Daily'!K16-'Hampshire Daily'!K15</f>
        <v>0</v>
      </c>
      <c r="M13" s="4">
        <f>'Hampshire Daily'!N16-'Hampshire Daily'!N15</f>
        <v>2359</v>
      </c>
      <c r="N13" s="4">
        <f>'Hampshire Daily'!O16-'Hampshire Daily'!O15</f>
        <v>93</v>
      </c>
      <c r="O13" s="4">
        <f>'Hampshire Daily'!P16-'Hampshire Daily'!P15</f>
        <v>45</v>
      </c>
      <c r="P13" s="4">
        <f>'Hampshire Daily'!Q16-'Hampshire Daily'!Q15</f>
        <v>49</v>
      </c>
      <c r="Q13" s="4">
        <f>'Hampshire Daily'!T16-'Hampshire Daily'!T15</f>
        <v>6</v>
      </c>
      <c r="R13" s="4">
        <f>'Hampshire Daily'!B16</f>
        <v>20</v>
      </c>
      <c r="S13" s="4">
        <f>'Hampshire Daily'!C16</f>
        <v>38</v>
      </c>
    </row>
    <row r="14" spans="1:23">
      <c r="A14" s="3" t="s">
        <v>12</v>
      </c>
      <c r="B14" s="1">
        <f t="shared" si="0"/>
        <v>13</v>
      </c>
      <c r="C14" s="1">
        <v>5</v>
      </c>
      <c r="D14" s="1">
        <v>2022</v>
      </c>
      <c r="E14" s="4">
        <f>'Hampshire Daily'!D17-'Hampshire Daily'!D16</f>
        <v>2095</v>
      </c>
      <c r="F14" s="4">
        <f>'Hampshire Daily'!E17-'Hampshire Daily'!E16</f>
        <v>3161</v>
      </c>
      <c r="G14" s="4">
        <f>'Hampshire Daily'!F17-'Hampshire Daily'!F16</f>
        <v>95</v>
      </c>
      <c r="H14" s="4">
        <f>'Hampshire Daily'!G17-'Hampshire Daily'!G16</f>
        <v>1657</v>
      </c>
      <c r="I14" s="4">
        <f>'Hampshire Daily'!H17-'Hampshire Daily'!H16</f>
        <v>0</v>
      </c>
      <c r="J14" s="4">
        <f>'Hampshire Daily'!I17-'Hampshire Daily'!I16</f>
        <v>2353</v>
      </c>
      <c r="K14" s="4">
        <f>'Hampshire Daily'!J17-'Hampshire Daily'!J16</f>
        <v>1007</v>
      </c>
      <c r="L14" s="4">
        <f>'Hampshire Daily'!K17-'Hampshire Daily'!K16</f>
        <v>14</v>
      </c>
      <c r="M14" s="4">
        <f>'Hampshire Daily'!N17-'Hampshire Daily'!N16</f>
        <v>2263</v>
      </c>
      <c r="N14" s="4">
        <f>'Hampshire Daily'!O17-'Hampshire Daily'!O16</f>
        <v>91</v>
      </c>
      <c r="O14" s="4">
        <f>'Hampshire Daily'!P17-'Hampshire Daily'!P16</f>
        <v>35</v>
      </c>
      <c r="P14" s="4">
        <f>'Hampshire Daily'!Q17-'Hampshire Daily'!Q16</f>
        <v>41</v>
      </c>
      <c r="Q14" s="4">
        <f>'Hampshire Daily'!T17-'Hampshire Daily'!T16</f>
        <v>7</v>
      </c>
      <c r="R14" s="4">
        <f>'Hampshire Daily'!B17</f>
        <v>47</v>
      </c>
      <c r="S14" s="4">
        <f>'Hampshire Daily'!C17</f>
        <v>135</v>
      </c>
    </row>
    <row r="15" spans="1:23">
      <c r="A15" s="3" t="s">
        <v>12</v>
      </c>
      <c r="B15" s="1">
        <f t="shared" si="0"/>
        <v>14</v>
      </c>
      <c r="C15" s="1">
        <v>5</v>
      </c>
      <c r="D15" s="1">
        <v>2022</v>
      </c>
      <c r="E15" s="4">
        <f>'Hampshire Daily'!D18-'Hampshire Daily'!D17</f>
        <v>2116</v>
      </c>
      <c r="F15" s="4">
        <f>'Hampshire Daily'!E18-'Hampshire Daily'!E17</f>
        <v>6756</v>
      </c>
      <c r="G15" s="4">
        <f>'Hampshire Daily'!F18-'Hampshire Daily'!F17</f>
        <v>743</v>
      </c>
      <c r="H15" s="4">
        <f>'Hampshire Daily'!G18-'Hampshire Daily'!G17</f>
        <v>1769</v>
      </c>
      <c r="I15" s="4">
        <f>'Hampshire Daily'!H18-'Hampshire Daily'!H17</f>
        <v>0</v>
      </c>
      <c r="J15" s="4">
        <f>'Hampshire Daily'!I18-'Hampshire Daily'!I17</f>
        <v>2584</v>
      </c>
      <c r="K15" s="4">
        <f>'Hampshire Daily'!J18-'Hampshire Daily'!J17</f>
        <v>1105</v>
      </c>
      <c r="L15" s="4">
        <f>'Hampshire Daily'!K18-'Hampshire Daily'!K17</f>
        <v>0</v>
      </c>
      <c r="M15" s="4">
        <f>'Hampshire Daily'!N18-'Hampshire Daily'!N17</f>
        <v>1973</v>
      </c>
      <c r="N15" s="4">
        <f>'Hampshire Daily'!O18-'Hampshire Daily'!O17</f>
        <v>81</v>
      </c>
      <c r="O15" s="4">
        <f>'Hampshire Daily'!P18-'Hampshire Daily'!P17</f>
        <v>42</v>
      </c>
      <c r="P15" s="4">
        <f>'Hampshire Daily'!Q18-'Hampshire Daily'!Q17</f>
        <v>48</v>
      </c>
      <c r="Q15" s="4">
        <f>'Hampshire Daily'!T18-'Hampshire Daily'!T17</f>
        <v>11</v>
      </c>
      <c r="R15" s="4">
        <f>'Hampshire Daily'!B18</f>
        <v>60</v>
      </c>
      <c r="S15" s="4">
        <f>'Hampshire Daily'!C18</f>
        <v>141</v>
      </c>
    </row>
    <row r="16" spans="1:23">
      <c r="A16" s="3" t="s">
        <v>12</v>
      </c>
      <c r="B16" s="1">
        <f t="shared" si="0"/>
        <v>15</v>
      </c>
      <c r="C16" s="1">
        <v>5</v>
      </c>
      <c r="D16" s="1">
        <v>2022</v>
      </c>
      <c r="E16" s="4">
        <f>'Hampshire Daily'!D19-'Hampshire Daily'!D18</f>
        <v>1929</v>
      </c>
      <c r="F16" s="4">
        <f>'Hampshire Daily'!E19-'Hampshire Daily'!E18</f>
        <v>6575</v>
      </c>
      <c r="G16" s="4">
        <f>'Hampshire Daily'!F19-'Hampshire Daily'!F18</f>
        <v>744</v>
      </c>
      <c r="H16" s="4">
        <f>'Hampshire Daily'!G19-'Hampshire Daily'!G18</f>
        <v>1598</v>
      </c>
      <c r="I16" s="4">
        <f>'Hampshire Daily'!H19-'Hampshire Daily'!H18</f>
        <v>0</v>
      </c>
      <c r="J16" s="4">
        <f>'Hampshire Daily'!I19-'Hampshire Daily'!I18</f>
        <v>2539</v>
      </c>
      <c r="K16" s="4">
        <f>'Hampshire Daily'!J19-'Hampshire Daily'!J18</f>
        <v>1108</v>
      </c>
      <c r="L16" s="4">
        <f>'Hampshire Daily'!K19-'Hampshire Daily'!K18</f>
        <v>13</v>
      </c>
      <c r="M16" s="4">
        <f>'Hampshire Daily'!N19-'Hampshire Daily'!N18</f>
        <v>1699</v>
      </c>
      <c r="N16" s="4">
        <f>'Hampshire Daily'!O19-'Hampshire Daily'!O18</f>
        <v>98</v>
      </c>
      <c r="O16" s="4">
        <f>'Hampshire Daily'!P19-'Hampshire Daily'!P18</f>
        <v>59</v>
      </c>
      <c r="P16" s="4">
        <f>'Hampshire Daily'!Q19-'Hampshire Daily'!Q18</f>
        <v>60</v>
      </c>
      <c r="Q16" s="4">
        <f>'Hampshire Daily'!T19-'Hampshire Daily'!T18</f>
        <v>6</v>
      </c>
      <c r="R16" s="4">
        <f>'Hampshire Daily'!B19</f>
        <v>35</v>
      </c>
      <c r="S16" s="4">
        <f>'Hampshire Daily'!C19</f>
        <v>59</v>
      </c>
    </row>
    <row r="17" spans="1:19">
      <c r="A17" s="3" t="s">
        <v>12</v>
      </c>
      <c r="B17" s="1">
        <f t="shared" si="0"/>
        <v>16</v>
      </c>
      <c r="C17" s="1">
        <v>5</v>
      </c>
      <c r="D17" s="1">
        <v>2022</v>
      </c>
      <c r="E17" s="4">
        <f>'Hampshire Daily'!D20-'Hampshire Daily'!D19</f>
        <v>1684</v>
      </c>
      <c r="F17" s="4">
        <f>'Hampshire Daily'!E20-'Hampshire Daily'!E19</f>
        <v>6174</v>
      </c>
      <c r="G17" s="4">
        <f>'Hampshire Daily'!F20-'Hampshire Daily'!F19</f>
        <v>731</v>
      </c>
      <c r="H17" s="4">
        <f>'Hampshire Daily'!G20-'Hampshire Daily'!G19</f>
        <v>1721</v>
      </c>
      <c r="I17" s="4">
        <f>'Hampshire Daily'!H20-'Hampshire Daily'!H19</f>
        <v>0</v>
      </c>
      <c r="J17" s="4">
        <f>'Hampshire Daily'!I20-'Hampshire Daily'!I19</f>
        <v>2196</v>
      </c>
      <c r="K17" s="4">
        <f>'Hampshire Daily'!J20-'Hampshire Daily'!J19</f>
        <v>913</v>
      </c>
      <c r="L17" s="4">
        <f>'Hampshire Daily'!K20-'Hampshire Daily'!K19</f>
        <v>6</v>
      </c>
      <c r="M17" s="4">
        <f>'Hampshire Daily'!N20-'Hampshire Daily'!N19</f>
        <v>1750</v>
      </c>
      <c r="N17" s="4">
        <f>'Hampshire Daily'!O20-'Hampshire Daily'!O19</f>
        <v>103</v>
      </c>
      <c r="O17" s="4">
        <f>'Hampshire Daily'!P20-'Hampshire Daily'!P19</f>
        <v>45</v>
      </c>
      <c r="P17" s="4">
        <f>'Hampshire Daily'!Q20-'Hampshire Daily'!Q19</f>
        <v>52</v>
      </c>
      <c r="Q17" s="4">
        <f>'Hampshire Daily'!T20-'Hampshire Daily'!T19</f>
        <v>8</v>
      </c>
      <c r="R17" s="4">
        <f>'Hampshire Daily'!B20</f>
        <v>98</v>
      </c>
      <c r="S17" s="4">
        <f>'Hampshire Daily'!C20</f>
        <v>105</v>
      </c>
    </row>
    <row r="18" spans="1:19">
      <c r="A18" s="3" t="s">
        <v>12</v>
      </c>
      <c r="B18" s="1">
        <f t="shared" si="0"/>
        <v>17</v>
      </c>
      <c r="C18" s="1">
        <v>5</v>
      </c>
      <c r="D18" s="1">
        <v>2022</v>
      </c>
      <c r="E18" s="4">
        <f>'Hampshire Daily'!D21-'Hampshire Daily'!D20</f>
        <v>2327</v>
      </c>
      <c r="F18" s="4">
        <f>'Hampshire Daily'!E21-'Hampshire Daily'!E20</f>
        <v>6549</v>
      </c>
      <c r="G18" s="4">
        <f>'Hampshire Daily'!F21-'Hampshire Daily'!F20</f>
        <v>777</v>
      </c>
      <c r="H18" s="4">
        <f>'Hampshire Daily'!G21-'Hampshire Daily'!G20</f>
        <v>2029</v>
      </c>
      <c r="I18" s="4">
        <f>'Hampshire Daily'!H21-'Hampshire Daily'!H20</f>
        <v>18</v>
      </c>
      <c r="J18" s="4">
        <f>'Hampshire Daily'!I21-'Hampshire Daily'!I20</f>
        <v>2367</v>
      </c>
      <c r="K18" s="4">
        <f>'Hampshire Daily'!J21-'Hampshire Daily'!J20</f>
        <v>951</v>
      </c>
      <c r="L18" s="4">
        <f>'Hampshire Daily'!K21-'Hampshire Daily'!K20</f>
        <v>0</v>
      </c>
      <c r="M18" s="4">
        <f>'Hampshire Daily'!N21-'Hampshire Daily'!N20</f>
        <v>1801</v>
      </c>
      <c r="N18" s="4">
        <f>'Hampshire Daily'!O21-'Hampshire Daily'!O20</f>
        <v>93</v>
      </c>
      <c r="O18" s="4">
        <f>'Hampshire Daily'!P21-'Hampshire Daily'!P20</f>
        <v>50</v>
      </c>
      <c r="P18" s="4">
        <f>'Hampshire Daily'!Q21-'Hampshire Daily'!Q20</f>
        <v>55</v>
      </c>
      <c r="Q18" s="4">
        <f>'Hampshire Daily'!T21-'Hampshire Daily'!T20</f>
        <v>7</v>
      </c>
      <c r="R18" s="4">
        <f>'Hampshire Daily'!B21</f>
        <v>104</v>
      </c>
      <c r="S18" s="4">
        <f>'Hampshire Daily'!C21</f>
        <v>115</v>
      </c>
    </row>
    <row r="19" spans="1:19">
      <c r="A19" s="3" t="s">
        <v>12</v>
      </c>
      <c r="B19" s="1">
        <f t="shared" si="0"/>
        <v>18</v>
      </c>
      <c r="C19" s="1">
        <v>5</v>
      </c>
      <c r="D19" s="1">
        <v>2022</v>
      </c>
      <c r="E19" s="4">
        <f>'Hampshire Daily'!D22-'Hampshire Daily'!D21</f>
        <v>2674</v>
      </c>
      <c r="F19" s="4">
        <f>'Hampshire Daily'!E22-'Hampshire Daily'!E21</f>
        <v>6544</v>
      </c>
      <c r="G19" s="4">
        <f>'Hampshire Daily'!F22-'Hampshire Daily'!F21</f>
        <v>758</v>
      </c>
      <c r="H19" s="4">
        <f>'Hampshire Daily'!G22-'Hampshire Daily'!G21</f>
        <v>1978</v>
      </c>
      <c r="I19" s="4">
        <f>'Hampshire Daily'!H22-'Hampshire Daily'!H21</f>
        <v>0</v>
      </c>
      <c r="J19" s="4">
        <f>'Hampshire Daily'!I22-'Hampshire Daily'!I21</f>
        <v>2477</v>
      </c>
      <c r="K19" s="4">
        <f>'Hampshire Daily'!J22-'Hampshire Daily'!J21</f>
        <v>1084</v>
      </c>
      <c r="L19" s="4">
        <f>'Hampshire Daily'!K22-'Hampshire Daily'!K21</f>
        <v>24</v>
      </c>
      <c r="M19" s="4">
        <f>'Hampshire Daily'!N22-'Hampshire Daily'!N21</f>
        <v>1623</v>
      </c>
      <c r="N19" s="4">
        <f>'Hampshire Daily'!O22-'Hampshire Daily'!O21</f>
        <v>96</v>
      </c>
      <c r="O19" s="4">
        <f>'Hampshire Daily'!P22-'Hampshire Daily'!P21</f>
        <v>53</v>
      </c>
      <c r="P19" s="4">
        <f>'Hampshire Daily'!Q22-'Hampshire Daily'!Q21</f>
        <v>58</v>
      </c>
      <c r="Q19" s="4">
        <f>'Hampshire Daily'!T22-'Hampshire Daily'!T21</f>
        <v>6</v>
      </c>
      <c r="R19" s="4">
        <f>'Hampshire Daily'!B22</f>
        <v>62</v>
      </c>
      <c r="S19" s="4">
        <f>'Hampshire Daily'!C22</f>
        <v>79</v>
      </c>
    </row>
    <row r="20" spans="1:19">
      <c r="A20" s="3" t="s">
        <v>12</v>
      </c>
      <c r="B20" s="1">
        <f t="shared" si="0"/>
        <v>19</v>
      </c>
      <c r="C20" s="1">
        <v>5</v>
      </c>
      <c r="D20" s="1">
        <v>2022</v>
      </c>
      <c r="E20" s="4">
        <f>'Hampshire Daily'!D23-'Hampshire Daily'!D22</f>
        <v>2707</v>
      </c>
      <c r="F20" s="4">
        <f>'Hampshire Daily'!E23-'Hampshire Daily'!E22</f>
        <v>6685</v>
      </c>
      <c r="G20" s="4">
        <f>'Hampshire Daily'!F23-'Hampshire Daily'!F22</f>
        <v>768</v>
      </c>
      <c r="H20" s="4">
        <f>'Hampshire Daily'!G23-'Hampshire Daily'!G22</f>
        <v>1905</v>
      </c>
      <c r="I20" s="4">
        <f>'Hampshire Daily'!H23-'Hampshire Daily'!H22</f>
        <v>0</v>
      </c>
      <c r="J20" s="4">
        <f>'Hampshire Daily'!I23-'Hampshire Daily'!I22</f>
        <v>2508</v>
      </c>
      <c r="K20" s="4">
        <f>'Hampshire Daily'!J23-'Hampshire Daily'!J22</f>
        <v>1078</v>
      </c>
      <c r="L20" s="4">
        <f>'Hampshire Daily'!K23-'Hampshire Daily'!K22</f>
        <v>2</v>
      </c>
      <c r="M20" s="4">
        <f>'Hampshire Daily'!N23-'Hampshire Daily'!N22</f>
        <v>1743</v>
      </c>
      <c r="N20" s="4">
        <f>'Hampshire Daily'!O23-'Hampshire Daily'!O22</f>
        <v>97</v>
      </c>
      <c r="O20" s="4">
        <f>'Hampshire Daily'!P23-'Hampshire Daily'!P22</f>
        <v>54</v>
      </c>
      <c r="P20" s="4">
        <f>'Hampshire Daily'!Q23-'Hampshire Daily'!Q22</f>
        <v>60</v>
      </c>
      <c r="Q20" s="4">
        <f>'Hampshire Daily'!T23-'Hampshire Daily'!T22</f>
        <v>3</v>
      </c>
      <c r="R20" s="4">
        <f>'Hampshire Daily'!B23</f>
        <v>79</v>
      </c>
      <c r="S20" s="4">
        <f>'Hampshire Daily'!C23</f>
        <v>124</v>
      </c>
    </row>
    <row r="21" spans="1:19">
      <c r="A21" s="3" t="s">
        <v>12</v>
      </c>
      <c r="B21" s="1">
        <f t="shared" si="0"/>
        <v>20</v>
      </c>
      <c r="C21" s="1">
        <v>5</v>
      </c>
      <c r="D21" s="1">
        <v>2022</v>
      </c>
      <c r="E21" s="4">
        <f>'Hampshire Daily'!D24-'Hampshire Daily'!D23</f>
        <v>2729</v>
      </c>
      <c r="F21" s="4">
        <f>'Hampshire Daily'!E24-'Hampshire Daily'!E23</f>
        <v>4174</v>
      </c>
      <c r="G21" s="4">
        <f>'Hampshire Daily'!F24-'Hampshire Daily'!F23</f>
        <v>267</v>
      </c>
      <c r="H21" s="4">
        <f>'Hampshire Daily'!G24-'Hampshire Daily'!G23</f>
        <v>1871</v>
      </c>
      <c r="I21" s="4">
        <f>'Hampshire Daily'!H24-'Hampshire Daily'!H23</f>
        <v>0</v>
      </c>
      <c r="J21" s="4">
        <f>'Hampshire Daily'!I24-'Hampshire Daily'!I23</f>
        <v>2708</v>
      </c>
      <c r="K21" s="4">
        <f>'Hampshire Daily'!J24-'Hampshire Daily'!J23</f>
        <v>1081</v>
      </c>
      <c r="L21" s="4">
        <f>'Hampshire Daily'!K24-'Hampshire Daily'!K23</f>
        <v>3</v>
      </c>
      <c r="M21" s="4">
        <f>'Hampshire Daily'!N24-'Hampshire Daily'!N23</f>
        <v>2004</v>
      </c>
      <c r="N21" s="4">
        <f>'Hampshire Daily'!O24-'Hampshire Daily'!O23</f>
        <v>82</v>
      </c>
      <c r="O21" s="4">
        <f>'Hampshire Daily'!P24-'Hampshire Daily'!P23</f>
        <v>50</v>
      </c>
      <c r="P21" s="4">
        <f>'Hampshire Daily'!Q24-'Hampshire Daily'!Q23</f>
        <v>55</v>
      </c>
      <c r="Q21" s="4">
        <f>'Hampshire Daily'!T24-'Hampshire Daily'!T23</f>
        <v>4</v>
      </c>
      <c r="R21" s="4">
        <f>'Hampshire Daily'!B24</f>
        <v>68</v>
      </c>
      <c r="S21" s="4">
        <f>'Hampshire Daily'!C24</f>
        <v>141</v>
      </c>
    </row>
    <row r="22" spans="1:19">
      <c r="A22" s="3" t="s">
        <v>12</v>
      </c>
      <c r="B22" s="1">
        <f t="shared" si="0"/>
        <v>21</v>
      </c>
      <c r="C22" s="1">
        <v>5</v>
      </c>
      <c r="D22" s="1">
        <v>2022</v>
      </c>
      <c r="E22" s="4">
        <f>'Hampshire Daily'!D25-'Hampshire Daily'!D24</f>
        <v>2370</v>
      </c>
      <c r="F22" s="4">
        <f>'Hampshire Daily'!E25-'Hampshire Daily'!E24</f>
        <v>3600</v>
      </c>
      <c r="G22" s="4">
        <f>'Hampshire Daily'!F25-'Hampshire Daily'!F24</f>
        <v>50</v>
      </c>
      <c r="H22" s="4">
        <f>'Hampshire Daily'!G25-'Hampshire Daily'!G24</f>
        <v>1949</v>
      </c>
      <c r="I22" s="4">
        <f>'Hampshire Daily'!H25-'Hampshire Daily'!H24</f>
        <v>0</v>
      </c>
      <c r="J22" s="4">
        <f>'Hampshire Daily'!I25-'Hampshire Daily'!I24</f>
        <v>2177</v>
      </c>
      <c r="K22" s="4">
        <f>'Hampshire Daily'!J25-'Hampshire Daily'!J24</f>
        <v>1015</v>
      </c>
      <c r="L22" s="4">
        <f>'Hampshire Daily'!K25-'Hampshire Daily'!K24</f>
        <v>1</v>
      </c>
      <c r="M22" s="4">
        <f>'Hampshire Daily'!N25-'Hampshire Daily'!N24</f>
        <v>2295</v>
      </c>
      <c r="N22" s="4">
        <f>'Hampshire Daily'!O25-'Hampshire Daily'!O24</f>
        <v>95</v>
      </c>
      <c r="O22" s="4">
        <f>'Hampshire Daily'!P25-'Hampshire Daily'!P24</f>
        <v>54</v>
      </c>
      <c r="P22" s="4">
        <f>'Hampshire Daily'!Q25-'Hampshire Daily'!Q24</f>
        <v>60</v>
      </c>
      <c r="Q22" s="4">
        <f>'Hampshire Daily'!T25-'Hampshire Daily'!T24</f>
        <v>5</v>
      </c>
      <c r="R22" s="4">
        <f>'Hampshire Daily'!B25</f>
        <v>103</v>
      </c>
      <c r="S22" s="4">
        <f>'Hampshire Daily'!C25</f>
        <v>218</v>
      </c>
    </row>
    <row r="23" spans="1:19">
      <c r="A23" s="3" t="s">
        <v>12</v>
      </c>
      <c r="B23" s="1">
        <f t="shared" si="0"/>
        <v>22</v>
      </c>
      <c r="C23" s="1">
        <v>5</v>
      </c>
      <c r="D23" s="1">
        <v>2022</v>
      </c>
      <c r="E23" s="4">
        <f>'Hampshire Daily'!D26-'Hampshire Daily'!D25</f>
        <v>2629</v>
      </c>
      <c r="F23" s="4">
        <f>'Hampshire Daily'!E26-'Hampshire Daily'!E25</f>
        <v>3459</v>
      </c>
      <c r="G23" s="4">
        <f>'Hampshire Daily'!F26-'Hampshire Daily'!F25</f>
        <v>7</v>
      </c>
      <c r="H23" s="4">
        <f>'Hampshire Daily'!G26-'Hampshire Daily'!G25</f>
        <v>2021</v>
      </c>
      <c r="I23" s="4">
        <f>'Hampshire Daily'!H26-'Hampshire Daily'!H25</f>
        <v>88</v>
      </c>
      <c r="J23" s="4">
        <f>'Hampshire Daily'!I26-'Hampshire Daily'!I25</f>
        <v>2613</v>
      </c>
      <c r="K23" s="4">
        <f>'Hampshire Daily'!J26-'Hampshire Daily'!J25</f>
        <v>1180</v>
      </c>
      <c r="L23" s="4">
        <f>'Hampshire Daily'!K26-'Hampshire Daily'!K25</f>
        <v>0</v>
      </c>
      <c r="M23" s="4">
        <f>'Hampshire Daily'!N26-'Hampshire Daily'!N25</f>
        <v>2232</v>
      </c>
      <c r="N23" s="4">
        <f>'Hampshire Daily'!O26-'Hampshire Daily'!O25</f>
        <v>110</v>
      </c>
      <c r="O23" s="4">
        <f>'Hampshire Daily'!P26-'Hampshire Daily'!P25</f>
        <v>65</v>
      </c>
      <c r="P23" s="4">
        <f>'Hampshire Daily'!Q26-'Hampshire Daily'!Q25</f>
        <v>71</v>
      </c>
      <c r="Q23" s="4">
        <f>'Hampshire Daily'!T26-'Hampshire Daily'!T25</f>
        <v>7</v>
      </c>
      <c r="R23" s="4">
        <f>'Hampshire Daily'!B26</f>
        <v>53</v>
      </c>
      <c r="S23" s="4">
        <f>'Hampshire Daily'!C26</f>
        <v>95</v>
      </c>
    </row>
    <row r="24" spans="1:19">
      <c r="A24" s="3" t="s">
        <v>12</v>
      </c>
      <c r="B24" s="1">
        <f t="shared" si="0"/>
        <v>23</v>
      </c>
      <c r="C24" s="1">
        <v>5</v>
      </c>
      <c r="D24" s="1">
        <v>2022</v>
      </c>
      <c r="E24" s="4">
        <f>'Hampshire Daily'!D27-'Hampshire Daily'!D26</f>
        <v>2205</v>
      </c>
      <c r="F24" s="4">
        <f>'Hampshire Daily'!E27-'Hampshire Daily'!E26</f>
        <v>4015</v>
      </c>
      <c r="G24" s="4">
        <f>'Hampshire Daily'!F27-'Hampshire Daily'!F26</f>
        <v>167</v>
      </c>
      <c r="H24" s="4">
        <f>'Hampshire Daily'!G27-'Hampshire Daily'!G26</f>
        <v>1800</v>
      </c>
      <c r="I24" s="4">
        <f>'Hampshire Daily'!H27-'Hampshire Daily'!H26</f>
        <v>5</v>
      </c>
      <c r="J24" s="4">
        <f>'Hampshire Daily'!I27-'Hampshire Daily'!I26</f>
        <v>2485</v>
      </c>
      <c r="K24" s="4">
        <f>'Hampshire Daily'!J27-'Hampshire Daily'!J26</f>
        <v>1114</v>
      </c>
      <c r="L24" s="4">
        <f>'Hampshire Daily'!K27-'Hampshire Daily'!K26</f>
        <v>3</v>
      </c>
      <c r="M24" s="4">
        <f>'Hampshire Daily'!N27-'Hampshire Daily'!N26</f>
        <v>2047</v>
      </c>
      <c r="N24" s="4">
        <f>'Hampshire Daily'!O27-'Hampshire Daily'!O26</f>
        <v>123</v>
      </c>
      <c r="O24" s="4">
        <f>'Hampshire Daily'!P27-'Hampshire Daily'!P26</f>
        <v>60</v>
      </c>
      <c r="P24" s="4">
        <f>'Hampshire Daily'!Q27-'Hampshire Daily'!Q26</f>
        <v>65</v>
      </c>
      <c r="Q24" s="4">
        <f>'Hampshire Daily'!T27-'Hampshire Daily'!T26</f>
        <v>15</v>
      </c>
      <c r="R24" s="4">
        <f>'Hampshire Daily'!B27</f>
        <v>84</v>
      </c>
      <c r="S24" s="4">
        <f>'Hampshire Daily'!C27</f>
        <v>111</v>
      </c>
    </row>
    <row r="25" spans="1:19">
      <c r="A25" s="3" t="s">
        <v>12</v>
      </c>
      <c r="B25" s="1">
        <f t="shared" si="0"/>
        <v>24</v>
      </c>
      <c r="C25" s="1">
        <v>5</v>
      </c>
      <c r="D25" s="1">
        <v>2022</v>
      </c>
      <c r="E25" s="4">
        <f>'Hampshire Daily'!D28-'Hampshire Daily'!D27</f>
        <v>2514</v>
      </c>
      <c r="F25" s="4">
        <f>'Hampshire Daily'!E28-'Hampshire Daily'!E27</f>
        <v>3241</v>
      </c>
      <c r="G25" s="4">
        <f>'Hampshire Daily'!F28-'Hampshire Daily'!F27</f>
        <v>44</v>
      </c>
      <c r="H25" s="4">
        <f>'Hampshire Daily'!G28-'Hampshire Daily'!G27</f>
        <v>2007</v>
      </c>
      <c r="I25" s="4">
        <f>'Hampshire Daily'!H28-'Hampshire Daily'!H27</f>
        <v>0</v>
      </c>
      <c r="J25" s="4">
        <f>'Hampshire Daily'!I28-'Hampshire Daily'!I27</f>
        <v>2397</v>
      </c>
      <c r="K25" s="4">
        <f>'Hampshire Daily'!J28-'Hampshire Daily'!J27</f>
        <v>997</v>
      </c>
      <c r="L25" s="4">
        <f>'Hampshire Daily'!K28-'Hampshire Daily'!K27</f>
        <v>0</v>
      </c>
      <c r="M25" s="4">
        <f>'Hampshire Daily'!N28-'Hampshire Daily'!N27</f>
        <v>2197</v>
      </c>
      <c r="N25" s="4">
        <f>'Hampshire Daily'!O28-'Hampshire Daily'!O27</f>
        <v>114</v>
      </c>
      <c r="O25" s="4">
        <f>'Hampshire Daily'!P28-'Hampshire Daily'!P27</f>
        <v>48</v>
      </c>
      <c r="P25" s="4">
        <f>'Hampshire Daily'!Q28-'Hampshire Daily'!Q27</f>
        <v>54</v>
      </c>
      <c r="Q25" s="4">
        <f>'Hampshire Daily'!T28-'Hampshire Daily'!T27</f>
        <v>28</v>
      </c>
      <c r="R25" s="4">
        <f>'Hampshire Daily'!B28</f>
        <v>64</v>
      </c>
      <c r="S25" s="4">
        <f>'Hampshire Daily'!C28</f>
        <v>90</v>
      </c>
    </row>
    <row r="26" spans="1:19">
      <c r="A26" s="3" t="s">
        <v>12</v>
      </c>
      <c r="B26" s="23">
        <f>B25+1</f>
        <v>25</v>
      </c>
      <c r="C26" s="1">
        <v>5</v>
      </c>
      <c r="D26" s="1">
        <v>2022</v>
      </c>
      <c r="E26" s="4">
        <f>'Hampshire Daily'!D29-'Hampshire Daily'!D28</f>
        <v>2432</v>
      </c>
      <c r="F26" s="4">
        <f>'Hampshire Daily'!E29-'Hampshire Daily'!E28</f>
        <v>2838</v>
      </c>
      <c r="G26" s="4">
        <f>'Hampshire Daily'!F29-'Hampshire Daily'!F28</f>
        <v>13</v>
      </c>
      <c r="H26" s="4">
        <f>'Hampshire Daily'!G29-'Hampshire Daily'!G28</f>
        <v>2029</v>
      </c>
      <c r="I26" s="4">
        <f>'Hampshire Daily'!H29-'Hampshire Daily'!H28</f>
        <v>0</v>
      </c>
      <c r="J26" s="4">
        <f>'Hampshire Daily'!I29-'Hampshire Daily'!I28</f>
        <v>2331</v>
      </c>
      <c r="K26" s="4">
        <f>'Hampshire Daily'!J29-'Hampshire Daily'!J28</f>
        <v>907</v>
      </c>
      <c r="L26" s="4">
        <f>'Hampshire Daily'!K29-'Hampshire Daily'!K28</f>
        <v>13</v>
      </c>
      <c r="M26" s="4">
        <f>'Hampshire Daily'!N29-'Hampshire Daily'!N28</f>
        <v>2217</v>
      </c>
      <c r="N26" s="4">
        <f>'Hampshire Daily'!O29-'Hampshire Daily'!O28</f>
        <v>98</v>
      </c>
      <c r="O26" s="4">
        <f>'Hampshire Daily'!P29-'Hampshire Daily'!P28</f>
        <v>57</v>
      </c>
      <c r="P26" s="4">
        <f>'Hampshire Daily'!Q29-'Hampshire Daily'!Q28</f>
        <v>62</v>
      </c>
      <c r="Q26" s="4">
        <f>'Hampshire Daily'!T29-'Hampshire Daily'!T28</f>
        <v>7</v>
      </c>
      <c r="R26" s="4">
        <f>'Hampshire Daily'!B29</f>
        <v>119</v>
      </c>
      <c r="S26" s="4">
        <f>'Hampshire Daily'!C29</f>
        <v>210</v>
      </c>
    </row>
    <row r="27" spans="1:19">
      <c r="A27" s="3" t="s">
        <v>12</v>
      </c>
      <c r="B27" s="1">
        <f t="shared" si="0"/>
        <v>26</v>
      </c>
      <c r="C27" s="1">
        <v>5</v>
      </c>
      <c r="D27" s="1">
        <v>2022</v>
      </c>
      <c r="E27" s="4">
        <f>'Hampshire Daily'!D30-'Hampshire Daily'!D29</f>
        <v>2361</v>
      </c>
      <c r="F27" s="4">
        <f>'Hampshire Daily'!E30-'Hampshire Daily'!E29</f>
        <v>4190</v>
      </c>
      <c r="G27" s="4">
        <f>'Hampshire Daily'!F30-'Hampshire Daily'!F29</f>
        <v>225</v>
      </c>
      <c r="H27" s="4">
        <f>'Hampshire Daily'!G30-'Hampshire Daily'!G29</f>
        <v>1940</v>
      </c>
      <c r="I27" s="4">
        <f>'Hampshire Daily'!H30-'Hampshire Daily'!H29</f>
        <v>0</v>
      </c>
      <c r="J27" s="4">
        <f>'Hampshire Daily'!I30-'Hampshire Daily'!I29</f>
        <v>2467</v>
      </c>
      <c r="K27" s="4">
        <f>'Hampshire Daily'!J30-'Hampshire Daily'!J29</f>
        <v>1071</v>
      </c>
      <c r="L27" s="4">
        <f>'Hampshire Daily'!K30-'Hampshire Daily'!K29</f>
        <v>0</v>
      </c>
      <c r="M27" s="4">
        <f>'Hampshire Daily'!N30-'Hampshire Daily'!N29</f>
        <v>2021</v>
      </c>
      <c r="N27" s="4">
        <f>'Hampshire Daily'!O30-'Hampshire Daily'!O29</f>
        <v>117</v>
      </c>
      <c r="O27" s="4">
        <f>'Hampshire Daily'!P30-'Hampshire Daily'!P29</f>
        <v>75</v>
      </c>
      <c r="P27" s="4">
        <f>'Hampshire Daily'!Q30-'Hampshire Daily'!Q29</f>
        <v>78</v>
      </c>
      <c r="Q27" s="4">
        <f>'Hampshire Daily'!T30-'Hampshire Daily'!T29</f>
        <v>6</v>
      </c>
      <c r="R27" s="4">
        <f>'Hampshire Daily'!B30</f>
        <v>117</v>
      </c>
      <c r="S27" s="4">
        <f>'Hampshire Daily'!C30</f>
        <v>207</v>
      </c>
    </row>
    <row r="28" spans="1:19">
      <c r="A28" s="3" t="s">
        <v>12</v>
      </c>
      <c r="B28" s="1">
        <f t="shared" si="0"/>
        <v>27</v>
      </c>
      <c r="C28" s="1">
        <v>5</v>
      </c>
      <c r="D28" s="1">
        <v>2022</v>
      </c>
      <c r="E28" s="4">
        <f>'Hampshire Daily'!D31-'Hampshire Daily'!D30</f>
        <v>3462</v>
      </c>
      <c r="F28" s="4">
        <f>'Hampshire Daily'!E31-'Hampshire Daily'!E30</f>
        <v>1878</v>
      </c>
      <c r="G28" s="4">
        <f>'Hampshire Daily'!F31-'Hampshire Daily'!F30</f>
        <v>38</v>
      </c>
      <c r="H28" s="4">
        <f>'Hampshire Daily'!G31-'Hampshire Daily'!G30</f>
        <v>1902</v>
      </c>
      <c r="I28" s="4">
        <f>'Hampshire Daily'!H31-'Hampshire Daily'!H30</f>
        <v>0</v>
      </c>
      <c r="J28" s="4">
        <f>'Hampshire Daily'!I31-'Hampshire Daily'!I30</f>
        <v>2708</v>
      </c>
      <c r="K28" s="4">
        <f>'Hampshire Daily'!J31-'Hampshire Daily'!J30</f>
        <v>1205</v>
      </c>
      <c r="L28" s="4">
        <f>'Hampshire Daily'!K31-'Hampshire Daily'!K30</f>
        <v>18</v>
      </c>
      <c r="M28" s="4">
        <f>'Hampshire Daily'!N31-'Hampshire Daily'!N30</f>
        <v>2199</v>
      </c>
      <c r="N28" s="4">
        <f>'Hampshire Daily'!O31-'Hampshire Daily'!O30</f>
        <v>122</v>
      </c>
      <c r="O28" s="4">
        <f>'Hampshire Daily'!P31-'Hampshire Daily'!P30</f>
        <v>75</v>
      </c>
      <c r="P28" s="4">
        <f>'Hampshire Daily'!Q31-'Hampshire Daily'!Q30</f>
        <v>79</v>
      </c>
      <c r="Q28" s="4">
        <f>'Hampshire Daily'!T31-'Hampshire Daily'!T30</f>
        <v>4</v>
      </c>
      <c r="R28" s="4">
        <f>'Hampshire Daily'!B31</f>
        <v>120</v>
      </c>
      <c r="S28" s="4">
        <f>'Hampshire Daily'!C31</f>
        <v>229</v>
      </c>
    </row>
    <row r="29" spans="1:19">
      <c r="A29" s="3" t="s">
        <v>12</v>
      </c>
      <c r="B29" s="1">
        <f t="shared" si="0"/>
        <v>28</v>
      </c>
      <c r="C29" s="1">
        <v>5</v>
      </c>
      <c r="D29" s="1">
        <v>2022</v>
      </c>
      <c r="E29" s="4">
        <f>'Hampshire Daily'!D32-'Hampshire Daily'!D31</f>
        <v>3141</v>
      </c>
      <c r="F29" s="4">
        <f>'Hampshire Daily'!E32-'Hampshire Daily'!E31</f>
        <v>5300</v>
      </c>
      <c r="G29" s="4">
        <f>'Hampshire Daily'!F32-'Hampshire Daily'!F31</f>
        <v>408</v>
      </c>
      <c r="H29" s="4">
        <f>'Hampshire Daily'!G32-'Hampshire Daily'!G31</f>
        <v>2010</v>
      </c>
      <c r="I29" s="4">
        <f>'Hampshire Daily'!H32-'Hampshire Daily'!H31</f>
        <v>0</v>
      </c>
      <c r="J29" s="4">
        <f>'Hampshire Daily'!I32-'Hampshire Daily'!I31</f>
        <v>2691</v>
      </c>
      <c r="K29" s="4">
        <f>'Hampshire Daily'!J32-'Hampshire Daily'!J31</f>
        <v>1194</v>
      </c>
      <c r="L29" s="4">
        <f>'Hampshire Daily'!K32-'Hampshire Daily'!K31</f>
        <v>112</v>
      </c>
      <c r="M29" s="4">
        <f>'Hampshire Daily'!N32-'Hampshire Daily'!N31</f>
        <v>1853</v>
      </c>
      <c r="N29" s="4">
        <f>'Hampshire Daily'!O32-'Hampshire Daily'!O31</f>
        <v>128</v>
      </c>
      <c r="O29" s="4">
        <f>'Hampshire Daily'!P32-'Hampshire Daily'!P31</f>
        <v>82</v>
      </c>
      <c r="P29" s="4">
        <f>'Hampshire Daily'!Q32-'Hampshire Daily'!Q31</f>
        <v>84</v>
      </c>
      <c r="Q29" s="4">
        <f>'Hampshire Daily'!T32-'Hampshire Daily'!T31</f>
        <v>4</v>
      </c>
      <c r="R29" s="4">
        <f>'Hampshire Daily'!B32</f>
        <v>60</v>
      </c>
      <c r="S29" s="4">
        <f>'Hampshire Daily'!C32</f>
        <v>138</v>
      </c>
    </row>
    <row r="30" spans="1:19">
      <c r="A30" s="3" t="s">
        <v>12</v>
      </c>
      <c r="B30" s="1">
        <f t="shared" si="0"/>
        <v>29</v>
      </c>
      <c r="C30" s="1">
        <v>5</v>
      </c>
      <c r="D30" s="1">
        <v>2022</v>
      </c>
      <c r="E30" s="4">
        <f>'Hampshire Daily'!D33-'Hampshire Daily'!D32</f>
        <v>1564</v>
      </c>
      <c r="F30" s="4">
        <f>'Hampshire Daily'!E33-'Hampshire Daily'!E32</f>
        <v>6773</v>
      </c>
      <c r="G30" s="4">
        <f>'Hampshire Daily'!F33-'Hampshire Daily'!F32</f>
        <v>736</v>
      </c>
      <c r="H30" s="4">
        <f>'Hampshire Daily'!G33-'Hampshire Daily'!G32</f>
        <v>1848</v>
      </c>
      <c r="I30" s="4">
        <f>'Hampshire Daily'!H33-'Hampshire Daily'!H32</f>
        <v>0</v>
      </c>
      <c r="J30" s="4">
        <f>'Hampshire Daily'!I33-'Hampshire Daily'!I32</f>
        <v>2531</v>
      </c>
      <c r="K30" s="4">
        <f>'Hampshire Daily'!J33-'Hampshire Daily'!J32</f>
        <v>1124</v>
      </c>
      <c r="L30" s="4">
        <f>'Hampshire Daily'!K33-'Hampshire Daily'!K32</f>
        <v>0</v>
      </c>
      <c r="M30" s="4">
        <f>'Hampshire Daily'!N33-'Hampshire Daily'!N32</f>
        <v>1647</v>
      </c>
      <c r="N30" s="4">
        <f>'Hampshire Daily'!O33-'Hampshire Daily'!O32</f>
        <v>103</v>
      </c>
      <c r="O30" s="4">
        <f>'Hampshire Daily'!P33-'Hampshire Daily'!P32</f>
        <v>61</v>
      </c>
      <c r="P30" s="4">
        <f>'Hampshire Daily'!Q33-'Hampshire Daily'!Q32</f>
        <v>66</v>
      </c>
      <c r="Q30" s="4">
        <f>'Hampshire Daily'!T33-'Hampshire Daily'!T32</f>
        <v>11</v>
      </c>
      <c r="R30" s="4">
        <f>'Hampshire Daily'!B33</f>
        <v>66</v>
      </c>
      <c r="S30" s="4">
        <f>'Hampshire Daily'!C33</f>
        <v>149</v>
      </c>
    </row>
    <row r="31" spans="1:19">
      <c r="A31" s="3" t="s">
        <v>12</v>
      </c>
      <c r="B31" s="1">
        <f t="shared" si="0"/>
        <v>30</v>
      </c>
      <c r="C31" s="1">
        <v>5</v>
      </c>
      <c r="D31" s="1">
        <v>2022</v>
      </c>
      <c r="E31" s="4">
        <f>'Hampshire Daily'!D34-'Hampshire Daily'!D33</f>
        <v>1561</v>
      </c>
      <c r="F31" s="4">
        <f>'Hampshire Daily'!E34-'Hampshire Daily'!E33</f>
        <v>6680</v>
      </c>
      <c r="G31" s="4">
        <f>'Hampshire Daily'!F34-'Hampshire Daily'!F33</f>
        <v>704</v>
      </c>
      <c r="H31" s="4">
        <f>'Hampshire Daily'!G34-'Hampshire Daily'!G33</f>
        <v>1677</v>
      </c>
      <c r="I31" s="4">
        <f>'Hampshire Daily'!H34-'Hampshire Daily'!H33</f>
        <v>0</v>
      </c>
      <c r="J31" s="4">
        <f>'Hampshire Daily'!I34-'Hampshire Daily'!I33</f>
        <v>2615</v>
      </c>
      <c r="K31" s="4">
        <f>'Hampshire Daily'!J34-'Hampshire Daily'!J33</f>
        <v>1193</v>
      </c>
      <c r="L31" s="4">
        <f>'Hampshire Daily'!K34-'Hampshire Daily'!K33</f>
        <v>0</v>
      </c>
      <c r="M31" s="4">
        <f>'Hampshire Daily'!N34-'Hampshire Daily'!N33</f>
        <v>1670</v>
      </c>
      <c r="N31" s="4">
        <f>'Hampshire Daily'!O34-'Hampshire Daily'!O33</f>
        <v>128</v>
      </c>
      <c r="O31" s="4">
        <f>'Hampshire Daily'!P34-'Hampshire Daily'!P33</f>
        <v>60</v>
      </c>
      <c r="P31" s="4">
        <f>'Hampshire Daily'!Q34-'Hampshire Daily'!Q33</f>
        <v>64</v>
      </c>
      <c r="Q31" s="4">
        <f>'Hampshire Daily'!T34-'Hampshire Daily'!T33</f>
        <v>9</v>
      </c>
      <c r="R31" s="4">
        <f>'Hampshire Daily'!B34</f>
        <v>66</v>
      </c>
      <c r="S31" s="4">
        <f>'Hampshire Daily'!C34</f>
        <v>150</v>
      </c>
    </row>
    <row r="32" spans="1:19">
      <c r="A32" s="3" t="s">
        <v>12</v>
      </c>
      <c r="B32" s="1">
        <f t="shared" si="0"/>
        <v>31</v>
      </c>
      <c r="C32" s="1">
        <v>5</v>
      </c>
      <c r="D32" s="1">
        <v>2022</v>
      </c>
      <c r="E32" s="4">
        <f>'Hampshire Daily'!D35-'Hampshire Daily'!D34</f>
        <v>2027</v>
      </c>
      <c r="F32" s="4">
        <f>'Hampshire Daily'!E35-'Hampshire Daily'!E34</f>
        <v>6684</v>
      </c>
      <c r="G32" s="4">
        <f>'Hampshire Daily'!F35-'Hampshire Daily'!F34</f>
        <v>3735</v>
      </c>
      <c r="H32" s="4">
        <f>'Hampshire Daily'!G35-'Hampshire Daily'!G34</f>
        <v>1960</v>
      </c>
      <c r="I32" s="4">
        <f>'Hampshire Daily'!H35-'Hampshire Daily'!H34</f>
        <v>0</v>
      </c>
      <c r="J32" s="4">
        <f>'Hampshire Daily'!I35-'Hampshire Daily'!I34</f>
        <v>2671</v>
      </c>
      <c r="K32" s="4">
        <f>'Hampshire Daily'!J35-'Hampshire Daily'!J34</f>
        <v>1178</v>
      </c>
      <c r="L32" s="4">
        <f>'Hampshire Daily'!K35-'Hampshire Daily'!K34</f>
        <v>0</v>
      </c>
      <c r="M32" s="4">
        <f>'Hampshire Daily'!N35-'Hampshire Daily'!N34</f>
        <v>1728</v>
      </c>
      <c r="N32" s="4">
        <f>'Hampshire Daily'!O35-'Hampshire Daily'!O34</f>
        <v>108</v>
      </c>
      <c r="O32" s="4">
        <f>'Hampshire Daily'!P35-'Hampshire Daily'!P34</f>
        <v>61</v>
      </c>
      <c r="P32" s="4">
        <f>'Hampshire Daily'!Q35-'Hampshire Daily'!Q34</f>
        <v>68</v>
      </c>
      <c r="Q32" s="4">
        <f>'Hampshire Daily'!T35-'Hampshire Daily'!T34</f>
        <v>9</v>
      </c>
      <c r="R32" s="4">
        <f>'Hampshire Daily'!B35</f>
        <v>92</v>
      </c>
      <c r="S32" s="4">
        <f>'Hampshire Daily'!C35</f>
        <v>187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8"/>
  <sheetViews>
    <sheetView tabSelected="1" zoomScaleNormal="100" workbookViewId="0">
      <pane xSplit="1" ySplit="3" topLeftCell="B15" activePane="bottomRight" state="frozen"/>
      <selection pane="bottomRight" activeCell="O39" sqref="O39"/>
      <selection pane="bottomLeft"/>
      <selection pane="topRight"/>
    </sheetView>
  </sheetViews>
  <sheetFormatPr defaultRowHeight="1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8" max="18" width="10.42578125" customWidth="1"/>
  </cols>
  <sheetData>
    <row r="1" spans="1:23" ht="15" customHeight="1">
      <c r="A1" s="40"/>
      <c r="B1" s="19"/>
      <c r="C1" s="19"/>
      <c r="D1" s="50" t="s">
        <v>27</v>
      </c>
      <c r="E1" s="51"/>
      <c r="F1" s="51"/>
      <c r="G1" s="51"/>
      <c r="H1" s="51"/>
      <c r="I1" s="51"/>
      <c r="J1" s="51"/>
      <c r="K1" s="51"/>
      <c r="L1" s="51"/>
      <c r="M1" s="52"/>
      <c r="N1" s="57" t="s">
        <v>28</v>
      </c>
      <c r="O1" s="59" t="s">
        <v>29</v>
      </c>
      <c r="P1" s="59" t="s">
        <v>30</v>
      </c>
      <c r="Q1" s="61"/>
      <c r="R1" s="59" t="s">
        <v>31</v>
      </c>
      <c r="S1" s="62" t="s">
        <v>32</v>
      </c>
      <c r="T1" s="53" t="s">
        <v>33</v>
      </c>
    </row>
    <row r="2" spans="1:23" ht="15" customHeight="1">
      <c r="A2" s="41"/>
      <c r="B2" s="45" t="s">
        <v>34</v>
      </c>
      <c r="C2" s="45" t="s">
        <v>35</v>
      </c>
      <c r="D2" s="47" t="s">
        <v>36</v>
      </c>
      <c r="E2" s="43" t="s">
        <v>37</v>
      </c>
      <c r="F2" s="43" t="s">
        <v>38</v>
      </c>
      <c r="G2" s="43" t="s">
        <v>39</v>
      </c>
      <c r="H2" s="43" t="s">
        <v>40</v>
      </c>
      <c r="I2" s="43" t="s">
        <v>41</v>
      </c>
      <c r="J2" s="43" t="s">
        <v>42</v>
      </c>
      <c r="K2" s="43" t="s">
        <v>43</v>
      </c>
      <c r="L2" s="56" t="s">
        <v>44</v>
      </c>
      <c r="M2" s="56" t="s">
        <v>45</v>
      </c>
      <c r="N2" s="58"/>
      <c r="O2" s="59"/>
      <c r="P2" s="59"/>
      <c r="Q2" s="61"/>
      <c r="R2" s="59"/>
      <c r="S2" s="62"/>
      <c r="T2" s="54"/>
    </row>
    <row r="3" spans="1:23" ht="27" customHeight="1" thickBot="1">
      <c r="A3" s="42"/>
      <c r="B3" s="46"/>
      <c r="C3" s="46"/>
      <c r="D3" s="48"/>
      <c r="E3" s="49"/>
      <c r="F3" s="43"/>
      <c r="G3" s="43"/>
      <c r="H3" s="43"/>
      <c r="I3" s="43"/>
      <c r="J3" s="43"/>
      <c r="K3" s="44"/>
      <c r="L3" s="56"/>
      <c r="M3" s="56"/>
      <c r="N3" s="58"/>
      <c r="O3" s="60"/>
      <c r="P3" s="61"/>
      <c r="Q3" s="61"/>
      <c r="R3" s="60"/>
      <c r="S3" s="63"/>
      <c r="T3" s="55"/>
    </row>
    <row r="4" spans="1:23" s="17" customFormat="1" ht="19.899999999999999" customHeight="1">
      <c r="A4" s="18">
        <v>44681</v>
      </c>
      <c r="B4" s="35">
        <v>100</v>
      </c>
      <c r="C4" s="36">
        <v>238</v>
      </c>
      <c r="D4" s="24">
        <v>1445732</v>
      </c>
      <c r="E4" s="25">
        <v>1551748</v>
      </c>
      <c r="F4" s="25">
        <v>313887</v>
      </c>
      <c r="G4" s="25">
        <v>7736542</v>
      </c>
      <c r="H4" s="25">
        <v>33653</v>
      </c>
      <c r="I4" s="25">
        <v>5875099</v>
      </c>
      <c r="J4" s="25">
        <v>64047</v>
      </c>
      <c r="K4" s="25">
        <v>2654891</v>
      </c>
      <c r="L4" s="31">
        <v>3600</v>
      </c>
      <c r="M4" s="31">
        <v>1297</v>
      </c>
      <c r="N4" s="25">
        <v>1802526</v>
      </c>
      <c r="O4" s="25">
        <v>391525</v>
      </c>
      <c r="P4" s="25">
        <v>351933</v>
      </c>
      <c r="Q4" s="25">
        <v>55617</v>
      </c>
      <c r="R4" s="25">
        <v>54080</v>
      </c>
      <c r="S4" s="25">
        <v>31340</v>
      </c>
      <c r="T4" s="25">
        <v>3511</v>
      </c>
    </row>
    <row r="5" spans="1:23">
      <c r="A5" s="18">
        <f>A4+1</f>
        <v>44682</v>
      </c>
      <c r="B5" s="22">
        <v>98</v>
      </c>
      <c r="C5" s="22">
        <v>255</v>
      </c>
      <c r="D5" s="21">
        <v>1448901</v>
      </c>
      <c r="E5" s="21">
        <v>1555166</v>
      </c>
      <c r="F5" s="21">
        <v>313887</v>
      </c>
      <c r="G5" s="21">
        <v>7738450</v>
      </c>
      <c r="H5" s="33">
        <v>33653</v>
      </c>
      <c r="I5" s="33">
        <v>5877840</v>
      </c>
      <c r="J5" s="21">
        <v>65323</v>
      </c>
      <c r="K5" s="21">
        <v>2655087</v>
      </c>
      <c r="L5" s="29">
        <v>3600</v>
      </c>
      <c r="M5" s="29">
        <v>2859</v>
      </c>
      <c r="N5" s="21">
        <v>1804999</v>
      </c>
      <c r="O5" s="21">
        <v>391637</v>
      </c>
      <c r="P5" s="21">
        <v>351994</v>
      </c>
      <c r="Q5" s="21">
        <v>55682</v>
      </c>
      <c r="R5" s="21">
        <v>54090</v>
      </c>
      <c r="S5" s="21">
        <v>31342</v>
      </c>
      <c r="T5" s="21">
        <v>3522</v>
      </c>
    </row>
    <row r="6" spans="1:23">
      <c r="A6" s="18">
        <f t="shared" ref="A6:A33" si="0">A5+1</f>
        <v>44683</v>
      </c>
      <c r="B6" s="22">
        <v>63</v>
      </c>
      <c r="C6" s="22">
        <v>96</v>
      </c>
      <c r="D6" s="21">
        <v>1451236</v>
      </c>
      <c r="E6" s="21">
        <v>1558643</v>
      </c>
      <c r="F6" s="21">
        <v>313887</v>
      </c>
      <c r="G6" s="21">
        <v>7740276</v>
      </c>
      <c r="H6" s="33">
        <v>33653</v>
      </c>
      <c r="I6" s="33">
        <v>5880605</v>
      </c>
      <c r="J6" s="21">
        <v>66652</v>
      </c>
      <c r="K6" s="21">
        <v>2655088</v>
      </c>
      <c r="L6" s="29">
        <v>3598</v>
      </c>
      <c r="M6" s="29">
        <v>2882</v>
      </c>
      <c r="N6" s="21">
        <v>1807721</v>
      </c>
      <c r="O6" s="21">
        <v>391774</v>
      </c>
      <c r="P6" s="21">
        <v>352064</v>
      </c>
      <c r="Q6" s="21">
        <v>55758</v>
      </c>
      <c r="R6" s="21">
        <v>54103</v>
      </c>
      <c r="S6" s="21">
        <v>31353</v>
      </c>
      <c r="T6" s="21">
        <v>3528</v>
      </c>
      <c r="W6" s="27"/>
    </row>
    <row r="7" spans="1:23">
      <c r="A7" s="18">
        <f t="shared" si="0"/>
        <v>44684</v>
      </c>
      <c r="B7" s="22">
        <v>69</v>
      </c>
      <c r="C7" s="22">
        <v>110</v>
      </c>
      <c r="D7" s="21">
        <v>1453586</v>
      </c>
      <c r="E7" s="21">
        <v>1561723</v>
      </c>
      <c r="F7" s="21">
        <v>313887</v>
      </c>
      <c r="G7" s="21">
        <v>7742143</v>
      </c>
      <c r="H7" s="33">
        <v>33653</v>
      </c>
      <c r="I7" s="33">
        <v>5883083</v>
      </c>
      <c r="J7" s="21">
        <v>67747</v>
      </c>
      <c r="K7" s="21">
        <v>2655088</v>
      </c>
      <c r="L7" s="29">
        <v>3538</v>
      </c>
      <c r="M7" s="29">
        <v>2836</v>
      </c>
      <c r="N7" s="21">
        <v>1810219</v>
      </c>
      <c r="O7" s="21">
        <v>391873</v>
      </c>
      <c r="P7" s="21">
        <v>352121</v>
      </c>
      <c r="Q7" s="21">
        <v>55822</v>
      </c>
      <c r="R7" s="21">
        <v>54115</v>
      </c>
      <c r="S7" s="21">
        <v>31353</v>
      </c>
      <c r="T7" s="21">
        <v>3533</v>
      </c>
    </row>
    <row r="8" spans="1:23">
      <c r="A8" s="18">
        <f t="shared" si="0"/>
        <v>44685</v>
      </c>
      <c r="B8" s="22">
        <v>116</v>
      </c>
      <c r="C8" s="22">
        <v>153</v>
      </c>
      <c r="D8" s="21">
        <v>1456143</v>
      </c>
      <c r="E8" s="21">
        <v>1564900</v>
      </c>
      <c r="F8" s="21">
        <v>313898</v>
      </c>
      <c r="G8" s="21">
        <v>7744154</v>
      </c>
      <c r="H8" s="33">
        <v>33653</v>
      </c>
      <c r="I8" s="33">
        <v>5885550</v>
      </c>
      <c r="J8" s="21">
        <v>68819</v>
      </c>
      <c r="K8" s="21">
        <v>2655099</v>
      </c>
      <c r="L8" s="29">
        <v>3589</v>
      </c>
      <c r="M8" s="29">
        <v>2883</v>
      </c>
      <c r="N8" s="21">
        <v>1812686</v>
      </c>
      <c r="O8" s="21">
        <v>391971</v>
      </c>
      <c r="P8" s="21">
        <v>352171</v>
      </c>
      <c r="Q8" s="21">
        <v>55877</v>
      </c>
      <c r="R8" s="21">
        <v>54125</v>
      </c>
      <c r="S8" s="21">
        <v>31354</v>
      </c>
      <c r="T8" s="21">
        <v>3538</v>
      </c>
    </row>
    <row r="9" spans="1:23">
      <c r="A9" s="18">
        <f t="shared" si="0"/>
        <v>44686</v>
      </c>
      <c r="B9" s="22">
        <v>128</v>
      </c>
      <c r="C9" s="22">
        <v>144</v>
      </c>
      <c r="D9" s="21">
        <v>1458736</v>
      </c>
      <c r="E9" s="21">
        <v>1567975</v>
      </c>
      <c r="F9" s="21">
        <v>313898</v>
      </c>
      <c r="G9" s="21">
        <v>7746121</v>
      </c>
      <c r="H9" s="33">
        <v>33654</v>
      </c>
      <c r="I9" s="33">
        <v>5887965</v>
      </c>
      <c r="J9" s="21">
        <v>69855</v>
      </c>
      <c r="K9" s="21">
        <v>2655099</v>
      </c>
      <c r="L9" s="29">
        <v>3481</v>
      </c>
      <c r="M9" s="29">
        <v>2890</v>
      </c>
      <c r="N9" s="21">
        <v>1815111</v>
      </c>
      <c r="O9" s="21">
        <v>392076</v>
      </c>
      <c r="P9" s="21">
        <v>352228</v>
      </c>
      <c r="Q9" s="21">
        <v>55940</v>
      </c>
      <c r="R9" s="21">
        <v>54138</v>
      </c>
      <c r="S9" s="21">
        <v>31355</v>
      </c>
      <c r="T9" s="21">
        <v>3543</v>
      </c>
    </row>
    <row r="10" spans="1:23">
      <c r="A10" s="18">
        <f t="shared" si="0"/>
        <v>44687</v>
      </c>
      <c r="B10" s="22">
        <v>40</v>
      </c>
      <c r="C10" s="22">
        <v>80</v>
      </c>
      <c r="D10" s="21">
        <v>1461620</v>
      </c>
      <c r="E10" s="21">
        <v>1571481</v>
      </c>
      <c r="F10" s="21">
        <v>313923</v>
      </c>
      <c r="G10" s="21">
        <v>7748194</v>
      </c>
      <c r="H10" s="33">
        <v>33656</v>
      </c>
      <c r="I10" s="33">
        <v>5890678</v>
      </c>
      <c r="J10" s="21">
        <v>71076</v>
      </c>
      <c r="K10" s="21">
        <v>2655101</v>
      </c>
      <c r="L10" s="29">
        <v>3592</v>
      </c>
      <c r="M10" s="29">
        <v>2869</v>
      </c>
      <c r="N10" s="21">
        <v>1817533</v>
      </c>
      <c r="O10" s="21">
        <v>392181</v>
      </c>
      <c r="P10" s="21">
        <v>352289</v>
      </c>
      <c r="Q10" s="21">
        <v>56003</v>
      </c>
      <c r="R10" s="21">
        <v>54148</v>
      </c>
      <c r="S10" s="21">
        <v>31356</v>
      </c>
      <c r="T10" s="21">
        <v>3547</v>
      </c>
    </row>
    <row r="11" spans="1:23">
      <c r="A11" s="18">
        <f t="shared" si="0"/>
        <v>44688</v>
      </c>
      <c r="B11" s="22">
        <v>68</v>
      </c>
      <c r="C11" s="22">
        <v>144</v>
      </c>
      <c r="D11" s="21">
        <v>1464260</v>
      </c>
      <c r="E11" s="21">
        <v>1574620</v>
      </c>
      <c r="F11" s="21">
        <v>313923</v>
      </c>
      <c r="G11" s="21">
        <v>7750020</v>
      </c>
      <c r="H11" s="33">
        <v>33657</v>
      </c>
      <c r="I11" s="33">
        <v>5893070</v>
      </c>
      <c r="J11" s="21">
        <v>72158</v>
      </c>
      <c r="K11" s="21">
        <v>2655101</v>
      </c>
      <c r="L11" s="29">
        <v>3595</v>
      </c>
      <c r="M11" s="29">
        <v>2842</v>
      </c>
      <c r="N11" s="21">
        <v>1819776</v>
      </c>
      <c r="O11" s="21">
        <v>392276</v>
      </c>
      <c r="P11" s="21">
        <v>352342</v>
      </c>
      <c r="Q11" s="21">
        <v>56062</v>
      </c>
      <c r="R11" s="21">
        <v>54159</v>
      </c>
      <c r="S11" s="21">
        <v>31357</v>
      </c>
      <c r="T11" s="21">
        <v>3552</v>
      </c>
    </row>
    <row r="12" spans="1:23">
      <c r="A12" s="18">
        <f t="shared" si="0"/>
        <v>44689</v>
      </c>
      <c r="B12" s="22">
        <v>48</v>
      </c>
      <c r="C12" s="22">
        <v>73</v>
      </c>
      <c r="D12" s="21">
        <v>1466216</v>
      </c>
      <c r="E12" s="21">
        <v>1577897</v>
      </c>
      <c r="F12" s="21">
        <v>313923</v>
      </c>
      <c r="G12" s="21">
        <v>7751690</v>
      </c>
      <c r="H12" s="33">
        <v>33657</v>
      </c>
      <c r="I12" s="33">
        <v>5895592</v>
      </c>
      <c r="J12" s="21">
        <v>73297</v>
      </c>
      <c r="K12" s="21">
        <v>2655101</v>
      </c>
      <c r="L12" s="29">
        <v>3593</v>
      </c>
      <c r="M12" s="29">
        <v>2836</v>
      </c>
      <c r="N12" s="21">
        <v>1822084</v>
      </c>
      <c r="O12" s="21">
        <v>392371</v>
      </c>
      <c r="P12" s="21">
        <v>352389</v>
      </c>
      <c r="Q12" s="21">
        <v>56114</v>
      </c>
      <c r="R12" s="21">
        <v>54169</v>
      </c>
      <c r="S12" s="21">
        <v>31359</v>
      </c>
      <c r="T12" s="21">
        <v>3559</v>
      </c>
    </row>
    <row r="13" spans="1:23">
      <c r="A13" s="18">
        <f t="shared" si="0"/>
        <v>44690</v>
      </c>
      <c r="B13" s="39">
        <v>129</v>
      </c>
      <c r="C13" s="39">
        <v>134</v>
      </c>
      <c r="D13" s="21">
        <v>1468341</v>
      </c>
      <c r="E13" s="21">
        <v>1581078</v>
      </c>
      <c r="F13" s="21">
        <v>313923</v>
      </c>
      <c r="G13" s="21">
        <v>7753691</v>
      </c>
      <c r="H13" s="33">
        <v>33657</v>
      </c>
      <c r="I13" s="33">
        <v>5898200</v>
      </c>
      <c r="J13" s="21">
        <v>74395</v>
      </c>
      <c r="K13" s="21">
        <v>2655101</v>
      </c>
      <c r="L13" s="29">
        <v>2005</v>
      </c>
      <c r="M13" s="29">
        <v>2861</v>
      </c>
      <c r="N13" s="21">
        <v>1824531</v>
      </c>
      <c r="O13" s="21">
        <v>392485</v>
      </c>
      <c r="P13" s="21">
        <v>352441</v>
      </c>
      <c r="Q13" s="21">
        <v>56172</v>
      </c>
      <c r="R13" s="21">
        <v>54180</v>
      </c>
      <c r="S13" s="21">
        <v>31374</v>
      </c>
      <c r="T13" s="21">
        <v>3571</v>
      </c>
    </row>
    <row r="14" spans="1:23">
      <c r="A14" s="18">
        <f t="shared" si="0"/>
        <v>44691</v>
      </c>
      <c r="B14" s="22">
        <v>132</v>
      </c>
      <c r="C14" s="22">
        <v>135</v>
      </c>
      <c r="D14" s="21">
        <v>1471141</v>
      </c>
      <c r="E14" s="21">
        <v>1586585</v>
      </c>
      <c r="F14" s="21">
        <v>314506</v>
      </c>
      <c r="G14" s="21">
        <v>7755566</v>
      </c>
      <c r="H14" s="33">
        <v>33657</v>
      </c>
      <c r="I14" s="33">
        <v>5900387</v>
      </c>
      <c r="J14" s="21">
        <v>75247</v>
      </c>
      <c r="K14" s="21">
        <v>2655101</v>
      </c>
      <c r="L14" s="29">
        <v>2278</v>
      </c>
      <c r="M14" s="29">
        <v>2812</v>
      </c>
      <c r="N14" s="21">
        <v>1826479</v>
      </c>
      <c r="O14" s="21">
        <v>392577</v>
      </c>
      <c r="P14" s="21">
        <v>352496</v>
      </c>
      <c r="Q14" s="21">
        <v>56231</v>
      </c>
      <c r="R14" s="21">
        <v>54193</v>
      </c>
      <c r="S14" s="21">
        <v>31376</v>
      </c>
      <c r="T14" s="21">
        <v>3578</v>
      </c>
    </row>
    <row r="15" spans="1:23">
      <c r="A15" s="18">
        <f t="shared" si="0"/>
        <v>44692</v>
      </c>
      <c r="B15" s="22">
        <v>29</v>
      </c>
      <c r="C15" s="22">
        <v>44</v>
      </c>
      <c r="D15" s="21">
        <v>1473817</v>
      </c>
      <c r="E15" s="21">
        <v>1590050</v>
      </c>
      <c r="F15" s="21">
        <v>314521</v>
      </c>
      <c r="G15" s="21">
        <v>7757563</v>
      </c>
      <c r="H15" s="33">
        <v>33657</v>
      </c>
      <c r="I15" s="33">
        <v>5902737</v>
      </c>
      <c r="J15" s="21">
        <v>76195</v>
      </c>
      <c r="K15" s="21">
        <v>2655112</v>
      </c>
      <c r="L15" s="29">
        <v>3567</v>
      </c>
      <c r="M15" s="29">
        <v>2828</v>
      </c>
      <c r="N15" s="21">
        <v>1828864</v>
      </c>
      <c r="O15" s="21">
        <v>392694</v>
      </c>
      <c r="P15" s="21">
        <v>352554</v>
      </c>
      <c r="Q15" s="21">
        <v>56295</v>
      </c>
      <c r="R15" s="21">
        <v>54204</v>
      </c>
      <c r="S15" s="21">
        <v>31376</v>
      </c>
      <c r="T15" s="21">
        <v>3586</v>
      </c>
    </row>
    <row r="16" spans="1:23">
      <c r="A16" s="18">
        <f t="shared" si="0"/>
        <v>44693</v>
      </c>
      <c r="B16" s="22">
        <v>20</v>
      </c>
      <c r="C16" s="22">
        <v>38</v>
      </c>
      <c r="D16" s="21">
        <v>1475902</v>
      </c>
      <c r="E16" s="21">
        <v>1592963</v>
      </c>
      <c r="F16" s="21">
        <v>314521</v>
      </c>
      <c r="G16" s="21">
        <v>7759344</v>
      </c>
      <c r="H16" s="33">
        <v>33657</v>
      </c>
      <c r="I16" s="33">
        <v>5905224</v>
      </c>
      <c r="J16" s="21">
        <v>77317</v>
      </c>
      <c r="K16" s="21">
        <v>2655112</v>
      </c>
      <c r="L16" s="29">
        <v>3591</v>
      </c>
      <c r="M16" s="29">
        <v>2838</v>
      </c>
      <c r="N16" s="21">
        <v>1831223</v>
      </c>
      <c r="O16" s="21">
        <v>392787</v>
      </c>
      <c r="P16" s="21">
        <v>352599</v>
      </c>
      <c r="Q16" s="21">
        <v>56344</v>
      </c>
      <c r="R16" s="21">
        <v>54214</v>
      </c>
      <c r="S16" s="21">
        <v>31377</v>
      </c>
      <c r="T16" s="21">
        <v>3592</v>
      </c>
    </row>
    <row r="17" spans="1:22">
      <c r="A17" s="18">
        <f t="shared" si="0"/>
        <v>44694</v>
      </c>
      <c r="B17" s="22">
        <v>47</v>
      </c>
      <c r="C17" s="22">
        <v>135</v>
      </c>
      <c r="D17" s="21">
        <v>1477997</v>
      </c>
      <c r="E17" s="21">
        <v>1596124</v>
      </c>
      <c r="F17" s="21">
        <v>314616</v>
      </c>
      <c r="G17" s="21">
        <v>7761001</v>
      </c>
      <c r="H17" s="33">
        <v>33657</v>
      </c>
      <c r="I17" s="33">
        <v>5907577</v>
      </c>
      <c r="J17" s="21">
        <v>78324</v>
      </c>
      <c r="K17" s="21">
        <v>2655126</v>
      </c>
      <c r="L17" s="29">
        <v>840</v>
      </c>
      <c r="M17" s="29">
        <v>2703</v>
      </c>
      <c r="N17" s="21">
        <v>1833486</v>
      </c>
      <c r="O17" s="21">
        <v>392878</v>
      </c>
      <c r="P17" s="21">
        <v>352634</v>
      </c>
      <c r="Q17" s="21">
        <v>56385</v>
      </c>
      <c r="R17" s="21">
        <v>54223</v>
      </c>
      <c r="S17" s="21">
        <v>31377</v>
      </c>
      <c r="T17" s="21">
        <v>3599</v>
      </c>
    </row>
    <row r="18" spans="1:22">
      <c r="A18" s="18">
        <f t="shared" si="0"/>
        <v>44695</v>
      </c>
      <c r="B18" s="22">
        <v>60</v>
      </c>
      <c r="C18" s="22">
        <v>141</v>
      </c>
      <c r="D18" s="21">
        <v>1480113</v>
      </c>
      <c r="E18" s="21">
        <v>1602880</v>
      </c>
      <c r="F18" s="21">
        <v>315359</v>
      </c>
      <c r="G18" s="21">
        <v>7762770</v>
      </c>
      <c r="H18" s="33">
        <v>33657</v>
      </c>
      <c r="I18" s="33">
        <v>5910161</v>
      </c>
      <c r="J18" s="21">
        <v>79429</v>
      </c>
      <c r="K18" s="21">
        <v>2655126</v>
      </c>
      <c r="L18" s="28">
        <v>0</v>
      </c>
      <c r="M18" s="28">
        <v>2601</v>
      </c>
      <c r="N18" s="21">
        <v>1835459</v>
      </c>
      <c r="O18" s="21">
        <v>392959</v>
      </c>
      <c r="P18" s="21">
        <v>352676</v>
      </c>
      <c r="Q18" s="21">
        <v>56433</v>
      </c>
      <c r="R18" s="21">
        <v>54232</v>
      </c>
      <c r="S18" s="21">
        <v>31378</v>
      </c>
      <c r="T18" s="21">
        <v>3610</v>
      </c>
    </row>
    <row r="19" spans="1:22">
      <c r="A19" s="18">
        <f t="shared" si="0"/>
        <v>44696</v>
      </c>
      <c r="B19" s="22">
        <v>35</v>
      </c>
      <c r="C19" s="22">
        <v>59</v>
      </c>
      <c r="D19" s="21">
        <v>1482042</v>
      </c>
      <c r="E19" s="21">
        <v>1609455</v>
      </c>
      <c r="F19" s="21">
        <v>316103</v>
      </c>
      <c r="G19" s="21">
        <v>7764368</v>
      </c>
      <c r="H19" s="33">
        <v>33657</v>
      </c>
      <c r="I19" s="33">
        <v>5912700</v>
      </c>
      <c r="J19" s="21">
        <v>80537</v>
      </c>
      <c r="K19" s="21">
        <v>2655139</v>
      </c>
      <c r="L19" s="29">
        <v>0</v>
      </c>
      <c r="M19" s="29">
        <v>2690</v>
      </c>
      <c r="N19" s="21">
        <v>1837158</v>
      </c>
      <c r="O19" s="21">
        <v>393057</v>
      </c>
      <c r="P19" s="21">
        <v>352735</v>
      </c>
      <c r="Q19" s="21">
        <v>56493</v>
      </c>
      <c r="R19" s="21">
        <v>54241</v>
      </c>
      <c r="S19" s="21">
        <v>31380</v>
      </c>
      <c r="T19" s="21">
        <v>3616</v>
      </c>
    </row>
    <row r="20" spans="1:22">
      <c r="A20" s="18">
        <f t="shared" si="0"/>
        <v>44697</v>
      </c>
      <c r="B20" s="22">
        <v>98</v>
      </c>
      <c r="C20" s="22">
        <v>105</v>
      </c>
      <c r="D20" s="21">
        <v>1483726</v>
      </c>
      <c r="E20" s="21">
        <v>1615629</v>
      </c>
      <c r="F20" s="21">
        <v>316834</v>
      </c>
      <c r="G20" s="21">
        <v>7766089</v>
      </c>
      <c r="H20" s="33">
        <v>33657</v>
      </c>
      <c r="I20" s="33">
        <v>5914896</v>
      </c>
      <c r="J20" s="21">
        <v>81450</v>
      </c>
      <c r="K20" s="21">
        <v>2655145</v>
      </c>
      <c r="L20" s="29">
        <v>0</v>
      </c>
      <c r="M20" s="29">
        <v>2690</v>
      </c>
      <c r="N20" s="21">
        <v>1838908</v>
      </c>
      <c r="O20" s="21">
        <v>393160</v>
      </c>
      <c r="P20" s="21">
        <v>352780</v>
      </c>
      <c r="Q20" s="21">
        <v>56545</v>
      </c>
      <c r="R20" s="21">
        <v>54247</v>
      </c>
      <c r="S20" s="21">
        <v>31387</v>
      </c>
      <c r="T20" s="21">
        <v>3624</v>
      </c>
    </row>
    <row r="21" spans="1:22">
      <c r="A21" s="18">
        <f t="shared" si="0"/>
        <v>44698</v>
      </c>
      <c r="B21" s="22">
        <v>104</v>
      </c>
      <c r="C21" s="22">
        <v>115</v>
      </c>
      <c r="D21" s="21">
        <v>1486053</v>
      </c>
      <c r="E21" s="21">
        <v>1622178</v>
      </c>
      <c r="F21" s="21">
        <v>317611</v>
      </c>
      <c r="G21" s="21">
        <v>7768118</v>
      </c>
      <c r="H21" s="33">
        <v>33675</v>
      </c>
      <c r="I21" s="33">
        <v>5917263</v>
      </c>
      <c r="J21" s="21">
        <v>82401</v>
      </c>
      <c r="K21" s="21">
        <v>2655145</v>
      </c>
      <c r="L21" s="29">
        <v>0</v>
      </c>
      <c r="M21" s="29">
        <v>2681</v>
      </c>
      <c r="N21" s="21">
        <v>1840709</v>
      </c>
      <c r="O21" s="21">
        <v>393253</v>
      </c>
      <c r="P21" s="21">
        <v>352830</v>
      </c>
      <c r="Q21" s="21">
        <v>56600</v>
      </c>
      <c r="R21" s="21">
        <v>54253</v>
      </c>
      <c r="S21" s="21">
        <v>31387</v>
      </c>
      <c r="T21" s="21">
        <v>3631</v>
      </c>
    </row>
    <row r="22" spans="1:22">
      <c r="A22" s="18">
        <f t="shared" si="0"/>
        <v>44699</v>
      </c>
      <c r="B22" s="22">
        <v>62</v>
      </c>
      <c r="C22" s="22">
        <v>79</v>
      </c>
      <c r="D22" s="21">
        <v>1488727</v>
      </c>
      <c r="E22" s="21">
        <v>1628722</v>
      </c>
      <c r="F22" s="21">
        <v>318369</v>
      </c>
      <c r="G22" s="21">
        <v>7770096</v>
      </c>
      <c r="H22" s="33">
        <v>33675</v>
      </c>
      <c r="I22" s="33">
        <v>5919740</v>
      </c>
      <c r="J22" s="21">
        <v>83485</v>
      </c>
      <c r="K22" s="21">
        <v>2655169</v>
      </c>
      <c r="L22" s="29">
        <v>0</v>
      </c>
      <c r="M22" s="29">
        <v>2693</v>
      </c>
      <c r="N22" s="21">
        <v>1842332</v>
      </c>
      <c r="O22" s="21">
        <v>393349</v>
      </c>
      <c r="P22" s="21">
        <v>352883</v>
      </c>
      <c r="Q22" s="21">
        <v>56658</v>
      </c>
      <c r="R22" s="21">
        <v>54262</v>
      </c>
      <c r="S22" s="21">
        <v>31389</v>
      </c>
      <c r="T22" s="21">
        <v>3637</v>
      </c>
      <c r="U22" s="16"/>
    </row>
    <row r="23" spans="1:22">
      <c r="A23" s="18">
        <f t="shared" si="0"/>
        <v>44700</v>
      </c>
      <c r="B23" s="22">
        <v>79</v>
      </c>
      <c r="C23" s="22">
        <v>124</v>
      </c>
      <c r="D23" s="21">
        <v>1491434</v>
      </c>
      <c r="E23" s="21">
        <v>1635407</v>
      </c>
      <c r="F23" s="21">
        <v>319137</v>
      </c>
      <c r="G23" s="21">
        <v>7772001</v>
      </c>
      <c r="H23" s="33">
        <v>33675</v>
      </c>
      <c r="I23" s="33">
        <v>5922248</v>
      </c>
      <c r="J23" s="21">
        <v>84563</v>
      </c>
      <c r="K23" s="21">
        <v>2655171</v>
      </c>
      <c r="L23" s="29">
        <v>1235</v>
      </c>
      <c r="M23" s="29">
        <v>2840</v>
      </c>
      <c r="N23" s="21">
        <v>1844075</v>
      </c>
      <c r="O23" s="21">
        <v>393446</v>
      </c>
      <c r="P23" s="21">
        <v>352937</v>
      </c>
      <c r="Q23" s="21">
        <v>56718</v>
      </c>
      <c r="R23" s="21">
        <v>54269</v>
      </c>
      <c r="S23" s="21">
        <v>31390</v>
      </c>
      <c r="T23" s="21">
        <v>3640</v>
      </c>
    </row>
    <row r="24" spans="1:22">
      <c r="A24" s="18">
        <f t="shared" si="0"/>
        <v>44701</v>
      </c>
      <c r="B24" s="22">
        <v>68</v>
      </c>
      <c r="C24" s="22">
        <v>141</v>
      </c>
      <c r="D24" s="21">
        <v>1494163</v>
      </c>
      <c r="E24" s="21">
        <v>1639581</v>
      </c>
      <c r="F24" s="21">
        <v>319404</v>
      </c>
      <c r="G24" s="21">
        <v>7773872</v>
      </c>
      <c r="H24" s="33">
        <v>33675</v>
      </c>
      <c r="I24" s="33">
        <v>5924956</v>
      </c>
      <c r="J24" s="21">
        <v>85644</v>
      </c>
      <c r="K24" s="21">
        <v>2655174</v>
      </c>
      <c r="L24" s="29">
        <v>3586</v>
      </c>
      <c r="M24" s="29">
        <v>2810</v>
      </c>
      <c r="N24" s="21">
        <v>1846079</v>
      </c>
      <c r="O24" s="21">
        <v>393528</v>
      </c>
      <c r="P24" s="21">
        <v>352987</v>
      </c>
      <c r="Q24" s="21">
        <v>56773</v>
      </c>
      <c r="R24" s="21">
        <v>54275</v>
      </c>
      <c r="S24" s="21">
        <v>31391</v>
      </c>
      <c r="T24" s="21">
        <v>3644</v>
      </c>
    </row>
    <row r="25" spans="1:22">
      <c r="A25" s="18">
        <f t="shared" si="0"/>
        <v>44702</v>
      </c>
      <c r="B25" s="22">
        <v>103</v>
      </c>
      <c r="C25" s="22">
        <v>218</v>
      </c>
      <c r="D25" s="21">
        <v>1496533</v>
      </c>
      <c r="E25" s="21">
        <v>1643181</v>
      </c>
      <c r="F25" s="21">
        <v>319454</v>
      </c>
      <c r="G25" s="21">
        <v>7775821</v>
      </c>
      <c r="H25" s="33">
        <v>33675</v>
      </c>
      <c r="I25" s="33">
        <v>5927133</v>
      </c>
      <c r="J25" s="21">
        <v>86659</v>
      </c>
      <c r="K25" s="21">
        <v>2655175</v>
      </c>
      <c r="L25" s="32">
        <v>3328</v>
      </c>
      <c r="M25" s="30">
        <v>2820</v>
      </c>
      <c r="N25" s="21">
        <v>1848374</v>
      </c>
      <c r="O25" s="21">
        <v>393623</v>
      </c>
      <c r="P25" s="21">
        <v>353041</v>
      </c>
      <c r="Q25" s="21">
        <v>56833</v>
      </c>
      <c r="R25" s="21">
        <v>54282</v>
      </c>
      <c r="S25" s="21">
        <v>31392</v>
      </c>
      <c r="T25" s="21">
        <v>3649</v>
      </c>
    </row>
    <row r="26" spans="1:22">
      <c r="A26" s="18">
        <f t="shared" si="0"/>
        <v>44703</v>
      </c>
      <c r="B26" s="22">
        <v>53</v>
      </c>
      <c r="C26" s="37">
        <v>95</v>
      </c>
      <c r="D26" s="25">
        <v>1499162</v>
      </c>
      <c r="E26" s="25">
        <v>1646640</v>
      </c>
      <c r="F26" s="25">
        <v>319461</v>
      </c>
      <c r="G26" s="25">
        <v>7777842</v>
      </c>
      <c r="H26" s="26">
        <v>33763</v>
      </c>
      <c r="I26" s="26">
        <v>5929746</v>
      </c>
      <c r="J26" s="26">
        <v>87839</v>
      </c>
      <c r="K26" s="25">
        <v>2655175</v>
      </c>
      <c r="L26" s="30">
        <v>3509</v>
      </c>
      <c r="M26" s="30">
        <v>2828</v>
      </c>
      <c r="N26" s="25">
        <v>1850606</v>
      </c>
      <c r="O26" s="25">
        <v>393733</v>
      </c>
      <c r="P26" s="25">
        <v>353106</v>
      </c>
      <c r="Q26" s="25">
        <v>56904</v>
      </c>
      <c r="R26" s="25">
        <v>54291</v>
      </c>
      <c r="S26" s="25">
        <v>31393</v>
      </c>
      <c r="T26" s="25">
        <v>3656</v>
      </c>
      <c r="V26" s="34"/>
    </row>
    <row r="27" spans="1:22">
      <c r="A27" s="18">
        <f t="shared" si="0"/>
        <v>44704</v>
      </c>
      <c r="B27" s="22">
        <v>84</v>
      </c>
      <c r="C27" s="37">
        <v>111</v>
      </c>
      <c r="D27" s="25">
        <v>1501367</v>
      </c>
      <c r="E27" s="25">
        <v>1650655</v>
      </c>
      <c r="F27" s="25">
        <v>319628</v>
      </c>
      <c r="G27" s="25">
        <v>7779642</v>
      </c>
      <c r="H27" s="26">
        <v>33768</v>
      </c>
      <c r="I27" s="26">
        <v>5932231</v>
      </c>
      <c r="J27" s="26">
        <v>88953</v>
      </c>
      <c r="K27" s="25">
        <v>2655178</v>
      </c>
      <c r="L27" s="30">
        <v>2553</v>
      </c>
      <c r="M27" s="30">
        <v>2810</v>
      </c>
      <c r="N27" s="25">
        <v>1852653</v>
      </c>
      <c r="O27" s="26">
        <v>393856</v>
      </c>
      <c r="P27" s="25">
        <v>353166</v>
      </c>
      <c r="Q27" s="25">
        <v>56969</v>
      </c>
      <c r="R27" s="25">
        <v>54299</v>
      </c>
      <c r="S27" s="25">
        <v>31399</v>
      </c>
      <c r="T27" s="25">
        <v>3671</v>
      </c>
      <c r="V27" s="34"/>
    </row>
    <row r="28" spans="1:22">
      <c r="A28" s="18">
        <f t="shared" si="0"/>
        <v>44705</v>
      </c>
      <c r="B28" s="22">
        <v>64</v>
      </c>
      <c r="C28" s="37">
        <v>90</v>
      </c>
      <c r="D28" s="25">
        <v>1503881</v>
      </c>
      <c r="E28" s="25">
        <v>1653896</v>
      </c>
      <c r="F28" s="25">
        <v>319672</v>
      </c>
      <c r="G28" s="25">
        <v>7781649</v>
      </c>
      <c r="H28" s="26">
        <v>33768</v>
      </c>
      <c r="I28" s="26">
        <v>5934628</v>
      </c>
      <c r="J28" s="26">
        <v>89950</v>
      </c>
      <c r="K28" s="25">
        <v>2655178</v>
      </c>
      <c r="L28" s="30">
        <v>3473</v>
      </c>
      <c r="M28" s="30">
        <v>2736</v>
      </c>
      <c r="N28" s="25">
        <v>1854850</v>
      </c>
      <c r="O28" s="26">
        <v>393970</v>
      </c>
      <c r="P28" s="25">
        <v>353214</v>
      </c>
      <c r="Q28" s="25">
        <v>57023</v>
      </c>
      <c r="R28" s="25">
        <v>54308</v>
      </c>
      <c r="S28" s="25">
        <v>31399</v>
      </c>
      <c r="T28" s="25">
        <v>3699</v>
      </c>
      <c r="V28" s="34"/>
    </row>
    <row r="29" spans="1:22">
      <c r="A29" s="18">
        <f t="shared" si="0"/>
        <v>44706</v>
      </c>
      <c r="B29" s="22">
        <v>119</v>
      </c>
      <c r="C29" s="37">
        <v>210</v>
      </c>
      <c r="D29" s="25">
        <v>1506313</v>
      </c>
      <c r="E29" s="25">
        <v>1656734</v>
      </c>
      <c r="F29" s="25">
        <v>319685</v>
      </c>
      <c r="G29" s="25">
        <v>7783678</v>
      </c>
      <c r="H29" s="26">
        <v>33768</v>
      </c>
      <c r="I29" s="26">
        <v>5936959</v>
      </c>
      <c r="J29" s="26">
        <v>90857</v>
      </c>
      <c r="K29" s="25">
        <v>2655191</v>
      </c>
      <c r="L29" s="30">
        <v>3499</v>
      </c>
      <c r="M29" s="30">
        <v>2811</v>
      </c>
      <c r="N29" s="25">
        <v>1857067</v>
      </c>
      <c r="O29" s="26">
        <v>394068</v>
      </c>
      <c r="P29" s="25">
        <v>353271</v>
      </c>
      <c r="Q29" s="25">
        <v>57085</v>
      </c>
      <c r="R29" s="25">
        <v>54315</v>
      </c>
      <c r="S29" s="25">
        <v>31401</v>
      </c>
      <c r="T29" s="25">
        <v>3706</v>
      </c>
      <c r="V29" s="34"/>
    </row>
    <row r="30" spans="1:22">
      <c r="A30" s="18">
        <f t="shared" si="0"/>
        <v>44707</v>
      </c>
      <c r="B30" s="22">
        <v>117</v>
      </c>
      <c r="C30" s="37">
        <v>207</v>
      </c>
      <c r="D30" s="25">
        <v>1508674</v>
      </c>
      <c r="E30" s="25">
        <v>1660924</v>
      </c>
      <c r="F30" s="25">
        <v>319910</v>
      </c>
      <c r="G30" s="25">
        <v>7785618</v>
      </c>
      <c r="H30" s="26">
        <v>33768</v>
      </c>
      <c r="I30" s="26">
        <v>5939426</v>
      </c>
      <c r="J30" s="25">
        <v>91928</v>
      </c>
      <c r="K30" s="25">
        <v>2655191</v>
      </c>
      <c r="L30" s="30">
        <v>2308</v>
      </c>
      <c r="M30" s="30">
        <v>2795</v>
      </c>
      <c r="N30" s="25">
        <v>1859088</v>
      </c>
      <c r="O30" s="26">
        <v>394185</v>
      </c>
      <c r="P30" s="25">
        <v>353346</v>
      </c>
      <c r="Q30" s="25">
        <v>57163</v>
      </c>
      <c r="R30" s="25">
        <v>54321</v>
      </c>
      <c r="S30" s="25">
        <v>31401</v>
      </c>
      <c r="T30" s="25">
        <v>3712</v>
      </c>
      <c r="V30" s="34"/>
    </row>
    <row r="31" spans="1:22">
      <c r="A31" s="18">
        <f t="shared" si="0"/>
        <v>44708</v>
      </c>
      <c r="B31" s="22">
        <v>120</v>
      </c>
      <c r="C31" s="37">
        <v>229</v>
      </c>
      <c r="D31" s="25">
        <v>1512136</v>
      </c>
      <c r="E31" s="25">
        <v>1662802</v>
      </c>
      <c r="F31" s="25">
        <v>319948</v>
      </c>
      <c r="G31" s="25">
        <v>7787520</v>
      </c>
      <c r="H31" s="26">
        <v>33768</v>
      </c>
      <c r="I31" s="26">
        <v>5942134</v>
      </c>
      <c r="J31" s="25">
        <v>93133</v>
      </c>
      <c r="K31" s="25">
        <v>2655209</v>
      </c>
      <c r="L31" s="30">
        <v>2618</v>
      </c>
      <c r="M31" s="30">
        <v>2515</v>
      </c>
      <c r="N31" s="25">
        <v>1861287</v>
      </c>
      <c r="O31" s="25">
        <v>394307</v>
      </c>
      <c r="P31" s="25">
        <v>353421</v>
      </c>
      <c r="Q31" s="25">
        <v>57242</v>
      </c>
      <c r="R31" s="25">
        <v>54329</v>
      </c>
      <c r="S31" s="25">
        <v>31402</v>
      </c>
      <c r="T31" s="25">
        <v>3716</v>
      </c>
      <c r="V31" s="34"/>
    </row>
    <row r="32" spans="1:22">
      <c r="A32" s="18">
        <f t="shared" si="0"/>
        <v>44709</v>
      </c>
      <c r="B32" s="22">
        <v>60</v>
      </c>
      <c r="C32" s="37">
        <v>138</v>
      </c>
      <c r="D32" s="25">
        <v>1515277</v>
      </c>
      <c r="E32" s="25">
        <v>1668102</v>
      </c>
      <c r="F32" s="25">
        <v>320356</v>
      </c>
      <c r="G32" s="25">
        <v>7789530</v>
      </c>
      <c r="H32" s="26">
        <v>33768</v>
      </c>
      <c r="I32" s="26">
        <v>5944825</v>
      </c>
      <c r="J32" s="25">
        <v>94327</v>
      </c>
      <c r="K32" s="25">
        <v>2655321</v>
      </c>
      <c r="L32" s="30">
        <v>0</v>
      </c>
      <c r="M32" s="30">
        <v>2830</v>
      </c>
      <c r="N32" s="25">
        <v>1863140</v>
      </c>
      <c r="O32" s="25">
        <v>394435</v>
      </c>
      <c r="P32" s="25">
        <v>353503</v>
      </c>
      <c r="Q32" s="25">
        <v>57326</v>
      </c>
      <c r="R32" s="25">
        <v>54336</v>
      </c>
      <c r="S32" s="25">
        <v>31404</v>
      </c>
      <c r="T32" s="25">
        <v>3720</v>
      </c>
    </row>
    <row r="33" spans="1:20">
      <c r="A33" s="18">
        <f t="shared" si="0"/>
        <v>44710</v>
      </c>
      <c r="B33" s="22">
        <v>66</v>
      </c>
      <c r="C33" s="37">
        <v>149</v>
      </c>
      <c r="D33" s="24">
        <v>1516841</v>
      </c>
      <c r="E33" s="25">
        <v>1674875</v>
      </c>
      <c r="F33" s="25">
        <v>321092</v>
      </c>
      <c r="G33" s="25">
        <v>7791378</v>
      </c>
      <c r="H33" s="25">
        <v>33768</v>
      </c>
      <c r="I33" s="25">
        <v>5947356</v>
      </c>
      <c r="J33" s="25">
        <v>95451</v>
      </c>
      <c r="K33" s="25">
        <v>2655321</v>
      </c>
      <c r="L33" s="31">
        <v>0</v>
      </c>
      <c r="M33" s="31">
        <v>2810</v>
      </c>
      <c r="N33" s="25">
        <v>1864787</v>
      </c>
      <c r="O33" s="25">
        <v>394538</v>
      </c>
      <c r="P33" s="25">
        <v>353564</v>
      </c>
      <c r="Q33" s="25">
        <v>57392</v>
      </c>
      <c r="R33" s="25">
        <v>54342</v>
      </c>
      <c r="S33" s="25">
        <v>31405</v>
      </c>
      <c r="T33" s="25">
        <v>3731</v>
      </c>
    </row>
    <row r="34" spans="1:20">
      <c r="A34" s="18">
        <f>A33+1</f>
        <v>44711</v>
      </c>
      <c r="B34" s="22">
        <v>66</v>
      </c>
      <c r="C34" s="37">
        <v>150</v>
      </c>
      <c r="D34" s="24">
        <v>1518402</v>
      </c>
      <c r="E34" s="25">
        <v>1681555</v>
      </c>
      <c r="F34" s="25">
        <v>321796</v>
      </c>
      <c r="G34" s="25">
        <v>7793055</v>
      </c>
      <c r="H34" s="25">
        <v>33768</v>
      </c>
      <c r="I34" s="25">
        <v>5949971</v>
      </c>
      <c r="J34" s="25">
        <v>96644</v>
      </c>
      <c r="K34" s="25">
        <v>2655321</v>
      </c>
      <c r="L34" s="31">
        <v>0</v>
      </c>
      <c r="M34" s="31">
        <v>2818</v>
      </c>
      <c r="N34" s="25">
        <v>1866457</v>
      </c>
      <c r="O34" s="25">
        <v>394666</v>
      </c>
      <c r="P34" s="25">
        <v>353624</v>
      </c>
      <c r="Q34" s="25">
        <v>57456</v>
      </c>
      <c r="R34" s="25">
        <v>54348</v>
      </c>
      <c r="S34" s="25">
        <v>31426</v>
      </c>
      <c r="T34" s="25">
        <v>3740</v>
      </c>
    </row>
    <row r="35" spans="1:20">
      <c r="A35" s="18">
        <f>A34+1</f>
        <v>44712</v>
      </c>
      <c r="B35" s="22">
        <v>92</v>
      </c>
      <c r="C35" s="37">
        <v>187</v>
      </c>
      <c r="D35" s="24">
        <v>1520429</v>
      </c>
      <c r="E35" s="25">
        <v>1688239</v>
      </c>
      <c r="F35" s="25">
        <v>325531</v>
      </c>
      <c r="G35" s="25">
        <v>7795015</v>
      </c>
      <c r="H35" s="25">
        <v>33768</v>
      </c>
      <c r="I35" s="25">
        <v>5952642</v>
      </c>
      <c r="J35" s="25">
        <v>97822</v>
      </c>
      <c r="K35" s="25">
        <v>2655321</v>
      </c>
      <c r="L35" s="31">
        <v>1907</v>
      </c>
      <c r="M35" s="31">
        <v>2763</v>
      </c>
      <c r="N35" s="25">
        <v>1868185</v>
      </c>
      <c r="O35" s="25">
        <v>394774</v>
      </c>
      <c r="P35" s="25">
        <v>353685</v>
      </c>
      <c r="Q35" s="25">
        <v>57524</v>
      </c>
      <c r="R35" s="25">
        <v>54354</v>
      </c>
      <c r="S35" s="25">
        <v>31426</v>
      </c>
      <c r="T35" s="25">
        <v>3749</v>
      </c>
    </row>
    <row r="36" spans="1:20">
      <c r="B36" s="38"/>
      <c r="C36" s="38"/>
    </row>
    <row r="37" spans="1:20">
      <c r="B37" s="1"/>
      <c r="C37" s="1"/>
    </row>
    <row r="38" spans="1:20">
      <c r="B38"/>
      <c r="C38"/>
    </row>
    <row r="39" spans="1:20">
      <c r="B39"/>
      <c r="C39"/>
    </row>
    <row r="40" spans="1:20">
      <c r="B40"/>
      <c r="C40"/>
    </row>
    <row r="41" spans="1:20">
      <c r="B41"/>
      <c r="C41"/>
    </row>
    <row r="42" spans="1:20">
      <c r="B42"/>
      <c r="C42"/>
    </row>
    <row r="43" spans="1:20">
      <c r="B43"/>
      <c r="C43"/>
    </row>
    <row r="44" spans="1:20">
      <c r="B44"/>
      <c r="C44"/>
    </row>
    <row r="45" spans="1:20">
      <c r="B45"/>
      <c r="C45"/>
    </row>
    <row r="46" spans="1:20">
      <c r="B46"/>
      <c r="C46"/>
    </row>
    <row r="47" spans="1:20">
      <c r="B47"/>
      <c r="C47"/>
    </row>
    <row r="48" spans="1:20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</sheetData>
  <mergeCells count="20">
    <mergeCell ref="T1:T3"/>
    <mergeCell ref="M2:M3"/>
    <mergeCell ref="L2:L3"/>
    <mergeCell ref="N1:N3"/>
    <mergeCell ref="O1:O3"/>
    <mergeCell ref="P1:Q3"/>
    <mergeCell ref="R1:R3"/>
    <mergeCell ref="S1:S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B8BC1-168A-4D1E-A980-BA893BB9193E}"/>
</file>

<file path=customXml/itemProps2.xml><?xml version="1.0" encoding="utf-8"?>
<ds:datastoreItem xmlns:ds="http://schemas.openxmlformats.org/officeDocument/2006/customXml" ds:itemID="{D6CDD560-7822-4EA1-8593-5175C6066E7C}"/>
</file>

<file path=customXml/itemProps3.xml><?xml version="1.0" encoding="utf-8"?>
<ds:datastoreItem xmlns:ds="http://schemas.openxmlformats.org/officeDocument/2006/customXml" ds:itemID="{A0BACACF-264B-4E80-A364-6E53198B6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/>
  <cp:revision/>
  <dcterms:created xsi:type="dcterms:W3CDTF">2017-05-03T09:23:30Z</dcterms:created>
  <dcterms:modified xsi:type="dcterms:W3CDTF">2022-06-01T08:27:29Z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