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D35" i="119"/>
  <c r="E32" i="117" s="1"/>
  <c r="F35" i="119"/>
  <c r="G32" i="117" s="1"/>
  <c r="H35" i="119"/>
  <c r="I32" i="117" s="1"/>
  <c r="M32" i="117"/>
  <c r="N32" i="117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<sst xmlns="http://schemas.openxmlformats.org/spreadsheetml/2006/main" count="61" uniqueCount="29">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</sst>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J33" sqref="J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2021</v>
      </c>
      <c r="E2" s="9">
        <f>'Macao Daily'!D5</f>
        <v>32214.10000000149</v>
      </c>
      <c r="F2" s="32">
        <v>1.2029000000000001</v>
      </c>
      <c r="G2" s="9">
        <f>'Macao Daily'!F5</f>
        <v>70</v>
      </c>
      <c r="H2" s="32">
        <v>8.73</v>
      </c>
      <c r="I2" s="9" t="str">
        <f>'Macao Daily'!H5</f>
        <v>0</v>
      </c>
      <c r="J2" s="32">
        <v>0.25</v>
      </c>
      <c r="K2" s="9">
        <f>'Macao Daily'!J5</f>
        <v>0</v>
      </c>
      <c r="L2" s="32">
        <v>7.7610301457376698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2021</v>
      </c>
      <c r="E3" s="9">
        <f>'Macao Daily'!D6</f>
        <v>32288.29999999702</v>
      </c>
      <c r="F3" s="32">
        <v>1.2029000000000001</v>
      </c>
      <c r="G3" s="9">
        <f>'Macao Daily'!F6</f>
        <v>59</v>
      </c>
      <c r="H3" s="32">
        <v>8.73</v>
      </c>
      <c r="I3" s="9">
        <f>'Macao Daily'!H6</f>
        <v>68203</v>
      </c>
      <c r="J3" s="32">
        <v>0.25</v>
      </c>
      <c r="K3" s="9">
        <f>'Macao Daily'!J6</f>
        <v>0</v>
      </c>
      <c r="L3" s="32">
        <v>7.7610301457376698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10</v>
      </c>
      <c r="D4" s="7">
        <v>2021</v>
      </c>
      <c r="E4" s="9">
        <f>'Macao Daily'!D7</f>
        <v>32939.60000000149</v>
      </c>
      <c r="F4" s="32">
        <v>1.2029000000000001</v>
      </c>
      <c r="G4" s="9">
        <f>'Macao Daily'!F7</f>
        <v>61</v>
      </c>
      <c r="H4" s="32">
        <v>8.73</v>
      </c>
      <c r="I4" s="9">
        <f>'Macao Daily'!H7</f>
        <v>67015</v>
      </c>
      <c r="J4" s="32">
        <v>0.25</v>
      </c>
      <c r="K4" s="9">
        <f>'Macao Daily'!J7</f>
        <v>0</v>
      </c>
      <c r="L4" s="32">
        <v>7.7610301457376698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2021</v>
      </c>
      <c r="E5" s="9">
        <f>'Macao Daily'!D8</f>
        <v>32288.89999999851</v>
      </c>
      <c r="F5" s="32">
        <v>1.2029000000000001</v>
      </c>
      <c r="G5" s="9">
        <f>'Macao Daily'!F8</f>
        <v>58</v>
      </c>
      <c r="H5" s="32">
        <v>8.73</v>
      </c>
      <c r="I5" s="9">
        <f>'Macao Daily'!H8</f>
        <v>71000</v>
      </c>
      <c r="J5" s="32">
        <v>0.25</v>
      </c>
      <c r="K5" s="9">
        <f>'Macao Daily'!J8</f>
        <v>0</v>
      </c>
      <c r="L5" s="32">
        <v>7.7610301457376698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2021</v>
      </c>
      <c r="E6" s="9">
        <f>'Macao Daily'!D9</f>
        <v>31823.10000000149</v>
      </c>
      <c r="F6" s="32">
        <v>1.2029000000000001</v>
      </c>
      <c r="G6" s="9">
        <f>'Macao Daily'!F9</f>
        <v>45</v>
      </c>
      <c r="H6" s="32">
        <v>8.73</v>
      </c>
      <c r="I6" s="9">
        <f>'Macao Daily'!H9</f>
        <v>69133</v>
      </c>
      <c r="J6" s="32">
        <v>0.25</v>
      </c>
      <c r="K6" s="9">
        <f>'Macao Daily'!J9</f>
        <v>0</v>
      </c>
      <c r="L6" s="32">
        <v>7.7610301457376698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2021</v>
      </c>
      <c r="E7" s="9">
        <f>'Macao Daily'!D10</f>
        <v>30592.10000000149</v>
      </c>
      <c r="F7" s="32">
        <v>1.2029000000000001</v>
      </c>
      <c r="G7" s="9">
        <f>'Macao Daily'!F10</f>
        <v>52</v>
      </c>
      <c r="H7" s="32">
        <v>8.73</v>
      </c>
      <c r="I7" s="9">
        <f>'Macao Daily'!H10</f>
        <v>66641</v>
      </c>
      <c r="J7" s="32">
        <v>0.25</v>
      </c>
      <c r="K7" s="9">
        <f>'Macao Daily'!J10</f>
        <v>0</v>
      </c>
      <c r="L7" s="32">
        <v>7.7610301457376698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2021</v>
      </c>
      <c r="E8" s="9">
        <f>'Macao Daily'!D11</f>
        <v>30685</v>
      </c>
      <c r="F8" s="32">
        <v>1.2029000000000001</v>
      </c>
      <c r="G8" s="9">
        <f>'Macao Daily'!F11</f>
        <v>59</v>
      </c>
      <c r="H8" s="32">
        <v>8.73</v>
      </c>
      <c r="I8" s="9">
        <f>'Macao Daily'!H11</f>
        <v>65508</v>
      </c>
      <c r="J8" s="32">
        <v>0.25</v>
      </c>
      <c r="K8" s="9">
        <f>'Macao Daily'!J11</f>
        <v>0</v>
      </c>
      <c r="L8" s="32">
        <v>7.7610301457376698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2021</v>
      </c>
      <c r="E9" s="9">
        <f>'Macao Daily'!D12</f>
        <v>31312.89999999851</v>
      </c>
      <c r="F9" s="32">
        <v>1.2029000000000001</v>
      </c>
      <c r="G9" s="9">
        <f>'Macao Daily'!F12</f>
        <v>59</v>
      </c>
      <c r="H9" s="32">
        <v>8.73</v>
      </c>
      <c r="I9" s="9">
        <f>'Macao Daily'!H12</f>
        <v>70601</v>
      </c>
      <c r="J9" s="32">
        <v>0.25</v>
      </c>
      <c r="K9" s="9">
        <f>'Macao Daily'!J12</f>
        <v>0</v>
      </c>
      <c r="L9" s="32">
        <v>7.7610301457376698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2021</v>
      </c>
      <c r="E10" s="9">
        <f>'Macao Daily'!D13</f>
        <v>31195.29999999702</v>
      </c>
      <c r="F10" s="32">
        <v>1.2029000000000001</v>
      </c>
      <c r="G10" s="9">
        <f>'Macao Daily'!F13</f>
        <v>46</v>
      </c>
      <c r="H10" s="32">
        <v>8.73</v>
      </c>
      <c r="I10" s="9">
        <f>'Macao Daily'!H13</f>
        <v>72586</v>
      </c>
      <c r="J10" s="32">
        <v>0.25</v>
      </c>
      <c r="K10" s="9">
        <f>'Macao Daily'!J13</f>
        <v>0</v>
      </c>
      <c r="L10" s="32">
        <v>7.7610301457376698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2021</v>
      </c>
      <c r="E11" s="9">
        <f>'Macao Daily'!D14</f>
        <v>24949.70000000298</v>
      </c>
      <c r="F11" s="32">
        <v>1.2029000000000001</v>
      </c>
      <c r="G11" s="9">
        <f>'Macao Daily'!F14</f>
        <v>51</v>
      </c>
      <c r="H11" s="32">
        <v>8.73</v>
      </c>
      <c r="I11" s="9">
        <f>'Macao Daily'!H14</f>
        <v>66227</v>
      </c>
      <c r="J11" s="32">
        <v>0.25</v>
      </c>
      <c r="K11" s="9">
        <f>'Macao Daily'!J14</f>
        <v>0</v>
      </c>
      <c r="L11" s="32">
        <v>7.7610301457376698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2021</v>
      </c>
      <c r="E12" s="9">
        <f>'Macao Daily'!D15</f>
        <v>29313</v>
      </c>
      <c r="F12" s="32">
        <v>1.2029000000000001</v>
      </c>
      <c r="G12" s="9">
        <f>'Macao Daily'!F15</f>
        <v>59</v>
      </c>
      <c r="H12" s="32">
        <v>8.73</v>
      </c>
      <c r="I12" s="9">
        <f>'Macao Daily'!H15</f>
        <v>76747</v>
      </c>
      <c r="J12" s="32">
        <v>0.25</v>
      </c>
      <c r="K12" s="9">
        <f>'Macao Daily'!J15</f>
        <v>0</v>
      </c>
      <c r="L12" s="32">
        <v>7.7610301457376698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2021</v>
      </c>
      <c r="E13" s="9">
        <f>'Macao Daily'!D16</f>
        <v>29190.69999999553</v>
      </c>
      <c r="F13" s="32">
        <v>1.2029000000000001</v>
      </c>
      <c r="G13" s="9">
        <f>'Macao Daily'!F16</f>
        <v>63</v>
      </c>
      <c r="H13" s="32">
        <v>8.73</v>
      </c>
      <c r="I13" s="9">
        <f>'Macao Daily'!H16</f>
        <v>82753</v>
      </c>
      <c r="J13" s="32">
        <v>0.25</v>
      </c>
      <c r="K13" s="9">
        <f>'Macao Daily'!J16</f>
        <v>0</v>
      </c>
      <c r="L13" s="32">
        <v>7.7610301457376698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2021</v>
      </c>
      <c r="E14" s="9">
        <f>'Macao Daily'!D17</f>
        <v>26934.10000000149</v>
      </c>
      <c r="F14" s="32">
        <v>1.2029000000000001</v>
      </c>
      <c r="G14" s="9">
        <f>'Macao Daily'!F17</f>
        <v>24</v>
      </c>
      <c r="H14" s="32">
        <v>8.73</v>
      </c>
      <c r="I14" s="9">
        <f>'Macao Daily'!H17</f>
        <v>86382</v>
      </c>
      <c r="J14" s="32">
        <v>0.25</v>
      </c>
      <c r="K14" s="9">
        <f>'Macao Daily'!J17</f>
        <v>0</v>
      </c>
      <c r="L14" s="32">
        <v>7.7610301457376698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2021</v>
      </c>
      <c r="E15" s="9">
        <f>'Macao Daily'!D18</f>
        <v>30616.10000000149</v>
      </c>
      <c r="F15" s="32">
        <v>1.2029000000000001</v>
      </c>
      <c r="G15" s="9">
        <f>'Macao Daily'!F18</f>
        <v>47</v>
      </c>
      <c r="H15" s="32">
        <v>8.73</v>
      </c>
      <c r="I15" s="9">
        <f>'Macao Daily'!H18</f>
        <v>79383</v>
      </c>
      <c r="J15" s="32">
        <v>0.25</v>
      </c>
      <c r="K15" s="9">
        <f>'Macao Daily'!J18</f>
        <v>0</v>
      </c>
      <c r="L15" s="32">
        <v>7.7610301457376698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2021</v>
      </c>
      <c r="E16" s="9">
        <f>'Macao Daily'!D19</f>
        <v>29662.20000000298</v>
      </c>
      <c r="F16" s="32">
        <v>1.2029000000000001</v>
      </c>
      <c r="G16" s="9">
        <f>'Macao Daily'!F19</f>
        <v>57</v>
      </c>
      <c r="H16" s="32">
        <v>8.73</v>
      </c>
      <c r="I16" s="9">
        <f>'Macao Daily'!H19</f>
        <v>81649</v>
      </c>
      <c r="J16" s="32">
        <v>0.25</v>
      </c>
      <c r="K16" s="9">
        <f>'Macao Daily'!J19</f>
        <v>0</v>
      </c>
      <c r="L16" s="32">
        <v>7.7610301457376698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2021</v>
      </c>
      <c r="E17" s="9">
        <f>'Macao Daily'!D20</f>
        <v>29468.29999999702</v>
      </c>
      <c r="F17" s="32">
        <v>1.2029000000000001</v>
      </c>
      <c r="G17" s="9">
        <f>'Macao Daily'!F20</f>
        <v>54</v>
      </c>
      <c r="H17" s="32">
        <v>8.73</v>
      </c>
      <c r="I17" s="9">
        <f>'Macao Daily'!H20</f>
        <v>1921914</v>
      </c>
      <c r="J17" s="32">
        <v>0.25</v>
      </c>
      <c r="K17" s="9">
        <f>'Macao Daily'!J20</f>
        <v>0</v>
      </c>
      <c r="L17" s="32">
        <v>7.7610301457376698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2021</v>
      </c>
      <c r="E18" s="9">
        <f>'Macao Daily'!D21</f>
        <v>29050</v>
      </c>
      <c r="F18" s="32">
        <v>1.2029000000000001</v>
      </c>
      <c r="G18" s="9">
        <f>'Macao Daily'!F21</f>
        <v>55</v>
      </c>
      <c r="H18" s="32">
        <v>8.73</v>
      </c>
      <c r="I18" s="9">
        <f>'Macao Daily'!H21</f>
        <v>33086</v>
      </c>
      <c r="J18" s="32">
        <v>0.25</v>
      </c>
      <c r="K18" s="9">
        <f>'Macao Daily'!J21</f>
        <v>0</v>
      </c>
      <c r="L18" s="32">
        <v>7.7610301457376698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2021</v>
      </c>
      <c r="E19" s="9">
        <f>'Macao Daily'!D22</f>
        <v>29384.70000000298</v>
      </c>
      <c r="F19" s="32">
        <v>1.2029000000000001</v>
      </c>
      <c r="G19" s="9">
        <f>'Macao Daily'!F22</f>
        <v>48</v>
      </c>
      <c r="H19" s="32">
        <v>8.73</v>
      </c>
      <c r="I19" s="9">
        <f>'Macao Daily'!H22</f>
        <v>33484</v>
      </c>
      <c r="J19" s="32">
        <v>0.25</v>
      </c>
      <c r="K19" s="9">
        <f>'Macao Daily'!J22</f>
        <v>0</v>
      </c>
      <c r="L19" s="32">
        <v>7.7610301457376698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2021</v>
      </c>
      <c r="E20" s="9">
        <f>'Macao Daily'!D23</f>
        <v>31553.89999999851</v>
      </c>
      <c r="F20" s="32">
        <v>1.2029000000000001</v>
      </c>
      <c r="G20" s="9">
        <f>'Macao Daily'!F23</f>
        <v>42</v>
      </c>
      <c r="H20" s="32">
        <v>8.73</v>
      </c>
      <c r="I20" s="9">
        <f>'Macao Daily'!H23</f>
        <v>44141</v>
      </c>
      <c r="J20" s="32">
        <v>0.25</v>
      </c>
      <c r="K20" s="9">
        <f>'Macao Daily'!J23</f>
        <v>0</v>
      </c>
      <c r="L20" s="32">
        <v>7.7610301457376698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2021</v>
      </c>
      <c r="E21" s="9">
        <f>'Macao Daily'!D24</f>
        <v>28349</v>
      </c>
      <c r="F21" s="32">
        <v>1.2029000000000001</v>
      </c>
      <c r="G21" s="9">
        <f>'Macao Daily'!F24</f>
        <v>41</v>
      </c>
      <c r="H21" s="32">
        <v>8.73</v>
      </c>
      <c r="I21" s="9">
        <f>'Macao Daily'!H24</f>
        <v>45187</v>
      </c>
      <c r="J21" s="32">
        <v>0.25</v>
      </c>
      <c r="K21" s="9">
        <f>'Macao Daily'!J24</f>
        <v>0</v>
      </c>
      <c r="L21" s="32">
        <v>7.7610301457376698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2021</v>
      </c>
      <c r="E22" s="9">
        <f>'Macao Daily'!D25</f>
        <v>32036.69999999553</v>
      </c>
      <c r="F22" s="32">
        <v>1.2029000000000001</v>
      </c>
      <c r="G22" s="9">
        <f>'Macao Daily'!F25</f>
        <v>49</v>
      </c>
      <c r="H22" s="32">
        <v>8.73</v>
      </c>
      <c r="I22" s="9">
        <f>'Macao Daily'!H25</f>
        <v>42570</v>
      </c>
      <c r="J22" s="32">
        <v>0.25</v>
      </c>
      <c r="K22" s="9">
        <f>'Macao Daily'!J25</f>
        <v>0</v>
      </c>
      <c r="L22" s="32">
        <v>7.7610301457376698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2021</v>
      </c>
      <c r="E23" s="9">
        <f>'Macao Daily'!D26</f>
        <v>32001.40000000596</v>
      </c>
      <c r="F23" s="32">
        <v>1.2029000000000001</v>
      </c>
      <c r="G23" s="9">
        <f>'Macao Daily'!F26</f>
        <v>66</v>
      </c>
      <c r="H23" s="32">
        <v>8.73</v>
      </c>
      <c r="I23" s="9">
        <f>'Macao Daily'!H26</f>
        <v>24993</v>
      </c>
      <c r="J23" s="32">
        <v>0.25</v>
      </c>
      <c r="K23" s="9">
        <f>'Macao Daily'!J26</f>
        <v>0</v>
      </c>
      <c r="L23" s="32">
        <v>7.7610301457376698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2021</v>
      </c>
      <c r="E24" s="9">
        <f>'Macao Daily'!D27</f>
        <v>31867.29999999702</v>
      </c>
      <c r="F24" s="32">
        <v>1.2029000000000001</v>
      </c>
      <c r="G24" s="9">
        <f>'Macao Daily'!F27</f>
        <v>57</v>
      </c>
      <c r="H24" s="32">
        <v>8.73</v>
      </c>
      <c r="I24" s="9">
        <f>'Macao Daily'!H27</f>
        <v>23359</v>
      </c>
      <c r="J24" s="32">
        <v>0.25</v>
      </c>
      <c r="K24" s="9">
        <f>'Macao Daily'!J27</f>
        <v>0</v>
      </c>
      <c r="L24" s="32">
        <v>7.7610301457376698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2021</v>
      </c>
      <c r="E25" s="9">
        <f>'Macao Daily'!D28</f>
        <v>31960.60000000149</v>
      </c>
      <c r="F25" s="32">
        <v>1.2029000000000001</v>
      </c>
      <c r="G25" s="9">
        <f>'Macao Daily'!F28</f>
        <v>62</v>
      </c>
      <c r="H25" s="32">
        <v>8.73</v>
      </c>
      <c r="I25" s="9">
        <f>'Macao Daily'!H28</f>
        <v>24180</v>
      </c>
      <c r="J25" s="32">
        <v>0.25</v>
      </c>
      <c r="K25" s="9">
        <f>'Macao Daily'!J28</f>
        <v>0</v>
      </c>
      <c r="L25" s="32">
        <v>7.7610301457376698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2021</v>
      </c>
      <c r="E26" s="9">
        <f>'Macao Daily'!D29</f>
        <v>34775</v>
      </c>
      <c r="F26" s="32">
        <v>1.2029000000000001</v>
      </c>
      <c r="G26" s="9">
        <f>'Macao Daily'!F29</f>
        <v>55</v>
      </c>
      <c r="H26" s="32">
        <v>8.73</v>
      </c>
      <c r="I26" s="9">
        <f>'Macao Daily'!H29</f>
        <v>29101</v>
      </c>
      <c r="J26" s="32">
        <v>0.25</v>
      </c>
      <c r="K26" s="9">
        <f>'Macao Daily'!J29</f>
        <v>0</v>
      </c>
      <c r="L26" s="32">
        <v>7.7610301457376698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2021</v>
      </c>
      <c r="E27" s="9">
        <f>'Macao Daily'!D30</f>
        <v>29299.89999999851</v>
      </c>
      <c r="F27" s="32">
        <v>1.2029000000000001</v>
      </c>
      <c r="G27" s="9">
        <f>'Macao Daily'!F30</f>
        <v>46</v>
      </c>
      <c r="H27" s="32">
        <v>8.73</v>
      </c>
      <c r="I27" s="9">
        <f>'Macao Daily'!H30</f>
        <v>29969</v>
      </c>
      <c r="J27" s="32">
        <v>0.25</v>
      </c>
      <c r="K27" s="9">
        <f>'Macao Daily'!J30</f>
        <v>0</v>
      </c>
      <c r="L27" s="32">
        <v>7.7610301457376698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2021</v>
      </c>
      <c r="E28" s="9">
        <f>'Macao Daily'!D31</f>
        <v>30933.20000000298</v>
      </c>
      <c r="F28" s="32">
        <v>1.2029000000000001</v>
      </c>
      <c r="G28" s="9">
        <f>'Macao Daily'!F31</f>
        <v>42</v>
      </c>
      <c r="H28" s="32">
        <v>8.73</v>
      </c>
      <c r="I28" s="9">
        <f>'Macao Daily'!H31</f>
        <v>35375</v>
      </c>
      <c r="J28" s="32">
        <v>0.25</v>
      </c>
      <c r="K28" s="9">
        <f>'Macao Daily'!J31</f>
        <v>0</v>
      </c>
      <c r="L28" s="32">
        <v>7.7610301457376698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2021</v>
      </c>
      <c r="E29" s="9">
        <f>'Macao Daily'!D32</f>
        <v>32534.79999999702</v>
      </c>
      <c r="F29" s="32">
        <v>1.2029000000000001</v>
      </c>
      <c r="G29" s="9">
        <f>'Macao Daily'!F32</f>
        <v>47</v>
      </c>
      <c r="H29" s="32">
        <v>8.73</v>
      </c>
      <c r="I29" s="9">
        <f>'Macao Daily'!H32</f>
        <v>35641</v>
      </c>
      <c r="J29" s="32">
        <v>0.25</v>
      </c>
      <c r="K29" s="9">
        <f>'Macao Daily'!J32</f>
        <v>0</v>
      </c>
      <c r="L29" s="32">
        <v>7.7610301457376698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2021</v>
      </c>
      <c r="E30" s="9">
        <f>'Macao Daily'!D33</f>
        <v>32885.5</v>
      </c>
      <c r="F30" s="32">
        <v>1.2029000000000001</v>
      </c>
      <c r="G30" s="9">
        <f>'Macao Daily'!F33</f>
        <v>60</v>
      </c>
      <c r="H30" s="32">
        <v>8.73</v>
      </c>
      <c r="I30" s="9">
        <f>'Macao Daily'!H33</f>
        <v>39820</v>
      </c>
      <c r="J30" s="32">
        <v>0.25</v>
      </c>
      <c r="K30" s="9">
        <f>'Macao Daily'!J33</f>
        <v>0</v>
      </c>
      <c r="L30" s="32">
        <v>7.7610301457376698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2021</v>
      </c>
      <c r="E31" s="9">
        <f>'Macao Daily'!D34</f>
        <v>35177</v>
      </c>
      <c r="F31" s="32">
        <v>1.2029000000000001</v>
      </c>
      <c r="G31" s="9">
        <f>'Macao Daily'!F34</f>
        <v>65</v>
      </c>
      <c r="H31" s="32">
        <v>8.73</v>
      </c>
      <c r="I31" s="9">
        <f>'Macao Daily'!H34</f>
        <v>38469</v>
      </c>
      <c r="J31" s="32">
        <v>0.25</v>
      </c>
      <c r="K31" s="9">
        <f>'Macao Daily'!J34</f>
        <v>0</v>
      </c>
      <c r="L31" s="32">
        <v>7.7610301457376698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13</v>
      </c>
      <c r="B32" s="7">
        <v>31</v>
      </c>
      <c r="C32" s="8">
        <v>10</v>
      </c>
      <c r="D32" s="7">
        <v>2021</v>
      </c>
      <c r="E32" s="9">
        <f>'Macao Daily'!D35</f>
        <v>34049.60000000149</v>
      </c>
      <c r="F32" s="32">
        <v>1.2029000000000001</v>
      </c>
      <c r="G32" s="9">
        <f>'Macao Daily'!F35</f>
        <v>60</v>
      </c>
      <c r="H32" s="32">
        <v>8.73</v>
      </c>
      <c r="I32" s="9">
        <f>'Macao Daily'!H35</f>
        <v>38523</v>
      </c>
      <c r="J32" s="32">
        <v>0.25</v>
      </c>
      <c r="K32" s="9">
        <f>'Macao Daily'!J35</f>
        <v>0</v>
      </c>
      <c r="L32" s="32">
        <v>7.7610301457376698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opLeftCell="A25" zoomScale="85" zoomScaleNormal="85" workbookViewId="0">
      <pane xSplit="1" topLeftCell="B1" activePane="topRight" state="frozen"/>
      <selection pane="topRight" activeCell="G40" sqref="G40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44469</v>
      </c>
      <c r="B4" s="38"/>
      <c r="C4" s="36">
        <v>42417236.100000001</v>
      </c>
      <c r="D4" s="26"/>
      <c r="E4" s="36">
        <v>537315</v>
      </c>
      <c r="F4" s="26"/>
      <c r="G4" s="36">
        <v>108654065</v>
      </c>
      <c r="H4" s="26"/>
      <c r="I4" s="25">
        <v>0</v>
      </c>
      <c r="J4" s="34"/>
      <c r="K4" s="35">
        <v>88</v>
      </c>
      <c r="L4" s="35">
        <v>197</v>
      </c>
    </row>
    <row r="5" spans="1:12" ht="33" customHeight="1" x14ac:dyDescent="0.25">
      <c r="A5" s="24">
        <v>44470</v>
      </c>
      <c r="B5" s="38"/>
      <c r="C5" s="36">
        <v>42449450.200000003</v>
      </c>
      <c r="D5" s="26">
        <f t="shared" ref="D5:D19" si="0">IF((C5-C4&lt;0), "0",C5-C4)</f>
        <v>32214.10000000149</v>
      </c>
      <c r="E5" s="36">
        <v>537385</v>
      </c>
      <c r="F5" s="26">
        <f>IF((E5-E4&lt;0), "0",E5-E4)</f>
        <v>70</v>
      </c>
      <c r="G5" s="36">
        <v>106581925</v>
      </c>
      <c r="H5" s="26" t="str">
        <f>IF((G5-G4&lt;0), "0",G5-G4)</f>
        <v>0</v>
      </c>
      <c r="I5" s="25">
        <v>0</v>
      </c>
      <c r="J5" s="34">
        <f>IF((I5-I4&lt;0), "0",I5-I4)</f>
        <v>0</v>
      </c>
      <c r="K5" s="35">
        <v>125</v>
      </c>
      <c r="L5" s="35">
        <v>319</v>
      </c>
    </row>
    <row r="6" spans="1:12" ht="45" customHeight="1" x14ac:dyDescent="0.25">
      <c r="A6" s="24">
        <v>44471</v>
      </c>
      <c r="B6" s="38"/>
      <c r="C6" s="36">
        <v>42481738.5</v>
      </c>
      <c r="D6" s="26">
        <f t="shared" si="0"/>
        <v>32288.29999999702</v>
      </c>
      <c r="E6" s="36">
        <v>537444</v>
      </c>
      <c r="F6" s="26">
        <f t="shared" ref="F6:F19" si="1">IF((E6-E5&lt;0), "0",E6-E5)</f>
        <v>59</v>
      </c>
      <c r="G6" s="36">
        <v>106650128</v>
      </c>
      <c r="H6" s="26">
        <f t="shared" ref="H6:H32" si="2">IF((G6-G5&lt;0), "0",G6-G5)</f>
        <v>68203</v>
      </c>
      <c r="I6" s="25">
        <v>0</v>
      </c>
      <c r="J6" s="34">
        <f t="shared" ref="J6:J32" si="3">IF((I6-I5&lt;0), "0",I6-I5)</f>
        <v>0</v>
      </c>
      <c r="K6" s="35">
        <v>140</v>
      </c>
      <c r="L6" s="35">
        <v>234</v>
      </c>
    </row>
    <row r="7" spans="1:12" ht="45" customHeight="1" x14ac:dyDescent="0.25">
      <c r="A7" s="24">
        <v>44472</v>
      </c>
      <c r="B7" s="38"/>
      <c r="C7" s="36">
        <v>42514678.100000001</v>
      </c>
      <c r="D7" s="26">
        <f t="shared" si="0"/>
        <v>32939.60000000149</v>
      </c>
      <c r="E7" s="36">
        <v>537505</v>
      </c>
      <c r="F7" s="26">
        <f t="shared" si="1"/>
        <v>61</v>
      </c>
      <c r="G7" s="36">
        <v>106717143</v>
      </c>
      <c r="H7" s="26">
        <f t="shared" si="2"/>
        <v>67015</v>
      </c>
      <c r="I7" s="25">
        <v>0</v>
      </c>
      <c r="J7" s="34">
        <f t="shared" si="3"/>
        <v>0</v>
      </c>
      <c r="K7" s="35">
        <v>137</v>
      </c>
      <c r="L7" s="35">
        <v>317</v>
      </c>
    </row>
    <row r="8" spans="1:12" ht="45" customHeight="1" x14ac:dyDescent="0.25">
      <c r="A8" s="24">
        <v>44473</v>
      </c>
      <c r="B8" s="38"/>
      <c r="C8" s="36">
        <v>42546967</v>
      </c>
      <c r="D8" s="26">
        <f t="shared" si="0"/>
        <v>32288.89999999851</v>
      </c>
      <c r="E8" s="36">
        <v>537563</v>
      </c>
      <c r="F8" s="26">
        <f t="shared" si="1"/>
        <v>58</v>
      </c>
      <c r="G8" s="36">
        <v>106788143</v>
      </c>
      <c r="H8" s="26">
        <f t="shared" si="2"/>
        <v>71000</v>
      </c>
      <c r="I8" s="25">
        <v>0</v>
      </c>
      <c r="J8" s="34">
        <f t="shared" si="3"/>
        <v>0</v>
      </c>
      <c r="K8" s="35">
        <v>140</v>
      </c>
      <c r="L8" s="35">
        <v>142</v>
      </c>
    </row>
    <row r="9" spans="1:12" ht="45" customHeight="1" x14ac:dyDescent="0.25">
      <c r="A9" s="24">
        <v>44474</v>
      </c>
      <c r="B9" s="38"/>
      <c r="C9" s="36">
        <v>42578790.100000001</v>
      </c>
      <c r="D9" s="26">
        <f t="shared" si="0"/>
        <v>31823.10000000149</v>
      </c>
      <c r="E9" s="36">
        <v>537608</v>
      </c>
      <c r="F9" s="26">
        <f t="shared" si="1"/>
        <v>45</v>
      </c>
      <c r="G9" s="36">
        <v>106857276</v>
      </c>
      <c r="H9" s="26">
        <f t="shared" si="2"/>
        <v>69133</v>
      </c>
      <c r="I9" s="25">
        <v>0</v>
      </c>
      <c r="J9" s="34">
        <f t="shared" si="3"/>
        <v>0</v>
      </c>
      <c r="K9" s="35">
        <v>134</v>
      </c>
      <c r="L9" s="35">
        <v>114</v>
      </c>
    </row>
    <row r="10" spans="1:12" ht="45" customHeight="1" x14ac:dyDescent="0.25">
      <c r="A10" s="24">
        <v>44475</v>
      </c>
      <c r="B10" s="38"/>
      <c r="C10" s="36">
        <v>42609382.200000003</v>
      </c>
      <c r="D10" s="26">
        <f t="shared" si="0"/>
        <v>30592.10000000149</v>
      </c>
      <c r="E10" s="36">
        <v>537660</v>
      </c>
      <c r="F10" s="26">
        <f t="shared" si="1"/>
        <v>52</v>
      </c>
      <c r="G10" s="36">
        <v>106923917</v>
      </c>
      <c r="H10" s="26">
        <f t="shared" si="2"/>
        <v>66641</v>
      </c>
      <c r="I10" s="25">
        <v>0</v>
      </c>
      <c r="J10" s="34">
        <f t="shared" si="3"/>
        <v>0</v>
      </c>
      <c r="K10" s="35">
        <v>126</v>
      </c>
      <c r="L10" s="35">
        <v>112</v>
      </c>
    </row>
    <row r="11" spans="1:12" ht="45" customHeight="1" x14ac:dyDescent="0.25">
      <c r="A11" s="24">
        <v>44476</v>
      </c>
      <c r="B11" s="38"/>
      <c r="C11" s="36">
        <v>42640067.200000003</v>
      </c>
      <c r="D11" s="26">
        <f t="shared" si="0"/>
        <v>30685</v>
      </c>
      <c r="E11" s="36">
        <v>537719</v>
      </c>
      <c r="F11" s="26">
        <f t="shared" si="1"/>
        <v>59</v>
      </c>
      <c r="G11" s="36">
        <v>106989425</v>
      </c>
      <c r="H11" s="26">
        <f t="shared" si="2"/>
        <v>65508</v>
      </c>
      <c r="I11" s="25">
        <v>0</v>
      </c>
      <c r="J11" s="34">
        <f t="shared" si="3"/>
        <v>0</v>
      </c>
      <c r="K11" s="35">
        <v>121</v>
      </c>
      <c r="L11" s="35">
        <v>112</v>
      </c>
    </row>
    <row r="12" spans="1:12" ht="45" customHeight="1" x14ac:dyDescent="0.25">
      <c r="A12" s="24">
        <v>44477</v>
      </c>
      <c r="B12" s="38"/>
      <c r="C12" s="36">
        <v>42671380.100000001</v>
      </c>
      <c r="D12" s="26">
        <f t="shared" si="0"/>
        <v>31312.89999999851</v>
      </c>
      <c r="E12" s="36">
        <v>537778</v>
      </c>
      <c r="F12" s="26">
        <f t="shared" si="1"/>
        <v>59</v>
      </c>
      <c r="G12" s="36">
        <v>107060026</v>
      </c>
      <c r="H12" s="26">
        <f t="shared" si="2"/>
        <v>70601</v>
      </c>
      <c r="I12" s="25">
        <v>0</v>
      </c>
      <c r="J12" s="34">
        <f t="shared" si="3"/>
        <v>0</v>
      </c>
      <c r="K12" s="35">
        <v>133</v>
      </c>
      <c r="L12" s="35">
        <v>108</v>
      </c>
    </row>
    <row r="13" spans="1:12" ht="45" customHeight="1" x14ac:dyDescent="0.25">
      <c r="A13" s="24">
        <v>44478</v>
      </c>
      <c r="B13" s="38"/>
      <c r="C13" s="36">
        <v>42702575.399999999</v>
      </c>
      <c r="D13" s="26">
        <f t="shared" si="0"/>
        <v>31195.29999999702</v>
      </c>
      <c r="E13" s="36">
        <v>537824</v>
      </c>
      <c r="F13" s="26">
        <f t="shared" si="1"/>
        <v>46</v>
      </c>
      <c r="G13" s="36">
        <v>107132612</v>
      </c>
      <c r="H13" s="26">
        <f t="shared" si="2"/>
        <v>72586</v>
      </c>
      <c r="I13" s="25">
        <v>0</v>
      </c>
      <c r="J13" s="34">
        <f t="shared" si="3"/>
        <v>0</v>
      </c>
      <c r="K13" s="35">
        <v>143</v>
      </c>
      <c r="L13" s="35">
        <v>75</v>
      </c>
    </row>
    <row r="14" spans="1:12" ht="45" customHeight="1" x14ac:dyDescent="0.25">
      <c r="A14" s="24">
        <v>44479</v>
      </c>
      <c r="B14" s="38"/>
      <c r="C14" s="36">
        <v>42727525.100000001</v>
      </c>
      <c r="D14" s="26">
        <f t="shared" si="0"/>
        <v>24949.70000000298</v>
      </c>
      <c r="E14" s="36">
        <v>537875</v>
      </c>
      <c r="F14" s="26">
        <f t="shared" si="1"/>
        <v>51</v>
      </c>
      <c r="G14" s="36">
        <v>107198839</v>
      </c>
      <c r="H14" s="26">
        <f t="shared" si="2"/>
        <v>66227</v>
      </c>
      <c r="I14" s="25">
        <v>0</v>
      </c>
      <c r="J14" s="34">
        <f t="shared" si="3"/>
        <v>0</v>
      </c>
      <c r="K14" s="35">
        <v>131</v>
      </c>
      <c r="L14" s="35">
        <v>129</v>
      </c>
    </row>
    <row r="15" spans="1:12" ht="45" customHeight="1" x14ac:dyDescent="0.25">
      <c r="A15" s="24">
        <v>44480</v>
      </c>
      <c r="B15" s="38"/>
      <c r="C15" s="36">
        <v>42756838.100000001</v>
      </c>
      <c r="D15" s="26">
        <f t="shared" si="0"/>
        <v>29313</v>
      </c>
      <c r="E15" s="36">
        <v>537934</v>
      </c>
      <c r="F15" s="26">
        <f t="shared" si="1"/>
        <v>59</v>
      </c>
      <c r="G15" s="36">
        <v>107275586</v>
      </c>
      <c r="H15" s="26">
        <f t="shared" si="2"/>
        <v>76747</v>
      </c>
      <c r="I15" s="25">
        <v>0</v>
      </c>
      <c r="J15" s="34">
        <f t="shared" si="3"/>
        <v>0</v>
      </c>
      <c r="K15" s="35">
        <v>147</v>
      </c>
      <c r="L15" s="35">
        <v>94</v>
      </c>
    </row>
    <row r="16" spans="1:12" ht="45" customHeight="1" x14ac:dyDescent="0.25">
      <c r="A16" s="24">
        <v>44481</v>
      </c>
      <c r="B16" s="38"/>
      <c r="C16" s="36">
        <v>42786028.799999997</v>
      </c>
      <c r="D16" s="26">
        <f t="shared" si="0"/>
        <v>29190.69999999553</v>
      </c>
      <c r="E16" s="36">
        <v>537997</v>
      </c>
      <c r="F16" s="26">
        <f t="shared" si="1"/>
        <v>63</v>
      </c>
      <c r="G16" s="36">
        <v>107358339</v>
      </c>
      <c r="H16" s="26">
        <f t="shared" si="2"/>
        <v>82753</v>
      </c>
      <c r="I16" s="25">
        <v>0</v>
      </c>
      <c r="J16" s="34">
        <f t="shared" si="3"/>
        <v>0</v>
      </c>
      <c r="K16" s="35">
        <v>200</v>
      </c>
      <c r="L16" s="35">
        <v>381</v>
      </c>
    </row>
    <row r="17" spans="1:12" ht="45" customHeight="1" x14ac:dyDescent="0.25">
      <c r="A17" s="24">
        <v>44482</v>
      </c>
      <c r="B17" s="38"/>
      <c r="C17" s="36">
        <v>42812962.899999999</v>
      </c>
      <c r="D17" s="26">
        <f t="shared" si="0"/>
        <v>26934.10000000149</v>
      </c>
      <c r="E17" s="36">
        <v>538021</v>
      </c>
      <c r="F17" s="26">
        <f t="shared" si="1"/>
        <v>24</v>
      </c>
      <c r="G17" s="36">
        <v>107444721</v>
      </c>
      <c r="H17" s="26">
        <f t="shared" si="2"/>
        <v>86382</v>
      </c>
      <c r="I17" s="25">
        <v>0</v>
      </c>
      <c r="J17" s="34">
        <f t="shared" si="3"/>
        <v>0</v>
      </c>
      <c r="K17" s="35">
        <v>143</v>
      </c>
      <c r="L17" s="35">
        <v>71</v>
      </c>
    </row>
    <row r="18" spans="1:12" ht="45" customHeight="1" x14ac:dyDescent="0.25">
      <c r="A18" s="24">
        <v>44483</v>
      </c>
      <c r="B18" s="38"/>
      <c r="C18" s="36">
        <v>42843579</v>
      </c>
      <c r="D18" s="26">
        <f t="shared" si="0"/>
        <v>30616.10000000149</v>
      </c>
      <c r="E18" s="36">
        <v>538068</v>
      </c>
      <c r="F18" s="26">
        <f t="shared" si="1"/>
        <v>47</v>
      </c>
      <c r="G18" s="36">
        <v>107524104</v>
      </c>
      <c r="H18" s="26">
        <f t="shared" si="2"/>
        <v>79383</v>
      </c>
      <c r="I18" s="25">
        <v>0</v>
      </c>
      <c r="J18" s="34">
        <f t="shared" si="3"/>
        <v>0</v>
      </c>
      <c r="K18" s="35">
        <v>119</v>
      </c>
      <c r="L18" s="35">
        <v>209</v>
      </c>
    </row>
    <row r="19" spans="1:12" ht="45" customHeight="1" x14ac:dyDescent="0.25">
      <c r="A19" s="24">
        <v>44484</v>
      </c>
      <c r="B19" s="38"/>
      <c r="C19" s="36">
        <v>42873241.200000003</v>
      </c>
      <c r="D19" s="26">
        <f t="shared" si="0"/>
        <v>29662.20000000298</v>
      </c>
      <c r="E19" s="36">
        <v>538125</v>
      </c>
      <c r="F19" s="26">
        <f t="shared" si="1"/>
        <v>57</v>
      </c>
      <c r="G19" s="36">
        <v>107605753</v>
      </c>
      <c r="H19" s="26">
        <f t="shared" si="2"/>
        <v>81649</v>
      </c>
      <c r="I19" s="25">
        <v>0</v>
      </c>
      <c r="J19" s="34">
        <f t="shared" si="3"/>
        <v>0</v>
      </c>
      <c r="K19" s="35">
        <v>114</v>
      </c>
      <c r="L19" s="35">
        <v>117</v>
      </c>
    </row>
    <row r="20" spans="1:12" ht="45" customHeight="1" x14ac:dyDescent="0.25">
      <c r="A20" s="24">
        <v>44485</v>
      </c>
      <c r="B20" s="38"/>
      <c r="C20" s="36">
        <v>42902709.5</v>
      </c>
      <c r="D20" s="26">
        <f t="shared" ref="D20:D32" si="4">IF((C20-C19&lt;0), "0",C20-C19)</f>
        <v>29468.29999999702</v>
      </c>
      <c r="E20" s="36">
        <v>538179</v>
      </c>
      <c r="F20" s="26">
        <f t="shared" ref="F20:F32" si="5">IF((E20-E19&lt;0), "0",E20-E19)</f>
        <v>54</v>
      </c>
      <c r="G20" s="36">
        <v>109527667</v>
      </c>
      <c r="H20" s="26">
        <f t="shared" si="2"/>
        <v>1921914</v>
      </c>
      <c r="I20" s="25">
        <v>0</v>
      </c>
      <c r="J20" s="34">
        <f t="shared" si="3"/>
        <v>0</v>
      </c>
      <c r="K20" s="35">
        <v>129</v>
      </c>
      <c r="L20" s="35">
        <v>186</v>
      </c>
    </row>
    <row r="21" spans="1:12" ht="45" customHeight="1" x14ac:dyDescent="0.25">
      <c r="A21" s="24">
        <v>44486</v>
      </c>
      <c r="B21" s="38"/>
      <c r="C21" s="36">
        <v>42931759.5</v>
      </c>
      <c r="D21" s="26">
        <f t="shared" si="4"/>
        <v>29050</v>
      </c>
      <c r="E21" s="36">
        <v>538234</v>
      </c>
      <c r="F21" s="26">
        <f t="shared" si="5"/>
        <v>55</v>
      </c>
      <c r="G21" s="36">
        <v>109560753</v>
      </c>
      <c r="H21" s="26">
        <f t="shared" si="2"/>
        <v>33086</v>
      </c>
      <c r="I21" s="25">
        <v>0</v>
      </c>
      <c r="J21" s="34">
        <f t="shared" si="3"/>
        <v>0</v>
      </c>
      <c r="K21" s="35">
        <v>118</v>
      </c>
      <c r="L21" s="35">
        <v>233</v>
      </c>
    </row>
    <row r="22" spans="1:12" ht="45" customHeight="1" x14ac:dyDescent="0.25">
      <c r="A22" s="24">
        <v>44487</v>
      </c>
      <c r="B22" s="38"/>
      <c r="C22" s="36">
        <v>42961144.200000003</v>
      </c>
      <c r="D22" s="26">
        <f t="shared" si="4"/>
        <v>29384.70000000298</v>
      </c>
      <c r="E22" s="36">
        <v>538282</v>
      </c>
      <c r="F22" s="26">
        <f t="shared" si="5"/>
        <v>48</v>
      </c>
      <c r="G22" s="36">
        <v>109594237</v>
      </c>
      <c r="H22" s="26">
        <f t="shared" si="2"/>
        <v>33484</v>
      </c>
      <c r="I22" s="25">
        <v>0</v>
      </c>
      <c r="J22" s="34">
        <f t="shared" si="3"/>
        <v>0</v>
      </c>
      <c r="K22" s="35">
        <v>121</v>
      </c>
      <c r="L22" s="35">
        <v>82</v>
      </c>
    </row>
    <row r="23" spans="1:12" ht="45" customHeight="1" x14ac:dyDescent="0.25">
      <c r="A23" s="24">
        <v>44488</v>
      </c>
      <c r="B23" s="38"/>
      <c r="C23" s="36">
        <v>42992698.100000001</v>
      </c>
      <c r="D23" s="26">
        <f t="shared" si="4"/>
        <v>31553.89999999851</v>
      </c>
      <c r="E23" s="36">
        <v>538324</v>
      </c>
      <c r="F23" s="26">
        <f t="shared" si="5"/>
        <v>42</v>
      </c>
      <c r="G23" s="36">
        <v>109638378</v>
      </c>
      <c r="H23" s="26">
        <f t="shared" si="2"/>
        <v>44141</v>
      </c>
      <c r="I23" s="25">
        <v>0</v>
      </c>
      <c r="J23" s="34">
        <f t="shared" si="3"/>
        <v>0</v>
      </c>
      <c r="K23" s="35">
        <v>101</v>
      </c>
      <c r="L23" s="35">
        <v>61</v>
      </c>
    </row>
    <row r="24" spans="1:12" ht="45" customHeight="1" x14ac:dyDescent="0.25">
      <c r="A24" s="24">
        <v>44489</v>
      </c>
      <c r="B24" s="38"/>
      <c r="C24" s="36">
        <v>43021047.100000001</v>
      </c>
      <c r="D24" s="26">
        <f t="shared" si="4"/>
        <v>28349</v>
      </c>
      <c r="E24" s="36">
        <v>538365</v>
      </c>
      <c r="F24" s="26">
        <f t="shared" si="5"/>
        <v>41</v>
      </c>
      <c r="G24" s="36">
        <v>109683565</v>
      </c>
      <c r="H24" s="26">
        <f t="shared" si="2"/>
        <v>45187</v>
      </c>
      <c r="I24" s="25">
        <v>0</v>
      </c>
      <c r="J24" s="34">
        <f t="shared" si="3"/>
        <v>0</v>
      </c>
      <c r="K24" s="35">
        <v>65</v>
      </c>
      <c r="L24" s="35">
        <v>87</v>
      </c>
    </row>
    <row r="25" spans="1:12" ht="45" customHeight="1" x14ac:dyDescent="0.25">
      <c r="A25" s="24">
        <v>44490</v>
      </c>
      <c r="B25" s="38"/>
      <c r="C25" s="36">
        <v>43053083.799999997</v>
      </c>
      <c r="D25" s="26">
        <f t="shared" si="4"/>
        <v>32036.69999999553</v>
      </c>
      <c r="E25" s="36">
        <v>538414</v>
      </c>
      <c r="F25" s="26">
        <f t="shared" si="5"/>
        <v>49</v>
      </c>
      <c r="G25" s="36">
        <v>109726135</v>
      </c>
      <c r="H25" s="26">
        <f t="shared" si="2"/>
        <v>42570</v>
      </c>
      <c r="I25" s="25">
        <v>0</v>
      </c>
      <c r="J25" s="34">
        <f t="shared" si="3"/>
        <v>0</v>
      </c>
      <c r="K25" s="35">
        <v>76</v>
      </c>
      <c r="L25" s="35">
        <v>133</v>
      </c>
    </row>
    <row r="26" spans="1:12" ht="45" customHeight="1" x14ac:dyDescent="0.25">
      <c r="A26" s="24">
        <v>44491</v>
      </c>
      <c r="B26" s="38"/>
      <c r="C26" s="36">
        <v>43085085.200000003</v>
      </c>
      <c r="D26" s="26">
        <f t="shared" si="4"/>
        <v>32001.40000000596</v>
      </c>
      <c r="E26" s="36">
        <v>538480</v>
      </c>
      <c r="F26" s="26">
        <f t="shared" si="5"/>
        <v>66</v>
      </c>
      <c r="G26" s="36">
        <v>109751128</v>
      </c>
      <c r="H26" s="26">
        <f t="shared" si="2"/>
        <v>24993</v>
      </c>
      <c r="I26" s="25">
        <v>0</v>
      </c>
      <c r="J26" s="34">
        <f t="shared" si="3"/>
        <v>0</v>
      </c>
      <c r="K26" s="35">
        <v>116</v>
      </c>
      <c r="L26" s="35">
        <v>195</v>
      </c>
    </row>
    <row r="27" spans="1:12" ht="45" customHeight="1" x14ac:dyDescent="0.25">
      <c r="A27" s="24">
        <v>44492</v>
      </c>
      <c r="B27" s="38"/>
      <c r="C27" s="36">
        <v>43116952.5</v>
      </c>
      <c r="D27" s="26">
        <f t="shared" si="4"/>
        <v>31867.29999999702</v>
      </c>
      <c r="E27" s="36">
        <v>538537</v>
      </c>
      <c r="F27" s="26">
        <f t="shared" si="5"/>
        <v>57</v>
      </c>
      <c r="G27" s="36">
        <v>109774487</v>
      </c>
      <c r="H27" s="26">
        <f t="shared" si="2"/>
        <v>23359</v>
      </c>
      <c r="I27" s="25">
        <v>0</v>
      </c>
      <c r="J27" s="34">
        <f t="shared" si="3"/>
        <v>0</v>
      </c>
      <c r="K27" s="35">
        <v>164</v>
      </c>
      <c r="L27" s="35">
        <v>384</v>
      </c>
    </row>
    <row r="28" spans="1:12" ht="45" customHeight="1" x14ac:dyDescent="0.25">
      <c r="A28" s="24">
        <v>44493</v>
      </c>
      <c r="B28" s="38"/>
      <c r="C28" s="36">
        <v>43148913.100000001</v>
      </c>
      <c r="D28" s="26">
        <f t="shared" si="4"/>
        <v>31960.60000000149</v>
      </c>
      <c r="E28" s="36">
        <v>538599</v>
      </c>
      <c r="F28" s="26">
        <f t="shared" si="5"/>
        <v>62</v>
      </c>
      <c r="G28" s="36">
        <v>109798667</v>
      </c>
      <c r="H28" s="26">
        <f t="shared" si="2"/>
        <v>24180</v>
      </c>
      <c r="I28" s="25">
        <v>0</v>
      </c>
      <c r="J28" s="34">
        <f t="shared" si="3"/>
        <v>0</v>
      </c>
      <c r="K28" s="35">
        <v>116</v>
      </c>
      <c r="L28" s="35">
        <v>372</v>
      </c>
    </row>
    <row r="29" spans="1:12" ht="45" customHeight="1" x14ac:dyDescent="0.25">
      <c r="A29" s="24">
        <v>44494</v>
      </c>
      <c r="B29" s="38"/>
      <c r="C29" s="36">
        <v>43183688.100000001</v>
      </c>
      <c r="D29" s="26">
        <f t="shared" si="4"/>
        <v>34775</v>
      </c>
      <c r="E29" s="36">
        <v>538654</v>
      </c>
      <c r="F29" s="26">
        <f t="shared" si="5"/>
        <v>55</v>
      </c>
      <c r="G29" s="36">
        <v>109827768</v>
      </c>
      <c r="H29" s="26">
        <f t="shared" si="2"/>
        <v>29101</v>
      </c>
      <c r="I29" s="25">
        <v>0</v>
      </c>
      <c r="J29" s="34">
        <f t="shared" si="3"/>
        <v>0</v>
      </c>
      <c r="K29" s="35">
        <v>120</v>
      </c>
      <c r="L29" s="35">
        <v>164</v>
      </c>
    </row>
    <row r="30" spans="1:12" ht="45" customHeight="1" x14ac:dyDescent="0.25">
      <c r="A30" s="24">
        <v>44495</v>
      </c>
      <c r="B30" s="38"/>
      <c r="C30" s="36">
        <v>43212988</v>
      </c>
      <c r="D30" s="26">
        <f t="shared" si="4"/>
        <v>29299.89999999851</v>
      </c>
      <c r="E30" s="36">
        <v>538700</v>
      </c>
      <c r="F30" s="26">
        <f t="shared" si="5"/>
        <v>46</v>
      </c>
      <c r="G30" s="36">
        <v>109857737</v>
      </c>
      <c r="H30" s="26">
        <f t="shared" si="2"/>
        <v>29969</v>
      </c>
      <c r="I30" s="25">
        <v>0</v>
      </c>
      <c r="J30" s="34">
        <f t="shared" si="3"/>
        <v>0</v>
      </c>
      <c r="K30" s="35">
        <v>146</v>
      </c>
      <c r="L30" s="35">
        <v>142</v>
      </c>
    </row>
    <row r="31" spans="1:12" ht="45" customHeight="1" x14ac:dyDescent="0.25">
      <c r="A31" s="24">
        <v>44496</v>
      </c>
      <c r="B31" s="38"/>
      <c r="C31" s="36">
        <v>43243921.200000003</v>
      </c>
      <c r="D31" s="26">
        <f t="shared" si="4"/>
        <v>30933.20000000298</v>
      </c>
      <c r="E31" s="36">
        <v>538742</v>
      </c>
      <c r="F31" s="26">
        <f t="shared" si="5"/>
        <v>42</v>
      </c>
      <c r="G31" s="36">
        <v>109893112</v>
      </c>
      <c r="H31" s="26">
        <f t="shared" si="2"/>
        <v>35375</v>
      </c>
      <c r="I31" s="25">
        <v>0</v>
      </c>
      <c r="J31" s="34">
        <f t="shared" si="3"/>
        <v>0</v>
      </c>
      <c r="K31" s="35">
        <v>140</v>
      </c>
      <c r="L31" s="35">
        <v>171</v>
      </c>
    </row>
    <row r="32" spans="1:12" ht="45" customHeight="1" x14ac:dyDescent="0.25">
      <c r="A32" s="24">
        <v>44497</v>
      </c>
      <c r="B32" s="38"/>
      <c r="C32" s="36">
        <v>43276456</v>
      </c>
      <c r="D32" s="26">
        <f t="shared" si="4"/>
        <v>32534.79999999702</v>
      </c>
      <c r="E32" s="36">
        <v>538789</v>
      </c>
      <c r="F32" s="26">
        <f t="shared" si="5"/>
        <v>47</v>
      </c>
      <c r="G32" s="36">
        <v>109928753</v>
      </c>
      <c r="H32" s="26">
        <f t="shared" si="2"/>
        <v>35641</v>
      </c>
      <c r="I32" s="25">
        <v>0</v>
      </c>
      <c r="J32" s="34">
        <f t="shared" si="3"/>
        <v>0</v>
      </c>
      <c r="K32" s="35">
        <v>145</v>
      </c>
      <c r="L32" s="35">
        <v>188</v>
      </c>
    </row>
    <row r="33" spans="1:12" ht="45" customHeight="1" x14ac:dyDescent="0.25">
      <c r="A33" s="24">
        <v>44498</v>
      </c>
      <c r="B33" s="38"/>
      <c r="C33" s="36">
        <v>43309341.5</v>
      </c>
      <c r="D33" s="26">
        <f t="shared" ref="D33:D34" si="6">IF((C33-C32&lt;0), "0",C33-C32)</f>
        <v>32885.5</v>
      </c>
      <c r="E33" s="36">
        <v>538849</v>
      </c>
      <c r="F33" s="26">
        <f t="shared" ref="F33:F34" si="7">IF((E33-E32&lt;0), "0",E33-E32)</f>
        <v>60</v>
      </c>
      <c r="G33" s="36">
        <v>109968573</v>
      </c>
      <c r="H33" s="26">
        <f t="shared" ref="H33:H34" si="8">IF((G33-G32&lt;0), "0",G33-G32)</f>
        <v>39820</v>
      </c>
      <c r="I33" s="25">
        <v>0</v>
      </c>
      <c r="J33" s="34">
        <f t="shared" ref="J33:J34" si="9">IF((I33-I32&lt;0), "0",I33-I32)</f>
        <v>0</v>
      </c>
      <c r="K33" s="35">
        <v>223</v>
      </c>
      <c r="L33" s="35">
        <v>241</v>
      </c>
    </row>
    <row r="34" spans="1:12" ht="45" customHeight="1" x14ac:dyDescent="0.25">
      <c r="A34" s="24">
        <v>44499</v>
      </c>
      <c r="B34" s="38"/>
      <c r="C34" s="36">
        <v>43344518.5</v>
      </c>
      <c r="D34" s="26">
        <f t="shared" si="6"/>
        <v>35177</v>
      </c>
      <c r="E34" s="36">
        <v>538914</v>
      </c>
      <c r="F34" s="26">
        <f t="shared" si="7"/>
        <v>65</v>
      </c>
      <c r="G34" s="36">
        <v>110007042</v>
      </c>
      <c r="H34" s="26">
        <f t="shared" si="8"/>
        <v>38469</v>
      </c>
      <c r="I34" s="25">
        <v>0</v>
      </c>
      <c r="J34" s="34">
        <f t="shared" si="9"/>
        <v>0</v>
      </c>
      <c r="K34" s="35">
        <v>220</v>
      </c>
      <c r="L34" s="35">
        <v>429</v>
      </c>
    </row>
    <row r="35" spans="1:12" ht="45" customHeight="1" x14ac:dyDescent="0.25">
      <c r="A35" s="24">
        <v>44500</v>
      </c>
      <c r="B35" s="38"/>
      <c r="C35" s="36">
        <v>43378568.100000001</v>
      </c>
      <c r="D35" s="26">
        <f t="shared" ref="D35" si="10">IF((C35-C34&lt;0), "0",C35-C34)</f>
        <v>34049.60000000149</v>
      </c>
      <c r="E35" s="36">
        <v>538974</v>
      </c>
      <c r="F35" s="26">
        <f t="shared" ref="F35" si="11">IF((E35-E34&lt;0), "0",E35-E34)</f>
        <v>60</v>
      </c>
      <c r="G35" s="36">
        <v>110045565</v>
      </c>
      <c r="H35" s="26">
        <f t="shared" ref="H35" si="12">IF((G35-G34&lt;0), "0",G35-G34)</f>
        <v>38523</v>
      </c>
      <c r="I35" s="25">
        <v>0</v>
      </c>
      <c r="J35" s="34">
        <f t="shared" ref="J35" si="13">IF((I35-I34&lt;0), "0",I35-I34)</f>
        <v>0</v>
      </c>
      <c r="K35" s="35">
        <v>185</v>
      </c>
      <c r="L35" s="35">
        <v>477</v>
      </c>
    </row>
    <row r="44" spans="1:12" ht="15.75" customHeight="1" x14ac:dyDescent="0.25">
      <c r="C44" s="33"/>
    </row>
  </sheetData>
  <mergeCells count="6">
    <mergeCell ref="I1:J1"/>
    <mergeCell ref="C2:D2"/>
    <mergeCell ref="E2:F2"/>
    <mergeCell ref="I2:J2"/>
    <mergeCell ref="G2:H2"/>
    <mergeCell ref="B1:B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2021-11-04T02:58:19Z</dcterms:modified>
  <cp:category/>
  <cp:contentStatus/>
</cp:coreProperties>
</file>