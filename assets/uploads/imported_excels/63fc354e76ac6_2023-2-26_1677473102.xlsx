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35" i="119" l="1"/>
  <c r="E32" i="117" s="1"/>
  <c r="F35" i="119"/>
  <c r="G32" i="117" s="1"/>
  <c r="H35" i="119"/>
  <c r="J35" i="119"/>
  <c r="K32" i="117" s="1"/>
  <c r="B32" i="117"/>
  <c r="I32" i="117"/>
  <c r="M32" i="117"/>
  <c r="N32" i="117"/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<sst xmlns="http://schemas.openxmlformats.org/spreadsheetml/2006/main" count="61" uniqueCount="29">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</sst>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12</v>
      </c>
      <c r="D2" s="7">
        <v>2022</v>
      </c>
      <c r="E2" s="9">
        <f>'Macao Daily'!D5</f>
        <v>32923</v>
      </c>
      <c r="F2" s="30">
        <v>1.2425999999999999</v>
      </c>
      <c r="G2" s="9">
        <f>'Macao Daily'!F5</f>
        <v>155.77419354836456</v>
      </c>
      <c r="H2" s="30">
        <v>6.09</v>
      </c>
      <c r="I2" s="9">
        <f>'Macao Daily'!H5</f>
        <v>24109</v>
      </c>
      <c r="J2" s="30">
        <v>0.22</v>
      </c>
      <c r="K2" s="9">
        <f>'Macao Daily'!J5</f>
        <v>101.88336101174355</v>
      </c>
      <c r="L2" s="30">
        <v>7.7615999999999996</v>
      </c>
      <c r="M2" s="9">
        <f>'Macao Daily'!K5</f>
        <v>80</v>
      </c>
      <c r="N2" s="9">
        <f>'Macao Daily'!L5</f>
        <v>151</v>
      </c>
    </row>
    <row r="3" spans="1:14" ht="15" x14ac:dyDescent="0.25">
      <c r="A3" s="6" t="s">
        <v>13</v>
      </c>
      <c r="B3" s="7">
        <f>B2+1</f>
        <v>2</v>
      </c>
      <c r="C3" s="8">
        <v>12</v>
      </c>
      <c r="D3" s="7">
        <v>2022</v>
      </c>
      <c r="E3" s="9">
        <f>'Macao Daily'!D6</f>
        <v>34642</v>
      </c>
      <c r="F3" s="30">
        <v>1.2425999999999999</v>
      </c>
      <c r="G3" s="9">
        <f>'Macao Daily'!F6</f>
        <v>163.77419354836456</v>
      </c>
      <c r="H3" s="30">
        <v>6.09</v>
      </c>
      <c r="I3" s="9">
        <f>'Macao Daily'!H6</f>
        <v>19227</v>
      </c>
      <c r="J3" s="30">
        <v>0.22</v>
      </c>
      <c r="K3" s="9">
        <f>'Macao Daily'!J6</f>
        <v>101.05037046503276</v>
      </c>
      <c r="L3" s="30">
        <v>7.7615999999999996</v>
      </c>
      <c r="M3" s="9">
        <f>'Macao Daily'!K6</f>
        <v>105</v>
      </c>
      <c r="N3" s="9">
        <f>'Macao Daily'!L6</f>
        <v>427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12</v>
      </c>
      <c r="D4" s="7">
        <v>2022</v>
      </c>
      <c r="E4" s="9">
        <f>'Macao Daily'!D7</f>
        <v>33424</v>
      </c>
      <c r="F4" s="30">
        <v>1.2425999999999999</v>
      </c>
      <c r="G4" s="9">
        <f>'Macao Daily'!F7</f>
        <v>162.77419354836456</v>
      </c>
      <c r="H4" s="30">
        <v>6.09</v>
      </c>
      <c r="I4" s="9">
        <f>'Macao Daily'!H7</f>
        <v>21906</v>
      </c>
      <c r="J4" s="30">
        <v>0.22</v>
      </c>
      <c r="K4" s="9">
        <f>'Macao Daily'!J7</f>
        <v>107.82919008680619</v>
      </c>
      <c r="L4" s="30">
        <v>7.7615999999999996</v>
      </c>
      <c r="M4" s="9">
        <f>'Macao Daily'!K7</f>
        <v>115</v>
      </c>
      <c r="N4" s="9">
        <f>'Macao Daily'!L7</f>
        <v>694</v>
      </c>
    </row>
    <row r="5" spans="1:14" ht="15" x14ac:dyDescent="0.25">
      <c r="A5" s="6" t="s">
        <v>13</v>
      </c>
      <c r="B5" s="7">
        <f t="shared" si="0"/>
        <v>4</v>
      </c>
      <c r="C5" s="8">
        <v>12</v>
      </c>
      <c r="D5" s="7">
        <v>2022</v>
      </c>
      <c r="E5" s="9">
        <f>'Macao Daily'!D8</f>
        <v>32944</v>
      </c>
      <c r="F5" s="30">
        <v>1.2425999999999999</v>
      </c>
      <c r="G5" s="9">
        <f>'Macao Daily'!F8</f>
        <v>164.77419354836456</v>
      </c>
      <c r="H5" s="30">
        <v>6.09</v>
      </c>
      <c r="I5" s="9">
        <f>'Macao Daily'!H8</f>
        <v>25352</v>
      </c>
      <c r="J5" s="30">
        <v>0.22</v>
      </c>
      <c r="K5" s="9">
        <f>'Macao Daily'!J8</f>
        <v>99.642903679050505</v>
      </c>
      <c r="L5" s="30">
        <v>7.7615999999999996</v>
      </c>
      <c r="M5" s="9">
        <f>'Macao Daily'!K8</f>
        <v>102</v>
      </c>
      <c r="N5" s="9">
        <f>'Macao Daily'!L8</f>
        <v>606</v>
      </c>
    </row>
    <row r="6" spans="1:14" ht="15" x14ac:dyDescent="0.25">
      <c r="A6" s="6" t="s">
        <v>13</v>
      </c>
      <c r="B6" s="7">
        <f t="shared" si="0"/>
        <v>5</v>
      </c>
      <c r="C6" s="8">
        <v>12</v>
      </c>
      <c r="D6" s="7">
        <v>2022</v>
      </c>
      <c r="E6" s="9">
        <f>'Macao Daily'!D9</f>
        <v>30302</v>
      </c>
      <c r="F6" s="30">
        <v>1.2425999999999999</v>
      </c>
      <c r="G6" s="9">
        <f>'Macao Daily'!F9</f>
        <v>150.77419354836456</v>
      </c>
      <c r="H6" s="30">
        <v>6.09</v>
      </c>
      <c r="I6" s="9">
        <f>'Macao Daily'!H9</f>
        <v>19140</v>
      </c>
      <c r="J6" s="30">
        <v>0.22</v>
      </c>
      <c r="K6" s="9">
        <f>'Macao Daily'!J9</f>
        <v>93.725798415951431</v>
      </c>
      <c r="L6" s="30">
        <v>7.7615999999999996</v>
      </c>
      <c r="M6" s="9">
        <f>'Macao Daily'!K9</f>
        <v>79</v>
      </c>
      <c r="N6" s="9">
        <f>'Macao Daily'!L9</f>
        <v>123</v>
      </c>
    </row>
    <row r="7" spans="1:14" ht="15" x14ac:dyDescent="0.25">
      <c r="A7" s="6" t="s">
        <v>13</v>
      </c>
      <c r="B7" s="7">
        <f t="shared" si="0"/>
        <v>6</v>
      </c>
      <c r="C7" s="8">
        <v>12</v>
      </c>
      <c r="D7" s="7">
        <v>2022</v>
      </c>
      <c r="E7" s="9">
        <f>'Macao Daily'!D10</f>
        <v>28912</v>
      </c>
      <c r="F7" s="30">
        <v>1.2425999999999999</v>
      </c>
      <c r="G7" s="9">
        <f>'Macao Daily'!F10</f>
        <v>133.77419354836456</v>
      </c>
      <c r="H7" s="30">
        <v>6.09</v>
      </c>
      <c r="I7" s="9">
        <f>'Macao Daily'!H10</f>
        <v>16828</v>
      </c>
      <c r="J7" s="30">
        <v>0.22</v>
      </c>
      <c r="K7" s="9">
        <f>'Macao Daily'!J10</f>
        <v>82.351168880937621</v>
      </c>
      <c r="L7" s="30">
        <v>7.7615999999999996</v>
      </c>
      <c r="M7" s="9">
        <f>'Macao Daily'!K10</f>
        <v>72</v>
      </c>
      <c r="N7" s="9">
        <f>'Macao Daily'!L10</f>
        <v>91</v>
      </c>
    </row>
    <row r="8" spans="1:14" ht="15" x14ac:dyDescent="0.25">
      <c r="A8" s="6" t="s">
        <v>13</v>
      </c>
      <c r="B8" s="7">
        <f t="shared" si="0"/>
        <v>7</v>
      </c>
      <c r="C8" s="8">
        <v>12</v>
      </c>
      <c r="D8" s="7">
        <v>2022</v>
      </c>
      <c r="E8" s="9">
        <f>'Macao Daily'!D11</f>
        <v>25362</v>
      </c>
      <c r="F8" s="30">
        <v>1.2425999999999999</v>
      </c>
      <c r="G8" s="9">
        <f>'Macao Daily'!F11</f>
        <v>138.77419354836456</v>
      </c>
      <c r="H8" s="30">
        <v>6.09</v>
      </c>
      <c r="I8" s="9">
        <f>'Macao Daily'!H11</f>
        <v>19899</v>
      </c>
      <c r="J8" s="30">
        <v>0.22</v>
      </c>
      <c r="K8" s="9">
        <f>'Macao Daily'!J11</f>
        <v>82.035206949338317</v>
      </c>
      <c r="L8" s="30">
        <v>7.7615999999999996</v>
      </c>
      <c r="M8" s="9">
        <f>'Macao Daily'!K11</f>
        <v>72</v>
      </c>
      <c r="N8" s="9">
        <f>'Macao Daily'!L11</f>
        <v>116</v>
      </c>
    </row>
    <row r="9" spans="1:14" ht="15" x14ac:dyDescent="0.25">
      <c r="A9" s="6" t="s">
        <v>13</v>
      </c>
      <c r="B9" s="7">
        <f t="shared" si="0"/>
        <v>8</v>
      </c>
      <c r="C9" s="8">
        <v>12</v>
      </c>
      <c r="D9" s="7">
        <v>2022</v>
      </c>
      <c r="E9" s="9">
        <f>'Macao Daily'!D12</f>
        <v>35380</v>
      </c>
      <c r="F9" s="30">
        <v>1.2425999999999999</v>
      </c>
      <c r="G9" s="9">
        <f>'Macao Daily'!F12</f>
        <v>140.77419354836456</v>
      </c>
      <c r="H9" s="30">
        <v>6.09</v>
      </c>
      <c r="I9" s="9">
        <f>'Macao Daily'!H12</f>
        <v>23383</v>
      </c>
      <c r="J9" s="30">
        <v>0.22</v>
      </c>
      <c r="K9" s="9">
        <f>'Macao Daily'!J12</f>
        <v>2104.0766734797508</v>
      </c>
      <c r="L9" s="30">
        <v>7.7615999999999996</v>
      </c>
      <c r="M9" s="9">
        <f>'Macao Daily'!K12</f>
        <v>92</v>
      </c>
      <c r="N9" s="9">
        <f>'Macao Daily'!L12</f>
        <v>139</v>
      </c>
    </row>
    <row r="10" spans="1:14" ht="15" x14ac:dyDescent="0.25">
      <c r="A10" s="6" t="s">
        <v>13</v>
      </c>
      <c r="B10" s="7">
        <f t="shared" si="0"/>
        <v>9</v>
      </c>
      <c r="C10" s="8">
        <v>12</v>
      </c>
      <c r="D10" s="7">
        <v>2022</v>
      </c>
      <c r="E10" s="9">
        <f>'Macao Daily'!D13</f>
        <v>31855</v>
      </c>
      <c r="F10" s="30">
        <v>1.2425999999999999</v>
      </c>
      <c r="G10" s="9">
        <f>'Macao Daily'!F13</f>
        <v>156.77419354836456</v>
      </c>
      <c r="H10" s="30">
        <v>6.09</v>
      </c>
      <c r="I10" s="9">
        <f>'Macao Daily'!H13</f>
        <v>24218</v>
      </c>
      <c r="J10" s="30">
        <v>0.22</v>
      </c>
      <c r="K10" s="9">
        <f>'Macao Daily'!J13</f>
        <v>97.63223684206605</v>
      </c>
      <c r="L10" s="30">
        <v>7.7615999999999996</v>
      </c>
      <c r="M10" s="9">
        <f>'Macao Daily'!K13</f>
        <v>119</v>
      </c>
      <c r="N10" s="9">
        <f>'Macao Daily'!L13</f>
        <v>329</v>
      </c>
    </row>
    <row r="11" spans="1:14" ht="15" x14ac:dyDescent="0.25">
      <c r="A11" s="6" t="s">
        <v>13</v>
      </c>
      <c r="B11" s="7">
        <f t="shared" si="0"/>
        <v>10</v>
      </c>
      <c r="C11" s="8">
        <v>12</v>
      </c>
      <c r="D11" s="7">
        <v>2022</v>
      </c>
      <c r="E11" s="9">
        <f>'Macao Daily'!D14</f>
        <v>21671</v>
      </c>
      <c r="F11" s="30">
        <v>1.2425999999999999</v>
      </c>
      <c r="G11" s="9">
        <f>'Macao Daily'!F14</f>
        <v>162.77419354836456</v>
      </c>
      <c r="H11" s="30">
        <v>6.09</v>
      </c>
      <c r="I11" s="9">
        <f>'Macao Daily'!H14</f>
        <v>22899</v>
      </c>
      <c r="J11" s="30">
        <v>0.22</v>
      </c>
      <c r="K11" s="9">
        <f>'Macao Daily'!J14</f>
        <v>105.44511369452812</v>
      </c>
      <c r="L11" s="30">
        <v>7.7615999999999996</v>
      </c>
      <c r="M11" s="9">
        <f>'Macao Daily'!K14</f>
        <v>121</v>
      </c>
      <c r="N11" s="9">
        <f>'Macao Daily'!L14</f>
        <v>621</v>
      </c>
    </row>
    <row r="12" spans="1:14" ht="15" x14ac:dyDescent="0.25">
      <c r="A12" s="6" t="s">
        <v>13</v>
      </c>
      <c r="B12" s="7">
        <f t="shared" si="0"/>
        <v>11</v>
      </c>
      <c r="C12" s="8">
        <v>12</v>
      </c>
      <c r="D12" s="7">
        <v>2022</v>
      </c>
      <c r="E12" s="9">
        <f>'Macao Daily'!D15</f>
        <v>41556</v>
      </c>
      <c r="F12" s="30">
        <v>1.2425999999999999</v>
      </c>
      <c r="G12" s="9">
        <f>'Macao Daily'!F15</f>
        <v>154.77419354836456</v>
      </c>
      <c r="H12" s="30">
        <v>6.09</v>
      </c>
      <c r="I12" s="9">
        <f>'Macao Daily'!H15</f>
        <v>17890</v>
      </c>
      <c r="J12" s="30">
        <v>0.22</v>
      </c>
      <c r="K12" s="9">
        <f>'Macao Daily'!J15</f>
        <v>101.22271333681419</v>
      </c>
      <c r="L12" s="30">
        <v>7.7615999999999996</v>
      </c>
      <c r="M12" s="9">
        <f>'Macao Daily'!K15</f>
        <v>83</v>
      </c>
      <c r="N12" s="9">
        <f>'Macao Daily'!L15</f>
        <v>421</v>
      </c>
    </row>
    <row r="13" spans="1:14" ht="15" x14ac:dyDescent="0.25">
      <c r="A13" s="6" t="s">
        <v>13</v>
      </c>
      <c r="B13" s="7">
        <f t="shared" si="0"/>
        <v>12</v>
      </c>
      <c r="C13" s="8">
        <v>12</v>
      </c>
      <c r="D13" s="7">
        <v>2022</v>
      </c>
      <c r="E13" s="9">
        <f>'Macao Daily'!D16</f>
        <v>29384</v>
      </c>
      <c r="F13" s="30">
        <v>1.2425999999999999</v>
      </c>
      <c r="G13" s="9">
        <f>'Macao Daily'!F16</f>
        <v>153.77419354836456</v>
      </c>
      <c r="H13" s="30">
        <v>6.09</v>
      </c>
      <c r="I13" s="9">
        <f>'Macao Daily'!H16</f>
        <v>17946</v>
      </c>
      <c r="J13" s="30">
        <v>0.22</v>
      </c>
      <c r="K13" s="9">
        <f>'Macao Daily'!J16</f>
        <v>95.219436637824401</v>
      </c>
      <c r="L13" s="30">
        <v>7.7615999999999996</v>
      </c>
      <c r="M13" s="9">
        <f>'Macao Daily'!K16</f>
        <v>116</v>
      </c>
      <c r="N13" s="9">
        <f>'Macao Daily'!L16</f>
        <v>158</v>
      </c>
    </row>
    <row r="14" spans="1:14" ht="15" x14ac:dyDescent="0.25">
      <c r="A14" s="6" t="s">
        <v>13</v>
      </c>
      <c r="B14" s="7">
        <f t="shared" si="0"/>
        <v>13</v>
      </c>
      <c r="C14" s="8">
        <v>12</v>
      </c>
      <c r="D14" s="7">
        <v>2022</v>
      </c>
      <c r="E14" s="9">
        <f>'Macao Daily'!D17</f>
        <v>30694</v>
      </c>
      <c r="F14" s="30">
        <v>1.2425999999999999</v>
      </c>
      <c r="G14" s="9">
        <f>'Macao Daily'!F17</f>
        <v>136.77419354836456</v>
      </c>
      <c r="H14" s="30">
        <v>6.09</v>
      </c>
      <c r="I14" s="9">
        <f>'Macao Daily'!H17</f>
        <v>15476</v>
      </c>
      <c r="J14" s="30">
        <v>0.22</v>
      </c>
      <c r="K14" s="9">
        <f>'Macao Daily'!J17</f>
        <v>102.25677056727</v>
      </c>
      <c r="L14" s="30">
        <v>7.7615999999999996</v>
      </c>
      <c r="M14" s="9">
        <f>'Macao Daily'!K17</f>
        <v>124</v>
      </c>
      <c r="N14" s="9">
        <f>'Macao Daily'!L17</f>
        <v>160</v>
      </c>
    </row>
    <row r="15" spans="1:14" ht="15" x14ac:dyDescent="0.25">
      <c r="A15" s="6" t="s">
        <v>13</v>
      </c>
      <c r="B15" s="7">
        <f t="shared" si="0"/>
        <v>14</v>
      </c>
      <c r="C15" s="8">
        <v>12</v>
      </c>
      <c r="D15" s="7">
        <v>2022</v>
      </c>
      <c r="E15" s="9">
        <f>'Macao Daily'!D18</f>
        <v>30891</v>
      </c>
      <c r="F15" s="30">
        <v>1.2425999999999999</v>
      </c>
      <c r="G15" s="9">
        <f>'Macao Daily'!F18</f>
        <v>144.77419354836456</v>
      </c>
      <c r="H15" s="30">
        <v>6.09</v>
      </c>
      <c r="I15" s="9">
        <f>'Macao Daily'!H18</f>
        <v>13430</v>
      </c>
      <c r="J15" s="30">
        <v>0.22</v>
      </c>
      <c r="K15" s="9">
        <f>'Macao Daily'!J18</f>
        <v>94.386446090880781</v>
      </c>
      <c r="L15" s="30">
        <v>7.7615999999999996</v>
      </c>
      <c r="M15" s="9">
        <f>'Macao Daily'!K18</f>
        <v>135</v>
      </c>
      <c r="N15" s="9">
        <f>'Macao Daily'!L18</f>
        <v>138</v>
      </c>
    </row>
    <row r="16" spans="1:14" ht="15" x14ac:dyDescent="0.25">
      <c r="A16" s="6" t="s">
        <v>13</v>
      </c>
      <c r="B16" s="7">
        <f t="shared" si="0"/>
        <v>15</v>
      </c>
      <c r="C16" s="8">
        <v>12</v>
      </c>
      <c r="D16" s="7">
        <v>2022</v>
      </c>
      <c r="E16" s="9">
        <f>'Macao Daily'!D19</f>
        <v>32164</v>
      </c>
      <c r="F16" s="30">
        <v>1.2425999999999999</v>
      </c>
      <c r="G16" s="9">
        <f>'Macao Daily'!F19</f>
        <v>151.77419354836456</v>
      </c>
      <c r="H16" s="30">
        <v>6.09</v>
      </c>
      <c r="I16" s="9">
        <f>'Macao Daily'!H19</f>
        <v>15078</v>
      </c>
      <c r="J16" s="30">
        <v>0.22</v>
      </c>
      <c r="K16" s="9">
        <f>'Macao Daily'!J19</f>
        <v>95.276884261518717</v>
      </c>
      <c r="L16" s="30">
        <v>7.7615999999999996</v>
      </c>
      <c r="M16" s="9">
        <f>'Macao Daily'!K19</f>
        <v>152</v>
      </c>
      <c r="N16" s="9">
        <f>'Macao Daily'!L19</f>
        <v>441</v>
      </c>
    </row>
    <row r="17" spans="1:14" ht="15" x14ac:dyDescent="0.25">
      <c r="A17" s="6" t="s">
        <v>13</v>
      </c>
      <c r="B17" s="7">
        <f t="shared" si="0"/>
        <v>16</v>
      </c>
      <c r="C17" s="8">
        <v>12</v>
      </c>
      <c r="D17" s="7">
        <v>2022</v>
      </c>
      <c r="E17" s="9">
        <f>'Macao Daily'!D20</f>
        <v>34620</v>
      </c>
      <c r="F17" s="30">
        <v>1.2425999999999999</v>
      </c>
      <c r="G17" s="9">
        <f>'Macao Daily'!F20</f>
        <v>171.77419354836456</v>
      </c>
      <c r="H17" s="30">
        <v>6.09</v>
      </c>
      <c r="I17" s="9">
        <f>'Macao Daily'!H20</f>
        <v>19109</v>
      </c>
      <c r="J17" s="30">
        <v>0.22</v>
      </c>
      <c r="K17" s="9">
        <f>'Macao Daily'!J20</f>
        <v>103.92275166069157</v>
      </c>
      <c r="L17" s="30">
        <v>7.7615999999999996</v>
      </c>
      <c r="M17" s="9">
        <f>'Macao Daily'!K20</f>
        <v>198</v>
      </c>
      <c r="N17" s="9">
        <f>'Macao Daily'!L20</f>
        <v>558</v>
      </c>
    </row>
    <row r="18" spans="1:14" ht="15" x14ac:dyDescent="0.25">
      <c r="A18" s="6" t="s">
        <v>13</v>
      </c>
      <c r="B18" s="7">
        <f t="shared" si="0"/>
        <v>17</v>
      </c>
      <c r="C18" s="8">
        <v>12</v>
      </c>
      <c r="D18" s="7">
        <v>2022</v>
      </c>
      <c r="E18" s="9">
        <f>'Macao Daily'!D21</f>
        <v>32833</v>
      </c>
      <c r="F18" s="30">
        <v>1.2425999999999999</v>
      </c>
      <c r="G18" s="9">
        <f>'Macao Daily'!F21</f>
        <v>168.77419354836456</v>
      </c>
      <c r="H18" s="30">
        <v>6.09</v>
      </c>
      <c r="I18" s="9">
        <f>'Macao Daily'!H21</f>
        <v>13844</v>
      </c>
      <c r="J18" s="30">
        <v>0.22</v>
      </c>
      <c r="K18" s="9">
        <f>'Macao Daily'!J21</f>
        <v>108.20259964233264</v>
      </c>
      <c r="L18" s="30">
        <v>7.7615999999999996</v>
      </c>
      <c r="M18" s="9">
        <f>'Macao Daily'!K21</f>
        <v>194</v>
      </c>
      <c r="N18" s="9">
        <f>'Macao Daily'!L21</f>
        <v>689</v>
      </c>
    </row>
    <row r="19" spans="1:14" ht="15" x14ac:dyDescent="0.25">
      <c r="A19" s="6" t="s">
        <v>13</v>
      </c>
      <c r="B19" s="7">
        <f t="shared" si="0"/>
        <v>18</v>
      </c>
      <c r="C19" s="8">
        <v>12</v>
      </c>
      <c r="D19" s="7">
        <v>2022</v>
      </c>
      <c r="E19" s="9">
        <f>'Macao Daily'!D22</f>
        <v>30696</v>
      </c>
      <c r="F19" s="30">
        <v>1.2425999999999999</v>
      </c>
      <c r="G19" s="9">
        <f>'Macao Daily'!F22</f>
        <v>165.77419354836456</v>
      </c>
      <c r="H19" s="30">
        <v>6.09</v>
      </c>
      <c r="I19" s="9">
        <f>'Macao Daily'!H22</f>
        <v>13492</v>
      </c>
      <c r="J19" s="30">
        <v>0.22</v>
      </c>
      <c r="K19" s="9">
        <f>'Macao Daily'!J22</f>
        <v>101.53867526818067</v>
      </c>
      <c r="L19" s="30">
        <v>7.7615999999999996</v>
      </c>
      <c r="M19" s="9">
        <f>'Macao Daily'!K22</f>
        <v>149</v>
      </c>
      <c r="N19" s="9">
        <f>'Macao Daily'!L22</f>
        <v>703</v>
      </c>
    </row>
    <row r="20" spans="1:14" ht="15" x14ac:dyDescent="0.25">
      <c r="A20" s="6" t="s">
        <v>13</v>
      </c>
      <c r="B20" s="7">
        <f t="shared" si="0"/>
        <v>19</v>
      </c>
      <c r="C20" s="8">
        <v>12</v>
      </c>
      <c r="D20" s="7">
        <v>2022</v>
      </c>
      <c r="E20" s="9">
        <f>'Macao Daily'!D23</f>
        <v>33171</v>
      </c>
      <c r="F20" s="30">
        <v>1.2425999999999999</v>
      </c>
      <c r="G20" s="9">
        <f>'Macao Daily'!F23</f>
        <v>139.77419354836456</v>
      </c>
      <c r="H20" s="30">
        <v>6.09</v>
      </c>
      <c r="I20" s="9">
        <f>'Macao Daily'!H23</f>
        <v>12383</v>
      </c>
      <c r="J20" s="30">
        <v>0.22</v>
      </c>
      <c r="K20" s="9">
        <f>'Macao Daily'!J23</f>
        <v>87.176769289653748</v>
      </c>
      <c r="L20" s="30">
        <v>7.7615999999999996</v>
      </c>
      <c r="M20" s="9">
        <f>'Macao Daily'!K23</f>
        <v>161</v>
      </c>
      <c r="N20" s="9">
        <f>'Macao Daily'!L23</f>
        <v>278</v>
      </c>
    </row>
    <row r="21" spans="1:14" ht="15" x14ac:dyDescent="0.25">
      <c r="A21" s="6" t="s">
        <v>13</v>
      </c>
      <c r="B21" s="7">
        <f t="shared" si="0"/>
        <v>20</v>
      </c>
      <c r="C21" s="8">
        <v>12</v>
      </c>
      <c r="D21" s="7">
        <v>2022</v>
      </c>
      <c r="E21" s="9">
        <f>'Macao Daily'!D24</f>
        <v>12758</v>
      </c>
      <c r="F21" s="30">
        <v>1.2425999999999999</v>
      </c>
      <c r="G21" s="9">
        <f>'Macao Daily'!F24</f>
        <v>156.77419354836456</v>
      </c>
      <c r="H21" s="30">
        <v>6.09</v>
      </c>
      <c r="I21" s="9">
        <f>'Macao Daily'!H24</f>
        <v>18766</v>
      </c>
      <c r="J21" s="30">
        <v>0.22</v>
      </c>
      <c r="K21" s="9">
        <f>'Macao Daily'!J24</f>
        <v>88.067207460291684</v>
      </c>
      <c r="L21" s="30">
        <v>7.7615999999999996</v>
      </c>
      <c r="M21" s="9">
        <f>'Macao Daily'!K24</f>
        <v>146</v>
      </c>
      <c r="N21" s="9">
        <f>'Macao Daily'!L24</f>
        <v>878</v>
      </c>
    </row>
    <row r="22" spans="1:14" ht="15" x14ac:dyDescent="0.25">
      <c r="A22" s="6" t="s">
        <v>13</v>
      </c>
      <c r="B22" s="7">
        <f t="shared" si="0"/>
        <v>21</v>
      </c>
      <c r="C22" s="8">
        <v>12</v>
      </c>
      <c r="D22" s="7">
        <v>2022</v>
      </c>
      <c r="E22" s="9">
        <f>'Macao Daily'!D25</f>
        <v>39945</v>
      </c>
      <c r="F22" s="30">
        <v>1.2425999999999999</v>
      </c>
      <c r="G22" s="9">
        <f>'Macao Daily'!F25</f>
        <v>128.77419354836456</v>
      </c>
      <c r="H22" s="30">
        <v>6.09</v>
      </c>
      <c r="I22" s="9">
        <f>'Macao Daily'!H25</f>
        <v>17219</v>
      </c>
      <c r="J22" s="30">
        <v>0.22</v>
      </c>
      <c r="K22" s="9">
        <f>'Macao Daily'!J25</f>
        <v>79.019206693861634</v>
      </c>
      <c r="L22" s="30">
        <v>7.7615999999999996</v>
      </c>
      <c r="M22" s="9">
        <f>'Macao Daily'!K25</f>
        <v>133</v>
      </c>
      <c r="N22" s="9">
        <f>'Macao Daily'!L25</f>
        <v>238</v>
      </c>
    </row>
    <row r="23" spans="1:14" ht="15" x14ac:dyDescent="0.25">
      <c r="A23" s="6" t="s">
        <v>13</v>
      </c>
      <c r="B23" s="7">
        <f t="shared" si="0"/>
        <v>22</v>
      </c>
      <c r="C23" s="8">
        <v>12</v>
      </c>
      <c r="D23" s="7">
        <v>2022</v>
      </c>
      <c r="E23" s="9">
        <f>'Macao Daily'!D26</f>
        <v>36285</v>
      </c>
      <c r="F23" s="30">
        <v>1.2425999999999999</v>
      </c>
      <c r="G23" s="9">
        <f>'Macao Daily'!F26</f>
        <v>125.77419354836456</v>
      </c>
      <c r="H23" s="30">
        <v>6.09</v>
      </c>
      <c r="I23" s="9">
        <f>'Macao Daily'!H26</f>
        <v>16976</v>
      </c>
      <c r="J23" s="30">
        <v>0.22</v>
      </c>
      <c r="K23" s="9">
        <f>'Macao Daily'!J26</f>
        <v>70.344615482958034</v>
      </c>
      <c r="L23" s="30">
        <v>7.7615999999999996</v>
      </c>
      <c r="M23" s="9">
        <f>'Macao Daily'!K26</f>
        <v>118</v>
      </c>
      <c r="N23" s="9">
        <f>'Macao Daily'!L26</f>
        <v>175</v>
      </c>
    </row>
    <row r="24" spans="1:14" ht="15" x14ac:dyDescent="0.25">
      <c r="A24" s="6" t="s">
        <v>13</v>
      </c>
      <c r="B24" s="7">
        <f t="shared" si="0"/>
        <v>23</v>
      </c>
      <c r="C24" s="8">
        <v>12</v>
      </c>
      <c r="D24" s="7">
        <v>2022</v>
      </c>
      <c r="E24" s="9">
        <f>'Macao Daily'!D27</f>
        <v>27765</v>
      </c>
      <c r="F24" s="30">
        <v>1.2425999999999999</v>
      </c>
      <c r="G24" s="9">
        <f>'Macao Daily'!F27</f>
        <v>121.77419354836456</v>
      </c>
      <c r="H24" s="30">
        <v>6.09</v>
      </c>
      <c r="I24" s="9">
        <f>'Macao Daily'!H27</f>
        <v>17906</v>
      </c>
      <c r="J24" s="30">
        <v>0.22</v>
      </c>
      <c r="K24" s="9">
        <f>'Macao Daily'!J27</f>
        <v>71.06271078181453</v>
      </c>
      <c r="L24" s="30">
        <v>7.7615999999999996</v>
      </c>
      <c r="M24" s="9">
        <f>'Macao Daily'!K27</f>
        <v>105</v>
      </c>
      <c r="N24" s="9">
        <f>'Macao Daily'!L27</f>
        <v>184</v>
      </c>
    </row>
    <row r="25" spans="1:14" ht="15" x14ac:dyDescent="0.25">
      <c r="A25" s="6" t="s">
        <v>13</v>
      </c>
      <c r="B25" s="7">
        <f t="shared" si="0"/>
        <v>24</v>
      </c>
      <c r="C25" s="8">
        <v>12</v>
      </c>
      <c r="D25" s="7">
        <v>2022</v>
      </c>
      <c r="E25" s="9">
        <f>'Macao Daily'!D28</f>
        <v>26934</v>
      </c>
      <c r="F25" s="30">
        <v>1.2425999999999999</v>
      </c>
      <c r="G25" s="9">
        <f>'Macao Daily'!F28</f>
        <v>127.77419354836456</v>
      </c>
      <c r="H25" s="30">
        <v>6.09</v>
      </c>
      <c r="I25" s="9">
        <f>'Macao Daily'!H28</f>
        <v>17930</v>
      </c>
      <c r="J25" s="30">
        <v>0.22</v>
      </c>
      <c r="K25" s="9">
        <f>'Macao Daily'!J28</f>
        <v>69.080767756793648</v>
      </c>
      <c r="L25" s="30">
        <v>7.7615999999999996</v>
      </c>
      <c r="M25" s="9">
        <f>'Macao Daily'!K28</f>
        <v>91</v>
      </c>
      <c r="N25" s="9">
        <f>'Macao Daily'!L28</f>
        <v>208</v>
      </c>
    </row>
    <row r="26" spans="1:14" ht="15" x14ac:dyDescent="0.25">
      <c r="A26" s="6" t="s">
        <v>13</v>
      </c>
      <c r="B26" s="7">
        <f>B25+1</f>
        <v>25</v>
      </c>
      <c r="C26" s="8">
        <v>12</v>
      </c>
      <c r="D26" s="7">
        <v>2022</v>
      </c>
      <c r="E26" s="9">
        <f>'Macao Daily'!D29</f>
        <v>10332</v>
      </c>
      <c r="F26" s="30">
        <v>1.2425999999999999</v>
      </c>
      <c r="G26" s="9">
        <f>'Macao Daily'!F29</f>
        <v>123.77419354836456</v>
      </c>
      <c r="H26" s="30">
        <v>6.09</v>
      </c>
      <c r="I26" s="9">
        <f>'Macao Daily'!H29</f>
        <v>17641</v>
      </c>
      <c r="J26" s="30">
        <v>0.22</v>
      </c>
      <c r="K26" s="9">
        <f>'Macao Daily'!J29</f>
        <v>70.229720235103741</v>
      </c>
      <c r="L26" s="30">
        <v>7.7615999999999996</v>
      </c>
      <c r="M26" s="9">
        <f>'Macao Daily'!K29</f>
        <v>69</v>
      </c>
      <c r="N26" s="9">
        <f>'Macao Daily'!L29</f>
        <v>184</v>
      </c>
    </row>
    <row r="27" spans="1:14" ht="15" x14ac:dyDescent="0.25">
      <c r="A27" s="6" t="s">
        <v>13</v>
      </c>
      <c r="B27" s="7">
        <f t="shared" si="0"/>
        <v>26</v>
      </c>
      <c r="C27" s="8">
        <v>12</v>
      </c>
      <c r="D27" s="7">
        <v>2022</v>
      </c>
      <c r="E27" s="9">
        <f>'Macao Daily'!D30</f>
        <v>44728</v>
      </c>
      <c r="F27" s="30">
        <v>1.2425999999999999</v>
      </c>
      <c r="G27" s="9">
        <f>'Macao Daily'!F30</f>
        <v>112.77419354836456</v>
      </c>
      <c r="H27" s="30">
        <v>6.09</v>
      </c>
      <c r="I27" s="9">
        <f>'Macao Daily'!H30</f>
        <v>16023</v>
      </c>
      <c r="J27" s="30">
        <v>0.22</v>
      </c>
      <c r="K27" s="9">
        <f>'Macao Daily'!J30</f>
        <v>62.330671946750954</v>
      </c>
      <c r="L27" s="30">
        <v>7.7615999999999996</v>
      </c>
      <c r="M27" s="9">
        <f>'Macao Daily'!K30</f>
        <v>58</v>
      </c>
      <c r="N27" s="9">
        <f>'Macao Daily'!L30</f>
        <v>174</v>
      </c>
    </row>
    <row r="28" spans="1:14" ht="15" x14ac:dyDescent="0.25">
      <c r="A28" s="6" t="s">
        <v>13</v>
      </c>
      <c r="B28" s="7">
        <f t="shared" si="0"/>
        <v>27</v>
      </c>
      <c r="C28" s="8">
        <v>12</v>
      </c>
      <c r="D28" s="7">
        <v>2022</v>
      </c>
      <c r="E28" s="9">
        <f>'Macao Daily'!D31</f>
        <v>29273</v>
      </c>
      <c r="F28" s="30">
        <v>1.2425999999999999</v>
      </c>
      <c r="G28" s="9">
        <f>'Macao Daily'!F31</f>
        <v>120.77419354836456</v>
      </c>
      <c r="H28" s="30">
        <v>6.09</v>
      </c>
      <c r="I28" s="9">
        <f>'Macao Daily'!H31</f>
        <v>18906</v>
      </c>
      <c r="J28" s="30">
        <v>0.22</v>
      </c>
      <c r="K28" s="9">
        <f>'Macao Daily'!J31</f>
        <v>80.972425906918943</v>
      </c>
      <c r="L28" s="30">
        <v>7.7615999999999996</v>
      </c>
      <c r="M28" s="9">
        <f>'Macao Daily'!K31</f>
        <v>53</v>
      </c>
      <c r="N28" s="9">
        <f>'Macao Daily'!L31</f>
        <v>188</v>
      </c>
    </row>
    <row r="29" spans="1:14" ht="15" x14ac:dyDescent="0.25">
      <c r="A29" s="6" t="s">
        <v>13</v>
      </c>
      <c r="B29" s="7">
        <f t="shared" si="0"/>
        <v>28</v>
      </c>
      <c r="C29" s="8">
        <v>12</v>
      </c>
      <c r="D29" s="7">
        <v>2022</v>
      </c>
      <c r="E29" s="9">
        <f>'Macao Daily'!D32</f>
        <v>28066</v>
      </c>
      <c r="F29" s="30">
        <v>1.2425999999999999</v>
      </c>
      <c r="G29" s="9">
        <f>'Macao Daily'!F32</f>
        <v>119.77419354836456</v>
      </c>
      <c r="H29" s="30">
        <v>6.09</v>
      </c>
      <c r="I29" s="9">
        <f>'Macao Daily'!H32</f>
        <v>16047</v>
      </c>
      <c r="J29" s="30">
        <v>0.22</v>
      </c>
      <c r="K29" s="9">
        <f>'Macao Daily'!J32</f>
        <v>73.446787174325436</v>
      </c>
      <c r="L29" s="30">
        <v>7.7615999999999996</v>
      </c>
      <c r="M29" s="9">
        <f>'Macao Daily'!K32</f>
        <v>49</v>
      </c>
      <c r="N29" s="9">
        <f>'Macao Daily'!L32</f>
        <v>146</v>
      </c>
    </row>
    <row r="30" spans="1:14" ht="15" x14ac:dyDescent="0.25">
      <c r="A30" s="6" t="s">
        <v>13</v>
      </c>
      <c r="B30" s="7">
        <f t="shared" si="0"/>
        <v>29</v>
      </c>
      <c r="C30" s="8">
        <v>12</v>
      </c>
      <c r="D30" s="7">
        <v>2022</v>
      </c>
      <c r="E30" s="9">
        <f>'Macao Daily'!D33</f>
        <v>28519</v>
      </c>
      <c r="F30" s="30">
        <v>1.2425999999999999</v>
      </c>
      <c r="G30" s="9">
        <f>'Macao Daily'!F33</f>
        <v>122.77419354836456</v>
      </c>
      <c r="H30" s="30">
        <v>6.09</v>
      </c>
      <c r="I30" s="9">
        <f>'Macao Daily'!H33</f>
        <v>16407</v>
      </c>
      <c r="J30" s="30">
        <v>0.22</v>
      </c>
      <c r="K30" s="9">
        <f>'Macao Daily'!J33</f>
        <v>73.734025293728337</v>
      </c>
      <c r="L30" s="30">
        <v>7.7615999999999996</v>
      </c>
      <c r="M30" s="9">
        <f>'Macao Daily'!K33</f>
        <v>63</v>
      </c>
      <c r="N30" s="9">
        <f>'Macao Daily'!L33</f>
        <v>171</v>
      </c>
    </row>
    <row r="31" spans="1:14" ht="15" x14ac:dyDescent="0.25">
      <c r="A31" s="6" t="s">
        <v>13</v>
      </c>
      <c r="B31" s="7">
        <f t="shared" si="0"/>
        <v>30</v>
      </c>
      <c r="C31" s="8">
        <v>12</v>
      </c>
      <c r="D31" s="7">
        <v>2022</v>
      </c>
      <c r="E31" s="9">
        <f>'Macao Daily'!D34</f>
        <v>27907</v>
      </c>
      <c r="F31" s="30">
        <v>1.2425999999999999</v>
      </c>
      <c r="G31" s="9">
        <f>'Macao Daily'!F34</f>
        <v>123.77419354836456</v>
      </c>
      <c r="H31" s="30">
        <v>6.09</v>
      </c>
      <c r="I31" s="9">
        <f>'Macao Daily'!H34</f>
        <v>14851</v>
      </c>
      <c r="J31" s="30">
        <v>0.22</v>
      </c>
      <c r="K31" s="9">
        <f>'Macao Daily'!J34</f>
        <v>80.484121103771031</v>
      </c>
      <c r="L31" s="30">
        <v>7.7615999999999996</v>
      </c>
      <c r="M31" s="9">
        <f>'Macao Daily'!K34</f>
        <v>102</v>
      </c>
      <c r="N31" s="9">
        <f>'Macao Daily'!L34</f>
        <v>186</v>
      </c>
    </row>
    <row r="32" spans="1:14" ht="15" x14ac:dyDescent="0.25">
      <c r="A32" s="6" t="s">
        <v>13</v>
      </c>
      <c r="B32" s="7">
        <f t="shared" si="0"/>
        <v>31</v>
      </c>
      <c r="C32" s="8">
        <v>12</v>
      </c>
      <c r="D32" s="7">
        <v>2022</v>
      </c>
      <c r="E32" s="9">
        <f>'Macao Daily'!D35</f>
        <v>30358</v>
      </c>
      <c r="F32" s="30">
        <v>1.2425999999999999</v>
      </c>
      <c r="G32" s="9">
        <f>'Macao Daily'!F35</f>
        <v>122.77419354836456</v>
      </c>
      <c r="H32" s="30">
        <v>6.09</v>
      </c>
      <c r="I32" s="9">
        <f>'Macao Daily'!H35</f>
        <v>16391</v>
      </c>
      <c r="J32" s="30">
        <v>0.22</v>
      </c>
      <c r="K32" s="9">
        <f>'Macao Daily'!J35</f>
        <v>87.00442641787231</v>
      </c>
      <c r="L32" s="30">
        <v>7.7615999999999996</v>
      </c>
      <c r="M32" s="9">
        <f>'Macao Daily'!K35</f>
        <v>143</v>
      </c>
      <c r="N32" s="9">
        <f>'Macao Daily'!L35</f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zoomScale="85" zoomScaleNormal="85" workbookViewId="0">
      <pane xSplit="1" topLeftCell="B1" activePane="topRight" state="frozen"/>
      <selection pane="topRight" activeCell="Q7" sqref="Q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44895</v>
      </c>
      <c r="B4" s="37"/>
      <c r="C4" s="34">
        <v>42434237</v>
      </c>
      <c r="D4" s="24"/>
      <c r="E4" s="34">
        <v>620797.99999999267</v>
      </c>
      <c r="F4" s="24"/>
      <c r="G4" s="34">
        <v>127071291</v>
      </c>
      <c r="H4" s="24"/>
      <c r="I4" s="35">
        <v>1139278.3185701536</v>
      </c>
      <c r="J4" s="32"/>
      <c r="K4" s="33">
        <v>95</v>
      </c>
      <c r="L4" s="33">
        <v>127</v>
      </c>
    </row>
    <row r="5" spans="1:12" ht="33" customHeight="1" x14ac:dyDescent="0.25">
      <c r="A5" s="22">
        <v>44896</v>
      </c>
      <c r="B5" s="37"/>
      <c r="C5" s="34">
        <v>42467160</v>
      </c>
      <c r="D5" s="24">
        <f t="shared" ref="D5:D19" si="0">IF((C5-C4&lt;0), "0",C5-C4)</f>
        <v>32923</v>
      </c>
      <c r="E5" s="34">
        <v>620953.77419354103</v>
      </c>
      <c r="F5" s="24">
        <f>IF((E5-E4&lt;0), "0",E5-E4)</f>
        <v>155.77419354836456</v>
      </c>
      <c r="G5" s="34">
        <v>127095400</v>
      </c>
      <c r="H5" s="24">
        <f>IF((G5-G4&lt;0), "0",G5-G4)</f>
        <v>24109</v>
      </c>
      <c r="I5" s="23">
        <v>1139380.2019311653</v>
      </c>
      <c r="J5" s="32">
        <f>IF((I5-I4&lt;0), "0",I5-I4)</f>
        <v>101.88336101174355</v>
      </c>
      <c r="K5" s="33">
        <v>80</v>
      </c>
      <c r="L5" s="33">
        <v>151</v>
      </c>
    </row>
    <row r="6" spans="1:12" ht="45" customHeight="1" x14ac:dyDescent="0.25">
      <c r="A6" s="22">
        <v>44897</v>
      </c>
      <c r="B6" s="37"/>
      <c r="C6" s="34">
        <v>42501802</v>
      </c>
      <c r="D6" s="24">
        <f t="shared" si="0"/>
        <v>34642</v>
      </c>
      <c r="E6" s="34">
        <v>621117.54838708939</v>
      </c>
      <c r="F6" s="24">
        <f t="shared" ref="F6:F19" si="1">IF((E6-E5&lt;0), "0",E6-E5)</f>
        <v>163.77419354836456</v>
      </c>
      <c r="G6" s="34">
        <v>127114627</v>
      </c>
      <c r="H6" s="24">
        <f t="shared" ref="H6:H34" si="2">IF((G6-G5&lt;0), "0",G6-G5)</f>
        <v>19227</v>
      </c>
      <c r="I6" s="23">
        <v>1139481.2523016303</v>
      </c>
      <c r="J6" s="32">
        <f t="shared" ref="J6:J34" si="3">IF((I6-I5&lt;0), "0",I6-I5)</f>
        <v>101.05037046503276</v>
      </c>
      <c r="K6" s="33">
        <v>105</v>
      </c>
      <c r="L6" s="33">
        <v>427</v>
      </c>
    </row>
    <row r="7" spans="1:12" ht="45" customHeight="1" x14ac:dyDescent="0.25">
      <c r="A7" s="22">
        <v>44898</v>
      </c>
      <c r="B7" s="37"/>
      <c r="C7" s="34">
        <v>42535226</v>
      </c>
      <c r="D7" s="24">
        <f t="shared" si="0"/>
        <v>33424</v>
      </c>
      <c r="E7" s="34">
        <v>621280.32258063776</v>
      </c>
      <c r="F7" s="24">
        <f t="shared" si="1"/>
        <v>162.77419354836456</v>
      </c>
      <c r="G7" s="34">
        <v>127136533</v>
      </c>
      <c r="H7" s="24">
        <f t="shared" si="2"/>
        <v>21906</v>
      </c>
      <c r="I7" s="23">
        <v>1139589.0814917171</v>
      </c>
      <c r="J7" s="32">
        <f t="shared" si="3"/>
        <v>107.82919008680619</v>
      </c>
      <c r="K7" s="33">
        <v>115</v>
      </c>
      <c r="L7" s="33">
        <v>694</v>
      </c>
    </row>
    <row r="8" spans="1:12" ht="45" customHeight="1" x14ac:dyDescent="0.25">
      <c r="A8" s="22">
        <v>44899</v>
      </c>
      <c r="B8" s="37"/>
      <c r="C8" s="34">
        <v>42568170</v>
      </c>
      <c r="D8" s="24">
        <f t="shared" si="0"/>
        <v>32944</v>
      </c>
      <c r="E8" s="34">
        <v>621445.09677418612</v>
      </c>
      <c r="F8" s="24">
        <f t="shared" si="1"/>
        <v>164.77419354836456</v>
      </c>
      <c r="G8" s="34">
        <v>127161885</v>
      </c>
      <c r="H8" s="24">
        <f t="shared" si="2"/>
        <v>25352</v>
      </c>
      <c r="I8" s="23">
        <v>1139688.7243953962</v>
      </c>
      <c r="J8" s="32">
        <f t="shared" si="3"/>
        <v>99.642903679050505</v>
      </c>
      <c r="K8" s="33">
        <v>102</v>
      </c>
      <c r="L8" s="33">
        <v>606</v>
      </c>
    </row>
    <row r="9" spans="1:12" ht="45" customHeight="1" x14ac:dyDescent="0.25">
      <c r="A9" s="22">
        <v>44900</v>
      </c>
      <c r="B9" s="37"/>
      <c r="C9" s="34">
        <v>42598472</v>
      </c>
      <c r="D9" s="24">
        <f t="shared" si="0"/>
        <v>30302</v>
      </c>
      <c r="E9" s="34">
        <v>621595.87096773449</v>
      </c>
      <c r="F9" s="24">
        <f t="shared" si="1"/>
        <v>150.77419354836456</v>
      </c>
      <c r="G9" s="34">
        <v>127181025</v>
      </c>
      <c r="H9" s="24">
        <f t="shared" si="2"/>
        <v>19140</v>
      </c>
      <c r="I9" s="23">
        <v>1139782.4501938121</v>
      </c>
      <c r="J9" s="32">
        <f t="shared" si="3"/>
        <v>93.725798415951431</v>
      </c>
      <c r="K9" s="33">
        <v>79</v>
      </c>
      <c r="L9" s="33">
        <v>123</v>
      </c>
    </row>
    <row r="10" spans="1:12" ht="45" customHeight="1" x14ac:dyDescent="0.25">
      <c r="A10" s="22">
        <v>44901</v>
      </c>
      <c r="B10" s="37"/>
      <c r="C10" s="34">
        <v>42627384</v>
      </c>
      <c r="D10" s="24">
        <f t="shared" si="0"/>
        <v>28912</v>
      </c>
      <c r="E10" s="34">
        <v>621729.64516128285</v>
      </c>
      <c r="F10" s="24">
        <f t="shared" si="1"/>
        <v>133.77419354836456</v>
      </c>
      <c r="G10" s="34">
        <v>127197853</v>
      </c>
      <c r="H10" s="24">
        <f t="shared" si="2"/>
        <v>16828</v>
      </c>
      <c r="I10" s="23">
        <v>1139864.8013626931</v>
      </c>
      <c r="J10" s="32">
        <f t="shared" si="3"/>
        <v>82.351168880937621</v>
      </c>
      <c r="K10" s="33">
        <v>72</v>
      </c>
      <c r="L10" s="33">
        <v>91</v>
      </c>
    </row>
    <row r="11" spans="1:12" ht="45" customHeight="1" x14ac:dyDescent="0.25">
      <c r="A11" s="22">
        <v>44902</v>
      </c>
      <c r="B11" s="37"/>
      <c r="C11" s="34">
        <v>42652746</v>
      </c>
      <c r="D11" s="24">
        <f t="shared" si="0"/>
        <v>25362</v>
      </c>
      <c r="E11" s="34">
        <v>621868.41935483122</v>
      </c>
      <c r="F11" s="24">
        <f t="shared" si="1"/>
        <v>138.77419354836456</v>
      </c>
      <c r="G11" s="34">
        <v>127217752</v>
      </c>
      <c r="H11" s="24">
        <f t="shared" si="2"/>
        <v>19899</v>
      </c>
      <c r="I11" s="23">
        <v>1139946.8365696424</v>
      </c>
      <c r="J11" s="32">
        <f t="shared" si="3"/>
        <v>82.035206949338317</v>
      </c>
      <c r="K11" s="33">
        <v>72</v>
      </c>
      <c r="L11" s="33">
        <v>116</v>
      </c>
    </row>
    <row r="12" spans="1:12" ht="45" customHeight="1" x14ac:dyDescent="0.25">
      <c r="A12" s="22">
        <v>44903</v>
      </c>
      <c r="B12" s="37"/>
      <c r="C12" s="34">
        <v>42688126</v>
      </c>
      <c r="D12" s="24">
        <f t="shared" si="0"/>
        <v>35380</v>
      </c>
      <c r="E12" s="34">
        <v>622009.19354837958</v>
      </c>
      <c r="F12" s="24">
        <f t="shared" si="1"/>
        <v>140.77419354836456</v>
      </c>
      <c r="G12" s="34">
        <v>127241135</v>
      </c>
      <c r="H12" s="24">
        <f t="shared" si="2"/>
        <v>23383</v>
      </c>
      <c r="I12" s="23">
        <v>1142050.9132431222</v>
      </c>
      <c r="J12" s="32">
        <f t="shared" si="3"/>
        <v>2104.0766734797508</v>
      </c>
      <c r="K12" s="33">
        <v>92</v>
      </c>
      <c r="L12" s="33">
        <v>139</v>
      </c>
    </row>
    <row r="13" spans="1:12" ht="45" customHeight="1" x14ac:dyDescent="0.25">
      <c r="A13" s="22">
        <v>44904</v>
      </c>
      <c r="B13" s="37"/>
      <c r="C13" s="34">
        <v>42719981</v>
      </c>
      <c r="D13" s="24">
        <f t="shared" si="0"/>
        <v>31855</v>
      </c>
      <c r="E13" s="34">
        <v>622165.96774192795</v>
      </c>
      <c r="F13" s="24">
        <f t="shared" si="1"/>
        <v>156.77419354836456</v>
      </c>
      <c r="G13" s="34">
        <v>127265353</v>
      </c>
      <c r="H13" s="24">
        <f t="shared" si="2"/>
        <v>24218</v>
      </c>
      <c r="I13" s="23">
        <v>1142148.5454799642</v>
      </c>
      <c r="J13" s="32">
        <f t="shared" si="3"/>
        <v>97.63223684206605</v>
      </c>
      <c r="K13" s="33">
        <v>119</v>
      </c>
      <c r="L13" s="33">
        <v>329</v>
      </c>
    </row>
    <row r="14" spans="1:12" ht="45" customHeight="1" x14ac:dyDescent="0.25">
      <c r="A14" s="22">
        <v>44905</v>
      </c>
      <c r="B14" s="37"/>
      <c r="C14" s="34">
        <v>42741652</v>
      </c>
      <c r="D14" s="24">
        <f t="shared" si="0"/>
        <v>21671</v>
      </c>
      <c r="E14" s="34">
        <v>622328.74193547631</v>
      </c>
      <c r="F14" s="24">
        <f t="shared" si="1"/>
        <v>162.77419354836456</v>
      </c>
      <c r="G14" s="34">
        <v>127288252</v>
      </c>
      <c r="H14" s="24">
        <f t="shared" si="2"/>
        <v>22899</v>
      </c>
      <c r="I14" s="23">
        <v>1142253.9905936588</v>
      </c>
      <c r="J14" s="32">
        <f t="shared" si="3"/>
        <v>105.44511369452812</v>
      </c>
      <c r="K14" s="33">
        <v>121</v>
      </c>
      <c r="L14" s="33">
        <v>621</v>
      </c>
    </row>
    <row r="15" spans="1:12" ht="45" customHeight="1" x14ac:dyDescent="0.25">
      <c r="A15" s="22">
        <v>44906</v>
      </c>
      <c r="B15" s="37"/>
      <c r="C15" s="34">
        <v>42783208</v>
      </c>
      <c r="D15" s="24">
        <f t="shared" si="0"/>
        <v>41556</v>
      </c>
      <c r="E15" s="34">
        <v>622483.51612902468</v>
      </c>
      <c r="F15" s="24">
        <f t="shared" si="1"/>
        <v>154.77419354836456</v>
      </c>
      <c r="G15" s="34">
        <v>127306142</v>
      </c>
      <c r="H15" s="24">
        <f t="shared" si="2"/>
        <v>17890</v>
      </c>
      <c r="I15" s="23">
        <v>1142355.2133069956</v>
      </c>
      <c r="J15" s="32">
        <f t="shared" si="3"/>
        <v>101.22271333681419</v>
      </c>
      <c r="K15" s="33">
        <v>83</v>
      </c>
      <c r="L15" s="33">
        <v>421</v>
      </c>
    </row>
    <row r="16" spans="1:12" ht="45" customHeight="1" x14ac:dyDescent="0.25">
      <c r="A16" s="22">
        <v>44907</v>
      </c>
      <c r="B16" s="37"/>
      <c r="C16" s="34">
        <v>42812592</v>
      </c>
      <c r="D16" s="24">
        <f t="shared" si="0"/>
        <v>29384</v>
      </c>
      <c r="E16" s="34">
        <v>622637.29032257304</v>
      </c>
      <c r="F16" s="24">
        <f t="shared" si="1"/>
        <v>153.77419354836456</v>
      </c>
      <c r="G16" s="34">
        <v>127324088</v>
      </c>
      <c r="H16" s="24">
        <f t="shared" si="2"/>
        <v>17946</v>
      </c>
      <c r="I16" s="23">
        <v>1142450.4327436334</v>
      </c>
      <c r="J16" s="32">
        <f t="shared" si="3"/>
        <v>95.219436637824401</v>
      </c>
      <c r="K16" s="33">
        <v>116</v>
      </c>
      <c r="L16" s="33">
        <v>158</v>
      </c>
    </row>
    <row r="17" spans="1:12" ht="45" customHeight="1" x14ac:dyDescent="0.25">
      <c r="A17" s="22">
        <v>44908</v>
      </c>
      <c r="B17" s="37"/>
      <c r="C17" s="34">
        <v>42843286</v>
      </c>
      <c r="D17" s="24">
        <f t="shared" si="0"/>
        <v>30694</v>
      </c>
      <c r="E17" s="34">
        <v>622774.06451612141</v>
      </c>
      <c r="F17" s="24">
        <f t="shared" si="1"/>
        <v>136.77419354836456</v>
      </c>
      <c r="G17" s="34">
        <v>127339564</v>
      </c>
      <c r="H17" s="24">
        <f t="shared" si="2"/>
        <v>15476</v>
      </c>
      <c r="I17" s="23">
        <v>1142552.6895142007</v>
      </c>
      <c r="J17" s="32">
        <f t="shared" si="3"/>
        <v>102.25677056727</v>
      </c>
      <c r="K17" s="33">
        <v>124</v>
      </c>
      <c r="L17" s="33">
        <v>160</v>
      </c>
    </row>
    <row r="18" spans="1:12" ht="45" customHeight="1" x14ac:dyDescent="0.25">
      <c r="A18" s="22">
        <v>44909</v>
      </c>
      <c r="B18" s="37"/>
      <c r="C18" s="34">
        <v>42874177</v>
      </c>
      <c r="D18" s="24">
        <f t="shared" si="0"/>
        <v>30891</v>
      </c>
      <c r="E18" s="34">
        <v>622918.83870966977</v>
      </c>
      <c r="F18" s="24">
        <f t="shared" si="1"/>
        <v>144.77419354836456</v>
      </c>
      <c r="G18" s="34">
        <v>127352994</v>
      </c>
      <c r="H18" s="24">
        <f t="shared" si="2"/>
        <v>13430</v>
      </c>
      <c r="I18" s="23">
        <v>1142647.0759602915</v>
      </c>
      <c r="J18" s="32">
        <f t="shared" si="3"/>
        <v>94.386446090880781</v>
      </c>
      <c r="K18" s="33">
        <v>135</v>
      </c>
      <c r="L18" s="33">
        <v>138</v>
      </c>
    </row>
    <row r="19" spans="1:12" ht="45" customHeight="1" x14ac:dyDescent="0.25">
      <c r="A19" s="22">
        <v>44910</v>
      </c>
      <c r="B19" s="37"/>
      <c r="C19" s="34">
        <v>42906341</v>
      </c>
      <c r="D19" s="24">
        <f t="shared" si="0"/>
        <v>32164</v>
      </c>
      <c r="E19" s="34">
        <v>623070.61290321813</v>
      </c>
      <c r="F19" s="24">
        <f t="shared" si="1"/>
        <v>151.77419354836456</v>
      </c>
      <c r="G19" s="34">
        <v>127368072</v>
      </c>
      <c r="H19" s="24">
        <f t="shared" si="2"/>
        <v>15078</v>
      </c>
      <c r="I19" s="23">
        <v>1142742.3528445531</v>
      </c>
      <c r="J19" s="32">
        <f t="shared" si="3"/>
        <v>95.276884261518717</v>
      </c>
      <c r="K19" s="33">
        <v>152</v>
      </c>
      <c r="L19" s="33">
        <v>441</v>
      </c>
    </row>
    <row r="20" spans="1:12" ht="45" customHeight="1" x14ac:dyDescent="0.25">
      <c r="A20" s="22">
        <v>44911</v>
      </c>
      <c r="B20" s="37"/>
      <c r="C20" s="34">
        <v>42940961</v>
      </c>
      <c r="D20" s="24">
        <f t="shared" ref="D20:D34" si="4">IF((C20-C19&lt;0), "0",C20-C19)</f>
        <v>34620</v>
      </c>
      <c r="E20" s="34">
        <v>623242.3870967665</v>
      </c>
      <c r="F20" s="24">
        <f t="shared" ref="F20:F34" si="5">IF((E20-E19&lt;0), "0",E20-E19)</f>
        <v>171.77419354836456</v>
      </c>
      <c r="G20" s="34">
        <v>127387181</v>
      </c>
      <c r="H20" s="24">
        <f t="shared" si="2"/>
        <v>19109</v>
      </c>
      <c r="I20" s="23">
        <v>1142846.2755962138</v>
      </c>
      <c r="J20" s="32">
        <f t="shared" si="3"/>
        <v>103.92275166069157</v>
      </c>
      <c r="K20" s="33">
        <v>198</v>
      </c>
      <c r="L20" s="33">
        <v>558</v>
      </c>
    </row>
    <row r="21" spans="1:12" ht="45" customHeight="1" x14ac:dyDescent="0.25">
      <c r="A21" s="22">
        <v>44912</v>
      </c>
      <c r="B21" s="37"/>
      <c r="C21" s="34">
        <v>42973794</v>
      </c>
      <c r="D21" s="24">
        <f t="shared" si="4"/>
        <v>32833</v>
      </c>
      <c r="E21" s="34">
        <v>623411.16129031486</v>
      </c>
      <c r="F21" s="24">
        <f t="shared" si="5"/>
        <v>168.77419354836456</v>
      </c>
      <c r="G21" s="34">
        <v>127401025</v>
      </c>
      <c r="H21" s="24">
        <f t="shared" si="2"/>
        <v>13844</v>
      </c>
      <c r="I21" s="23">
        <v>1142954.4781958561</v>
      </c>
      <c r="J21" s="32">
        <f t="shared" si="3"/>
        <v>108.20259964233264</v>
      </c>
      <c r="K21" s="33">
        <v>194</v>
      </c>
      <c r="L21" s="33">
        <v>689</v>
      </c>
    </row>
    <row r="22" spans="1:12" ht="45" customHeight="1" x14ac:dyDescent="0.25">
      <c r="A22" s="22">
        <v>44913</v>
      </c>
      <c r="B22" s="37"/>
      <c r="C22" s="34">
        <v>43004490</v>
      </c>
      <c r="D22" s="24">
        <f t="shared" si="4"/>
        <v>30696</v>
      </c>
      <c r="E22" s="34">
        <v>623576.93548386323</v>
      </c>
      <c r="F22" s="24">
        <f t="shared" si="5"/>
        <v>165.77419354836456</v>
      </c>
      <c r="G22" s="34">
        <v>127414517</v>
      </c>
      <c r="H22" s="24">
        <f t="shared" si="2"/>
        <v>13492</v>
      </c>
      <c r="I22" s="23">
        <v>1143056.0168711243</v>
      </c>
      <c r="J22" s="32">
        <f t="shared" si="3"/>
        <v>101.53867526818067</v>
      </c>
      <c r="K22" s="33">
        <v>149</v>
      </c>
      <c r="L22" s="33">
        <v>703</v>
      </c>
    </row>
    <row r="23" spans="1:12" ht="45" customHeight="1" x14ac:dyDescent="0.25">
      <c r="A23" s="22">
        <v>44914</v>
      </c>
      <c r="B23" s="37"/>
      <c r="C23" s="34">
        <v>43037661</v>
      </c>
      <c r="D23" s="24">
        <f t="shared" si="4"/>
        <v>33171</v>
      </c>
      <c r="E23" s="34">
        <v>623716.70967741159</v>
      </c>
      <c r="F23" s="24">
        <f t="shared" si="5"/>
        <v>139.77419354836456</v>
      </c>
      <c r="G23" s="34">
        <v>127426900</v>
      </c>
      <c r="H23" s="24">
        <f t="shared" si="2"/>
        <v>12383</v>
      </c>
      <c r="I23" s="23">
        <v>1143143.1936404139</v>
      </c>
      <c r="J23" s="32">
        <f t="shared" si="3"/>
        <v>87.176769289653748</v>
      </c>
      <c r="K23" s="33">
        <v>161</v>
      </c>
      <c r="L23" s="33">
        <v>278</v>
      </c>
    </row>
    <row r="24" spans="1:12" ht="45" customHeight="1" x14ac:dyDescent="0.25">
      <c r="A24" s="22">
        <v>44915</v>
      </c>
      <c r="B24" s="37"/>
      <c r="C24" s="34">
        <v>43050419</v>
      </c>
      <c r="D24" s="24">
        <f t="shared" si="4"/>
        <v>12758</v>
      </c>
      <c r="E24" s="34">
        <v>623873.48387095996</v>
      </c>
      <c r="F24" s="24">
        <f t="shared" si="5"/>
        <v>156.77419354836456</v>
      </c>
      <c r="G24" s="34">
        <v>127445666</v>
      </c>
      <c r="H24" s="24">
        <f t="shared" si="2"/>
        <v>18766</v>
      </c>
      <c r="I24" s="23">
        <v>1143231.2608478742</v>
      </c>
      <c r="J24" s="32">
        <f t="shared" si="3"/>
        <v>88.067207460291684</v>
      </c>
      <c r="K24" s="33">
        <v>146</v>
      </c>
      <c r="L24" s="33">
        <v>878</v>
      </c>
    </row>
    <row r="25" spans="1:12" ht="45" customHeight="1" x14ac:dyDescent="0.25">
      <c r="A25" s="22">
        <v>44916</v>
      </c>
      <c r="B25" s="37"/>
      <c r="C25" s="34">
        <v>43090364</v>
      </c>
      <c r="D25" s="24">
        <f t="shared" si="4"/>
        <v>39945</v>
      </c>
      <c r="E25" s="34">
        <v>624002.25806450832</v>
      </c>
      <c r="F25" s="24">
        <f t="shared" si="5"/>
        <v>128.77419354836456</v>
      </c>
      <c r="G25" s="34">
        <v>127462885</v>
      </c>
      <c r="H25" s="24">
        <f t="shared" si="2"/>
        <v>17219</v>
      </c>
      <c r="I25" s="23">
        <v>1143310.2800545681</v>
      </c>
      <c r="J25" s="32">
        <f t="shared" si="3"/>
        <v>79.019206693861634</v>
      </c>
      <c r="K25" s="33">
        <v>133</v>
      </c>
      <c r="L25" s="33">
        <v>238</v>
      </c>
    </row>
    <row r="26" spans="1:12" ht="45" customHeight="1" x14ac:dyDescent="0.25">
      <c r="A26" s="22">
        <v>44917</v>
      </c>
      <c r="B26" s="37"/>
      <c r="C26" s="34">
        <v>43126649</v>
      </c>
      <c r="D26" s="24">
        <f t="shared" si="4"/>
        <v>36285</v>
      </c>
      <c r="E26" s="34">
        <v>624128.03225805669</v>
      </c>
      <c r="F26" s="24">
        <f t="shared" si="5"/>
        <v>125.77419354836456</v>
      </c>
      <c r="G26" s="34">
        <v>127479861</v>
      </c>
      <c r="H26" s="24">
        <f t="shared" si="2"/>
        <v>16976</v>
      </c>
      <c r="I26" s="23">
        <v>1143380.624670051</v>
      </c>
      <c r="J26" s="32">
        <f t="shared" si="3"/>
        <v>70.344615482958034</v>
      </c>
      <c r="K26" s="33">
        <v>118</v>
      </c>
      <c r="L26" s="33">
        <v>175</v>
      </c>
    </row>
    <row r="27" spans="1:12" ht="45" customHeight="1" x14ac:dyDescent="0.25">
      <c r="A27" s="22">
        <v>44918</v>
      </c>
      <c r="B27" s="37"/>
      <c r="C27" s="34">
        <v>43154414</v>
      </c>
      <c r="D27" s="24">
        <f t="shared" si="4"/>
        <v>27765</v>
      </c>
      <c r="E27" s="34">
        <v>624249.80645160505</v>
      </c>
      <c r="F27" s="24">
        <f t="shared" si="5"/>
        <v>121.77419354836456</v>
      </c>
      <c r="G27" s="34">
        <v>127497767</v>
      </c>
      <c r="H27" s="24">
        <f t="shared" si="2"/>
        <v>17906</v>
      </c>
      <c r="I27" s="23">
        <v>1143451.6873808329</v>
      </c>
      <c r="J27" s="32">
        <f t="shared" si="3"/>
        <v>71.06271078181453</v>
      </c>
      <c r="K27" s="33">
        <v>105</v>
      </c>
      <c r="L27" s="33">
        <v>184</v>
      </c>
    </row>
    <row r="28" spans="1:12" ht="45" customHeight="1" x14ac:dyDescent="0.25">
      <c r="A28" s="22">
        <v>44919</v>
      </c>
      <c r="B28" s="37"/>
      <c r="C28" s="34">
        <v>43181348</v>
      </c>
      <c r="D28" s="24">
        <f t="shared" si="4"/>
        <v>26934</v>
      </c>
      <c r="E28" s="34">
        <v>624377.58064515342</v>
      </c>
      <c r="F28" s="24">
        <f t="shared" si="5"/>
        <v>127.77419354836456</v>
      </c>
      <c r="G28" s="34">
        <v>127515697</v>
      </c>
      <c r="H28" s="24">
        <f t="shared" si="2"/>
        <v>17930</v>
      </c>
      <c r="I28" s="23">
        <v>1143520.7681485896</v>
      </c>
      <c r="J28" s="32">
        <f t="shared" si="3"/>
        <v>69.080767756793648</v>
      </c>
      <c r="K28" s="33">
        <v>91</v>
      </c>
      <c r="L28" s="33">
        <v>208</v>
      </c>
    </row>
    <row r="29" spans="1:12" ht="45" customHeight="1" x14ac:dyDescent="0.25">
      <c r="A29" s="22">
        <v>44920</v>
      </c>
      <c r="B29" s="37"/>
      <c r="C29" s="34">
        <v>43191680</v>
      </c>
      <c r="D29" s="24">
        <f t="shared" si="4"/>
        <v>10332</v>
      </c>
      <c r="E29" s="34">
        <v>624501.35483870178</v>
      </c>
      <c r="F29" s="24">
        <f t="shared" si="5"/>
        <v>123.77419354836456</v>
      </c>
      <c r="G29" s="34">
        <v>127533338</v>
      </c>
      <c r="H29" s="24">
        <f t="shared" si="2"/>
        <v>17641</v>
      </c>
      <c r="I29" s="23">
        <v>1143590.9978688248</v>
      </c>
      <c r="J29" s="32">
        <f t="shared" si="3"/>
        <v>70.229720235103741</v>
      </c>
      <c r="K29" s="33">
        <v>69</v>
      </c>
      <c r="L29" s="33">
        <v>184</v>
      </c>
    </row>
    <row r="30" spans="1:12" ht="45" customHeight="1" x14ac:dyDescent="0.25">
      <c r="A30" s="22">
        <v>44921</v>
      </c>
      <c r="B30" s="37"/>
      <c r="C30" s="34">
        <v>43236408</v>
      </c>
      <c r="D30" s="24">
        <f t="shared" si="4"/>
        <v>44728</v>
      </c>
      <c r="E30" s="34">
        <v>624614.12903225014</v>
      </c>
      <c r="F30" s="24">
        <f t="shared" si="5"/>
        <v>112.77419354836456</v>
      </c>
      <c r="G30" s="34">
        <v>127549361</v>
      </c>
      <c r="H30" s="24">
        <f t="shared" si="2"/>
        <v>16023</v>
      </c>
      <c r="I30" s="23">
        <v>1143653.3285407715</v>
      </c>
      <c r="J30" s="32">
        <f t="shared" si="3"/>
        <v>62.330671946750954</v>
      </c>
      <c r="K30" s="33">
        <v>58</v>
      </c>
      <c r="L30" s="33">
        <v>174</v>
      </c>
    </row>
    <row r="31" spans="1:12" ht="45" customHeight="1" x14ac:dyDescent="0.25">
      <c r="A31" s="22">
        <v>44922</v>
      </c>
      <c r="B31" s="37"/>
      <c r="C31" s="34">
        <v>43265681</v>
      </c>
      <c r="D31" s="24">
        <f t="shared" si="4"/>
        <v>29273</v>
      </c>
      <c r="E31" s="34">
        <v>624734.90322579851</v>
      </c>
      <c r="F31" s="24">
        <f t="shared" si="5"/>
        <v>120.77419354836456</v>
      </c>
      <c r="G31" s="34">
        <v>127568267</v>
      </c>
      <c r="H31" s="24">
        <f t="shared" si="2"/>
        <v>18906</v>
      </c>
      <c r="I31" s="23">
        <v>1143734.3009666784</v>
      </c>
      <c r="J31" s="32">
        <f t="shared" si="3"/>
        <v>80.972425906918943</v>
      </c>
      <c r="K31" s="33">
        <v>53</v>
      </c>
      <c r="L31" s="33">
        <v>188</v>
      </c>
    </row>
    <row r="32" spans="1:12" ht="45" customHeight="1" x14ac:dyDescent="0.25">
      <c r="A32" s="22">
        <v>44923</v>
      </c>
      <c r="B32" s="37"/>
      <c r="C32" s="34">
        <v>43293747</v>
      </c>
      <c r="D32" s="24">
        <f t="shared" si="4"/>
        <v>28066</v>
      </c>
      <c r="E32" s="34">
        <v>624854.67741934687</v>
      </c>
      <c r="F32" s="24">
        <f t="shared" si="5"/>
        <v>119.77419354836456</v>
      </c>
      <c r="G32" s="34">
        <v>127584314</v>
      </c>
      <c r="H32" s="24">
        <f t="shared" si="2"/>
        <v>16047</v>
      </c>
      <c r="I32" s="23">
        <v>1143807.7477538527</v>
      </c>
      <c r="J32" s="32">
        <f t="shared" si="3"/>
        <v>73.446787174325436</v>
      </c>
      <c r="K32" s="33">
        <v>49</v>
      </c>
      <c r="L32" s="33">
        <v>146</v>
      </c>
    </row>
    <row r="33" spans="1:12" ht="45" customHeight="1" x14ac:dyDescent="0.25">
      <c r="A33" s="22">
        <v>44924</v>
      </c>
      <c r="C33" s="34">
        <v>43322266</v>
      </c>
      <c r="D33" s="24">
        <f t="shared" si="4"/>
        <v>28519</v>
      </c>
      <c r="E33" s="34">
        <v>624977.45161289524</v>
      </c>
      <c r="F33" s="24">
        <f t="shared" si="5"/>
        <v>122.77419354836456</v>
      </c>
      <c r="G33" s="34">
        <v>127600721</v>
      </c>
      <c r="H33" s="24">
        <f t="shared" si="2"/>
        <v>16407</v>
      </c>
      <c r="I33" s="23">
        <v>1143881.4817791465</v>
      </c>
      <c r="J33" s="32">
        <f t="shared" si="3"/>
        <v>73.734025293728337</v>
      </c>
      <c r="K33" s="33">
        <v>63</v>
      </c>
      <c r="L33" s="33">
        <v>171</v>
      </c>
    </row>
    <row r="34" spans="1:12" ht="45" customHeight="1" x14ac:dyDescent="0.25">
      <c r="A34" s="22">
        <v>44925</v>
      </c>
      <c r="C34" s="34">
        <v>43350173</v>
      </c>
      <c r="D34" s="24">
        <f t="shared" si="4"/>
        <v>27907</v>
      </c>
      <c r="E34" s="34">
        <v>625101.2258064436</v>
      </c>
      <c r="F34" s="24">
        <f t="shared" si="5"/>
        <v>123.77419354836456</v>
      </c>
      <c r="G34" s="34">
        <v>127615572</v>
      </c>
      <c r="H34" s="24">
        <f t="shared" si="2"/>
        <v>14851</v>
      </c>
      <c r="I34" s="23">
        <v>1143961.9659002502</v>
      </c>
      <c r="J34" s="32">
        <f t="shared" si="3"/>
        <v>80.484121103771031</v>
      </c>
      <c r="K34" s="33">
        <v>102</v>
      </c>
      <c r="L34" s="33">
        <v>186</v>
      </c>
    </row>
    <row r="35" spans="1:12" ht="45" customHeight="1" x14ac:dyDescent="0.25">
      <c r="A35" s="22">
        <v>44926</v>
      </c>
      <c r="C35" s="34">
        <v>43380531</v>
      </c>
      <c r="D35" s="24">
        <f t="shared" ref="D35" si="6">IF((C35-C34&lt;0), "0",C35-C34)</f>
        <v>30358</v>
      </c>
      <c r="E35" s="34">
        <v>625223.99999999197</v>
      </c>
      <c r="F35" s="24">
        <f t="shared" ref="F35" si="7">IF((E35-E34&lt;0), "0",E35-E34)</f>
        <v>122.77419354836456</v>
      </c>
      <c r="G35" s="34">
        <v>127631963</v>
      </c>
      <c r="H35" s="24">
        <f t="shared" ref="H35" si="8">IF((G35-G34&lt;0), "0",G35-G34)</f>
        <v>16391</v>
      </c>
      <c r="I35" s="23">
        <v>1144048.9703266681</v>
      </c>
      <c r="J35" s="32">
        <f t="shared" ref="J35" si="9">IF((I35-I34&lt;0), "0",I35-I34)</f>
        <v>87.00442641787231</v>
      </c>
      <c r="K35" s="33">
        <v>143</v>
      </c>
      <c r="L35" s="33">
        <v>277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2023-02-27T04:37:42Z</dcterms:modified>
  <cp:category/>
  <cp:contentStatus/>
</cp:coreProperties>
</file>