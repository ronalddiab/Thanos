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HEP Daily\"/>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36" i="2" l="1"/>
  <c r="AG36" i="2"/>
  <c r="AF36" i="2"/>
  <c r="V36" i="2"/>
  <c r="Q36" i="2" l="1"/>
  <c r="P36" i="2"/>
  <c r="O36" i="2"/>
  <c r="N36" i="2"/>
  <c r="M36" i="2"/>
  <c r="J36" i="2"/>
  <c r="I36" i="2"/>
  <c r="H36" i="2"/>
  <c r="G36" i="2"/>
  <c r="F36" i="2"/>
  <c r="E36" i="2"/>
  <c r="D36" i="2"/>
  <c r="C36" i="2"/>
  <c r="B36" i="2"/>
  <c r="AH35" i="2" l="1"/>
  <c r="AG35" i="2"/>
  <c r="AF35" i="2"/>
  <c r="V35" i="2"/>
  <c r="Q35" i="2" l="1"/>
  <c r="P35" i="2"/>
  <c r="O35" i="2"/>
  <c r="N35" i="2"/>
  <c r="M35" i="2"/>
  <c r="J35" i="2" l="1"/>
  <c r="I35" i="2"/>
  <c r="H35" i="2"/>
  <c r="G35" i="2"/>
  <c r="F35" i="2"/>
  <c r="E35" i="2"/>
  <c r="D35" i="2"/>
  <c r="C35" i="2"/>
  <c r="B35" i="2"/>
  <c r="AH34" i="2" l="1"/>
  <c r="AG34" i="2"/>
  <c r="AF34" i="2"/>
  <c r="V34" i="2"/>
  <c r="Q34" i="2" l="1"/>
  <c r="P34" i="2"/>
  <c r="O34" i="2"/>
  <c r="N34" i="2"/>
  <c r="M34" i="2"/>
  <c r="J34" i="2" l="1"/>
  <c r="I34" i="2"/>
  <c r="H34" i="2"/>
  <c r="G34" i="2"/>
  <c r="F34" i="2"/>
  <c r="E34" i="2"/>
  <c r="D34" i="2"/>
  <c r="C34" i="2"/>
  <c r="B34" i="2"/>
  <c r="AH33" i="2" l="1"/>
  <c r="AG33" i="2"/>
  <c r="AF33" i="2"/>
  <c r="AH32" i="2"/>
  <c r="AG32" i="2"/>
  <c r="AF32" i="2"/>
  <c r="V33" i="2"/>
  <c r="V32" i="2"/>
  <c r="Q33" i="2" l="1"/>
  <c r="P33" i="2"/>
  <c r="Q32" i="2"/>
  <c r="P32" i="2"/>
  <c r="O33" i="2"/>
  <c r="N33" i="2"/>
  <c r="M33" i="2"/>
  <c r="O32" i="2"/>
  <c r="N32" i="2"/>
  <c r="M32" i="2"/>
  <c r="J33" i="2" l="1"/>
  <c r="I33" i="2"/>
  <c r="H33" i="2"/>
  <c r="G33" i="2"/>
  <c r="F33" i="2"/>
  <c r="E33" i="2"/>
  <c r="D33" i="2"/>
  <c r="C33" i="2"/>
  <c r="B33" i="2"/>
  <c r="J32" i="2"/>
  <c r="I32" i="2"/>
  <c r="H32" i="2"/>
  <c r="G32" i="2"/>
  <c r="F32" i="2"/>
  <c r="E32" i="2"/>
  <c r="D32" i="2"/>
  <c r="C32" i="2"/>
  <c r="B32" i="2"/>
  <c r="AH31" i="2" l="1"/>
  <c r="AG31" i="2"/>
  <c r="AF31" i="2"/>
  <c r="V31" i="2"/>
  <c r="Q31" i="2" l="1"/>
  <c r="P31" i="2"/>
  <c r="O31" i="2"/>
  <c r="N31" i="2"/>
  <c r="M31" i="2"/>
  <c r="J31" i="2" l="1"/>
  <c r="I31" i="2"/>
  <c r="H31" i="2"/>
  <c r="G31" i="2"/>
  <c r="F31" i="2"/>
  <c r="E31" i="2"/>
  <c r="D31" i="2"/>
  <c r="C31" i="2"/>
  <c r="B31" i="2"/>
  <c r="AH30" i="2" l="1"/>
  <c r="AG30" i="2"/>
  <c r="AF30" i="2"/>
  <c r="V30" i="2"/>
  <c r="Q30" i="2" l="1"/>
  <c r="P30" i="2"/>
  <c r="O30" i="2"/>
  <c r="N30" i="2"/>
  <c r="M30" i="2"/>
  <c r="J30" i="2" l="1"/>
  <c r="I30" i="2"/>
  <c r="H30" i="2"/>
  <c r="G30" i="2"/>
  <c r="F30" i="2"/>
  <c r="E30" i="2"/>
  <c r="D30" i="2"/>
  <c r="C30" i="2"/>
  <c r="B30" i="2"/>
  <c r="AH29" i="2" l="1"/>
  <c r="AG29" i="2"/>
  <c r="AF29" i="2"/>
  <c r="V29" i="2"/>
  <c r="Q29" i="2" l="1"/>
  <c r="P29" i="2"/>
  <c r="O29" i="2"/>
  <c r="N29" i="2"/>
  <c r="M29" i="2"/>
  <c r="J29" i="2" l="1"/>
  <c r="I29" i="2"/>
  <c r="H29" i="2"/>
  <c r="G29" i="2"/>
  <c r="F29" i="2"/>
  <c r="E29" i="2"/>
  <c r="D29" i="2"/>
  <c r="C29" i="2"/>
  <c r="B29" i="2"/>
  <c r="AH28" i="2" l="1"/>
  <c r="AG28" i="2"/>
  <c r="AF28" i="2"/>
  <c r="V28" i="2"/>
  <c r="Q28" i="2" l="1"/>
  <c r="P28" i="2"/>
  <c r="O28" i="2"/>
  <c r="N28" i="2"/>
  <c r="M28" i="2"/>
  <c r="I28" i="2"/>
  <c r="J28" i="2"/>
  <c r="K28" i="2"/>
  <c r="H28" i="2" l="1"/>
  <c r="G28" i="2"/>
  <c r="F28" i="2"/>
  <c r="E28" i="2"/>
  <c r="D28" i="2"/>
  <c r="C28" i="2"/>
  <c r="B28" i="2"/>
  <c r="AH27" i="2" l="1"/>
  <c r="AG27" i="2"/>
  <c r="AF27" i="2"/>
  <c r="V27" i="2"/>
  <c r="Q27" i="2"/>
  <c r="P27" i="2"/>
  <c r="O27" i="2"/>
  <c r="N27" i="2"/>
  <c r="M27" i="2"/>
  <c r="J27" i="2" l="1"/>
  <c r="I27" i="2"/>
  <c r="H27" i="2"/>
  <c r="G27" i="2"/>
  <c r="F27" i="2"/>
  <c r="E27" i="2"/>
  <c r="D27" i="2"/>
  <c r="C27" i="2"/>
  <c r="B27" i="2"/>
  <c r="AH26" i="2" l="1"/>
  <c r="AG26" i="2"/>
  <c r="AF26" i="2"/>
  <c r="AH25" i="2"/>
  <c r="AG25" i="2"/>
  <c r="AF25" i="2"/>
  <c r="V26" i="2"/>
  <c r="V25" i="2"/>
  <c r="Q26" i="2"/>
  <c r="P26" i="2"/>
  <c r="Q25" i="2"/>
  <c r="P25" i="2"/>
  <c r="O26" i="2"/>
  <c r="N26" i="2"/>
  <c r="M26" i="2"/>
  <c r="O25" i="2"/>
  <c r="N25" i="2"/>
  <c r="M25" i="2"/>
  <c r="J26" i="2" l="1"/>
  <c r="I26" i="2"/>
  <c r="H26" i="2"/>
  <c r="G26" i="2"/>
  <c r="F26" i="2"/>
  <c r="E26" i="2"/>
  <c r="D26" i="2"/>
  <c r="C26" i="2"/>
  <c r="B26" i="2"/>
  <c r="J25" i="2"/>
  <c r="I25" i="2"/>
  <c r="H25" i="2"/>
  <c r="G25" i="2"/>
  <c r="F25" i="2"/>
  <c r="E25" i="2"/>
  <c r="D25" i="2"/>
  <c r="C25" i="2"/>
  <c r="B25" i="2"/>
  <c r="AH24" i="2" l="1"/>
  <c r="AG24" i="2"/>
  <c r="AF24" i="2"/>
  <c r="V24" i="2"/>
  <c r="Q24" i="2" l="1"/>
  <c r="P24" i="2"/>
  <c r="O24" i="2"/>
  <c r="N24" i="2"/>
  <c r="M24" i="2"/>
  <c r="J24" i="2" l="1"/>
  <c r="I24" i="2"/>
  <c r="H24" i="2"/>
  <c r="G24" i="2"/>
  <c r="F24" i="2"/>
  <c r="E24" i="2"/>
  <c r="D24" i="2"/>
  <c r="C24" i="2"/>
  <c r="B24" i="2"/>
  <c r="AH23" i="2" l="1"/>
  <c r="AG23" i="2"/>
  <c r="AF23" i="2"/>
  <c r="V23" i="2"/>
  <c r="Q23" i="2" l="1"/>
  <c r="P23" i="2"/>
  <c r="O23" i="2"/>
  <c r="N23" i="2"/>
  <c r="M23" i="2"/>
  <c r="J23" i="2" l="1"/>
  <c r="I23" i="2"/>
  <c r="H23" i="2"/>
  <c r="G23" i="2"/>
  <c r="F23" i="2"/>
  <c r="E23" i="2"/>
  <c r="D23" i="2"/>
  <c r="C23" i="2"/>
  <c r="B23" i="2"/>
  <c r="AH22" i="2" l="1"/>
  <c r="AG22" i="2"/>
  <c r="AF22" i="2"/>
  <c r="V22" i="2"/>
  <c r="Q22" i="2"/>
  <c r="P22" i="2"/>
  <c r="O22" i="2"/>
  <c r="N22" i="2"/>
  <c r="M22" i="2"/>
  <c r="J22" i="2" l="1"/>
  <c r="I22" i="2"/>
  <c r="H22" i="2"/>
  <c r="G22" i="2"/>
  <c r="F22" i="2"/>
  <c r="E22" i="2"/>
  <c r="D22" i="2"/>
  <c r="C22" i="2"/>
  <c r="B22" i="2"/>
  <c r="AH21" i="2" l="1"/>
  <c r="AG21" i="2"/>
  <c r="AF21" i="2"/>
  <c r="V21" i="2"/>
  <c r="Q21" i="2"/>
  <c r="P21" i="2"/>
  <c r="O21" i="2"/>
  <c r="N21" i="2"/>
  <c r="M21" i="2"/>
  <c r="J21" i="2" l="1"/>
  <c r="I21" i="2"/>
  <c r="H21" i="2"/>
  <c r="G21" i="2"/>
  <c r="F21" i="2"/>
  <c r="E21" i="2"/>
  <c r="D21" i="2"/>
  <c r="C21" i="2"/>
  <c r="B21" i="2"/>
  <c r="AH20" i="2" l="1"/>
  <c r="AG20" i="2"/>
  <c r="AF20" i="2"/>
  <c r="AH19" i="2"/>
  <c r="AG19" i="2"/>
  <c r="AF19" i="2"/>
  <c r="AH18" i="2"/>
  <c r="AG18" i="2"/>
  <c r="AF18" i="2"/>
  <c r="AH17" i="2"/>
  <c r="AG17" i="2"/>
  <c r="AF17" i="2"/>
  <c r="V20" i="2"/>
  <c r="V19" i="2"/>
  <c r="V18" i="2"/>
  <c r="V17" i="2"/>
  <c r="Q20" i="2" l="1"/>
  <c r="P20" i="2"/>
  <c r="Q19" i="2"/>
  <c r="P19" i="2"/>
  <c r="Q18" i="2"/>
  <c r="P18" i="2"/>
  <c r="Q17" i="2"/>
  <c r="P17" i="2"/>
  <c r="O20" i="2"/>
  <c r="N20" i="2"/>
  <c r="M20" i="2"/>
  <c r="O19" i="2"/>
  <c r="N19" i="2"/>
  <c r="M19" i="2"/>
  <c r="O18" i="2"/>
  <c r="N18" i="2"/>
  <c r="M18" i="2"/>
  <c r="O17" i="2"/>
  <c r="N17" i="2"/>
  <c r="M17" i="2"/>
  <c r="J20" i="2"/>
  <c r="I20" i="2"/>
  <c r="H20" i="2"/>
  <c r="G20" i="2"/>
  <c r="F20" i="2"/>
  <c r="E20" i="2"/>
  <c r="D20" i="2"/>
  <c r="C20" i="2"/>
  <c r="B20" i="2"/>
  <c r="J19" i="2"/>
  <c r="I19" i="2"/>
  <c r="H19" i="2"/>
  <c r="G19" i="2"/>
  <c r="F19" i="2"/>
  <c r="E19" i="2"/>
  <c r="D19" i="2"/>
  <c r="C19" i="2"/>
  <c r="B19" i="2"/>
  <c r="J18" i="2"/>
  <c r="I18" i="2"/>
  <c r="H18" i="2"/>
  <c r="G18" i="2"/>
  <c r="F18" i="2"/>
  <c r="E18" i="2"/>
  <c r="D18" i="2"/>
  <c r="C18" i="2"/>
  <c r="B18" i="2"/>
  <c r="J17" i="2"/>
  <c r="I17" i="2"/>
  <c r="H17" i="2"/>
  <c r="G17" i="2"/>
  <c r="F17" i="2"/>
  <c r="E17" i="2"/>
  <c r="D17" i="2"/>
  <c r="C17" i="2"/>
  <c r="B17" i="2"/>
  <c r="AH16" i="2" l="1"/>
  <c r="AG16" i="2"/>
  <c r="AF16" i="2"/>
  <c r="V16" i="2"/>
  <c r="Q16" i="2" l="1"/>
  <c r="P16" i="2"/>
  <c r="O16" i="2"/>
  <c r="N16" i="2"/>
  <c r="M16" i="2"/>
  <c r="J16" i="2"/>
  <c r="I16" i="2"/>
  <c r="H16" i="2"/>
  <c r="G16" i="2"/>
  <c r="F16" i="2"/>
  <c r="E16" i="2"/>
  <c r="D16" i="2"/>
  <c r="C16" i="2"/>
  <c r="B16" i="2"/>
  <c r="AH15" i="2" l="1"/>
  <c r="AG15" i="2"/>
  <c r="AF15" i="2"/>
  <c r="V15" i="2"/>
  <c r="Q15" i="2" l="1"/>
  <c r="P15" i="2"/>
  <c r="O15" i="2"/>
  <c r="N15" i="2"/>
  <c r="M15" i="2"/>
  <c r="J15" i="2" l="1"/>
  <c r="I15" i="2"/>
  <c r="H15" i="2"/>
  <c r="G15" i="2"/>
  <c r="F15" i="2"/>
  <c r="E15" i="2"/>
  <c r="D15" i="2"/>
  <c r="C15" i="2"/>
  <c r="B15" i="2"/>
  <c r="AH14" i="2" l="1"/>
  <c r="AG14" i="2"/>
  <c r="AF14" i="2"/>
  <c r="V14" i="2"/>
  <c r="Q14" i="2" l="1"/>
  <c r="P14" i="2"/>
  <c r="O14" i="2"/>
  <c r="N14" i="2"/>
  <c r="M14" i="2"/>
  <c r="J14" i="2" l="1"/>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AH11" i="2"/>
  <c r="AG11" i="2"/>
  <c r="AF11" i="2"/>
  <c r="V12" i="2"/>
  <c r="V11" i="2"/>
  <c r="Q12" i="2" l="1"/>
  <c r="P12" i="2"/>
  <c r="Q11" i="2"/>
  <c r="P11" i="2"/>
  <c r="O12" i="2"/>
  <c r="N12" i="2"/>
  <c r="M12" i="2"/>
  <c r="O11" i="2"/>
  <c r="N11" i="2"/>
  <c r="M11" i="2"/>
  <c r="J12" i="2" l="1"/>
  <c r="I12" i="2"/>
  <c r="H12" i="2"/>
  <c r="G12" i="2"/>
  <c r="F12" i="2"/>
  <c r="E12" i="2"/>
  <c r="D12" i="2"/>
  <c r="C12" i="2"/>
  <c r="B12" i="2"/>
  <c r="J11" i="2"/>
  <c r="I11" i="2"/>
  <c r="H11" i="2"/>
  <c r="G11" i="2"/>
  <c r="F11" i="2"/>
  <c r="E11" i="2"/>
  <c r="D11" i="2"/>
  <c r="C11" i="2"/>
  <c r="B11" i="2"/>
  <c r="AH10" i="2" l="1"/>
  <c r="AG10" i="2"/>
  <c r="AF10" i="2"/>
  <c r="V10" i="2"/>
  <c r="Q10" i="2" l="1"/>
  <c r="P10" i="2"/>
  <c r="O10" i="2"/>
  <c r="N10" i="2"/>
  <c r="M10" i="2"/>
  <c r="J10" i="2" l="1"/>
  <c r="I10" i="2"/>
  <c r="H10" i="2"/>
  <c r="G10" i="2"/>
  <c r="F10" i="2"/>
  <c r="E10" i="2"/>
  <c r="D10" i="2"/>
  <c r="C10" i="2"/>
  <c r="B10" i="2"/>
  <c r="AH9" i="2" l="1"/>
  <c r="AG9" i="2"/>
  <c r="AF9" i="2"/>
  <c r="V9" i="2"/>
  <c r="Q9" i="2" l="1"/>
  <c r="P9" i="2"/>
  <c r="O9" i="2"/>
  <c r="N9" i="2"/>
  <c r="M9" i="2"/>
  <c r="J9" i="2" l="1"/>
  <c r="I9" i="2"/>
  <c r="H9" i="2"/>
  <c r="G9" i="2"/>
  <c r="F9" i="2"/>
  <c r="E9" i="2"/>
  <c r="D9" i="2"/>
  <c r="C9" i="2"/>
  <c r="B9" i="2"/>
  <c r="AH8" i="2" l="1"/>
  <c r="AG8" i="2"/>
  <c r="AF8" i="2"/>
  <c r="V8" i="2"/>
  <c r="Q8" i="2" l="1"/>
  <c r="P8" i="2"/>
  <c r="O8" i="2"/>
  <c r="N8" i="2"/>
  <c r="M8" i="2"/>
  <c r="J8" i="2" l="1"/>
  <c r="I8" i="2"/>
  <c r="H8" i="2"/>
  <c r="G8" i="2"/>
  <c r="F8" i="2"/>
  <c r="E8" i="2"/>
  <c r="D8" i="2"/>
  <c r="C8" i="2"/>
  <c r="B8" i="2"/>
  <c r="AH7" i="2" l="1"/>
  <c r="AG7" i="2"/>
  <c r="AF7" i="2"/>
  <c r="V7" i="2"/>
  <c r="Q7" i="2" l="1"/>
  <c r="P7" i="2"/>
  <c r="O7" i="2"/>
  <c r="N7" i="2"/>
  <c r="M7" i="2"/>
  <c r="J7" i="2" l="1"/>
  <c r="I7" i="2"/>
  <c r="H7" i="2"/>
  <c r="G7" i="2"/>
  <c r="F7" i="2"/>
  <c r="E7" i="2"/>
  <c r="D7" i="2"/>
  <c r="C7" i="2"/>
  <c r="B7" i="2"/>
  <c r="AM6" i="2" l="1"/>
  <c r="AE6" i="2"/>
  <c r="AH6" i="2"/>
  <c r="AG6" i="2"/>
  <c r="AF6" i="2"/>
  <c r="W36" i="2"/>
  <c r="W35" i="2"/>
  <c r="W34" i="2"/>
  <c r="W33" i="2"/>
  <c r="W32" i="2"/>
  <c r="W31" i="2"/>
  <c r="W30" i="2"/>
  <c r="W29" i="2"/>
  <c r="W28" i="2"/>
  <c r="W27" i="2"/>
  <c r="W26" i="2"/>
  <c r="W25" i="2"/>
  <c r="W24" i="2"/>
  <c r="W23" i="2"/>
  <c r="W22" i="2"/>
  <c r="W21" i="2"/>
  <c r="W20" i="2"/>
  <c r="W19" i="2"/>
  <c r="W18" i="2"/>
  <c r="W17" i="2"/>
  <c r="W16" i="2"/>
  <c r="W15" i="2"/>
  <c r="W14" i="2"/>
  <c r="W13" i="2"/>
  <c r="W12" i="2"/>
  <c r="W11" i="2"/>
  <c r="W10" i="2"/>
  <c r="W9" i="2"/>
  <c r="W8" i="2"/>
  <c r="W7" i="2"/>
  <c r="W6" i="2"/>
  <c r="V6" i="2"/>
  <c r="Q6" i="2" l="1"/>
  <c r="P6" i="2"/>
  <c r="O6" i="2"/>
  <c r="N6" i="2"/>
  <c r="M6" i="2"/>
  <c r="J6" i="2"/>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7" i="2"/>
  <c r="AI6" i="2" l="1"/>
  <c r="AC6" i="2"/>
  <c r="AN37" i="2" l="1"/>
  <c r="AH37" i="2"/>
  <c r="AG37" i="2"/>
  <c r="AF37" i="2"/>
  <c r="J37" i="2"/>
  <c r="I37" i="2"/>
  <c r="H37" i="2"/>
  <c r="G37" i="2"/>
  <c r="D37" i="2"/>
  <c r="Y33" i="3"/>
  <c r="Z33" i="3"/>
  <c r="B32" i="1"/>
  <c r="M32" i="1"/>
  <c r="N32" i="1"/>
  <c r="E31" i="3"/>
  <c r="F31" i="3"/>
  <c r="G31" i="3"/>
  <c r="H31" i="3"/>
  <c r="E32" i="3"/>
  <c r="E32" i="1" s="1"/>
  <c r="F32" i="3"/>
  <c r="G32" i="3"/>
  <c r="H32" i="3"/>
  <c r="I32" i="3"/>
  <c r="J32" i="3"/>
  <c r="K32" i="3"/>
  <c r="L32" i="3"/>
  <c r="M32" i="3"/>
  <c r="Q32" i="3"/>
  <c r="R32" i="3"/>
  <c r="U32" i="3"/>
  <c r="V32" i="3"/>
  <c r="W32" i="3"/>
  <c r="B32" i="3"/>
  <c r="Z7" i="2"/>
  <c r="K6" i="2" l="1"/>
  <c r="L6" i="2" l="1"/>
  <c r="AK35" i="2"/>
  <c r="AL35" i="2" s="1"/>
  <c r="AM35" i="2" s="1"/>
  <c r="AK36" i="2"/>
  <c r="AD35" i="2"/>
  <c r="AE35" i="2" s="1"/>
  <c r="AD36" i="2"/>
  <c r="Z35" i="2"/>
  <c r="AA35" i="2" s="1"/>
  <c r="Z36" i="2"/>
  <c r="P32" i="3" s="1"/>
  <c r="AA36" i="2"/>
  <c r="T35" i="2"/>
  <c r="U35" i="2"/>
  <c r="T36" i="2"/>
  <c r="N32" i="3" s="1"/>
  <c r="U36" i="2"/>
  <c r="R35" i="2"/>
  <c r="S35" i="2"/>
  <c r="R36" i="2"/>
  <c r="O32" i="3" s="1"/>
  <c r="S36" i="2"/>
  <c r="K35" i="2"/>
  <c r="L35" i="2" s="1"/>
  <c r="K36" i="2"/>
  <c r="L36" i="2"/>
  <c r="M4" i="1"/>
  <c r="M5" i="1"/>
  <c r="M6" i="1"/>
  <c r="M8" i="1"/>
  <c r="M9" i="1"/>
  <c r="M10" i="1"/>
  <c r="M12" i="1"/>
  <c r="M13" i="1"/>
  <c r="M14" i="1"/>
  <c r="M16" i="1"/>
  <c r="M17" i="1"/>
  <c r="M18" i="1"/>
  <c r="M20" i="1"/>
  <c r="M21" i="1"/>
  <c r="M22" i="1"/>
  <c r="M24" i="1"/>
  <c r="M25" i="1"/>
  <c r="M26" i="1"/>
  <c r="M28" i="1"/>
  <c r="M29" i="1"/>
  <c r="M30" i="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19" i="1"/>
  <c r="M23" i="1"/>
  <c r="M27" i="1"/>
  <c r="M31" i="1"/>
  <c r="K32" i="1" l="1"/>
  <c r="T32" i="3"/>
  <c r="AE36" i="2"/>
  <c r="AO36" i="2" s="1"/>
  <c r="G32" i="1"/>
  <c r="S32" i="3"/>
  <c r="AO35" i="2"/>
  <c r="N33" i="1"/>
  <c r="AL36" i="2"/>
  <c r="AM36" i="2" s="1"/>
  <c r="X32" i="3"/>
  <c r="I32" i="1" s="1"/>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O18" i="3" s="1"/>
  <c r="R23" i="2"/>
  <c r="R24" i="2"/>
  <c r="O20" i="3" s="1"/>
  <c r="R25" i="2"/>
  <c r="R26" i="2"/>
  <c r="O22" i="3" s="1"/>
  <c r="R27" i="2"/>
  <c r="O23" i="3" s="1"/>
  <c r="R28" i="2"/>
  <c r="O24" i="3" s="1"/>
  <c r="R29" i="2"/>
  <c r="O25" i="3" s="1"/>
  <c r="R30" i="2"/>
  <c r="O26" i="3" s="1"/>
  <c r="R31" i="2"/>
  <c r="O27" i="3" s="1"/>
  <c r="R32" i="2"/>
  <c r="O28" i="3" s="1"/>
  <c r="R33" i="2"/>
  <c r="O29" i="3" s="1"/>
  <c r="R34" i="2"/>
  <c r="O30" i="3" s="1"/>
  <c r="O31" i="3"/>
  <c r="R6" i="2"/>
  <c r="R7" i="2"/>
  <c r="O3" i="3" s="1"/>
  <c r="R8" i="2"/>
  <c r="O4" i="3" s="1"/>
  <c r="R9" i="2"/>
  <c r="O5" i="3" s="1"/>
  <c r="R10" i="2"/>
  <c r="O6" i="3" s="1"/>
  <c r="R11" i="2"/>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L28" i="2"/>
  <c r="K29" i="2"/>
  <c r="L29" i="2" s="1"/>
  <c r="K30" i="2"/>
  <c r="L30" i="2" s="1"/>
  <c r="K31" i="2"/>
  <c r="L31" i="2" s="1"/>
  <c r="K32" i="2"/>
  <c r="L32" i="2" s="1"/>
  <c r="K33" i="2"/>
  <c r="L33" i="2"/>
  <c r="K34" i="2"/>
  <c r="L34" i="2" s="1"/>
  <c r="T9" i="2"/>
  <c r="N5" i="3" s="1"/>
  <c r="T10" i="2"/>
  <c r="N6" i="3" s="1"/>
  <c r="T11" i="2"/>
  <c r="U11" i="2" s="1"/>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S33" i="2"/>
  <c r="S32" i="2"/>
  <c r="S31" i="2"/>
  <c r="S30" i="2"/>
  <c r="S29" i="2"/>
  <c r="S28" i="2"/>
  <c r="S27" i="2"/>
  <c r="S26" i="2"/>
  <c r="S25" i="2"/>
  <c r="O21" i="3"/>
  <c r="S24" i="2"/>
  <c r="S23" i="2"/>
  <c r="O19" i="3"/>
  <c r="S22" i="2"/>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17" i="2"/>
  <c r="D40" i="2"/>
  <c r="G39" i="2"/>
  <c r="U16" i="2"/>
  <c r="T30" i="3"/>
  <c r="X9" i="3"/>
  <c r="AL25" i="2"/>
  <c r="AM25" i="2" s="1"/>
  <c r="N24" i="3"/>
  <c r="N19" i="3"/>
  <c r="N3" i="3"/>
  <c r="T23" i="3"/>
  <c r="G30" i="1"/>
  <c r="P28" i="3" l="1"/>
  <c r="G28" i="1" s="1"/>
  <c r="N29" i="3"/>
  <c r="K29" i="1" s="1"/>
  <c r="K28" i="1"/>
  <c r="U32" i="2"/>
  <c r="T28" i="3"/>
  <c r="AE32" i="2"/>
  <c r="T27" i="3"/>
  <c r="P27" i="3"/>
  <c r="U30" i="2"/>
  <c r="P26" i="3"/>
  <c r="G26" i="1" s="1"/>
  <c r="P24" i="3"/>
  <c r="G24" i="1" s="1"/>
  <c r="T22" i="3"/>
  <c r="T21" i="3"/>
  <c r="I21" i="1" s="1"/>
  <c r="AE25" i="2"/>
  <c r="X18" i="3"/>
  <c r="P19" i="3"/>
  <c r="G19" i="1" s="1"/>
  <c r="T17" i="3"/>
  <c r="I17" i="1" s="1"/>
  <c r="P17" i="3"/>
  <c r="G17" i="1" s="1"/>
  <c r="P15" i="3"/>
  <c r="G15" i="1" s="1"/>
  <c r="U19" i="2"/>
  <c r="T12" i="3"/>
  <c r="T13" i="3"/>
  <c r="AE17" i="2"/>
  <c r="M33" i="3"/>
  <c r="P11" i="3"/>
  <c r="G11" i="1" s="1"/>
  <c r="U15" i="2"/>
  <c r="N10" i="3"/>
  <c r="P9" i="3"/>
  <c r="G9" i="1" s="1"/>
  <c r="T3" i="3"/>
  <c r="S27" i="3"/>
  <c r="V33" i="3"/>
  <c r="I33" i="3"/>
  <c r="T7" i="3"/>
  <c r="I7" i="1" s="1"/>
  <c r="U9" i="2"/>
  <c r="K33" i="3"/>
  <c r="J33" i="3"/>
  <c r="W33" i="3"/>
  <c r="U33" i="3"/>
  <c r="T5" i="3"/>
  <c r="I5" i="1" s="1"/>
  <c r="Q33" i="3"/>
  <c r="U8" i="2"/>
  <c r="T37" i="2"/>
  <c r="U37" i="2" s="1"/>
  <c r="L33" i="3"/>
  <c r="X27" i="3"/>
  <c r="I27" i="1" s="1"/>
  <c r="AL11" i="2"/>
  <c r="AM11" i="2" s="1"/>
  <c r="X10" i="3"/>
  <c r="T20" i="3"/>
  <c r="P4" i="3"/>
  <c r="G4" i="1" s="1"/>
  <c r="R33" i="3"/>
  <c r="L7" i="2"/>
  <c r="L37" i="2" s="1"/>
  <c r="K37" i="2"/>
  <c r="X2" i="3"/>
  <c r="AK37" i="2"/>
  <c r="AD37" i="2"/>
  <c r="AE37" i="2" s="1"/>
  <c r="AA6" i="2"/>
  <c r="Z37" i="2"/>
  <c r="O2" i="3"/>
  <c r="O33" i="3" s="1"/>
  <c r="R37" i="2"/>
  <c r="R39" i="2" s="1"/>
  <c r="S11" i="3"/>
  <c r="S5" i="3"/>
  <c r="E30" i="1"/>
  <c r="E17" i="1"/>
  <c r="N2" i="3"/>
  <c r="U6" i="2"/>
  <c r="AL6" i="2"/>
  <c r="G3" i="1"/>
  <c r="S3" i="3"/>
  <c r="P2" i="3"/>
  <c r="AA7" i="2"/>
  <c r="AO7" i="2" s="1"/>
  <c r="U25" i="2"/>
  <c r="N18" i="3"/>
  <c r="K18" i="1" s="1"/>
  <c r="S23" i="3"/>
  <c r="K30" i="1"/>
  <c r="K24" i="1"/>
  <c r="E29" i="1"/>
  <c r="K7" i="1"/>
  <c r="S30" i="3"/>
  <c r="X31" i="3"/>
  <c r="X26" i="3"/>
  <c r="X13" i="3"/>
  <c r="AL21" i="2"/>
  <c r="AM21" i="2" s="1"/>
  <c r="I31" i="1"/>
  <c r="T25" i="3"/>
  <c r="I25" i="1" s="1"/>
  <c r="T11" i="3"/>
  <c r="T16" i="3"/>
  <c r="S26" i="3"/>
  <c r="AA17" i="2"/>
  <c r="S15" i="3"/>
  <c r="K15" i="1"/>
  <c r="K11" i="1"/>
  <c r="K8" i="1"/>
  <c r="K4" i="1"/>
  <c r="N31" i="3"/>
  <c r="K31" i="1" s="1"/>
  <c r="K25" i="1"/>
  <c r="E24" i="1"/>
  <c r="E13" i="1"/>
  <c r="E6" i="1"/>
  <c r="X30" i="3"/>
  <c r="I30" i="1" s="1"/>
  <c r="AL34" i="2"/>
  <c r="AM34" i="2" s="1"/>
  <c r="AL24" i="2"/>
  <c r="AM24" i="2" s="1"/>
  <c r="AL9" i="2"/>
  <c r="AM9" i="2" s="1"/>
  <c r="X4" i="3"/>
  <c r="X19" i="3"/>
  <c r="I20" i="1"/>
  <c r="T8" i="3"/>
  <c r="I8" i="1" s="1"/>
  <c r="T24" i="3"/>
  <c r="I22" i="1"/>
  <c r="G13" i="1"/>
  <c r="S13" i="3"/>
  <c r="AO33" i="2"/>
  <c r="S14" i="3"/>
  <c r="P29" i="3"/>
  <c r="AA9" i="2"/>
  <c r="AO9" i="2" s="1"/>
  <c r="S17" i="3"/>
  <c r="P10" i="3"/>
  <c r="P25" i="3"/>
  <c r="G25" i="1" s="1"/>
  <c r="N9" i="3"/>
  <c r="K9" i="1" s="1"/>
  <c r="N16" i="3"/>
  <c r="K16" i="1" s="1"/>
  <c r="AO15" i="2"/>
  <c r="K3" i="1"/>
  <c r="N27" i="3"/>
  <c r="K27" i="1" s="1"/>
  <c r="K26" i="1"/>
  <c r="K10" i="1"/>
  <c r="K13" i="1"/>
  <c r="N23" i="3"/>
  <c r="K23" i="1" s="1"/>
  <c r="K19" i="1"/>
  <c r="AO28" i="2"/>
  <c r="K5" i="1"/>
  <c r="K12" i="1"/>
  <c r="N20" i="3"/>
  <c r="K20" i="1" s="1"/>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O8" i="2"/>
  <c r="AO19" i="2"/>
  <c r="T15" i="3"/>
  <c r="AO13" i="2"/>
  <c r="T9" i="3"/>
  <c r="I9" i="1" s="1"/>
  <c r="AL15" i="2"/>
  <c r="AM15" i="2" s="1"/>
  <c r="X11" i="3"/>
  <c r="T18" i="3"/>
  <c r="I18" i="1" s="1"/>
  <c r="S22" i="3"/>
  <c r="S21" i="3"/>
  <c r="G21" i="1"/>
  <c r="AO23" i="2"/>
  <c r="T10" i="3"/>
  <c r="AO14" i="2"/>
  <c r="AL32" i="2"/>
  <c r="AM32" i="2" s="1"/>
  <c r="X28" i="3"/>
  <c r="AL28" i="2"/>
  <c r="AM28" i="2" s="1"/>
  <c r="X24" i="3"/>
  <c r="I24" i="1" s="1"/>
  <c r="X16" i="3"/>
  <c r="AL20" i="2"/>
  <c r="AM20" i="2" s="1"/>
  <c r="T6" i="3"/>
  <c r="AO22" i="2"/>
  <c r="X3" i="3"/>
  <c r="I3" i="1" s="1"/>
  <c r="X12" i="3"/>
  <c r="AA26" i="2"/>
  <c r="AO26" i="2" s="1"/>
  <c r="N22" i="3"/>
  <c r="K22" i="1" s="1"/>
  <c r="N17" i="3"/>
  <c r="K17" i="1" s="1"/>
  <c r="T19" i="3"/>
  <c r="P18" i="3"/>
  <c r="P7" i="3"/>
  <c r="AA25" i="2"/>
  <c r="P12"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28" i="1" l="1"/>
  <c r="AO32" i="2"/>
  <c r="S24" i="3"/>
  <c r="S19" i="3"/>
  <c r="AO17" i="2"/>
  <c r="I13" i="1"/>
  <c r="I12" i="1"/>
  <c r="I10" i="1"/>
  <c r="S9" i="3"/>
  <c r="S4" i="3"/>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t>
        </r>
      </text>
    </comment>
    <comment ref="AM2" authorId="0" shapeId="0">
      <text>
        <r>
          <rPr>
            <b/>
            <sz val="9"/>
            <color indexed="81"/>
            <rFont val="Tahoma"/>
            <family val="2"/>
          </rPr>
          <t>Marian Chitian:</t>
        </r>
        <r>
          <rPr>
            <sz val="9"/>
            <color indexed="81"/>
            <rFont val="Tahoma"/>
            <family val="2"/>
          </rPr>
          <t xml:space="preserve">
Cost/ unit updated based on current Invoice </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<sst xmlns="http://schemas.openxmlformats.org/spreadsheetml/2006/main" count="220" uniqueCount="105">
  <si>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</si>
  <si>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</si>
  <si>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</si>
  <si>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</si>
  <si>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</si>
  <si>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</si>
  <si>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</si>
  <si>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</si>
  <si>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</si>
  <si>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</si>
  <si>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</si>
  <si>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</si>
  <si>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</si>
  <si>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</si>
  <si>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</si>
  <si>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</si>
  <si>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</si>
  <si>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</si>
  <si>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</si>
  <si>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</si>
  <si>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</si>
  <si>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</si>
  <si>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</si>
  <si>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</si>
  <si>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</si>
  <si>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</si>
  <si>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</si>
  <si>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</si>
  <si>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</si>
  <si>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</si>
  <si>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</si>
  <si>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</si>
  <si>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</si>
  <si>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</si>
  <si>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</si>
  <si>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</si>
  <si>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</si>
  <si>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</si>
  <si>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</si>
  <si>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</si>
  <si>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</si>
  <si>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</si>
  <si>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</si>
  <si>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</si>
  <si>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</si>
  <si>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</si>
  <si>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</si>
  <si>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</si>
  <si>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</si>
  <si>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</si>
  <si>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</si>
  <si>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</si>
  <si>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</si>
  <si>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</si>
  <si>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</si>
  <si>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</si>
  <si>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</si>
  <si>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</si>
  <si>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</si>
  <si>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</si>
  <si>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</si>
  <si>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</si>
  <si>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</si>
  <si>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</si>
  <si>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</si>
  <si>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</si>
  <si>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</si>
  <si>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</si>
  <si>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</si>
  <si>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</si>
  <si>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</si>
  <si>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</si>
  <si>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</si>
  <si>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</si>
  <si>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</si>
  <si>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</si>
  <si>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</si>
  <si>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</si>
  <si>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</si>
  <si>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</si>
  <si>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</si>
  <si>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</si>
  <si>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</si>
  <si>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</si>
  <si>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</si>
  <si>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</si>
  <si>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</si>
  <si>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</si>
  <si>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</si>
  <si>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</si>
  <si>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</si>
  <si>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</si>
  <si>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</si>
  <si>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</si>
  <si>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</si>
  <si>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</si>
  <si>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</si>
  <si>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</si>
  <si>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</si>
  <si>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</si>
  <si>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</si>
  <si>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</si>
  <si>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0001523.21</t>
  </si>
  <si>
    <t>0001523.22</t>
  </si>
  <si>
    <t>AED. 0.332195/Ton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</si>
</sst>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59">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4" fontId="0" fillId="0" borderId="4" xfId="0" applyNumberFormat="1" applyBorder="1" applyAlignment="1">
      <alignment horizontal="center" vertical="center"/>
    </xf>
    <xf numFmtId="165" fontId="9" fillId="0" borderId="19" xfId="0" applyNumberFormat="1" applyFon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C33" sqref="C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8" t="s">
        <v>0</v>
      </c>
      <c r="B1" s="129" t="s">
        <v>1</v>
      </c>
      <c r="C1" s="130" t="s">
        <v>2</v>
      </c>
      <c r="D1" s="129" t="s">
        <v>3</v>
      </c>
      <c r="E1" s="131" t="s">
        <v>4</v>
      </c>
      <c r="F1" s="132" t="s">
        <v>5</v>
      </c>
      <c r="G1" s="131" t="s">
        <v>10</v>
      </c>
      <c r="H1" s="132" t="s">
        <v>11</v>
      </c>
      <c r="I1" s="133" t="s">
        <v>82</v>
      </c>
      <c r="J1" s="134" t="s">
        <v>83</v>
      </c>
      <c r="K1" s="131" t="s">
        <v>6</v>
      </c>
      <c r="L1" s="135" t="s">
        <v>7</v>
      </c>
      <c r="M1" s="131" t="s">
        <v>8</v>
      </c>
      <c r="N1" s="136" t="s">
        <v>9</v>
      </c>
    </row>
    <row r="2" spans="1:15" x14ac:dyDescent="0.25">
      <c r="A2" s="119" t="s">
        <v>80</v>
      </c>
      <c r="B2" s="120">
        <v>1</v>
      </c>
      <c r="C2" s="121">
        <v>5</v>
      </c>
      <c r="D2" s="120">
        <v>2021</v>
      </c>
      <c r="E2" s="110">
        <f>Submetering!E2+Submetering!F2+Submetering!G2+Submetering!H2+Submetering!I2+Submetering!J2+Submetering!K2</f>
        <v>29714</v>
      </c>
      <c r="F2" s="122">
        <v>0.2</v>
      </c>
      <c r="G2" s="110">
        <f>Submetering!P2</f>
        <v>493</v>
      </c>
      <c r="H2" s="122">
        <v>6.47</v>
      </c>
      <c r="I2" s="110">
        <f>Submetering!T2-Submetering!T2*15%-Submetering!X2</f>
        <v>34274.957399997089</v>
      </c>
      <c r="J2" s="109">
        <v>0.21</v>
      </c>
      <c r="K2" s="110">
        <f>Submetering!N2-Submetering!O2</f>
        <v>63.012999999993554</v>
      </c>
      <c r="L2" s="122">
        <v>7.84</v>
      </c>
      <c r="M2" s="110">
        <f>Submetering!Y2</f>
        <v>45</v>
      </c>
      <c r="N2" s="111">
        <f>Submetering!Z2</f>
        <v>72</v>
      </c>
    </row>
    <row r="3" spans="1:15" x14ac:dyDescent="0.25">
      <c r="A3" s="123" t="s">
        <v>80</v>
      </c>
      <c r="B3" s="72">
        <f>B2+1</f>
        <v>2</v>
      </c>
      <c r="C3" s="73">
        <v>5</v>
      </c>
      <c r="D3" s="72">
        <v>2021</v>
      </c>
      <c r="E3" s="71">
        <f>Submetering!E3+Submetering!F3+Submetering!G3+Submetering!H3+Submetering!I3+Submetering!J3+Submetering!K3</f>
        <v>31489</v>
      </c>
      <c r="F3" s="74">
        <v>0.2</v>
      </c>
      <c r="G3" s="71">
        <f>Submetering!P3</f>
        <v>479</v>
      </c>
      <c r="H3" s="74">
        <v>6.47</v>
      </c>
      <c r="I3" s="71">
        <f>Submetering!T3-Submetering!T3*15%-Submetering!X3</f>
        <v>38484.282400002921</v>
      </c>
      <c r="J3" s="70">
        <v>0.21</v>
      </c>
      <c r="K3" s="71">
        <f>Submetering!N3-Submetering!O3</f>
        <v>38.577999999984968</v>
      </c>
      <c r="L3" s="74">
        <v>7.84</v>
      </c>
      <c r="M3" s="71">
        <f>Submetering!Y3</f>
        <v>49</v>
      </c>
      <c r="N3" s="113">
        <f>Submetering!Z3</f>
        <v>75</v>
      </c>
    </row>
    <row r="4" spans="1:15" x14ac:dyDescent="0.25">
      <c r="A4" s="123" t="s">
        <v>80</v>
      </c>
      <c r="B4" s="72">
        <f t="shared" ref="B4:B32" si="0">B3+1</f>
        <v>3</v>
      </c>
      <c r="C4" s="73">
        <v>5</v>
      </c>
      <c r="D4" s="72">
        <v>2021</v>
      </c>
      <c r="E4" s="71">
        <f>Submetering!E4+Submetering!F4+Submetering!G4+Submetering!H4+Submetering!I4+Submetering!J4+Submetering!K4</f>
        <v>29811</v>
      </c>
      <c r="F4" s="74">
        <v>0.2</v>
      </c>
      <c r="G4" s="71">
        <f>Submetering!P4</f>
        <v>474</v>
      </c>
      <c r="H4" s="74">
        <v>6.47</v>
      </c>
      <c r="I4" s="71">
        <f>Submetering!T4-Submetering!T4*15%-Submetering!X4</f>
        <v>35088.844720002009</v>
      </c>
      <c r="J4" s="70">
        <v>0.21</v>
      </c>
      <c r="K4" s="71">
        <f>Submetering!N4-Submetering!O4</f>
        <v>61.202999999996791</v>
      </c>
      <c r="L4" s="74">
        <v>7.84</v>
      </c>
      <c r="M4" s="71">
        <f>Submetering!Y4</f>
        <v>65</v>
      </c>
      <c r="N4" s="113">
        <f>Submetering!Z4</f>
        <v>94</v>
      </c>
    </row>
    <row r="5" spans="1:15" x14ac:dyDescent="0.25">
      <c r="A5" s="123" t="s">
        <v>80</v>
      </c>
      <c r="B5" s="72">
        <f t="shared" si="0"/>
        <v>4</v>
      </c>
      <c r="C5" s="73">
        <v>5</v>
      </c>
      <c r="D5" s="72">
        <v>2021</v>
      </c>
      <c r="E5" s="71">
        <f>Submetering!E5+Submetering!F5+Submetering!G5+Submetering!H5+Submetering!I5+Submetering!J5+Submetering!K5</f>
        <v>28362</v>
      </c>
      <c r="F5" s="74">
        <v>0.2</v>
      </c>
      <c r="G5" s="71">
        <f>Submetering!P5</f>
        <v>424</v>
      </c>
      <c r="H5" s="74">
        <v>6.47</v>
      </c>
      <c r="I5" s="71">
        <f>Submetering!T5-Submetering!T5*15%-Submetering!X5</f>
        <v>36019.509200001456</v>
      </c>
      <c r="J5" s="70">
        <v>0.21</v>
      </c>
      <c r="K5" s="81">
        <f>Submetering!N5-Submetering!O5</f>
        <v>63.466699999996308</v>
      </c>
      <c r="L5" s="74">
        <v>7.84</v>
      </c>
      <c r="M5" s="71">
        <f>Submetering!Y5</f>
        <v>53</v>
      </c>
      <c r="N5" s="113">
        <f>Submetering!Z5</f>
        <v>71</v>
      </c>
    </row>
    <row r="6" spans="1:15" x14ac:dyDescent="0.25">
      <c r="A6" s="123" t="s">
        <v>80</v>
      </c>
      <c r="B6" s="72">
        <f t="shared" si="0"/>
        <v>5</v>
      </c>
      <c r="C6" s="73">
        <v>5</v>
      </c>
      <c r="D6" s="72">
        <v>2021</v>
      </c>
      <c r="E6" s="71">
        <f>Submetering!E6+Submetering!F6+Submetering!G6+Submetering!H6+Submetering!I6+Submetering!J6+Submetering!K6</f>
        <v>30004</v>
      </c>
      <c r="F6" s="74">
        <v>0.2</v>
      </c>
      <c r="G6" s="71">
        <f>Submetering!P6</f>
        <v>436</v>
      </c>
      <c r="H6" s="74">
        <v>6.47</v>
      </c>
      <c r="I6" s="71">
        <f>Submetering!T6-Submetering!T6*15%-Submetering!X6</f>
        <v>41830.340619994808</v>
      </c>
      <c r="J6" s="70">
        <v>0.21</v>
      </c>
      <c r="K6" s="71">
        <f>Submetering!N6-Submetering!O6</f>
        <v>71.122000000008484</v>
      </c>
      <c r="L6" s="74">
        <v>7.84</v>
      </c>
      <c r="M6" s="71">
        <f>Submetering!Y6</f>
        <v>55</v>
      </c>
      <c r="N6" s="113">
        <f>Submetering!Z6</f>
        <v>73</v>
      </c>
    </row>
    <row r="7" spans="1:15" x14ac:dyDescent="0.25">
      <c r="A7" s="123" t="s">
        <v>80</v>
      </c>
      <c r="B7" s="72">
        <f t="shared" si="0"/>
        <v>6</v>
      </c>
      <c r="C7" s="73">
        <v>5</v>
      </c>
      <c r="D7" s="72">
        <v>2021</v>
      </c>
      <c r="E7" s="71">
        <f>Submetering!E7+Submetering!F7+Submetering!G7+Submetering!H7+Submetering!I7+Submetering!J7+Submetering!K7</f>
        <v>31595</v>
      </c>
      <c r="F7" s="74">
        <v>0.2</v>
      </c>
      <c r="G7" s="71">
        <f>Submetering!P7</f>
        <v>452</v>
      </c>
      <c r="H7" s="74">
        <v>6.47</v>
      </c>
      <c r="I7" s="71">
        <f>Submetering!T7-Submetering!T7*15%-Submetering!X7</f>
        <v>43043.982200002909</v>
      </c>
      <c r="J7" s="70">
        <v>0.21</v>
      </c>
      <c r="K7" s="71">
        <f>Submetering!N7-Submetering!O7</f>
        <v>55.279000000001361</v>
      </c>
      <c r="L7" s="74">
        <v>7.84</v>
      </c>
      <c r="M7" s="71">
        <f>Submetering!Y7</f>
        <v>41</v>
      </c>
      <c r="N7" s="113">
        <f>Submetering!Z7</f>
        <v>56</v>
      </c>
    </row>
    <row r="8" spans="1:15" x14ac:dyDescent="0.25">
      <c r="A8" s="123" t="s">
        <v>80</v>
      </c>
      <c r="B8" s="72">
        <f t="shared" si="0"/>
        <v>7</v>
      </c>
      <c r="C8" s="73">
        <v>5</v>
      </c>
      <c r="D8" s="72">
        <v>2021</v>
      </c>
      <c r="E8" s="71">
        <f>Submetering!E8+Submetering!F8+Submetering!G8+Submetering!H8+Submetering!I8+Submetering!J8+Submetering!K8</f>
        <v>30745</v>
      </c>
      <c r="F8" s="74">
        <v>0.2</v>
      </c>
      <c r="G8" s="71">
        <f>Submetering!P8</f>
        <v>495</v>
      </c>
      <c r="H8" s="74">
        <v>6.47</v>
      </c>
      <c r="I8" s="71">
        <f>Submetering!T8-Submetering!T8*15%-Submetering!X8</f>
        <v>39402.269440001182</v>
      </c>
      <c r="J8" s="70">
        <v>0.21</v>
      </c>
      <c r="K8" s="71">
        <f>Submetering!N8-Submetering!O8</f>
        <v>61.068000000003849</v>
      </c>
      <c r="L8" s="74">
        <v>7.84</v>
      </c>
      <c r="M8" s="71">
        <f>Submetering!Y8</f>
        <v>29</v>
      </c>
      <c r="N8" s="113">
        <f>Submetering!Z8</f>
        <v>42</v>
      </c>
    </row>
    <row r="9" spans="1:15" x14ac:dyDescent="0.25">
      <c r="A9" s="123" t="s">
        <v>80</v>
      </c>
      <c r="B9" s="72">
        <f t="shared" si="0"/>
        <v>8</v>
      </c>
      <c r="C9" s="73">
        <v>5</v>
      </c>
      <c r="D9" s="72">
        <v>2021</v>
      </c>
      <c r="E9" s="71">
        <f>Submetering!E9+Submetering!F9+Submetering!G9+Submetering!H9+Submetering!I9+Submetering!J9+Submetering!K9</f>
        <v>31357</v>
      </c>
      <c r="F9" s="74">
        <v>0.2</v>
      </c>
      <c r="G9" s="71">
        <f>Submetering!P9</f>
        <v>447</v>
      </c>
      <c r="H9" s="74">
        <v>6.47</v>
      </c>
      <c r="I9" s="71">
        <f>Submetering!T9-Submetering!T9*15%-Submetering!X9</f>
        <v>39651.935639996751</v>
      </c>
      <c r="J9" s="70">
        <v>0.21</v>
      </c>
      <c r="K9" s="71">
        <f>Submetering!N9-Submetering!O9</f>
        <v>70.073999999995067</v>
      </c>
      <c r="L9" s="74">
        <v>7.84</v>
      </c>
      <c r="M9" s="71">
        <f>Submetering!Y9</f>
        <v>30</v>
      </c>
      <c r="N9" s="113">
        <f>Submetering!Z9</f>
        <v>37</v>
      </c>
      <c r="O9" s="1" t="s">
        <v>12</v>
      </c>
    </row>
    <row r="10" spans="1:15" x14ac:dyDescent="0.25">
      <c r="A10" s="123" t="s">
        <v>80</v>
      </c>
      <c r="B10" s="72">
        <f t="shared" si="0"/>
        <v>9</v>
      </c>
      <c r="C10" s="73">
        <v>5</v>
      </c>
      <c r="D10" s="72">
        <v>2021</v>
      </c>
      <c r="E10" s="71">
        <f>Submetering!E10+Submetering!F10+Submetering!G10+Submetering!H10+Submetering!I10+Submetering!J10+Submetering!K10</f>
        <v>28233</v>
      </c>
      <c r="F10" s="74">
        <v>0.2</v>
      </c>
      <c r="G10" s="71">
        <f>Submetering!P10</f>
        <v>415</v>
      </c>
      <c r="H10" s="74">
        <v>6.47</v>
      </c>
      <c r="I10" s="71">
        <f>Submetering!T10-Submetering!T10*15%-Submetering!X10</f>
        <v>30641.675379999448</v>
      </c>
      <c r="J10" s="70">
        <v>0.21</v>
      </c>
      <c r="K10" s="71">
        <f>Submetering!N10-Submetering!O10</f>
        <v>61.578999999994267</v>
      </c>
      <c r="L10" s="74">
        <v>7.84</v>
      </c>
      <c r="M10" s="71">
        <f>Submetering!Y10</f>
        <v>34</v>
      </c>
      <c r="N10" s="113">
        <f>Submetering!Z10</f>
        <v>52</v>
      </c>
    </row>
    <row r="11" spans="1:15" x14ac:dyDescent="0.25">
      <c r="A11" s="123" t="s">
        <v>80</v>
      </c>
      <c r="B11" s="72">
        <f t="shared" si="0"/>
        <v>10</v>
      </c>
      <c r="C11" s="73">
        <v>5</v>
      </c>
      <c r="D11" s="72">
        <v>2021</v>
      </c>
      <c r="E11" s="71">
        <f>Submetering!E11+Submetering!F11+Submetering!G11+Submetering!H11+Submetering!I11+Submetering!J11+Submetering!K11</f>
        <v>29846</v>
      </c>
      <c r="F11" s="74">
        <v>0.2</v>
      </c>
      <c r="G11" s="71">
        <f>Submetering!P11</f>
        <v>435</v>
      </c>
      <c r="H11" s="74">
        <v>6.47</v>
      </c>
      <c r="I11" s="71">
        <f>Submetering!T11-Submetering!T11*15%-Submetering!X11</f>
        <v>33000.201400002916</v>
      </c>
      <c r="J11" s="70">
        <v>0.21</v>
      </c>
      <c r="K11" s="71">
        <f>Submetering!N11-Submetering!O11</f>
        <v>76.693000000004758</v>
      </c>
      <c r="L11" s="74">
        <v>7.84</v>
      </c>
      <c r="M11" s="71">
        <f>Submetering!Y11</f>
        <v>37</v>
      </c>
      <c r="N11" s="113">
        <f>Submetering!Z11</f>
        <v>61</v>
      </c>
    </row>
    <row r="12" spans="1:15" x14ac:dyDescent="0.25">
      <c r="A12" s="123" t="s">
        <v>80</v>
      </c>
      <c r="B12" s="72">
        <f t="shared" si="0"/>
        <v>11</v>
      </c>
      <c r="C12" s="73">
        <v>5</v>
      </c>
      <c r="D12" s="72">
        <v>2021</v>
      </c>
      <c r="E12" s="71">
        <f>Submetering!E12+Submetering!F12+Submetering!G12+Submetering!H12+Submetering!I12+Submetering!J12+Submetering!K12</f>
        <v>28555</v>
      </c>
      <c r="F12" s="74">
        <v>0.2</v>
      </c>
      <c r="G12" s="71">
        <f>Submetering!P12</f>
        <v>426</v>
      </c>
      <c r="H12" s="74">
        <v>6.47</v>
      </c>
      <c r="I12" s="71">
        <f>Submetering!T12-Submetering!T12*15%-Submetering!X12</f>
        <v>29899.41080000146</v>
      </c>
      <c r="J12" s="70">
        <v>0.21</v>
      </c>
      <c r="K12" s="71">
        <f>Submetering!N12-Submetering!O12</f>
        <v>147.20999999998548</v>
      </c>
      <c r="L12" s="74">
        <v>7.84</v>
      </c>
      <c r="M12" s="71">
        <f>Submetering!Y12</f>
        <v>22</v>
      </c>
      <c r="N12" s="113">
        <f>Submetering!Z12</f>
        <v>37</v>
      </c>
    </row>
    <row r="13" spans="1:15" x14ac:dyDescent="0.25">
      <c r="A13" s="123" t="s">
        <v>80</v>
      </c>
      <c r="B13" s="72">
        <f t="shared" si="0"/>
        <v>12</v>
      </c>
      <c r="C13" s="73">
        <v>5</v>
      </c>
      <c r="D13" s="72">
        <v>2021</v>
      </c>
      <c r="E13" s="71">
        <f>Submetering!E13+Submetering!F13+Submetering!G13+Submetering!H13+Submetering!I13+Submetering!J13+Submetering!K13</f>
        <v>30783</v>
      </c>
      <c r="F13" s="74">
        <v>0.2</v>
      </c>
      <c r="G13" s="71">
        <f>Submetering!P13</f>
        <v>423</v>
      </c>
      <c r="H13" s="74">
        <v>6.47</v>
      </c>
      <c r="I13" s="71">
        <f>Submetering!T13-Submetering!T13*15%-Submetering!X13</f>
        <v>39216.766599995637</v>
      </c>
      <c r="J13" s="70">
        <v>0.21</v>
      </c>
      <c r="K13" s="71">
        <f>Submetering!N13-Submetering!O13</f>
        <v>119.34700000000339</v>
      </c>
      <c r="L13" s="74">
        <v>7.84</v>
      </c>
      <c r="M13" s="71">
        <f>Submetering!Y13</f>
        <v>36</v>
      </c>
      <c r="N13" s="113">
        <f>Submetering!Z13</f>
        <v>68</v>
      </c>
    </row>
    <row r="14" spans="1:15" x14ac:dyDescent="0.25">
      <c r="A14" s="123" t="s">
        <v>80</v>
      </c>
      <c r="B14" s="72">
        <f t="shared" si="0"/>
        <v>13</v>
      </c>
      <c r="C14" s="73">
        <v>5</v>
      </c>
      <c r="D14" s="72">
        <v>2021</v>
      </c>
      <c r="E14" s="71">
        <f>Submetering!E14+Submetering!F14+Submetering!G14+Submetering!H14+Submetering!I14+Submetering!J14+Submetering!K14</f>
        <v>30711</v>
      </c>
      <c r="F14" s="74">
        <v>0.2</v>
      </c>
      <c r="G14" s="71">
        <f>Submetering!P14</f>
        <v>441</v>
      </c>
      <c r="H14" s="74">
        <v>6.47</v>
      </c>
      <c r="I14" s="71">
        <f>Submetering!T14-Submetering!T14*15%-Submetering!X14</f>
        <v>39894.038799999995</v>
      </c>
      <c r="J14" s="70">
        <v>0.21</v>
      </c>
      <c r="K14" s="71">
        <f>Submetering!N14-Submetering!O14</f>
        <v>46.961000000012973</v>
      </c>
      <c r="L14" s="74">
        <v>7.84</v>
      </c>
      <c r="M14" s="71">
        <f>Submetering!Y14</f>
        <v>89</v>
      </c>
      <c r="N14" s="113">
        <f>Submetering!Z14</f>
        <v>178</v>
      </c>
    </row>
    <row r="15" spans="1:15" x14ac:dyDescent="0.25">
      <c r="A15" s="123" t="s">
        <v>80</v>
      </c>
      <c r="B15" s="72">
        <f t="shared" si="0"/>
        <v>14</v>
      </c>
      <c r="C15" s="73">
        <v>5</v>
      </c>
      <c r="D15" s="72">
        <v>2021</v>
      </c>
      <c r="E15" s="71">
        <f>Submetering!E15+Submetering!F15+Submetering!G15+Submetering!H15+Submetering!I15+Submetering!J15+Submetering!K15</f>
        <v>33634</v>
      </c>
      <c r="F15" s="74">
        <v>0.2</v>
      </c>
      <c r="G15" s="71">
        <f>Submetering!P15</f>
        <v>517</v>
      </c>
      <c r="H15" s="74">
        <v>6.47</v>
      </c>
      <c r="I15" s="71">
        <f>Submetering!T15-Submetering!T15*15%-Submetering!X15</f>
        <v>48261.492200000008</v>
      </c>
      <c r="J15" s="70">
        <v>0.21</v>
      </c>
      <c r="K15" s="81">
        <f>Submetering!N15-Submetering!O15</f>
        <v>78.985999999996238</v>
      </c>
      <c r="L15" s="74">
        <v>7.84</v>
      </c>
      <c r="M15" s="71">
        <f>Submetering!Y15</f>
        <v>131</v>
      </c>
      <c r="N15" s="113">
        <f>Submetering!Z15</f>
        <v>265</v>
      </c>
    </row>
    <row r="16" spans="1:15" x14ac:dyDescent="0.25">
      <c r="A16" s="123" t="s">
        <v>80</v>
      </c>
      <c r="B16" s="72">
        <f t="shared" si="0"/>
        <v>15</v>
      </c>
      <c r="C16" s="73">
        <v>5</v>
      </c>
      <c r="D16" s="72">
        <v>2021</v>
      </c>
      <c r="E16" s="71">
        <f>Submetering!E16+Submetering!F16+Submetering!G16+Submetering!H16+Submetering!I16+Submetering!J16+Submetering!K16</f>
        <v>31802</v>
      </c>
      <c r="F16" s="74">
        <v>0.2</v>
      </c>
      <c r="G16" s="71">
        <f>Submetering!P16</f>
        <v>448</v>
      </c>
      <c r="H16" s="74">
        <v>6.47</v>
      </c>
      <c r="I16" s="71">
        <f>Submetering!T16-Submetering!T16*15%-Submetering!X16</f>
        <v>47505.701820004921</v>
      </c>
      <c r="J16" s="70">
        <v>0.21</v>
      </c>
      <c r="K16" s="71">
        <f>Submetering!N16-Submetering!O16</f>
        <v>76.68600000000697</v>
      </c>
      <c r="L16" s="74">
        <v>7.84</v>
      </c>
      <c r="M16" s="71">
        <f>Submetering!Y16</f>
        <v>70</v>
      </c>
      <c r="N16" s="113">
        <f>Submetering!Z16</f>
        <v>128</v>
      </c>
    </row>
    <row r="17" spans="1:14" x14ac:dyDescent="0.25">
      <c r="A17" s="123" t="s">
        <v>80</v>
      </c>
      <c r="B17" s="72">
        <f t="shared" si="0"/>
        <v>16</v>
      </c>
      <c r="C17" s="73">
        <v>5</v>
      </c>
      <c r="D17" s="72">
        <v>2021</v>
      </c>
      <c r="E17" s="71">
        <f>Submetering!E17+Submetering!F17+Submetering!G17+Submetering!H17+Submetering!I17+Submetering!J17+Submetering!K17</f>
        <v>30483</v>
      </c>
      <c r="F17" s="74">
        <v>0.2</v>
      </c>
      <c r="G17" s="71">
        <f>Submetering!P17</f>
        <v>395</v>
      </c>
      <c r="H17" s="74">
        <v>6.47</v>
      </c>
      <c r="I17" s="71">
        <f>Submetering!T17-Submetering!T17*15%-Submetering!X17</f>
        <v>38058.370799995639</v>
      </c>
      <c r="J17" s="70">
        <v>0.21</v>
      </c>
      <c r="K17" s="71">
        <f>Submetering!N17-Submetering!O17</f>
        <v>71.461999999991349</v>
      </c>
      <c r="L17" s="74">
        <v>7.84</v>
      </c>
      <c r="M17" s="71">
        <f>Submetering!Y17</f>
        <v>56</v>
      </c>
      <c r="N17" s="113">
        <f>Submetering!Z17</f>
        <v>86</v>
      </c>
    </row>
    <row r="18" spans="1:14" x14ac:dyDescent="0.25">
      <c r="A18" s="123" t="s">
        <v>80</v>
      </c>
      <c r="B18" s="72">
        <f t="shared" si="0"/>
        <v>17</v>
      </c>
      <c r="C18" s="73">
        <v>5</v>
      </c>
      <c r="D18" s="72">
        <v>2021</v>
      </c>
      <c r="E18" s="71">
        <f>Submetering!E18+Submetering!F18+Submetering!G18+Submetering!H18+Submetering!I18+Submetering!J18+Submetering!K18</f>
        <v>31107</v>
      </c>
      <c r="F18" s="74">
        <v>0.2</v>
      </c>
      <c r="G18" s="71">
        <f>Submetering!P18</f>
        <v>367</v>
      </c>
      <c r="H18" s="74">
        <v>6.47</v>
      </c>
      <c r="I18" s="71">
        <f>Submetering!T18-Submetering!T18*15%-Submetering!X18</f>
        <v>42866.792000000001</v>
      </c>
      <c r="J18" s="70">
        <v>0.21</v>
      </c>
      <c r="K18" s="71">
        <f>Submetering!N18-Submetering!O18</f>
        <v>46.902999999993881</v>
      </c>
      <c r="L18" s="74">
        <v>7.84</v>
      </c>
      <c r="M18" s="71">
        <f>Submetering!Y18</f>
        <v>61</v>
      </c>
      <c r="N18" s="113">
        <f>Submetering!Z18</f>
        <v>80</v>
      </c>
    </row>
    <row r="19" spans="1:14" x14ac:dyDescent="0.25">
      <c r="A19" s="123" t="s">
        <v>80</v>
      </c>
      <c r="B19" s="72">
        <f t="shared" si="0"/>
        <v>18</v>
      </c>
      <c r="C19" s="73">
        <v>5</v>
      </c>
      <c r="D19" s="72">
        <v>2021</v>
      </c>
      <c r="E19" s="71">
        <f>Submetering!E19+Submetering!F19+Submetering!G19+Submetering!H19+Submetering!I19+Submetering!J19+Submetering!K19</f>
        <v>31297</v>
      </c>
      <c r="F19" s="74">
        <v>0.2</v>
      </c>
      <c r="G19" s="71">
        <f>Submetering!P19</f>
        <v>475</v>
      </c>
      <c r="H19" s="74">
        <v>6.47</v>
      </c>
      <c r="I19" s="71">
        <f>Submetering!T19-Submetering!T19*15%-Submetering!X19</f>
        <v>46645.091000001456</v>
      </c>
      <c r="J19" s="70">
        <v>0.21</v>
      </c>
      <c r="K19" s="71">
        <f>Submetering!N19-Submetering!O19</f>
        <v>44.437000000016269</v>
      </c>
      <c r="L19" s="74">
        <v>7.84</v>
      </c>
      <c r="M19" s="71">
        <f>Submetering!Y19</f>
        <v>58</v>
      </c>
      <c r="N19" s="113">
        <f>Submetering!Z19</f>
        <v>88</v>
      </c>
    </row>
    <row r="20" spans="1:14" x14ac:dyDescent="0.25">
      <c r="A20" s="123" t="s">
        <v>80</v>
      </c>
      <c r="B20" s="72">
        <f t="shared" si="0"/>
        <v>19</v>
      </c>
      <c r="C20" s="73">
        <v>5</v>
      </c>
      <c r="D20" s="72">
        <v>2021</v>
      </c>
      <c r="E20" s="71">
        <f>Submetering!E20+Submetering!F20+Submetering!G20+Submetering!H20+Submetering!I20+Submetering!J20+Submetering!K20</f>
        <v>28992</v>
      </c>
      <c r="F20" s="74">
        <v>0.2</v>
      </c>
      <c r="G20" s="71">
        <f>Submetering!P20</f>
        <v>488</v>
      </c>
      <c r="H20" s="74">
        <v>6.47</v>
      </c>
      <c r="I20" s="71">
        <f>Submetering!T20-Submetering!T20*15%-Submetering!X20</f>
        <v>40622.367839998333</v>
      </c>
      <c r="J20" s="70">
        <v>0.21</v>
      </c>
      <c r="K20" s="71">
        <f>Submetering!N20-Submetering!O20</f>
        <v>40.906999999991967</v>
      </c>
      <c r="L20" s="74">
        <v>7.84</v>
      </c>
      <c r="M20" s="71">
        <f>Submetering!Y20</f>
        <v>52</v>
      </c>
      <c r="N20" s="113">
        <f>Submetering!Z20</f>
        <v>78</v>
      </c>
    </row>
    <row r="21" spans="1:14" x14ac:dyDescent="0.25">
      <c r="A21" s="123" t="s">
        <v>80</v>
      </c>
      <c r="B21" s="72">
        <f t="shared" si="0"/>
        <v>20</v>
      </c>
      <c r="C21" s="73">
        <v>5</v>
      </c>
      <c r="D21" s="72">
        <v>2021</v>
      </c>
      <c r="E21" s="71">
        <f>Submetering!E21+Submetering!F21+Submetering!G21+Submetering!H21+Submetering!I21+Submetering!J21+Submetering!K21</f>
        <v>30190</v>
      </c>
      <c r="F21" s="74">
        <v>0.2</v>
      </c>
      <c r="G21" s="71">
        <f>Submetering!P21</f>
        <v>520</v>
      </c>
      <c r="H21" s="74">
        <v>6.47</v>
      </c>
      <c r="I21" s="71">
        <f>Submetering!T21-Submetering!T21*15%-Submetering!X21</f>
        <v>41385.579180005137</v>
      </c>
      <c r="J21" s="70">
        <v>0.21</v>
      </c>
      <c r="K21" s="71">
        <f>Submetering!N21-Submetering!O21</f>
        <v>68.609999999989668</v>
      </c>
      <c r="L21" s="74">
        <v>7.84</v>
      </c>
      <c r="M21" s="71">
        <f>Submetering!Y21</f>
        <v>73</v>
      </c>
      <c r="N21" s="113">
        <f>Submetering!Z21</f>
        <v>106</v>
      </c>
    </row>
    <row r="22" spans="1:14" x14ac:dyDescent="0.25">
      <c r="A22" s="123" t="s">
        <v>80</v>
      </c>
      <c r="B22" s="72">
        <f t="shared" si="0"/>
        <v>21</v>
      </c>
      <c r="C22" s="73">
        <v>5</v>
      </c>
      <c r="D22" s="72">
        <v>2021</v>
      </c>
      <c r="E22" s="71">
        <f>Submetering!E22+Submetering!F22+Submetering!G22+Submetering!H22+Submetering!I22+Submetering!J22+Submetering!K22</f>
        <v>30597</v>
      </c>
      <c r="F22" s="74">
        <v>0.2</v>
      </c>
      <c r="G22" s="71">
        <f>Submetering!P22</f>
        <v>590</v>
      </c>
      <c r="H22" s="74">
        <v>6.47</v>
      </c>
      <c r="I22" s="71">
        <f>Submetering!T22-Submetering!T22*15%-Submetering!X22</f>
        <v>54568.154019991955</v>
      </c>
      <c r="J22" s="70">
        <v>0.21</v>
      </c>
      <c r="K22" s="71">
        <f>Submetering!N22-Submetering!O22</f>
        <v>101.80200000001514</v>
      </c>
      <c r="L22" s="74">
        <v>7.84</v>
      </c>
      <c r="M22" s="71">
        <f>Submetering!Y22</f>
        <v>85</v>
      </c>
      <c r="N22" s="113">
        <f>Submetering!Z22</f>
        <v>131</v>
      </c>
    </row>
    <row r="23" spans="1:14" x14ac:dyDescent="0.25">
      <c r="A23" s="123" t="s">
        <v>80</v>
      </c>
      <c r="B23" s="72">
        <f t="shared" si="0"/>
        <v>22</v>
      </c>
      <c r="C23" s="73">
        <v>5</v>
      </c>
      <c r="D23" s="72">
        <v>2021</v>
      </c>
      <c r="E23" s="71">
        <f>Submetering!E23+Submetering!F23+Submetering!G23+Submetering!H23+Submetering!I23+Submetering!J23+Submetering!K23</f>
        <v>30392</v>
      </c>
      <c r="F23" s="74">
        <v>0.2</v>
      </c>
      <c r="G23" s="71">
        <f>Submetering!P23</f>
        <v>549</v>
      </c>
      <c r="H23" s="74">
        <v>6.47</v>
      </c>
      <c r="I23" s="71">
        <f>Submetering!T23-Submetering!T23*15%-Submetering!X23</f>
        <v>49676.517200002912</v>
      </c>
      <c r="J23" s="70">
        <v>0.21</v>
      </c>
      <c r="K23" s="71">
        <f>Submetering!N23-Submetering!O23</f>
        <v>60.943999999994048</v>
      </c>
      <c r="L23" s="74">
        <v>7.84</v>
      </c>
      <c r="M23" s="71">
        <f>Submetering!Y23</f>
        <v>58</v>
      </c>
      <c r="N23" s="113">
        <f>Submetering!Z23</f>
        <v>86</v>
      </c>
    </row>
    <row r="24" spans="1:14" x14ac:dyDescent="0.25">
      <c r="A24" s="123" t="s">
        <v>80</v>
      </c>
      <c r="B24" s="72">
        <f t="shared" si="0"/>
        <v>23</v>
      </c>
      <c r="C24" s="73">
        <v>5</v>
      </c>
      <c r="D24" s="72">
        <v>2021</v>
      </c>
      <c r="E24" s="71">
        <f>Submetering!E24+Submetering!F24+Submetering!G24+Submetering!H24+Submetering!I24+Submetering!J24+Submetering!K24</f>
        <v>29098</v>
      </c>
      <c r="F24" s="74">
        <v>0.2</v>
      </c>
      <c r="G24" s="71">
        <f>Submetering!P24</f>
        <v>537</v>
      </c>
      <c r="H24" s="74">
        <v>6.47</v>
      </c>
      <c r="I24" s="71">
        <f>Submetering!T24-Submetering!T24*15%-Submetering!X24</f>
        <v>42779.546540001116</v>
      </c>
      <c r="J24" s="70">
        <v>0.21</v>
      </c>
      <c r="K24" s="71">
        <f>Submetering!N24-Submetering!O24</f>
        <v>46.446000000007189</v>
      </c>
      <c r="L24" s="74">
        <v>7.84</v>
      </c>
      <c r="M24" s="71">
        <f>Submetering!Y24</f>
        <v>61</v>
      </c>
      <c r="N24" s="113">
        <f>Submetering!Z24</f>
        <v>88</v>
      </c>
    </row>
    <row r="25" spans="1:14" x14ac:dyDescent="0.25">
      <c r="A25" s="123" t="s">
        <v>80</v>
      </c>
      <c r="B25" s="72">
        <f t="shared" si="0"/>
        <v>24</v>
      </c>
      <c r="C25" s="73">
        <v>5</v>
      </c>
      <c r="D25" s="72">
        <v>2021</v>
      </c>
      <c r="E25" s="71">
        <f>Submetering!E25+Submetering!F25+Submetering!G25+Submetering!H25+Submetering!I25+Submetering!J25+Submetering!K25</f>
        <v>28779</v>
      </c>
      <c r="F25" s="74">
        <v>0.2</v>
      </c>
      <c r="G25" s="71">
        <f>Submetering!P25</f>
        <v>540</v>
      </c>
      <c r="H25" s="74">
        <v>6.47</v>
      </c>
      <c r="I25" s="71">
        <f>Submetering!T25-Submetering!T25*15%-Submetering!X25</f>
        <v>51157.990199998545</v>
      </c>
      <c r="J25" s="70">
        <v>0.21</v>
      </c>
      <c r="K25" s="71">
        <f>Submetering!N25-Submetering!O25</f>
        <v>60.49300000000494</v>
      </c>
      <c r="L25" s="74">
        <v>7.84</v>
      </c>
      <c r="M25" s="71">
        <f>Submetering!Y25</f>
        <v>75</v>
      </c>
      <c r="N25" s="113">
        <f>Submetering!Z25</f>
        <v>100</v>
      </c>
    </row>
    <row r="26" spans="1:14" x14ac:dyDescent="0.25">
      <c r="A26" s="123" t="s">
        <v>80</v>
      </c>
      <c r="B26" s="72">
        <f>B25+1</f>
        <v>25</v>
      </c>
      <c r="C26" s="73">
        <v>5</v>
      </c>
      <c r="D26" s="72">
        <v>2021</v>
      </c>
      <c r="E26" s="71">
        <f>Submetering!E26+Submetering!F26+Submetering!G26+Submetering!H26+Submetering!I26+Submetering!J26+Submetering!K26</f>
        <v>28693</v>
      </c>
      <c r="F26" s="74">
        <v>0.2</v>
      </c>
      <c r="G26" s="71">
        <f>Submetering!P26</f>
        <v>605</v>
      </c>
      <c r="H26" s="74">
        <v>6.47</v>
      </c>
      <c r="I26" s="71">
        <f>Submetering!T26-Submetering!T26*15%-Submetering!X26</f>
        <v>41544.999200000006</v>
      </c>
      <c r="J26" s="70">
        <v>0.21</v>
      </c>
      <c r="K26" s="71">
        <f>Submetering!N26-Submetering!O26</f>
        <v>74.107000000006337</v>
      </c>
      <c r="L26" s="74">
        <v>7.84</v>
      </c>
      <c r="M26" s="71">
        <f>Submetering!Y26</f>
        <v>97</v>
      </c>
      <c r="N26" s="113">
        <f>Submetering!Z26</f>
        <v>136</v>
      </c>
    </row>
    <row r="27" spans="1:14" x14ac:dyDescent="0.25">
      <c r="A27" s="123" t="s">
        <v>80</v>
      </c>
      <c r="B27" s="72">
        <f t="shared" si="0"/>
        <v>26</v>
      </c>
      <c r="C27" s="73">
        <v>5</v>
      </c>
      <c r="D27" s="72">
        <v>2021</v>
      </c>
      <c r="E27" s="71">
        <f>Submetering!E27+Submetering!F27+Submetering!G27+Submetering!H27+Submetering!I27+Submetering!J27+Submetering!K27</f>
        <v>29497</v>
      </c>
      <c r="F27" s="74">
        <v>0.2</v>
      </c>
      <c r="G27" s="71">
        <f>Submetering!P27</f>
        <v>583</v>
      </c>
      <c r="H27" s="74">
        <v>6.47</v>
      </c>
      <c r="I27" s="71">
        <f>Submetering!T27-Submetering!T27*15%-Submetering!X27</f>
        <v>46821.922000002916</v>
      </c>
      <c r="J27" s="70">
        <v>0.21</v>
      </c>
      <c r="K27" s="71">
        <f>Submetering!N27-Submetering!O27</f>
        <v>72.623000000002321</v>
      </c>
      <c r="L27" s="74">
        <v>7.84</v>
      </c>
      <c r="M27" s="71">
        <f>Submetering!Y27</f>
        <v>102</v>
      </c>
      <c r="N27" s="113">
        <f>Submetering!Z27</f>
        <v>156</v>
      </c>
    </row>
    <row r="28" spans="1:14" x14ac:dyDescent="0.25">
      <c r="A28" s="123" t="s">
        <v>80</v>
      </c>
      <c r="B28" s="72">
        <f t="shared" si="0"/>
        <v>27</v>
      </c>
      <c r="C28" s="73">
        <v>5</v>
      </c>
      <c r="D28" s="72">
        <v>2021</v>
      </c>
      <c r="E28" s="71">
        <f>Submetering!E28+Submetering!F28+Submetering!G28+Submetering!H28+Submetering!I28+Submetering!J28+Submetering!K28</f>
        <v>30413</v>
      </c>
      <c r="F28" s="74">
        <v>0.2</v>
      </c>
      <c r="G28" s="71">
        <f>Submetering!P28</f>
        <v>588</v>
      </c>
      <c r="H28" s="74">
        <v>6.47</v>
      </c>
      <c r="I28" s="71">
        <f>Submetering!T28-Submetering!T28*15%-Submetering!X28</f>
        <v>50241.15759999564</v>
      </c>
      <c r="J28" s="70">
        <v>0.21</v>
      </c>
      <c r="K28" s="71">
        <f>Submetering!N28-Submetering!O28</f>
        <v>60.667000000011285</v>
      </c>
      <c r="L28" s="74">
        <v>7.84</v>
      </c>
      <c r="M28" s="71">
        <f>Submetering!Y28</f>
        <v>135</v>
      </c>
      <c r="N28" s="113">
        <f>Submetering!Z28</f>
        <v>228</v>
      </c>
    </row>
    <row r="29" spans="1:14" x14ac:dyDescent="0.25">
      <c r="A29" s="123" t="s">
        <v>80</v>
      </c>
      <c r="B29" s="72">
        <f t="shared" si="0"/>
        <v>28</v>
      </c>
      <c r="C29" s="73">
        <v>5</v>
      </c>
      <c r="D29" s="72">
        <v>2021</v>
      </c>
      <c r="E29" s="71">
        <f>Submetering!E29+Submetering!F29+Submetering!G29+Submetering!H29+Submetering!I29+Submetering!J29+Submetering!K29</f>
        <v>33921</v>
      </c>
      <c r="F29" s="74">
        <v>0.2</v>
      </c>
      <c r="G29" s="71">
        <f>Submetering!P29</f>
        <v>655</v>
      </c>
      <c r="H29" s="74">
        <v>6.47</v>
      </c>
      <c r="I29" s="71">
        <f>Submetering!T29-Submetering!T29*15%-Submetering!X29</f>
        <v>64006.690200000012</v>
      </c>
      <c r="J29" s="70">
        <v>0.21</v>
      </c>
      <c r="K29" s="71">
        <f>Submetering!N29-Submetering!O29</f>
        <v>64.30799999998635</v>
      </c>
      <c r="L29" s="74">
        <v>7.84</v>
      </c>
      <c r="M29" s="71">
        <f>Submetering!Y29</f>
        <v>115</v>
      </c>
      <c r="N29" s="113">
        <f>Submetering!Z29</f>
        <v>196</v>
      </c>
    </row>
    <row r="30" spans="1:14" x14ac:dyDescent="0.25">
      <c r="A30" s="123" t="s">
        <v>80</v>
      </c>
      <c r="B30" s="72">
        <f t="shared" si="0"/>
        <v>29</v>
      </c>
      <c r="C30" s="73">
        <v>5</v>
      </c>
      <c r="D30" s="72">
        <v>2021</v>
      </c>
      <c r="E30" s="71">
        <f>Submetering!E30+Submetering!F30+Submetering!G30+Submetering!H30+Submetering!I30+Submetering!J30+Submetering!K30</f>
        <v>32727</v>
      </c>
      <c r="F30" s="74">
        <v>0.2</v>
      </c>
      <c r="G30" s="71">
        <f>Submetering!P30</f>
        <v>589</v>
      </c>
      <c r="H30" s="74">
        <v>6.47</v>
      </c>
      <c r="I30" s="71">
        <f>Submetering!T30-Submetering!T30*15%-Submetering!X30</f>
        <v>59379.906000005823</v>
      </c>
      <c r="J30" s="70">
        <v>0.21</v>
      </c>
      <c r="K30" s="71">
        <f>Submetering!N30-Submetering!O30</f>
        <v>76.496999999999389</v>
      </c>
      <c r="L30" s="74">
        <v>7.84</v>
      </c>
      <c r="M30" s="71">
        <f>Submetering!Y30</f>
        <v>62</v>
      </c>
      <c r="N30" s="113">
        <f>Submetering!Z30</f>
        <v>102</v>
      </c>
    </row>
    <row r="31" spans="1:14" x14ac:dyDescent="0.25">
      <c r="A31" s="143" t="s">
        <v>80</v>
      </c>
      <c r="B31" s="144">
        <f t="shared" si="0"/>
        <v>30</v>
      </c>
      <c r="C31" s="73">
        <v>5</v>
      </c>
      <c r="D31" s="72">
        <v>2021</v>
      </c>
      <c r="E31" s="141">
        <f>Submetering!E31+Submetering!F31+Submetering!G31+Submetering!H31+Submetering!I31+Submetering!J31+Submetering!K31</f>
        <v>30352</v>
      </c>
      <c r="F31" s="145">
        <v>0.2</v>
      </c>
      <c r="G31" s="141">
        <f>Submetering!P31</f>
        <v>537</v>
      </c>
      <c r="H31" s="145">
        <v>6.47</v>
      </c>
      <c r="I31" s="141">
        <f>Submetering!T31-Submetering!T31*15%-Submetering!X31</f>
        <v>50190.351399995634</v>
      </c>
      <c r="J31" s="140">
        <v>0.21</v>
      </c>
      <c r="K31" s="141">
        <f>Submetering!N31-Submetering!O31</f>
        <v>63.778000000017528</v>
      </c>
      <c r="L31" s="145">
        <v>7.84</v>
      </c>
      <c r="M31" s="141">
        <f>Submetering!Y31</f>
        <v>113</v>
      </c>
      <c r="N31" s="142">
        <f>Submetering!Z31</f>
        <v>174</v>
      </c>
    </row>
    <row r="32" spans="1:14" ht="15.75" thickBot="1" x14ac:dyDescent="0.3">
      <c r="A32" s="124" t="s">
        <v>80</v>
      </c>
      <c r="B32" s="125">
        <f t="shared" si="0"/>
        <v>31</v>
      </c>
      <c r="C32" s="126">
        <v>5</v>
      </c>
      <c r="D32" s="125">
        <v>2021</v>
      </c>
      <c r="E32" s="117">
        <f>Submetering!E32+Submetering!F32+Submetering!G32+Submetering!H32+Submetering!I32+Submetering!J32+Submetering!K32</f>
        <v>30747</v>
      </c>
      <c r="F32" s="127">
        <v>0.2</v>
      </c>
      <c r="G32" s="117">
        <f>Submetering!P32</f>
        <v>564</v>
      </c>
      <c r="H32" s="127">
        <v>6.47</v>
      </c>
      <c r="I32" s="117">
        <f>Submetering!T32-Submetering!T32*15%-Submetering!X32</f>
        <v>52445.604399999997</v>
      </c>
      <c r="J32" s="116">
        <v>0.21</v>
      </c>
      <c r="K32" s="117">
        <f>Submetering!N32-Submetering!O32</f>
        <v>67.667999999982385</v>
      </c>
      <c r="L32" s="127">
        <v>7.84</v>
      </c>
      <c r="M32" s="117">
        <f>Submetering!Y32</f>
        <v>113</v>
      </c>
      <c r="N32" s="118">
        <f>Submetering!Z32</f>
        <v>157</v>
      </c>
    </row>
    <row r="33" spans="13:14" x14ac:dyDescent="0.25">
      <c r="M33" s="4">
        <f>SUM(M2:M32)</f>
        <v>2102</v>
      </c>
      <c r="N33" s="4">
        <f>SUM(N2:N32)</f>
        <v>3301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2" sqref="Y22:Y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1" t="s">
        <v>0</v>
      </c>
      <c r="B1" s="102" t="s">
        <v>1</v>
      </c>
      <c r="C1" s="103" t="s">
        <v>2</v>
      </c>
      <c r="D1" s="102" t="s">
        <v>3</v>
      </c>
      <c r="E1" s="104" t="s">
        <v>64</v>
      </c>
      <c r="F1" s="104" t="s">
        <v>81</v>
      </c>
      <c r="G1" s="104" t="s">
        <v>84</v>
      </c>
      <c r="H1" s="104" t="s">
        <v>65</v>
      </c>
      <c r="I1" s="104" t="s">
        <v>66</v>
      </c>
      <c r="J1" s="104" t="s">
        <v>67</v>
      </c>
      <c r="K1" s="104" t="s">
        <v>68</v>
      </c>
      <c r="L1" s="105" t="s">
        <v>69</v>
      </c>
      <c r="M1" s="105" t="s">
        <v>70</v>
      </c>
      <c r="N1" s="105" t="s">
        <v>71</v>
      </c>
      <c r="O1" s="105" t="s">
        <v>72</v>
      </c>
      <c r="P1" s="105" t="s">
        <v>73</v>
      </c>
      <c r="Q1" s="105" t="s">
        <v>74</v>
      </c>
      <c r="R1" s="105" t="s">
        <v>75</v>
      </c>
      <c r="S1" s="105" t="s">
        <v>91</v>
      </c>
      <c r="T1" s="105" t="s">
        <v>86</v>
      </c>
      <c r="U1" s="105" t="s">
        <v>87</v>
      </c>
      <c r="V1" s="105" t="s">
        <v>88</v>
      </c>
      <c r="W1" s="105" t="s">
        <v>89</v>
      </c>
      <c r="X1" s="105" t="s">
        <v>90</v>
      </c>
      <c r="Y1" s="106" t="s">
        <v>8</v>
      </c>
      <c r="Z1" s="105" t="s">
        <v>9</v>
      </c>
    </row>
    <row r="2" spans="1:26" x14ac:dyDescent="0.25">
      <c r="A2" s="107" t="s">
        <v>80</v>
      </c>
      <c r="B2" s="108">
        <v>1</v>
      </c>
      <c r="C2" s="109">
        <v>5</v>
      </c>
      <c r="D2" s="108">
        <v>2021</v>
      </c>
      <c r="E2" s="110">
        <f>'FS-AD Daily '!B6</f>
        <v>5306</v>
      </c>
      <c r="F2" s="110">
        <f>'FS-AD Daily '!C6</f>
        <v>3061</v>
      </c>
      <c r="G2" s="110">
        <f>'FS-AD Daily '!D6</f>
        <v>865</v>
      </c>
      <c r="H2" s="110">
        <f>'FS-AD Daily '!E6</f>
        <v>6143</v>
      </c>
      <c r="I2" s="110">
        <f>'FS-AD Daily '!F6</f>
        <v>5880</v>
      </c>
      <c r="J2" s="110">
        <f>'FS-AD Daily '!G6</f>
        <v>2653</v>
      </c>
      <c r="K2" s="110">
        <f>'FS-AD Daily '!H6</f>
        <v>5806</v>
      </c>
      <c r="L2" s="110">
        <f>'FS-AD Daily '!I6</f>
        <v>2473</v>
      </c>
      <c r="M2" s="110">
        <f>'FS-AD Daily '!J6</f>
        <v>6622</v>
      </c>
      <c r="N2" s="110">
        <f>'FS-AD Daily '!T6</f>
        <v>132.59199999999691</v>
      </c>
      <c r="O2" s="110">
        <f>'FS-AD Daily '!R6</f>
        <v>69.579000000003361</v>
      </c>
      <c r="P2" s="110">
        <f>'FS-AD Daily '!Z6</f>
        <v>493</v>
      </c>
      <c r="Q2" s="110">
        <f>'FS-AD Daily '!V6</f>
        <v>164.79999999998836</v>
      </c>
      <c r="R2" s="110">
        <f>'FS-AD Daily '!W6</f>
        <v>0</v>
      </c>
      <c r="S2" s="110">
        <f>P2-Q2-R2</f>
        <v>328.20000000001164</v>
      </c>
      <c r="T2" s="110">
        <f>'FS-AD Daily '!AD6*3.516</f>
        <v>77735.244000000006</v>
      </c>
      <c r="U2" s="110">
        <f>('FS-AD Daily '!AF6)*1000</f>
        <v>38600.000000005821</v>
      </c>
      <c r="V2" s="110">
        <f>('FS-AD Daily '!AG6)*1000</f>
        <v>23199.99999999709</v>
      </c>
      <c r="W2" s="110">
        <f>'FS-AD Daily '!AH6*1000</f>
        <v>13099.999999998545</v>
      </c>
      <c r="X2" s="110">
        <f>('FS-AD Daily '!AK6)*1000</f>
        <v>31800.00000000291</v>
      </c>
      <c r="Y2" s="110">
        <v>45</v>
      </c>
      <c r="Z2" s="111">
        <v>72</v>
      </c>
    </row>
    <row r="3" spans="1:26" x14ac:dyDescent="0.25">
      <c r="A3" s="112" t="s">
        <v>80</v>
      </c>
      <c r="B3" s="69">
        <f>B2+1</f>
        <v>2</v>
      </c>
      <c r="C3" s="70">
        <v>5</v>
      </c>
      <c r="D3" s="69">
        <v>2021</v>
      </c>
      <c r="E3" s="71">
        <f>'FS-AD Daily '!B7</f>
        <v>6409</v>
      </c>
      <c r="F3" s="71">
        <f>'FS-AD Daily '!C7</f>
        <v>3058</v>
      </c>
      <c r="G3" s="71">
        <f>'FS-AD Daily '!D7</f>
        <v>883</v>
      </c>
      <c r="H3" s="71">
        <f>'FS-AD Daily '!E7</f>
        <v>6075</v>
      </c>
      <c r="I3" s="71">
        <f>'FS-AD Daily '!F7</f>
        <v>5905</v>
      </c>
      <c r="J3" s="71">
        <f>'FS-AD Daily '!G7</f>
        <v>2627</v>
      </c>
      <c r="K3" s="71">
        <f>'FS-AD Daily '!H7</f>
        <v>6532</v>
      </c>
      <c r="L3" s="71">
        <f>'FS-AD Daily '!I7</f>
        <v>2482</v>
      </c>
      <c r="M3" s="71">
        <f>'FS-AD Daily '!J7</f>
        <v>6502</v>
      </c>
      <c r="N3" s="71">
        <f>'FS-AD Daily '!T7</f>
        <v>127.07599999999366</v>
      </c>
      <c r="O3" s="71">
        <f>'FS-AD Daily '!R7</f>
        <v>88.498000000008687</v>
      </c>
      <c r="P3" s="71">
        <f>'FS-AD Daily '!Z7</f>
        <v>479</v>
      </c>
      <c r="Q3" s="71">
        <f>'FS-AD Daily '!V7</f>
        <v>154.90000000002328</v>
      </c>
      <c r="R3" s="71">
        <f>'FS-AD Daily '!W7</f>
        <v>0</v>
      </c>
      <c r="S3" s="71">
        <f t="shared" ref="S3:S31" si="0">P3-Q3-R3</f>
        <v>324.09999999997672</v>
      </c>
      <c r="T3" s="71">
        <f>'FS-AD Daily '!AD7*3.516</f>
        <v>82569.744000000006</v>
      </c>
      <c r="U3" s="71">
        <f>('FS-AD Daily '!AF7)*1000</f>
        <v>41100.000000005821</v>
      </c>
      <c r="V3" s="71">
        <f>('FS-AD Daily '!AG7)*1000</f>
        <v>26599.999999998545</v>
      </c>
      <c r="W3" s="71">
        <f>'FS-AD Daily '!AH7*1000</f>
        <v>13299.999999999272</v>
      </c>
      <c r="X3" s="71">
        <f>('FS-AD Daily '!AK7)*1000</f>
        <v>31699.99999999709</v>
      </c>
      <c r="Y3" s="71">
        <v>49</v>
      </c>
      <c r="Z3" s="113">
        <v>75</v>
      </c>
    </row>
    <row r="4" spans="1:26" x14ac:dyDescent="0.25">
      <c r="A4" s="112" t="s">
        <v>80</v>
      </c>
      <c r="B4" s="69">
        <f t="shared" ref="B4:B32" si="1">B3+1</f>
        <v>3</v>
      </c>
      <c r="C4" s="70">
        <v>5</v>
      </c>
      <c r="D4" s="69">
        <v>2021</v>
      </c>
      <c r="E4" s="71">
        <f>'FS-AD Daily '!B8</f>
        <v>5861</v>
      </c>
      <c r="F4" s="71">
        <f>'FS-AD Daily '!C8</f>
        <v>2988</v>
      </c>
      <c r="G4" s="71">
        <f>'FS-AD Daily '!D8</f>
        <v>905</v>
      </c>
      <c r="H4" s="71">
        <f>'FS-AD Daily '!E8</f>
        <v>5981</v>
      </c>
      <c r="I4" s="71">
        <f>'FS-AD Daily '!F8</f>
        <v>5784</v>
      </c>
      <c r="J4" s="71">
        <f>'FS-AD Daily '!G8</f>
        <v>2478</v>
      </c>
      <c r="K4" s="71">
        <f>'FS-AD Daily '!H8</f>
        <v>5814</v>
      </c>
      <c r="L4" s="71">
        <f>'FS-AD Daily '!I8</f>
        <v>2449</v>
      </c>
      <c r="M4" s="71">
        <f>'FS-AD Daily '!J8</f>
        <v>6430</v>
      </c>
      <c r="N4" s="71">
        <f>'FS-AD Daily '!T8</f>
        <v>118.30699999999706</v>
      </c>
      <c r="O4" s="71">
        <f>'FS-AD Daily '!R8</f>
        <v>57.104000000000269</v>
      </c>
      <c r="P4" s="71">
        <f>'FS-AD Daily '!Z8</f>
        <v>474</v>
      </c>
      <c r="Q4" s="71">
        <f>'FS-AD Daily '!V8</f>
        <v>151.59999999997672</v>
      </c>
      <c r="R4" s="71">
        <f>'FS-AD Daily '!W8</f>
        <v>0</v>
      </c>
      <c r="S4" s="71">
        <f t="shared" si="0"/>
        <v>322.40000000002328</v>
      </c>
      <c r="T4" s="71">
        <f>'FS-AD Daily '!AD8*3.516</f>
        <v>76104.523200000651</v>
      </c>
      <c r="U4" s="71">
        <f>('FS-AD Daily '!AF8)*1000</f>
        <v>38500</v>
      </c>
      <c r="V4" s="71">
        <f>('FS-AD Daily '!AG8)*1000</f>
        <v>22900.000000001455</v>
      </c>
      <c r="W4" s="71">
        <f>'FS-AD Daily '!AH8*1000</f>
        <v>12700.000000000728</v>
      </c>
      <c r="X4" s="71">
        <f>('FS-AD Daily '!AK8)*1000</f>
        <v>29599.999999998545</v>
      </c>
      <c r="Y4" s="71">
        <v>65</v>
      </c>
      <c r="Z4" s="113">
        <v>94</v>
      </c>
    </row>
    <row r="5" spans="1:26" x14ac:dyDescent="0.25">
      <c r="A5" s="112" t="s">
        <v>80</v>
      </c>
      <c r="B5" s="69">
        <f t="shared" si="1"/>
        <v>4</v>
      </c>
      <c r="C5" s="70">
        <v>5</v>
      </c>
      <c r="D5" s="69">
        <v>2021</v>
      </c>
      <c r="E5" s="71">
        <f>'FS-AD Daily '!B9</f>
        <v>5184</v>
      </c>
      <c r="F5" s="71">
        <f>'FS-AD Daily '!C9</f>
        <v>3198</v>
      </c>
      <c r="G5" s="71">
        <f>'FS-AD Daily '!D9</f>
        <v>891</v>
      </c>
      <c r="H5" s="71">
        <f>'FS-AD Daily '!E9</f>
        <v>6040</v>
      </c>
      <c r="I5" s="71">
        <f>'FS-AD Daily '!F9</f>
        <v>5882</v>
      </c>
      <c r="J5" s="71">
        <f>'FS-AD Daily '!G9</f>
        <v>2581</v>
      </c>
      <c r="K5" s="71">
        <f>'FS-AD Daily '!H9</f>
        <v>4586</v>
      </c>
      <c r="L5" s="71">
        <f>'FS-AD Daily '!I9</f>
        <v>2472</v>
      </c>
      <c r="M5" s="71">
        <f>'FS-AD Daily '!J9</f>
        <v>6417</v>
      </c>
      <c r="N5" s="71">
        <f>'FS-AD Daily '!T9</f>
        <v>118.10369999999239</v>
      </c>
      <c r="O5" s="71">
        <f>'FS-AD Daily '!R9</f>
        <v>54.636999999996078</v>
      </c>
      <c r="P5" s="71">
        <f>'FS-AD Daily '!Z9</f>
        <v>424</v>
      </c>
      <c r="Q5" s="71">
        <f>'FS-AD Daily '!V9</f>
        <v>113.60000000003492</v>
      </c>
      <c r="R5" s="71">
        <f>'FS-AD Daily '!W9</f>
        <v>0</v>
      </c>
      <c r="S5" s="71">
        <f t="shared" si="0"/>
        <v>310.39999999996508</v>
      </c>
      <c r="T5" s="71">
        <f>'FS-AD Daily '!AD9*3.516</f>
        <v>76022.952000000005</v>
      </c>
      <c r="U5" s="71">
        <f>('FS-AD Daily '!AF9)*1000</f>
        <v>39399.999999994179</v>
      </c>
      <c r="V5" s="71">
        <f>('FS-AD Daily '!AG9)*1000</f>
        <v>19800.00000000291</v>
      </c>
      <c r="W5" s="71">
        <f>'FS-AD Daily '!AH9*1000</f>
        <v>13400.000000001455</v>
      </c>
      <c r="X5" s="71">
        <f>('FS-AD Daily '!AK9)*1000</f>
        <v>28599.999999998545</v>
      </c>
      <c r="Y5" s="71">
        <v>53</v>
      </c>
      <c r="Z5" s="113">
        <v>71</v>
      </c>
    </row>
    <row r="6" spans="1:26" x14ac:dyDescent="0.25">
      <c r="A6" s="112" t="s">
        <v>80</v>
      </c>
      <c r="B6" s="69">
        <f t="shared" si="1"/>
        <v>5</v>
      </c>
      <c r="C6" s="70">
        <v>5</v>
      </c>
      <c r="D6" s="69">
        <v>2021</v>
      </c>
      <c r="E6" s="71">
        <f>'FS-AD Daily '!B10</f>
        <v>5283</v>
      </c>
      <c r="F6" s="71">
        <f>'FS-AD Daily '!C10</f>
        <v>3097</v>
      </c>
      <c r="G6" s="71">
        <f>'FS-AD Daily '!D10</f>
        <v>857</v>
      </c>
      <c r="H6" s="71">
        <f>'FS-AD Daily '!E10</f>
        <v>6156</v>
      </c>
      <c r="I6" s="71">
        <f>'FS-AD Daily '!F10</f>
        <v>5853</v>
      </c>
      <c r="J6" s="71">
        <f>'FS-AD Daily '!G10</f>
        <v>2607</v>
      </c>
      <c r="K6" s="71">
        <f>'FS-AD Daily '!H10</f>
        <v>6151</v>
      </c>
      <c r="L6" s="71">
        <f>'FS-AD Daily '!I10</f>
        <v>2500</v>
      </c>
      <c r="M6" s="71">
        <f>'FS-AD Daily '!J10</f>
        <v>6463</v>
      </c>
      <c r="N6" s="71">
        <f>'FS-AD Daily '!T10</f>
        <v>133.59800000000541</v>
      </c>
      <c r="O6" s="71">
        <f>'FS-AD Daily '!R10</f>
        <v>62.47599999999693</v>
      </c>
      <c r="P6" s="71">
        <f>'FS-AD Daily '!Z10</f>
        <v>436</v>
      </c>
      <c r="Q6" s="71">
        <f>'FS-AD Daily '!V10</f>
        <v>117.19999999995343</v>
      </c>
      <c r="R6" s="71">
        <f>'FS-AD Daily '!W10</f>
        <v>0</v>
      </c>
      <c r="S6" s="71">
        <f t="shared" si="0"/>
        <v>318.80000000004657</v>
      </c>
      <c r="T6" s="71">
        <f>'FS-AD Daily '!AD10*3.516</f>
        <v>84741.577199999025</v>
      </c>
      <c r="U6" s="71">
        <f>('FS-AD Daily '!AF10)*1000</f>
        <v>42600.000000005821</v>
      </c>
      <c r="V6" s="71">
        <f>('FS-AD Daily '!AG10)*1000</f>
        <v>26699.99999999709</v>
      </c>
      <c r="W6" s="71">
        <f>'FS-AD Daily '!AH10*1000</f>
        <v>13599.999999998545</v>
      </c>
      <c r="X6" s="71">
        <f>('FS-AD Daily '!AK10)*1000</f>
        <v>30200.000000004366</v>
      </c>
      <c r="Y6" s="71">
        <v>55</v>
      </c>
      <c r="Z6" s="113">
        <v>73</v>
      </c>
    </row>
    <row r="7" spans="1:26" x14ac:dyDescent="0.25">
      <c r="A7" s="112" t="s">
        <v>80</v>
      </c>
      <c r="B7" s="69">
        <f t="shared" si="1"/>
        <v>6</v>
      </c>
      <c r="C7" s="70">
        <v>5</v>
      </c>
      <c r="D7" s="69">
        <v>2021</v>
      </c>
      <c r="E7" s="71">
        <f>'FS-AD Daily '!B11</f>
        <v>5412</v>
      </c>
      <c r="F7" s="71">
        <f>'FS-AD Daily '!C11</f>
        <v>3050</v>
      </c>
      <c r="G7" s="71">
        <f>'FS-AD Daily '!D11</f>
        <v>876</v>
      </c>
      <c r="H7" s="71">
        <f>'FS-AD Daily '!E11</f>
        <v>6250</v>
      </c>
      <c r="I7" s="71">
        <f>'FS-AD Daily '!F11</f>
        <v>6010</v>
      </c>
      <c r="J7" s="71">
        <f>'FS-AD Daily '!G11</f>
        <v>2740</v>
      </c>
      <c r="K7" s="71">
        <f>'FS-AD Daily '!H11</f>
        <v>7257</v>
      </c>
      <c r="L7" s="71">
        <f>'FS-AD Daily '!I11</f>
        <v>2466</v>
      </c>
      <c r="M7" s="71">
        <f>'FS-AD Daily '!J11</f>
        <v>6620</v>
      </c>
      <c r="N7" s="71">
        <f>'FS-AD Daily '!T11</f>
        <v>120.00299999999697</v>
      </c>
      <c r="O7" s="71">
        <f>'FS-AD Daily '!R11</f>
        <v>64.723999999995613</v>
      </c>
      <c r="P7" s="71">
        <f>'FS-AD Daily '!Z11</f>
        <v>452</v>
      </c>
      <c r="Q7" s="71">
        <f>'FS-AD Daily '!V11</f>
        <v>115.70000000001164</v>
      </c>
      <c r="R7" s="71">
        <f>'FS-AD Daily '!W11</f>
        <v>0</v>
      </c>
      <c r="S7" s="71">
        <f t="shared" si="0"/>
        <v>336.29999999998836</v>
      </c>
      <c r="T7" s="71">
        <f>'FS-AD Daily '!AD11*3.516</f>
        <v>88522.331999999995</v>
      </c>
      <c r="U7" s="71">
        <f>('FS-AD Daily '!AF11)*1000</f>
        <v>43000</v>
      </c>
      <c r="V7" s="71">
        <f>('FS-AD Daily '!AG11)*1000</f>
        <v>32400.000000001455</v>
      </c>
      <c r="W7" s="71">
        <f>'FS-AD Daily '!AH11*1000</f>
        <v>13099.999999998545</v>
      </c>
      <c r="X7" s="71">
        <f>('FS-AD Daily '!AK11)*1000</f>
        <v>32199.99999999709</v>
      </c>
      <c r="Y7" s="71">
        <v>41</v>
      </c>
      <c r="Z7" s="113">
        <v>56</v>
      </c>
    </row>
    <row r="8" spans="1:26" x14ac:dyDescent="0.25">
      <c r="A8" s="112" t="s">
        <v>80</v>
      </c>
      <c r="B8" s="69">
        <f t="shared" si="1"/>
        <v>7</v>
      </c>
      <c r="C8" s="70">
        <v>5</v>
      </c>
      <c r="D8" s="69">
        <v>2021</v>
      </c>
      <c r="E8" s="71">
        <f>'FS-AD Daily '!B12</f>
        <v>5408</v>
      </c>
      <c r="F8" s="71">
        <f>'FS-AD Daily '!C12</f>
        <v>2870</v>
      </c>
      <c r="G8" s="71">
        <f>'FS-AD Daily '!D12</f>
        <v>886</v>
      </c>
      <c r="H8" s="71">
        <f>'FS-AD Daily '!E12</f>
        <v>6131</v>
      </c>
      <c r="I8" s="71">
        <f>'FS-AD Daily '!F12</f>
        <v>6019</v>
      </c>
      <c r="J8" s="71">
        <f>'FS-AD Daily '!G12</f>
        <v>2700</v>
      </c>
      <c r="K8" s="71">
        <f>'FS-AD Daily '!H12</f>
        <v>6731</v>
      </c>
      <c r="L8" s="71">
        <f>'FS-AD Daily '!I12</f>
        <v>2377</v>
      </c>
      <c r="M8" s="71">
        <f>'FS-AD Daily '!J12</f>
        <v>6827</v>
      </c>
      <c r="N8" s="71">
        <f>'FS-AD Daily '!T12</f>
        <v>139.66500000000451</v>
      </c>
      <c r="O8" s="71">
        <f>'FS-AD Daily '!R12</f>
        <v>78.597000000000662</v>
      </c>
      <c r="P8" s="71">
        <f>'FS-AD Daily '!Z12</f>
        <v>495</v>
      </c>
      <c r="Q8" s="71">
        <f>'FS-AD Daily '!V12</f>
        <v>134.20000000001164</v>
      </c>
      <c r="R8" s="71">
        <f>'FS-AD Daily '!W12</f>
        <v>0</v>
      </c>
      <c r="S8" s="71">
        <f t="shared" si="0"/>
        <v>360.79999999998836</v>
      </c>
      <c r="T8" s="71">
        <f>'FS-AD Daily '!AD12*3.516</f>
        <v>82943.846399999675</v>
      </c>
      <c r="U8" s="71">
        <f>('FS-AD Daily '!AF12)*1000</f>
        <v>40899.999999994179</v>
      </c>
      <c r="V8" s="71">
        <f>('FS-AD Daily '!AG12)*1000</f>
        <v>28199.99999999709</v>
      </c>
      <c r="W8" s="71">
        <f>'FS-AD Daily '!AH12*1000</f>
        <v>12500</v>
      </c>
      <c r="X8" s="71">
        <f>('FS-AD Daily '!AK12)*1000</f>
        <v>31099.999999998545</v>
      </c>
      <c r="Y8" s="71">
        <v>29</v>
      </c>
      <c r="Z8" s="113">
        <v>42</v>
      </c>
    </row>
    <row r="9" spans="1:26" x14ac:dyDescent="0.25">
      <c r="A9" s="112" t="s">
        <v>80</v>
      </c>
      <c r="B9" s="69">
        <f t="shared" si="1"/>
        <v>8</v>
      </c>
      <c r="C9" s="70">
        <v>5</v>
      </c>
      <c r="D9" s="69">
        <v>2021</v>
      </c>
      <c r="E9" s="71">
        <f>'FS-AD Daily '!B13</f>
        <v>5342</v>
      </c>
      <c r="F9" s="71">
        <f>'FS-AD Daily '!C13</f>
        <v>3238</v>
      </c>
      <c r="G9" s="71">
        <f>'FS-AD Daily '!D13</f>
        <v>876</v>
      </c>
      <c r="H9" s="71">
        <f>'FS-AD Daily '!E13</f>
        <v>6256</v>
      </c>
      <c r="I9" s="71">
        <f>'FS-AD Daily '!F13</f>
        <v>5922</v>
      </c>
      <c r="J9" s="71">
        <f>'FS-AD Daily '!G13</f>
        <v>2848</v>
      </c>
      <c r="K9" s="71">
        <f>'FS-AD Daily '!H13</f>
        <v>6875</v>
      </c>
      <c r="L9" s="71">
        <f>'FS-AD Daily '!I13</f>
        <v>2440</v>
      </c>
      <c r="M9" s="71">
        <f>'FS-AD Daily '!J13</f>
        <v>6249</v>
      </c>
      <c r="N9" s="71">
        <f>'FS-AD Daily '!T13</f>
        <v>120.11199999999371</v>
      </c>
      <c r="O9" s="71">
        <f>'FS-AD Daily '!R13</f>
        <v>50.037999999998647</v>
      </c>
      <c r="P9" s="71">
        <f>'FS-AD Daily '!Z13</f>
        <v>447</v>
      </c>
      <c r="Q9" s="71">
        <f>'FS-AD Daily '!V13</f>
        <v>115.5</v>
      </c>
      <c r="R9" s="71">
        <f>'FS-AD Daily '!W13</f>
        <v>0</v>
      </c>
      <c r="S9" s="71">
        <f t="shared" si="0"/>
        <v>331.5</v>
      </c>
      <c r="T9" s="71">
        <f>'FS-AD Daily '!AD13*3.516</f>
        <v>83355.218400001308</v>
      </c>
      <c r="U9" s="71">
        <f>('FS-AD Daily '!AF13)*1000</f>
        <v>42199.99999999709</v>
      </c>
      <c r="V9" s="71">
        <f>('FS-AD Daily '!AG13)*1000</f>
        <v>29800.00000000291</v>
      </c>
      <c r="W9" s="71">
        <f>'FS-AD Daily '!AH13*1000</f>
        <v>13100.000000002183</v>
      </c>
      <c r="X9" s="71">
        <f>('FS-AD Daily '!AK13)*1000</f>
        <v>31200.000000004366</v>
      </c>
      <c r="Y9" s="71">
        <v>30</v>
      </c>
      <c r="Z9" s="113">
        <v>37</v>
      </c>
    </row>
    <row r="10" spans="1:26" x14ac:dyDescent="0.25">
      <c r="A10" s="112" t="s">
        <v>80</v>
      </c>
      <c r="B10" s="69">
        <f t="shared" si="1"/>
        <v>9</v>
      </c>
      <c r="C10" s="70">
        <v>5</v>
      </c>
      <c r="D10" s="69">
        <v>2021</v>
      </c>
      <c r="E10" s="71">
        <f>'FS-AD Daily '!B14</f>
        <v>5099</v>
      </c>
      <c r="F10" s="71">
        <f>'FS-AD Daily '!C14</f>
        <v>2719</v>
      </c>
      <c r="G10" s="71">
        <f>'FS-AD Daily '!D14</f>
        <v>900</v>
      </c>
      <c r="H10" s="71">
        <f>'FS-AD Daily '!E14</f>
        <v>6191</v>
      </c>
      <c r="I10" s="71">
        <f>'FS-AD Daily '!F14</f>
        <v>5697</v>
      </c>
      <c r="J10" s="71">
        <f>'FS-AD Daily '!G14</f>
        <v>2564</v>
      </c>
      <c r="K10" s="71">
        <f>'FS-AD Daily '!H14</f>
        <v>5063</v>
      </c>
      <c r="L10" s="71">
        <f>'FS-AD Daily '!I14</f>
        <v>2367</v>
      </c>
      <c r="M10" s="71">
        <f>'FS-AD Daily '!J14</f>
        <v>6416</v>
      </c>
      <c r="N10" s="71">
        <f>'FS-AD Daily '!T14</f>
        <v>114.07700000000477</v>
      </c>
      <c r="O10" s="71">
        <f>'FS-AD Daily '!R14</f>
        <v>52.498000000010506</v>
      </c>
      <c r="P10" s="71">
        <f>'FS-AD Daily '!Z14</f>
        <v>415</v>
      </c>
      <c r="Q10" s="71">
        <f>'FS-AD Daily '!V14</f>
        <v>101</v>
      </c>
      <c r="R10" s="71">
        <f>'FS-AD Daily '!W14</f>
        <v>0</v>
      </c>
      <c r="S10" s="71">
        <f t="shared" si="0"/>
        <v>314</v>
      </c>
      <c r="T10" s="71">
        <f>'FS-AD Daily '!AD14*3.516</f>
        <v>71931.382799999352</v>
      </c>
      <c r="U10" s="71">
        <f>('FS-AD Daily '!AF14)*1000</f>
        <v>36000</v>
      </c>
      <c r="V10" s="71">
        <f>('FS-AD Daily '!AG14)*1000</f>
        <v>20699.99999999709</v>
      </c>
      <c r="W10" s="71">
        <f>'FS-AD Daily '!AH14*1000</f>
        <v>12599.999999998545</v>
      </c>
      <c r="X10" s="71">
        <f>('FS-AD Daily '!AK14)*1000</f>
        <v>30500</v>
      </c>
      <c r="Y10" s="71">
        <v>34</v>
      </c>
      <c r="Z10" s="113">
        <v>52</v>
      </c>
    </row>
    <row r="11" spans="1:26" x14ac:dyDescent="0.25">
      <c r="A11" s="112" t="s">
        <v>80</v>
      </c>
      <c r="B11" s="69">
        <f t="shared" si="1"/>
        <v>10</v>
      </c>
      <c r="C11" s="70">
        <v>5</v>
      </c>
      <c r="D11" s="69">
        <v>2021</v>
      </c>
      <c r="E11" s="71">
        <f>'FS-AD Daily '!B15</f>
        <v>5176</v>
      </c>
      <c r="F11" s="71">
        <f>'FS-AD Daily '!C15</f>
        <v>3261</v>
      </c>
      <c r="G11" s="71">
        <f>'FS-AD Daily '!D15</f>
        <v>850</v>
      </c>
      <c r="H11" s="71">
        <f>'FS-AD Daily '!E15</f>
        <v>6312</v>
      </c>
      <c r="I11" s="71">
        <f>'FS-AD Daily '!F15</f>
        <v>6055</v>
      </c>
      <c r="J11" s="71">
        <f>'FS-AD Daily '!G15</f>
        <v>2769</v>
      </c>
      <c r="K11" s="71">
        <f>'FS-AD Daily '!H15</f>
        <v>5423</v>
      </c>
      <c r="L11" s="71">
        <f>'FS-AD Daily '!I15</f>
        <v>2378</v>
      </c>
      <c r="M11" s="71">
        <f>'FS-AD Daily '!J15</f>
        <v>6777</v>
      </c>
      <c r="N11" s="71">
        <f>'FS-AD Daily '!T15</f>
        <v>138.02399999999761</v>
      </c>
      <c r="O11" s="71">
        <f>'FS-AD Daily '!R15</f>
        <v>61.330999999992855</v>
      </c>
      <c r="P11" s="71">
        <f>'FS-AD Daily '!Z15</f>
        <v>435</v>
      </c>
      <c r="Q11" s="71">
        <f>'FS-AD Daily '!V15</f>
        <v>111.59999999997672</v>
      </c>
      <c r="R11" s="71">
        <f>'FS-AD Daily '!W15</f>
        <v>0</v>
      </c>
      <c r="S11" s="71">
        <f t="shared" si="0"/>
        <v>323.40000000002328</v>
      </c>
      <c r="T11" s="71">
        <f>'FS-AD Daily '!AD15*3.516</f>
        <v>76117.884000000005</v>
      </c>
      <c r="U11" s="71">
        <f>('FS-AD Daily '!AF15)*1000</f>
        <v>38100.000000005821</v>
      </c>
      <c r="V11" s="71">
        <f>('FS-AD Daily '!AG15)*1000</f>
        <v>21900.000000001455</v>
      </c>
      <c r="W11" s="71">
        <f>'FS-AD Daily '!AH15*1000</f>
        <v>12799.999999999272</v>
      </c>
      <c r="X11" s="71">
        <f>('FS-AD Daily '!AK15)*1000</f>
        <v>31699.99999999709</v>
      </c>
      <c r="Y11" s="71">
        <v>37</v>
      </c>
      <c r="Z11" s="113">
        <v>61</v>
      </c>
    </row>
    <row r="12" spans="1:26" x14ac:dyDescent="0.25">
      <c r="A12" s="112" t="s">
        <v>80</v>
      </c>
      <c r="B12" s="69">
        <f t="shared" si="1"/>
        <v>11</v>
      </c>
      <c r="C12" s="70">
        <v>5</v>
      </c>
      <c r="D12" s="69">
        <v>2021</v>
      </c>
      <c r="E12" s="71">
        <f>'FS-AD Daily '!B16</f>
        <v>5147</v>
      </c>
      <c r="F12" s="71">
        <f>'FS-AD Daily '!C16</f>
        <v>3076</v>
      </c>
      <c r="G12" s="71">
        <f>'FS-AD Daily '!D16</f>
        <v>870</v>
      </c>
      <c r="H12" s="71">
        <f>'FS-AD Daily '!E16</f>
        <v>6282</v>
      </c>
      <c r="I12" s="71">
        <f>'FS-AD Daily '!F16</f>
        <v>5843</v>
      </c>
      <c r="J12" s="71">
        <f>'FS-AD Daily '!G16</f>
        <v>2766</v>
      </c>
      <c r="K12" s="71">
        <f>'FS-AD Daily '!H16</f>
        <v>4571</v>
      </c>
      <c r="L12" s="71">
        <f>'FS-AD Daily '!I16</f>
        <v>2355</v>
      </c>
      <c r="M12" s="71">
        <f>'FS-AD Daily '!J16</f>
        <v>6981</v>
      </c>
      <c r="N12" s="71">
        <f>'FS-AD Daily '!T16</f>
        <v>213.47999999999229</v>
      </c>
      <c r="O12" s="71">
        <f>'FS-AD Daily '!R16</f>
        <v>66.270000000006803</v>
      </c>
      <c r="P12" s="71">
        <f>'FS-AD Daily '!Z16</f>
        <v>426</v>
      </c>
      <c r="Q12" s="71">
        <f>'FS-AD Daily '!V16</f>
        <v>107</v>
      </c>
      <c r="R12" s="71">
        <f>'FS-AD Daily '!W16</f>
        <v>0</v>
      </c>
      <c r="S12" s="71">
        <f t="shared" si="0"/>
        <v>319</v>
      </c>
      <c r="T12" s="71">
        <f>'FS-AD Daily '!AD16*3.516</f>
        <v>72352.248000000007</v>
      </c>
      <c r="U12" s="71">
        <f>('FS-AD Daily '!AF16)*1000</f>
        <v>35599.999999991269</v>
      </c>
      <c r="V12" s="71">
        <f>('FS-AD Daily '!AG16)*1000</f>
        <v>18799.999999988358</v>
      </c>
      <c r="W12" s="71">
        <f>'FS-AD Daily '!AH16*1000</f>
        <v>13200.000000000728</v>
      </c>
      <c r="X12" s="71">
        <f>('FS-AD Daily '!AK16)*1000</f>
        <v>31599.999999998545</v>
      </c>
      <c r="Y12" s="71">
        <v>22</v>
      </c>
      <c r="Z12" s="113">
        <v>37</v>
      </c>
    </row>
    <row r="13" spans="1:26" x14ac:dyDescent="0.25">
      <c r="A13" s="112" t="s">
        <v>80</v>
      </c>
      <c r="B13" s="69">
        <f t="shared" si="1"/>
        <v>12</v>
      </c>
      <c r="C13" s="70">
        <v>5</v>
      </c>
      <c r="D13" s="69">
        <v>2021</v>
      </c>
      <c r="E13" s="71">
        <f>'FS-AD Daily '!B17</f>
        <v>4954</v>
      </c>
      <c r="F13" s="71">
        <f>'FS-AD Daily '!C17</f>
        <v>3033</v>
      </c>
      <c r="G13" s="71">
        <f>'FS-AD Daily '!D17</f>
        <v>868</v>
      </c>
      <c r="H13" s="71">
        <f>'FS-AD Daily '!E17</f>
        <v>6286</v>
      </c>
      <c r="I13" s="71">
        <f>'FS-AD Daily '!F17</f>
        <v>5817</v>
      </c>
      <c r="J13" s="71">
        <f>'FS-AD Daily '!G17</f>
        <v>3003</v>
      </c>
      <c r="K13" s="71">
        <f>'FS-AD Daily '!H17</f>
        <v>6822</v>
      </c>
      <c r="L13" s="71">
        <f>'FS-AD Daily '!I17</f>
        <v>2383</v>
      </c>
      <c r="M13" s="71">
        <f>'FS-AD Daily '!J17</f>
        <v>6913</v>
      </c>
      <c r="N13" s="71">
        <f>'FS-AD Daily '!T17</f>
        <v>185.44500000000698</v>
      </c>
      <c r="O13" s="71">
        <f>'FS-AD Daily '!R17</f>
        <v>66.098000000003594</v>
      </c>
      <c r="P13" s="71">
        <f>'FS-AD Daily '!Z17</f>
        <v>423</v>
      </c>
      <c r="Q13" s="71">
        <f>'FS-AD Daily '!V17</f>
        <v>109.60000000003492</v>
      </c>
      <c r="R13" s="71">
        <f>'FS-AD Daily '!W17</f>
        <v>0</v>
      </c>
      <c r="S13" s="71">
        <f t="shared" si="0"/>
        <v>313.39999999996508</v>
      </c>
      <c r="T13" s="71">
        <f>'FS-AD Daily '!AD17*3.516</f>
        <v>85196.195999999996</v>
      </c>
      <c r="U13" s="71">
        <f>('FS-AD Daily '!AF17)*1000</f>
        <v>40200.000000011642</v>
      </c>
      <c r="V13" s="71">
        <f>('FS-AD Daily '!AG17)*1000</f>
        <v>30500</v>
      </c>
      <c r="W13" s="71">
        <f>'FS-AD Daily '!AH17*1000</f>
        <v>13700.000000000728</v>
      </c>
      <c r="X13" s="71">
        <f>('FS-AD Daily '!AK17)*1000</f>
        <v>33200.000000004366</v>
      </c>
      <c r="Y13" s="71">
        <v>36</v>
      </c>
      <c r="Z13" s="113">
        <v>68</v>
      </c>
    </row>
    <row r="14" spans="1:26" x14ac:dyDescent="0.25">
      <c r="A14" s="112" t="s">
        <v>80</v>
      </c>
      <c r="B14" s="69">
        <f t="shared" si="1"/>
        <v>13</v>
      </c>
      <c r="C14" s="70">
        <v>5</v>
      </c>
      <c r="D14" s="69">
        <v>2021</v>
      </c>
      <c r="E14" s="71">
        <f>'FS-AD Daily '!B18</f>
        <v>4904</v>
      </c>
      <c r="F14" s="71">
        <f>'FS-AD Daily '!C18</f>
        <v>2957</v>
      </c>
      <c r="G14" s="71">
        <f>'FS-AD Daily '!D18</f>
        <v>897</v>
      </c>
      <c r="H14" s="71">
        <f>'FS-AD Daily '!E18</f>
        <v>5960</v>
      </c>
      <c r="I14" s="71">
        <f>'FS-AD Daily '!F18</f>
        <v>5716</v>
      </c>
      <c r="J14" s="71">
        <f>'FS-AD Daily '!G18</f>
        <v>3071</v>
      </c>
      <c r="K14" s="71">
        <f>'FS-AD Daily '!H18</f>
        <v>7206</v>
      </c>
      <c r="L14" s="71">
        <f>'FS-AD Daily '!I18</f>
        <v>2314</v>
      </c>
      <c r="M14" s="71">
        <f>'FS-AD Daily '!J18</f>
        <v>7058</v>
      </c>
      <c r="N14" s="71">
        <f>'FS-AD Daily '!T18</f>
        <v>126.82200000000012</v>
      </c>
      <c r="O14" s="71">
        <f>'FS-AD Daily '!R18</f>
        <v>79.860999999987143</v>
      </c>
      <c r="P14" s="71">
        <f>'FS-AD Daily '!Z18</f>
        <v>441</v>
      </c>
      <c r="Q14" s="71">
        <f>'FS-AD Daily '!V18</f>
        <v>122</v>
      </c>
      <c r="R14" s="71">
        <f>'FS-AD Daily '!W18</f>
        <v>0</v>
      </c>
      <c r="S14" s="71">
        <f t="shared" si="0"/>
        <v>319</v>
      </c>
      <c r="T14" s="71">
        <f>'FS-AD Daily '!AD18*3.516</f>
        <v>86345.928</v>
      </c>
      <c r="U14" s="71">
        <f>('FS-AD Daily '!AF18)*1000</f>
        <v>40199.99999999709</v>
      </c>
      <c r="V14" s="71">
        <f>('FS-AD Daily '!AG18)*1000</f>
        <v>33899.999999994179</v>
      </c>
      <c r="W14" s="71">
        <f>'FS-AD Daily '!AH18*1000</f>
        <v>13500</v>
      </c>
      <c r="X14" s="71">
        <f>('FS-AD Daily '!AK18)*1000</f>
        <v>33500</v>
      </c>
      <c r="Y14" s="71">
        <v>89</v>
      </c>
      <c r="Z14" s="113">
        <v>178</v>
      </c>
    </row>
    <row r="15" spans="1:26" x14ac:dyDescent="0.25">
      <c r="A15" s="112" t="s">
        <v>80</v>
      </c>
      <c r="B15" s="69">
        <f t="shared" si="1"/>
        <v>14</v>
      </c>
      <c r="C15" s="70">
        <v>5</v>
      </c>
      <c r="D15" s="69">
        <v>2021</v>
      </c>
      <c r="E15" s="71">
        <f>'FS-AD Daily '!B19</f>
        <v>5268</v>
      </c>
      <c r="F15" s="71">
        <f>'FS-AD Daily '!C19</f>
        <v>2985</v>
      </c>
      <c r="G15" s="71">
        <f>'FS-AD Daily '!D19</f>
        <v>1008</v>
      </c>
      <c r="H15" s="71">
        <f>'FS-AD Daily '!E19</f>
        <v>6388</v>
      </c>
      <c r="I15" s="71">
        <f>'FS-AD Daily '!F19</f>
        <v>6052</v>
      </c>
      <c r="J15" s="71">
        <f>'FS-AD Daily '!G19</f>
        <v>3419</v>
      </c>
      <c r="K15" s="71">
        <f>'FS-AD Daily '!H19</f>
        <v>8514</v>
      </c>
      <c r="L15" s="71">
        <f>'FS-AD Daily '!I19</f>
        <v>2360</v>
      </c>
      <c r="M15" s="71">
        <f>'FS-AD Daily '!J19</f>
        <v>7520</v>
      </c>
      <c r="N15" s="71">
        <f>'FS-AD Daily '!T19</f>
        <v>165.44099999999526</v>
      </c>
      <c r="O15" s="71">
        <f>'FS-AD Daily '!R19</f>
        <v>86.454999999999018</v>
      </c>
      <c r="P15" s="71">
        <f>'FS-AD Daily '!Z19</f>
        <v>517</v>
      </c>
      <c r="Q15" s="71">
        <f>'FS-AD Daily '!V19</f>
        <v>145.89999999996508</v>
      </c>
      <c r="R15" s="71">
        <f>'FS-AD Daily '!W19</f>
        <v>0</v>
      </c>
      <c r="S15" s="71">
        <f t="shared" si="0"/>
        <v>371.10000000003492</v>
      </c>
      <c r="T15" s="71">
        <f>'FS-AD Daily '!AD19*3.516</f>
        <v>98542.932000000001</v>
      </c>
      <c r="U15" s="71">
        <f>('FS-AD Daily '!AF19)*1000</f>
        <v>46599.999999991269</v>
      </c>
      <c r="V15" s="71">
        <f>('FS-AD Daily '!AG19)*1000</f>
        <v>37900.000000001455</v>
      </c>
      <c r="W15" s="71">
        <f>'FS-AD Daily '!AH19*1000</f>
        <v>13599.999999998545</v>
      </c>
      <c r="X15" s="71">
        <f>('FS-AD Daily '!AK19)*1000</f>
        <v>35500</v>
      </c>
      <c r="Y15" s="71">
        <v>131</v>
      </c>
      <c r="Z15" s="113">
        <v>265</v>
      </c>
    </row>
    <row r="16" spans="1:26" x14ac:dyDescent="0.25">
      <c r="A16" s="112" t="s">
        <v>80</v>
      </c>
      <c r="B16" s="69">
        <f t="shared" si="1"/>
        <v>15</v>
      </c>
      <c r="C16" s="70">
        <v>5</v>
      </c>
      <c r="D16" s="69">
        <v>2021</v>
      </c>
      <c r="E16" s="71">
        <f>'FS-AD Daily '!B20</f>
        <v>5091</v>
      </c>
      <c r="F16" s="71">
        <f>'FS-AD Daily '!C20</f>
        <v>2771</v>
      </c>
      <c r="G16" s="71">
        <f>'FS-AD Daily '!D20</f>
        <v>920</v>
      </c>
      <c r="H16" s="71">
        <f>'FS-AD Daily '!E20</f>
        <v>5889</v>
      </c>
      <c r="I16" s="71">
        <f>'FS-AD Daily '!F20</f>
        <v>5611</v>
      </c>
      <c r="J16" s="71">
        <f>'FS-AD Daily '!G20</f>
        <v>3275</v>
      </c>
      <c r="K16" s="71">
        <f>'FS-AD Daily '!H20</f>
        <v>8245</v>
      </c>
      <c r="L16" s="71">
        <f>'FS-AD Daily '!I20</f>
        <v>2329</v>
      </c>
      <c r="M16" s="71">
        <f>'FS-AD Daily '!J20</f>
        <v>7183</v>
      </c>
      <c r="N16" s="71">
        <f>'FS-AD Daily '!T20</f>
        <v>155.22600000000602</v>
      </c>
      <c r="O16" s="71">
        <f>'FS-AD Daily '!R20</f>
        <v>78.539999999999054</v>
      </c>
      <c r="P16" s="71">
        <f>'FS-AD Daily '!Z20</f>
        <v>448</v>
      </c>
      <c r="Q16" s="71">
        <f>'FS-AD Daily '!V20</f>
        <v>139.60000000003492</v>
      </c>
      <c r="R16" s="71">
        <f>'FS-AD Daily '!W20</f>
        <v>0</v>
      </c>
      <c r="S16" s="71">
        <f t="shared" si="0"/>
        <v>308.39999999996508</v>
      </c>
      <c r="T16" s="71">
        <f>'FS-AD Daily '!AD20*3.516</f>
        <v>100359.64920000065</v>
      </c>
      <c r="U16" s="71">
        <f>('FS-AD Daily '!AF20)*1000</f>
        <v>44700.000000011642</v>
      </c>
      <c r="V16" s="71">
        <f>('FS-AD Daily '!AG20)*1000</f>
        <v>40000</v>
      </c>
      <c r="W16" s="71">
        <f>'FS-AD Daily '!AH20*1000</f>
        <v>14800.00000000291</v>
      </c>
      <c r="X16" s="71">
        <f>('FS-AD Daily '!AK20)*1000</f>
        <v>37799.999999995634</v>
      </c>
      <c r="Y16" s="71">
        <v>70</v>
      </c>
      <c r="Z16" s="113">
        <v>128</v>
      </c>
    </row>
    <row r="17" spans="1:26" x14ac:dyDescent="0.25">
      <c r="A17" s="112" t="s">
        <v>80</v>
      </c>
      <c r="B17" s="69">
        <f t="shared" si="1"/>
        <v>16</v>
      </c>
      <c r="C17" s="70">
        <v>5</v>
      </c>
      <c r="D17" s="69">
        <v>2021</v>
      </c>
      <c r="E17" s="71">
        <f>'FS-AD Daily '!B21</f>
        <v>5090</v>
      </c>
      <c r="F17" s="71">
        <f>'FS-AD Daily '!C21</f>
        <v>2803</v>
      </c>
      <c r="G17" s="71">
        <f>'FS-AD Daily '!D21</f>
        <v>848</v>
      </c>
      <c r="H17" s="71">
        <f>'FS-AD Daily '!E21</f>
        <v>6023</v>
      </c>
      <c r="I17" s="71">
        <f>'FS-AD Daily '!F21</f>
        <v>5610</v>
      </c>
      <c r="J17" s="71">
        <f>'FS-AD Daily '!G21</f>
        <v>3128</v>
      </c>
      <c r="K17" s="71">
        <f>'FS-AD Daily '!H21</f>
        <v>6981</v>
      </c>
      <c r="L17" s="71">
        <f>'FS-AD Daily '!I21</f>
        <v>2552</v>
      </c>
      <c r="M17" s="71">
        <f>'FS-AD Daily '!J21</f>
        <v>7198</v>
      </c>
      <c r="N17" s="71">
        <f>'FS-AD Daily '!T21</f>
        <v>134.09799999999086</v>
      </c>
      <c r="O17" s="71">
        <f>'FS-AD Daily '!R21</f>
        <v>62.635999999999513</v>
      </c>
      <c r="P17" s="71">
        <f>'FS-AD Daily '!Z21</f>
        <v>395</v>
      </c>
      <c r="Q17" s="71">
        <f>'FS-AD Daily '!V21</f>
        <v>105.09999999997672</v>
      </c>
      <c r="R17" s="71">
        <f>'FS-AD Daily '!W21</f>
        <v>0</v>
      </c>
      <c r="S17" s="71">
        <f t="shared" si="0"/>
        <v>289.90000000002328</v>
      </c>
      <c r="T17" s="71">
        <f>'FS-AD Daily '!AD21*3.516</f>
        <v>85009.847999999998</v>
      </c>
      <c r="U17" s="71">
        <f>('FS-AD Daily '!AF21)*1000</f>
        <v>38899.999999994179</v>
      </c>
      <c r="V17" s="71">
        <f>('FS-AD Daily '!AG21)*1000</f>
        <v>28700.000000004366</v>
      </c>
      <c r="W17" s="71">
        <f>'FS-AD Daily '!AH21*1000</f>
        <v>15099.999999998545</v>
      </c>
      <c r="X17" s="71">
        <f>('FS-AD Daily '!AK21)*1000</f>
        <v>34200.000000004366</v>
      </c>
      <c r="Y17" s="71">
        <v>56</v>
      </c>
      <c r="Z17" s="113">
        <v>86</v>
      </c>
    </row>
    <row r="18" spans="1:26" x14ac:dyDescent="0.25">
      <c r="A18" s="112" t="s">
        <v>80</v>
      </c>
      <c r="B18" s="69">
        <f t="shared" si="1"/>
        <v>17</v>
      </c>
      <c r="C18" s="70">
        <v>5</v>
      </c>
      <c r="D18" s="69">
        <v>2021</v>
      </c>
      <c r="E18" s="71">
        <f>'FS-AD Daily '!B22</f>
        <v>5023</v>
      </c>
      <c r="F18" s="71">
        <f>'FS-AD Daily '!C22</f>
        <v>3052</v>
      </c>
      <c r="G18" s="71">
        <f>'FS-AD Daily '!D22</f>
        <v>843</v>
      </c>
      <c r="H18" s="71">
        <f>'FS-AD Daily '!E22</f>
        <v>6027</v>
      </c>
      <c r="I18" s="71">
        <f>'FS-AD Daily '!F22</f>
        <v>5527</v>
      </c>
      <c r="J18" s="71">
        <f>'FS-AD Daily '!G22</f>
        <v>3052</v>
      </c>
      <c r="K18" s="71">
        <f>'FS-AD Daily '!H22</f>
        <v>7583</v>
      </c>
      <c r="L18" s="71">
        <f>'FS-AD Daily '!I22</f>
        <v>2330</v>
      </c>
      <c r="M18" s="71">
        <f>'FS-AD Daily '!J22</f>
        <v>7129</v>
      </c>
      <c r="N18" s="71">
        <f>'FS-AD Daily '!T22</f>
        <v>111.62100000000282</v>
      </c>
      <c r="O18" s="71">
        <f>'FS-AD Daily '!R22</f>
        <v>64.718000000008942</v>
      </c>
      <c r="P18" s="71">
        <f>'FS-AD Daily '!Z22</f>
        <v>367</v>
      </c>
      <c r="Q18" s="71">
        <f>'FS-AD Daily '!V22</f>
        <v>104.70000000001164</v>
      </c>
      <c r="R18" s="71">
        <f>'FS-AD Daily '!W22</f>
        <v>0</v>
      </c>
      <c r="S18" s="71">
        <f t="shared" si="0"/>
        <v>262.29999999998836</v>
      </c>
      <c r="T18" s="71">
        <f>'FS-AD Daily '!AD22*3.516</f>
        <v>90431.52</v>
      </c>
      <c r="U18" s="71">
        <f>('FS-AD Daily '!AF22)*1000</f>
        <v>41800.00000000291</v>
      </c>
      <c r="V18" s="71">
        <f>('FS-AD Daily '!AG22)*1000</f>
        <v>32099.999999998545</v>
      </c>
      <c r="W18" s="71">
        <f>'FS-AD Daily '!AH22*1000</f>
        <v>15400.000000001455</v>
      </c>
      <c r="X18" s="71">
        <f>('FS-AD Daily '!AK22)*1000</f>
        <v>34000</v>
      </c>
      <c r="Y18" s="71">
        <v>61</v>
      </c>
      <c r="Z18" s="113">
        <v>80</v>
      </c>
    </row>
    <row r="19" spans="1:26" x14ac:dyDescent="0.25">
      <c r="A19" s="112" t="s">
        <v>80</v>
      </c>
      <c r="B19" s="69">
        <f t="shared" si="1"/>
        <v>18</v>
      </c>
      <c r="C19" s="70">
        <v>5</v>
      </c>
      <c r="D19" s="69">
        <v>2021</v>
      </c>
      <c r="E19" s="71">
        <f>'FS-AD Daily '!B23</f>
        <v>5144</v>
      </c>
      <c r="F19" s="71">
        <f>'FS-AD Daily '!C23</f>
        <v>3067</v>
      </c>
      <c r="G19" s="71">
        <f>'FS-AD Daily '!D23</f>
        <v>844</v>
      </c>
      <c r="H19" s="71">
        <f>'FS-AD Daily '!E23</f>
        <v>5326</v>
      </c>
      <c r="I19" s="71">
        <f>'FS-AD Daily '!F23</f>
        <v>5650</v>
      </c>
      <c r="J19" s="71">
        <f>'FS-AD Daily '!G23</f>
        <v>3027</v>
      </c>
      <c r="K19" s="71">
        <f>'FS-AD Daily '!H23</f>
        <v>8239</v>
      </c>
      <c r="L19" s="71">
        <f>'FS-AD Daily '!I23</f>
        <v>2675</v>
      </c>
      <c r="M19" s="71">
        <f>'FS-AD Daily '!J23</f>
        <v>7201</v>
      </c>
      <c r="N19" s="71">
        <f>'FS-AD Daily '!T23</f>
        <v>115.6510000000053</v>
      </c>
      <c r="O19" s="71">
        <f>'FS-AD Daily '!R23</f>
        <v>71.213999999989028</v>
      </c>
      <c r="P19" s="71">
        <f>'FS-AD Daily '!Z23</f>
        <v>475</v>
      </c>
      <c r="Q19" s="71">
        <f>'FS-AD Daily '!V23</f>
        <v>198.29999999998836</v>
      </c>
      <c r="R19" s="71">
        <f>'FS-AD Daily '!W23</f>
        <v>0</v>
      </c>
      <c r="S19" s="71">
        <f t="shared" si="0"/>
        <v>276.70000000001164</v>
      </c>
      <c r="T19" s="71">
        <f>'FS-AD Daily '!AD23*3.516</f>
        <v>95582.46</v>
      </c>
      <c r="U19" s="71">
        <f>('FS-AD Daily '!AF23)*1000</f>
        <v>44099.999999991269</v>
      </c>
      <c r="V19" s="71">
        <f>('FS-AD Daily '!AG23)*1000</f>
        <v>35799.999999995634</v>
      </c>
      <c r="W19" s="71">
        <f>'FS-AD Daily '!AH23*1000</f>
        <v>14500</v>
      </c>
      <c r="X19" s="71">
        <f>('FS-AD Daily '!AK23)*1000</f>
        <v>34599.999999998545</v>
      </c>
      <c r="Y19" s="71">
        <v>58</v>
      </c>
      <c r="Z19" s="113">
        <v>88</v>
      </c>
    </row>
    <row r="20" spans="1:26" x14ac:dyDescent="0.25">
      <c r="A20" s="112" t="s">
        <v>80</v>
      </c>
      <c r="B20" s="69">
        <f t="shared" si="1"/>
        <v>19</v>
      </c>
      <c r="C20" s="70">
        <v>5</v>
      </c>
      <c r="D20" s="69">
        <v>2021</v>
      </c>
      <c r="E20" s="71">
        <f>'FS-AD Daily '!B24</f>
        <v>5061</v>
      </c>
      <c r="F20" s="71">
        <f>'FS-AD Daily '!C24</f>
        <v>2878</v>
      </c>
      <c r="G20" s="71">
        <f>'FS-AD Daily '!D24</f>
        <v>836</v>
      </c>
      <c r="H20" s="71">
        <f>'FS-AD Daily '!E24</f>
        <v>5213</v>
      </c>
      <c r="I20" s="71">
        <f>'FS-AD Daily '!F24</f>
        <v>5600</v>
      </c>
      <c r="J20" s="71">
        <f>'FS-AD Daily '!G24</f>
        <v>2888</v>
      </c>
      <c r="K20" s="71">
        <f>'FS-AD Daily '!H24</f>
        <v>6516</v>
      </c>
      <c r="L20" s="71">
        <f>'FS-AD Daily '!I24</f>
        <v>2333</v>
      </c>
      <c r="M20" s="71">
        <f>'FS-AD Daily '!J24</f>
        <v>7180</v>
      </c>
      <c r="N20" s="71">
        <f>'FS-AD Daily '!T24</f>
        <v>110.54799999999886</v>
      </c>
      <c r="O20" s="71">
        <f>'FS-AD Daily '!R24</f>
        <v>69.641000000006898</v>
      </c>
      <c r="P20" s="71">
        <f>'FS-AD Daily '!Z24</f>
        <v>488</v>
      </c>
      <c r="Q20" s="71">
        <f>'FS-AD Daily '!V24</f>
        <v>210.70000000001164</v>
      </c>
      <c r="R20" s="71">
        <f>'FS-AD Daily '!W24</f>
        <v>0</v>
      </c>
      <c r="S20" s="71">
        <f t="shared" si="0"/>
        <v>277.29999999998836</v>
      </c>
      <c r="T20" s="71">
        <f>'FS-AD Daily '!AD24*3.516</f>
        <v>86614.550399998043</v>
      </c>
      <c r="U20" s="71">
        <f>('FS-AD Daily '!AF24)*1000</f>
        <v>40300.00000000291</v>
      </c>
      <c r="V20" s="71">
        <f>('FS-AD Daily '!AG24)*1000</f>
        <v>28300.00000000291</v>
      </c>
      <c r="W20" s="71">
        <f>'FS-AD Daily '!AH24*1000</f>
        <v>15299.999999999272</v>
      </c>
      <c r="X20" s="71">
        <f>('FS-AD Daily '!AK24)*1000</f>
        <v>33000</v>
      </c>
      <c r="Y20" s="71">
        <v>52</v>
      </c>
      <c r="Z20" s="113">
        <v>78</v>
      </c>
    </row>
    <row r="21" spans="1:26" x14ac:dyDescent="0.25">
      <c r="A21" s="112" t="s">
        <v>80</v>
      </c>
      <c r="B21" s="69">
        <f t="shared" si="1"/>
        <v>20</v>
      </c>
      <c r="C21" s="70">
        <v>5</v>
      </c>
      <c r="D21" s="69">
        <v>2021</v>
      </c>
      <c r="E21" s="71">
        <f>'FS-AD Daily '!B25</f>
        <v>5016</v>
      </c>
      <c r="F21" s="71">
        <f>'FS-AD Daily '!C25</f>
        <v>2894</v>
      </c>
      <c r="G21" s="71">
        <f>'FS-AD Daily '!D25</f>
        <v>899</v>
      </c>
      <c r="H21" s="71">
        <f>'FS-AD Daily '!E25</f>
        <v>5286</v>
      </c>
      <c r="I21" s="71">
        <f>'FS-AD Daily '!F25</f>
        <v>5740</v>
      </c>
      <c r="J21" s="71">
        <f>'FS-AD Daily '!G25</f>
        <v>3008</v>
      </c>
      <c r="K21" s="71">
        <f>'FS-AD Daily '!H25</f>
        <v>7347</v>
      </c>
      <c r="L21" s="71">
        <f>'FS-AD Daily '!I25</f>
        <v>2472</v>
      </c>
      <c r="M21" s="71">
        <f>'FS-AD Daily '!J25</f>
        <v>7297</v>
      </c>
      <c r="N21" s="71">
        <f>'FS-AD Daily '!T25</f>
        <v>154.424999999992</v>
      </c>
      <c r="O21" s="71">
        <f>'FS-AD Daily '!R25</f>
        <v>85.815000000002328</v>
      </c>
      <c r="P21" s="71">
        <f>'FS-AD Daily '!Z25</f>
        <v>520</v>
      </c>
      <c r="Q21" s="71">
        <f>'FS-AD Daily '!V25</f>
        <v>220</v>
      </c>
      <c r="R21" s="71">
        <f>'FS-AD Daily '!W25</f>
        <v>0</v>
      </c>
      <c r="S21" s="71">
        <f t="shared" si="0"/>
        <v>300</v>
      </c>
      <c r="T21" s="71">
        <f>'FS-AD Daily '!AD25*3.516</f>
        <v>88924.21080000262</v>
      </c>
      <c r="U21" s="71">
        <f>('FS-AD Daily '!AF25)*1000</f>
        <v>40699.99999999709</v>
      </c>
      <c r="V21" s="71">
        <f>('FS-AD Daily '!AG25)*1000</f>
        <v>33800.00000000291</v>
      </c>
      <c r="W21" s="71">
        <f>'FS-AD Daily '!AH25*1000</f>
        <v>14899.999999997817</v>
      </c>
      <c r="X21" s="71">
        <f>('FS-AD Daily '!AK25)*1000</f>
        <v>34199.99999999709</v>
      </c>
      <c r="Y21" s="71">
        <v>73</v>
      </c>
      <c r="Z21" s="113">
        <v>106</v>
      </c>
    </row>
    <row r="22" spans="1:26" x14ac:dyDescent="0.25">
      <c r="A22" s="112" t="s">
        <v>80</v>
      </c>
      <c r="B22" s="69">
        <f t="shared" si="1"/>
        <v>21</v>
      </c>
      <c r="C22" s="70">
        <v>5</v>
      </c>
      <c r="D22" s="69">
        <v>2021</v>
      </c>
      <c r="E22" s="71">
        <f>'FS-AD Daily '!B26</f>
        <v>5157</v>
      </c>
      <c r="F22" s="71">
        <f>'FS-AD Daily '!C26</f>
        <v>2915</v>
      </c>
      <c r="G22" s="71">
        <f>'FS-AD Daily '!D26</f>
        <v>815</v>
      </c>
      <c r="H22" s="71">
        <f>'FS-AD Daily '!E26</f>
        <v>4958</v>
      </c>
      <c r="I22" s="71">
        <f>'FS-AD Daily '!F26</f>
        <v>5663</v>
      </c>
      <c r="J22" s="71">
        <f>'FS-AD Daily '!G26</f>
        <v>3209</v>
      </c>
      <c r="K22" s="71">
        <f>'FS-AD Daily '!H26</f>
        <v>7880</v>
      </c>
      <c r="L22" s="71">
        <f>'FS-AD Daily '!I26</f>
        <v>2470</v>
      </c>
      <c r="M22" s="71">
        <f>'FS-AD Daily '!J26</f>
        <v>7348</v>
      </c>
      <c r="N22" s="71">
        <f>'FS-AD Daily '!T26</f>
        <v>187.52300000000469</v>
      </c>
      <c r="O22" s="71">
        <f>'FS-AD Daily '!R26</f>
        <v>85.720999999989544</v>
      </c>
      <c r="P22" s="71">
        <f>'FS-AD Daily '!Z26</f>
        <v>590</v>
      </c>
      <c r="Q22" s="71">
        <f>'FS-AD Daily '!V26</f>
        <v>249.29999999998836</v>
      </c>
      <c r="R22" s="71">
        <f>'FS-AD Daily '!W26</f>
        <v>0</v>
      </c>
      <c r="S22" s="71">
        <f t="shared" si="0"/>
        <v>340.70000000001164</v>
      </c>
      <c r="T22" s="71">
        <f>'FS-AD Daily '!AD26*3.516</f>
        <v>106080.18119999739</v>
      </c>
      <c r="U22" s="71">
        <f>('FS-AD Daily '!AF26)*1000</f>
        <v>50000</v>
      </c>
      <c r="V22" s="71">
        <f>('FS-AD Daily '!AG26)*1000</f>
        <v>38599.999999998545</v>
      </c>
      <c r="W22" s="71">
        <f>'FS-AD Daily '!AH26*1000</f>
        <v>16000</v>
      </c>
      <c r="X22" s="71">
        <f>('FS-AD Daily '!AK26)*1000</f>
        <v>35600.000000005821</v>
      </c>
      <c r="Y22" s="71">
        <v>85</v>
      </c>
      <c r="Z22" s="113">
        <v>131</v>
      </c>
    </row>
    <row r="23" spans="1:26" x14ac:dyDescent="0.25">
      <c r="A23" s="112" t="s">
        <v>80</v>
      </c>
      <c r="B23" s="69">
        <f t="shared" si="1"/>
        <v>22</v>
      </c>
      <c r="C23" s="70">
        <v>5</v>
      </c>
      <c r="D23" s="69">
        <v>2021</v>
      </c>
      <c r="E23" s="71">
        <f>'FS-AD Daily '!B27</f>
        <v>5200</v>
      </c>
      <c r="F23" s="71">
        <f>'FS-AD Daily '!C27</f>
        <v>3214</v>
      </c>
      <c r="G23" s="71">
        <f>'FS-AD Daily '!D27</f>
        <v>926</v>
      </c>
      <c r="H23" s="71">
        <f>'FS-AD Daily '!E27</f>
        <v>5097</v>
      </c>
      <c r="I23" s="71">
        <f>'FS-AD Daily '!F27</f>
        <v>5632</v>
      </c>
      <c r="J23" s="71">
        <f>'FS-AD Daily '!G27</f>
        <v>3210</v>
      </c>
      <c r="K23" s="71">
        <f>'FS-AD Daily '!H27</f>
        <v>7113</v>
      </c>
      <c r="L23" s="71">
        <f>'FS-AD Daily '!I27</f>
        <v>2463</v>
      </c>
      <c r="M23" s="71">
        <f>'FS-AD Daily '!J27</f>
        <v>7580</v>
      </c>
      <c r="N23" s="71">
        <f>'FS-AD Daily '!T27</f>
        <v>146.99000000000524</v>
      </c>
      <c r="O23" s="71">
        <f>'FS-AD Daily '!R27</f>
        <v>86.04600000001119</v>
      </c>
      <c r="P23" s="71">
        <f>'FS-AD Daily '!Z27</f>
        <v>549</v>
      </c>
      <c r="Q23" s="71">
        <f>'FS-AD Daily '!V27</f>
        <v>260.70000000001164</v>
      </c>
      <c r="R23" s="71">
        <f>'FS-AD Daily '!W27</f>
        <v>0</v>
      </c>
      <c r="S23" s="71">
        <f t="shared" si="0"/>
        <v>288.29999999998836</v>
      </c>
      <c r="T23" s="71">
        <f>'FS-AD Daily '!AD27*3.516</f>
        <v>101619.432</v>
      </c>
      <c r="U23" s="71">
        <f>('FS-AD Daily '!AF27)*1000</f>
        <v>47600.000000005821</v>
      </c>
      <c r="V23" s="71">
        <f>('FS-AD Daily '!AG27)*1000</f>
        <v>33699.99999999709</v>
      </c>
      <c r="W23" s="71">
        <f>'FS-AD Daily '!AH27*1000</f>
        <v>16900.000000001455</v>
      </c>
      <c r="X23" s="71">
        <f>('FS-AD Daily '!AK27)*1000</f>
        <v>36699.99999999709</v>
      </c>
      <c r="Y23" s="71">
        <v>58</v>
      </c>
      <c r="Z23" s="113">
        <v>86</v>
      </c>
    </row>
    <row r="24" spans="1:26" x14ac:dyDescent="0.25">
      <c r="A24" s="112" t="s">
        <v>80</v>
      </c>
      <c r="B24" s="69">
        <f t="shared" si="1"/>
        <v>23</v>
      </c>
      <c r="C24" s="70">
        <v>5</v>
      </c>
      <c r="D24" s="69">
        <v>2021</v>
      </c>
      <c r="E24" s="71">
        <f>'FS-AD Daily '!B28</f>
        <v>4902</v>
      </c>
      <c r="F24" s="71">
        <f>'FS-AD Daily '!C28</f>
        <v>3381</v>
      </c>
      <c r="G24" s="71">
        <f>'FS-AD Daily '!D28</f>
        <v>921</v>
      </c>
      <c r="H24" s="71">
        <f>'FS-AD Daily '!E28</f>
        <v>4786</v>
      </c>
      <c r="I24" s="71">
        <f>'FS-AD Daily '!F28</f>
        <v>5571</v>
      </c>
      <c r="J24" s="71">
        <f>'FS-AD Daily '!G28</f>
        <v>3153</v>
      </c>
      <c r="K24" s="71">
        <f>'FS-AD Daily '!H28</f>
        <v>6384</v>
      </c>
      <c r="L24" s="71">
        <f>'FS-AD Daily '!I28</f>
        <v>2531</v>
      </c>
      <c r="M24" s="71">
        <f>'FS-AD Daily '!J28</f>
        <v>7277</v>
      </c>
      <c r="N24" s="71">
        <f>'FS-AD Daily '!T28</f>
        <v>113.84499999999389</v>
      </c>
      <c r="O24" s="71">
        <f>'FS-AD Daily '!R28</f>
        <v>67.3989999999867</v>
      </c>
      <c r="P24" s="71">
        <f>'FS-AD Daily '!Z28</f>
        <v>537</v>
      </c>
      <c r="Q24" s="71">
        <f>'FS-AD Daily '!V28</f>
        <v>252.70000000001164</v>
      </c>
      <c r="R24" s="71">
        <f>'FS-AD Daily '!W28</f>
        <v>0</v>
      </c>
      <c r="S24" s="71">
        <f t="shared" si="0"/>
        <v>284.29999999998836</v>
      </c>
      <c r="T24" s="71">
        <f>'FS-AD Daily '!AD28*3.516</f>
        <v>88564.172400001306</v>
      </c>
      <c r="U24" s="71">
        <f>('FS-AD Daily '!AF28)*1000</f>
        <v>40600.000000005821</v>
      </c>
      <c r="V24" s="71">
        <f>('FS-AD Daily '!AG28)*1000</f>
        <v>29300.00000000291</v>
      </c>
      <c r="W24" s="71">
        <f>'FS-AD Daily '!AH28*1000</f>
        <v>16000</v>
      </c>
      <c r="X24" s="71">
        <f>('FS-AD Daily '!AK28)*1000</f>
        <v>32500</v>
      </c>
      <c r="Y24" s="71">
        <v>61</v>
      </c>
      <c r="Z24" s="113">
        <v>88</v>
      </c>
    </row>
    <row r="25" spans="1:26" x14ac:dyDescent="0.25">
      <c r="A25" s="112" t="s">
        <v>80</v>
      </c>
      <c r="B25" s="69">
        <f t="shared" si="1"/>
        <v>24</v>
      </c>
      <c r="C25" s="70">
        <v>5</v>
      </c>
      <c r="D25" s="69">
        <v>2021</v>
      </c>
      <c r="E25" s="71">
        <f>'FS-AD Daily '!B29</f>
        <v>4888</v>
      </c>
      <c r="F25" s="71">
        <f>'FS-AD Daily '!C29</f>
        <v>3328</v>
      </c>
      <c r="G25" s="71">
        <f>'FS-AD Daily '!D29</f>
        <v>872</v>
      </c>
      <c r="H25" s="71">
        <f>'FS-AD Daily '!E29</f>
        <v>4584</v>
      </c>
      <c r="I25" s="71">
        <f>'FS-AD Daily '!F29</f>
        <v>5413</v>
      </c>
      <c r="J25" s="71">
        <f>'FS-AD Daily '!G29</f>
        <v>3087</v>
      </c>
      <c r="K25" s="71">
        <f>'FS-AD Daily '!H29</f>
        <v>6607</v>
      </c>
      <c r="L25" s="71">
        <f>'FS-AD Daily '!I29</f>
        <v>2454</v>
      </c>
      <c r="M25" s="71">
        <f>'FS-AD Daily '!J29</f>
        <v>6903</v>
      </c>
      <c r="N25" s="71">
        <f>'FS-AD Daily '!T29</f>
        <v>133.64500000000771</v>
      </c>
      <c r="O25" s="71">
        <f>'FS-AD Daily '!R29</f>
        <v>73.152000000002772</v>
      </c>
      <c r="P25" s="71">
        <f>'FS-AD Daily '!Z29</f>
        <v>540</v>
      </c>
      <c r="Q25" s="71">
        <f>'FS-AD Daily '!V29</f>
        <v>253.20000000001164</v>
      </c>
      <c r="R25" s="71">
        <f>'FS-AD Daily '!W29</f>
        <v>0</v>
      </c>
      <c r="S25" s="71">
        <f t="shared" si="0"/>
        <v>286.79999999998836</v>
      </c>
      <c r="T25" s="71">
        <f>'FS-AD Daily '!AD29*3.516</f>
        <v>96538.812000000005</v>
      </c>
      <c r="U25" s="71">
        <f>('FS-AD Daily '!AF29)*1000</f>
        <v>44399.999999994179</v>
      </c>
      <c r="V25" s="71">
        <f>('FS-AD Daily '!AG29)*1000</f>
        <v>31199.99999999709</v>
      </c>
      <c r="W25" s="71">
        <f>'FS-AD Daily '!AH29*1000</f>
        <v>16700.000000000728</v>
      </c>
      <c r="X25" s="71">
        <f>('FS-AD Daily '!AK29)*1000</f>
        <v>30900.000000001455</v>
      </c>
      <c r="Y25" s="71">
        <v>75</v>
      </c>
      <c r="Z25" s="113">
        <v>100</v>
      </c>
    </row>
    <row r="26" spans="1:26" x14ac:dyDescent="0.25">
      <c r="A26" s="112" t="s">
        <v>80</v>
      </c>
      <c r="B26" s="69">
        <f>B25+1</f>
        <v>25</v>
      </c>
      <c r="C26" s="70">
        <v>5</v>
      </c>
      <c r="D26" s="69">
        <v>2021</v>
      </c>
      <c r="E26" s="71">
        <f>'FS-AD Daily '!B30</f>
        <v>5089</v>
      </c>
      <c r="F26" s="71">
        <f>'FS-AD Daily '!C30</f>
        <v>3497</v>
      </c>
      <c r="G26" s="71">
        <f>'FS-AD Daily '!D30</f>
        <v>919</v>
      </c>
      <c r="H26" s="71">
        <f>'FS-AD Daily '!E30</f>
        <v>4950</v>
      </c>
      <c r="I26" s="71">
        <f>'FS-AD Daily '!F30</f>
        <v>5797</v>
      </c>
      <c r="J26" s="71">
        <f>'FS-AD Daily '!G30</f>
        <v>3117</v>
      </c>
      <c r="K26" s="71">
        <f>'FS-AD Daily '!H30</f>
        <v>5324</v>
      </c>
      <c r="L26" s="71">
        <f>'FS-AD Daily '!I30</f>
        <v>2546</v>
      </c>
      <c r="M26" s="71">
        <f>'FS-AD Daily '!J30</f>
        <v>7368</v>
      </c>
      <c r="N26" s="71">
        <f>'FS-AD Daily '!T30</f>
        <v>151.32300000000032</v>
      </c>
      <c r="O26" s="71">
        <f>'FS-AD Daily '!R30</f>
        <v>77.215999999993983</v>
      </c>
      <c r="P26" s="71">
        <f>'FS-AD Daily '!Z30</f>
        <v>605</v>
      </c>
      <c r="Q26" s="71">
        <f>'FS-AD Daily '!V30</f>
        <v>285</v>
      </c>
      <c r="R26" s="71">
        <f>'FS-AD Daily '!W30</f>
        <v>0</v>
      </c>
      <c r="S26" s="71">
        <f t="shared" si="0"/>
        <v>320</v>
      </c>
      <c r="T26" s="71">
        <f>'FS-AD Daily '!AD30*3.516</f>
        <v>83582.351999999999</v>
      </c>
      <c r="U26" s="71">
        <f>('FS-AD Daily '!AF30)*1000</f>
        <v>38699.99999999709</v>
      </c>
      <c r="V26" s="71">
        <f>('FS-AD Daily '!AG30)*1000</f>
        <v>23599.999999998545</v>
      </c>
      <c r="W26" s="71">
        <f>'FS-AD Daily '!AH30*1000</f>
        <v>16899.999999997817</v>
      </c>
      <c r="X26" s="71">
        <f>('FS-AD Daily '!AK30)*1000</f>
        <v>29500</v>
      </c>
      <c r="Y26" s="71">
        <v>97</v>
      </c>
      <c r="Z26" s="113">
        <v>136</v>
      </c>
    </row>
    <row r="27" spans="1:26" x14ac:dyDescent="0.25">
      <c r="A27" s="112" t="s">
        <v>80</v>
      </c>
      <c r="B27" s="69">
        <f t="shared" si="1"/>
        <v>26</v>
      </c>
      <c r="C27" s="70">
        <v>5</v>
      </c>
      <c r="D27" s="69">
        <v>2021</v>
      </c>
      <c r="E27" s="71">
        <f>'FS-AD Daily '!B31</f>
        <v>5050</v>
      </c>
      <c r="F27" s="71">
        <f>'FS-AD Daily '!C31</f>
        <v>4116</v>
      </c>
      <c r="G27" s="71">
        <f>'FS-AD Daily '!D31</f>
        <v>935</v>
      </c>
      <c r="H27" s="71">
        <f>'FS-AD Daily '!E31</f>
        <v>4921</v>
      </c>
      <c r="I27" s="71">
        <f>'FS-AD Daily '!F31</f>
        <v>5831</v>
      </c>
      <c r="J27" s="71">
        <f>'FS-AD Daily '!G31</f>
        <v>3193</v>
      </c>
      <c r="K27" s="71">
        <f>'FS-AD Daily '!H31</f>
        <v>5451</v>
      </c>
      <c r="L27" s="71">
        <f>'FS-AD Daily '!I31</f>
        <v>2516</v>
      </c>
      <c r="M27" s="71">
        <f>'FS-AD Daily '!J31</f>
        <v>7287</v>
      </c>
      <c r="N27" s="71">
        <f>'FS-AD Daily '!T31</f>
        <v>152.34200000000055</v>
      </c>
      <c r="O27" s="71">
        <f>'FS-AD Daily '!R31</f>
        <v>79.718999999998232</v>
      </c>
      <c r="P27" s="71">
        <f>'FS-AD Daily '!Z31</f>
        <v>583</v>
      </c>
      <c r="Q27" s="71">
        <f>'FS-AD Daily '!V31</f>
        <v>262.59999999997672</v>
      </c>
      <c r="R27" s="71">
        <f>'FS-AD Daily '!W31</f>
        <v>0</v>
      </c>
      <c r="S27" s="71">
        <f t="shared" si="0"/>
        <v>320.40000000002328</v>
      </c>
      <c r="T27" s="71">
        <f>'FS-AD Daily '!AD31*3.516</f>
        <v>88849.32</v>
      </c>
      <c r="U27" s="71">
        <f>('FS-AD Daily '!AF31)*1000</f>
        <v>40500</v>
      </c>
      <c r="V27" s="71">
        <f>('FS-AD Daily '!AG31)*1000</f>
        <v>26200.000000004366</v>
      </c>
      <c r="W27" s="71">
        <f>'FS-AD Daily '!AH31*1000</f>
        <v>16500</v>
      </c>
      <c r="X27" s="71">
        <f>('FS-AD Daily '!AK31)*1000</f>
        <v>28699.99999999709</v>
      </c>
      <c r="Y27" s="71">
        <v>102</v>
      </c>
      <c r="Z27" s="113">
        <v>156</v>
      </c>
    </row>
    <row r="28" spans="1:26" x14ac:dyDescent="0.25">
      <c r="A28" s="112" t="s">
        <v>80</v>
      </c>
      <c r="B28" s="69">
        <f t="shared" si="1"/>
        <v>27</v>
      </c>
      <c r="C28" s="70">
        <v>5</v>
      </c>
      <c r="D28" s="69">
        <v>2021</v>
      </c>
      <c r="E28" s="71">
        <f>'FS-AD Daily '!B32</f>
        <v>5342</v>
      </c>
      <c r="F28" s="71">
        <f>'FS-AD Daily '!C32</f>
        <v>3305</v>
      </c>
      <c r="G28" s="71">
        <f>'FS-AD Daily '!D32</f>
        <v>978</v>
      </c>
      <c r="H28" s="71">
        <f>'FS-AD Daily '!E32</f>
        <v>5044</v>
      </c>
      <c r="I28" s="71">
        <f>'FS-AD Daily '!F32</f>
        <v>5830</v>
      </c>
      <c r="J28" s="71">
        <f>'FS-AD Daily '!G32</f>
        <v>3430</v>
      </c>
      <c r="K28" s="71">
        <f>'FS-AD Daily '!H32</f>
        <v>6484</v>
      </c>
      <c r="L28" s="71">
        <f>'FS-AD Daily '!I32</f>
        <v>2515</v>
      </c>
      <c r="M28" s="71">
        <f>'FS-AD Daily '!J32</f>
        <v>7526</v>
      </c>
      <c r="N28" s="71">
        <f>'FS-AD Daily '!T32</f>
        <v>146.17100000001301</v>
      </c>
      <c r="O28" s="71">
        <f>'FS-AD Daily '!R32</f>
        <v>85.504000000001724</v>
      </c>
      <c r="P28" s="71">
        <f>'FS-AD Daily '!Z32</f>
        <v>588</v>
      </c>
      <c r="Q28" s="71">
        <f>'FS-AD Daily '!V32</f>
        <v>280.90000000002328</v>
      </c>
      <c r="R28" s="71">
        <f>'FS-AD Daily '!W32</f>
        <v>0</v>
      </c>
      <c r="S28" s="71">
        <f t="shared" si="0"/>
        <v>307.09999999997672</v>
      </c>
      <c r="T28" s="71">
        <f>'FS-AD Daily '!AD32*3.516</f>
        <v>94636.656000000003</v>
      </c>
      <c r="U28" s="71">
        <f>('FS-AD Daily '!AF32)*1000</f>
        <v>44800.00000000291</v>
      </c>
      <c r="V28" s="71">
        <f>('FS-AD Daily '!AG32)*1000</f>
        <v>28900.000000001455</v>
      </c>
      <c r="W28" s="71">
        <f>'FS-AD Daily '!AH32*1000</f>
        <v>16200.000000000728</v>
      </c>
      <c r="X28" s="71">
        <f>('FS-AD Daily '!AK32)*1000</f>
        <v>30200.000000004366</v>
      </c>
      <c r="Y28" s="71">
        <v>135</v>
      </c>
      <c r="Z28" s="113">
        <v>228</v>
      </c>
    </row>
    <row r="29" spans="1:26" x14ac:dyDescent="0.25">
      <c r="A29" s="112" t="s">
        <v>80</v>
      </c>
      <c r="B29" s="69">
        <f t="shared" si="1"/>
        <v>28</v>
      </c>
      <c r="C29" s="70">
        <v>5</v>
      </c>
      <c r="D29" s="69">
        <v>2021</v>
      </c>
      <c r="E29" s="71">
        <f>'FS-AD Daily '!B33</f>
        <v>6166</v>
      </c>
      <c r="F29" s="71">
        <f>'FS-AD Daily '!C33</f>
        <v>3479</v>
      </c>
      <c r="G29" s="71">
        <f>'FS-AD Daily '!D33</f>
        <v>932</v>
      </c>
      <c r="H29" s="71">
        <f>'FS-AD Daily '!E33</f>
        <v>5136</v>
      </c>
      <c r="I29" s="71">
        <f>'FS-AD Daily '!F33</f>
        <v>5960</v>
      </c>
      <c r="J29" s="71">
        <f>'FS-AD Daily '!G33</f>
        <v>3679</v>
      </c>
      <c r="K29" s="71">
        <f>'FS-AD Daily '!H33</f>
        <v>8569</v>
      </c>
      <c r="L29" s="71">
        <f>'FS-AD Daily '!I33</f>
        <v>2469</v>
      </c>
      <c r="M29" s="71">
        <f>'FS-AD Daily '!J33</f>
        <v>7548</v>
      </c>
      <c r="N29" s="71">
        <f>'FS-AD Daily '!T33</f>
        <v>153.22799999999188</v>
      </c>
      <c r="O29" s="71">
        <f>'FS-AD Daily '!R33</f>
        <v>88.92000000000553</v>
      </c>
      <c r="P29" s="71">
        <f>'FS-AD Daily '!Z33</f>
        <v>655</v>
      </c>
      <c r="Q29" s="71">
        <f>'FS-AD Daily '!V33</f>
        <v>289.5</v>
      </c>
      <c r="R29" s="71">
        <f>'FS-AD Daily '!W33</f>
        <v>0</v>
      </c>
      <c r="S29" s="71">
        <f t="shared" si="0"/>
        <v>365.5</v>
      </c>
      <c r="T29" s="71">
        <f>'FS-AD Daily '!AD33*3.516</f>
        <v>112360.81200000001</v>
      </c>
      <c r="U29" s="71">
        <f>('FS-AD Daily '!AF33)*1000</f>
        <v>54100.000000005821</v>
      </c>
      <c r="V29" s="71">
        <f>('FS-AD Daily '!AG33)*1000</f>
        <v>39599.999999998545</v>
      </c>
      <c r="W29" s="71">
        <f>'FS-AD Daily '!AH33*1000</f>
        <v>15400.000000001455</v>
      </c>
      <c r="X29" s="71">
        <f>('FS-AD Daily '!AK33)*1000</f>
        <v>31500</v>
      </c>
      <c r="Y29" s="71">
        <v>115</v>
      </c>
      <c r="Z29" s="113">
        <v>196</v>
      </c>
    </row>
    <row r="30" spans="1:26" x14ac:dyDescent="0.25">
      <c r="A30" s="112" t="s">
        <v>80</v>
      </c>
      <c r="B30" s="69">
        <f t="shared" si="1"/>
        <v>29</v>
      </c>
      <c r="C30" s="70">
        <v>5</v>
      </c>
      <c r="D30" s="69">
        <v>2021</v>
      </c>
      <c r="E30" s="71">
        <f>'FS-AD Daily '!B34</f>
        <v>5559</v>
      </c>
      <c r="F30" s="71">
        <f>'FS-AD Daily '!C34</f>
        <v>3483</v>
      </c>
      <c r="G30" s="71">
        <f>'FS-AD Daily '!D34</f>
        <v>1013</v>
      </c>
      <c r="H30" s="71">
        <f>'FS-AD Daily '!E34</f>
        <v>5081</v>
      </c>
      <c r="I30" s="71">
        <f>'FS-AD Daily '!F34</f>
        <v>5710</v>
      </c>
      <c r="J30" s="71">
        <f>'FS-AD Daily '!G34</f>
        <v>3497</v>
      </c>
      <c r="K30" s="71">
        <f>'FS-AD Daily '!H34</f>
        <v>8384</v>
      </c>
      <c r="L30" s="71">
        <f>'FS-AD Daily '!I34</f>
        <v>2441</v>
      </c>
      <c r="M30" s="71">
        <f>'FS-AD Daily '!J34</f>
        <v>7537</v>
      </c>
      <c r="N30" s="71">
        <f>'FS-AD Daily '!T34</f>
        <v>158.84500000000116</v>
      </c>
      <c r="O30" s="71">
        <f>'FS-AD Daily '!R34</f>
        <v>82.348000000001775</v>
      </c>
      <c r="P30" s="71">
        <f>'FS-AD Daily '!Z34</f>
        <v>589</v>
      </c>
      <c r="Q30" s="71">
        <f>'FS-AD Daily '!V34</f>
        <v>289.09999999997672</v>
      </c>
      <c r="R30" s="71">
        <f>'FS-AD Daily '!W34</f>
        <v>0</v>
      </c>
      <c r="S30" s="71">
        <f t="shared" si="0"/>
        <v>299.90000000002328</v>
      </c>
      <c r="T30" s="71">
        <f>'FS-AD Daily '!AD34*3.516</f>
        <v>107976.36</v>
      </c>
      <c r="U30" s="71">
        <f>('FS-AD Daily '!AF34)*1000</f>
        <v>49199.99999999709</v>
      </c>
      <c r="V30" s="71">
        <f>('FS-AD Daily '!AG34)*1000</f>
        <v>38500</v>
      </c>
      <c r="W30" s="71">
        <f>'FS-AD Daily '!AH34*1000</f>
        <v>14599.999999998545</v>
      </c>
      <c r="X30" s="71">
        <f>('FS-AD Daily '!AK34)*1000</f>
        <v>32399.999999994179</v>
      </c>
      <c r="Y30" s="71">
        <v>62</v>
      </c>
      <c r="Z30" s="113">
        <v>102</v>
      </c>
    </row>
    <row r="31" spans="1:26" x14ac:dyDescent="0.25">
      <c r="A31" s="138" t="s">
        <v>80</v>
      </c>
      <c r="B31" s="139">
        <f t="shared" si="1"/>
        <v>30</v>
      </c>
      <c r="C31" s="70">
        <v>5</v>
      </c>
      <c r="D31" s="69">
        <v>2021</v>
      </c>
      <c r="E31" s="71">
        <f>'FS-AD Daily '!B35</f>
        <v>4962</v>
      </c>
      <c r="F31" s="71">
        <f>'FS-AD Daily '!C35</f>
        <v>2928</v>
      </c>
      <c r="G31" s="71">
        <f>'FS-AD Daily '!D35</f>
        <v>887</v>
      </c>
      <c r="H31" s="71">
        <f>'FS-AD Daily '!E35</f>
        <v>4823</v>
      </c>
      <c r="I31" s="141">
        <f>'FS-AD Daily '!F35</f>
        <v>5692</v>
      </c>
      <c r="J31" s="141">
        <f>'FS-AD Daily '!G35</f>
        <v>3373</v>
      </c>
      <c r="K31" s="141">
        <f>'FS-AD Daily '!H35</f>
        <v>7687</v>
      </c>
      <c r="L31" s="141">
        <f>'FS-AD Daily '!I35</f>
        <v>2454</v>
      </c>
      <c r="M31" s="141">
        <f>'FS-AD Daily '!J35</f>
        <v>7292</v>
      </c>
      <c r="N31" s="141">
        <f>'FS-AD Daily '!T35</f>
        <v>135.06400000000576</v>
      </c>
      <c r="O31" s="141">
        <f>'FS-AD Daily '!R35</f>
        <v>71.285999999988235</v>
      </c>
      <c r="P31" s="141">
        <f>'FS-AD Daily '!Z35</f>
        <v>537</v>
      </c>
      <c r="Q31" s="141">
        <f>'FS-AD Daily '!V35</f>
        <v>253.40000000002328</v>
      </c>
      <c r="R31" s="141">
        <f>'FS-AD Daily '!W35</f>
        <v>0</v>
      </c>
      <c r="S31" s="141">
        <f t="shared" si="0"/>
        <v>283.59999999997672</v>
      </c>
      <c r="T31" s="141">
        <f>'FS-AD Daily '!AD35*3.516</f>
        <v>94576.884000000005</v>
      </c>
      <c r="U31" s="141">
        <f>('FS-AD Daily '!AF35)*1000</f>
        <v>40900.000000008731</v>
      </c>
      <c r="V31" s="141">
        <f>('FS-AD Daily '!AG35)*1000</f>
        <v>34099.999999998545</v>
      </c>
      <c r="W31" s="141">
        <f>'FS-AD Daily '!AH35*1000</f>
        <v>14500</v>
      </c>
      <c r="X31" s="141">
        <f>('FS-AD Daily '!AK35)*1000</f>
        <v>30200.000000004366</v>
      </c>
      <c r="Y31" s="141">
        <v>113</v>
      </c>
      <c r="Z31" s="142">
        <v>174</v>
      </c>
    </row>
    <row r="32" spans="1:26" ht="15.75" thickBot="1" x14ac:dyDescent="0.3">
      <c r="A32" s="114" t="s">
        <v>80</v>
      </c>
      <c r="B32" s="115">
        <f t="shared" si="1"/>
        <v>31</v>
      </c>
      <c r="C32" s="116">
        <v>5</v>
      </c>
      <c r="D32" s="115">
        <v>2021</v>
      </c>
      <c r="E32" s="117">
        <f>'FS-AD Daily '!B36</f>
        <v>5349</v>
      </c>
      <c r="F32" s="117">
        <f>'FS-AD Daily '!C36</f>
        <v>3348</v>
      </c>
      <c r="G32" s="117">
        <f>'FS-AD Daily '!D36</f>
        <v>953</v>
      </c>
      <c r="H32" s="117">
        <f>'FS-AD Daily '!E36</f>
        <v>4851</v>
      </c>
      <c r="I32" s="117">
        <f>'FS-AD Daily '!F36</f>
        <v>5765</v>
      </c>
      <c r="J32" s="117">
        <f>'FS-AD Daily '!G36</f>
        <v>3429</v>
      </c>
      <c r="K32" s="117">
        <f>'FS-AD Daily '!H36</f>
        <v>7052</v>
      </c>
      <c r="L32" s="117">
        <f>'FS-AD Daily '!I36</f>
        <v>2455</v>
      </c>
      <c r="M32" s="117">
        <f>'FS-AD Daily '!J36</f>
        <v>7316</v>
      </c>
      <c r="N32" s="117">
        <f>'FS-AD Daily '!T36</f>
        <v>146.73399999998946</v>
      </c>
      <c r="O32" s="117">
        <f>'FS-AD Daily '!R36</f>
        <v>79.06600000000708</v>
      </c>
      <c r="P32" s="117">
        <f>'FS-AD Daily '!Z36</f>
        <v>564</v>
      </c>
      <c r="Q32" s="117">
        <f>'FS-AD Daily '!V36</f>
        <v>269.89999999996508</v>
      </c>
      <c r="R32" s="117">
        <f>'FS-AD Daily '!W36</f>
        <v>0</v>
      </c>
      <c r="S32" s="117">
        <f t="shared" ref="S32" si="2">P32-Q32-R32</f>
        <v>294.10000000003492</v>
      </c>
      <c r="T32" s="117">
        <f>'FS-AD Daily '!AD36*3.516</f>
        <v>97583.063999999998</v>
      </c>
      <c r="U32" s="117">
        <f>('FS-AD Daily '!AF36)*1000</f>
        <v>44699.99999999709</v>
      </c>
      <c r="V32" s="117">
        <f>('FS-AD Daily '!AG36)*1000</f>
        <v>32199.99999999709</v>
      </c>
      <c r="W32" s="117">
        <f>'FS-AD Daily '!AH36*1000</f>
        <v>15000</v>
      </c>
      <c r="X32" s="117">
        <f>('FS-AD Daily '!AK36)*1000</f>
        <v>30500</v>
      </c>
      <c r="Y32" s="117">
        <v>113</v>
      </c>
      <c r="Z32" s="118">
        <v>157</v>
      </c>
    </row>
    <row r="33" spans="9:26" x14ac:dyDescent="0.25">
      <c r="I33" s="4">
        <f t="shared" ref="I33:W33" si="3">SUM(I2:I32)</f>
        <v>179037</v>
      </c>
      <c r="J33" s="4">
        <f t="shared" si="3"/>
        <v>93581</v>
      </c>
      <c r="K33" s="4">
        <f t="shared" si="3"/>
        <v>209197</v>
      </c>
      <c r="L33" s="4">
        <f t="shared" si="3"/>
        <v>75821</v>
      </c>
      <c r="M33" s="4">
        <f t="shared" si="3"/>
        <v>217965</v>
      </c>
      <c r="N33" s="4">
        <f t="shared" si="3"/>
        <v>4360.0246999999872</v>
      </c>
      <c r="O33" s="4">
        <f t="shared" si="3"/>
        <v>2247.1069999999927</v>
      </c>
      <c r="P33" s="4">
        <f t="shared" si="3"/>
        <v>15387</v>
      </c>
      <c r="Q33" s="4">
        <f t="shared" si="3"/>
        <v>5689.2999999999884</v>
      </c>
      <c r="R33" s="4">
        <f t="shared" si="3"/>
        <v>0</v>
      </c>
      <c r="S33" s="4">
        <f t="shared" si="3"/>
        <v>9697.7000000000116</v>
      </c>
      <c r="T33" s="4">
        <f t="shared" si="3"/>
        <v>2761772.291999999</v>
      </c>
      <c r="U33" s="4">
        <f t="shared" si="3"/>
        <v>1309000.0000000144</v>
      </c>
      <c r="V33" s="4">
        <f t="shared" si="3"/>
        <v>927899.99999997963</v>
      </c>
      <c r="W33" s="4">
        <f t="shared" si="3"/>
        <v>448899.99999999779</v>
      </c>
      <c r="X33" s="4">
        <f>'FS-AD Daily '!U38</f>
        <v>16565.274767999959</v>
      </c>
      <c r="Y33" s="4">
        <f>SUM(Y2:Y32)</f>
        <v>2102</v>
      </c>
      <c r="Z33" s="4">
        <f>SUM(Z2:Z32)</f>
        <v>3301</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D23" activePane="bottomRight" state="frozen"/>
      <selection pane="topRight" activeCell="H1" sqref="H1"/>
      <selection pane="bottomLeft" activeCell="A5" sqref="A5"/>
      <selection pane="bottomRight" activeCell="AN26" sqref="AN26:AN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4" t="s">
        <v>14</v>
      </c>
      <c r="C1" s="154"/>
      <c r="D1" s="154"/>
      <c r="E1" s="154"/>
      <c r="F1" s="154"/>
      <c r="G1" s="154"/>
      <c r="H1" s="154"/>
      <c r="I1" s="154"/>
      <c r="J1" s="154"/>
      <c r="K1" s="25" t="s">
        <v>15</v>
      </c>
      <c r="L1" s="26" t="s">
        <v>16</v>
      </c>
      <c r="M1" s="27" t="s">
        <v>17</v>
      </c>
      <c r="N1" s="28" t="s">
        <v>18</v>
      </c>
      <c r="O1" s="28" t="s">
        <v>19</v>
      </c>
      <c r="P1" s="65" t="s">
        <v>20</v>
      </c>
      <c r="Q1" s="30" t="s">
        <v>21</v>
      </c>
      <c r="R1" s="31" t="s">
        <v>22</v>
      </c>
      <c r="S1" s="29" t="s">
        <v>23</v>
      </c>
      <c r="T1" s="32" t="s">
        <v>24</v>
      </c>
      <c r="U1" s="33" t="s">
        <v>25</v>
      </c>
      <c r="V1" s="32" t="s">
        <v>26</v>
      </c>
      <c r="W1" s="32" t="s">
        <v>27</v>
      </c>
      <c r="X1" s="155" t="s">
        <v>28</v>
      </c>
      <c r="Y1" s="155"/>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50" t="s">
        <v>41</v>
      </c>
      <c r="L2" s="149" t="s">
        <v>42</v>
      </c>
      <c r="M2" s="10"/>
      <c r="N2" s="10"/>
      <c r="O2" s="10"/>
      <c r="P2" s="10"/>
      <c r="Q2" s="10"/>
      <c r="R2" s="10"/>
      <c r="S2" s="158"/>
      <c r="T2" s="47"/>
      <c r="U2" s="152"/>
      <c r="V2" s="45"/>
      <c r="W2" s="45"/>
      <c r="X2" s="22">
        <v>1</v>
      </c>
      <c r="Y2" s="22">
        <v>2</v>
      </c>
      <c r="Z2" s="23"/>
      <c r="AA2" s="149" t="s">
        <v>100</v>
      </c>
      <c r="AB2" s="43"/>
      <c r="AC2" s="150" t="s">
        <v>43</v>
      </c>
      <c r="AD2" s="151"/>
      <c r="AE2" s="152" t="s">
        <v>104</v>
      </c>
      <c r="AF2" s="45"/>
      <c r="AG2" s="45"/>
      <c r="AH2" s="45"/>
      <c r="AI2" s="44"/>
      <c r="AJ2" s="44"/>
      <c r="AK2" s="44"/>
      <c r="AL2" s="44"/>
      <c r="AM2" s="152" t="s">
        <v>104</v>
      </c>
      <c r="AN2" s="153"/>
      <c r="AO2" s="148"/>
    </row>
    <row r="3" spans="1:44" ht="15" customHeight="1" x14ac:dyDescent="0.25">
      <c r="A3" s="9"/>
      <c r="B3" s="11" t="s">
        <v>44</v>
      </c>
      <c r="C3" s="11" t="s">
        <v>45</v>
      </c>
      <c r="D3" s="11" t="s">
        <v>46</v>
      </c>
      <c r="E3" s="11" t="s">
        <v>47</v>
      </c>
      <c r="F3" s="11" t="s">
        <v>48</v>
      </c>
      <c r="G3" s="11" t="s">
        <v>49</v>
      </c>
      <c r="H3" s="11" t="s">
        <v>50</v>
      </c>
      <c r="I3" s="11" t="s">
        <v>51</v>
      </c>
      <c r="J3" s="11" t="s">
        <v>52</v>
      </c>
      <c r="K3" s="156"/>
      <c r="L3" s="157"/>
      <c r="M3" s="10"/>
      <c r="N3" s="10"/>
      <c r="O3" s="10"/>
      <c r="P3" s="10"/>
      <c r="Q3" s="10"/>
      <c r="R3" s="10"/>
      <c r="S3" s="158"/>
      <c r="T3" s="47"/>
      <c r="U3" s="152"/>
      <c r="V3" s="45"/>
      <c r="W3" s="45"/>
      <c r="X3" s="11"/>
      <c r="Y3" s="11"/>
      <c r="Z3" s="12"/>
      <c r="AA3" s="149"/>
      <c r="AB3" s="43"/>
      <c r="AC3" s="150"/>
      <c r="AD3" s="151"/>
      <c r="AE3" s="152"/>
      <c r="AF3" s="45"/>
      <c r="AG3" s="45"/>
      <c r="AH3" s="45"/>
      <c r="AI3" s="13"/>
      <c r="AJ3" s="44"/>
      <c r="AK3" s="44"/>
      <c r="AL3" s="44"/>
      <c r="AM3" s="152"/>
      <c r="AN3" s="153"/>
      <c r="AO3" s="148"/>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58"/>
      <c r="T4" s="47"/>
      <c r="U4" s="152"/>
      <c r="V4" s="45"/>
      <c r="W4" s="45"/>
      <c r="X4" s="52"/>
      <c r="Y4" s="87">
        <v>825352</v>
      </c>
      <c r="Z4" s="12"/>
      <c r="AA4" s="149"/>
      <c r="AB4" s="86">
        <v>3981516</v>
      </c>
      <c r="AC4" s="150"/>
      <c r="AD4" s="151"/>
      <c r="AE4" s="152"/>
      <c r="AF4" s="45"/>
      <c r="AG4" s="45"/>
      <c r="AH4" s="45"/>
      <c r="AI4" s="43">
        <v>42302.5</v>
      </c>
      <c r="AJ4" s="43"/>
      <c r="AK4" s="43"/>
      <c r="AL4" s="43"/>
      <c r="AM4" s="152"/>
      <c r="AN4" s="153"/>
      <c r="AO4" s="148"/>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0" t="e">
        <f>SUM(#REF!)</f>
        <v>#REF!</v>
      </c>
    </row>
    <row r="6" spans="1:44" x14ac:dyDescent="0.25">
      <c r="A6" s="80">
        <v>44317</v>
      </c>
      <c r="B6" s="86">
        <f>11771295-11765989</f>
        <v>5306</v>
      </c>
      <c r="C6" s="86">
        <f>7487369-7484308</f>
        <v>3061</v>
      </c>
      <c r="D6" s="86">
        <f>1462349-1461484</f>
        <v>865</v>
      </c>
      <c r="E6" s="86">
        <f>11189847-11183704</f>
        <v>6143</v>
      </c>
      <c r="F6" s="86">
        <f>11067430-11061550</f>
        <v>5880</v>
      </c>
      <c r="G6" s="86">
        <f>8087504-8084851</f>
        <v>2653</v>
      </c>
      <c r="H6" s="86">
        <f>8092142-8086336</f>
        <v>5806</v>
      </c>
      <c r="I6" s="86">
        <f>5031898-5029425</f>
        <v>2473</v>
      </c>
      <c r="J6" s="86">
        <f>11055332-11048710</f>
        <v>6622</v>
      </c>
      <c r="K6" s="63">
        <f>SUM(B6:H6)</f>
        <v>29714</v>
      </c>
      <c r="L6" s="40">
        <f>K6*0.2</f>
        <v>5942.8</v>
      </c>
      <c r="M6" s="83">
        <f>70348.341-70225.91</f>
        <v>122.43099999999686</v>
      </c>
      <c r="N6" s="83">
        <f>4167.156-4159.916</f>
        <v>7.2399999999997817</v>
      </c>
      <c r="O6" s="83">
        <f>9374.906-9371.579</f>
        <v>3.327000000001135</v>
      </c>
      <c r="P6" s="82">
        <f>86066.927-86007.915</f>
        <v>59.012000000002445</v>
      </c>
      <c r="Q6" s="83">
        <f>23212.984-23202.823</f>
        <v>10.161000000000058</v>
      </c>
      <c r="R6" s="84">
        <f t="shared" ref="R6:R34" si="0">N6+O6+P6</f>
        <v>69.579000000003361</v>
      </c>
      <c r="S6" s="84">
        <f t="shared" ref="S6:S34" si="1">(N6+O6+P6)*7.84</f>
        <v>545.4993600000264</v>
      </c>
      <c r="T6" s="64">
        <f t="shared" ref="T6:T34" si="2">M6+Q6</f>
        <v>132.59199999999691</v>
      </c>
      <c r="U6" s="84">
        <f>T6*7.84</f>
        <v>1039.5212799999758</v>
      </c>
      <c r="V6" s="84">
        <f>340935.8-340771</f>
        <v>164.79999999998836</v>
      </c>
      <c r="W6" s="84">
        <f>129959.4-129959.4</f>
        <v>0</v>
      </c>
      <c r="X6" s="85" t="s">
        <v>63</v>
      </c>
      <c r="Y6" s="75">
        <v>825845</v>
      </c>
      <c r="Z6" s="61">
        <f>IF((Y6-Y5&lt;0), "0",Y6-Y4)</f>
        <v>493</v>
      </c>
      <c r="AA6" s="90">
        <f>Z6*6.47</f>
        <v>3189.71</v>
      </c>
      <c r="AB6" s="75">
        <v>4003625</v>
      </c>
      <c r="AC6" s="75">
        <f>AB4</f>
        <v>3981516</v>
      </c>
      <c r="AD6" s="41">
        <f t="shared" ref="AD6:AD36" si="3">IF((AB6-AC6&lt;0), "0",AB6-AC6)</f>
        <v>22109</v>
      </c>
      <c r="AE6" s="84">
        <f>AD6*0.332195</f>
        <v>7344.4992550000006</v>
      </c>
      <c r="AF6" s="84">
        <f>84494.5-84455.9</f>
        <v>38.600000000005821</v>
      </c>
      <c r="AG6" s="84">
        <f>43979-43955.8</f>
        <v>23.19999999999709</v>
      </c>
      <c r="AH6" s="84">
        <f>26648-26634.9</f>
        <v>13.099999999998545</v>
      </c>
      <c r="AI6" s="75">
        <f>AI4</f>
        <v>42302.5</v>
      </c>
      <c r="AJ6" s="75">
        <v>42334.3</v>
      </c>
      <c r="AK6" s="59">
        <f>IF((AJ6-AI6)&lt;0, "0",AJ6-AI6)</f>
        <v>31.80000000000291</v>
      </c>
      <c r="AL6" s="137">
        <f t="shared" ref="AL6:AL34" si="4">AK6*(284.34513609)</f>
        <v>9042.1753276628278</v>
      </c>
      <c r="AM6" s="84">
        <f>AL6*0.332195</f>
        <v>3003.7654329729535</v>
      </c>
      <c r="AN6" s="110">
        <v>45</v>
      </c>
      <c r="AO6" s="77">
        <f t="shared" ref="AO6:AO34" si="5">L6+U6+AA6+AE6</f>
        <v>17516.530534999976</v>
      </c>
    </row>
    <row r="7" spans="1:44" x14ac:dyDescent="0.25">
      <c r="A7" s="79">
        <v>44318</v>
      </c>
      <c r="B7" s="86">
        <f>11777704-11771295</f>
        <v>6409</v>
      </c>
      <c r="C7" s="86">
        <f>7490427-7487369</f>
        <v>3058</v>
      </c>
      <c r="D7" s="86">
        <f>1463232-1462349</f>
        <v>883</v>
      </c>
      <c r="E7" s="86">
        <f>11195922-11189847</f>
        <v>6075</v>
      </c>
      <c r="F7" s="86">
        <f>11073335-11067430</f>
        <v>5905</v>
      </c>
      <c r="G7" s="86">
        <f>8090131-8087504</f>
        <v>2627</v>
      </c>
      <c r="H7" s="86">
        <f>8098674-8092142</f>
        <v>6532</v>
      </c>
      <c r="I7" s="86">
        <f>5034380-5031898</f>
        <v>2482</v>
      </c>
      <c r="J7" s="86">
        <f>11061834-11055332</f>
        <v>6502</v>
      </c>
      <c r="K7" s="86">
        <f>SUM(B7:H7)</f>
        <v>31489</v>
      </c>
      <c r="L7" s="14">
        <f>K7*0.2</f>
        <v>6297.8</v>
      </c>
      <c r="M7" s="83">
        <f>70464.608-70348.341</f>
        <v>116.26699999999255</v>
      </c>
      <c r="N7" s="83">
        <f>4173.55-4167.156</f>
        <v>6.3940000000002328</v>
      </c>
      <c r="O7" s="83">
        <f>9377.462-9374.906</f>
        <v>2.5559999999986758</v>
      </c>
      <c r="P7" s="82">
        <f>86146.475-86066.927</f>
        <v>79.548000000009779</v>
      </c>
      <c r="Q7" s="83">
        <f>23223.793-23212.984</f>
        <v>10.809000000001106</v>
      </c>
      <c r="R7" s="83">
        <f t="shared" si="0"/>
        <v>88.498000000008687</v>
      </c>
      <c r="S7" s="83">
        <f>(N7+O7+P7)*7.84</f>
        <v>693.82432000006804</v>
      </c>
      <c r="T7" s="83">
        <f>M7+Q7</f>
        <v>127.07599999999366</v>
      </c>
      <c r="U7" s="83">
        <f>T7*7.84</f>
        <v>996.27583999995022</v>
      </c>
      <c r="V7" s="83">
        <f>341090.7-340935.8</f>
        <v>154.90000000002328</v>
      </c>
      <c r="W7" s="146">
        <f t="shared" ref="W7:W36" si="6">129959.4-129959.4</f>
        <v>0</v>
      </c>
      <c r="X7" s="86" t="s">
        <v>63</v>
      </c>
      <c r="Y7" s="87">
        <v>826324</v>
      </c>
      <c r="Z7" s="5">
        <f>IF((Y7-Y6&lt;0), "0",Y7-Y6)</f>
        <v>479</v>
      </c>
      <c r="AA7" s="14">
        <f t="shared" ref="AA7:AA34" si="7">Z7*6.47</f>
        <v>3099.1299999999997</v>
      </c>
      <c r="AB7" s="87">
        <v>4027109</v>
      </c>
      <c r="AC7" s="87">
        <f>AB6</f>
        <v>4003625</v>
      </c>
      <c r="AD7" s="5">
        <f t="shared" si="3"/>
        <v>23484</v>
      </c>
      <c r="AE7" s="83">
        <f>AD7*0.332195</f>
        <v>7801.2673800000002</v>
      </c>
      <c r="AF7" s="83">
        <f>84535.6-84494.5</f>
        <v>41.100000000005821</v>
      </c>
      <c r="AG7" s="83">
        <f>44005.6-43979</f>
        <v>26.599999999998545</v>
      </c>
      <c r="AH7" s="83">
        <f>26661.3-26648</f>
        <v>13.299999999999272</v>
      </c>
      <c r="AI7" s="87">
        <f>AJ6</f>
        <v>42334.3</v>
      </c>
      <c r="AJ7" s="87">
        <v>42366</v>
      </c>
      <c r="AK7" s="48">
        <f t="shared" ref="AK7:AK34" si="8">IF((AJ7-AI7)&lt;0, "0",AJ7-AI7)</f>
        <v>31.69999999999709</v>
      </c>
      <c r="AL7" s="89">
        <f t="shared" si="4"/>
        <v>9013.7408140521711</v>
      </c>
      <c r="AM7" s="83">
        <f>AL7*0.332195</f>
        <v>2994.3196297240611</v>
      </c>
      <c r="AN7" s="71">
        <v>49</v>
      </c>
      <c r="AO7" s="78">
        <f t="shared" si="5"/>
        <v>18194.473219999949</v>
      </c>
    </row>
    <row r="8" spans="1:44" x14ac:dyDescent="0.25">
      <c r="A8" s="79">
        <v>44319</v>
      </c>
      <c r="B8" s="86">
        <f>11783565-11777704</f>
        <v>5861</v>
      </c>
      <c r="C8" s="86">
        <f>7493415-7490427</f>
        <v>2988</v>
      </c>
      <c r="D8" s="86">
        <f>1464137-1463232</f>
        <v>905</v>
      </c>
      <c r="E8" s="86">
        <f>11201903-11195922</f>
        <v>5981</v>
      </c>
      <c r="F8" s="86">
        <f>11079119-11073335</f>
        <v>5784</v>
      </c>
      <c r="G8" s="86">
        <f>8092609-8090131</f>
        <v>2478</v>
      </c>
      <c r="H8" s="86">
        <f>8104488-8098674</f>
        <v>5814</v>
      </c>
      <c r="I8" s="86">
        <f>5036829-5034380</f>
        <v>2449</v>
      </c>
      <c r="J8" s="86">
        <f>11068264-11061834</f>
        <v>6430</v>
      </c>
      <c r="K8" s="86">
        <f>SUM(B8:H8)</f>
        <v>29811</v>
      </c>
      <c r="L8" s="14">
        <f t="shared" ref="L8:L34" si="9">K8*0.2</f>
        <v>5962.2000000000007</v>
      </c>
      <c r="M8" s="83">
        <f>70572.733-70464.608</f>
        <v>108.125</v>
      </c>
      <c r="N8" s="83">
        <f>4175.053-4173.55</f>
        <v>1.5029999999997017</v>
      </c>
      <c r="O8" s="83">
        <f>9378.472-9377.462</f>
        <v>1.0100000000002183</v>
      </c>
      <c r="P8" s="82">
        <f>86201.066-86146.475</f>
        <v>54.591000000000349</v>
      </c>
      <c r="Q8" s="83">
        <f>23233.975-23223.793</f>
        <v>10.181999999997061</v>
      </c>
      <c r="R8" s="83">
        <f t="shared" si="0"/>
        <v>57.104000000000269</v>
      </c>
      <c r="S8" s="83">
        <f>(N8+O8+P8)*7.84</f>
        <v>447.6953600000021</v>
      </c>
      <c r="T8" s="83">
        <f>M8+Q8</f>
        <v>118.30699999999706</v>
      </c>
      <c r="U8" s="83">
        <f>T8*7.84</f>
        <v>927.52687999997693</v>
      </c>
      <c r="V8" s="83">
        <f>341242.3-341090.7</f>
        <v>151.59999999997672</v>
      </c>
      <c r="W8" s="83">
        <f t="shared" si="6"/>
        <v>0</v>
      </c>
      <c r="X8" s="86" t="s">
        <v>63</v>
      </c>
      <c r="Y8" s="87">
        <v>826798</v>
      </c>
      <c r="Z8" s="5">
        <f t="shared" ref="Z8:Z34" si="10">IF((Y8-Y7&lt;0), "0",Y8-Y7)</f>
        <v>474</v>
      </c>
      <c r="AA8" s="14">
        <f t="shared" si="7"/>
        <v>3066.7799999999997</v>
      </c>
      <c r="AB8" s="87">
        <v>4048754.2</v>
      </c>
      <c r="AC8" s="87">
        <f t="shared" ref="AC8:AC36" si="11">AB7</f>
        <v>4027109</v>
      </c>
      <c r="AD8" s="5">
        <f t="shared" si="3"/>
        <v>21645.200000000186</v>
      </c>
      <c r="AE8" s="83">
        <f t="shared" ref="AE8:AE36" si="12">AD8*0.332195</f>
        <v>7190.4272140000621</v>
      </c>
      <c r="AF8" s="83">
        <f>84574.1-84535.6</f>
        <v>38.5</v>
      </c>
      <c r="AG8" s="83">
        <f>44028.5-44005.6</f>
        <v>22.900000000001455</v>
      </c>
      <c r="AH8" s="83">
        <f>26674-26661.3</f>
        <v>12.700000000000728</v>
      </c>
      <c r="AI8" s="87">
        <f t="shared" ref="AI8:AI36" si="13">AJ7</f>
        <v>42366</v>
      </c>
      <c r="AJ8" s="87">
        <v>42395.6</v>
      </c>
      <c r="AK8" s="48">
        <f t="shared" si="8"/>
        <v>29.599999999998545</v>
      </c>
      <c r="AL8" s="89">
        <f t="shared" si="4"/>
        <v>8416.6160282635865</v>
      </c>
      <c r="AM8" s="83">
        <f t="shared" ref="AM8:AM36" si="14">AL8*0.332195</f>
        <v>2795.9577615090225</v>
      </c>
      <c r="AN8" s="71">
        <v>65</v>
      </c>
      <c r="AO8" s="78">
        <f t="shared" si="5"/>
        <v>17146.93409400004</v>
      </c>
    </row>
    <row r="9" spans="1:44" x14ac:dyDescent="0.25">
      <c r="A9" s="79">
        <v>44320</v>
      </c>
      <c r="B9" s="86">
        <f>11788749-11783565</f>
        <v>5184</v>
      </c>
      <c r="C9" s="86">
        <f>7496613-7493415</f>
        <v>3198</v>
      </c>
      <c r="D9" s="86">
        <f>1465028-1464137</f>
        <v>891</v>
      </c>
      <c r="E9" s="86">
        <f>11207943-11201903</f>
        <v>6040</v>
      </c>
      <c r="F9" s="86">
        <f>11085001-11079119</f>
        <v>5882</v>
      </c>
      <c r="G9" s="86">
        <f>8095190-8092609</f>
        <v>2581</v>
      </c>
      <c r="H9" s="86">
        <f>8109074-8104488</f>
        <v>4586</v>
      </c>
      <c r="I9" s="86">
        <f>5039301-5036829</f>
        <v>2472</v>
      </c>
      <c r="J9" s="86">
        <f>11074681-11068264</f>
        <v>6417</v>
      </c>
      <c r="K9" s="86">
        <f t="shared" ref="K9:K34" si="15">SUM(B9:H9)</f>
        <v>28362</v>
      </c>
      <c r="L9" s="14">
        <f t="shared" si="9"/>
        <v>5672.4000000000005</v>
      </c>
      <c r="M9" s="83">
        <f>70678.984-70572.7333</f>
        <v>106.25069999998959</v>
      </c>
      <c r="N9" s="83">
        <f>4176.003-4175.053</f>
        <v>0.9499999999998181</v>
      </c>
      <c r="O9" s="83">
        <f>9379.285-9378.472</f>
        <v>0.81300000000010186</v>
      </c>
      <c r="P9" s="82">
        <f>86253.94-86201.066</f>
        <v>52.873999999996158</v>
      </c>
      <c r="Q9" s="83">
        <f>23245.828-23233.975</f>
        <v>11.853000000002794</v>
      </c>
      <c r="R9" s="83">
        <f t="shared" si="0"/>
        <v>54.636999999996078</v>
      </c>
      <c r="S9" s="83">
        <f t="shared" si="1"/>
        <v>428.35407999996926</v>
      </c>
      <c r="T9" s="83">
        <f t="shared" si="2"/>
        <v>118.10369999999239</v>
      </c>
      <c r="U9" s="83">
        <f t="shared" ref="U9:U37" si="16">T9*7.84</f>
        <v>925.93300799994029</v>
      </c>
      <c r="V9" s="83">
        <f>341355.9-341242.3</f>
        <v>113.60000000003492</v>
      </c>
      <c r="W9" s="83">
        <f t="shared" si="6"/>
        <v>0</v>
      </c>
      <c r="X9" s="86" t="s">
        <v>63</v>
      </c>
      <c r="Y9" s="87">
        <v>827222</v>
      </c>
      <c r="Z9" s="5">
        <f t="shared" si="10"/>
        <v>424</v>
      </c>
      <c r="AA9" s="14">
        <f t="shared" si="7"/>
        <v>2743.2799999999997</v>
      </c>
      <c r="AB9" s="87">
        <v>4070376.2</v>
      </c>
      <c r="AC9" s="87">
        <f t="shared" si="11"/>
        <v>4048754.2</v>
      </c>
      <c r="AD9" s="5">
        <f t="shared" si="3"/>
        <v>21622</v>
      </c>
      <c r="AE9" s="83">
        <f t="shared" si="12"/>
        <v>7182.7202900000002</v>
      </c>
      <c r="AF9" s="83">
        <f>84613.5-84574.1</f>
        <v>39.399999999994179</v>
      </c>
      <c r="AG9" s="83">
        <f>44048.3-44028.5</f>
        <v>19.80000000000291</v>
      </c>
      <c r="AH9" s="83">
        <f>26687.4-26674</f>
        <v>13.400000000001455</v>
      </c>
      <c r="AI9" s="87">
        <f t="shared" si="13"/>
        <v>42395.6</v>
      </c>
      <c r="AJ9" s="87">
        <v>42424.2</v>
      </c>
      <c r="AK9" s="48">
        <f t="shared" si="8"/>
        <v>28.599999999998545</v>
      </c>
      <c r="AL9" s="89">
        <f t="shared" si="4"/>
        <v>8132.2708921735857</v>
      </c>
      <c r="AM9" s="83">
        <f t="shared" si="14"/>
        <v>2701.4997290256047</v>
      </c>
      <c r="AN9" s="71">
        <v>53</v>
      </c>
      <c r="AO9" s="78">
        <f t="shared" si="5"/>
        <v>16524.33329799994</v>
      </c>
    </row>
    <row r="10" spans="1:44" x14ac:dyDescent="0.25">
      <c r="A10" s="79">
        <v>44321</v>
      </c>
      <c r="B10" s="86">
        <f>11794032-11788749</f>
        <v>5283</v>
      </c>
      <c r="C10" s="86">
        <f>7499710-7496613</f>
        <v>3097</v>
      </c>
      <c r="D10" s="86">
        <f>1465885-1465028</f>
        <v>857</v>
      </c>
      <c r="E10" s="86">
        <f>11214099-11207943</f>
        <v>6156</v>
      </c>
      <c r="F10" s="86">
        <f>11090854-11085001</f>
        <v>5853</v>
      </c>
      <c r="G10" s="86">
        <f>8097797-8095190</f>
        <v>2607</v>
      </c>
      <c r="H10" s="86">
        <f>8115225-8109074</f>
        <v>6151</v>
      </c>
      <c r="I10" s="86">
        <f>5041801-5039301</f>
        <v>2500</v>
      </c>
      <c r="J10" s="86">
        <f>11081144-11074681</f>
        <v>6463</v>
      </c>
      <c r="K10" s="86">
        <f t="shared" si="15"/>
        <v>30004</v>
      </c>
      <c r="L10" s="14">
        <f t="shared" si="9"/>
        <v>6000.8</v>
      </c>
      <c r="M10" s="83">
        <f>70799.232-70678.984</f>
        <v>120.24800000000687</v>
      </c>
      <c r="N10" s="83">
        <f>4176.985-4176.003</f>
        <v>0.9819999999999709</v>
      </c>
      <c r="O10" s="83">
        <f>9380.132-9379.285</f>
        <v>0.84699999999975262</v>
      </c>
      <c r="P10" s="82">
        <f>86314.587-86253.94</f>
        <v>60.646999999997206</v>
      </c>
      <c r="Q10" s="83">
        <f>23259.178-23245.828</f>
        <v>13.349999999998545</v>
      </c>
      <c r="R10" s="83">
        <f t="shared" si="0"/>
        <v>62.47599999999693</v>
      </c>
      <c r="S10" s="83">
        <f t="shared" si="1"/>
        <v>489.81183999997592</v>
      </c>
      <c r="T10" s="83">
        <f t="shared" si="2"/>
        <v>133.59800000000541</v>
      </c>
      <c r="U10" s="83">
        <f t="shared" si="16"/>
        <v>1047.4083200000425</v>
      </c>
      <c r="V10" s="83">
        <f>341473.1-341355.9</f>
        <v>117.19999999995343</v>
      </c>
      <c r="W10" s="83">
        <f t="shared" si="6"/>
        <v>0</v>
      </c>
      <c r="X10" s="86" t="s">
        <v>63</v>
      </c>
      <c r="Y10" s="87">
        <v>827658</v>
      </c>
      <c r="Z10" s="5">
        <f t="shared" si="10"/>
        <v>436</v>
      </c>
      <c r="AA10" s="14">
        <f t="shared" si="7"/>
        <v>2820.92</v>
      </c>
      <c r="AB10" s="87">
        <v>4094477.9</v>
      </c>
      <c r="AC10" s="87">
        <f t="shared" si="11"/>
        <v>4070376.2</v>
      </c>
      <c r="AD10" s="5">
        <f t="shared" si="3"/>
        <v>24101.699999999721</v>
      </c>
      <c r="AE10" s="83">
        <f t="shared" si="12"/>
        <v>8006.4642314999073</v>
      </c>
      <c r="AF10" s="83">
        <f>84656.1-84613.5</f>
        <v>42.600000000005821</v>
      </c>
      <c r="AG10" s="83">
        <f>44075-44048.3</f>
        <v>26.69999999999709</v>
      </c>
      <c r="AH10" s="83">
        <f>26701-26687.4</f>
        <v>13.599999999998545</v>
      </c>
      <c r="AI10" s="87">
        <f t="shared" si="13"/>
        <v>42424.2</v>
      </c>
      <c r="AJ10" s="87">
        <v>42454.400000000001</v>
      </c>
      <c r="AK10" s="48">
        <f t="shared" si="8"/>
        <v>30.200000000004366</v>
      </c>
      <c r="AL10" s="89">
        <f t="shared" si="4"/>
        <v>8587.2231099192413</v>
      </c>
      <c r="AM10" s="83">
        <f t="shared" si="14"/>
        <v>2852.6325809996224</v>
      </c>
      <c r="AN10" s="71">
        <v>55</v>
      </c>
      <c r="AO10" s="78">
        <f t="shared" si="5"/>
        <v>17875.592551499951</v>
      </c>
    </row>
    <row r="11" spans="1:44" x14ac:dyDescent="0.25">
      <c r="A11" s="79">
        <v>44322</v>
      </c>
      <c r="B11" s="86">
        <f>11799444-11794032</f>
        <v>5412</v>
      </c>
      <c r="C11" s="86">
        <f>7502760-7499710</f>
        <v>3050</v>
      </c>
      <c r="D11" s="86">
        <f>1466761-1465885</f>
        <v>876</v>
      </c>
      <c r="E11" s="86">
        <f>11220349-11214099</f>
        <v>6250</v>
      </c>
      <c r="F11" s="86">
        <f>11096864-11090854</f>
        <v>6010</v>
      </c>
      <c r="G11" s="86">
        <f>8100537-8097797</f>
        <v>2740</v>
      </c>
      <c r="H11" s="86">
        <f>8122482-8115225</f>
        <v>7257</v>
      </c>
      <c r="I11" s="86">
        <f>5044267-5041801</f>
        <v>2466</v>
      </c>
      <c r="J11" s="86">
        <f>11087764-11081144</f>
        <v>6620</v>
      </c>
      <c r="K11" s="86">
        <f t="shared" si="15"/>
        <v>31595</v>
      </c>
      <c r="L11" s="14">
        <f t="shared" si="9"/>
        <v>6319</v>
      </c>
      <c r="M11" s="83">
        <f>70905.583-70799.232</f>
        <v>106.35099999999511</v>
      </c>
      <c r="N11" s="83">
        <f>4179.331-4176.985</f>
        <v>2.3460000000004584</v>
      </c>
      <c r="O11" s="83">
        <f>9382-9380.132</f>
        <v>1.8680000000003929</v>
      </c>
      <c r="P11" s="82">
        <f>86375.097-86314.587</f>
        <v>60.509999999994761</v>
      </c>
      <c r="Q11" s="83">
        <f>23272.83-23259.178</f>
        <v>13.652000000001863</v>
      </c>
      <c r="R11" s="83">
        <f t="shared" si="0"/>
        <v>64.723999999995613</v>
      </c>
      <c r="S11" s="83">
        <f t="shared" si="1"/>
        <v>507.43615999996558</v>
      </c>
      <c r="T11" s="83">
        <f t="shared" si="2"/>
        <v>120.00299999999697</v>
      </c>
      <c r="U11" s="83">
        <f t="shared" si="16"/>
        <v>940.82351999997627</v>
      </c>
      <c r="V11" s="83">
        <f>341588.8-341473.1</f>
        <v>115.70000000001164</v>
      </c>
      <c r="W11" s="83">
        <f t="shared" si="6"/>
        <v>0</v>
      </c>
      <c r="X11" s="86" t="s">
        <v>63</v>
      </c>
      <c r="Y11" s="87">
        <v>828110</v>
      </c>
      <c r="Z11" s="5">
        <f t="shared" si="10"/>
        <v>452</v>
      </c>
      <c r="AA11" s="14">
        <f t="shared" si="7"/>
        <v>2924.44</v>
      </c>
      <c r="AB11" s="87">
        <v>4119654.9</v>
      </c>
      <c r="AC11" s="86">
        <f t="shared" si="11"/>
        <v>4094477.9</v>
      </c>
      <c r="AD11" s="5">
        <f t="shared" si="3"/>
        <v>25177</v>
      </c>
      <c r="AE11" s="83">
        <f t="shared" si="12"/>
        <v>8363.6735150000004</v>
      </c>
      <c r="AF11" s="83">
        <f>84699.1-84656.1</f>
        <v>43</v>
      </c>
      <c r="AG11" s="83">
        <f>44107.4-44075</f>
        <v>32.400000000001455</v>
      </c>
      <c r="AH11" s="83">
        <f>26714.1-26701</f>
        <v>13.099999999998545</v>
      </c>
      <c r="AI11" s="87">
        <f t="shared" si="13"/>
        <v>42454.400000000001</v>
      </c>
      <c r="AJ11" s="87">
        <v>42486.6</v>
      </c>
      <c r="AK11" s="48">
        <f t="shared" si="8"/>
        <v>32.19999999999709</v>
      </c>
      <c r="AL11" s="89">
        <f t="shared" si="4"/>
        <v>9155.9133820971711</v>
      </c>
      <c r="AM11" s="83">
        <f t="shared" si="14"/>
        <v>3041.54864596577</v>
      </c>
      <c r="AN11" s="71">
        <v>41</v>
      </c>
      <c r="AO11" s="78">
        <f t="shared" si="5"/>
        <v>18547.937034999977</v>
      </c>
    </row>
    <row r="12" spans="1:44" x14ac:dyDescent="0.25">
      <c r="A12" s="79">
        <v>44323</v>
      </c>
      <c r="B12" s="86">
        <f>11804852-11799444</f>
        <v>5408</v>
      </c>
      <c r="C12" s="86">
        <f>7505630-7502760</f>
        <v>2870</v>
      </c>
      <c r="D12" s="86">
        <f>1467647-1466761</f>
        <v>886</v>
      </c>
      <c r="E12" s="86">
        <f>11226480-11220349</f>
        <v>6131</v>
      </c>
      <c r="F12" s="86">
        <f>11102883-11096864</f>
        <v>6019</v>
      </c>
      <c r="G12" s="86">
        <f>8103237-8100537</f>
        <v>2700</v>
      </c>
      <c r="H12" s="86">
        <f>8129213-8122482</f>
        <v>6731</v>
      </c>
      <c r="I12" s="86">
        <f>5046644-5044267</f>
        <v>2377</v>
      </c>
      <c r="J12" s="86">
        <f>11094591-11087764</f>
        <v>6827</v>
      </c>
      <c r="K12" s="86">
        <f t="shared" si="15"/>
        <v>30745</v>
      </c>
      <c r="L12" s="14">
        <f t="shared" si="9"/>
        <v>6149</v>
      </c>
      <c r="M12" s="83">
        <f>71036.391-70905.583</f>
        <v>130.80800000000454</v>
      </c>
      <c r="N12" s="83">
        <f>4185.173-4179.331</f>
        <v>5.8419999999996435</v>
      </c>
      <c r="O12" s="83">
        <f>9387.52-9382</f>
        <v>5.5200000000004366</v>
      </c>
      <c r="P12" s="82">
        <f>86442.332-86375.097</f>
        <v>67.235000000000582</v>
      </c>
      <c r="Q12" s="83">
        <f>23281.687-23272.83</f>
        <v>8.8569999999999709</v>
      </c>
      <c r="R12" s="83">
        <f t="shared" si="0"/>
        <v>78.597000000000662</v>
      </c>
      <c r="S12" s="83">
        <f t="shared" si="1"/>
        <v>616.2004800000052</v>
      </c>
      <c r="T12" s="83">
        <f t="shared" si="2"/>
        <v>139.66500000000451</v>
      </c>
      <c r="U12" s="83">
        <f t="shared" si="16"/>
        <v>1094.9736000000353</v>
      </c>
      <c r="V12" s="83">
        <f>341723-341588.8</f>
        <v>134.20000000001164</v>
      </c>
      <c r="W12" s="83">
        <f t="shared" si="6"/>
        <v>0</v>
      </c>
      <c r="X12" s="86" t="s">
        <v>63</v>
      </c>
      <c r="Y12" s="87">
        <v>828605</v>
      </c>
      <c r="Z12" s="5">
        <f t="shared" si="10"/>
        <v>495</v>
      </c>
      <c r="AA12" s="14">
        <f t="shared" si="7"/>
        <v>3202.65</v>
      </c>
      <c r="AB12" s="87">
        <v>4143245.3</v>
      </c>
      <c r="AC12" s="86">
        <f t="shared" si="11"/>
        <v>4119654.9</v>
      </c>
      <c r="AD12" s="5">
        <f t="shared" si="3"/>
        <v>23590.399999999907</v>
      </c>
      <c r="AE12" s="83">
        <f t="shared" si="12"/>
        <v>7836.6129279999695</v>
      </c>
      <c r="AF12" s="83">
        <f>84740-84699.1</f>
        <v>40.899999999994179</v>
      </c>
      <c r="AG12" s="83">
        <f>44135.6-44107.4</f>
        <v>28.19999999999709</v>
      </c>
      <c r="AH12" s="83">
        <f>26726.6-26714.1</f>
        <v>12.5</v>
      </c>
      <c r="AI12" s="87">
        <f t="shared" si="13"/>
        <v>42486.6</v>
      </c>
      <c r="AJ12" s="87">
        <v>42517.7</v>
      </c>
      <c r="AK12" s="48">
        <f t="shared" si="8"/>
        <v>31.099999999998545</v>
      </c>
      <c r="AL12" s="89">
        <f t="shared" si="4"/>
        <v>8843.1337323985863</v>
      </c>
      <c r="AM12" s="83">
        <f t="shared" si="14"/>
        <v>2937.6448102341487</v>
      </c>
      <c r="AN12" s="71">
        <v>29</v>
      </c>
      <c r="AO12" s="78">
        <f t="shared" si="5"/>
        <v>18283.236528000005</v>
      </c>
    </row>
    <row r="13" spans="1:44" x14ac:dyDescent="0.25">
      <c r="A13" s="79">
        <v>44324</v>
      </c>
      <c r="B13" s="86">
        <f>11810194-11804852</f>
        <v>5342</v>
      </c>
      <c r="C13" s="86">
        <f>7508868-7505630</f>
        <v>3238</v>
      </c>
      <c r="D13" s="86">
        <f>1468523-1467647</f>
        <v>876</v>
      </c>
      <c r="E13" s="86">
        <f>11232736-11226480</f>
        <v>6256</v>
      </c>
      <c r="F13" s="86">
        <f>11108805-11102883</f>
        <v>5922</v>
      </c>
      <c r="G13" s="86">
        <f>8106085-8103237</f>
        <v>2848</v>
      </c>
      <c r="H13" s="86">
        <f>8136088-8129213</f>
        <v>6875</v>
      </c>
      <c r="I13" s="86">
        <f>5049084-5046644</f>
        <v>2440</v>
      </c>
      <c r="J13" s="86">
        <f>11100840-11094591</f>
        <v>6249</v>
      </c>
      <c r="K13" s="86">
        <f t="shared" si="15"/>
        <v>31357</v>
      </c>
      <c r="L13" s="14">
        <f t="shared" si="9"/>
        <v>6271.4000000000005</v>
      </c>
      <c r="M13" s="83">
        <f>71145.276-71036.391</f>
        <v>108.88499999999476</v>
      </c>
      <c r="N13" s="83">
        <f>4189.611-4185.173</f>
        <v>4.4380000000001019</v>
      </c>
      <c r="O13" s="83">
        <f>9391.48-9387.52</f>
        <v>3.9599999999991269</v>
      </c>
      <c r="P13" s="82">
        <f>86483.972-86442.332</f>
        <v>41.639999999999418</v>
      </c>
      <c r="Q13" s="83">
        <f>23292.914-23281.687</f>
        <v>11.226999999998952</v>
      </c>
      <c r="R13" s="83">
        <f t="shared" si="0"/>
        <v>50.037999999998647</v>
      </c>
      <c r="S13" s="83">
        <f t="shared" si="1"/>
        <v>392.2979199999894</v>
      </c>
      <c r="T13" s="83">
        <f t="shared" si="2"/>
        <v>120.11199999999371</v>
      </c>
      <c r="U13" s="83">
        <f t="shared" si="16"/>
        <v>941.67807999995068</v>
      </c>
      <c r="V13" s="83">
        <f>341838.5-341723</f>
        <v>115.5</v>
      </c>
      <c r="W13" s="83">
        <f t="shared" si="6"/>
        <v>0</v>
      </c>
      <c r="X13" s="86" t="s">
        <v>63</v>
      </c>
      <c r="Y13" s="87">
        <v>829052</v>
      </c>
      <c r="Z13" s="5">
        <f t="shared" si="10"/>
        <v>447</v>
      </c>
      <c r="AA13" s="14">
        <f t="shared" si="7"/>
        <v>2892.0899999999997</v>
      </c>
      <c r="AB13" s="87">
        <v>4166952.7</v>
      </c>
      <c r="AC13" s="86">
        <f t="shared" si="11"/>
        <v>4143245.3</v>
      </c>
      <c r="AD13" s="5">
        <f t="shared" si="3"/>
        <v>23707.400000000373</v>
      </c>
      <c r="AE13" s="83">
        <f t="shared" si="12"/>
        <v>7875.4797430001245</v>
      </c>
      <c r="AF13" s="83">
        <f>84782.2-84740</f>
        <v>42.19999999999709</v>
      </c>
      <c r="AG13" s="83">
        <f>44165.4-44135.6</f>
        <v>29.80000000000291</v>
      </c>
      <c r="AH13" s="83">
        <f>26739.7-26726.6</f>
        <v>13.100000000002183</v>
      </c>
      <c r="AI13" s="87">
        <f t="shared" si="13"/>
        <v>42517.7</v>
      </c>
      <c r="AJ13" s="87">
        <v>42548.9</v>
      </c>
      <c r="AK13" s="48">
        <f t="shared" si="8"/>
        <v>31.200000000004366</v>
      </c>
      <c r="AL13" s="89">
        <f t="shared" si="4"/>
        <v>8871.5682460092412</v>
      </c>
      <c r="AM13" s="83">
        <f t="shared" si="14"/>
        <v>2947.0906134830402</v>
      </c>
      <c r="AN13" s="71">
        <v>30</v>
      </c>
      <c r="AO13" s="78">
        <f t="shared" si="5"/>
        <v>17980.647823000076</v>
      </c>
    </row>
    <row r="14" spans="1:44" x14ac:dyDescent="0.25">
      <c r="A14" s="79">
        <v>44325</v>
      </c>
      <c r="B14" s="86">
        <f>11815293-11810194</f>
        <v>5099</v>
      </c>
      <c r="C14" s="86">
        <f>7511587-7508868</f>
        <v>2719</v>
      </c>
      <c r="D14" s="86">
        <f>1469423-1468523</f>
        <v>900</v>
      </c>
      <c r="E14" s="86">
        <f>11238927-11232736</f>
        <v>6191</v>
      </c>
      <c r="F14" s="86">
        <f>11114502-11108805</f>
        <v>5697</v>
      </c>
      <c r="G14" s="86">
        <f>8108649-8106085</f>
        <v>2564</v>
      </c>
      <c r="H14" s="86">
        <f>8141151-8136088</f>
        <v>5063</v>
      </c>
      <c r="I14" s="86">
        <f>5051451-5049084</f>
        <v>2367</v>
      </c>
      <c r="J14" s="86">
        <f>11107256-11100840</f>
        <v>6416</v>
      </c>
      <c r="K14" s="86">
        <f t="shared" si="15"/>
        <v>28233</v>
      </c>
      <c r="L14" s="14">
        <f t="shared" si="9"/>
        <v>5646.6</v>
      </c>
      <c r="M14" s="83">
        <f>71247.902-71145.276</f>
        <v>102.62600000000384</v>
      </c>
      <c r="N14" s="83">
        <f>4190.469-4189.611</f>
        <v>0.85800000000017462</v>
      </c>
      <c r="O14" s="83">
        <f>9392.322-9391.48</f>
        <v>0.84200000000055297</v>
      </c>
      <c r="P14" s="82">
        <f>86534.77-86483.972</f>
        <v>50.798000000009779</v>
      </c>
      <c r="Q14" s="83">
        <f>23304.365-23292.914</f>
        <v>11.451000000000931</v>
      </c>
      <c r="R14" s="83">
        <f>N14+O14+P14</f>
        <v>52.498000000010506</v>
      </c>
      <c r="S14" s="83">
        <f t="shared" si="1"/>
        <v>411.58432000008236</v>
      </c>
      <c r="T14" s="83">
        <f t="shared" si="2"/>
        <v>114.07700000000477</v>
      </c>
      <c r="U14" s="83">
        <f t="shared" si="16"/>
        <v>894.36368000003745</v>
      </c>
      <c r="V14" s="83">
        <f>341939.5-341838.5</f>
        <v>101</v>
      </c>
      <c r="W14" s="83">
        <f t="shared" si="6"/>
        <v>0</v>
      </c>
      <c r="X14" s="86" t="s">
        <v>63</v>
      </c>
      <c r="Y14" s="87">
        <v>829467</v>
      </c>
      <c r="Z14" s="5">
        <f>IF((Y14-Y13&lt;0), "0",Y14-Y13)</f>
        <v>415</v>
      </c>
      <c r="AA14" s="14">
        <f t="shared" si="7"/>
        <v>2685.0499999999997</v>
      </c>
      <c r="AB14" s="87">
        <v>4187411</v>
      </c>
      <c r="AC14" s="86">
        <f t="shared" si="11"/>
        <v>4166952.7</v>
      </c>
      <c r="AD14" s="5">
        <f t="shared" si="3"/>
        <v>20458.299999999814</v>
      </c>
      <c r="AE14" s="83">
        <f t="shared" si="12"/>
        <v>6796.1449684999388</v>
      </c>
      <c r="AF14" s="83">
        <f>84818.2-84782.2</f>
        <v>36</v>
      </c>
      <c r="AG14" s="83">
        <f>44186.1-44165.4</f>
        <v>20.69999999999709</v>
      </c>
      <c r="AH14" s="83">
        <f>26752.3-26739.7</f>
        <v>12.599999999998545</v>
      </c>
      <c r="AI14" s="87">
        <f t="shared" si="13"/>
        <v>42548.9</v>
      </c>
      <c r="AJ14" s="87">
        <v>42579.4</v>
      </c>
      <c r="AK14" s="48">
        <f t="shared" si="8"/>
        <v>30.5</v>
      </c>
      <c r="AL14" s="89">
        <f t="shared" si="4"/>
        <v>8672.5266507449996</v>
      </c>
      <c r="AM14" s="83">
        <f t="shared" si="14"/>
        <v>2880.9699907442355</v>
      </c>
      <c r="AN14" s="71">
        <v>34</v>
      </c>
      <c r="AO14" s="78">
        <f t="shared" si="5"/>
        <v>16022.158648499977</v>
      </c>
    </row>
    <row r="15" spans="1:44" x14ac:dyDescent="0.25">
      <c r="A15" s="79">
        <v>44326</v>
      </c>
      <c r="B15" s="86">
        <f>11820469-11815293</f>
        <v>5176</v>
      </c>
      <c r="C15" s="86">
        <f>7514848-7511587</f>
        <v>3261</v>
      </c>
      <c r="D15" s="86">
        <f>1470273-1469423</f>
        <v>850</v>
      </c>
      <c r="E15" s="86">
        <f>11245239-11238927</f>
        <v>6312</v>
      </c>
      <c r="F15" s="86">
        <f>11120557-11114502</f>
        <v>6055</v>
      </c>
      <c r="G15" s="86">
        <f>8111418-8108649</f>
        <v>2769</v>
      </c>
      <c r="H15" s="86">
        <f>8146574-8141151</f>
        <v>5423</v>
      </c>
      <c r="I15" s="86">
        <f>5053829-5051451</f>
        <v>2378</v>
      </c>
      <c r="J15" s="86">
        <f>11114033-11107256</f>
        <v>6777</v>
      </c>
      <c r="K15" s="86">
        <f t="shared" si="15"/>
        <v>29846</v>
      </c>
      <c r="L15" s="14">
        <f t="shared" si="9"/>
        <v>5969.2000000000007</v>
      </c>
      <c r="M15" s="83">
        <f>71371.902-71247.902</f>
        <v>124</v>
      </c>
      <c r="N15" s="83">
        <f>4191.254-4190.469</f>
        <v>0.78499999999985448</v>
      </c>
      <c r="O15" s="83">
        <f>9393.184-9392.322</f>
        <v>0.86199999999917054</v>
      </c>
      <c r="P15" s="82">
        <f>86594.454-86534.77</f>
        <v>59.68399999999383</v>
      </c>
      <c r="Q15" s="83">
        <f>23318.389-23304.365</f>
        <v>14.023999999997613</v>
      </c>
      <c r="R15" s="83">
        <f t="shared" si="0"/>
        <v>61.330999999992855</v>
      </c>
      <c r="S15" s="83">
        <f t="shared" si="1"/>
        <v>480.835039999944</v>
      </c>
      <c r="T15" s="83">
        <f t="shared" si="2"/>
        <v>138.02399999999761</v>
      </c>
      <c r="U15" s="83">
        <f t="shared" si="16"/>
        <v>1082.1081599999814</v>
      </c>
      <c r="V15" s="83">
        <f>342051.1-341939.5</f>
        <v>111.59999999997672</v>
      </c>
      <c r="W15" s="83">
        <f t="shared" si="6"/>
        <v>0</v>
      </c>
      <c r="X15" s="86" t="s">
        <v>63</v>
      </c>
      <c r="Y15" s="87">
        <v>829902</v>
      </c>
      <c r="Z15" s="5">
        <f t="shared" si="10"/>
        <v>435</v>
      </c>
      <c r="AA15" s="14">
        <f t="shared" si="7"/>
        <v>2814.45</v>
      </c>
      <c r="AB15" s="87">
        <v>4209060</v>
      </c>
      <c r="AC15" s="86">
        <f t="shared" si="11"/>
        <v>4187411</v>
      </c>
      <c r="AD15" s="5">
        <f t="shared" si="3"/>
        <v>21649</v>
      </c>
      <c r="AE15" s="83">
        <f t="shared" si="12"/>
        <v>7191.6895550000008</v>
      </c>
      <c r="AF15" s="83">
        <f>84856.3-84818.2</f>
        <v>38.100000000005821</v>
      </c>
      <c r="AG15" s="83">
        <f>44208-44186.1</f>
        <v>21.900000000001455</v>
      </c>
      <c r="AH15" s="83">
        <f>26765.1-26752.3</f>
        <v>12.799999999999272</v>
      </c>
      <c r="AI15" s="87">
        <f t="shared" si="13"/>
        <v>42579.4</v>
      </c>
      <c r="AJ15" s="87">
        <v>42611.1</v>
      </c>
      <c r="AK15" s="48">
        <f t="shared" si="8"/>
        <v>31.69999999999709</v>
      </c>
      <c r="AL15" s="89">
        <f t="shared" si="4"/>
        <v>9013.7408140521711</v>
      </c>
      <c r="AM15" s="83">
        <f t="shared" si="14"/>
        <v>2994.3196297240611</v>
      </c>
      <c r="AN15" s="71">
        <v>37</v>
      </c>
      <c r="AO15" s="88">
        <f t="shared" si="5"/>
        <v>17057.447714999984</v>
      </c>
    </row>
    <row r="16" spans="1:44" x14ac:dyDescent="0.25">
      <c r="A16" s="79">
        <v>44327</v>
      </c>
      <c r="B16" s="86">
        <f>11825616-11820469</f>
        <v>5147</v>
      </c>
      <c r="C16" s="86">
        <f>7517924-7514848</f>
        <v>3076</v>
      </c>
      <c r="D16" s="86">
        <f>1471143-1470273</f>
        <v>870</v>
      </c>
      <c r="E16" s="86">
        <f>11251521-11245239</f>
        <v>6282</v>
      </c>
      <c r="F16" s="86">
        <f>11126400-11120557</f>
        <v>5843</v>
      </c>
      <c r="G16" s="86">
        <f>8114184-8111418</f>
        <v>2766</v>
      </c>
      <c r="H16" s="86">
        <f>8151145-8146574</f>
        <v>4571</v>
      </c>
      <c r="I16" s="86">
        <f>5056184-5053829</f>
        <v>2355</v>
      </c>
      <c r="J16" s="86">
        <f>11121014-11114033</f>
        <v>6981</v>
      </c>
      <c r="K16" s="86">
        <f t="shared" si="15"/>
        <v>28555</v>
      </c>
      <c r="L16" s="14">
        <f t="shared" si="9"/>
        <v>5711</v>
      </c>
      <c r="M16" s="83">
        <f>71575.68-71371.902</f>
        <v>203.77799999999115</v>
      </c>
      <c r="N16" s="83">
        <f>4192.248-4191.254</f>
        <v>0.99399999999968713</v>
      </c>
      <c r="O16" s="83">
        <f>9394.015-9393.184</f>
        <v>0.83100000000013097</v>
      </c>
      <c r="P16" s="82">
        <f>86658.899-86594.454</f>
        <v>64.445000000006985</v>
      </c>
      <c r="Q16" s="83">
        <f>23328.091-23318.389</f>
        <v>9.702000000001135</v>
      </c>
      <c r="R16" s="83">
        <f t="shared" si="0"/>
        <v>66.270000000006803</v>
      </c>
      <c r="S16" s="83">
        <f t="shared" si="1"/>
        <v>519.55680000005327</v>
      </c>
      <c r="T16" s="83">
        <f t="shared" si="2"/>
        <v>213.47999999999229</v>
      </c>
      <c r="U16" s="83">
        <f t="shared" si="16"/>
        <v>1673.6831999999395</v>
      </c>
      <c r="V16" s="83">
        <f>342158.1-342051.1</f>
        <v>107</v>
      </c>
      <c r="W16" s="83">
        <f t="shared" si="6"/>
        <v>0</v>
      </c>
      <c r="X16" s="86" t="s">
        <v>63</v>
      </c>
      <c r="Y16" s="87">
        <v>830328</v>
      </c>
      <c r="Z16" s="5">
        <f t="shared" si="10"/>
        <v>426</v>
      </c>
      <c r="AA16" s="14">
        <f t="shared" si="7"/>
        <v>2756.22</v>
      </c>
      <c r="AB16" s="87">
        <v>4229638</v>
      </c>
      <c r="AC16" s="86">
        <f t="shared" si="11"/>
        <v>4209060</v>
      </c>
      <c r="AD16" s="5">
        <f t="shared" si="3"/>
        <v>20578</v>
      </c>
      <c r="AE16" s="83">
        <f t="shared" si="12"/>
        <v>6835.9087100000006</v>
      </c>
      <c r="AF16" s="83">
        <f>84891.9-84856.3</f>
        <v>35.599999999991269</v>
      </c>
      <c r="AG16" s="83">
        <f>414226.8-414208</f>
        <v>18.799999999988358</v>
      </c>
      <c r="AH16" s="83">
        <f>26778.3-26765.1</f>
        <v>13.200000000000728</v>
      </c>
      <c r="AI16" s="87">
        <f t="shared" si="13"/>
        <v>42611.1</v>
      </c>
      <c r="AJ16" s="87">
        <v>42642.7</v>
      </c>
      <c r="AK16" s="48">
        <f t="shared" si="8"/>
        <v>31.599999999998545</v>
      </c>
      <c r="AL16" s="89">
        <f t="shared" si="4"/>
        <v>8985.3063004435862</v>
      </c>
      <c r="AM16" s="83">
        <f t="shared" si="14"/>
        <v>2984.8738264758572</v>
      </c>
      <c r="AN16" s="71">
        <v>22</v>
      </c>
      <c r="AO16" s="78">
        <f t="shared" si="5"/>
        <v>16976.811909999939</v>
      </c>
    </row>
    <row r="17" spans="1:41" x14ac:dyDescent="0.25">
      <c r="A17" s="79">
        <v>44328</v>
      </c>
      <c r="B17" s="86">
        <f>11830570-11825616</f>
        <v>4954</v>
      </c>
      <c r="C17" s="86">
        <f>7520957-7517924</f>
        <v>3033</v>
      </c>
      <c r="D17" s="86">
        <f>1472011-1471143</f>
        <v>868</v>
      </c>
      <c r="E17" s="86">
        <f>11257807-11251521</f>
        <v>6286</v>
      </c>
      <c r="F17" s="86">
        <f>11132217-11126400</f>
        <v>5817</v>
      </c>
      <c r="G17" s="86">
        <f>8117187-8114184</f>
        <v>3003</v>
      </c>
      <c r="H17" s="86">
        <f>8157967-8151145</f>
        <v>6822</v>
      </c>
      <c r="I17" s="86">
        <f>5058567-5056184</f>
        <v>2383</v>
      </c>
      <c r="J17" s="86">
        <f>11127927-11121014</f>
        <v>6913</v>
      </c>
      <c r="K17" s="86">
        <f t="shared" si="15"/>
        <v>30783</v>
      </c>
      <c r="L17" s="14">
        <f t="shared" si="9"/>
        <v>6156.6</v>
      </c>
      <c r="M17" s="83">
        <f>71747.849-71575.68</f>
        <v>172.16900000000896</v>
      </c>
      <c r="N17" s="83">
        <f>4194.511-4192.248</f>
        <v>2.2630000000008295</v>
      </c>
      <c r="O17" s="83">
        <f>9396.179-9394.015</f>
        <v>2.1640000000006694</v>
      </c>
      <c r="P17" s="82">
        <f>86720.57-86658.899</f>
        <v>61.671000000002095</v>
      </c>
      <c r="Q17" s="83">
        <f>23341.367-23328.091</f>
        <v>13.275999999998021</v>
      </c>
      <c r="R17" s="83">
        <f t="shared" si="0"/>
        <v>66.098000000003594</v>
      </c>
      <c r="S17" s="83">
        <f t="shared" si="1"/>
        <v>518.20832000002815</v>
      </c>
      <c r="T17" s="83">
        <f t="shared" si="2"/>
        <v>185.44500000000698</v>
      </c>
      <c r="U17" s="83">
        <f t="shared" si="16"/>
        <v>1453.8888000000547</v>
      </c>
      <c r="V17" s="83">
        <f>342267.7-342158.1</f>
        <v>109.60000000003492</v>
      </c>
      <c r="W17" s="83">
        <f t="shared" si="6"/>
        <v>0</v>
      </c>
      <c r="X17" s="86" t="s">
        <v>63</v>
      </c>
      <c r="Y17" s="87">
        <v>830751</v>
      </c>
      <c r="Z17" s="5">
        <f t="shared" si="10"/>
        <v>423</v>
      </c>
      <c r="AA17" s="14">
        <f t="shared" si="7"/>
        <v>2736.81</v>
      </c>
      <c r="AB17" s="87">
        <v>4253869</v>
      </c>
      <c r="AC17" s="86">
        <f t="shared" si="11"/>
        <v>4229638</v>
      </c>
      <c r="AD17" s="5">
        <f t="shared" si="3"/>
        <v>24231</v>
      </c>
      <c r="AE17" s="83">
        <f t="shared" si="12"/>
        <v>8049.4170450000001</v>
      </c>
      <c r="AF17" s="83">
        <f>84932.1-84891.9</f>
        <v>40.200000000011642</v>
      </c>
      <c r="AG17" s="83">
        <f>44257.3-44226.8</f>
        <v>30.5</v>
      </c>
      <c r="AH17" s="83">
        <f>26792-26778.3</f>
        <v>13.700000000000728</v>
      </c>
      <c r="AI17" s="87">
        <f t="shared" si="13"/>
        <v>42642.7</v>
      </c>
      <c r="AJ17" s="87">
        <v>42675.9</v>
      </c>
      <c r="AK17" s="48">
        <f t="shared" si="8"/>
        <v>33.200000000004366</v>
      </c>
      <c r="AL17" s="89">
        <f t="shared" si="4"/>
        <v>9440.2585181892409</v>
      </c>
      <c r="AM17" s="83">
        <f t="shared" si="14"/>
        <v>3136.0066784498749</v>
      </c>
      <c r="AN17" s="71">
        <v>36</v>
      </c>
      <c r="AO17" s="78">
        <f t="shared" si="5"/>
        <v>18396.715845000057</v>
      </c>
    </row>
    <row r="18" spans="1:41" x14ac:dyDescent="0.25">
      <c r="A18" s="79">
        <v>44329</v>
      </c>
      <c r="B18" s="86">
        <f>11835474-11830570</f>
        <v>4904</v>
      </c>
      <c r="C18" s="86">
        <f>7523914-7520957</f>
        <v>2957</v>
      </c>
      <c r="D18" s="86">
        <f>1472908-1472011</f>
        <v>897</v>
      </c>
      <c r="E18" s="86">
        <f>11263767-11257807</f>
        <v>5960</v>
      </c>
      <c r="F18" s="86">
        <f>11137933-11132217</f>
        <v>5716</v>
      </c>
      <c r="G18" s="86">
        <f>8120258-8117187</f>
        <v>3071</v>
      </c>
      <c r="H18" s="86">
        <f>8165173-8157967</f>
        <v>7206</v>
      </c>
      <c r="I18" s="86">
        <f>5060881-5058567</f>
        <v>2314</v>
      </c>
      <c r="J18" s="86">
        <f>11134985-11127927</f>
        <v>7058</v>
      </c>
      <c r="K18" s="86">
        <f t="shared" si="15"/>
        <v>30711</v>
      </c>
      <c r="L18" s="14">
        <f t="shared" si="9"/>
        <v>6142.2000000000007</v>
      </c>
      <c r="M18" s="83">
        <f>71864.3-71747.849</f>
        <v>116.45100000000093</v>
      </c>
      <c r="N18" s="83">
        <f>4198.336-4194.511</f>
        <v>3.8249999999998181</v>
      </c>
      <c r="O18" s="83">
        <f>9399.919-9396.179</f>
        <v>3.7399999999997817</v>
      </c>
      <c r="P18" s="82">
        <f>86792.866-86720.57</f>
        <v>72.295999999987544</v>
      </c>
      <c r="Q18" s="83">
        <f>23351.732-23341.361</f>
        <v>10.370999999999185</v>
      </c>
      <c r="R18" s="83">
        <f t="shared" si="0"/>
        <v>79.860999999987143</v>
      </c>
      <c r="S18" s="83">
        <f t="shared" si="1"/>
        <v>626.11023999989925</v>
      </c>
      <c r="T18" s="83">
        <f t="shared" si="2"/>
        <v>126.82200000000012</v>
      </c>
      <c r="U18" s="83">
        <f t="shared" si="16"/>
        <v>994.28448000000094</v>
      </c>
      <c r="V18" s="83">
        <f>342389.7-342267.7</f>
        <v>122</v>
      </c>
      <c r="W18" s="83">
        <f t="shared" si="6"/>
        <v>0</v>
      </c>
      <c r="X18" s="86" t="s">
        <v>63</v>
      </c>
      <c r="Y18" s="87">
        <v>831192</v>
      </c>
      <c r="Z18" s="5">
        <f t="shared" si="10"/>
        <v>441</v>
      </c>
      <c r="AA18" s="14">
        <f t="shared" si="7"/>
        <v>2853.27</v>
      </c>
      <c r="AB18" s="87">
        <v>4278427</v>
      </c>
      <c r="AC18" s="86">
        <f t="shared" si="11"/>
        <v>4253869</v>
      </c>
      <c r="AD18" s="5">
        <f t="shared" si="3"/>
        <v>24558</v>
      </c>
      <c r="AE18" s="83">
        <f t="shared" si="12"/>
        <v>8158.0448100000003</v>
      </c>
      <c r="AF18" s="82">
        <f>84972.3-84932.1</f>
        <v>40.19999999999709</v>
      </c>
      <c r="AG18" s="82">
        <f>44291.2-44257.3</f>
        <v>33.899999999994179</v>
      </c>
      <c r="AH18" s="82">
        <f>26805.5-26792</f>
        <v>13.5</v>
      </c>
      <c r="AI18" s="87">
        <f t="shared" si="13"/>
        <v>42675.9</v>
      </c>
      <c r="AJ18" s="87">
        <v>42709.4</v>
      </c>
      <c r="AK18" s="48">
        <f t="shared" si="8"/>
        <v>33.5</v>
      </c>
      <c r="AL18" s="89">
        <f t="shared" si="4"/>
        <v>9525.5620590149992</v>
      </c>
      <c r="AM18" s="83">
        <f t="shared" si="14"/>
        <v>3164.344088194488</v>
      </c>
      <c r="AN18" s="71">
        <v>89</v>
      </c>
      <c r="AO18" s="78">
        <f t="shared" si="5"/>
        <v>18147.799290000003</v>
      </c>
    </row>
    <row r="19" spans="1:41" x14ac:dyDescent="0.25">
      <c r="A19" s="79">
        <v>44330</v>
      </c>
      <c r="B19" s="86">
        <f>11840742-11835474</f>
        <v>5268</v>
      </c>
      <c r="C19" s="86">
        <f>7526899-7523914</f>
        <v>2985</v>
      </c>
      <c r="D19" s="86">
        <f>1473916-1472908</f>
        <v>1008</v>
      </c>
      <c r="E19" s="86">
        <f>11270155-11263767</f>
        <v>6388</v>
      </c>
      <c r="F19" s="86">
        <f>11143985-11137933</f>
        <v>6052</v>
      </c>
      <c r="G19" s="86">
        <f>8123677-8120258</f>
        <v>3419</v>
      </c>
      <c r="H19" s="86">
        <f>8173687-8165173</f>
        <v>8514</v>
      </c>
      <c r="I19" s="86">
        <f>5063241-5060881</f>
        <v>2360</v>
      </c>
      <c r="J19" s="86">
        <f>11142505-11134985</f>
        <v>7520</v>
      </c>
      <c r="K19" s="86">
        <f t="shared" si="15"/>
        <v>33634</v>
      </c>
      <c r="L19" s="14">
        <f t="shared" si="9"/>
        <v>6726.8</v>
      </c>
      <c r="M19" s="83">
        <f>72014.53-71864.3</f>
        <v>150.22999999999593</v>
      </c>
      <c r="N19" s="83">
        <f>4199.493-4198.336</f>
        <v>1.1570000000001528</v>
      </c>
      <c r="O19" s="83">
        <f>9401.081-9399.919</f>
        <v>1.1620000000002619</v>
      </c>
      <c r="P19" s="82">
        <f>86877.002-86792.866</f>
        <v>84.135999999998603</v>
      </c>
      <c r="Q19" s="83">
        <f>23366.943-23351.732</f>
        <v>15.210999999999331</v>
      </c>
      <c r="R19" s="83">
        <f t="shared" si="0"/>
        <v>86.454999999999018</v>
      </c>
      <c r="S19" s="83">
        <f t="shared" si="1"/>
        <v>677.80719999999224</v>
      </c>
      <c r="T19" s="83">
        <f t="shared" si="2"/>
        <v>165.44099999999526</v>
      </c>
      <c r="U19" s="83">
        <f t="shared" si="16"/>
        <v>1297.0574399999628</v>
      </c>
      <c r="V19" s="83">
        <f>342535.6-342389.7</f>
        <v>145.89999999996508</v>
      </c>
      <c r="W19" s="83">
        <f t="shared" si="6"/>
        <v>0</v>
      </c>
      <c r="X19" s="86" t="s">
        <v>63</v>
      </c>
      <c r="Y19" s="87">
        <v>831709</v>
      </c>
      <c r="Z19" s="5">
        <f t="shared" si="10"/>
        <v>517</v>
      </c>
      <c r="AA19" s="14">
        <f t="shared" si="7"/>
        <v>3344.99</v>
      </c>
      <c r="AB19" s="87">
        <v>4306454</v>
      </c>
      <c r="AC19" s="86">
        <f t="shared" si="11"/>
        <v>4278427</v>
      </c>
      <c r="AD19" s="5">
        <f t="shared" si="3"/>
        <v>28027</v>
      </c>
      <c r="AE19" s="83">
        <f t="shared" si="12"/>
        <v>9310.4292650000007</v>
      </c>
      <c r="AF19" s="83">
        <f>85018.9-84972.3</f>
        <v>46.599999999991269</v>
      </c>
      <c r="AG19" s="83">
        <f>44329.1-44291.2</f>
        <v>37.900000000001455</v>
      </c>
      <c r="AH19" s="83">
        <f>26819.1-26805.5</f>
        <v>13.599999999998545</v>
      </c>
      <c r="AI19" s="87">
        <f t="shared" si="13"/>
        <v>42709.4</v>
      </c>
      <c r="AJ19" s="87">
        <v>42744.9</v>
      </c>
      <c r="AK19" s="48">
        <f t="shared" si="8"/>
        <v>35.5</v>
      </c>
      <c r="AL19" s="89">
        <f t="shared" si="4"/>
        <v>10094.252331194999</v>
      </c>
      <c r="AM19" s="83">
        <f t="shared" si="14"/>
        <v>3353.2601531613227</v>
      </c>
      <c r="AN19" s="71">
        <v>131</v>
      </c>
      <c r="AO19" s="78">
        <f t="shared" si="5"/>
        <v>20679.276704999964</v>
      </c>
    </row>
    <row r="20" spans="1:41" x14ac:dyDescent="0.25">
      <c r="A20" s="79">
        <v>44331</v>
      </c>
      <c r="B20" s="86">
        <f>11845833-11840742</f>
        <v>5091</v>
      </c>
      <c r="C20" s="86">
        <f>7529670-7526899</f>
        <v>2771</v>
      </c>
      <c r="D20" s="86">
        <f>1474836-1473916</f>
        <v>920</v>
      </c>
      <c r="E20" s="86">
        <f>11276044-11270155</f>
        <v>5889</v>
      </c>
      <c r="F20" s="86">
        <f>11149596-11143985</f>
        <v>5611</v>
      </c>
      <c r="G20" s="86">
        <f>8126952-8123677</f>
        <v>3275</v>
      </c>
      <c r="H20" s="86">
        <f>8181932-8173687</f>
        <v>8245</v>
      </c>
      <c r="I20" s="86">
        <f>5065570-5063241</f>
        <v>2329</v>
      </c>
      <c r="J20" s="86">
        <f>11149688-11142505</f>
        <v>7183</v>
      </c>
      <c r="K20" s="86">
        <f t="shared" si="15"/>
        <v>31802</v>
      </c>
      <c r="L20" s="14">
        <f t="shared" si="9"/>
        <v>6360.4000000000005</v>
      </c>
      <c r="M20" s="83">
        <f>72160.05-72014.53</f>
        <v>145.52000000000407</v>
      </c>
      <c r="N20" s="83">
        <f>4201.394-4199.49</f>
        <v>1.9040000000004511</v>
      </c>
      <c r="O20" s="83">
        <f>9402.906-9401.08</f>
        <v>1.8260000000009313</v>
      </c>
      <c r="P20" s="82">
        <f>86951.81-86877</f>
        <v>74.809999999997672</v>
      </c>
      <c r="Q20" s="83">
        <f>23376.646-23366.94</f>
        <v>9.70600000000195</v>
      </c>
      <c r="R20" s="83">
        <f t="shared" si="0"/>
        <v>78.539999999999054</v>
      </c>
      <c r="S20" s="83">
        <f t="shared" si="1"/>
        <v>615.75359999999262</v>
      </c>
      <c r="T20" s="83">
        <f t="shared" si="2"/>
        <v>155.22600000000602</v>
      </c>
      <c r="U20" s="83">
        <f t="shared" si="16"/>
        <v>1216.9718400000472</v>
      </c>
      <c r="V20" s="83">
        <f>342675.2-342535.6</f>
        <v>139.60000000003492</v>
      </c>
      <c r="W20" s="83">
        <f t="shared" si="6"/>
        <v>0</v>
      </c>
      <c r="X20" s="86" t="s">
        <v>63</v>
      </c>
      <c r="Y20" s="87">
        <v>832157</v>
      </c>
      <c r="Z20" s="5">
        <f t="shared" si="10"/>
        <v>448</v>
      </c>
      <c r="AA20" s="14">
        <f t="shared" si="7"/>
        <v>2898.56</v>
      </c>
      <c r="AB20" s="87">
        <v>4334997.7</v>
      </c>
      <c r="AC20" s="86">
        <f t="shared" si="11"/>
        <v>4306454</v>
      </c>
      <c r="AD20" s="5">
        <f t="shared" si="3"/>
        <v>28543.700000000186</v>
      </c>
      <c r="AE20" s="83">
        <f t="shared" si="12"/>
        <v>9482.0744215000632</v>
      </c>
      <c r="AF20" s="83">
        <f>85063.6-85018.9</f>
        <v>44.700000000011642</v>
      </c>
      <c r="AG20" s="83">
        <f>44369.1-44329.1</f>
        <v>40</v>
      </c>
      <c r="AH20" s="83">
        <f>26833.9-26819.1</f>
        <v>14.80000000000291</v>
      </c>
      <c r="AI20" s="87">
        <f t="shared" si="13"/>
        <v>42744.9</v>
      </c>
      <c r="AJ20" s="87">
        <v>42782.7</v>
      </c>
      <c r="AK20" s="48">
        <f t="shared" si="8"/>
        <v>37.799999999995634</v>
      </c>
      <c r="AL20" s="89">
        <f t="shared" si="4"/>
        <v>10748.246144200759</v>
      </c>
      <c r="AM20" s="83">
        <f t="shared" si="14"/>
        <v>3570.5136278727714</v>
      </c>
      <c r="AN20" s="71">
        <v>70</v>
      </c>
      <c r="AO20" s="78">
        <f t="shared" si="5"/>
        <v>19958.006261500112</v>
      </c>
    </row>
    <row r="21" spans="1:41" x14ac:dyDescent="0.25">
      <c r="A21" s="79">
        <v>44332</v>
      </c>
      <c r="B21" s="86">
        <f>11850923-11845833</f>
        <v>5090</v>
      </c>
      <c r="C21" s="86">
        <f>7532473-7529670</f>
        <v>2803</v>
      </c>
      <c r="D21" s="86">
        <f>1475684-1474836</f>
        <v>848</v>
      </c>
      <c r="E21" s="86">
        <f>11282067-11276044</f>
        <v>6023</v>
      </c>
      <c r="F21" s="86">
        <f>11155206-11149596</f>
        <v>5610</v>
      </c>
      <c r="G21" s="86">
        <f>8130080-8126952</f>
        <v>3128</v>
      </c>
      <c r="H21" s="86">
        <f>8188913-8181932</f>
        <v>6981</v>
      </c>
      <c r="I21" s="86">
        <f>5068122-5065570</f>
        <v>2552</v>
      </c>
      <c r="J21" s="86">
        <f>11156886-11149688</f>
        <v>7198</v>
      </c>
      <c r="K21" s="86">
        <f t="shared" si="15"/>
        <v>30483</v>
      </c>
      <c r="L21" s="14">
        <f t="shared" si="9"/>
        <v>6096.6</v>
      </c>
      <c r="M21" s="83">
        <f>72280.889-72160.05</f>
        <v>120.83899999999267</v>
      </c>
      <c r="N21" s="83">
        <f>4203.228-4201.394</f>
        <v>1.8339999999998327</v>
      </c>
      <c r="O21" s="83">
        <f>9404.28-9402.906</f>
        <v>1.3739999999997963</v>
      </c>
      <c r="P21" s="82">
        <f>87011.238-86951.81</f>
        <v>59.427999999999884</v>
      </c>
      <c r="Q21" s="83">
        <f>23389.905-23376.646</f>
        <v>13.258999999998196</v>
      </c>
      <c r="R21" s="83">
        <f t="shared" si="0"/>
        <v>62.635999999999513</v>
      </c>
      <c r="S21" s="83">
        <f t="shared" si="1"/>
        <v>491.06623999999618</v>
      </c>
      <c r="T21" s="83">
        <f t="shared" si="2"/>
        <v>134.09799999999086</v>
      </c>
      <c r="U21" s="83">
        <f t="shared" si="16"/>
        <v>1051.3283199999282</v>
      </c>
      <c r="V21" s="83">
        <f>342780.3-342675.2</f>
        <v>105.09999999997672</v>
      </c>
      <c r="W21" s="83">
        <f t="shared" si="6"/>
        <v>0</v>
      </c>
      <c r="X21" s="86" t="s">
        <v>63</v>
      </c>
      <c r="Y21" s="87">
        <v>832552</v>
      </c>
      <c r="Z21" s="5">
        <f t="shared" si="10"/>
        <v>395</v>
      </c>
      <c r="AA21" s="14">
        <f t="shared" si="7"/>
        <v>2555.65</v>
      </c>
      <c r="AB21" s="87">
        <v>4359175.7</v>
      </c>
      <c r="AC21" s="86">
        <f t="shared" si="11"/>
        <v>4334997.7</v>
      </c>
      <c r="AD21" s="5">
        <f t="shared" si="3"/>
        <v>24178</v>
      </c>
      <c r="AE21" s="83">
        <f t="shared" si="12"/>
        <v>8031.8107100000007</v>
      </c>
      <c r="AF21" s="83">
        <f>85102.5-85063.6</f>
        <v>38.899999999994179</v>
      </c>
      <c r="AG21" s="83">
        <f>44397.8-44369.1</f>
        <v>28.700000000004366</v>
      </c>
      <c r="AH21" s="83">
        <f>26849-26833.9</f>
        <v>15.099999999998545</v>
      </c>
      <c r="AI21" s="87">
        <f t="shared" si="13"/>
        <v>42782.7</v>
      </c>
      <c r="AJ21" s="87">
        <v>42816.9</v>
      </c>
      <c r="AK21" s="48">
        <f t="shared" si="8"/>
        <v>34.200000000004366</v>
      </c>
      <c r="AL21" s="89">
        <f t="shared" si="4"/>
        <v>9724.6036542792408</v>
      </c>
      <c r="AM21" s="83">
        <f t="shared" si="14"/>
        <v>3230.4647109332927</v>
      </c>
      <c r="AN21" s="71">
        <v>56</v>
      </c>
      <c r="AO21" s="78">
        <f t="shared" si="5"/>
        <v>17735.389029999929</v>
      </c>
    </row>
    <row r="22" spans="1:41" x14ac:dyDescent="0.25">
      <c r="A22" s="79">
        <v>44333</v>
      </c>
      <c r="B22" s="86">
        <f>11855946-11850923</f>
        <v>5023</v>
      </c>
      <c r="C22" s="86">
        <f>7535525-7532473</f>
        <v>3052</v>
      </c>
      <c r="D22" s="86">
        <f>1476527-1475684</f>
        <v>843</v>
      </c>
      <c r="E22" s="86">
        <f>11288094-11282067</f>
        <v>6027</v>
      </c>
      <c r="F22" s="86">
        <f>11160733-11155206</f>
        <v>5527</v>
      </c>
      <c r="G22" s="86">
        <f>8133132-8130080</f>
        <v>3052</v>
      </c>
      <c r="H22" s="86">
        <f>8196496-8188913</f>
        <v>7583</v>
      </c>
      <c r="I22" s="86">
        <f>5070452-5068122</f>
        <v>2330</v>
      </c>
      <c r="J22" s="86">
        <f>11164015-11156886</f>
        <v>7129</v>
      </c>
      <c r="K22" s="86">
        <f t="shared" si="15"/>
        <v>31107</v>
      </c>
      <c r="L22" s="14">
        <f t="shared" si="9"/>
        <v>6221.4000000000005</v>
      </c>
      <c r="M22" s="83">
        <f>72382.783-72280.889</f>
        <v>101.89400000000023</v>
      </c>
      <c r="N22" s="83">
        <f>4204.482-4203.228</f>
        <v>1.2539999999999054</v>
      </c>
      <c r="O22" s="83">
        <f>9405.522-9404.28</f>
        <v>1.2420000000001892</v>
      </c>
      <c r="P22" s="82">
        <f>87073.46-87011.238</f>
        <v>62.222000000008848</v>
      </c>
      <c r="Q22" s="83">
        <f>23399.632-23389.905</f>
        <v>9.7270000000025902</v>
      </c>
      <c r="R22" s="83">
        <f t="shared" si="0"/>
        <v>64.718000000008942</v>
      </c>
      <c r="S22" s="83">
        <f t="shared" si="1"/>
        <v>507.38912000007008</v>
      </c>
      <c r="T22" s="83">
        <f t="shared" si="2"/>
        <v>111.62100000000282</v>
      </c>
      <c r="U22" s="83">
        <f t="shared" si="16"/>
        <v>875.10864000002209</v>
      </c>
      <c r="V22" s="83">
        <f>342885-342780.3</f>
        <v>104.70000000001164</v>
      </c>
      <c r="W22" s="83">
        <f t="shared" si="6"/>
        <v>0</v>
      </c>
      <c r="X22" s="86" t="s">
        <v>63</v>
      </c>
      <c r="Y22" s="87">
        <v>832919</v>
      </c>
      <c r="Z22" s="5">
        <f t="shared" si="10"/>
        <v>367</v>
      </c>
      <c r="AA22" s="14">
        <f t="shared" si="7"/>
        <v>2374.4899999999998</v>
      </c>
      <c r="AB22" s="87">
        <v>4384895.7</v>
      </c>
      <c r="AC22" s="86">
        <f t="shared" si="11"/>
        <v>4359175.7</v>
      </c>
      <c r="AD22" s="5">
        <f t="shared" si="3"/>
        <v>25720</v>
      </c>
      <c r="AE22" s="83">
        <f t="shared" si="12"/>
        <v>8544.0554000000011</v>
      </c>
      <c r="AF22" s="83">
        <f>85144.3-85102.5</f>
        <v>41.80000000000291</v>
      </c>
      <c r="AG22" s="83">
        <f>44429.9-44397.8</f>
        <v>32.099999999998545</v>
      </c>
      <c r="AH22" s="83">
        <f>26864.4-26849</f>
        <v>15.400000000001455</v>
      </c>
      <c r="AI22" s="87">
        <f t="shared" si="13"/>
        <v>42816.9</v>
      </c>
      <c r="AJ22" s="87">
        <v>42850.9</v>
      </c>
      <c r="AK22" s="48">
        <f t="shared" si="8"/>
        <v>34</v>
      </c>
      <c r="AL22" s="89">
        <f t="shared" si="4"/>
        <v>9667.7346270599992</v>
      </c>
      <c r="AM22" s="83">
        <f t="shared" si="14"/>
        <v>3211.5731044361964</v>
      </c>
      <c r="AN22" s="71">
        <v>61</v>
      </c>
      <c r="AO22" s="78">
        <f t="shared" si="5"/>
        <v>18015.054040000025</v>
      </c>
    </row>
    <row r="23" spans="1:41" x14ac:dyDescent="0.25">
      <c r="A23" s="79">
        <v>44334</v>
      </c>
      <c r="B23" s="86">
        <f>11861090-11855946</f>
        <v>5144</v>
      </c>
      <c r="C23" s="86">
        <f>7538592-7535525</f>
        <v>3067</v>
      </c>
      <c r="D23" s="86">
        <f>1477371-1476527</f>
        <v>844</v>
      </c>
      <c r="E23" s="86">
        <f>11293420-11288094</f>
        <v>5326</v>
      </c>
      <c r="F23" s="86">
        <f>11166383-11160733</f>
        <v>5650</v>
      </c>
      <c r="G23" s="86">
        <f>8136159-8133132</f>
        <v>3027</v>
      </c>
      <c r="H23" s="86">
        <f>8204735-8196496</f>
        <v>8239</v>
      </c>
      <c r="I23" s="86">
        <f>5073127-5070452</f>
        <v>2675</v>
      </c>
      <c r="J23" s="86">
        <f>11171216-11164015</f>
        <v>7201</v>
      </c>
      <c r="K23" s="86">
        <f t="shared" si="15"/>
        <v>31297</v>
      </c>
      <c r="L23" s="14">
        <f t="shared" si="9"/>
        <v>6259.4000000000005</v>
      </c>
      <c r="M23" s="83">
        <f>72488.626-72382.783</f>
        <v>105.84300000000803</v>
      </c>
      <c r="N23" s="83">
        <f>4205.519-4204.482</f>
        <v>1.0370000000002619</v>
      </c>
      <c r="O23" s="83">
        <f>9406.535-9405.522</f>
        <v>1.0129999999990105</v>
      </c>
      <c r="P23" s="82">
        <f>87142.624-87073.46</f>
        <v>69.163999999989755</v>
      </c>
      <c r="Q23" s="83">
        <f>23409.44-23399.632</f>
        <v>9.8079999999972642</v>
      </c>
      <c r="R23" s="83">
        <f t="shared" si="0"/>
        <v>71.213999999989028</v>
      </c>
      <c r="S23" s="83">
        <f t="shared" si="1"/>
        <v>558.31775999991396</v>
      </c>
      <c r="T23" s="83">
        <f t="shared" si="2"/>
        <v>115.6510000000053</v>
      </c>
      <c r="U23" s="83">
        <f t="shared" si="16"/>
        <v>906.70384000004151</v>
      </c>
      <c r="V23" s="83">
        <f>343083.3-342885</f>
        <v>198.29999999998836</v>
      </c>
      <c r="W23" s="83">
        <f t="shared" si="6"/>
        <v>0</v>
      </c>
      <c r="X23" s="86" t="s">
        <v>63</v>
      </c>
      <c r="Y23" s="87">
        <v>833394</v>
      </c>
      <c r="Z23" s="5">
        <f t="shared" si="10"/>
        <v>475</v>
      </c>
      <c r="AA23" s="14">
        <f t="shared" si="7"/>
        <v>3073.25</v>
      </c>
      <c r="AB23" s="87">
        <v>4412080.7</v>
      </c>
      <c r="AC23" s="86">
        <f t="shared" si="11"/>
        <v>4384895.7</v>
      </c>
      <c r="AD23" s="5">
        <f t="shared" si="3"/>
        <v>27185</v>
      </c>
      <c r="AE23" s="83">
        <f t="shared" si="12"/>
        <v>9030.7210750000013</v>
      </c>
      <c r="AF23" s="83">
        <f>85188.4-85144.3</f>
        <v>44.099999999991269</v>
      </c>
      <c r="AG23" s="83">
        <f>44465.7-44429.9</f>
        <v>35.799999999995634</v>
      </c>
      <c r="AH23" s="83">
        <f>26878.9-26864.4</f>
        <v>14.5</v>
      </c>
      <c r="AI23" s="87">
        <f t="shared" si="13"/>
        <v>42850.9</v>
      </c>
      <c r="AJ23" s="87">
        <v>42885.5</v>
      </c>
      <c r="AK23" s="48">
        <f t="shared" si="8"/>
        <v>34.599999999998545</v>
      </c>
      <c r="AL23" s="89">
        <f t="shared" si="4"/>
        <v>9838.3417087135858</v>
      </c>
      <c r="AM23" s="83">
        <f t="shared" si="14"/>
        <v>3268.2479239261097</v>
      </c>
      <c r="AN23" s="71">
        <v>58</v>
      </c>
      <c r="AO23" s="78">
        <f t="shared" si="5"/>
        <v>19270.074915000041</v>
      </c>
    </row>
    <row r="24" spans="1:41" x14ac:dyDescent="0.25">
      <c r="A24" s="79">
        <v>44335</v>
      </c>
      <c r="B24" s="86">
        <f>11866151-11861090</f>
        <v>5061</v>
      </c>
      <c r="C24" s="86">
        <f>7541470-7538592</f>
        <v>2878</v>
      </c>
      <c r="D24" s="86">
        <f>1478207-1477371</f>
        <v>836</v>
      </c>
      <c r="E24" s="86">
        <f>11298633-11293420</f>
        <v>5213</v>
      </c>
      <c r="F24" s="86">
        <f>11171983-11166383</f>
        <v>5600</v>
      </c>
      <c r="G24" s="86">
        <f>8139047-8136159</f>
        <v>2888</v>
      </c>
      <c r="H24" s="86">
        <f>8211251-8204735</f>
        <v>6516</v>
      </c>
      <c r="I24" s="86">
        <f>5075460-5073127</f>
        <v>2333</v>
      </c>
      <c r="J24" s="86">
        <f>11178396-11171216</f>
        <v>7180</v>
      </c>
      <c r="K24" s="86">
        <f t="shared" si="15"/>
        <v>28992</v>
      </c>
      <c r="L24" s="14">
        <f t="shared" si="9"/>
        <v>5798.4000000000005</v>
      </c>
      <c r="M24" s="83">
        <f>72587.25-72488.626</f>
        <v>98.623999999996158</v>
      </c>
      <c r="N24" s="83">
        <f>4206.528-4205.519</f>
        <v>1.0090000000000146</v>
      </c>
      <c r="O24" s="83">
        <f>9407.491-9406.535</f>
        <v>0.95600000000013097</v>
      </c>
      <c r="P24" s="82">
        <f>87210.3-87142.624</f>
        <v>67.676000000006752</v>
      </c>
      <c r="Q24" s="83">
        <f>23421.364-23409.44</f>
        <v>11.924000000002707</v>
      </c>
      <c r="R24" s="83">
        <f t="shared" si="0"/>
        <v>69.641000000006898</v>
      </c>
      <c r="S24" s="83">
        <f t="shared" si="1"/>
        <v>545.98544000005404</v>
      </c>
      <c r="T24" s="83">
        <f t="shared" si="2"/>
        <v>110.54799999999886</v>
      </c>
      <c r="U24" s="83">
        <f t="shared" si="16"/>
        <v>866.69631999999103</v>
      </c>
      <c r="V24" s="83">
        <f>343294-343083.3</f>
        <v>210.70000000001164</v>
      </c>
      <c r="W24" s="83">
        <f t="shared" si="6"/>
        <v>0</v>
      </c>
      <c r="X24" s="86" t="s">
        <v>63</v>
      </c>
      <c r="Y24" s="87">
        <v>833882</v>
      </c>
      <c r="Z24" s="5">
        <f t="shared" si="10"/>
        <v>488</v>
      </c>
      <c r="AA24" s="14">
        <f t="shared" si="7"/>
        <v>3157.3599999999997</v>
      </c>
      <c r="AB24" s="87">
        <v>4436715.0999999996</v>
      </c>
      <c r="AC24" s="86">
        <f t="shared" si="11"/>
        <v>4412080.7</v>
      </c>
      <c r="AD24" s="5">
        <f t="shared" si="3"/>
        <v>24634.399999999441</v>
      </c>
      <c r="AE24" s="83">
        <f t="shared" si="12"/>
        <v>8183.4245079998145</v>
      </c>
      <c r="AF24" s="83">
        <f>85228.7-85188.4</f>
        <v>40.30000000000291</v>
      </c>
      <c r="AG24" s="83">
        <f>44494-44465.7</f>
        <v>28.30000000000291</v>
      </c>
      <c r="AH24" s="83">
        <f>26894.2-26878.9</f>
        <v>15.299999999999272</v>
      </c>
      <c r="AI24" s="87">
        <f t="shared" si="13"/>
        <v>42885.5</v>
      </c>
      <c r="AJ24" s="87">
        <v>42918.5</v>
      </c>
      <c r="AK24" s="48">
        <f t="shared" si="8"/>
        <v>33</v>
      </c>
      <c r="AL24" s="89">
        <f t="shared" si="4"/>
        <v>9383.3894909699993</v>
      </c>
      <c r="AM24" s="83">
        <f t="shared" si="14"/>
        <v>3117.1150719527791</v>
      </c>
      <c r="AN24" s="71">
        <v>52</v>
      </c>
      <c r="AO24" s="78">
        <f t="shared" si="5"/>
        <v>18005.880827999805</v>
      </c>
    </row>
    <row r="25" spans="1:41" x14ac:dyDescent="0.25">
      <c r="A25" s="79">
        <v>44336</v>
      </c>
      <c r="B25" s="86">
        <f>11871167-11866151</f>
        <v>5016</v>
      </c>
      <c r="C25" s="86">
        <f>7544364-7541470</f>
        <v>2894</v>
      </c>
      <c r="D25" s="86">
        <f>1479106-1478207</f>
        <v>899</v>
      </c>
      <c r="E25" s="86">
        <f>11303919-11298633</f>
        <v>5286</v>
      </c>
      <c r="F25" s="86">
        <f>11177723-11171983</f>
        <v>5740</v>
      </c>
      <c r="G25" s="86">
        <f>8142055-8139047</f>
        <v>3008</v>
      </c>
      <c r="H25" s="86">
        <f>8218598-8211251</f>
        <v>7347</v>
      </c>
      <c r="I25" s="86">
        <f>5077932-5075460</f>
        <v>2472</v>
      </c>
      <c r="J25" s="86">
        <f>11185693-11178396</f>
        <v>7297</v>
      </c>
      <c r="K25" s="86">
        <f t="shared" si="15"/>
        <v>30190</v>
      </c>
      <c r="L25" s="14">
        <f t="shared" si="9"/>
        <v>6038</v>
      </c>
      <c r="M25" s="83">
        <f>72706.438-72587.25</f>
        <v>119.18799999999464</v>
      </c>
      <c r="N25" s="83">
        <f>4207.892-4206.528</f>
        <v>1.363999999999578</v>
      </c>
      <c r="O25" s="83">
        <f>9408.608-9407.491</f>
        <v>1.1170000000001892</v>
      </c>
      <c r="P25" s="82">
        <f>87293.634-87210.3</f>
        <v>83.334000000002561</v>
      </c>
      <c r="Q25" s="83">
        <f>23456.601-23421.364</f>
        <v>35.236999999997352</v>
      </c>
      <c r="R25" s="83">
        <f t="shared" si="0"/>
        <v>85.815000000002328</v>
      </c>
      <c r="S25" s="83">
        <f t="shared" si="1"/>
        <v>672.78960000001825</v>
      </c>
      <c r="T25" s="83">
        <f t="shared" si="2"/>
        <v>154.424999999992</v>
      </c>
      <c r="U25" s="83">
        <f t="shared" si="16"/>
        <v>1210.6919999999373</v>
      </c>
      <c r="V25" s="83">
        <f>343514-343294</f>
        <v>220</v>
      </c>
      <c r="W25" s="83">
        <f t="shared" si="6"/>
        <v>0</v>
      </c>
      <c r="X25" s="86" t="s">
        <v>63</v>
      </c>
      <c r="Y25" s="87">
        <v>834402</v>
      </c>
      <c r="Z25" s="5">
        <f t="shared" si="10"/>
        <v>520</v>
      </c>
      <c r="AA25" s="14">
        <f t="shared" si="7"/>
        <v>3364.4</v>
      </c>
      <c r="AB25" s="87">
        <v>4462006.4000000004</v>
      </c>
      <c r="AC25" s="86">
        <f t="shared" si="11"/>
        <v>4436715.0999999996</v>
      </c>
      <c r="AD25" s="5">
        <f t="shared" si="3"/>
        <v>25291.300000000745</v>
      </c>
      <c r="AE25" s="83">
        <f t="shared" si="12"/>
        <v>8401.6434035002476</v>
      </c>
      <c r="AF25" s="83">
        <f>85269.4-85228.7</f>
        <v>40.69999999999709</v>
      </c>
      <c r="AG25" s="83">
        <f>44527.8-44494</f>
        <v>33.80000000000291</v>
      </c>
      <c r="AH25" s="83">
        <f>26909.1-26894.2</f>
        <v>14.899999999997817</v>
      </c>
      <c r="AI25" s="87">
        <f t="shared" si="13"/>
        <v>42918.5</v>
      </c>
      <c r="AJ25" s="87">
        <v>42952.7</v>
      </c>
      <c r="AK25" s="48">
        <f t="shared" si="8"/>
        <v>34.19999999999709</v>
      </c>
      <c r="AL25" s="89">
        <f t="shared" si="4"/>
        <v>9724.6036542771726</v>
      </c>
      <c r="AM25" s="83">
        <f t="shared" si="14"/>
        <v>3230.4647109326056</v>
      </c>
      <c r="AN25" s="71">
        <v>73</v>
      </c>
      <c r="AO25" s="78">
        <f t="shared" si="5"/>
        <v>19014.735403500184</v>
      </c>
    </row>
    <row r="26" spans="1:41" x14ac:dyDescent="0.25">
      <c r="A26" s="79">
        <v>44337</v>
      </c>
      <c r="B26" s="86">
        <f>11876324-11871167</f>
        <v>5157</v>
      </c>
      <c r="C26" s="86">
        <f>7547279-7544364</f>
        <v>2915</v>
      </c>
      <c r="D26" s="86">
        <f>1479921-1479106</f>
        <v>815</v>
      </c>
      <c r="E26" s="86">
        <f>11308877-11303919</f>
        <v>4958</v>
      </c>
      <c r="F26" s="86">
        <f>11183386-11177723</f>
        <v>5663</v>
      </c>
      <c r="G26" s="86">
        <f>8145264-8142055</f>
        <v>3209</v>
      </c>
      <c r="H26" s="86">
        <f>8226478-8218598</f>
        <v>7880</v>
      </c>
      <c r="I26" s="86">
        <f>5080402-5077932</f>
        <v>2470</v>
      </c>
      <c r="J26" s="86">
        <f>11193041-11185693</f>
        <v>7348</v>
      </c>
      <c r="K26" s="86">
        <f t="shared" si="15"/>
        <v>30597</v>
      </c>
      <c r="L26" s="14">
        <f t="shared" si="9"/>
        <v>6119.4000000000005</v>
      </c>
      <c r="M26" s="83">
        <f>72835.17-72706.438</f>
        <v>128.73200000000361</v>
      </c>
      <c r="N26" s="83">
        <f>4209.06-4207.892</f>
        <v>1.1680000000005748</v>
      </c>
      <c r="O26" s="83">
        <f>9409.55-9408.608</f>
        <v>0.94199999999909778</v>
      </c>
      <c r="P26" s="82">
        <f>87377.245-87293.634</f>
        <v>83.610999999989872</v>
      </c>
      <c r="Q26" s="83">
        <f>23515.392-23456.601</f>
        <v>58.791000000001077</v>
      </c>
      <c r="R26" s="83">
        <f t="shared" si="0"/>
        <v>85.720999999989544</v>
      </c>
      <c r="S26" s="83">
        <f t="shared" si="1"/>
        <v>672.05263999991803</v>
      </c>
      <c r="T26" s="83">
        <f t="shared" si="2"/>
        <v>187.52300000000469</v>
      </c>
      <c r="U26" s="83">
        <f t="shared" si="16"/>
        <v>1470.1803200000368</v>
      </c>
      <c r="V26" s="83">
        <f>343763.3-343514</f>
        <v>249.29999999998836</v>
      </c>
      <c r="W26" s="83">
        <f t="shared" si="6"/>
        <v>0</v>
      </c>
      <c r="X26" s="86" t="s">
        <v>63</v>
      </c>
      <c r="Y26" s="87">
        <v>834992</v>
      </c>
      <c r="Z26" s="5">
        <f t="shared" si="10"/>
        <v>590</v>
      </c>
      <c r="AA26" s="14">
        <f t="shared" si="7"/>
        <v>3817.2999999999997</v>
      </c>
      <c r="AB26" s="87">
        <v>4492177.0999999996</v>
      </c>
      <c r="AC26" s="86">
        <f t="shared" si="11"/>
        <v>4462006.4000000004</v>
      </c>
      <c r="AD26" s="5">
        <f t="shared" si="3"/>
        <v>30170.699999999255</v>
      </c>
      <c r="AE26" s="83">
        <f t="shared" si="12"/>
        <v>10022.555686499752</v>
      </c>
      <c r="AF26" s="83">
        <f>85319.4-85269.4</f>
        <v>50</v>
      </c>
      <c r="AG26" s="83">
        <f>44566.4-44527.8</f>
        <v>38.599999999998545</v>
      </c>
      <c r="AH26" s="83">
        <f>26925.1-26909.1</f>
        <v>16</v>
      </c>
      <c r="AI26" s="87">
        <f t="shared" si="13"/>
        <v>42952.7</v>
      </c>
      <c r="AJ26" s="87">
        <v>42988.3</v>
      </c>
      <c r="AK26" s="48">
        <f t="shared" si="8"/>
        <v>35.600000000005821</v>
      </c>
      <c r="AL26" s="89">
        <f t="shared" si="4"/>
        <v>10122.686844805654</v>
      </c>
      <c r="AM26" s="83">
        <f t="shared" si="14"/>
        <v>3362.7059564102142</v>
      </c>
      <c r="AN26" s="71">
        <v>85</v>
      </c>
      <c r="AO26" s="78">
        <f t="shared" si="5"/>
        <v>21429.436006499789</v>
      </c>
    </row>
    <row r="27" spans="1:41" x14ac:dyDescent="0.25">
      <c r="A27" s="79">
        <v>44338</v>
      </c>
      <c r="B27" s="86">
        <f>11881524-11876324</f>
        <v>5200</v>
      </c>
      <c r="C27" s="86">
        <f>7550493-7547279</f>
        <v>3214</v>
      </c>
      <c r="D27" s="86">
        <f>1480847-1479921</f>
        <v>926</v>
      </c>
      <c r="E27" s="86">
        <f>11313974-11308877</f>
        <v>5097</v>
      </c>
      <c r="F27" s="86">
        <f>11189018-11183386</f>
        <v>5632</v>
      </c>
      <c r="G27" s="86">
        <f>8148474-8145264</f>
        <v>3210</v>
      </c>
      <c r="H27" s="86">
        <f>8233591-8226478</f>
        <v>7113</v>
      </c>
      <c r="I27" s="86">
        <f>5082865-5080402</f>
        <v>2463</v>
      </c>
      <c r="J27" s="86">
        <f>11200621-11193041</f>
        <v>7580</v>
      </c>
      <c r="K27" s="86">
        <f t="shared" si="15"/>
        <v>30392</v>
      </c>
      <c r="L27" s="14">
        <f t="shared" si="9"/>
        <v>6078.4000000000005</v>
      </c>
      <c r="M27" s="83">
        <f>72977.8-72835.17</f>
        <v>142.63000000000466</v>
      </c>
      <c r="N27" s="83">
        <f>4210.398-4209.06</f>
        <v>1.3379999999997381</v>
      </c>
      <c r="O27" s="83">
        <f>9411.403-9409.55</f>
        <v>1.853000000000975</v>
      </c>
      <c r="P27" s="82">
        <f>87460.1-87377.245</f>
        <v>82.855000000010477</v>
      </c>
      <c r="Q27" s="83">
        <f>23519.752-23515.392</f>
        <v>4.3600000000005821</v>
      </c>
      <c r="R27" s="83">
        <f t="shared" si="0"/>
        <v>86.04600000001119</v>
      </c>
      <c r="S27" s="83">
        <f t="shared" si="1"/>
        <v>674.60064000008776</v>
      </c>
      <c r="T27" s="83">
        <f t="shared" si="2"/>
        <v>146.99000000000524</v>
      </c>
      <c r="U27" s="83">
        <f t="shared" si="16"/>
        <v>1152.4016000000411</v>
      </c>
      <c r="V27" s="83">
        <f>344024-343763.3</f>
        <v>260.70000000001164</v>
      </c>
      <c r="W27" s="83">
        <f t="shared" si="6"/>
        <v>0</v>
      </c>
      <c r="X27" s="86" t="s">
        <v>63</v>
      </c>
      <c r="Y27" s="87">
        <v>835541</v>
      </c>
      <c r="Z27" s="5">
        <f t="shared" si="10"/>
        <v>549</v>
      </c>
      <c r="AA27" s="14">
        <f t="shared" si="7"/>
        <v>3552.0299999999997</v>
      </c>
      <c r="AB27" s="87">
        <v>4521079.0999999996</v>
      </c>
      <c r="AC27" s="86">
        <f t="shared" si="11"/>
        <v>4492177.0999999996</v>
      </c>
      <c r="AD27" s="5">
        <f t="shared" si="3"/>
        <v>28902</v>
      </c>
      <c r="AE27" s="83">
        <f t="shared" si="12"/>
        <v>9601.0998900000013</v>
      </c>
      <c r="AF27" s="83">
        <f>85367-85319.4</f>
        <v>47.600000000005821</v>
      </c>
      <c r="AG27" s="83">
        <f>44600.1-44566.4</f>
        <v>33.69999999999709</v>
      </c>
      <c r="AH27" s="83">
        <f>26942-26925.1</f>
        <v>16.900000000001455</v>
      </c>
      <c r="AI27" s="87">
        <f t="shared" si="13"/>
        <v>42988.3</v>
      </c>
      <c r="AJ27" s="87">
        <v>43025</v>
      </c>
      <c r="AK27" s="48">
        <f t="shared" si="8"/>
        <v>36.69999999999709</v>
      </c>
      <c r="AL27" s="89">
        <f t="shared" si="4"/>
        <v>10435.466494502172</v>
      </c>
      <c r="AM27" s="83">
        <f t="shared" si="14"/>
        <v>3466.6097921411492</v>
      </c>
      <c r="AN27" s="71">
        <v>58</v>
      </c>
      <c r="AO27" s="78">
        <f t="shared" si="5"/>
        <v>20383.931490000043</v>
      </c>
    </row>
    <row r="28" spans="1:41" x14ac:dyDescent="0.25">
      <c r="A28" s="79">
        <v>44339</v>
      </c>
      <c r="B28" s="86">
        <f>11886426-11881524</f>
        <v>4902</v>
      </c>
      <c r="C28" s="86">
        <f>7553874-7550493</f>
        <v>3381</v>
      </c>
      <c r="D28" s="86">
        <f>1481768-1480847</f>
        <v>921</v>
      </c>
      <c r="E28" s="86">
        <f>11318760-11313974</f>
        <v>4786</v>
      </c>
      <c r="F28" s="86">
        <f>11194589-11189018</f>
        <v>5571</v>
      </c>
      <c r="G28" s="86">
        <f>8151627-8148474</f>
        <v>3153</v>
      </c>
      <c r="H28" s="86">
        <f>8239975-8233591</f>
        <v>6384</v>
      </c>
      <c r="I28" s="86">
        <f>5085396-5082865</f>
        <v>2531</v>
      </c>
      <c r="J28" s="86">
        <f>11207898-11200621</f>
        <v>7277</v>
      </c>
      <c r="K28" s="86">
        <f t="shared" si="15"/>
        <v>29098</v>
      </c>
      <c r="L28" s="14">
        <f t="shared" si="9"/>
        <v>5819.6</v>
      </c>
      <c r="M28" s="83">
        <f>73080.92-72977.8</f>
        <v>103.11999999999534</v>
      </c>
      <c r="N28" s="83">
        <f>4212.672-4210.398</f>
        <v>2.2739999999994325</v>
      </c>
      <c r="O28" s="83">
        <f>9413.52-9411.403</f>
        <v>2.1170000000001892</v>
      </c>
      <c r="P28" s="82">
        <f>87523.108-87460.1</f>
        <v>63.007999999987078</v>
      </c>
      <c r="Q28" s="83">
        <f>23530.477-23519.752</f>
        <v>10.724999999998545</v>
      </c>
      <c r="R28" s="83">
        <f t="shared" si="0"/>
        <v>67.3989999999867</v>
      </c>
      <c r="S28" s="83">
        <f t="shared" si="1"/>
        <v>528.4081599998957</v>
      </c>
      <c r="T28" s="83">
        <f t="shared" si="2"/>
        <v>113.84499999999389</v>
      </c>
      <c r="U28" s="83">
        <f t="shared" si="16"/>
        <v>892.54479999995203</v>
      </c>
      <c r="V28" s="83">
        <f>344276.7-344024</f>
        <v>252.70000000001164</v>
      </c>
      <c r="W28" s="83">
        <f t="shared" si="6"/>
        <v>0</v>
      </c>
      <c r="X28" s="86" t="s">
        <v>63</v>
      </c>
      <c r="Y28" s="87">
        <v>836078</v>
      </c>
      <c r="Z28" s="5">
        <f t="shared" si="10"/>
        <v>537</v>
      </c>
      <c r="AA28" s="14">
        <f t="shared" si="7"/>
        <v>3474.39</v>
      </c>
      <c r="AB28" s="87">
        <v>4546268</v>
      </c>
      <c r="AC28" s="86">
        <f t="shared" si="11"/>
        <v>4521079.0999999996</v>
      </c>
      <c r="AD28" s="5">
        <f t="shared" si="3"/>
        <v>25188.900000000373</v>
      </c>
      <c r="AE28" s="83">
        <f t="shared" si="12"/>
        <v>8367.6266355001244</v>
      </c>
      <c r="AF28" s="83">
        <f>85407.6-85367</f>
        <v>40.600000000005821</v>
      </c>
      <c r="AG28" s="83">
        <f>44629.4-44600.1</f>
        <v>29.30000000000291</v>
      </c>
      <c r="AH28" s="83">
        <f>26958-26942</f>
        <v>16</v>
      </c>
      <c r="AI28" s="87">
        <f t="shared" si="13"/>
        <v>43025</v>
      </c>
      <c r="AJ28" s="87">
        <v>43057.5</v>
      </c>
      <c r="AK28" s="48">
        <f t="shared" si="8"/>
        <v>32.5</v>
      </c>
      <c r="AL28" s="89">
        <f t="shared" si="4"/>
        <v>9241.2169229249994</v>
      </c>
      <c r="AM28" s="83">
        <f t="shared" si="14"/>
        <v>3069.8860557110702</v>
      </c>
      <c r="AN28" s="71">
        <v>61</v>
      </c>
      <c r="AO28" s="78">
        <f t="shared" si="5"/>
        <v>18554.161435500078</v>
      </c>
    </row>
    <row r="29" spans="1:41" x14ac:dyDescent="0.25">
      <c r="A29" s="79">
        <v>44340</v>
      </c>
      <c r="B29" s="86">
        <f>11891314-11886426</f>
        <v>4888</v>
      </c>
      <c r="C29" s="86">
        <f>7557202-7553874</f>
        <v>3328</v>
      </c>
      <c r="D29" s="86">
        <f>1482640-1481768</f>
        <v>872</v>
      </c>
      <c r="E29" s="86">
        <f>11323344-11318760</f>
        <v>4584</v>
      </c>
      <c r="F29" s="86">
        <f>11200002-11194589</f>
        <v>5413</v>
      </c>
      <c r="G29" s="86">
        <f>8154714-8151627</f>
        <v>3087</v>
      </c>
      <c r="H29" s="86">
        <f>8246582-8239975</f>
        <v>6607</v>
      </c>
      <c r="I29" s="86">
        <f>5087850-5085396</f>
        <v>2454</v>
      </c>
      <c r="J29" s="86">
        <f>11214801-11207898</f>
        <v>6903</v>
      </c>
      <c r="K29" s="86">
        <f t="shared" si="15"/>
        <v>28779</v>
      </c>
      <c r="L29" s="14">
        <f t="shared" si="9"/>
        <v>5755.8</v>
      </c>
      <c r="M29" s="83">
        <f>73204.308-73080.92</f>
        <v>123.38800000000629</v>
      </c>
      <c r="N29" s="83">
        <f>4214.261-4212.672</f>
        <v>1.5890000000008513</v>
      </c>
      <c r="O29" s="83">
        <f>9415.393-9413.52</f>
        <v>1.8729999999995925</v>
      </c>
      <c r="P29" s="82">
        <f>87592.798-87523.108</f>
        <v>69.690000000002328</v>
      </c>
      <c r="Q29" s="83">
        <f>23540.734-23530.477</f>
        <v>10.257000000001426</v>
      </c>
      <c r="R29" s="83">
        <f t="shared" si="0"/>
        <v>73.152000000002772</v>
      </c>
      <c r="S29" s="83">
        <f t="shared" si="1"/>
        <v>573.51168000002167</v>
      </c>
      <c r="T29" s="83">
        <f t="shared" si="2"/>
        <v>133.64500000000771</v>
      </c>
      <c r="U29" s="83">
        <f t="shared" si="16"/>
        <v>1047.7768000000603</v>
      </c>
      <c r="V29" s="83">
        <f>344529.9-344276.7</f>
        <v>253.20000000001164</v>
      </c>
      <c r="W29" s="83">
        <f t="shared" si="6"/>
        <v>0</v>
      </c>
      <c r="X29" s="86" t="s">
        <v>63</v>
      </c>
      <c r="Y29" s="87">
        <v>836618</v>
      </c>
      <c r="Z29" s="5">
        <f t="shared" si="10"/>
        <v>540</v>
      </c>
      <c r="AA29" s="14">
        <f t="shared" si="7"/>
        <v>3493.7999999999997</v>
      </c>
      <c r="AB29" s="87">
        <v>4573725</v>
      </c>
      <c r="AC29" s="86">
        <f t="shared" si="11"/>
        <v>4546268</v>
      </c>
      <c r="AD29" s="5">
        <f t="shared" si="3"/>
        <v>27457</v>
      </c>
      <c r="AE29" s="83">
        <f t="shared" si="12"/>
        <v>9121.0781150000003</v>
      </c>
      <c r="AF29" s="83">
        <f>85452-85407.6</f>
        <v>44.399999999994179</v>
      </c>
      <c r="AG29" s="83">
        <f>44660.6-44629.4</f>
        <v>31.19999999999709</v>
      </c>
      <c r="AH29" s="83">
        <f>26974.7-26958</f>
        <v>16.700000000000728</v>
      </c>
      <c r="AI29" s="87">
        <f t="shared" si="13"/>
        <v>43057.5</v>
      </c>
      <c r="AJ29" s="87">
        <v>43088.4</v>
      </c>
      <c r="AK29" s="48">
        <f t="shared" si="8"/>
        <v>30.900000000001455</v>
      </c>
      <c r="AL29" s="89">
        <f t="shared" si="4"/>
        <v>8786.2647051814129</v>
      </c>
      <c r="AM29" s="83">
        <f t="shared" si="14"/>
        <v>2918.7532037377396</v>
      </c>
      <c r="AN29" s="71">
        <v>75</v>
      </c>
      <c r="AO29" s="78">
        <f t="shared" si="5"/>
        <v>19418.45491500006</v>
      </c>
    </row>
    <row r="30" spans="1:41" x14ac:dyDescent="0.25">
      <c r="A30" s="79">
        <v>44341</v>
      </c>
      <c r="B30" s="86">
        <f>11896403-11891314</f>
        <v>5089</v>
      </c>
      <c r="C30" s="86">
        <f>7560699-7557202</f>
        <v>3497</v>
      </c>
      <c r="D30" s="86">
        <f>1483559-1482640</f>
        <v>919</v>
      </c>
      <c r="E30" s="86">
        <f>11328294-11323344</f>
        <v>4950</v>
      </c>
      <c r="F30" s="86">
        <f>11205799-11200002</f>
        <v>5797</v>
      </c>
      <c r="G30" s="86">
        <f>8157831-8154714</f>
        <v>3117</v>
      </c>
      <c r="H30" s="86">
        <f>8251906-8246582</f>
        <v>5324</v>
      </c>
      <c r="I30" s="86">
        <f>5090396-5087850</f>
        <v>2546</v>
      </c>
      <c r="J30" s="86">
        <f>11222169-11214801</f>
        <v>7368</v>
      </c>
      <c r="K30" s="86">
        <f t="shared" si="15"/>
        <v>28693</v>
      </c>
      <c r="L30" s="14">
        <f t="shared" si="9"/>
        <v>5738.6</v>
      </c>
      <c r="M30" s="83">
        <f>73341.95-73204.31</f>
        <v>137.63999999999942</v>
      </c>
      <c r="N30" s="83">
        <f>4215.663-4214.26</f>
        <v>1.4029999999993379</v>
      </c>
      <c r="O30" s="83">
        <f>9416.754-9415.39</f>
        <v>1.364000000001397</v>
      </c>
      <c r="P30" s="82">
        <f>87667.249-87592.8</f>
        <v>74.448999999993248</v>
      </c>
      <c r="Q30" s="83">
        <f>23554.413-23540.73</f>
        <v>13.683000000000902</v>
      </c>
      <c r="R30" s="83">
        <f t="shared" si="0"/>
        <v>77.215999999993983</v>
      </c>
      <c r="S30" s="83">
        <f t="shared" si="1"/>
        <v>605.37343999995278</v>
      </c>
      <c r="T30" s="83">
        <f t="shared" si="2"/>
        <v>151.32300000000032</v>
      </c>
      <c r="U30" s="83">
        <f t="shared" si="16"/>
        <v>1186.3723200000024</v>
      </c>
      <c r="V30" s="83">
        <f>344814.9-344529.9</f>
        <v>285</v>
      </c>
      <c r="W30" s="83">
        <f t="shared" si="6"/>
        <v>0</v>
      </c>
      <c r="X30" s="86" t="s">
        <v>63</v>
      </c>
      <c r="Y30" s="87">
        <v>837223</v>
      </c>
      <c r="Z30" s="5">
        <f t="shared" si="10"/>
        <v>605</v>
      </c>
      <c r="AA30" s="14">
        <f t="shared" si="7"/>
        <v>3914.35</v>
      </c>
      <c r="AB30" s="87">
        <v>4597497</v>
      </c>
      <c r="AC30" s="86">
        <f t="shared" si="11"/>
        <v>4573725</v>
      </c>
      <c r="AD30" s="5">
        <f t="shared" si="3"/>
        <v>23772</v>
      </c>
      <c r="AE30" s="83">
        <f t="shared" si="12"/>
        <v>7896.9395400000003</v>
      </c>
      <c r="AF30" s="83">
        <f>85490.7-85452</f>
        <v>38.69999999999709</v>
      </c>
      <c r="AG30" s="83">
        <f>44684.2-44660.6</f>
        <v>23.599999999998545</v>
      </c>
      <c r="AH30" s="83">
        <f>26991.6-26974.7</f>
        <v>16.899999999997817</v>
      </c>
      <c r="AI30" s="87">
        <f t="shared" si="13"/>
        <v>43088.4</v>
      </c>
      <c r="AJ30" s="87">
        <v>43117.9</v>
      </c>
      <c r="AK30" s="48">
        <f t="shared" si="8"/>
        <v>29.5</v>
      </c>
      <c r="AL30" s="89">
        <f t="shared" si="4"/>
        <v>8388.1815146549998</v>
      </c>
      <c r="AM30" s="83">
        <f t="shared" si="14"/>
        <v>2786.5119582608177</v>
      </c>
      <c r="AN30" s="71">
        <v>97</v>
      </c>
      <c r="AO30" s="78">
        <f t="shared" si="5"/>
        <v>18736.261860000002</v>
      </c>
    </row>
    <row r="31" spans="1:41" x14ac:dyDescent="0.25">
      <c r="A31" s="79">
        <v>44342</v>
      </c>
      <c r="B31" s="86">
        <f>11901453-11896403</f>
        <v>5050</v>
      </c>
      <c r="C31" s="86">
        <f>7564815-7560699</f>
        <v>4116</v>
      </c>
      <c r="D31" s="86">
        <f>1484494-1483559</f>
        <v>935</v>
      </c>
      <c r="E31" s="86">
        <f>11333215-11328294</f>
        <v>4921</v>
      </c>
      <c r="F31" s="86">
        <f>11211630-11205799</f>
        <v>5831</v>
      </c>
      <c r="G31" s="86">
        <f>8161024-8157831</f>
        <v>3193</v>
      </c>
      <c r="H31" s="86">
        <f>8257357-8251906</f>
        <v>5451</v>
      </c>
      <c r="I31" s="86">
        <f>5092912-5090396</f>
        <v>2516</v>
      </c>
      <c r="J31" s="86">
        <f>11229456-11222169</f>
        <v>7287</v>
      </c>
      <c r="K31" s="86">
        <f t="shared" si="15"/>
        <v>29497</v>
      </c>
      <c r="L31" s="14">
        <f t="shared" si="9"/>
        <v>5899.4000000000005</v>
      </c>
      <c r="M31" s="83">
        <f>73483.257-73341.95</f>
        <v>141.3070000000007</v>
      </c>
      <c r="N31" s="83">
        <f>4216.854-4215.66</f>
        <v>1.1940000000004147</v>
      </c>
      <c r="O31" s="83">
        <f>9417.931-9416.75</f>
        <v>1.1810000000004948</v>
      </c>
      <c r="P31" s="82">
        <f>87744.593-87667.249</f>
        <v>77.343999999997322</v>
      </c>
      <c r="Q31" s="83">
        <f>23565.445-23554.41</f>
        <v>11.034999999999854</v>
      </c>
      <c r="R31" s="83">
        <f t="shared" si="0"/>
        <v>79.718999999998232</v>
      </c>
      <c r="S31" s="83">
        <f t="shared" si="1"/>
        <v>624.99695999998607</v>
      </c>
      <c r="T31" s="83">
        <f t="shared" si="2"/>
        <v>152.34200000000055</v>
      </c>
      <c r="U31" s="83">
        <f t="shared" si="16"/>
        <v>1194.3612800000044</v>
      </c>
      <c r="V31" s="83">
        <f>345077.5-344814.9</f>
        <v>262.59999999997672</v>
      </c>
      <c r="W31" s="83">
        <f t="shared" si="6"/>
        <v>0</v>
      </c>
      <c r="X31" s="86" t="s">
        <v>63</v>
      </c>
      <c r="Y31" s="87">
        <v>837806</v>
      </c>
      <c r="Z31" s="5">
        <f t="shared" si="10"/>
        <v>583</v>
      </c>
      <c r="AA31" s="14">
        <f t="shared" si="7"/>
        <v>3772.0099999999998</v>
      </c>
      <c r="AB31" s="87">
        <v>4622767</v>
      </c>
      <c r="AC31" s="86">
        <f t="shared" si="11"/>
        <v>4597497</v>
      </c>
      <c r="AD31" s="5">
        <f t="shared" si="3"/>
        <v>25270</v>
      </c>
      <c r="AE31" s="83">
        <f t="shared" si="12"/>
        <v>8394.5676500000009</v>
      </c>
      <c r="AF31" s="83">
        <f>85531.2-85490.7</f>
        <v>40.5</v>
      </c>
      <c r="AG31" s="83">
        <f>44710.4-44684.2</f>
        <v>26.200000000004366</v>
      </c>
      <c r="AH31" s="83">
        <f>27008.1-26991.6</f>
        <v>16.5</v>
      </c>
      <c r="AI31" s="87">
        <f t="shared" si="13"/>
        <v>43117.9</v>
      </c>
      <c r="AJ31" s="87">
        <v>43146.6</v>
      </c>
      <c r="AK31" s="48">
        <f t="shared" si="8"/>
        <v>28.69999999999709</v>
      </c>
      <c r="AL31" s="89">
        <f t="shared" si="4"/>
        <v>8160.7054057821715</v>
      </c>
      <c r="AM31" s="83">
        <f t="shared" si="14"/>
        <v>2710.9455322738086</v>
      </c>
      <c r="AN31" s="71">
        <v>102</v>
      </c>
      <c r="AO31" s="78">
        <f t="shared" si="5"/>
        <v>19260.338930000005</v>
      </c>
    </row>
    <row r="32" spans="1:41" x14ac:dyDescent="0.25">
      <c r="A32" s="79">
        <v>44343</v>
      </c>
      <c r="B32" s="86">
        <f>11906795-11901453</f>
        <v>5342</v>
      </c>
      <c r="C32" s="86">
        <f>7568120-7564815</f>
        <v>3305</v>
      </c>
      <c r="D32" s="86">
        <f>1485472-1484494</f>
        <v>978</v>
      </c>
      <c r="E32" s="86">
        <f>11338259-11333215</f>
        <v>5044</v>
      </c>
      <c r="F32" s="86">
        <f>11217460-11211630</f>
        <v>5830</v>
      </c>
      <c r="G32" s="86">
        <f>8164454-8161024</f>
        <v>3430</v>
      </c>
      <c r="H32" s="86">
        <f>8263841-8257357</f>
        <v>6484</v>
      </c>
      <c r="I32" s="86">
        <f>5095427-5092912</f>
        <v>2515</v>
      </c>
      <c r="J32" s="86">
        <f>11236982-11229456</f>
        <v>7526</v>
      </c>
      <c r="K32" s="86">
        <f t="shared" si="15"/>
        <v>30413</v>
      </c>
      <c r="L32" s="14">
        <f t="shared" si="9"/>
        <v>6082.6</v>
      </c>
      <c r="M32" s="83">
        <f>73614.426-73483.26</f>
        <v>131.16600000001199</v>
      </c>
      <c r="N32" s="83">
        <f>4219.074-4216.85</f>
        <v>2.2239999999992506</v>
      </c>
      <c r="O32" s="83">
        <f>9419.857-9417.93</f>
        <v>1.9269999999996799</v>
      </c>
      <c r="P32" s="82">
        <f>87825.943-87744.59</f>
        <v>81.353000000002794</v>
      </c>
      <c r="Q32" s="83">
        <f>23580.455-23565.45</f>
        <v>15.005000000001019</v>
      </c>
      <c r="R32" s="83">
        <f t="shared" si="0"/>
        <v>85.504000000001724</v>
      </c>
      <c r="S32" s="83">
        <f t="shared" si="1"/>
        <v>670.35136000001353</v>
      </c>
      <c r="T32" s="83">
        <f t="shared" si="2"/>
        <v>146.17100000001301</v>
      </c>
      <c r="U32" s="83">
        <f t="shared" si="16"/>
        <v>1145.9806400001021</v>
      </c>
      <c r="V32" s="83">
        <f>345358.4-345077.5</f>
        <v>280.90000000002328</v>
      </c>
      <c r="W32" s="83">
        <f t="shared" si="6"/>
        <v>0</v>
      </c>
      <c r="X32" s="86" t="s">
        <v>63</v>
      </c>
      <c r="Y32" s="87">
        <v>838394</v>
      </c>
      <c r="Z32" s="5">
        <f t="shared" si="10"/>
        <v>588</v>
      </c>
      <c r="AA32" s="14">
        <f t="shared" si="7"/>
        <v>3804.3599999999997</v>
      </c>
      <c r="AB32" s="87">
        <v>4649683</v>
      </c>
      <c r="AC32" s="86">
        <f t="shared" si="11"/>
        <v>4622767</v>
      </c>
      <c r="AD32" s="5">
        <f t="shared" si="3"/>
        <v>26916</v>
      </c>
      <c r="AE32" s="83">
        <f t="shared" si="12"/>
        <v>8941.3606200000013</v>
      </c>
      <c r="AF32" s="83">
        <f>85576-85531.2</f>
        <v>44.80000000000291</v>
      </c>
      <c r="AG32" s="83">
        <f>44739.3-44710.4</f>
        <v>28.900000000001455</v>
      </c>
      <c r="AH32" s="83">
        <f>27024.3-27008.1</f>
        <v>16.200000000000728</v>
      </c>
      <c r="AI32" s="87">
        <f t="shared" si="13"/>
        <v>43146.6</v>
      </c>
      <c r="AJ32" s="87">
        <v>43176.800000000003</v>
      </c>
      <c r="AK32" s="48">
        <f t="shared" si="8"/>
        <v>30.200000000004366</v>
      </c>
      <c r="AL32" s="89">
        <f t="shared" si="4"/>
        <v>8587.2231099192413</v>
      </c>
      <c r="AM32" s="83">
        <f t="shared" si="14"/>
        <v>2852.6325809996224</v>
      </c>
      <c r="AN32" s="71">
        <v>135</v>
      </c>
      <c r="AO32" s="78">
        <f t="shared" si="5"/>
        <v>19974.301260000102</v>
      </c>
    </row>
    <row r="33" spans="1:41" x14ac:dyDescent="0.25">
      <c r="A33" s="79">
        <v>44344</v>
      </c>
      <c r="B33" s="86">
        <f>11912961-11906795</f>
        <v>6166</v>
      </c>
      <c r="C33" s="86">
        <f>7571599-7568120</f>
        <v>3479</v>
      </c>
      <c r="D33" s="86">
        <f>1486404-1485472</f>
        <v>932</v>
      </c>
      <c r="E33" s="86">
        <f>11343395-11338259</f>
        <v>5136</v>
      </c>
      <c r="F33" s="86">
        <f>11223420-11217460</f>
        <v>5960</v>
      </c>
      <c r="G33" s="86">
        <f>8168133-8164454</f>
        <v>3679</v>
      </c>
      <c r="H33" s="86">
        <f>8272410-8263841</f>
        <v>8569</v>
      </c>
      <c r="I33" s="86">
        <f>5097896-5095427</f>
        <v>2469</v>
      </c>
      <c r="J33" s="86">
        <f>11244530-11236982</f>
        <v>7548</v>
      </c>
      <c r="K33" s="86">
        <f t="shared" si="15"/>
        <v>33921</v>
      </c>
      <c r="L33" s="14">
        <f t="shared" si="9"/>
        <v>6784.2000000000007</v>
      </c>
      <c r="M33" s="83">
        <f>73758.515-73614.426</f>
        <v>144.08899999999267</v>
      </c>
      <c r="N33" s="83">
        <f>4219.926-4219.074</f>
        <v>0.85200000000077125</v>
      </c>
      <c r="O33" s="83">
        <f>9420.602-9419.857</f>
        <v>0.74500000000080036</v>
      </c>
      <c r="P33" s="82">
        <f>87913.266-87825.943</f>
        <v>87.323000000003958</v>
      </c>
      <c r="Q33" s="83">
        <f>23589.594-23580.455</f>
        <v>9.1389999999992142</v>
      </c>
      <c r="R33" s="83">
        <f t="shared" si="0"/>
        <v>88.92000000000553</v>
      </c>
      <c r="S33" s="83">
        <f t="shared" si="1"/>
        <v>697.13280000004329</v>
      </c>
      <c r="T33" s="83">
        <f t="shared" si="2"/>
        <v>153.22799999999188</v>
      </c>
      <c r="U33" s="83">
        <f t="shared" si="16"/>
        <v>1201.3075199999364</v>
      </c>
      <c r="V33" s="83">
        <f>345647.9-345358.4</f>
        <v>289.5</v>
      </c>
      <c r="W33" s="83">
        <f t="shared" si="6"/>
        <v>0</v>
      </c>
      <c r="X33" s="86" t="s">
        <v>63</v>
      </c>
      <c r="Y33" s="87">
        <v>839049</v>
      </c>
      <c r="Z33" s="5">
        <f t="shared" si="10"/>
        <v>655</v>
      </c>
      <c r="AA33" s="14">
        <f t="shared" si="7"/>
        <v>4237.8499999999995</v>
      </c>
      <c r="AB33" s="87">
        <v>4681640</v>
      </c>
      <c r="AC33" s="86">
        <f t="shared" si="11"/>
        <v>4649683</v>
      </c>
      <c r="AD33" s="5">
        <f t="shared" si="3"/>
        <v>31957</v>
      </c>
      <c r="AE33" s="83">
        <f t="shared" si="12"/>
        <v>10615.955615000001</v>
      </c>
      <c r="AF33" s="83">
        <f>85630.1-85576</f>
        <v>54.100000000005821</v>
      </c>
      <c r="AG33" s="83">
        <f>44778.9-44739.3</f>
        <v>39.599999999998545</v>
      </c>
      <c r="AH33" s="83">
        <f>27039.7-27024.3</f>
        <v>15.400000000001455</v>
      </c>
      <c r="AI33" s="87">
        <f t="shared" si="13"/>
        <v>43176.800000000003</v>
      </c>
      <c r="AJ33" s="87">
        <v>43208.3</v>
      </c>
      <c r="AK33" s="48">
        <f t="shared" si="8"/>
        <v>31.5</v>
      </c>
      <c r="AL33" s="89">
        <f t="shared" si="4"/>
        <v>8956.8717868349995</v>
      </c>
      <c r="AM33" s="83">
        <f t="shared" si="14"/>
        <v>2975.4280232276528</v>
      </c>
      <c r="AN33" s="71">
        <v>115</v>
      </c>
      <c r="AO33" s="78">
        <f t="shared" si="5"/>
        <v>22839.313134999938</v>
      </c>
    </row>
    <row r="34" spans="1:41" x14ac:dyDescent="0.25">
      <c r="A34" s="79">
        <v>44345</v>
      </c>
      <c r="B34" s="86">
        <f>11918520-11912961</f>
        <v>5559</v>
      </c>
      <c r="C34" s="86">
        <f>7575082-7571599</f>
        <v>3483</v>
      </c>
      <c r="D34" s="86">
        <f>1487417-1486404</f>
        <v>1013</v>
      </c>
      <c r="E34" s="86">
        <f>11348476-11343395</f>
        <v>5081</v>
      </c>
      <c r="F34" s="86">
        <f>11229130-11223420</f>
        <v>5710</v>
      </c>
      <c r="G34" s="86">
        <f>8171630-8168133</f>
        <v>3497</v>
      </c>
      <c r="H34" s="86">
        <f>8280794-8272410</f>
        <v>8384</v>
      </c>
      <c r="I34" s="86">
        <f>5100337-5097896</f>
        <v>2441</v>
      </c>
      <c r="J34" s="86">
        <f>11252067-11244530</f>
        <v>7537</v>
      </c>
      <c r="K34" s="86">
        <f t="shared" si="15"/>
        <v>32727</v>
      </c>
      <c r="L34" s="14">
        <f t="shared" si="9"/>
        <v>6545.4000000000005</v>
      </c>
      <c r="M34" s="83">
        <f>73902.58-73758.515</f>
        <v>144.06500000000233</v>
      </c>
      <c r="N34" s="83">
        <f>4220.871-4219.926</f>
        <v>0.94499999999970896</v>
      </c>
      <c r="O34" s="83">
        <f>9421.667-9420.602</f>
        <v>1.0649999999986903</v>
      </c>
      <c r="P34" s="82">
        <f>87993.604-87913.266</f>
        <v>80.338000000003376</v>
      </c>
      <c r="Q34" s="83">
        <f>23604.374-23589.594</f>
        <v>14.779999999998836</v>
      </c>
      <c r="R34" s="83">
        <f t="shared" si="0"/>
        <v>82.348000000001775</v>
      </c>
      <c r="S34" s="83">
        <f t="shared" si="1"/>
        <v>645.60832000001392</v>
      </c>
      <c r="T34" s="83">
        <f t="shared" si="2"/>
        <v>158.84500000000116</v>
      </c>
      <c r="U34" s="83">
        <f t="shared" si="16"/>
        <v>1245.3448000000092</v>
      </c>
      <c r="V34" s="83">
        <f>345937-345647.9</f>
        <v>289.09999999997672</v>
      </c>
      <c r="W34" s="83">
        <f t="shared" si="6"/>
        <v>0</v>
      </c>
      <c r="X34" s="86" t="s">
        <v>63</v>
      </c>
      <c r="Y34" s="87">
        <v>839638</v>
      </c>
      <c r="Z34" s="5">
        <f t="shared" si="10"/>
        <v>589</v>
      </c>
      <c r="AA34" s="14">
        <f t="shared" si="7"/>
        <v>3810.83</v>
      </c>
      <c r="AB34" s="87">
        <v>4712350</v>
      </c>
      <c r="AC34" s="86">
        <f t="shared" si="11"/>
        <v>4681640</v>
      </c>
      <c r="AD34" s="5">
        <f t="shared" si="3"/>
        <v>30710</v>
      </c>
      <c r="AE34" s="83">
        <f t="shared" si="12"/>
        <v>10201.70845</v>
      </c>
      <c r="AF34" s="83">
        <f>85679.9-85630.7</f>
        <v>49.19999999999709</v>
      </c>
      <c r="AG34" s="83">
        <f>44817.4-44778.9</f>
        <v>38.5</v>
      </c>
      <c r="AH34" s="83">
        <f>27054.3-27039.7</f>
        <v>14.599999999998545</v>
      </c>
      <c r="AI34" s="87">
        <f t="shared" si="13"/>
        <v>43208.3</v>
      </c>
      <c r="AJ34" s="87">
        <v>43240.7</v>
      </c>
      <c r="AK34" s="48">
        <f t="shared" si="8"/>
        <v>32.399999999994179</v>
      </c>
      <c r="AL34" s="89">
        <f t="shared" si="4"/>
        <v>9212.7824093143445</v>
      </c>
      <c r="AM34" s="83">
        <f t="shared" si="14"/>
        <v>3060.4402524621787</v>
      </c>
      <c r="AN34" s="71">
        <v>62</v>
      </c>
      <c r="AO34" s="78">
        <f t="shared" si="5"/>
        <v>21803.283250000008</v>
      </c>
    </row>
    <row r="35" spans="1:41" x14ac:dyDescent="0.25">
      <c r="A35" s="79">
        <v>44346</v>
      </c>
      <c r="B35" s="86">
        <f>11923482-11918520</f>
        <v>4962</v>
      </c>
      <c r="C35" s="86">
        <f>7578010-7575082</f>
        <v>2928</v>
      </c>
      <c r="D35" s="86">
        <f>1488304-1487417</f>
        <v>887</v>
      </c>
      <c r="E35" s="86">
        <f>11353299-11348476</f>
        <v>4823</v>
      </c>
      <c r="F35" s="86">
        <f>11234822-11229130</f>
        <v>5692</v>
      </c>
      <c r="G35" s="86">
        <f>8175003-8171630</f>
        <v>3373</v>
      </c>
      <c r="H35" s="86">
        <f>8288481-8280794</f>
        <v>7687</v>
      </c>
      <c r="I35" s="86">
        <f>5102791-5100337</f>
        <v>2454</v>
      </c>
      <c r="J35" s="86">
        <f>11259359-11252067</f>
        <v>7292</v>
      </c>
      <c r="K35" s="86">
        <f t="shared" ref="K35:K36" si="17">SUM(B35:H35)</f>
        <v>30352</v>
      </c>
      <c r="L35" s="14">
        <f t="shared" ref="L35:L36" si="18">K35*0.2</f>
        <v>6070.4000000000005</v>
      </c>
      <c r="M35" s="83">
        <f>74026.263-73902.58</f>
        <v>123.68300000000454</v>
      </c>
      <c r="N35" s="83">
        <f>4221.83-4220.871</f>
        <v>0.95899999999983265</v>
      </c>
      <c r="O35" s="83">
        <f>9422.497-9421.667</f>
        <v>0.82999999999992724</v>
      </c>
      <c r="P35" s="82">
        <f>88063.101-87993.604</f>
        <v>69.496999999988475</v>
      </c>
      <c r="Q35" s="83">
        <f>23615.755-23604.374</f>
        <v>11.381000000001222</v>
      </c>
      <c r="R35" s="83">
        <f t="shared" ref="R35:R36" si="19">N35+O35+P35</f>
        <v>71.285999999988235</v>
      </c>
      <c r="S35" s="83">
        <f t="shared" ref="S35:S36" si="20">(N35+O35+P35)*7.84</f>
        <v>558.88223999990771</v>
      </c>
      <c r="T35" s="83">
        <f t="shared" ref="T35:T36" si="21">M35+Q35</f>
        <v>135.06400000000576</v>
      </c>
      <c r="U35" s="83">
        <f t="shared" ref="U35:U36" si="22">T35*7.84</f>
        <v>1058.9017600000452</v>
      </c>
      <c r="V35" s="83">
        <f>346190.4-345937</f>
        <v>253.40000000002328</v>
      </c>
      <c r="W35" s="83">
        <f t="shared" si="6"/>
        <v>0</v>
      </c>
      <c r="X35" s="86" t="s">
        <v>102</v>
      </c>
      <c r="Y35" s="87">
        <v>840175</v>
      </c>
      <c r="Z35" s="5">
        <f t="shared" ref="Z35:Z36" si="23">IF((Y35-Y34&lt;0), "0",Y35-Y34)</f>
        <v>537</v>
      </c>
      <c r="AA35" s="14">
        <f t="shared" ref="AA35:AA36" si="24">Z35*6.47</f>
        <v>3474.39</v>
      </c>
      <c r="AB35" s="87">
        <v>4739249</v>
      </c>
      <c r="AC35" s="86">
        <f t="shared" si="11"/>
        <v>4712350</v>
      </c>
      <c r="AD35" s="5">
        <f t="shared" si="3"/>
        <v>26899</v>
      </c>
      <c r="AE35" s="83">
        <f t="shared" si="12"/>
        <v>8935.7133050000011</v>
      </c>
      <c r="AF35" s="83">
        <f>85720.8-85679.9</f>
        <v>40.900000000008731</v>
      </c>
      <c r="AG35" s="83">
        <f>44851.5-44817.4</f>
        <v>34.099999999998545</v>
      </c>
      <c r="AH35" s="83">
        <f>27068.8-27054.3</f>
        <v>14.5</v>
      </c>
      <c r="AI35" s="87">
        <f t="shared" si="13"/>
        <v>43240.7</v>
      </c>
      <c r="AJ35" s="87">
        <v>43270.9</v>
      </c>
      <c r="AK35" s="48">
        <f t="shared" ref="AK35:AK36" si="25">IF((AJ35-AI35)&lt;0, "0",AJ35-AI35)</f>
        <v>30.200000000004366</v>
      </c>
      <c r="AL35" s="89">
        <f t="shared" ref="AL35:AL36" si="26">AK35*(284.34513609)</f>
        <v>8587.2231099192413</v>
      </c>
      <c r="AM35" s="83">
        <f t="shared" si="14"/>
        <v>2852.6325809996224</v>
      </c>
      <c r="AN35" s="141">
        <v>113</v>
      </c>
      <c r="AO35" s="78">
        <f t="shared" ref="AO35" si="27">L35+U35+AA35+AE35</f>
        <v>19539.405065000046</v>
      </c>
    </row>
    <row r="36" spans="1:41" ht="21.75" thickBot="1" x14ac:dyDescent="0.3">
      <c r="A36" s="147">
        <v>44347</v>
      </c>
      <c r="B36" s="91">
        <f>11928831-11923482</f>
        <v>5349</v>
      </c>
      <c r="C36" s="91">
        <f>7581358-7578010</f>
        <v>3348</v>
      </c>
      <c r="D36" s="91">
        <f>1489257-1488304</f>
        <v>953</v>
      </c>
      <c r="E36" s="91">
        <f>11358150-11353299</f>
        <v>4851</v>
      </c>
      <c r="F36" s="91">
        <f>11240587-11234822</f>
        <v>5765</v>
      </c>
      <c r="G36" s="91">
        <f>8178432-8175003</f>
        <v>3429</v>
      </c>
      <c r="H36" s="91">
        <f>8295533-8288481</f>
        <v>7052</v>
      </c>
      <c r="I36" s="91">
        <f>5105246-5102791</f>
        <v>2455</v>
      </c>
      <c r="J36" s="91">
        <f>11266675-11259359</f>
        <v>7316</v>
      </c>
      <c r="K36" s="91">
        <f t="shared" si="17"/>
        <v>30747</v>
      </c>
      <c r="L36" s="92">
        <f t="shared" si="18"/>
        <v>6149.4000000000005</v>
      </c>
      <c r="M36" s="93">
        <f>74162.34-74026.263</f>
        <v>136.07699999999022</v>
      </c>
      <c r="N36" s="93">
        <f>4222.961-4221.83</f>
        <v>1.1310000000003129</v>
      </c>
      <c r="O36" s="93">
        <f>9423.385-9422.497</f>
        <v>0.88800000000082946</v>
      </c>
      <c r="P36" s="94">
        <f>88140.148-88063.101</f>
        <v>77.047000000005937</v>
      </c>
      <c r="Q36" s="93">
        <f>23626.412-23615.755</f>
        <v>10.656999999999243</v>
      </c>
      <c r="R36" s="93">
        <f t="shared" si="19"/>
        <v>79.06600000000708</v>
      </c>
      <c r="S36" s="93">
        <f t="shared" si="20"/>
        <v>619.87744000005546</v>
      </c>
      <c r="T36" s="93">
        <f t="shared" si="21"/>
        <v>146.73399999998946</v>
      </c>
      <c r="U36" s="93">
        <f t="shared" si="22"/>
        <v>1150.3945599999174</v>
      </c>
      <c r="V36" s="93">
        <f>346460.3-346190.4</f>
        <v>269.89999999996508</v>
      </c>
      <c r="W36" s="93">
        <f t="shared" si="6"/>
        <v>0</v>
      </c>
      <c r="X36" s="91" t="s">
        <v>103</v>
      </c>
      <c r="Y36" s="96">
        <v>840739</v>
      </c>
      <c r="Z36" s="95">
        <f t="shared" si="23"/>
        <v>564</v>
      </c>
      <c r="AA36" s="92">
        <f t="shared" si="24"/>
        <v>3649.08</v>
      </c>
      <c r="AB36" s="96">
        <v>4767003</v>
      </c>
      <c r="AC36" s="86">
        <f t="shared" si="11"/>
        <v>4739249</v>
      </c>
      <c r="AD36" s="95">
        <f t="shared" si="3"/>
        <v>27754</v>
      </c>
      <c r="AE36" s="83">
        <f t="shared" si="12"/>
        <v>9219.7400300000008</v>
      </c>
      <c r="AF36" s="93">
        <f>85765.5-85720.8</f>
        <v>44.69999999999709</v>
      </c>
      <c r="AG36" s="93">
        <f>44883.7-44851.5</f>
        <v>32.19999999999709</v>
      </c>
      <c r="AH36" s="93">
        <f>27083.8-27068.8</f>
        <v>15</v>
      </c>
      <c r="AI36" s="87">
        <f t="shared" si="13"/>
        <v>43270.9</v>
      </c>
      <c r="AJ36" s="96">
        <v>43301.4</v>
      </c>
      <c r="AK36" s="97">
        <f t="shared" si="25"/>
        <v>30.5</v>
      </c>
      <c r="AL36" s="98">
        <f t="shared" si="26"/>
        <v>8672.5266507449996</v>
      </c>
      <c r="AM36" s="83">
        <f t="shared" si="14"/>
        <v>2880.9699907442355</v>
      </c>
      <c r="AN36" s="117">
        <v>113</v>
      </c>
      <c r="AO36" s="99">
        <f>L36+U36+AA36+AE36</f>
        <v>20168.614589999917</v>
      </c>
    </row>
    <row r="37" spans="1:41" x14ac:dyDescent="0.25">
      <c r="A37" s="76"/>
      <c r="D37" s="6">
        <f>SUM(D6:D36)</f>
        <v>27773</v>
      </c>
      <c r="E37" s="6" t="s">
        <v>93</v>
      </c>
      <c r="G37" s="6">
        <f t="shared" ref="G37:L37" si="28">SUM(G6:G36)</f>
        <v>93581</v>
      </c>
      <c r="H37" s="6">
        <f t="shared" si="28"/>
        <v>209197</v>
      </c>
      <c r="I37" s="6">
        <f t="shared" si="28"/>
        <v>75821</v>
      </c>
      <c r="J37" s="6">
        <f t="shared" si="28"/>
        <v>217965</v>
      </c>
      <c r="K37" s="6">
        <f t="shared" si="28"/>
        <v>943926</v>
      </c>
      <c r="L37" s="15">
        <f t="shared" si="28"/>
        <v>188785.19999999998</v>
      </c>
      <c r="R37" s="16">
        <f>SUM(R6:R36)</f>
        <v>2247.1069999999927</v>
      </c>
      <c r="T37" s="16">
        <f>SUM(T6:T36)</f>
        <v>4360.0246999999872</v>
      </c>
      <c r="U37" s="16">
        <f t="shared" si="16"/>
        <v>34182.5936479999</v>
      </c>
      <c r="Z37" s="17">
        <f>SUM(Z6:Z36)</f>
        <v>15387</v>
      </c>
      <c r="AA37" s="17">
        <f>SUM(AA6:AA36)</f>
        <v>99553.890000000014</v>
      </c>
      <c r="AD37" s="17">
        <f>SUM(AD6:AD36)</f>
        <v>785487</v>
      </c>
      <c r="AE37" s="16">
        <f>AD37*0.334569</f>
        <v>262799.600103</v>
      </c>
      <c r="AF37" s="16">
        <f>SUM(AF6:AF36)</f>
        <v>1309.0000000000146</v>
      </c>
      <c r="AG37" s="16">
        <f>SUM(AG6:AG36)</f>
        <v>927.89999999997963</v>
      </c>
      <c r="AH37" s="16">
        <f>SUM(AH6:AH36)</f>
        <v>448.89999999999782</v>
      </c>
      <c r="AK37" s="42">
        <f>SUM(AK6:AK36)</f>
        <v>998.90000000000146</v>
      </c>
      <c r="AL37" s="42">
        <f>SUM(AL6:AL36)</f>
        <v>284032.3564403014</v>
      </c>
      <c r="AM37" s="42">
        <f>SUM(AM6:AM36)</f>
        <v>94354.128647685939</v>
      </c>
      <c r="AN37" s="42">
        <f>SUM(AN6:AN36)</f>
        <v>2102</v>
      </c>
      <c r="AO37" s="42">
        <f>SUM(AO6:AO36)</f>
        <v>583456.53761300002</v>
      </c>
    </row>
    <row r="38" spans="1:41" x14ac:dyDescent="0.25">
      <c r="D38" s="6" t="e">
        <f>#REF!*24</f>
        <v>#REF!</v>
      </c>
      <c r="E38" s="6" t="s">
        <v>1</v>
      </c>
      <c r="R38" s="16">
        <v>7.84</v>
      </c>
      <c r="T38" s="16" t="s">
        <v>99</v>
      </c>
      <c r="U38" s="16">
        <f>U37-R39</f>
        <v>16565.274767999959</v>
      </c>
    </row>
    <row r="39" spans="1:41" x14ac:dyDescent="0.25">
      <c r="D39" s="6" t="e">
        <f>D38*31</f>
        <v>#REF!</v>
      </c>
      <c r="E39" s="6" t="s">
        <v>2</v>
      </c>
      <c r="F39" s="6" t="s">
        <v>94</v>
      </c>
      <c r="G39" s="6" t="e">
        <f>D39*0.2</f>
        <v>#REF!</v>
      </c>
      <c r="R39" s="16">
        <f>R37*R38</f>
        <v>17617.318879999941</v>
      </c>
      <c r="U39" s="16">
        <f>U38/R38</f>
        <v>2112.917699999995</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2021-06-09T06:34:54Z</dcterms:modified>
</cp:coreProperties>
</file>