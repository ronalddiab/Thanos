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8800" windowHeight="12435" firstSheet="2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2" i="1"/>
  <c r="S31"/>
  <c r="S30"/>
  <c r="S29"/>
  <c r="S28"/>
  <c r="S33"/>
  <c r="S34"/>
  <c r="S35"/>
  <c r="S27"/>
  <c r="S26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6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6"/>
  <c r="AD15"/>
  <c r="AD14"/>
  <c r="AD13"/>
  <c r="AD12"/>
  <c r="AD11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5"/>
  <c r="H6"/>
  <c r="H7"/>
  <c r="H8"/>
  <c r="H9"/>
  <c r="H10"/>
  <c r="H11"/>
  <c r="H12"/>
  <c r="H13"/>
  <c r="H14"/>
  <c r="H15"/>
  <c r="H16"/>
  <c r="H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5"/>
  <c r="E6"/>
  <c r="E7"/>
  <c r="E8"/>
  <c r="E9"/>
  <c r="E10"/>
  <c r="E11"/>
  <c r="E12"/>
  <c r="E13"/>
  <c r="E14"/>
  <c r="E15"/>
  <c r="E16"/>
  <c r="E17"/>
  <c r="U38" l="1"/>
  <c r="P37" i="12"/>
  <c r="S37"/>
  <c r="S11"/>
  <c r="S31"/>
  <c r="V37"/>
  <c r="Y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6"/>
  <c r="Y6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6"/>
  <c r="V6" s="1"/>
  <c r="K7"/>
  <c r="M7" s="1"/>
  <c r="K8"/>
  <c r="M8" s="1"/>
  <c r="K9"/>
  <c r="M9" s="1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6"/>
  <c r="M6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6"/>
  <c r="P6" s="1"/>
  <c r="Q7"/>
  <c r="S7" s="1"/>
  <c r="Q8"/>
  <c r="S8" s="1"/>
  <c r="Q9"/>
  <c r="S9" s="1"/>
  <c r="Q10"/>
  <c r="S10" s="1"/>
  <c r="Q1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Q32"/>
  <c r="S32" s="1"/>
  <c r="Q33"/>
  <c r="S33" s="1"/>
  <c r="Q34"/>
  <c r="S34" s="1"/>
  <c r="Q35"/>
  <c r="S35" s="1"/>
  <c r="Q36"/>
  <c r="S36" s="1"/>
  <c r="Q6"/>
  <c r="S6" s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S20" i="1"/>
  <c r="AC15" i="12" s="1"/>
  <c r="S19" i="1"/>
  <c r="AC14" i="12" s="1"/>
  <c r="S17" i="1"/>
  <c r="AC12" i="12" s="1"/>
  <c r="B43" i="1"/>
  <c r="S16"/>
  <c r="S18"/>
  <c r="AC13" i="12" s="1"/>
  <c r="S21" i="1"/>
  <c r="AC16" i="12" s="1"/>
  <c r="S22" i="1"/>
  <c r="AC17" i="12" s="1"/>
  <c r="S23" i="1"/>
  <c r="AC18" i="12" s="1"/>
  <c r="S24" i="1"/>
  <c r="S25"/>
  <c r="AC20" i="12" s="1"/>
  <c r="AC21"/>
  <c r="AC11"/>
  <c r="S15" i="1"/>
  <c r="AC19" i="12"/>
  <c r="S14" i="1"/>
  <c r="AC9" i="12" s="1"/>
  <c r="AC10"/>
  <c r="AC22"/>
  <c r="AC23"/>
  <c r="S13" i="1"/>
  <c r="AC8" i="12" s="1"/>
  <c r="C9" i="1"/>
  <c r="C11" s="1"/>
  <c r="Z6" i="12" l="1"/>
  <c r="B5" i="11" s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J57" i="3"/>
  <c r="J58"/>
  <c r="J59"/>
  <c r="J6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S40" i="1"/>
  <c r="AC35" i="12" s="1"/>
  <c r="S41" i="1"/>
  <c r="S42"/>
  <c r="S43"/>
  <c r="S44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39" s="1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39" s="1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I45" i="1"/>
  <c r="G54" i="22"/>
  <c r="I54" s="1"/>
  <c r="B54"/>
  <c r="D54" s="1"/>
  <c r="F54" s="1"/>
  <c r="G53"/>
  <c r="I53" s="1"/>
  <c r="B53"/>
  <c r="D53" s="1"/>
  <c r="F53" s="1"/>
  <c r="G52"/>
  <c r="I52" s="1"/>
  <c r="K52" s="1"/>
  <c r="B52"/>
  <c r="D52" s="1"/>
  <c r="F52" s="1"/>
  <c r="G51"/>
  <c r="I51" s="1"/>
  <c r="B51"/>
  <c r="D51" s="1"/>
  <c r="F51" s="1"/>
  <c r="I50"/>
  <c r="K50" s="1"/>
  <c r="G50"/>
  <c r="B50"/>
  <c r="D50" s="1"/>
  <c r="G49"/>
  <c r="I49" s="1"/>
  <c r="D49"/>
  <c r="F49" s="1"/>
  <c r="B49"/>
  <c r="G48"/>
  <c r="I48" s="1"/>
  <c r="K48" s="1"/>
  <c r="B48"/>
  <c r="D48" s="1"/>
  <c r="F48" s="1"/>
  <c r="G47"/>
  <c r="I47" s="1"/>
  <c r="B47"/>
  <c r="D47" s="1"/>
  <c r="F47" s="1"/>
  <c r="G46"/>
  <c r="I46" s="1"/>
  <c r="K46" s="1"/>
  <c r="B46"/>
  <c r="D46" s="1"/>
  <c r="G45"/>
  <c r="I45" s="1"/>
  <c r="B45"/>
  <c r="D45" s="1"/>
  <c r="F45" s="1"/>
  <c r="I44"/>
  <c r="K44" s="1"/>
  <c r="G44"/>
  <c r="B44"/>
  <c r="D44" s="1"/>
  <c r="F44" s="1"/>
  <c r="G43"/>
  <c r="I43" s="1"/>
  <c r="D43"/>
  <c r="F43" s="1"/>
  <c r="B43"/>
  <c r="G42"/>
  <c r="I42" s="1"/>
  <c r="K42" s="1"/>
  <c r="B42"/>
  <c r="D42" s="1"/>
  <c r="G41"/>
  <c r="I41" s="1"/>
  <c r="B41"/>
  <c r="D41" s="1"/>
  <c r="F41" s="1"/>
  <c r="I40"/>
  <c r="K40" s="1"/>
  <c r="G40"/>
  <c r="B40"/>
  <c r="D40" s="1"/>
  <c r="F40" s="1"/>
  <c r="G39"/>
  <c r="I39" s="1"/>
  <c r="D39"/>
  <c r="F39" s="1"/>
  <c r="B39"/>
  <c r="G38"/>
  <c r="I38" s="1"/>
  <c r="K38" s="1"/>
  <c r="B38"/>
  <c r="D38" s="1"/>
  <c r="G37"/>
  <c r="I37" s="1"/>
  <c r="B37"/>
  <c r="D37" s="1"/>
  <c r="F37" s="1"/>
  <c r="I36"/>
  <c r="K36" s="1"/>
  <c r="G36"/>
  <c r="B36"/>
  <c r="D36" s="1"/>
  <c r="F36" s="1"/>
  <c r="G35"/>
  <c r="I35" s="1"/>
  <c r="D35"/>
  <c r="F35" s="1"/>
  <c r="B35"/>
  <c r="G34"/>
  <c r="I34" s="1"/>
  <c r="K34" s="1"/>
  <c r="B34"/>
  <c r="D34" s="1"/>
  <c r="G33"/>
  <c r="I33" s="1"/>
  <c r="B33"/>
  <c r="D33" s="1"/>
  <c r="F33" s="1"/>
  <c r="I32"/>
  <c r="K32" s="1"/>
  <c r="G32"/>
  <c r="B32"/>
  <c r="D32" s="1"/>
  <c r="F32" s="1"/>
  <c r="G31"/>
  <c r="I31" s="1"/>
  <c r="D31"/>
  <c r="F31" s="1"/>
  <c r="B31"/>
  <c r="G30"/>
  <c r="I30" s="1"/>
  <c r="K30" s="1"/>
  <c r="B30"/>
  <c r="D30" s="1"/>
  <c r="G29"/>
  <c r="I29" s="1"/>
  <c r="B29"/>
  <c r="D29" s="1"/>
  <c r="F29" s="1"/>
  <c r="I28"/>
  <c r="K28" s="1"/>
  <c r="G28"/>
  <c r="B28"/>
  <c r="D28" s="1"/>
  <c r="F28" s="1"/>
  <c r="G27"/>
  <c r="I27" s="1"/>
  <c r="D27"/>
  <c r="F27" s="1"/>
  <c r="B27"/>
  <c r="G26"/>
  <c r="I26" s="1"/>
  <c r="K26" s="1"/>
  <c r="B26"/>
  <c r="D26" s="1"/>
  <c r="G25"/>
  <c r="I25" s="1"/>
  <c r="B25"/>
  <c r="D25" s="1"/>
  <c r="F25" s="1"/>
  <c r="I24"/>
  <c r="K24" s="1"/>
  <c r="G24"/>
  <c r="B24"/>
  <c r="D24" s="1"/>
  <c r="F24" s="1"/>
  <c r="G23"/>
  <c r="I23" s="1"/>
  <c r="D23"/>
  <c r="F23" s="1"/>
  <c r="B23"/>
  <c r="G22"/>
  <c r="I22" s="1"/>
  <c r="K22" s="1"/>
  <c r="B22"/>
  <c r="D22" s="1"/>
  <c r="G21"/>
  <c r="I21" s="1"/>
  <c r="B21"/>
  <c r="D21" s="1"/>
  <c r="F21" s="1"/>
  <c r="I20"/>
  <c r="K20" s="1"/>
  <c r="G20"/>
  <c r="B20"/>
  <c r="D20" s="1"/>
  <c r="F20" s="1"/>
  <c r="I19"/>
  <c r="K19" s="1"/>
  <c r="D19"/>
  <c r="F19" s="1"/>
  <c r="B19"/>
  <c r="G18"/>
  <c r="I18" s="1"/>
  <c r="K18" s="1"/>
  <c r="D18"/>
  <c r="F18" s="1"/>
  <c r="B18"/>
  <c r="G17"/>
  <c r="I17" s="1"/>
  <c r="K17" s="1"/>
  <c r="B17"/>
  <c r="D17" s="1"/>
  <c r="F17" s="1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G12"/>
  <c r="I12" s="1"/>
  <c r="K12" s="1"/>
  <c r="B12"/>
  <c r="D12" s="1"/>
  <c r="F12" s="1"/>
  <c r="G11"/>
  <c r="I11" s="1"/>
  <c r="K11" s="1"/>
  <c r="D11"/>
  <c r="F11" s="1"/>
  <c r="B11"/>
  <c r="G10"/>
  <c r="I10" s="1"/>
  <c r="K10" s="1"/>
  <c r="B10"/>
  <c r="D10" s="1"/>
  <c r="F10" s="1"/>
  <c r="G9"/>
  <c r="I9" s="1"/>
  <c r="K9" s="1"/>
  <c r="E9"/>
  <c r="B9"/>
  <c r="D9" s="1"/>
  <c r="G8"/>
  <c r="I8" s="1"/>
  <c r="K8" s="1"/>
  <c r="E8"/>
  <c r="D8"/>
  <c r="B8"/>
  <c r="G7"/>
  <c r="I7" s="1"/>
  <c r="K7" s="1"/>
  <c r="B7"/>
  <c r="D7" s="1"/>
  <c r="I6"/>
  <c r="K6" s="1"/>
  <c r="G6"/>
  <c r="B6"/>
  <c r="D6" s="1"/>
  <c r="G5"/>
  <c r="I5" s="1"/>
  <c r="K5" s="1"/>
  <c r="B5"/>
  <c r="D5" s="1"/>
  <c r="G4"/>
  <c r="I4" s="1"/>
  <c r="K4" s="1"/>
  <c r="D4"/>
  <c r="B4"/>
  <c r="G3"/>
  <c r="I3" s="1"/>
  <c r="K3" s="1"/>
  <c r="D3"/>
  <c r="E77" i="20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B5"/>
  <c r="D5" s="1"/>
  <c r="G4"/>
  <c r="D4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D28"/>
  <c r="C28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I26" s="1"/>
  <c r="Q26" s="1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I19" s="1"/>
  <c r="Q19" s="1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D13"/>
  <c r="C13"/>
  <c r="A13"/>
  <c r="O12"/>
  <c r="N12"/>
  <c r="M12"/>
  <c r="L12"/>
  <c r="K12"/>
  <c r="J12"/>
  <c r="P12" s="1"/>
  <c r="H12"/>
  <c r="G12"/>
  <c r="F12"/>
  <c r="D12"/>
  <c r="C12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H41"/>
  <c r="I41" s="1"/>
  <c r="G41"/>
  <c r="L36" i="11" s="1"/>
  <c r="A41" i="15"/>
  <c r="H40"/>
  <c r="I40" s="1"/>
  <c r="G40"/>
  <c r="H39"/>
  <c r="I39" s="1"/>
  <c r="G39"/>
  <c r="L34" i="11" s="1"/>
  <c r="H38" i="15"/>
  <c r="I38" s="1"/>
  <c r="G38"/>
  <c r="H37"/>
  <c r="I37" s="1"/>
  <c r="G37"/>
  <c r="H36"/>
  <c r="I36" s="1"/>
  <c r="J36" s="1"/>
  <c r="G36"/>
  <c r="I35"/>
  <c r="H35"/>
  <c r="G35"/>
  <c r="H34"/>
  <c r="I34" s="1"/>
  <c r="G34"/>
  <c r="H33"/>
  <c r="I33" s="1"/>
  <c r="G33"/>
  <c r="H32"/>
  <c r="I32" s="1"/>
  <c r="G32"/>
  <c r="H31"/>
  <c r="I31" s="1"/>
  <c r="G31"/>
  <c r="H30"/>
  <c r="I30" s="1"/>
  <c r="G30"/>
  <c r="H29"/>
  <c r="I29" s="1"/>
  <c r="G29"/>
  <c r="H28"/>
  <c r="I28" s="1"/>
  <c r="G28"/>
  <c r="H27"/>
  <c r="I27" s="1"/>
  <c r="G27"/>
  <c r="H26"/>
  <c r="I26" s="1"/>
  <c r="G26"/>
  <c r="H25"/>
  <c r="I25" s="1"/>
  <c r="G25"/>
  <c r="H24"/>
  <c r="I24" s="1"/>
  <c r="G24"/>
  <c r="H23"/>
  <c r="I23" s="1"/>
  <c r="G23"/>
  <c r="H22"/>
  <c r="I22" s="1"/>
  <c r="G22"/>
  <c r="H21"/>
  <c r="I21" s="1"/>
  <c r="G21"/>
  <c r="M17" i="14" s="1"/>
  <c r="G13" i="26" s="1"/>
  <c r="H20" i="15"/>
  <c r="I20" s="1"/>
  <c r="G20"/>
  <c r="M16" i="14" s="1"/>
  <c r="G12" i="26" s="1"/>
  <c r="I19" i="15"/>
  <c r="H19"/>
  <c r="G19"/>
  <c r="M15" i="14" s="1"/>
  <c r="G11" i="26" s="1"/>
  <c r="H18" i="15"/>
  <c r="I18" s="1"/>
  <c r="G18"/>
  <c r="M14" i="14" s="1"/>
  <c r="G10" i="26" s="1"/>
  <c r="H17" i="15"/>
  <c r="I17" s="1"/>
  <c r="G17"/>
  <c r="M13" i="14" s="1"/>
  <c r="G9" i="26" s="1"/>
  <c r="H16" i="15"/>
  <c r="I16" s="1"/>
  <c r="G16"/>
  <c r="M12" i="14" s="1"/>
  <c r="G8" i="26" s="1"/>
  <c r="H15" i="15"/>
  <c r="I15" s="1"/>
  <c r="G15"/>
  <c r="M11" i="14" s="1"/>
  <c r="G7" i="26" s="1"/>
  <c r="H14" i="15"/>
  <c r="I14" s="1"/>
  <c r="G14"/>
  <c r="M10" i="14" s="1"/>
  <c r="G6" i="26" s="1"/>
  <c r="H13" i="15"/>
  <c r="I13" s="1"/>
  <c r="G13"/>
  <c r="M9" i="14" s="1"/>
  <c r="G5" i="26" s="1"/>
  <c r="H12" i="15"/>
  <c r="I12" s="1"/>
  <c r="G12"/>
  <c r="M8" i="14" s="1"/>
  <c r="G4" i="26" s="1"/>
  <c r="H11" i="15"/>
  <c r="I11" s="1"/>
  <c r="G11"/>
  <c r="M7" i="14" s="1"/>
  <c r="G3" i="26" s="1"/>
  <c r="H10" i="15"/>
  <c r="I10" s="1"/>
  <c r="G10"/>
  <c r="M6" i="14" s="1"/>
  <c r="H3" i="15"/>
  <c r="B33" i="7"/>
  <c r="E32"/>
  <c r="D32"/>
  <c r="C32"/>
  <c r="B32"/>
  <c r="A32"/>
  <c r="E31"/>
  <c r="D31"/>
  <c r="C31"/>
  <c r="B31"/>
  <c r="A31"/>
  <c r="E30"/>
  <c r="D30"/>
  <c r="C30"/>
  <c r="B30"/>
  <c r="A30"/>
  <c r="E29"/>
  <c r="D29"/>
  <c r="C29"/>
  <c r="B29"/>
  <c r="A29"/>
  <c r="E28"/>
  <c r="D28"/>
  <c r="C28"/>
  <c r="B28"/>
  <c r="A28"/>
  <c r="E27"/>
  <c r="D27"/>
  <c r="C27"/>
  <c r="B27"/>
  <c r="A27"/>
  <c r="E26"/>
  <c r="D26"/>
  <c r="C26"/>
  <c r="B26"/>
  <c r="A26"/>
  <c r="E25"/>
  <c r="D25"/>
  <c r="C25"/>
  <c r="B25"/>
  <c r="A25"/>
  <c r="E24"/>
  <c r="D24"/>
  <c r="C24"/>
  <c r="B24"/>
  <c r="A24"/>
  <c r="E23"/>
  <c r="D23"/>
  <c r="C23"/>
  <c r="B23"/>
  <c r="A23"/>
  <c r="E22"/>
  <c r="D22"/>
  <c r="C22"/>
  <c r="B22"/>
  <c r="A22"/>
  <c r="E21"/>
  <c r="D21"/>
  <c r="C21"/>
  <c r="B21"/>
  <c r="A21"/>
  <c r="E20"/>
  <c r="D20"/>
  <c r="C20"/>
  <c r="B20"/>
  <c r="A20"/>
  <c r="E19"/>
  <c r="D19"/>
  <c r="C19"/>
  <c r="B19"/>
  <c r="A19"/>
  <c r="E18"/>
  <c r="D18"/>
  <c r="C18"/>
  <c r="B18"/>
  <c r="A18"/>
  <c r="E17"/>
  <c r="D17"/>
  <c r="C17"/>
  <c r="B17"/>
  <c r="A17"/>
  <c r="E16"/>
  <c r="D16"/>
  <c r="C16"/>
  <c r="B16"/>
  <c r="A16"/>
  <c r="E15"/>
  <c r="D15"/>
  <c r="C15"/>
  <c r="B15"/>
  <c r="A15"/>
  <c r="E14"/>
  <c r="D14"/>
  <c r="C14"/>
  <c r="B14"/>
  <c r="A14"/>
  <c r="E13"/>
  <c r="D13"/>
  <c r="C13"/>
  <c r="B13"/>
  <c r="A13"/>
  <c r="E12"/>
  <c r="D12"/>
  <c r="C12"/>
  <c r="B12"/>
  <c r="A12"/>
  <c r="E11"/>
  <c r="D11"/>
  <c r="C11"/>
  <c r="B11"/>
  <c r="A11"/>
  <c r="E10"/>
  <c r="D10"/>
  <c r="C10"/>
  <c r="B10"/>
  <c r="A10"/>
  <c r="E9"/>
  <c r="D9"/>
  <c r="C9"/>
  <c r="B9"/>
  <c r="A9"/>
  <c r="E8"/>
  <c r="D8"/>
  <c r="C8"/>
  <c r="B8"/>
  <c r="A8"/>
  <c r="E7"/>
  <c r="D7"/>
  <c r="C7"/>
  <c r="B7"/>
  <c r="A7"/>
  <c r="E6"/>
  <c r="D6"/>
  <c r="C6"/>
  <c r="B6"/>
  <c r="A6"/>
  <c r="E5"/>
  <c r="D5"/>
  <c r="C5"/>
  <c r="B5"/>
  <c r="A5"/>
  <c r="E4"/>
  <c r="D4"/>
  <c r="C4"/>
  <c r="B4"/>
  <c r="A4"/>
  <c r="E3"/>
  <c r="D3"/>
  <c r="C3"/>
  <c r="B3"/>
  <c r="A3"/>
  <c r="E2"/>
  <c r="D2"/>
  <c r="C2"/>
  <c r="B2"/>
  <c r="A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S34" s="1"/>
  <c r="H34"/>
  <c r="M34" s="1"/>
  <c r="T34" s="1"/>
  <c r="Y34" s="1"/>
  <c r="AB33"/>
  <c r="AA34" s="1"/>
  <c r="V33"/>
  <c r="X33" s="1"/>
  <c r="J34" i="23" s="1"/>
  <c r="P33" i="18"/>
  <c r="O34" s="1"/>
  <c r="D33"/>
  <c r="F33" s="1"/>
  <c r="S33" s="1"/>
  <c r="H33"/>
  <c r="M33" s="1"/>
  <c r="T33" s="1"/>
  <c r="Y33" s="1"/>
  <c r="AB32"/>
  <c r="AA33" s="1"/>
  <c r="V32"/>
  <c r="X32" s="1"/>
  <c r="J33" i="23" s="1"/>
  <c r="P32" i="18"/>
  <c r="D32"/>
  <c r="F32" s="1"/>
  <c r="S32" s="1"/>
  <c r="H32"/>
  <c r="M32" s="1"/>
  <c r="T32" s="1"/>
  <c r="Y32" s="1"/>
  <c r="AB31"/>
  <c r="V31"/>
  <c r="X31" s="1"/>
  <c r="J32" i="23" s="1"/>
  <c r="P31" i="18"/>
  <c r="O32" s="1"/>
  <c r="D31"/>
  <c r="F31" s="1"/>
  <c r="H31"/>
  <c r="M31" s="1"/>
  <c r="T31" s="1"/>
  <c r="Y31" s="1"/>
  <c r="AB30"/>
  <c r="AA31" s="1"/>
  <c r="V30"/>
  <c r="X30" s="1"/>
  <c r="J31" i="23" s="1"/>
  <c r="P30" i="18"/>
  <c r="O31" s="1"/>
  <c r="D30"/>
  <c r="F30" s="1"/>
  <c r="S30" s="1"/>
  <c r="H30"/>
  <c r="M30" s="1"/>
  <c r="T30" s="1"/>
  <c r="Y30" s="1"/>
  <c r="AB29"/>
  <c r="V29"/>
  <c r="X29" s="1"/>
  <c r="J30" i="23" s="1"/>
  <c r="P29" i="18"/>
  <c r="O30" s="1"/>
  <c r="D29"/>
  <c r="F29" s="1"/>
  <c r="H29"/>
  <c r="M29" s="1"/>
  <c r="T29" s="1"/>
  <c r="Y29" s="1"/>
  <c r="AB28"/>
  <c r="AA29" s="1"/>
  <c r="V28"/>
  <c r="X28" s="1"/>
  <c r="J29" i="23" s="1"/>
  <c r="P28" i="18"/>
  <c r="O29" s="1"/>
  <c r="D28"/>
  <c r="F28" s="1"/>
  <c r="S28" s="1"/>
  <c r="H28"/>
  <c r="M28" s="1"/>
  <c r="T28" s="1"/>
  <c r="Y28" s="1"/>
  <c r="AB27"/>
  <c r="V27"/>
  <c r="X27" s="1"/>
  <c r="J28" i="23" s="1"/>
  <c r="P27" i="18"/>
  <c r="O28" s="1"/>
  <c r="D27"/>
  <c r="F27" s="1"/>
  <c r="H27"/>
  <c r="M27" s="1"/>
  <c r="T27" s="1"/>
  <c r="Y27" s="1"/>
  <c r="AB26"/>
  <c r="AA27" s="1"/>
  <c r="V26"/>
  <c r="X26" s="1"/>
  <c r="J27" i="23" s="1"/>
  <c r="P26" i="18"/>
  <c r="O27" s="1"/>
  <c r="D26"/>
  <c r="F26" s="1"/>
  <c r="S26" s="1"/>
  <c r="H26"/>
  <c r="M26" s="1"/>
  <c r="T26" s="1"/>
  <c r="Y26" s="1"/>
  <c r="AB25"/>
  <c r="AA26" s="1"/>
  <c r="V25"/>
  <c r="X25" s="1"/>
  <c r="J26" i="23" s="1"/>
  <c r="P25" i="18"/>
  <c r="O26" s="1"/>
  <c r="D25"/>
  <c r="F25" s="1"/>
  <c r="S25" s="1"/>
  <c r="H25"/>
  <c r="M25" s="1"/>
  <c r="T25" s="1"/>
  <c r="Y25" s="1"/>
  <c r="AB24"/>
  <c r="AA25" s="1"/>
  <c r="Y24"/>
  <c r="V24"/>
  <c r="X24" s="1"/>
  <c r="J25" i="23" s="1"/>
  <c r="P24" i="18"/>
  <c r="O25" s="1"/>
  <c r="K24"/>
  <c r="J25" s="1"/>
  <c r="D24"/>
  <c r="F24" s="1"/>
  <c r="S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S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H22"/>
  <c r="M22" s="1"/>
  <c r="T22" s="1"/>
  <c r="Y22" s="1"/>
  <c r="AB21"/>
  <c r="AA22" s="1"/>
  <c r="V21"/>
  <c r="X21" s="1"/>
  <c r="J22" i="23" s="1"/>
  <c r="P21" i="18"/>
  <c r="O22" s="1"/>
  <c r="K21"/>
  <c r="J22" s="1"/>
  <c r="D21"/>
  <c r="F21" s="1"/>
  <c r="S21" s="1"/>
  <c r="H21"/>
  <c r="M21" s="1"/>
  <c r="T21" s="1"/>
  <c r="Y21" s="1"/>
  <c r="AB20"/>
  <c r="AA21" s="1"/>
  <c r="V20"/>
  <c r="X20" s="1"/>
  <c r="J21" i="23" s="1"/>
  <c r="P20" i="18"/>
  <c r="O21" s="1"/>
  <c r="K20"/>
  <c r="J21" s="1"/>
  <c r="D20"/>
  <c r="F20" s="1"/>
  <c r="H20"/>
  <c r="M20" s="1"/>
  <c r="T20" s="1"/>
  <c r="Y20" s="1"/>
  <c r="AB19"/>
  <c r="AA20" s="1"/>
  <c r="V19"/>
  <c r="X19" s="1"/>
  <c r="J20" i="23" s="1"/>
  <c r="P19" i="18"/>
  <c r="O20" s="1"/>
  <c r="K19"/>
  <c r="J20" s="1"/>
  <c r="H19"/>
  <c r="M19" s="1"/>
  <c r="T19" s="1"/>
  <c r="Y19" s="1"/>
  <c r="D19"/>
  <c r="F19" s="1"/>
  <c r="S19" s="1"/>
  <c r="AB18"/>
  <c r="V18"/>
  <c r="X18" s="1"/>
  <c r="J19" i="23" s="1"/>
  <c r="P18" i="18"/>
  <c r="O19" s="1"/>
  <c r="K18"/>
  <c r="J19" s="1"/>
  <c r="D18"/>
  <c r="F18" s="1"/>
  <c r="H18"/>
  <c r="M18" s="1"/>
  <c r="T18" s="1"/>
  <c r="Y18" s="1"/>
  <c r="AB17"/>
  <c r="AA18" s="1"/>
  <c r="X17"/>
  <c r="J18" i="23" s="1"/>
  <c r="V17" i="18"/>
  <c r="P17"/>
  <c r="O18" s="1"/>
  <c r="K17"/>
  <c r="J18" s="1"/>
  <c r="D17"/>
  <c r="F17" s="1"/>
  <c r="S17" s="1"/>
  <c r="H17"/>
  <c r="M17" s="1"/>
  <c r="T17" s="1"/>
  <c r="Y17" s="1"/>
  <c r="AB16"/>
  <c r="AA17" s="1"/>
  <c r="V16"/>
  <c r="X16" s="1"/>
  <c r="J17" i="23" s="1"/>
  <c r="P16" i="18"/>
  <c r="O17" s="1"/>
  <c r="K16"/>
  <c r="J17" s="1"/>
  <c r="D16"/>
  <c r="F16" s="1"/>
  <c r="H16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S15" s="1"/>
  <c r="H15"/>
  <c r="M15" s="1"/>
  <c r="T15" s="1"/>
  <c r="Y15" s="1"/>
  <c r="AB14"/>
  <c r="AA15" s="1"/>
  <c r="V14"/>
  <c r="X14" s="1"/>
  <c r="J15" i="23" s="1"/>
  <c r="P14" i="18"/>
  <c r="O15" s="1"/>
  <c r="K14"/>
  <c r="J15" s="1"/>
  <c r="D14"/>
  <c r="F14" s="1"/>
  <c r="I15" i="23" s="1"/>
  <c r="H14" i="18"/>
  <c r="M14" s="1"/>
  <c r="T14" s="1"/>
  <c r="Y14" s="1"/>
  <c r="AB13"/>
  <c r="AA14" s="1"/>
  <c r="V13"/>
  <c r="X13" s="1"/>
  <c r="J14" i="23" s="1"/>
  <c r="P13" i="18"/>
  <c r="O14" s="1"/>
  <c r="Q14" s="1"/>
  <c r="R14" s="1"/>
  <c r="K13"/>
  <c r="J14" s="1"/>
  <c r="D13"/>
  <c r="F13" s="1"/>
  <c r="S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S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S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S10" s="1"/>
  <c r="H10"/>
  <c r="M10" s="1"/>
  <c r="T10" s="1"/>
  <c r="Y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S8" s="1"/>
  <c r="H8"/>
  <c r="M8" s="1"/>
  <c r="T8" s="1"/>
  <c r="Y8" s="1"/>
  <c r="AB7"/>
  <c r="V7"/>
  <c r="X7" s="1"/>
  <c r="J8" i="23" s="1"/>
  <c r="P7" i="18"/>
  <c r="O8" s="1"/>
  <c r="K7"/>
  <c r="J8" s="1"/>
  <c r="D7"/>
  <c r="F7" s="1"/>
  <c r="S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S6" s="1"/>
  <c r="H6"/>
  <c r="M6" s="1"/>
  <c r="T6" s="1"/>
  <c r="Y6" s="1"/>
  <c r="AB5"/>
  <c r="AA6" s="1"/>
  <c r="V5"/>
  <c r="X5" s="1"/>
  <c r="J6" i="23" s="1"/>
  <c r="P5" i="18"/>
  <c r="O6" s="1"/>
  <c r="K5"/>
  <c r="J6" s="1"/>
  <c r="D5"/>
  <c r="F5" s="1"/>
  <c r="H5"/>
  <c r="M5" s="1"/>
  <c r="T5" s="1"/>
  <c r="Y5" s="1"/>
  <c r="AB4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L4" s="1"/>
  <c r="AK37" i="13"/>
  <c r="AE37"/>
  <c r="H37" i="14" s="1"/>
  <c r="AC37" i="13"/>
  <c r="G37" i="14" s="1"/>
  <c r="AE36" i="13"/>
  <c r="H36" i="14" s="1"/>
  <c r="AC36" i="13"/>
  <c r="G36" i="14" s="1"/>
  <c r="Y36" i="13"/>
  <c r="Z36" s="1"/>
  <c r="AA36" s="1"/>
  <c r="U36"/>
  <c r="V36" s="1"/>
  <c r="Q36"/>
  <c r="R36" s="1"/>
  <c r="AE35"/>
  <c r="H35" i="14" s="1"/>
  <c r="AC35" i="13"/>
  <c r="G35" i="14" s="1"/>
  <c r="Y35" i="13"/>
  <c r="Z35" s="1"/>
  <c r="AA35" s="1"/>
  <c r="U35"/>
  <c r="V35" s="1"/>
  <c r="Q35"/>
  <c r="R35" s="1"/>
  <c r="AE34"/>
  <c r="H34" i="14" s="1"/>
  <c r="AC34" i="13"/>
  <c r="G34" i="14" s="1"/>
  <c r="Y34" i="13"/>
  <c r="Z34" s="1"/>
  <c r="AA34" s="1"/>
  <c r="U34"/>
  <c r="V34" s="1"/>
  <c r="Q34"/>
  <c r="R34" s="1"/>
  <c r="AE33"/>
  <c r="H33" i="14" s="1"/>
  <c r="AC33" i="13"/>
  <c r="G33" i="14" s="1"/>
  <c r="Y33" i="13"/>
  <c r="Z33" s="1"/>
  <c r="AA33" s="1"/>
  <c r="U33"/>
  <c r="V33" s="1"/>
  <c r="Q33"/>
  <c r="R33" s="1"/>
  <c r="AE32"/>
  <c r="H32" i="14" s="1"/>
  <c r="AC32" i="13"/>
  <c r="G32" i="14" s="1"/>
  <c r="Y32" i="13"/>
  <c r="Z32" s="1"/>
  <c r="AA32" s="1"/>
  <c r="U32"/>
  <c r="V32" s="1"/>
  <c r="Q32"/>
  <c r="R32" s="1"/>
  <c r="AE31"/>
  <c r="H31" i="14" s="1"/>
  <c r="AC31" i="13"/>
  <c r="G31" i="14" s="1"/>
  <c r="Y31" i="13"/>
  <c r="Z31" s="1"/>
  <c r="AA31" s="1"/>
  <c r="U31"/>
  <c r="V31" s="1"/>
  <c r="Q31"/>
  <c r="R31" s="1"/>
  <c r="AE30"/>
  <c r="H30" i="14" s="1"/>
  <c r="AC30" i="13"/>
  <c r="G30" i="14" s="1"/>
  <c r="Y30" i="13"/>
  <c r="Z30" s="1"/>
  <c r="AA30" s="1"/>
  <c r="U30"/>
  <c r="V30" s="1"/>
  <c r="Q30"/>
  <c r="R30" s="1"/>
  <c r="AE29"/>
  <c r="H29" i="14" s="1"/>
  <c r="AC29" i="13"/>
  <c r="G29" i="14" s="1"/>
  <c r="Y29" i="13"/>
  <c r="Z29" s="1"/>
  <c r="AA29" s="1"/>
  <c r="U29"/>
  <c r="V29" s="1"/>
  <c r="Q29"/>
  <c r="R29" s="1"/>
  <c r="AE28"/>
  <c r="H28" i="14" s="1"/>
  <c r="AC28" i="13"/>
  <c r="G28" i="14" s="1"/>
  <c r="Y28" i="13"/>
  <c r="Z28" s="1"/>
  <c r="AA28" s="1"/>
  <c r="U28"/>
  <c r="V28" s="1"/>
  <c r="Q28"/>
  <c r="R28" s="1"/>
  <c r="AE27"/>
  <c r="H27" i="14" s="1"/>
  <c r="AC27" i="13"/>
  <c r="G27" i="14" s="1"/>
  <c r="Y27" i="13"/>
  <c r="Z27" s="1"/>
  <c r="AA27" s="1"/>
  <c r="U27"/>
  <c r="V27" s="1"/>
  <c r="Q27"/>
  <c r="R27" s="1"/>
  <c r="AE26"/>
  <c r="H26" i="14" s="1"/>
  <c r="AC26" i="13"/>
  <c r="G26" i="14" s="1"/>
  <c r="Y26" i="13"/>
  <c r="Z26" s="1"/>
  <c r="AA26" s="1"/>
  <c r="U26"/>
  <c r="V26" s="1"/>
  <c r="Q26"/>
  <c r="R26" s="1"/>
  <c r="AE25"/>
  <c r="H25" i="14" s="1"/>
  <c r="AC25" i="13"/>
  <c r="G25" i="14" s="1"/>
  <c r="Y25" i="13"/>
  <c r="Z25" s="1"/>
  <c r="AA25" s="1"/>
  <c r="U25"/>
  <c r="V25" s="1"/>
  <c r="Q25"/>
  <c r="R25" s="1"/>
  <c r="AE24"/>
  <c r="H24" i="14" s="1"/>
  <c r="AC24" i="13"/>
  <c r="G24" i="14" s="1"/>
  <c r="Y24" i="13"/>
  <c r="Z24" s="1"/>
  <c r="AA24" s="1"/>
  <c r="U24"/>
  <c r="V24" s="1"/>
  <c r="Q24"/>
  <c r="R24" s="1"/>
  <c r="AE23"/>
  <c r="H23" i="14" s="1"/>
  <c r="AC23" i="13"/>
  <c r="G23" i="14" s="1"/>
  <c r="Y23" i="13"/>
  <c r="Z23" s="1"/>
  <c r="AA23" s="1"/>
  <c r="U23"/>
  <c r="V23" s="1"/>
  <c r="Q23"/>
  <c r="R23" s="1"/>
  <c r="AE22"/>
  <c r="H22" i="14" s="1"/>
  <c r="AC22" i="13"/>
  <c r="G22" i="14" s="1"/>
  <c r="Y22" i="13"/>
  <c r="Z22" s="1"/>
  <c r="AA22" s="1"/>
  <c r="U22"/>
  <c r="V22" s="1"/>
  <c r="Q22"/>
  <c r="R22" s="1"/>
  <c r="AE21"/>
  <c r="H21" i="14" s="1"/>
  <c r="AC21" i="13"/>
  <c r="G21" i="14" s="1"/>
  <c r="Y21" i="13"/>
  <c r="Z21" s="1"/>
  <c r="AA21" s="1"/>
  <c r="U21"/>
  <c r="V21" s="1"/>
  <c r="Q21"/>
  <c r="R21" s="1"/>
  <c r="AE20"/>
  <c r="H20" i="14" s="1"/>
  <c r="AC20" i="13"/>
  <c r="G20" i="14" s="1"/>
  <c r="Y20" i="13"/>
  <c r="Z20" s="1"/>
  <c r="AA20" s="1"/>
  <c r="U20"/>
  <c r="V20" s="1"/>
  <c r="Q20"/>
  <c r="R20" s="1"/>
  <c r="AI19"/>
  <c r="AE19"/>
  <c r="H19" i="14" s="1"/>
  <c r="AC19" i="13"/>
  <c r="G19" i="14" s="1"/>
  <c r="Y19" i="13"/>
  <c r="Z19" s="1"/>
  <c r="AA19" s="1"/>
  <c r="U19"/>
  <c r="V19" s="1"/>
  <c r="R19"/>
  <c r="AE18"/>
  <c r="H18" i="14" s="1"/>
  <c r="AC18" i="13"/>
  <c r="G18" i="14" s="1"/>
  <c r="Y18" i="13"/>
  <c r="Z18" s="1"/>
  <c r="AA18" s="1"/>
  <c r="U18"/>
  <c r="V18" s="1"/>
  <c r="R18"/>
  <c r="AE17"/>
  <c r="H17" i="14" s="1"/>
  <c r="AC17" i="13"/>
  <c r="G17" i="14" s="1"/>
  <c r="Y17" i="13"/>
  <c r="Z17" s="1"/>
  <c r="AA17" s="1"/>
  <c r="U17"/>
  <c r="V17" s="1"/>
  <c r="Q17"/>
  <c r="R17" s="1"/>
  <c r="AI16"/>
  <c r="AE16"/>
  <c r="H16" i="14" s="1"/>
  <c r="AC16" i="13"/>
  <c r="G16" i="14" s="1"/>
  <c r="Y16" i="13"/>
  <c r="Z16" s="1"/>
  <c r="AA16" s="1"/>
  <c r="U16"/>
  <c r="V16" s="1"/>
  <c r="Q16"/>
  <c r="R16" s="1"/>
  <c r="AE15"/>
  <c r="H15" i="14" s="1"/>
  <c r="AC15" i="13"/>
  <c r="G15" i="14" s="1"/>
  <c r="Y15" i="13"/>
  <c r="Z15" s="1"/>
  <c r="AA15" s="1"/>
  <c r="U15"/>
  <c r="V15" s="1"/>
  <c r="Q15"/>
  <c r="R15" s="1"/>
  <c r="AE14"/>
  <c r="H14" i="14" s="1"/>
  <c r="AC14" i="13"/>
  <c r="G14" i="14" s="1"/>
  <c r="Y14" i="13"/>
  <c r="Z14" s="1"/>
  <c r="AA14" s="1"/>
  <c r="U14"/>
  <c r="V14" s="1"/>
  <c r="Q14"/>
  <c r="R14" s="1"/>
  <c r="AE13"/>
  <c r="H13" i="14" s="1"/>
  <c r="AC13" i="13"/>
  <c r="G13" i="14" s="1"/>
  <c r="Y13" i="13"/>
  <c r="Z13" s="1"/>
  <c r="AA13" s="1"/>
  <c r="U13"/>
  <c r="V13" s="1"/>
  <c r="Q13"/>
  <c r="R13" s="1"/>
  <c r="AI13"/>
  <c r="AE12"/>
  <c r="H12" i="14" s="1"/>
  <c r="AC12" i="13"/>
  <c r="G12" i="14" s="1"/>
  <c r="Y12" i="13"/>
  <c r="Z12" s="1"/>
  <c r="AA12" s="1"/>
  <c r="U12"/>
  <c r="V12" s="1"/>
  <c r="Q12"/>
  <c r="R12" s="1"/>
  <c r="AE11"/>
  <c r="H11" i="14" s="1"/>
  <c r="AC11" i="13"/>
  <c r="G11" i="14" s="1"/>
  <c r="Y11" i="13"/>
  <c r="Z11" s="1"/>
  <c r="AA11" s="1"/>
  <c r="U11"/>
  <c r="V11" s="1"/>
  <c r="Q11"/>
  <c r="R11" s="1"/>
  <c r="AE10"/>
  <c r="H10" i="14" s="1"/>
  <c r="AC10" i="13"/>
  <c r="G10" i="14" s="1"/>
  <c r="Y10" i="13"/>
  <c r="Z10" s="1"/>
  <c r="AA10" s="1"/>
  <c r="U10"/>
  <c r="V10" s="1"/>
  <c r="Q10"/>
  <c r="R10" s="1"/>
  <c r="AE9"/>
  <c r="H9" i="14" s="1"/>
  <c r="AC9" i="13"/>
  <c r="G9" i="14" s="1"/>
  <c r="Y9" i="13"/>
  <c r="Z9" s="1"/>
  <c r="AA9" s="1"/>
  <c r="U9"/>
  <c r="V9" s="1"/>
  <c r="Q9"/>
  <c r="R9" s="1"/>
  <c r="AI9"/>
  <c r="AE8"/>
  <c r="H8" i="14" s="1"/>
  <c r="AC8" i="13"/>
  <c r="G8" i="14" s="1"/>
  <c r="Y8" i="13"/>
  <c r="Z8" s="1"/>
  <c r="AA8" s="1"/>
  <c r="U8"/>
  <c r="V8" s="1"/>
  <c r="Q8"/>
  <c r="R8" s="1"/>
  <c r="AE7"/>
  <c r="H7" i="14" s="1"/>
  <c r="AC7" i="13"/>
  <c r="G7" i="14" s="1"/>
  <c r="Y7" i="13"/>
  <c r="Z7" s="1"/>
  <c r="AA7" s="1"/>
  <c r="U7"/>
  <c r="V7" s="1"/>
  <c r="Q7"/>
  <c r="R7" s="1"/>
  <c r="AE6"/>
  <c r="H6" i="14" s="1"/>
  <c r="AC6" i="13"/>
  <c r="G6" i="14" s="1"/>
  <c r="Y6" i="13"/>
  <c r="Z6" s="1"/>
  <c r="AA6" s="1"/>
  <c r="U6"/>
  <c r="Q6"/>
  <c r="R6" s="1"/>
  <c r="AI4"/>
  <c r="F3"/>
  <c r="E6" s="1"/>
  <c r="Q37" i="14"/>
  <c r="S37" s="1"/>
  <c r="A37"/>
  <c r="Q36"/>
  <c r="S36" s="1"/>
  <c r="P36"/>
  <c r="Q35"/>
  <c r="S35" s="1"/>
  <c r="P35"/>
  <c r="Q34"/>
  <c r="P34"/>
  <c r="T33"/>
  <c r="Q33"/>
  <c r="P33"/>
  <c r="Q32"/>
  <c r="P32"/>
  <c r="Q31"/>
  <c r="P31"/>
  <c r="S31"/>
  <c r="Q30"/>
  <c r="S30" s="1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S19" s="1"/>
  <c r="P19"/>
  <c r="Q18"/>
  <c r="P18"/>
  <c r="Q17"/>
  <c r="P17"/>
  <c r="Q16"/>
  <c r="P16"/>
  <c r="Q15"/>
  <c r="S15" s="1"/>
  <c r="P15"/>
  <c r="Q14"/>
  <c r="P14"/>
  <c r="Q13"/>
  <c r="P13"/>
  <c r="Q12"/>
  <c r="P12"/>
  <c r="Q11"/>
  <c r="P11"/>
  <c r="S11"/>
  <c r="Q10"/>
  <c r="S10" s="1"/>
  <c r="P10"/>
  <c r="Q9"/>
  <c r="P9"/>
  <c r="Q8"/>
  <c r="P8"/>
  <c r="Q7"/>
  <c r="Q39" s="1"/>
  <c r="P7"/>
  <c r="P39" s="1"/>
  <c r="B39"/>
  <c r="Q6"/>
  <c r="P6"/>
  <c r="K37" i="12"/>
  <c r="M37" s="1"/>
  <c r="A37"/>
  <c r="J77" i="3"/>
  <c r="H77"/>
  <c r="F77"/>
  <c r="D77"/>
  <c r="A77"/>
  <c r="J76"/>
  <c r="H76"/>
  <c r="F76"/>
  <c r="D76"/>
  <c r="A76"/>
  <c r="J75"/>
  <c r="H75"/>
  <c r="F75"/>
  <c r="D75"/>
  <c r="A75"/>
  <c r="J74"/>
  <c r="H74"/>
  <c r="F74"/>
  <c r="D74"/>
  <c r="A74"/>
  <c r="J73"/>
  <c r="H73"/>
  <c r="F73"/>
  <c r="D73"/>
  <c r="A73"/>
  <c r="J72"/>
  <c r="H72"/>
  <c r="F72"/>
  <c r="D72"/>
  <c r="A72"/>
  <c r="J71"/>
  <c r="H71"/>
  <c r="F71"/>
  <c r="D71"/>
  <c r="A71"/>
  <c r="J70"/>
  <c r="H70"/>
  <c r="F70"/>
  <c r="D70"/>
  <c r="A70"/>
  <c r="J69"/>
  <c r="H69"/>
  <c r="F69"/>
  <c r="D69"/>
  <c r="A69"/>
  <c r="J68"/>
  <c r="H68"/>
  <c r="F68"/>
  <c r="D68"/>
  <c r="A68"/>
  <c r="J67"/>
  <c r="H67"/>
  <c r="F67"/>
  <c r="D67"/>
  <c r="A67"/>
  <c r="J66"/>
  <c r="H66"/>
  <c r="F66"/>
  <c r="D66"/>
  <c r="A66"/>
  <c r="J65"/>
  <c r="H65"/>
  <c r="F65"/>
  <c r="D65"/>
  <c r="A65"/>
  <c r="J64"/>
  <c r="H64"/>
  <c r="F64"/>
  <c r="D64"/>
  <c r="A64"/>
  <c r="J63"/>
  <c r="H63"/>
  <c r="F63"/>
  <c r="D63"/>
  <c r="A63"/>
  <c r="J62"/>
  <c r="H62"/>
  <c r="F62"/>
  <c r="D62"/>
  <c r="A62"/>
  <c r="J61"/>
  <c r="H61"/>
  <c r="F61"/>
  <c r="D61"/>
  <c r="A61"/>
  <c r="H60"/>
  <c r="F60"/>
  <c r="D60"/>
  <c r="A60"/>
  <c r="H59"/>
  <c r="F59"/>
  <c r="D59"/>
  <c r="A59"/>
  <c r="H58"/>
  <c r="F58"/>
  <c r="D58"/>
  <c r="A58"/>
  <c r="H57"/>
  <c r="F57"/>
  <c r="D57"/>
  <c r="A57"/>
  <c r="J56"/>
  <c r="H56"/>
  <c r="F56"/>
  <c r="D56"/>
  <c r="A56"/>
  <c r="J55"/>
  <c r="H55"/>
  <c r="F55"/>
  <c r="D55"/>
  <c r="A55"/>
  <c r="J54"/>
  <c r="H54"/>
  <c r="F54"/>
  <c r="D54"/>
  <c r="A54"/>
  <c r="J53"/>
  <c r="H53"/>
  <c r="F53"/>
  <c r="D53"/>
  <c r="A53"/>
  <c r="J52"/>
  <c r="H52"/>
  <c r="F52"/>
  <c r="D52"/>
  <c r="A52"/>
  <c r="J51"/>
  <c r="H51"/>
  <c r="F51"/>
  <c r="D51"/>
  <c r="A51"/>
  <c r="J50"/>
  <c r="H50"/>
  <c r="F50"/>
  <c r="D50"/>
  <c r="A50"/>
  <c r="J49"/>
  <c r="H49"/>
  <c r="F49"/>
  <c r="D49"/>
  <c r="A49"/>
  <c r="J48"/>
  <c r="H48"/>
  <c r="F48"/>
  <c r="D48"/>
  <c r="A48"/>
  <c r="J47"/>
  <c r="H47"/>
  <c r="F47"/>
  <c r="D47"/>
  <c r="A47"/>
  <c r="J46"/>
  <c r="H46"/>
  <c r="F46"/>
  <c r="D46"/>
  <c r="A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W31" i="25" s="1"/>
  <c r="S35" i="3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W30" i="25" s="1"/>
  <c r="S34" i="3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W29" i="25" s="1"/>
  <c r="S33" i="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W28" i="25" s="1"/>
  <c r="S32" i="3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W27" i="25" s="1"/>
  <c r="S31" i="3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W26" i="25" s="1"/>
  <c r="S30" i="3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W25" i="25" s="1"/>
  <c r="S29" i="3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W24" i="25" s="1"/>
  <c r="S28" i="3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W23" i="25" s="1"/>
  <c r="S27" i="3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W22" i="25" s="1"/>
  <c r="S26" i="3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W21" i="25" s="1"/>
  <c r="S25" i="3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W20" i="25" s="1"/>
  <c r="S24" i="3"/>
  <c r="N20" i="25"/>
  <c r="O24" i="3"/>
  <c r="L24"/>
  <c r="L20" i="25"/>
  <c r="I24" i="3"/>
  <c r="M20" i="25"/>
  <c r="F24" i="3"/>
  <c r="C24"/>
  <c r="AK23"/>
  <c r="AH23"/>
  <c r="AE23"/>
  <c r="AB23"/>
  <c r="Y23"/>
  <c r="V23"/>
  <c r="AN23"/>
  <c r="W19" i="25" s="1"/>
  <c r="S23" i="3"/>
  <c r="N19" i="25"/>
  <c r="O23" i="3"/>
  <c r="L23"/>
  <c r="L19" i="25"/>
  <c r="I23" i="3"/>
  <c r="M19" i="25"/>
  <c r="F23" i="3"/>
  <c r="C23"/>
  <c r="AK22"/>
  <c r="AH22"/>
  <c r="AE22"/>
  <c r="AB22"/>
  <c r="Y22"/>
  <c r="V22"/>
  <c r="AN22"/>
  <c r="W18" i="25" s="1"/>
  <c r="S22" i="3"/>
  <c r="N18" i="25"/>
  <c r="O22" i="3"/>
  <c r="L22"/>
  <c r="L18" i="25"/>
  <c r="I22" i="3"/>
  <c r="M18" i="25"/>
  <c r="F22" i="3"/>
  <c r="C22"/>
  <c r="AK21"/>
  <c r="AH21"/>
  <c r="AE21"/>
  <c r="AB21"/>
  <c r="Y21"/>
  <c r="V21"/>
  <c r="AN21"/>
  <c r="W17" i="25" s="1"/>
  <c r="S21" i="3"/>
  <c r="N17" i="25"/>
  <c r="O21" i="3"/>
  <c r="L21"/>
  <c r="L17" i="25"/>
  <c r="I21" i="3"/>
  <c r="M17" i="25"/>
  <c r="F21" i="3"/>
  <c r="C21"/>
  <c r="AK20"/>
  <c r="AH20"/>
  <c r="AE20"/>
  <c r="AB20"/>
  <c r="Y20"/>
  <c r="V20"/>
  <c r="AN20"/>
  <c r="W16" i="25" s="1"/>
  <c r="S20" i="3"/>
  <c r="N16" i="25"/>
  <c r="O20" i="3"/>
  <c r="L20"/>
  <c r="L16" i="25"/>
  <c r="I20" i="3"/>
  <c r="M16" i="25"/>
  <c r="F20" i="3"/>
  <c r="C20"/>
  <c r="AK19"/>
  <c r="AH19"/>
  <c r="AE19"/>
  <c r="AB19"/>
  <c r="Y19"/>
  <c r="V19"/>
  <c r="AN19"/>
  <c r="W15" i="25" s="1"/>
  <c r="S19" i="3"/>
  <c r="N15" i="25"/>
  <c r="O19" i="3"/>
  <c r="L19"/>
  <c r="L15" i="25"/>
  <c r="I19" i="3"/>
  <c r="M15" i="25"/>
  <c r="F19" i="3"/>
  <c r="C19"/>
  <c r="AK18"/>
  <c r="AH18"/>
  <c r="AE18"/>
  <c r="AB18"/>
  <c r="Y18"/>
  <c r="V18"/>
  <c r="AN18"/>
  <c r="W14" i="25" s="1"/>
  <c r="S18" i="3"/>
  <c r="N14" i="25"/>
  <c r="O18" i="3"/>
  <c r="L18"/>
  <c r="L14" i="25"/>
  <c r="I18" i="3"/>
  <c r="M14" i="25"/>
  <c r="F18" i="3"/>
  <c r="C18"/>
  <c r="AK17"/>
  <c r="AH17"/>
  <c r="AE17"/>
  <c r="AB17"/>
  <c r="Y17"/>
  <c r="V17"/>
  <c r="AN17"/>
  <c r="S17"/>
  <c r="N13" i="25"/>
  <c r="O17" i="3"/>
  <c r="L17"/>
  <c r="L13" i="25"/>
  <c r="I17" i="3"/>
  <c r="M13" i="25"/>
  <c r="F17" i="3"/>
  <c r="K16" i="11"/>
  <c r="C17" i="3"/>
  <c r="AK16"/>
  <c r="AH16"/>
  <c r="AE16"/>
  <c r="AB16"/>
  <c r="Y16"/>
  <c r="V16"/>
  <c r="AN16"/>
  <c r="S16"/>
  <c r="N12" i="25"/>
  <c r="O16" i="3"/>
  <c r="L16"/>
  <c r="L12" i="25"/>
  <c r="I16" i="3"/>
  <c r="M12" i="25"/>
  <c r="F16" i="3"/>
  <c r="N16" i="13"/>
  <c r="C16" i="3"/>
  <c r="AK15"/>
  <c r="AH15"/>
  <c r="AE15"/>
  <c r="AB15"/>
  <c r="Y15"/>
  <c r="V15"/>
  <c r="AN15"/>
  <c r="S15"/>
  <c r="N11" i="25"/>
  <c r="O15" i="3"/>
  <c r="L15"/>
  <c r="L11" i="25"/>
  <c r="I15" i="3"/>
  <c r="M11" i="25"/>
  <c r="F15" i="3"/>
  <c r="P11" i="25"/>
  <c r="C15" i="3"/>
  <c r="AK14"/>
  <c r="AH14"/>
  <c r="AE14"/>
  <c r="AB14"/>
  <c r="Y14"/>
  <c r="V14"/>
  <c r="AN14"/>
  <c r="S14"/>
  <c r="N10" i="25"/>
  <c r="O14" i="3"/>
  <c r="L14"/>
  <c r="L10" i="25"/>
  <c r="I14" i="3"/>
  <c r="M10" i="25"/>
  <c r="F14" i="3"/>
  <c r="K13" i="11"/>
  <c r="C14" i="3"/>
  <c r="AK13"/>
  <c r="AH13"/>
  <c r="AE13"/>
  <c r="AB13"/>
  <c r="Y13"/>
  <c r="V13"/>
  <c r="AN13"/>
  <c r="S13"/>
  <c r="N9" i="25"/>
  <c r="O13" i="3"/>
  <c r="L13"/>
  <c r="L9" i="25"/>
  <c r="I13" i="3"/>
  <c r="M9" i="25"/>
  <c r="F13" i="3"/>
  <c r="N13" i="13"/>
  <c r="C13" i="3"/>
  <c r="AK12"/>
  <c r="AH12"/>
  <c r="AE12"/>
  <c r="AB12"/>
  <c r="Y12"/>
  <c r="V12"/>
  <c r="AN12"/>
  <c r="S12"/>
  <c r="N8" i="25"/>
  <c r="O12" i="3"/>
  <c r="L12"/>
  <c r="L8" i="25"/>
  <c r="I12" i="3"/>
  <c r="M8" i="25"/>
  <c r="F12" i="3"/>
  <c r="N12" i="13"/>
  <c r="C12" i="3"/>
  <c r="AK11"/>
  <c r="AH11"/>
  <c r="AE11"/>
  <c r="AB11"/>
  <c r="Y11"/>
  <c r="V11"/>
  <c r="AN11"/>
  <c r="S11"/>
  <c r="N7" i="25"/>
  <c r="O11" i="3"/>
  <c r="L7" i="25"/>
  <c r="I11" i="3"/>
  <c r="M7" i="25"/>
  <c r="F11" i="3"/>
  <c r="N11" i="13"/>
  <c r="C11" i="3"/>
  <c r="AK10"/>
  <c r="AH10"/>
  <c r="AE10"/>
  <c r="AB10"/>
  <c r="Y10"/>
  <c r="V10"/>
  <c r="S10"/>
  <c r="N6" i="25"/>
  <c r="O10" i="3"/>
  <c r="L10"/>
  <c r="L6" i="25"/>
  <c r="I10" i="3"/>
  <c r="M6" i="25"/>
  <c r="F10" i="3"/>
  <c r="N10" i="13"/>
  <c r="C10" i="3"/>
  <c r="AK9"/>
  <c r="AH9"/>
  <c r="AE9"/>
  <c r="AB9"/>
  <c r="Y9"/>
  <c r="V9"/>
  <c r="S9"/>
  <c r="N5" i="25"/>
  <c r="O9" i="3"/>
  <c r="L9"/>
  <c r="L5" i="25"/>
  <c r="I9" i="3"/>
  <c r="M5" i="25"/>
  <c r="F9" i="3"/>
  <c r="K8" i="11"/>
  <c r="C9" i="3"/>
  <c r="AK8"/>
  <c r="AH8"/>
  <c r="AE8"/>
  <c r="AB8"/>
  <c r="Y8"/>
  <c r="V8"/>
  <c r="S8"/>
  <c r="N4" i="25"/>
  <c r="O8" i="3"/>
  <c r="L8"/>
  <c r="L4" i="25"/>
  <c r="I8" i="3"/>
  <c r="M4" i="25"/>
  <c r="F8" i="3"/>
  <c r="N8" i="13"/>
  <c r="C8" i="3"/>
  <c r="AK7"/>
  <c r="AH7"/>
  <c r="AE7"/>
  <c r="AB7"/>
  <c r="Y7"/>
  <c r="V7"/>
  <c r="S7"/>
  <c r="N3" i="25"/>
  <c r="O7" i="3"/>
  <c r="L7"/>
  <c r="L3" i="25"/>
  <c r="I7" i="3"/>
  <c r="M3" i="25"/>
  <c r="F7" i="3"/>
  <c r="P3" i="25"/>
  <c r="C7" i="3"/>
  <c r="AK6"/>
  <c r="AH6"/>
  <c r="AE6"/>
  <c r="AB6"/>
  <c r="Y6"/>
  <c r="V6"/>
  <c r="S6"/>
  <c r="N2" i="25"/>
  <c r="O6" i="3"/>
  <c r="L6"/>
  <c r="L2" i="25"/>
  <c r="I6" i="3"/>
  <c r="M2" i="25"/>
  <c r="F6" i="3"/>
  <c r="P2" i="25"/>
  <c r="C6" i="3"/>
  <c r="AK5"/>
  <c r="AH5"/>
  <c r="AE5"/>
  <c r="AB5"/>
  <c r="Y5"/>
  <c r="V5"/>
  <c r="U5"/>
  <c r="S5"/>
  <c r="O5"/>
  <c r="L5"/>
  <c r="I5"/>
  <c r="F5"/>
  <c r="C5"/>
  <c r="AJ50" i="1"/>
  <c r="AR49"/>
  <c r="B48"/>
  <c r="AQ47"/>
  <c r="R47"/>
  <c r="AQ46"/>
  <c r="AD46"/>
  <c r="AC46"/>
  <c r="AH45"/>
  <c r="AG45"/>
  <c r="AG47" s="1"/>
  <c r="AF45"/>
  <c r="AF47" s="1"/>
  <c r="AE45"/>
  <c r="AD45"/>
  <c r="AC45"/>
  <c r="AB45"/>
  <c r="AB47" s="1"/>
  <c r="AA45"/>
  <c r="AA47" s="1"/>
  <c r="Z45"/>
  <c r="Z47" s="1"/>
  <c r="Y45"/>
  <c r="Y47" s="1"/>
  <c r="X45"/>
  <c r="X47" s="1"/>
  <c r="W45"/>
  <c r="W47" s="1"/>
  <c r="V45"/>
  <c r="R45"/>
  <c r="Q45"/>
  <c r="P45"/>
  <c r="O45"/>
  <c r="N45"/>
  <c r="M45"/>
  <c r="L45"/>
  <c r="K45"/>
  <c r="J45"/>
  <c r="I45"/>
  <c r="H45"/>
  <c r="G45"/>
  <c r="F45"/>
  <c r="E45"/>
  <c r="D45"/>
  <c r="AJ44"/>
  <c r="AR44" s="1"/>
  <c r="AS44" s="1"/>
  <c r="AR43"/>
  <c r="AS43" s="1"/>
  <c r="AJ43"/>
  <c r="T43"/>
  <c r="AJ42"/>
  <c r="T42"/>
  <c r="C37" i="14" s="1"/>
  <c r="AJ41" i="1"/>
  <c r="T41"/>
  <c r="AJ40"/>
  <c r="T40"/>
  <c r="AJ39"/>
  <c r="T39"/>
  <c r="C34" i="14" s="1"/>
  <c r="S39" i="1"/>
  <c r="G35" i="11" s="1"/>
  <c r="AJ38" i="1"/>
  <c r="T38"/>
  <c r="C33" i="14" s="1"/>
  <c r="S38" i="1"/>
  <c r="AJ37"/>
  <c r="T37"/>
  <c r="S37"/>
  <c r="AJ36"/>
  <c r="T36"/>
  <c r="C31" i="14" s="1"/>
  <c r="S36" i="1"/>
  <c r="AJ35"/>
  <c r="T35"/>
  <c r="C30" i="14" s="1"/>
  <c r="J30" i="13"/>
  <c r="AJ34" i="1"/>
  <c r="T34"/>
  <c r="C29" i="14" s="1"/>
  <c r="AU33" i="1"/>
  <c r="AU34" s="1"/>
  <c r="AU35" s="1"/>
  <c r="AU36" s="1"/>
  <c r="AU37" s="1"/>
  <c r="AU38" s="1"/>
  <c r="AU39" s="1"/>
  <c r="AU40" s="1"/>
  <c r="AU41" s="1"/>
  <c r="AJ33"/>
  <c r="T33"/>
  <c r="AJ32"/>
  <c r="T32"/>
  <c r="C27" i="14" s="1"/>
  <c r="AJ31" i="1"/>
  <c r="T31"/>
  <c r="C26" i="14" s="1"/>
  <c r="AJ30" i="1"/>
  <c r="T30"/>
  <c r="C25" i="14" s="1"/>
  <c r="AJ29" i="1"/>
  <c r="T29"/>
  <c r="AJ28"/>
  <c r="T28"/>
  <c r="C23" i="14" s="1"/>
  <c r="AJ27" i="1"/>
  <c r="T27"/>
  <c r="C22" i="14" s="1"/>
  <c r="AJ26" i="1"/>
  <c r="T26"/>
  <c r="C21" i="14" s="1"/>
  <c r="D21"/>
  <c r="N21" s="1"/>
  <c r="R21" s="1"/>
  <c r="AJ25" i="1"/>
  <c r="T25"/>
  <c r="U25" s="1"/>
  <c r="AJ24"/>
  <c r="T24"/>
  <c r="C19" i="14" s="1"/>
  <c r="AJ23" i="1"/>
  <c r="T23"/>
  <c r="C18" i="14" s="1"/>
  <c r="D18"/>
  <c r="N18" s="1"/>
  <c r="AJ22" i="1"/>
  <c r="T22"/>
  <c r="C17" i="14" s="1"/>
  <c r="D17"/>
  <c r="N17" s="1"/>
  <c r="R17" s="1"/>
  <c r="AJ21" i="1"/>
  <c r="T21"/>
  <c r="C16" i="14" s="1"/>
  <c r="AJ20" i="1"/>
  <c r="C14" i="23" s="1"/>
  <c r="T20" i="1"/>
  <c r="C15" i="14" s="1"/>
  <c r="AJ19" i="1"/>
  <c r="AR19" s="1"/>
  <c r="AS19" s="1"/>
  <c r="T19"/>
  <c r="C14" i="14" s="1"/>
  <c r="D14"/>
  <c r="N14" s="1"/>
  <c r="AJ18" i="1"/>
  <c r="AR18" s="1"/>
  <c r="AS18" s="1"/>
  <c r="T18"/>
  <c r="F14" i="11" s="1"/>
  <c r="D13" i="14"/>
  <c r="N13" s="1"/>
  <c r="AJ17" i="1"/>
  <c r="E12" i="14" s="1"/>
  <c r="O12" s="1"/>
  <c r="T17" i="1"/>
  <c r="F13" i="11" s="1"/>
  <c r="D12" i="14"/>
  <c r="N12" s="1"/>
  <c r="AJ16" i="1"/>
  <c r="C10" i="23" s="1"/>
  <c r="T16" i="1"/>
  <c r="U16" s="1"/>
  <c r="AJ15"/>
  <c r="AR15" s="1"/>
  <c r="AS15" s="1"/>
  <c r="T15"/>
  <c r="F11" i="11" s="1"/>
  <c r="D10" i="14"/>
  <c r="N10" s="1"/>
  <c r="AJ14" i="1"/>
  <c r="AR14" s="1"/>
  <c r="AS14" s="1"/>
  <c r="T14"/>
  <c r="F10" i="11" s="1"/>
  <c r="D9" i="14"/>
  <c r="N9" s="1"/>
  <c r="AJ13" i="1"/>
  <c r="E8" i="14" s="1"/>
  <c r="O8" s="1"/>
  <c r="T13" i="1"/>
  <c r="F9" i="11" s="1"/>
  <c r="D8" i="14"/>
  <c r="N8" s="1"/>
  <c r="AJ12" i="1"/>
  <c r="C6" i="23" s="1"/>
  <c r="T12" i="1"/>
  <c r="F8" i="11" s="1"/>
  <c r="S12" i="1"/>
  <c r="AC7" i="12" s="1"/>
  <c r="AJ11" i="1"/>
  <c r="H5" i="11" s="1"/>
  <c r="T11" i="1"/>
  <c r="C6" i="14" s="1"/>
  <c r="S11" i="1"/>
  <c r="AC6" i="12" s="1"/>
  <c r="AJ10" i="1"/>
  <c r="U10"/>
  <c r="T10"/>
  <c r="F6" i="11" s="1"/>
  <c r="S10" i="1"/>
  <c r="G6" i="11" s="1"/>
  <c r="T9" i="1"/>
  <c r="F5" i="11" s="1"/>
  <c r="S9" i="1"/>
  <c r="AR9" s="1"/>
  <c r="J39" i="14" l="1"/>
  <c r="U27" i="1"/>
  <c r="K77" i="3"/>
  <c r="J24" i="15"/>
  <c r="G36" i="11"/>
  <c r="E16" i="14"/>
  <c r="O16" s="1"/>
  <c r="K16" i="13"/>
  <c r="L16" s="1"/>
  <c r="H15" i="11"/>
  <c r="I15" s="1"/>
  <c r="C22" i="23"/>
  <c r="K23" i="13"/>
  <c r="L23" s="1"/>
  <c r="H22" i="11"/>
  <c r="I22" s="1"/>
  <c r="D25" i="14"/>
  <c r="N25" s="1"/>
  <c r="R25" s="1"/>
  <c r="AC25" i="12"/>
  <c r="J25" i="13"/>
  <c r="C26" i="23"/>
  <c r="K27" i="13"/>
  <c r="H26" i="11"/>
  <c r="E32" i="14"/>
  <c r="O32" s="1"/>
  <c r="K32" i="13"/>
  <c r="H31" i="11"/>
  <c r="M25" i="14"/>
  <c r="G21" i="26" s="1"/>
  <c r="L24" i="11"/>
  <c r="T6" i="10"/>
  <c r="V6" s="1"/>
  <c r="W6" s="1"/>
  <c r="C18" i="23"/>
  <c r="K19" i="13"/>
  <c r="H18" i="11"/>
  <c r="I18" s="1"/>
  <c r="U29" i="1"/>
  <c r="AC24" i="12"/>
  <c r="G25" i="11"/>
  <c r="J24" i="13"/>
  <c r="AR31" i="1"/>
  <c r="AS31" s="1"/>
  <c r="K26" i="13"/>
  <c r="H25" i="11"/>
  <c r="AR23" i="1"/>
  <c r="AS23" s="1"/>
  <c r="K18" i="13"/>
  <c r="L18" s="1"/>
  <c r="H17" i="11"/>
  <c r="I17" s="1"/>
  <c r="AR27" i="1"/>
  <c r="AS2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C33" i="23"/>
  <c r="K34" i="13"/>
  <c r="H33" i="11"/>
  <c r="AR41" i="1"/>
  <c r="AS41" s="1"/>
  <c r="K36" i="13"/>
  <c r="H35" i="11"/>
  <c r="I35" s="1"/>
  <c r="AN6" i="3"/>
  <c r="W2" i="25" s="1"/>
  <c r="AN7" i="3"/>
  <c r="W3" i="25" s="1"/>
  <c r="AN8" i="3"/>
  <c r="W4" i="25" s="1"/>
  <c r="AN9" i="3"/>
  <c r="W5" i="25" s="1"/>
  <c r="AN10" i="3"/>
  <c r="W6" i="25" s="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D34" i="14"/>
  <c r="N34" s="1"/>
  <c r="R34" s="1"/>
  <c r="AC34" i="12"/>
  <c r="J34" i="13"/>
  <c r="L34" s="1"/>
  <c r="C34" i="23"/>
  <c r="K35" i="13"/>
  <c r="H34" i="11"/>
  <c r="AR42" i="1"/>
  <c r="AS42" s="1"/>
  <c r="H36" i="11"/>
  <c r="M27" i="14"/>
  <c r="G23" i="26" s="1"/>
  <c r="L26" i="11"/>
  <c r="M29" i="14"/>
  <c r="G25" i="26" s="1"/>
  <c r="L28" i="11"/>
  <c r="M31" i="14"/>
  <c r="G27" i="26" s="1"/>
  <c r="L30" i="11"/>
  <c r="U33" i="1"/>
  <c r="AC28" i="12"/>
  <c r="G29" i="11"/>
  <c r="J28" i="13"/>
  <c r="D29" i="14"/>
  <c r="AC29" i="12"/>
  <c r="J29" i="13"/>
  <c r="C30" i="23"/>
  <c r="K31" i="13"/>
  <c r="H30" i="11"/>
  <c r="D33" i="14"/>
  <c r="N33" s="1"/>
  <c r="R33" s="1"/>
  <c r="AC33" i="12"/>
  <c r="G34" i="11"/>
  <c r="I34" s="1"/>
  <c r="J33" i="13"/>
  <c r="U41" i="1"/>
  <c r="C36" i="14"/>
  <c r="W13" i="25"/>
  <c r="AR22" i="1"/>
  <c r="AS22" s="1"/>
  <c r="H16" i="11"/>
  <c r="I16" s="1"/>
  <c r="K17" i="13"/>
  <c r="L17" s="1"/>
  <c r="U24" i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U31" i="1"/>
  <c r="AC26" i="12"/>
  <c r="J26" i="13"/>
  <c r="E28" i="14"/>
  <c r="O28" s="1"/>
  <c r="K28" i="13"/>
  <c r="H27" i="11"/>
  <c r="E29" i="14"/>
  <c r="H28" i="11"/>
  <c r="K29" i="13"/>
  <c r="U36" i="1"/>
  <c r="AC31" i="12"/>
  <c r="J31" i="13"/>
  <c r="C32" i="14"/>
  <c r="F33" i="11"/>
  <c r="E33" i="14"/>
  <c r="O33" s="1"/>
  <c r="H32" i="11"/>
  <c r="K33" i="13"/>
  <c r="U40" i="1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27" s="1"/>
  <c r="I35" i="10"/>
  <c r="Q35" s="1"/>
  <c r="D37" i="14"/>
  <c r="AC37" i="12"/>
  <c r="F32" i="11"/>
  <c r="F27"/>
  <c r="F22"/>
  <c r="G5"/>
  <c r="G32"/>
  <c r="G26"/>
  <c r="I26" s="1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AC36" i="12"/>
  <c r="J36" i="13"/>
  <c r="F36" i="11"/>
  <c r="F31"/>
  <c r="F26"/>
  <c r="F20"/>
  <c r="I36"/>
  <c r="G30"/>
  <c r="I30" s="1"/>
  <c r="AI30" i="13"/>
  <c r="AI26"/>
  <c r="J35"/>
  <c r="L35" s="1"/>
  <c r="AI15"/>
  <c r="AJ16" s="1"/>
  <c r="K56" i="3"/>
  <c r="M16" i="13" s="1"/>
  <c r="N17"/>
  <c r="P13" i="25"/>
  <c r="I17" i="14"/>
  <c r="L16" i="11"/>
  <c r="U21" i="1"/>
  <c r="F17" i="11"/>
  <c r="K15"/>
  <c r="P12" i="25"/>
  <c r="I16" i="14"/>
  <c r="L15" i="11"/>
  <c r="J20" i="15"/>
  <c r="U35" i="1"/>
  <c r="G31" i="11"/>
  <c r="I31" s="1"/>
  <c r="D30" i="14"/>
  <c r="N30" s="1"/>
  <c r="AC30" i="12"/>
  <c r="AR35" i="1"/>
  <c r="F30" i="14" s="1"/>
  <c r="H14" i="11"/>
  <c r="I14" s="1"/>
  <c r="K15" i="13"/>
  <c r="L15" s="1"/>
  <c r="U20" i="1"/>
  <c r="F16" i="11"/>
  <c r="J19" i="15"/>
  <c r="L14" i="11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C13" i="14"/>
  <c r="K52" i="3"/>
  <c r="M12" i="13" s="1"/>
  <c r="I13" i="14"/>
  <c r="P9" i="25"/>
  <c r="K12" i="11"/>
  <c r="H11"/>
  <c r="I11" s="1"/>
  <c r="K12" i="13"/>
  <c r="C12" i="14"/>
  <c r="P8" i="25"/>
  <c r="K11" i="11"/>
  <c r="I12" i="14"/>
  <c r="L11" i="11"/>
  <c r="H10"/>
  <c r="I10" s="1"/>
  <c r="K11" i="13"/>
  <c r="L11" s="1"/>
  <c r="F12" i="11"/>
  <c r="C11" i="14"/>
  <c r="L10" i="11"/>
  <c r="J15" i="15"/>
  <c r="Z11" i="12"/>
  <c r="B10" i="11" s="1"/>
  <c r="K10" i="13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K7" i="13"/>
  <c r="U12" i="1"/>
  <c r="C7" i="14"/>
  <c r="G8" i="11"/>
  <c r="I8" s="1"/>
  <c r="J7" i="13"/>
  <c r="L7" s="1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J11" i="15"/>
  <c r="K5" i="11"/>
  <c r="N6" i="13"/>
  <c r="I6" i="14"/>
  <c r="K6" i="11"/>
  <c r="N7" i="13"/>
  <c r="I7" i="14"/>
  <c r="Z7" i="12"/>
  <c r="B6" i="11" s="1"/>
  <c r="AJ49" i="1"/>
  <c r="K6" i="13"/>
  <c r="U11" i="1"/>
  <c r="F7" i="11"/>
  <c r="J6" i="13"/>
  <c r="AR11" i="1"/>
  <c r="G7" i="11"/>
  <c r="I7" s="1"/>
  <c r="H39" i="14"/>
  <c r="G39"/>
  <c r="S18" i="18"/>
  <c r="I19" i="23"/>
  <c r="S20" i="18"/>
  <c r="I21" i="23"/>
  <c r="S31" i="18"/>
  <c r="I32" i="23"/>
  <c r="I23"/>
  <c r="S22" i="18"/>
  <c r="S29"/>
  <c r="I30" i="23"/>
  <c r="I28"/>
  <c r="S27" i="18"/>
  <c r="S5"/>
  <c r="I6" i="23"/>
  <c r="S16" i="18"/>
  <c r="I17" i="23"/>
  <c r="S14" i="18"/>
  <c r="I33" i="23"/>
  <c r="I29"/>
  <c r="I25"/>
  <c r="I13"/>
  <c r="I9"/>
  <c r="S9" i="18"/>
  <c r="I34" i="23"/>
  <c r="I26"/>
  <c r="I22"/>
  <c r="I18"/>
  <c r="I14"/>
  <c r="F35" i="18"/>
  <c r="S35" s="1"/>
  <c r="I35" i="23"/>
  <c r="I31"/>
  <c r="I27"/>
  <c r="I11"/>
  <c r="I7"/>
  <c r="I24"/>
  <c r="I20"/>
  <c r="I16"/>
  <c r="I12"/>
  <c r="I8"/>
  <c r="I5" i="11"/>
  <c r="Z13" i="12"/>
  <c r="B12" i="11" s="1"/>
  <c r="Z15" i="12"/>
  <c r="B14" i="11" s="1"/>
  <c r="Z19" i="12"/>
  <c r="B18" i="11" s="1"/>
  <c r="Z21" i="12"/>
  <c r="B20" i="11" s="1"/>
  <c r="Z23" i="12"/>
  <c r="B22" i="11" s="1"/>
  <c r="Z25" i="12"/>
  <c r="B24" i="11" s="1"/>
  <c r="Z27" i="12"/>
  <c r="B26" i="11" s="1"/>
  <c r="Z29" i="12"/>
  <c r="B28" i="11" s="1"/>
  <c r="Z31" i="12"/>
  <c r="B30" i="11" s="1"/>
  <c r="Z8" i="12"/>
  <c r="B7" i="11" s="1"/>
  <c r="Z9" i="12"/>
  <c r="B8" i="11" s="1"/>
  <c r="Z17" i="12"/>
  <c r="B16" i="11" s="1"/>
  <c r="Z33" i="12"/>
  <c r="B32" i="11" s="1"/>
  <c r="Z32" i="12"/>
  <c r="B31" i="11" s="1"/>
  <c r="Z10" i="12"/>
  <c r="B9" i="11" s="1"/>
  <c r="Z12" i="12"/>
  <c r="B11" i="11" s="1"/>
  <c r="Z14" i="12"/>
  <c r="B13" i="11" s="1"/>
  <c r="Z16" i="12"/>
  <c r="B15" i="11" s="1"/>
  <c r="Z18" i="12"/>
  <c r="B17" i="11" s="1"/>
  <c r="Z20" i="12"/>
  <c r="B19" i="11" s="1"/>
  <c r="Z22" i="12"/>
  <c r="B21" i="11" s="1"/>
  <c r="Z24" i="12"/>
  <c r="B23" i="11" s="1"/>
  <c r="Z26" i="12"/>
  <c r="B25" i="11" s="1"/>
  <c r="Z28" i="12"/>
  <c r="B27" i="11" s="1"/>
  <c r="Z30" i="12"/>
  <c r="B29" i="11" s="1"/>
  <c r="J12" i="15"/>
  <c r="J16"/>
  <c r="J35"/>
  <c r="J27"/>
  <c r="J23"/>
  <c r="J28"/>
  <c r="J32"/>
  <c r="C31" i="23"/>
  <c r="C27"/>
  <c r="C23"/>
  <c r="C19"/>
  <c r="C15"/>
  <c r="C11"/>
  <c r="C7"/>
  <c r="E34" i="14"/>
  <c r="E30"/>
  <c r="O30" s="1"/>
  <c r="E26"/>
  <c r="O26" s="1"/>
  <c r="E22"/>
  <c r="O22" s="1"/>
  <c r="E18"/>
  <c r="O18" s="1"/>
  <c r="E14"/>
  <c r="O14" s="1"/>
  <c r="E10"/>
  <c r="O10" s="1"/>
  <c r="C32" i="23"/>
  <c r="C28"/>
  <c r="C24"/>
  <c r="C20"/>
  <c r="C16"/>
  <c r="C12"/>
  <c r="C8"/>
  <c r="E37" i="14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C29"/>
  <c r="C25"/>
  <c r="C21"/>
  <c r="C17"/>
  <c r="C13"/>
  <c r="C9"/>
  <c r="E6" i="14"/>
  <c r="O6" s="1"/>
  <c r="E17"/>
  <c r="O17" s="1"/>
  <c r="E13"/>
  <c r="O13" s="1"/>
  <c r="E9"/>
  <c r="O9" s="1"/>
  <c r="AR26" i="1"/>
  <c r="U28"/>
  <c r="AR30"/>
  <c r="U32"/>
  <c r="U37"/>
  <c r="D28" i="14"/>
  <c r="N28" s="1"/>
  <c r="D24"/>
  <c r="N24" s="1"/>
  <c r="R24" s="1"/>
  <c r="D20"/>
  <c r="N20" s="1"/>
  <c r="R20" s="1"/>
  <c r="D16"/>
  <c r="N16" s="1"/>
  <c r="R16" s="1"/>
  <c r="F14"/>
  <c r="F10"/>
  <c r="U17" i="1"/>
  <c r="AR12"/>
  <c r="U14"/>
  <c r="AR16"/>
  <c r="U18"/>
  <c r="AR20"/>
  <c r="U22"/>
  <c r="AR24"/>
  <c r="U26"/>
  <c r="AR28"/>
  <c r="U30"/>
  <c r="AR32"/>
  <c r="AR37"/>
  <c r="D6" i="14"/>
  <c r="D31"/>
  <c r="N31" s="1"/>
  <c r="R31" s="1"/>
  <c r="D26"/>
  <c r="N26" s="1"/>
  <c r="R26" s="1"/>
  <c r="D22"/>
  <c r="N22" s="1"/>
  <c r="R22" s="1"/>
  <c r="U13" i="1"/>
  <c r="AR13"/>
  <c r="U15"/>
  <c r="AR17"/>
  <c r="U19"/>
  <c r="AR21"/>
  <c r="U23"/>
  <c r="AR25"/>
  <c r="AR29"/>
  <c r="AR33"/>
  <c r="D32" i="14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7"/>
  <c r="F13"/>
  <c r="F9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G30" i="23"/>
  <c r="W9" i="25"/>
  <c r="G29" i="23"/>
  <c r="W8" i="25"/>
  <c r="W12"/>
  <c r="G28" i="23"/>
  <c r="W11" i="25"/>
  <c r="G27" i="23"/>
  <c r="AN37" i="3"/>
  <c r="K38"/>
  <c r="H38"/>
  <c r="E38"/>
  <c r="R38" s="1"/>
  <c r="AI18" i="13"/>
  <c r="AJ19" s="1"/>
  <c r="AI22"/>
  <c r="AI23"/>
  <c r="L14" i="18"/>
  <c r="P40" i="10"/>
  <c r="Q25" i="18"/>
  <c r="I22" i="10"/>
  <c r="Q22" s="1"/>
  <c r="Q4" i="18"/>
  <c r="R4" s="1"/>
  <c r="Q18"/>
  <c r="R18" s="1"/>
  <c r="I19" i="11"/>
  <c r="I33" i="10"/>
  <c r="Q33" s="1"/>
  <c r="R25" i="18"/>
  <c r="O33"/>
  <c r="Q33" s="1"/>
  <c r="R33" s="1"/>
  <c r="L10" i="13"/>
  <c r="AI14"/>
  <c r="AJ15" s="1"/>
  <c r="L19"/>
  <c r="AI20"/>
  <c r="AI28"/>
  <c r="AI32"/>
  <c r="AI33"/>
  <c r="AI36"/>
  <c r="L5" i="18"/>
  <c r="Q7"/>
  <c r="L9"/>
  <c r="AC13"/>
  <c r="Q16"/>
  <c r="L18"/>
  <c r="Q22"/>
  <c r="I6" i="11"/>
  <c r="J18" i="15"/>
  <c r="J21"/>
  <c r="J34"/>
  <c r="J37"/>
  <c r="I29" i="10"/>
  <c r="Q29" s="1"/>
  <c r="I34"/>
  <c r="Q34" s="1"/>
  <c r="F8" i="22"/>
  <c r="F9"/>
  <c r="AA30" i="18"/>
  <c r="AC30" s="1"/>
  <c r="AI7" i="13"/>
  <c r="AI11"/>
  <c r="AI17"/>
  <c r="AJ17" s="1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L12"/>
  <c r="AI25"/>
  <c r="AJ26" s="1"/>
  <c r="AI27"/>
  <c r="AI29"/>
  <c r="L30"/>
  <c r="AI31"/>
  <c r="AI34"/>
  <c r="AC6" i="18"/>
  <c r="L11"/>
  <c r="AC15"/>
  <c r="L20"/>
  <c r="AC21"/>
  <c r="Q24"/>
  <c r="AC26"/>
  <c r="Q31"/>
  <c r="R31" s="1"/>
  <c r="AC34"/>
  <c r="I12" i="11"/>
  <c r="I25"/>
  <c r="J10" i="15"/>
  <c r="J13"/>
  <c r="J26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AJ11" s="1"/>
  <c r="I5" i="23"/>
  <c r="S4" i="18"/>
  <c r="L25"/>
  <c r="L29"/>
  <c r="L33"/>
  <c r="G31" i="23"/>
  <c r="E36" i="14"/>
  <c r="O36" s="1"/>
  <c r="C35" i="23"/>
  <c r="K76" i="3"/>
  <c r="M36" i="13" s="1"/>
  <c r="J40" i="15"/>
  <c r="J39"/>
  <c r="M35" i="14"/>
  <c r="R36"/>
  <c r="Z37" i="12"/>
  <c r="B36" i="11" s="1"/>
  <c r="E35" i="14"/>
  <c r="F37"/>
  <c r="D35"/>
  <c r="N35" s="1"/>
  <c r="R35" s="1"/>
  <c r="N29"/>
  <c r="R29" s="1"/>
  <c r="AR34" i="1"/>
  <c r="F29" i="14" s="1"/>
  <c r="U34" i="1"/>
  <c r="K75" i="3"/>
  <c r="M35" i="13" s="1"/>
  <c r="Z36" i="12"/>
  <c r="B35" i="11" s="1"/>
  <c r="AR39" i="1"/>
  <c r="U39"/>
  <c r="K74" i="3"/>
  <c r="M34" i="13" s="1"/>
  <c r="G33" i="23"/>
  <c r="G32"/>
  <c r="Z35" i="12"/>
  <c r="B34" i="11" s="1"/>
  <c r="Z34" i="12"/>
  <c r="B33" i="11" s="1"/>
  <c r="T45" i="1"/>
  <c r="U38"/>
  <c r="AR38"/>
  <c r="S45"/>
  <c r="T47" s="1"/>
  <c r="T48" s="1"/>
  <c r="R30" i="14"/>
  <c r="S32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R28"/>
  <c r="S34"/>
  <c r="K23" i="22"/>
  <c r="L23"/>
  <c r="K27"/>
  <c r="L27"/>
  <c r="K31"/>
  <c r="L31"/>
  <c r="K35"/>
  <c r="L35"/>
  <c r="K39"/>
  <c r="L39"/>
  <c r="K43"/>
  <c r="L43"/>
  <c r="K47"/>
  <c r="L47"/>
  <c r="K51"/>
  <c r="L51"/>
  <c r="K54"/>
  <c r="L54"/>
  <c r="F22"/>
  <c r="L22"/>
  <c r="F26"/>
  <c r="L26"/>
  <c r="L30"/>
  <c r="F30"/>
  <c r="L34"/>
  <c r="F34"/>
  <c r="L38"/>
  <c r="F38"/>
  <c r="F42"/>
  <c r="L42"/>
  <c r="F46"/>
  <c r="L46"/>
  <c r="L50"/>
  <c r="F50"/>
  <c r="L21"/>
  <c r="K21"/>
  <c r="L25"/>
  <c r="K25"/>
  <c r="L29"/>
  <c r="K29"/>
  <c r="L33"/>
  <c r="K33"/>
  <c r="L37"/>
  <c r="K37"/>
  <c r="L41"/>
  <c r="K41"/>
  <c r="L45"/>
  <c r="K45"/>
  <c r="L49"/>
  <c r="K49"/>
  <c r="L53"/>
  <c r="K53"/>
  <c r="L20"/>
  <c r="L24"/>
  <c r="L28"/>
  <c r="L32"/>
  <c r="L36"/>
  <c r="L40"/>
  <c r="L44"/>
  <c r="L48"/>
  <c r="L52"/>
  <c r="V5" i="10"/>
  <c r="W5" s="1"/>
  <c r="R5"/>
  <c r="S5"/>
  <c r="S7"/>
  <c r="Z7" s="1"/>
  <c r="R7"/>
  <c r="X8"/>
  <c r="T7"/>
  <c r="U7"/>
  <c r="R6"/>
  <c r="S6"/>
  <c r="Z6" s="1"/>
  <c r="S8"/>
  <c r="Z8" s="1"/>
  <c r="J22" i="15"/>
  <c r="J25"/>
  <c r="J38"/>
  <c r="J14"/>
  <c r="J17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E7" i="13"/>
  <c r="AI6"/>
  <c r="O29" i="14"/>
  <c r="O34"/>
  <c r="W7" i="25"/>
  <c r="AR36" i="1"/>
  <c r="AR40"/>
  <c r="AR10"/>
  <c r="AJ45"/>
  <c r="L26" i="13" l="1"/>
  <c r="F22" i="14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L33" i="13"/>
  <c r="AS35" i="1"/>
  <c r="F36" i="14"/>
  <c r="L6" i="13"/>
  <c r="G6" s="1"/>
  <c r="L8"/>
  <c r="L25"/>
  <c r="AJ27"/>
  <c r="F26" i="14"/>
  <c r="I9" i="11"/>
  <c r="L28" i="13"/>
  <c r="AN38" i="3"/>
  <c r="C39" i="14"/>
  <c r="I39"/>
  <c r="B38" i="11"/>
  <c r="B39" s="1"/>
  <c r="C39" s="1"/>
  <c r="AR48" i="1"/>
  <c r="AS11"/>
  <c r="F6" i="13"/>
  <c r="J37"/>
  <c r="L37" s="1"/>
  <c r="AJ22"/>
  <c r="AJ36"/>
  <c r="AJ32"/>
  <c r="AJ18"/>
  <c r="AJ23"/>
  <c r="AS39" i="1"/>
  <c r="F34" i="14"/>
  <c r="AS29" i="1"/>
  <c r="F24" i="14"/>
  <c r="AS28" i="1"/>
  <c r="F23" i="14"/>
  <c r="AS20" i="1"/>
  <c r="F15" i="14"/>
  <c r="AS12" i="1"/>
  <c r="F7" i="14"/>
  <c r="AS38" i="1"/>
  <c r="F33" i="14"/>
  <c r="AS33" i="1"/>
  <c r="F28" i="14"/>
  <c r="AS21" i="1"/>
  <c r="F16" i="14"/>
  <c r="AS13" i="1"/>
  <c r="F8" i="14"/>
  <c r="AS26" i="1"/>
  <c r="F21" i="14"/>
  <c r="AS34" i="1"/>
  <c r="AS36"/>
  <c r="F31" i="14"/>
  <c r="AS32" i="1"/>
  <c r="F27" i="14"/>
  <c r="AS24" i="1"/>
  <c r="F19" i="14"/>
  <c r="AS16" i="1"/>
  <c r="F11" i="14"/>
  <c r="AS25" i="1"/>
  <c r="F20" i="14"/>
  <c r="AS17" i="1"/>
  <c r="F12" i="14"/>
  <c r="AS37" i="1"/>
  <c r="F32" i="14"/>
  <c r="AS30" i="1"/>
  <c r="F25" i="14"/>
  <c r="AJ21" i="13"/>
  <c r="AJ34"/>
  <c r="AJ28"/>
  <c r="G7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2" i="18"/>
  <c r="R30"/>
  <c r="R28"/>
  <c r="R34"/>
  <c r="L35"/>
  <c r="G31" i="26"/>
  <c r="M39" i="14"/>
  <c r="O35"/>
  <c r="O39" s="1"/>
  <c r="E39"/>
  <c r="D39"/>
  <c r="AS40" i="1"/>
  <c r="F35" i="14"/>
  <c r="U45" i="1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R45" i="1"/>
  <c r="AS45" l="1"/>
  <c r="F39" i="14"/>
  <c r="U9" i="10"/>
  <c r="X10"/>
  <c r="T9"/>
  <c r="S9"/>
  <c r="Z9" s="1"/>
  <c r="R9"/>
  <c r="V8"/>
  <c r="W8" s="1"/>
  <c r="F8" i="13"/>
  <c r="E9"/>
  <c r="G8"/>
  <c r="AJ37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V13" s="1"/>
  <c r="W13" s="1"/>
  <c r="S13"/>
  <c r="Z13" s="1"/>
  <c r="R13"/>
  <c r="V12"/>
  <c r="W12" s="1"/>
  <c r="F12" i="13"/>
  <c r="E13"/>
  <c r="G12"/>
  <c r="X15" i="10" l="1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V23" s="1"/>
  <c r="W23" s="1"/>
  <c r="U23"/>
  <c r="X24"/>
  <c r="R23"/>
  <c r="S23"/>
  <c r="Z23" s="1"/>
  <c r="V22"/>
  <c r="W22" s="1"/>
  <c r="F22" i="13"/>
  <c r="E23"/>
  <c r="G22"/>
  <c r="U24" i="10" l="1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V34" s="1"/>
  <c r="W34" s="1"/>
  <c r="S34"/>
  <c r="Z34" s="1"/>
  <c r="V33"/>
  <c r="W33" s="1"/>
  <c r="E34" i="13"/>
  <c r="F33"/>
  <c r="G33"/>
  <c r="T35" i="10" l="1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D6" i="23"/>
  <c r="D7"/>
  <c r="E6" i="24"/>
  <c r="E7"/>
  <c r="D10" i="23"/>
  <c r="D11"/>
  <c r="E11" i="24"/>
  <c r="D14" i="23"/>
  <c r="D15"/>
  <c r="E14" i="24"/>
  <c r="E15"/>
  <c r="D18" i="23"/>
  <c r="D19"/>
  <c r="E18" i="24"/>
  <c r="E19"/>
  <c r="D22" i="23"/>
  <c r="D23"/>
  <c r="D25"/>
  <c r="D26"/>
  <c r="D27"/>
  <c r="E27" i="24"/>
  <c r="E29"/>
  <c r="E31"/>
  <c r="D34" i="23"/>
  <c r="D35"/>
  <c r="D30"/>
  <c r="D21"/>
  <c r="D8"/>
  <c r="D9"/>
  <c r="D17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D20"/>
  <c r="H11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D31" i="23"/>
  <c r="E30" i="24"/>
  <c r="D32" i="23"/>
  <c r="E26" i="24"/>
  <c r="D28" i="23"/>
  <c r="D24"/>
  <c r="E22" i="24"/>
  <c r="E10"/>
  <c r="D12" i="23"/>
  <c r="E21" i="24"/>
  <c r="E13"/>
  <c r="E5"/>
  <c r="H9"/>
  <c r="K8" i="25" s="1"/>
  <c r="D16" i="23"/>
  <c r="D33"/>
  <c r="D13"/>
  <c r="D29"/>
  <c r="E23" i="24"/>
  <c r="F4" i="25" l="1"/>
  <c r="F9"/>
  <c r="F25"/>
  <c r="F22"/>
  <c r="F20"/>
  <c r="F29"/>
  <c r="F12"/>
  <c r="F21"/>
  <c r="I3" i="24"/>
  <c r="E2" i="25" s="1"/>
  <c r="G22" i="23" l="1"/>
  <c r="G34"/>
  <c r="G35"/>
  <c r="G5"/>
  <c r="F31" l="1"/>
  <c r="G29" i="24"/>
  <c r="I28" i="26" s="1"/>
  <c r="F19" i="23"/>
  <c r="G17" i="24"/>
  <c r="I16" i="26" s="1"/>
  <c r="G5" i="24"/>
  <c r="I4" i="26" s="1"/>
  <c r="F7" i="23"/>
  <c r="G32" i="24"/>
  <c r="I31" i="26" s="1"/>
  <c r="F34" i="23"/>
  <c r="G28" i="24"/>
  <c r="I27" i="26" s="1"/>
  <c r="F30" i="23"/>
  <c r="F26"/>
  <c r="G24" i="24"/>
  <c r="I23" i="26" s="1"/>
  <c r="F22" i="23"/>
  <c r="G20" i="24"/>
  <c r="I19" i="26" s="1"/>
  <c r="G16" i="24"/>
  <c r="I15" i="26" s="1"/>
  <c r="F18" i="23"/>
  <c r="F14"/>
  <c r="G12" i="24"/>
  <c r="I11" i="26" s="1"/>
  <c r="G8" i="24"/>
  <c r="I7" i="26" s="1"/>
  <c r="F10" i="23"/>
  <c r="F6"/>
  <c r="G4" i="24"/>
  <c r="I3" i="26" s="1"/>
  <c r="G17" i="23"/>
  <c r="F35"/>
  <c r="G33" i="24"/>
  <c r="I32" i="26" s="1"/>
  <c r="F23" i="23"/>
  <c r="G21" i="24"/>
  <c r="I20" i="26" s="1"/>
  <c r="G13" i="24"/>
  <c r="I12" i="26" s="1"/>
  <c r="F15" i="23"/>
  <c r="F5"/>
  <c r="G3" i="24"/>
  <c r="I2" i="26" s="1"/>
  <c r="G31" i="24"/>
  <c r="I30" i="26" s="1"/>
  <c r="F33" i="23"/>
  <c r="F29"/>
  <c r="G27" i="24"/>
  <c r="I26" i="26" s="1"/>
  <c r="F25" i="23"/>
  <c r="G23" i="24"/>
  <c r="I22" i="26" s="1"/>
  <c r="F21" i="23"/>
  <c r="G19" i="24"/>
  <c r="I18" i="26" s="1"/>
  <c r="G15" i="24"/>
  <c r="I14" i="26" s="1"/>
  <c r="F17" i="23"/>
  <c r="G11" i="24"/>
  <c r="I10" i="26" s="1"/>
  <c r="F13" i="23"/>
  <c r="G7" i="24"/>
  <c r="I6" i="26" s="1"/>
  <c r="F9" i="23"/>
  <c r="F27"/>
  <c r="G25" i="24"/>
  <c r="I24" i="26" s="1"/>
  <c r="G9" i="24"/>
  <c r="I8" i="26" s="1"/>
  <c r="F11" i="23"/>
  <c r="F32"/>
  <c r="G30" i="24"/>
  <c r="I29" i="26" s="1"/>
  <c r="F28" i="23"/>
  <c r="G26" i="24"/>
  <c r="I25" i="26" s="1"/>
  <c r="F24" i="23"/>
  <c r="G22" i="24"/>
  <c r="I21" i="26" s="1"/>
  <c r="F20" i="23"/>
  <c r="G18" i="24"/>
  <c r="I17" i="26" s="1"/>
  <c r="G14" i="24"/>
  <c r="I13" i="26" s="1"/>
  <c r="F16" i="23"/>
  <c r="G10" i="24"/>
  <c r="I9" i="26" s="1"/>
  <c r="F12" i="23"/>
  <c r="G6" i="24"/>
  <c r="I5" i="26" s="1"/>
  <c r="F8" i="23"/>
  <c r="G26"/>
  <c r="G25"/>
  <c r="G24"/>
  <c r="G23"/>
  <c r="G21"/>
  <c r="G20"/>
  <c r="G18"/>
  <c r="G19"/>
  <c r="G16"/>
  <c r="G15"/>
  <c r="G14"/>
  <c r="G13"/>
  <c r="G12"/>
  <c r="G11"/>
  <c r="G10"/>
  <c r="G9"/>
  <c r="G8"/>
  <c r="G6"/>
  <c r="G7"/>
  <c r="H22" l="1"/>
  <c r="H20" i="24"/>
  <c r="K19" i="25" s="1"/>
  <c r="H14" i="23"/>
  <c r="H12" i="24"/>
  <c r="K11" i="25" s="1"/>
  <c r="H25" i="23"/>
  <c r="H23" i="24"/>
  <c r="K22" i="25" s="1"/>
  <c r="H17" i="23"/>
  <c r="H15" i="24"/>
  <c r="K14" i="25" s="1"/>
  <c r="H8" i="23"/>
  <c r="H6" i="24"/>
  <c r="K5" i="25" s="1"/>
  <c r="H24" i="23"/>
  <c r="H22" i="24"/>
  <c r="K21" i="25" s="1"/>
  <c r="H20" i="23"/>
  <c r="H18" i="24"/>
  <c r="K17" i="25" s="1"/>
  <c r="H16" i="23"/>
  <c r="H14" i="24"/>
  <c r="K13" i="25" s="1"/>
  <c r="H12" i="23"/>
  <c r="H10" i="24"/>
  <c r="K9" i="25" s="1"/>
  <c r="H7" i="23"/>
  <c r="H5" i="24"/>
  <c r="K4" i="25" s="1"/>
  <c r="E3" i="24"/>
  <c r="D5" i="23"/>
  <c r="H26"/>
  <c r="H24" i="24"/>
  <c r="K23" i="25" s="1"/>
  <c r="H18" i="23"/>
  <c r="H16" i="24"/>
  <c r="K15" i="25" s="1"/>
  <c r="H9" i="23"/>
  <c r="H7" i="24"/>
  <c r="K6" i="25" s="1"/>
  <c r="H21" i="23"/>
  <c r="H19" i="24"/>
  <c r="K18" i="25" s="1"/>
  <c r="H13" i="23"/>
  <c r="H11" i="24"/>
  <c r="K10" i="25" s="1"/>
  <c r="H5" i="23"/>
  <c r="H3" i="24"/>
  <c r="K2" i="25" s="1"/>
  <c r="H23" i="23"/>
  <c r="H21" i="24"/>
  <c r="K20" i="25" s="1"/>
  <c r="H19" i="23"/>
  <c r="H17" i="24"/>
  <c r="K16" i="25" s="1"/>
  <c r="H15" i="23"/>
  <c r="H13" i="24"/>
  <c r="K12" i="25" s="1"/>
  <c r="H10" i="23"/>
  <c r="H8" i="24"/>
  <c r="K7" i="25" s="1"/>
  <c r="H6" i="23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9" i="23"/>
  <c r="H27" i="24"/>
  <c r="K26" i="25" s="1"/>
  <c r="H30" i="23"/>
  <c r="H28" i="24"/>
  <c r="K27" i="25" s="1"/>
  <c r="H31" i="23"/>
  <c r="H29" i="24"/>
  <c r="K28" i="25" s="1"/>
  <c r="H32" i="23"/>
  <c r="H30" i="24"/>
  <c r="K29" i="25" s="1"/>
  <c r="H33" i="23"/>
  <c r="H31" i="24"/>
  <c r="K30" i="25" s="1"/>
  <c r="H34" i="23"/>
  <c r="H32" i="24"/>
  <c r="K31" i="25" s="1"/>
  <c r="H35" i="23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8" i="23"/>
  <c r="H26" i="24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7" i="23"/>
  <c r="H25" i="24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AT24" i="1"/>
  <c r="E18" i="23"/>
  <c r="J18" i="11"/>
  <c r="J25"/>
  <c r="H26" i="13"/>
  <c r="E25" i="23"/>
  <c r="AT31" i="1"/>
  <c r="J31" i="11"/>
  <c r="E31" i="23"/>
  <c r="AT37" i="1"/>
  <c r="H32" i="13"/>
  <c r="E16" i="23"/>
  <c r="AT22" i="1"/>
  <c r="H17" i="13"/>
  <c r="J16" i="11"/>
  <c r="J7"/>
  <c r="E7" i="23"/>
  <c r="H8" i="13"/>
  <c r="AT13" i="1"/>
  <c r="AT20"/>
  <c r="J14" i="11"/>
  <c r="E14" i="23"/>
  <c r="H15" i="13"/>
  <c r="J24" i="11"/>
  <c r="E24" i="23"/>
  <c r="H25" i="13"/>
  <c r="AT30" i="1"/>
  <c r="E26" i="23"/>
  <c r="H27" i="13"/>
  <c r="AT32" i="1"/>
  <c r="J26" i="11"/>
  <c r="E6" i="23"/>
  <c r="J6" i="11"/>
  <c r="H7" i="13"/>
  <c r="AT12" i="1"/>
  <c r="E30" i="23"/>
  <c r="H31" i="13"/>
  <c r="J30" i="11"/>
  <c r="AT36" i="1"/>
  <c r="E33" i="23"/>
  <c r="AT39" i="1"/>
  <c r="J33" i="11"/>
  <c r="H34" i="13"/>
  <c r="AT18" i="1"/>
  <c r="H13" i="13"/>
  <c r="J12" i="11"/>
  <c r="E12" i="23"/>
  <c r="J15" i="11"/>
  <c r="AT21" i="1"/>
  <c r="E15" i="23"/>
  <c r="H16" i="13"/>
  <c r="E5" i="23"/>
  <c r="J5" i="11"/>
  <c r="H6" i="13"/>
  <c r="H3"/>
  <c r="AT11" i="1"/>
  <c r="E17" i="23"/>
  <c r="AT23" i="1"/>
  <c r="J17" i="11"/>
  <c r="H18" i="13"/>
  <c r="E29" i="23"/>
  <c r="AT35" i="1"/>
  <c r="J29" i="11"/>
  <c r="H30" i="13"/>
  <c r="H20"/>
  <c r="E19" i="23"/>
  <c r="J19" i="11"/>
  <c r="AT25" i="1"/>
  <c r="H21" i="13"/>
  <c r="E20" i="23"/>
  <c r="J20" i="11"/>
  <c r="AT26" i="1"/>
  <c r="J22" i="11"/>
  <c r="AT28" i="1"/>
  <c r="H23" i="13"/>
  <c r="E22" i="23"/>
  <c r="J35" i="11"/>
  <c r="E35" i="23"/>
  <c r="H36" i="13"/>
  <c r="AT41" i="1"/>
  <c r="E10" i="23"/>
  <c r="AT16" i="1"/>
  <c r="H11" i="13"/>
  <c r="J10" i="11"/>
  <c r="J13"/>
  <c r="E13" i="23"/>
  <c r="H14" i="13"/>
  <c r="AT19" i="1"/>
  <c r="AT17"/>
  <c r="J11" i="11"/>
  <c r="H12" i="13"/>
  <c r="E11" i="23"/>
  <c r="J34" i="11"/>
  <c r="E34" i="23"/>
  <c r="H35" i="13"/>
  <c r="AT40" i="1"/>
  <c r="E23" i="23"/>
  <c r="H24" i="13"/>
  <c r="AT29" i="1"/>
  <c r="J23" i="11"/>
  <c r="H29" i="13"/>
  <c r="AT34" i="1"/>
  <c r="E28" i="23"/>
  <c r="J28" i="11"/>
  <c r="AT14" i="1"/>
  <c r="E8" i="23"/>
  <c r="H9" i="13"/>
  <c r="J8" i="11"/>
  <c r="H33" i="13"/>
  <c r="E32" i="23"/>
  <c r="J32" i="11"/>
  <c r="AT38" i="1"/>
  <c r="H28" i="13"/>
  <c r="E27" i="23"/>
  <c r="AT33" i="1"/>
  <c r="J27" i="11"/>
  <c r="J9"/>
  <c r="E9" i="23"/>
  <c r="AT15" i="1"/>
  <c r="H10" i="13"/>
  <c r="J21" i="11"/>
  <c r="AT27" i="1"/>
  <c r="H22" i="13"/>
  <c r="E21" i="23"/>
  <c r="AT42" i="1"/>
  <c r="J36" i="11"/>
  <c r="E36" i="23"/>
  <c r="AT43" i="1"/>
</calcChain>
</file>

<file path=xl/comments1.xml><?xml version="1.0" encoding="utf-8"?>
<comments xmlns="http://schemas.openxmlformats.org/spreadsheetml/2006/main">
  <authors>
    <author>john.japhet</author>
  </authors>
  <commentList>
    <comment ref="AC12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Nemaa</t>
        </r>
      </text>
    </comment>
    <comment ref="Y13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Malima to Mugumu</t>
        </r>
      </text>
    </comment>
    <comment ref="AC13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Nemaa to Kisorya</t>
        </r>
      </text>
    </comment>
    <comment ref="Y14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Felix to Mugumu</t>
        </r>
      </text>
    </comment>
    <comment ref="Y16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Felix/Gerald</t>
        </r>
      </text>
    </comment>
    <comment ref="Y18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Felix to Sero</t>
        </r>
      </text>
    </comment>
    <comment ref="Y19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wilson</t>
        </r>
      </text>
    </comment>
    <comment ref="AI19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Paid cash</t>
        </r>
      </text>
    </comment>
    <comment ref="Y23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Felix to Robanda</t>
        </r>
      </text>
    </comment>
    <comment ref="W24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Huge fuel consumptions for only single trip</t>
        </r>
      </text>
    </comment>
    <comment ref="Y26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Wilson/Thadey</t>
        </r>
      </text>
    </comment>
    <comment ref="Y28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Elisamehe used to Seronera and Robanda</t>
        </r>
      </text>
    </comment>
    <comment ref="AC30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Malula to Mugumu, Engineering materials pick up</t>
        </r>
      </text>
    </comment>
    <comment ref="Y32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Dotto to Lobo drop off</t>
        </r>
      </text>
    </comment>
  </commentList>
</comments>
</file>

<file path=xl/sharedStrings.xml><?xml version="1.0" encoding="utf-8"?>
<sst xmlns="http://schemas.openxmlformats.org/spreadsheetml/2006/main" count="556" uniqueCount="337">
  <si>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</si>
  <si>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</si>
  <si>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</si>
  <si>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</si>
  <si>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</si>
  <si>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</si>
  <si>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</si>
  <si>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</si>
  <si>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</si>
  <si>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</si>
  <si>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</si>
  <si>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</si>
  <si>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</si>
  <si>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</si>
  <si>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</si>
  <si>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</si>
  <si>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</si>
  <si>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</si>
  <si>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</si>
  <si>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</si>
  <si>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</si>
  <si>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</si>
  <si>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</si>
  <si>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</si>
  <si>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</si>
  <si>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</si>
  <si>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</si>
  <si>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</si>
  <si>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</si>
  <si>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</si>
  <si>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</si>
  <si>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</si>
  <si>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</si>
  <si>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</si>
  <si>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</si>
  <si>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</si>
  <si>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PRICE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</si>
  <si>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</si>
  <si>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</si>
  <si>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</si>
  <si>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</si>
  <si>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</si>
  <si>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</si>
  <si>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</si>
  <si>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</si>
  <si>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</si>
  <si>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</si>
  <si>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</si>
  <si>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</si>
  <si>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</si>
  <si>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</si>
  <si>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</si>
  <si>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</si>
  <si>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</si>
  <si>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</si>
  <si>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</si>
  <si>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</si>
  <si>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</si>
  <si>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</si>
  <si>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</si>
  <si>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</si>
  <si>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</si>
  <si>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</si>
  <si>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</si>
  <si>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</si>
  <si>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</si>
  <si>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</si>
  <si>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</si>
  <si>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</si>
  <si>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</si>
  <si>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</si>
  <si>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</si>
  <si>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</si>
  <si>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</si>
  <si>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</si>
  <si>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</si>
  <si>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</si>
  <si>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</si>
  <si>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</si>
  <si>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</si>
  <si>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</si>
  <si>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</si>
  <si>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</si>
  <si>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</si>
  <si>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</si>
  <si>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</si>
  <si>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</si>
  <si>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</si>
  <si>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</si>
  <si>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</si>
  <si>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</si>
  <si>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</si>
  <si>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</si>
  <si>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</si>
  <si>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</si>
  <si>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</si>
  <si>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</si>
  <si>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</si>
  <si>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</si>
  <si>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</si>
  <si>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</si>
  <si>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</si>
  <si>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</si>
  <si>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</si>
  <si>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</si>
  <si>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</si>
  <si>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</si>
  <si>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</si>
  <si>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</si>
  <si>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</si>
  <si>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</si>
  <si>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</si>
  <si>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</si>
  <si>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</si>
  <si>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</si>
  <si>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</si>
  <si>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</si>
  <si>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</si>
  <si>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</si>
  <si>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</si>
  <si>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</si>
  <si>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</si>
  <si>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</si>
  <si>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</si>
  <si>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</si>
  <si>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</si>
  <si>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</si>
  <si>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</si>
  <si>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</si>
  <si>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</si>
  <si>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</si>
  <si>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</si>
  <si>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</si>
  <si>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</si>
  <si>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</si>
  <si>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</si>
  <si>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</si>
  <si>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</si>
  <si>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</si>
  <si>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</si>
  <si>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</si>
  <si>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</si>
  <si>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</si>
  <si>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</si>
  <si>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</si>
  <si>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</si>
  <si>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</si>
  <si>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</si>
  <si>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</si>
  <si>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</si>
  <si>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</si>
  <si>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</si>
  <si>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</si>
  <si>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</si>
  <si>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</si>
  <si>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</si>
  <si>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</si>
  <si>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</si>
  <si>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</si>
  <si>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</si>
  <si>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</si>
  <si>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</si>
  <si>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</si>
  <si>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</si>
  <si>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</si>
  <si>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</si>
  <si>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</si>
  <si>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</si>
  <si>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</si>
  <si>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</si>
  <si>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</si>
  <si>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</si>
  <si>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</si>
  <si>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</si>
  <si>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</si>
  <si>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</si>
  <si>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</si>
  <si>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</si>
  <si>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</si>
  <si>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</si>
  <si>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</si>
  <si>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</si>
  <si>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</si>
  <si>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</si>
  <si>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</si>
  <si>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</si>
  <si>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</si>
  <si>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</si>
  <si>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</si>
  <si>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</si>
  <si>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</si>
  <si>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</si>
  <si>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</si>
  <si>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</si>
  <si>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</si>
  <si>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</si>
  <si>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</si>
  <si>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</si>
  <si>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</si>
  <si>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</si>
  <si>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</si>
  <si>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</si>
  <si>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</si>
  <si>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</si>
  <si>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</si>
  <si>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</si>
  <si>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</si>
  <si>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</si>
  <si>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</si>
  <si>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</si>
  <si>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</si>
  <si>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</si>
  <si>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</si>
  <si>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</si>
  <si>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</si>
  <si>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</si>
  <si>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</si>
  <si>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</si>
  <si>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</si>
  <si>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</si>
  <si>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</si>
  <si>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</si>
  <si>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</si>
  <si>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</si>
  <si>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</si>
  <si>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</si>
  <si>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</si>
  <si>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</si>
  <si>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</si>
  <si>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</si>
  <si>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</si>
  <si>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</si>
  <si>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</si>
  <si>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</si>
  <si>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</si>
  <si>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</si>
  <si>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</si>
  <si>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</si>
  <si>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</si>
  <si>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</si>
  <si>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</si>
  <si>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</si>
  <si>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</si>
  <si>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</si>
  <si>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</si>
  <si>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</si>
  <si>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</si>
  <si>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 xml:space="preserve">   GREENLAND VEHICLE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</si>
  <si>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</si>
  <si>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</si>
  <si>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</si>
  <si>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</si>
  <si>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</si>
  <si>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</si>
  <si>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>PUMP 1 METER READING</t>
  </si>
  <si>
    <t>PUMP 2 METER READING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</si>
  <si>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</si>
  <si>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</si>
  <si>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</si>
  <si>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</si>
  <si>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</si>
  <si>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Generator and Diseal Summry Report 2019</t>
  </si>
  <si>
    <t xml:space="preserve">Four Seasons Safari Lodge Serengeti OCT 2019- Water Report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</si>
  <si>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</si>
  <si>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</si>
  <si>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</si>
  <si>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</si>
  <si>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</si>
  <si>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</si>
  <si>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</si>
  <si>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</si>
  <si>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</si>
  <si>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</si>
  <si>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</si>
  <si>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</si>
  <si>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</si>
  <si>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</si>
  <si>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</si>
  <si>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</si>
  <si>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</si>
  <si>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</si>
  <si>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</si>
  <si>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</si>
  <si>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</si>
  <si>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</si>
  <si>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</si>
  <si>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</si>
  <si>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</si>
  <si>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</si>
  <si>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</si>
  <si>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</si>
  <si>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</si>
  <si>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</si>
  <si>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</si>
  <si>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</si>
  <si>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</si>
  <si>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</si>
  <si>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</si>
  <si>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</si>
  <si>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</si>
  <si>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</si>
  <si>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</si>
  <si>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</si>
  <si>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</si>
  <si>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</si>
  <si>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</si>
  <si>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</si>
  <si>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</si>
  <si>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</si>
  <si>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</si>
  <si>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</si>
  <si>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</si>
  <si>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</si>
  <si>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HLP REPORT NOV.  2019</t>
  </si>
  <si>
    <t>DAILY UTILITY REPORT NOV 2019</t>
  </si>
  <si>
    <t xml:space="preserve">NOVEMBER UTILITY REPORT </t>
  </si>
  <si>
    <t>Total water Consumption  (M3)</t>
  </si>
  <si>
    <t xml:space="preserve">Total Bore holes production  (M3) </t>
  </si>
  <si>
    <t>T106CWQ</t>
  </si>
  <si>
    <t>Gurisha</t>
  </si>
  <si>
    <t>T882DKQ</t>
  </si>
  <si>
    <t>Moses</t>
  </si>
  <si>
    <t>T740DIS</t>
  </si>
  <si>
    <t>Alphonce</t>
  </si>
  <si>
    <t>Noel</t>
  </si>
  <si>
    <t>Paid</t>
  </si>
  <si>
    <t>T111CWQ</t>
  </si>
  <si>
    <t>Richard</t>
  </si>
  <si>
    <t>T880DKQ</t>
  </si>
  <si>
    <t>Dickson</t>
  </si>
  <si>
    <t>T132CWQ</t>
  </si>
  <si>
    <t>Zakayo</t>
  </si>
  <si>
    <t>T364AHF</t>
  </si>
  <si>
    <t>T840DDW</t>
  </si>
  <si>
    <t>Kelvin</t>
  </si>
  <si>
    <t>Priscus</t>
  </si>
  <si>
    <t>106CWQ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</si>
</sst>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9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0" fontId="0" fillId="0" borderId="20" xfId="0" applyBorder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5" xfId="0" applyFont="1" applyBorder="1" applyAlignment="1">
      <alignment horizontal="center" wrapText="1"/>
    </xf>
    <xf numFmtId="0" fontId="24" fillId="0" borderId="55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4" fontId="8" fillId="0" borderId="0" xfId="0" applyNumberFormat="1" applyFont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5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71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2" xfId="0" applyFont="1" applyBorder="1"/>
    <xf numFmtId="0" fontId="26" fillId="0" borderId="72" xfId="0" applyFont="1" applyBorder="1"/>
    <xf numFmtId="0" fontId="25" fillId="0" borderId="0" xfId="0" applyFont="1" applyBorder="1"/>
    <xf numFmtId="18" fontId="25" fillId="0" borderId="72" xfId="0" applyNumberFormat="1" applyFont="1" applyBorder="1"/>
    <xf numFmtId="0" fontId="0" fillId="0" borderId="73" xfId="0" applyBorder="1"/>
    <xf numFmtId="173" fontId="0" fillId="0" borderId="0" xfId="0" applyNumberFormat="1"/>
    <xf numFmtId="174" fontId="0" fillId="0" borderId="0" xfId="0" applyNumberFormat="1"/>
    <xf numFmtId="0" fontId="25" fillId="0" borderId="74" xfId="0" applyFont="1" applyBorder="1"/>
    <xf numFmtId="0" fontId="25" fillId="0" borderId="75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6" xfId="0" applyFont="1" applyFill="1" applyBorder="1" applyAlignment="1">
      <alignment horizontal="center" vertical="center" wrapText="1"/>
    </xf>
    <xf numFmtId="0" fontId="25" fillId="0" borderId="77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8" xfId="0" applyFont="1" applyBorder="1"/>
    <xf numFmtId="0" fontId="0" fillId="12" borderId="27" xfId="0" applyFill="1" applyBorder="1"/>
    <xf numFmtId="0" fontId="19" fillId="0" borderId="60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8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5" xfId="1" applyFont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6" fontId="11" fillId="0" borderId="5" xfId="1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5" xfId="1" applyNumberFormat="1" applyFont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6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67" xfId="0" applyNumberFormat="1" applyBorder="1" applyAlignment="1">
      <alignment horizontal="center"/>
    </xf>
    <xf numFmtId="0" fontId="0" fillId="0" borderId="55" xfId="0" applyBorder="1"/>
    <xf numFmtId="166" fontId="11" fillId="0" borderId="5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5" fillId="25" borderId="1" xfId="4" applyFont="1" applyFill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60" xfId="0" applyBorder="1"/>
    <xf numFmtId="0" fontId="0" fillId="0" borderId="61" xfId="0" applyBorder="1"/>
    <xf numFmtId="0" fontId="0" fillId="0" borderId="51" xfId="0" applyBorder="1"/>
    <xf numFmtId="0" fontId="0" fillId="0" borderId="48" xfId="0" applyBorder="1"/>
    <xf numFmtId="0" fontId="0" fillId="0" borderId="50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8" xfId="4" applyFont="1" applyFill="1" applyBorder="1" applyAlignment="1">
      <alignment horizontal="center"/>
    </xf>
    <xf numFmtId="0" fontId="19" fillId="7" borderId="8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41" fillId="0" borderId="65" xfId="0" applyFont="1" applyBorder="1" applyAlignment="1">
      <alignment horizontal="center" wrapText="1"/>
    </xf>
    <xf numFmtId="14" fontId="0" fillId="0" borderId="56" xfId="0" applyNumberFormat="1" applyBorder="1" applyAlignment="1">
      <alignment horizontal="center"/>
    </xf>
    <xf numFmtId="14" fontId="0" fillId="0" borderId="9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4" fillId="0" borderId="8" xfId="0" applyFont="1" applyBorder="1" applyAlignment="1"/>
    <xf numFmtId="0" fontId="42" fillId="0" borderId="8" xfId="0" applyFont="1" applyBorder="1" applyAlignment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41" fillId="0" borderId="93" xfId="0" applyFont="1" applyBorder="1" applyAlignment="1">
      <alignment horizontal="center" wrapText="1"/>
    </xf>
    <xf numFmtId="0" fontId="0" fillId="9" borderId="0" xfId="0" applyFill="1" applyBorder="1"/>
    <xf numFmtId="0" fontId="9" fillId="9" borderId="0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0" fillId="33" borderId="1" xfId="0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4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7" borderId="99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100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2" fontId="2" fillId="16" borderId="1" xfId="1" applyNumberFormat="1" applyFont="1" applyFill="1" applyBorder="1"/>
    <xf numFmtId="0" fontId="4" fillId="0" borderId="52" xfId="0" applyFont="1" applyBorder="1" applyAlignment="1"/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0" fillId="0" borderId="16" xfId="0" applyNumberFormat="1" applyBorder="1" applyAlignment="1">
      <alignment horizontal="center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5" xfId="0" applyFont="1" applyFill="1" applyBorder="1" applyAlignment="1">
      <alignment horizontal="center"/>
    </xf>
    <xf numFmtId="0" fontId="4" fillId="8" borderId="93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5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166" fontId="25" fillId="24" borderId="1" xfId="4" applyNumberFormat="1" applyFont="1" applyFill="1" applyBorder="1" applyAlignment="1">
      <alignment horizontal="center"/>
    </xf>
    <xf numFmtId="0" fontId="0" fillId="34" borderId="5" xfId="0" applyFill="1" applyBorder="1"/>
    <xf numFmtId="0" fontId="0" fillId="38" borderId="1" xfId="0" applyFill="1" applyBorder="1"/>
    <xf numFmtId="0" fontId="0" fillId="37" borderId="16" xfId="0" applyFill="1" applyBorder="1" applyAlignment="1">
      <alignment horizontal="center" wrapText="1"/>
    </xf>
    <xf numFmtId="0" fontId="0" fillId="34" borderId="23" xfId="0" applyFill="1" applyBorder="1"/>
    <xf numFmtId="0" fontId="0" fillId="37" borderId="18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2" borderId="9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37" borderId="17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2" fillId="16" borderId="22" xfId="1" applyNumberFormat="1" applyFon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0" fillId="16" borderId="22" xfId="0" applyFill="1" applyBorder="1" applyAlignment="1">
      <alignment horizontal="center" wrapText="1"/>
    </xf>
    <xf numFmtId="0" fontId="0" fillId="28" borderId="19" xfId="0" applyFill="1" applyBorder="1" applyAlignment="1">
      <alignment horizontal="center" wrapText="1"/>
    </xf>
    <xf numFmtId="0" fontId="0" fillId="37" borderId="21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0" borderId="80" xfId="0" applyFont="1" applyBorder="1" applyAlignment="1"/>
    <xf numFmtId="0" fontId="4" fillId="7" borderId="93" xfId="0" applyFont="1" applyFill="1" applyBorder="1" applyAlignment="1">
      <alignment horizontal="center" wrapText="1"/>
    </xf>
    <xf numFmtId="0" fontId="4" fillId="7" borderId="65" xfId="0" applyFont="1" applyFill="1" applyBorder="1" applyAlignment="1">
      <alignment horizontal="center"/>
    </xf>
    <xf numFmtId="0" fontId="4" fillId="0" borderId="49" xfId="0" applyFont="1" applyBorder="1" applyAlignment="1"/>
    <xf numFmtId="0" fontId="4" fillId="7" borderId="65" xfId="0" applyFont="1" applyFill="1" applyBorder="1" applyAlignment="1">
      <alignment horizontal="center" wrapText="1"/>
    </xf>
    <xf numFmtId="0" fontId="4" fillId="0" borderId="53" xfId="0" applyFont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4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5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5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5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2" xfId="1" applyNumberFormat="1" applyFont="1" applyFill="1" applyBorder="1" applyAlignment="1">
      <alignment horizontal="center" vertical="center" wrapText="1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5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165" fontId="16" fillId="0" borderId="27" xfId="1" applyFont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5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0" fontId="4" fillId="7" borderId="62" xfId="0" applyFont="1" applyFill="1" applyBorder="1" applyAlignment="1">
      <alignment horizontal="center"/>
    </xf>
    <xf numFmtId="0" fontId="4" fillId="7" borderId="64" xfId="0" applyFont="1" applyFill="1" applyBorder="1" applyAlignment="1">
      <alignment horizontal="center"/>
    </xf>
    <xf numFmtId="0" fontId="4" fillId="7" borderId="64" xfId="0" applyFont="1" applyFill="1" applyBorder="1" applyAlignment="1"/>
    <xf numFmtId="0" fontId="4" fillId="7" borderId="63" xfId="0" applyFont="1" applyFill="1" applyBorder="1" applyAlignment="1"/>
    <xf numFmtId="165" fontId="4" fillId="0" borderId="1" xfId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65" fontId="4" fillId="0" borderId="6" xfId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2" fontId="2" fillId="16" borderId="26" xfId="1" applyNumberFormat="1" applyFont="1" applyFill="1" applyBorder="1" applyAlignment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26" fillId="0" borderId="103" xfId="0" applyFont="1" applyBorder="1" applyAlignment="1">
      <alignment horizontal="center"/>
    </xf>
    <xf numFmtId="3" fontId="1" fillId="0" borderId="74" xfId="0" applyNumberFormat="1" applyFont="1" applyBorder="1"/>
    <xf numFmtId="0" fontId="25" fillId="0" borderId="104" xfId="0" applyFont="1" applyFill="1" applyBorder="1"/>
    <xf numFmtId="0" fontId="0" fillId="0" borderId="5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7" xfId="0" applyBorder="1"/>
    <xf numFmtId="0" fontId="41" fillId="0" borderId="55" xfId="0" applyFont="1" applyBorder="1"/>
    <xf numFmtId="0" fontId="12" fillId="0" borderId="55" xfId="0" applyFont="1" applyBorder="1"/>
    <xf numFmtId="0" fontId="41" fillId="0" borderId="0" xfId="0" applyFont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14" fontId="2" fillId="0" borderId="16" xfId="0" applyNumberFormat="1" applyFont="1" applyBorder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26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8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5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5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6" xfId="0" applyFont="1" applyBorder="1" applyAlignment="1">
      <alignment horizontal="center"/>
    </xf>
    <xf numFmtId="14" fontId="4" fillId="0" borderId="56" xfId="0" applyNumberFormat="1" applyFont="1" applyBorder="1" applyAlignment="1"/>
    <xf numFmtId="14" fontId="4" fillId="0" borderId="25" xfId="0" applyNumberFormat="1" applyFont="1" applyBorder="1" applyAlignment="1"/>
    <xf numFmtId="0" fontId="4" fillId="0" borderId="11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1" fillId="0" borderId="11" xfId="4" applyFont="1" applyBorder="1" applyAlignment="1"/>
    <xf numFmtId="0" fontId="1" fillId="0" borderId="12" xfId="4" applyFont="1" applyBorder="1" applyAlignment="1"/>
    <xf numFmtId="0" fontId="1" fillId="0" borderId="27" xfId="4" applyFont="1" applyBorder="1" applyAlignment="1"/>
    <xf numFmtId="0" fontId="1" fillId="0" borderId="25" xfId="4" applyFont="1" applyBorder="1" applyAlignment="1"/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8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4" xfId="1" applyNumberFormat="1" applyFont="1" applyFill="1" applyBorder="1"/>
    <xf numFmtId="166" fontId="2" fillId="12" borderId="58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4" fillId="0" borderId="26" xfId="0" applyFont="1" applyBorder="1" applyAlignment="1">
      <alignment horizontal="center"/>
    </xf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8" xfId="9" applyFont="1" applyBorder="1" applyAlignment="1">
      <alignment horizontal="center" vertical="center"/>
    </xf>
    <xf numFmtId="41" fontId="0" fillId="0" borderId="105" xfId="9" applyFont="1" applyBorder="1" applyAlignment="1">
      <alignment horizontal="center" vertical="center"/>
    </xf>
    <xf numFmtId="41" fontId="0" fillId="0" borderId="4" xfId="9" applyFont="1" applyBorder="1" applyAlignment="1">
      <alignment horizontal="center" vertical="center"/>
    </xf>
    <xf numFmtId="41" fontId="0" fillId="0" borderId="19" xfId="9" applyFont="1" applyBorder="1" applyAlignment="1">
      <alignment horizontal="center" vertical="center"/>
    </xf>
    <xf numFmtId="41" fontId="0" fillId="0" borderId="106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" fontId="60" fillId="0" borderId="1" xfId="4" applyNumberFormat="1" applyFont="1" applyBorder="1" applyAlignment="1">
      <alignment horizontal="center"/>
    </xf>
    <xf numFmtId="41" fontId="0" fillId="0" borderId="25" xfId="9" applyFont="1" applyBorder="1" applyAlignment="1">
      <alignment horizontal="center" vertical="center"/>
    </xf>
    <xf numFmtId="41" fontId="0" fillId="0" borderId="22" xfId="9" applyFont="1" applyBorder="1" applyAlignment="1">
      <alignment horizontal="center" vertical="center"/>
    </xf>
    <xf numFmtId="41" fontId="0" fillId="0" borderId="12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169" fontId="11" fillId="0" borderId="56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7" xfId="0" applyFont="1" applyBorder="1"/>
    <xf numFmtId="0" fontId="26" fillId="0" borderId="108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right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3" xfId="0" applyFont="1" applyBorder="1" applyAlignment="1">
      <alignment wrapText="1"/>
    </xf>
    <xf numFmtId="0" fontId="0" fillId="0" borderId="53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0" fontId="16" fillId="0" borderId="1" xfId="1" applyNumberFormat="1" applyFont="1" applyBorder="1" applyAlignment="1">
      <alignment vertic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5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7" xfId="0" applyFont="1" applyFill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5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5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91" xfId="0" applyFont="1" applyBorder="1" applyAlignment="1">
      <alignment horizontal="center"/>
    </xf>
    <xf numFmtId="0" fontId="2" fillId="0" borderId="10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5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4" fillId="0" borderId="26" xfId="0" applyFont="1" applyBorder="1" applyAlignment="1"/>
    <xf numFmtId="0" fontId="4" fillId="0" borderId="5" xfId="0" applyFont="1" applyBorder="1" applyAlignment="1"/>
    <xf numFmtId="0" fontId="4" fillId="0" borderId="22" xfId="0" applyFont="1" applyBorder="1" applyAlignment="1"/>
    <xf numFmtId="14" fontId="4" fillId="0" borderId="23" xfId="0" applyNumberFormat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14" fontId="4" fillId="0" borderId="91" xfId="0" applyNumberFormat="1" applyFont="1" applyBorder="1" applyAlignment="1">
      <alignment horizontal="right"/>
    </xf>
    <xf numFmtId="14" fontId="4" fillId="0" borderId="39" xfId="0" applyNumberFormat="1" applyFont="1" applyBorder="1" applyAlignment="1">
      <alignment horizontal="right"/>
    </xf>
    <xf numFmtId="14" fontId="4" fillId="0" borderId="67" xfId="0" applyNumberFormat="1" applyFont="1" applyBorder="1" applyAlignment="1">
      <alignment horizontal="right"/>
    </xf>
    <xf numFmtId="14" fontId="4" fillId="0" borderId="22" xfId="0" applyNumberFormat="1" applyFont="1" applyBorder="1" applyAlignment="1">
      <alignment horizontal="right"/>
    </xf>
    <xf numFmtId="14" fontId="4" fillId="0" borderId="56" xfId="0" applyNumberFormat="1" applyFont="1" applyBorder="1" applyAlignment="1"/>
    <xf numFmtId="14" fontId="4" fillId="0" borderId="25" xfId="0" applyNumberFormat="1" applyFont="1" applyBorder="1" applyAlignment="1"/>
    <xf numFmtId="14" fontId="4" fillId="0" borderId="67" xfId="0" applyNumberFormat="1" applyFont="1" applyBorder="1" applyAlignment="1"/>
    <xf numFmtId="14" fontId="4" fillId="0" borderId="22" xfId="0" applyNumberFormat="1" applyFont="1" applyBorder="1" applyAlignment="1"/>
    <xf numFmtId="0" fontId="10" fillId="27" borderId="55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4" fillId="32" borderId="55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5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7" borderId="55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6" fillId="2" borderId="55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1" borderId="20" xfId="0" applyFont="1" applyFill="1" applyBorder="1" applyAlignment="1">
      <alignment horizontal="center"/>
    </xf>
    <xf numFmtId="0" fontId="10" fillId="31" borderId="35" xfId="0" applyFont="1" applyFill="1" applyBorder="1" applyAlignment="1">
      <alignment horizontal="center"/>
    </xf>
    <xf numFmtId="0" fontId="10" fillId="31" borderId="57" xfId="0" applyFont="1" applyFill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5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4" fontId="4" fillId="0" borderId="24" xfId="0" applyNumberFormat="1" applyFont="1" applyBorder="1" applyAlignment="1">
      <alignment horizontal="center"/>
    </xf>
    <xf numFmtId="14" fontId="4" fillId="0" borderId="25" xfId="0" applyNumberFormat="1" applyFont="1" applyBorder="1" applyAlignment="1">
      <alignment horizontal="center"/>
    </xf>
    <xf numFmtId="14" fontId="4" fillId="0" borderId="54" xfId="0" applyNumberFormat="1" applyFont="1" applyBorder="1" applyAlignment="1">
      <alignment horizontal="center"/>
    </xf>
    <xf numFmtId="14" fontId="4" fillId="0" borderId="37" xfId="0" applyNumberFormat="1" applyFont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79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8" xfId="0" applyFont="1" applyFill="1" applyBorder="1" applyAlignment="1">
      <alignment horizontal="center" wrapText="1"/>
    </xf>
    <xf numFmtId="0" fontId="2" fillId="28" borderId="100" xfId="0" applyFont="1" applyFill="1" applyBorder="1" applyAlignment="1">
      <alignment horizontal="center" wrapText="1"/>
    </xf>
    <xf numFmtId="0" fontId="37" fillId="11" borderId="55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9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4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 vertical="center" wrapText="1"/>
    </xf>
    <xf numFmtId="0" fontId="19" fillId="7" borderId="9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19" fillId="7" borderId="9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7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91" xfId="0" applyFont="1" applyFill="1" applyBorder="1" applyAlignment="1">
      <alignment horizontal="center" vertical="center"/>
    </xf>
    <xf numFmtId="0" fontId="19" fillId="14" borderId="9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5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2502.5700000000002</c:v>
                </c:pt>
                <c:pt idx="1">
                  <c:v>2086.83</c:v>
                </c:pt>
                <c:pt idx="2">
                  <c:v>1834.21</c:v>
                </c:pt>
                <c:pt idx="3">
                  <c:v>2117.6999999999998</c:v>
                </c:pt>
                <c:pt idx="4">
                  <c:v>2435.73</c:v>
                </c:pt>
                <c:pt idx="5">
                  <c:v>2229.96</c:v>
                </c:pt>
                <c:pt idx="6">
                  <c:v>2100.4499999999998</c:v>
                </c:pt>
                <c:pt idx="7">
                  <c:v>2130.17</c:v>
                </c:pt>
                <c:pt idx="8">
                  <c:v>2241.8000000000002</c:v>
                </c:pt>
                <c:pt idx="9">
                  <c:v>2652.4500000000003</c:v>
                </c:pt>
                <c:pt idx="10">
                  <c:v>2587.46</c:v>
                </c:pt>
                <c:pt idx="11">
                  <c:v>2229.48</c:v>
                </c:pt>
                <c:pt idx="12">
                  <c:v>2368.3599999999997</c:v>
                </c:pt>
                <c:pt idx="13">
                  <c:v>2133.65</c:v>
                </c:pt>
                <c:pt idx="14">
                  <c:v>2099.12</c:v>
                </c:pt>
                <c:pt idx="15">
                  <c:v>2394.69</c:v>
                </c:pt>
                <c:pt idx="16">
                  <c:v>2272.4</c:v>
                </c:pt>
                <c:pt idx="17">
                  <c:v>1853.3000000000002</c:v>
                </c:pt>
                <c:pt idx="18">
                  <c:v>1844.6200000000001</c:v>
                </c:pt>
                <c:pt idx="19">
                  <c:v>1557.2</c:v>
                </c:pt>
                <c:pt idx="20">
                  <c:v>1822.8899999999999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895744"/>
        <c:axId val="1209057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58</c:v>
                </c:pt>
                <c:pt idx="1">
                  <c:v>9</c:v>
                </c:pt>
                <c:pt idx="2">
                  <c:v>10</c:v>
                </c:pt>
                <c:pt idx="3">
                  <c:v>25</c:v>
                </c:pt>
                <c:pt idx="4">
                  <c:v>24</c:v>
                </c:pt>
                <c:pt idx="5">
                  <c:v>17</c:v>
                </c:pt>
                <c:pt idx="6">
                  <c:v>13</c:v>
                </c:pt>
                <c:pt idx="7">
                  <c:v>13</c:v>
                </c:pt>
                <c:pt idx="8">
                  <c:v>36</c:v>
                </c:pt>
                <c:pt idx="9">
                  <c:v>73</c:v>
                </c:pt>
                <c:pt idx="10">
                  <c:v>73</c:v>
                </c:pt>
                <c:pt idx="11">
                  <c:v>39</c:v>
                </c:pt>
                <c:pt idx="12">
                  <c:v>41</c:v>
                </c:pt>
                <c:pt idx="13">
                  <c:v>17</c:v>
                </c:pt>
                <c:pt idx="14">
                  <c:v>12</c:v>
                </c:pt>
                <c:pt idx="15">
                  <c:v>48</c:v>
                </c:pt>
                <c:pt idx="16">
                  <c:v>40</c:v>
                </c:pt>
                <c:pt idx="17">
                  <c:v>7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0907264"/>
        <c:axId val="120908800"/>
      </c:lineChart>
      <c:catAx>
        <c:axId val="12089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05728"/>
        <c:crosses val="autoZero"/>
        <c:auto val="1"/>
        <c:lblAlgn val="ctr"/>
        <c:lblOffset val="100"/>
      </c:catAx>
      <c:valAx>
        <c:axId val="12090572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95744"/>
        <c:crosses val="autoZero"/>
        <c:crossBetween val="between"/>
        <c:majorUnit val="200"/>
      </c:valAx>
      <c:catAx>
        <c:axId val="120907264"/>
        <c:scaling>
          <c:orientation val="minMax"/>
        </c:scaling>
        <c:delete val="1"/>
        <c:axPos val="b"/>
        <c:tickLblPos val="none"/>
        <c:crossAx val="120908800"/>
        <c:crosses val="autoZero"/>
        <c:auto val="1"/>
        <c:lblAlgn val="ctr"/>
        <c:lblOffset val="100"/>
      </c:catAx>
      <c:valAx>
        <c:axId val="1209088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07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79913344"/>
        <c:axId val="799148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916416"/>
        <c:axId val="79922304"/>
      </c:lineChart>
      <c:catAx>
        <c:axId val="7991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14880"/>
        <c:crosses val="autoZero"/>
        <c:auto val="1"/>
        <c:lblAlgn val="ctr"/>
        <c:lblOffset val="100"/>
      </c:catAx>
      <c:valAx>
        <c:axId val="7991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13344"/>
        <c:crosses val="autoZero"/>
        <c:crossBetween val="between"/>
        <c:majorUnit val="200"/>
      </c:valAx>
      <c:catAx>
        <c:axId val="79916416"/>
        <c:scaling>
          <c:orientation val="minMax"/>
        </c:scaling>
        <c:delete val="1"/>
        <c:axPos val="b"/>
        <c:tickLblPos val="none"/>
        <c:crossAx val="79922304"/>
        <c:crosses val="autoZero"/>
        <c:auto val="1"/>
        <c:lblAlgn val="ctr"/>
        <c:lblOffset val="100"/>
      </c:catAx>
      <c:valAx>
        <c:axId val="799223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916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69.050000000000011</c:v>
                </c:pt>
                <c:pt idx="1">
                  <c:v>659.55</c:v>
                </c:pt>
                <c:pt idx="2">
                  <c:v>2659.62</c:v>
                </c:pt>
                <c:pt idx="3">
                  <c:v>2519.96</c:v>
                </c:pt>
                <c:pt idx="4">
                  <c:v>2105.77</c:v>
                </c:pt>
                <c:pt idx="5">
                  <c:v>1976.54</c:v>
                </c:pt>
                <c:pt idx="6">
                  <c:v>2359.02</c:v>
                </c:pt>
                <c:pt idx="7">
                  <c:v>2594.7800000000002</c:v>
                </c:pt>
                <c:pt idx="8">
                  <c:v>2352.92</c:v>
                </c:pt>
                <c:pt idx="9">
                  <c:v>2331.9499999999998</c:v>
                </c:pt>
                <c:pt idx="10">
                  <c:v>2130.17</c:v>
                </c:pt>
                <c:pt idx="11">
                  <c:v>2429.61</c:v>
                </c:pt>
                <c:pt idx="12">
                  <c:v>3102.76</c:v>
                </c:pt>
                <c:pt idx="13">
                  <c:v>2871.07</c:v>
                </c:pt>
                <c:pt idx="14">
                  <c:v>2479.71</c:v>
                </c:pt>
                <c:pt idx="15">
                  <c:v>2551.0199999999995</c:v>
                </c:pt>
                <c:pt idx="16">
                  <c:v>2263.0300000000002</c:v>
                </c:pt>
                <c:pt idx="17">
                  <c:v>2259.5099999999998</c:v>
                </c:pt>
                <c:pt idx="18">
                  <c:v>2502.42</c:v>
                </c:pt>
                <c:pt idx="19">
                  <c:v>2356.59</c:v>
                </c:pt>
                <c:pt idx="20">
                  <c:v>1891.4600000000003</c:v>
                </c:pt>
                <c:pt idx="21">
                  <c:v>1930.96</c:v>
                </c:pt>
                <c:pt idx="22">
                  <c:v>1557.2</c:v>
                </c:pt>
                <c:pt idx="23">
                  <c:v>1822.8899999999999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1041280"/>
        <c:axId val="81042816"/>
      </c:lineChart>
      <c:catAx>
        <c:axId val="8104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42816"/>
        <c:crosses val="autoZero"/>
        <c:auto val="1"/>
        <c:lblAlgn val="ctr"/>
        <c:lblOffset val="200"/>
        <c:tickLblSkip val="1"/>
      </c:catAx>
      <c:valAx>
        <c:axId val="810428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4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0.87</c:v>
                </c:pt>
                <c:pt idx="1">
                  <c:v>0.76600000000000001</c:v>
                </c:pt>
                <c:pt idx="2">
                  <c:v>0.11</c:v>
                </c:pt>
                <c:pt idx="3">
                  <c:v>0.13</c:v>
                </c:pt>
                <c:pt idx="4">
                  <c:v>0.50600000000000001</c:v>
                </c:pt>
                <c:pt idx="5">
                  <c:v>0.312</c:v>
                </c:pt>
                <c:pt idx="6">
                  <c:v>0.19500000000000001</c:v>
                </c:pt>
                <c:pt idx="7">
                  <c:v>0.16900000000000001</c:v>
                </c:pt>
                <c:pt idx="8">
                  <c:v>0.16900000000000001</c:v>
                </c:pt>
                <c:pt idx="9">
                  <c:v>0.46800000000000003</c:v>
                </c:pt>
                <c:pt idx="10">
                  <c:v>0.94799999999999995</c:v>
                </c:pt>
                <c:pt idx="11">
                  <c:v>0.93500000000000005</c:v>
                </c:pt>
                <c:pt idx="12">
                  <c:v>0.48099999999999998</c:v>
                </c:pt>
                <c:pt idx="13">
                  <c:v>0.52600000000000002</c:v>
                </c:pt>
                <c:pt idx="14">
                  <c:v>0.221</c:v>
                </c:pt>
                <c:pt idx="15">
                  <c:v>0.156</c:v>
                </c:pt>
                <c:pt idx="16">
                  <c:v>0.623</c:v>
                </c:pt>
                <c:pt idx="17">
                  <c:v>0.51900000000000002</c:v>
                </c:pt>
                <c:pt idx="18">
                  <c:v>9.0999999999999998E-2</c:v>
                </c:pt>
                <c:pt idx="19">
                  <c:v>0.11700000000000001</c:v>
                </c:pt>
                <c:pt idx="20">
                  <c:v>0.13</c:v>
                </c:pt>
                <c:pt idx="21">
                  <c:v>0.14299999999999999</c:v>
                </c:pt>
                <c:pt idx="22">
                  <c:v>0.16900000000000001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1063296"/>
        <c:axId val="81245312"/>
      </c:lineChart>
      <c:catAx>
        <c:axId val="8106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45312"/>
        <c:crosses val="autoZero"/>
        <c:auto val="1"/>
        <c:lblAlgn val="ctr"/>
        <c:lblOffset val="100"/>
      </c:catAx>
      <c:valAx>
        <c:axId val="812453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06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5703</c:v>
                </c:pt>
                <c:pt idx="3">
                  <c:v>6052</c:v>
                </c:pt>
                <c:pt idx="4">
                  <c:v>5227</c:v>
                </c:pt>
                <c:pt idx="5">
                  <c:v>4812</c:v>
                </c:pt>
                <c:pt idx="6">
                  <c:v>5035</c:v>
                </c:pt>
                <c:pt idx="7">
                  <c:v>5420</c:v>
                </c:pt>
                <c:pt idx="8">
                  <c:v>5338</c:v>
                </c:pt>
                <c:pt idx="9">
                  <c:v>5670</c:v>
                </c:pt>
                <c:pt idx="10">
                  <c:v>5594</c:v>
                </c:pt>
                <c:pt idx="11">
                  <c:v>5487</c:v>
                </c:pt>
                <c:pt idx="12">
                  <c:v>6542</c:v>
                </c:pt>
                <c:pt idx="13">
                  <c:v>6667</c:v>
                </c:pt>
                <c:pt idx="14">
                  <c:v>5860</c:v>
                </c:pt>
                <c:pt idx="15">
                  <c:v>5863</c:v>
                </c:pt>
                <c:pt idx="16">
                  <c:v>5390</c:v>
                </c:pt>
                <c:pt idx="17">
                  <c:v>5341</c:v>
                </c:pt>
                <c:pt idx="18">
                  <c:v>5872</c:v>
                </c:pt>
                <c:pt idx="19">
                  <c:v>5477</c:v>
                </c:pt>
                <c:pt idx="20">
                  <c:v>4892</c:v>
                </c:pt>
                <c:pt idx="21">
                  <c:v>4193</c:v>
                </c:pt>
                <c:pt idx="22">
                  <c:v>4311</c:v>
                </c:pt>
                <c:pt idx="23">
                  <c:v>4323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2187392"/>
        <c:axId val="82189312"/>
      </c:lineChart>
      <c:catAx>
        <c:axId val="82187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89312"/>
        <c:crosses val="autoZero"/>
        <c:auto val="1"/>
        <c:lblAlgn val="ctr"/>
        <c:lblOffset val="100"/>
      </c:catAx>
      <c:valAx>
        <c:axId val="821893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873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128</c:v>
                </c:pt>
                <c:pt idx="1">
                  <c:v>139</c:v>
                </c:pt>
                <c:pt idx="2">
                  <c:v>132</c:v>
                </c:pt>
                <c:pt idx="3">
                  <c:v>100</c:v>
                </c:pt>
                <c:pt idx="4">
                  <c:v>119</c:v>
                </c:pt>
                <c:pt idx="5">
                  <c:v>110</c:v>
                </c:pt>
                <c:pt idx="6">
                  <c:v>95</c:v>
                </c:pt>
                <c:pt idx="7">
                  <c:v>120</c:v>
                </c:pt>
                <c:pt idx="8">
                  <c:v>96</c:v>
                </c:pt>
                <c:pt idx="9">
                  <c:v>124</c:v>
                </c:pt>
                <c:pt idx="10">
                  <c:v>131</c:v>
                </c:pt>
                <c:pt idx="11">
                  <c:v>136</c:v>
                </c:pt>
                <c:pt idx="12">
                  <c:v>123</c:v>
                </c:pt>
                <c:pt idx="13">
                  <c:v>118</c:v>
                </c:pt>
                <c:pt idx="14">
                  <c:v>107</c:v>
                </c:pt>
                <c:pt idx="15">
                  <c:v>115</c:v>
                </c:pt>
                <c:pt idx="16">
                  <c:v>127</c:v>
                </c:pt>
                <c:pt idx="17">
                  <c:v>106</c:v>
                </c:pt>
                <c:pt idx="18">
                  <c:v>98</c:v>
                </c:pt>
                <c:pt idx="19">
                  <c:v>79</c:v>
                </c:pt>
                <c:pt idx="20">
                  <c:v>95</c:v>
                </c:pt>
                <c:pt idx="21">
                  <c:v>95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238848"/>
        <c:axId val="82384384"/>
      </c:lineChart>
      <c:catAx>
        <c:axId val="82238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84384"/>
        <c:crosses val="autoZero"/>
        <c:auto val="1"/>
        <c:lblAlgn val="ctr"/>
        <c:lblOffset val="100"/>
      </c:catAx>
      <c:valAx>
        <c:axId val="82384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388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208.34000000002564</c:v>
                </c:pt>
                <c:pt idx="1">
                  <c:v>101.37599999997184</c:v>
                </c:pt>
                <c:pt idx="2">
                  <c:v>101.46399999998977</c:v>
                </c:pt>
                <c:pt idx="3">
                  <c:v>132.61599999999746</c:v>
                </c:pt>
                <c:pt idx="4">
                  <c:v>147.17999999998722</c:v>
                </c:pt>
                <c:pt idx="5">
                  <c:v>144.67200000002049</c:v>
                </c:pt>
                <c:pt idx="6">
                  <c:v>149.07200000002049</c:v>
                </c:pt>
                <c:pt idx="7">
                  <c:v>152.06399999998976</c:v>
                </c:pt>
                <c:pt idx="8">
                  <c:v>152.28400000000258</c:v>
                </c:pt>
                <c:pt idx="9">
                  <c:v>103.48800000001793</c:v>
                </c:pt>
                <c:pt idx="10">
                  <c:v>101.77199999995646</c:v>
                </c:pt>
                <c:pt idx="11">
                  <c:v>115.1920000000333</c:v>
                </c:pt>
                <c:pt idx="12">
                  <c:v>98.471999999956466</c:v>
                </c:pt>
                <c:pt idx="13">
                  <c:v>112.15600000002306</c:v>
                </c:pt>
                <c:pt idx="14">
                  <c:v>103.09200000003331</c:v>
                </c:pt>
                <c:pt idx="15">
                  <c:v>126.41199999998209</c:v>
                </c:pt>
                <c:pt idx="16">
                  <c:v>119.50400000001538</c:v>
                </c:pt>
                <c:pt idx="17">
                  <c:v>110.21999999994878</c:v>
                </c:pt>
                <c:pt idx="18">
                  <c:v>126.10400000001538</c:v>
                </c:pt>
                <c:pt idx="19">
                  <c:v>107.14000000002562</c:v>
                </c:pt>
                <c:pt idx="20">
                  <c:v>113.87199999995647</c:v>
                </c:pt>
                <c:pt idx="21">
                  <c:v>110.52800000004355</c:v>
                </c:pt>
                <c:pt idx="22">
                  <c:v>-298772.32000000007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2409344"/>
        <c:axId val="82410880"/>
      </c:lineChart>
      <c:catAx>
        <c:axId val="8240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10880"/>
        <c:crosses val="autoZero"/>
        <c:auto val="1"/>
        <c:lblAlgn val="ctr"/>
        <c:lblOffset val="100"/>
      </c:catAx>
      <c:valAx>
        <c:axId val="82410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0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3247488"/>
        <c:axId val="83249024"/>
      </c:lineChart>
      <c:catAx>
        <c:axId val="8324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49024"/>
        <c:crosses val="autoZero"/>
        <c:auto val="1"/>
        <c:lblAlgn val="ctr"/>
        <c:lblOffset val="100"/>
      </c:catAx>
      <c:valAx>
        <c:axId val="83249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4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2398.12</c:v>
                </c:pt>
                <c:pt idx="3">
                  <c:v>2502.5700000000002</c:v>
                </c:pt>
                <c:pt idx="4">
                  <c:v>2086.83</c:v>
                </c:pt>
                <c:pt idx="5">
                  <c:v>1834.21</c:v>
                </c:pt>
                <c:pt idx="6">
                  <c:v>2117.6999999999998</c:v>
                </c:pt>
                <c:pt idx="7">
                  <c:v>2435.73</c:v>
                </c:pt>
                <c:pt idx="8">
                  <c:v>2229.96</c:v>
                </c:pt>
                <c:pt idx="9">
                  <c:v>2100.4499999999998</c:v>
                </c:pt>
                <c:pt idx="10">
                  <c:v>2130.17</c:v>
                </c:pt>
                <c:pt idx="11">
                  <c:v>2241.8000000000002</c:v>
                </c:pt>
                <c:pt idx="12">
                  <c:v>2652.4500000000003</c:v>
                </c:pt>
                <c:pt idx="13">
                  <c:v>2587.46</c:v>
                </c:pt>
                <c:pt idx="14">
                  <c:v>2229.48</c:v>
                </c:pt>
                <c:pt idx="15">
                  <c:v>2368.3599999999997</c:v>
                </c:pt>
                <c:pt idx="16">
                  <c:v>2133.65</c:v>
                </c:pt>
                <c:pt idx="17">
                  <c:v>2099.12</c:v>
                </c:pt>
                <c:pt idx="18">
                  <c:v>2394.69</c:v>
                </c:pt>
                <c:pt idx="19">
                  <c:v>2272.4</c:v>
                </c:pt>
                <c:pt idx="20">
                  <c:v>1853.3000000000002</c:v>
                </c:pt>
                <c:pt idx="21">
                  <c:v>1844.6200000000001</c:v>
                </c:pt>
                <c:pt idx="22">
                  <c:v>1557.2</c:v>
                </c:pt>
                <c:pt idx="23">
                  <c:v>1822.8899999999999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3277312"/>
        <c:axId val="83278848"/>
      </c:lineChart>
      <c:catAx>
        <c:axId val="8327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78848"/>
        <c:crosses val="autoZero"/>
        <c:auto val="1"/>
        <c:lblAlgn val="ctr"/>
        <c:lblOffset val="100"/>
      </c:catAx>
      <c:valAx>
        <c:axId val="83278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7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4825"/>
          <c:y val="7.471324705109930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1742848"/>
        <c:axId val="81744640"/>
      </c:lineChart>
      <c:catAx>
        <c:axId val="8174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44640"/>
        <c:crosses val="autoZero"/>
        <c:auto val="1"/>
        <c:lblAlgn val="ctr"/>
        <c:lblOffset val="200"/>
        <c:tickLblSkip val="1"/>
      </c:catAx>
      <c:valAx>
        <c:axId val="817446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4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559168"/>
        <c:axId val="83560704"/>
      </c:lineChart>
      <c:catAx>
        <c:axId val="8355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60704"/>
        <c:crosses val="autoZero"/>
        <c:auto val="1"/>
        <c:lblAlgn val="ctr"/>
        <c:lblOffset val="100"/>
      </c:catAx>
      <c:valAx>
        <c:axId val="83560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5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3585280"/>
        <c:axId val="83612032"/>
      </c:lineChart>
      <c:catAx>
        <c:axId val="83585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12032"/>
        <c:crosses val="autoZero"/>
        <c:auto val="1"/>
        <c:lblAlgn val="ctr"/>
        <c:lblOffset val="100"/>
      </c:catAx>
      <c:valAx>
        <c:axId val="836120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852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4128512"/>
        <c:axId val="84130432"/>
      </c:lineChart>
      <c:catAx>
        <c:axId val="84128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30432"/>
        <c:crosses val="autoZero"/>
        <c:auto val="1"/>
        <c:lblAlgn val="ctr"/>
        <c:lblOffset val="100"/>
      </c:catAx>
      <c:valAx>
        <c:axId val="841304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285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4171776"/>
        <c:axId val="84173568"/>
      </c:lineChart>
      <c:catAx>
        <c:axId val="8417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73568"/>
        <c:crosses val="autoZero"/>
        <c:auto val="1"/>
        <c:lblAlgn val="ctr"/>
        <c:lblOffset val="100"/>
      </c:catAx>
      <c:valAx>
        <c:axId val="8417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7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4203008"/>
        <c:axId val="84204544"/>
      </c:lineChart>
      <c:catAx>
        <c:axId val="8420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04544"/>
        <c:crosses val="autoZero"/>
        <c:auto val="1"/>
        <c:lblAlgn val="ctr"/>
        <c:lblOffset val="100"/>
      </c:catAx>
      <c:valAx>
        <c:axId val="84204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0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4372096"/>
        <c:axId val="84373888"/>
      </c:lineChart>
      <c:catAx>
        <c:axId val="8437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73888"/>
        <c:crosses val="autoZero"/>
        <c:auto val="1"/>
        <c:lblAlgn val="ctr"/>
        <c:lblOffset val="100"/>
      </c:catAx>
      <c:valAx>
        <c:axId val="84373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7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5036"/>
          <c:y val="7.471324705109963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4735104"/>
        <c:axId val="847366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79376768"/>
        <c:axId val="79378304"/>
      </c:lineChart>
      <c:catAx>
        <c:axId val="847351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36640"/>
        <c:crosses val="autoZero"/>
        <c:lblAlgn val="ctr"/>
        <c:lblOffset val="100"/>
        <c:tickMarkSkip val="1"/>
      </c:catAx>
      <c:valAx>
        <c:axId val="84736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35104"/>
        <c:crosses val="autoZero"/>
        <c:crossBetween val="between"/>
      </c:valAx>
      <c:catAx>
        <c:axId val="79376768"/>
        <c:scaling>
          <c:orientation val="minMax"/>
        </c:scaling>
        <c:delete val="1"/>
        <c:axPos val="b"/>
        <c:numFmt formatCode="[$-409]d\-mmm\-yy;@" sourceLinked="1"/>
        <c:tickLblPos val="none"/>
        <c:crossAx val="79378304"/>
        <c:crosses val="autoZero"/>
        <c:lblAlgn val="ctr"/>
        <c:lblOffset val="100"/>
      </c:catAx>
      <c:valAx>
        <c:axId val="793783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3767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79422976"/>
        <c:axId val="79424512"/>
      </c:lineChart>
      <c:catAx>
        <c:axId val="7942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24512"/>
        <c:crosses val="autoZero"/>
        <c:auto val="1"/>
        <c:lblAlgn val="ctr"/>
        <c:lblOffset val="100"/>
      </c:catAx>
      <c:valAx>
        <c:axId val="794245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2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8443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79830016"/>
        <c:axId val="79848192"/>
      </c:lineChart>
      <c:catAx>
        <c:axId val="7983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48192"/>
        <c:crosses val="autoZero"/>
        <c:auto val="1"/>
        <c:lblAlgn val="ctr"/>
        <c:lblOffset val="100"/>
      </c:catAx>
      <c:valAx>
        <c:axId val="798481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3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5052416"/>
        <c:axId val="850583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5059840"/>
        <c:axId val="85266432"/>
      </c:lineChart>
      <c:catAx>
        <c:axId val="850524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58304"/>
        <c:crosses val="autoZero"/>
        <c:lblAlgn val="ctr"/>
        <c:lblOffset val="100"/>
        <c:tickMarkSkip val="1"/>
      </c:catAx>
      <c:valAx>
        <c:axId val="85058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52416"/>
        <c:crosses val="autoZero"/>
        <c:crossBetween val="between"/>
      </c:valAx>
      <c:catAx>
        <c:axId val="85059840"/>
        <c:scaling>
          <c:orientation val="minMax"/>
        </c:scaling>
        <c:delete val="1"/>
        <c:axPos val="b"/>
        <c:numFmt formatCode="General" sourceLinked="1"/>
        <c:tickLblPos val="none"/>
        <c:crossAx val="85266432"/>
        <c:crosses val="autoZero"/>
        <c:lblAlgn val="ctr"/>
        <c:lblOffset val="100"/>
      </c:catAx>
      <c:valAx>
        <c:axId val="852664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59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5286912"/>
        <c:axId val="85288448"/>
      </c:lineChart>
      <c:catAx>
        <c:axId val="8528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88448"/>
        <c:crosses val="autoZero"/>
        <c:auto val="1"/>
        <c:lblAlgn val="ctr"/>
        <c:lblOffset val="100"/>
      </c:catAx>
      <c:valAx>
        <c:axId val="8528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8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849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7447040"/>
        <c:axId val="87448576"/>
      </c:lineChart>
      <c:catAx>
        <c:axId val="8744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48576"/>
        <c:crosses val="autoZero"/>
        <c:auto val="1"/>
        <c:lblAlgn val="ctr"/>
        <c:lblOffset val="100"/>
      </c:catAx>
      <c:valAx>
        <c:axId val="8744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4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1542912"/>
        <c:axId val="12155289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1554432"/>
        <c:axId val="121555968"/>
      </c:lineChart>
      <c:catAx>
        <c:axId val="1215429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2896"/>
        <c:crosses val="autoZero"/>
        <c:lblAlgn val="ctr"/>
        <c:lblOffset val="100"/>
        <c:tickMarkSkip val="1"/>
      </c:catAx>
      <c:valAx>
        <c:axId val="1215528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42912"/>
        <c:crosses val="autoZero"/>
        <c:crossBetween val="between"/>
      </c:valAx>
      <c:catAx>
        <c:axId val="121554432"/>
        <c:scaling>
          <c:orientation val="minMax"/>
        </c:scaling>
        <c:delete val="1"/>
        <c:axPos val="b"/>
        <c:numFmt formatCode="[$-409]d\-mmm\-yy;@" sourceLinked="1"/>
        <c:tickLblPos val="none"/>
        <c:crossAx val="121555968"/>
        <c:crosses val="autoZero"/>
        <c:lblAlgn val="ctr"/>
        <c:lblOffset val="100"/>
      </c:catAx>
      <c:valAx>
        <c:axId val="1215559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4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279232"/>
        <c:axId val="1212807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294848"/>
        <c:axId val="121296384"/>
      </c:lineChart>
      <c:catAx>
        <c:axId val="1212792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80768"/>
        <c:crosses val="autoZero"/>
        <c:lblAlgn val="ctr"/>
        <c:lblOffset val="100"/>
        <c:tickMarkSkip val="1"/>
      </c:catAx>
      <c:valAx>
        <c:axId val="121280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79232"/>
        <c:crosses val="autoZero"/>
        <c:crossBetween val="between"/>
      </c:valAx>
      <c:catAx>
        <c:axId val="121294848"/>
        <c:scaling>
          <c:orientation val="minMax"/>
        </c:scaling>
        <c:delete val="1"/>
        <c:axPos val="b"/>
        <c:numFmt formatCode="General" sourceLinked="1"/>
        <c:tickLblPos val="none"/>
        <c:crossAx val="121296384"/>
        <c:crosses val="autoZero"/>
        <c:lblAlgn val="ctr"/>
        <c:lblOffset val="100"/>
      </c:catAx>
      <c:valAx>
        <c:axId val="1212963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948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7159424"/>
        <c:axId val="15716096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7162496"/>
        <c:axId val="157164288"/>
      </c:lineChart>
      <c:catAx>
        <c:axId val="1571594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60960"/>
        <c:crosses val="autoZero"/>
        <c:lblAlgn val="ctr"/>
        <c:lblOffset val="100"/>
        <c:tickMarkSkip val="1"/>
      </c:catAx>
      <c:valAx>
        <c:axId val="1571609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9424"/>
        <c:crosses val="autoZero"/>
        <c:crossBetween val="between"/>
      </c:valAx>
      <c:catAx>
        <c:axId val="157162496"/>
        <c:scaling>
          <c:orientation val="minMax"/>
        </c:scaling>
        <c:delete val="1"/>
        <c:axPos val="b"/>
        <c:numFmt formatCode="[$-409]d\-mmm\-yy;@" sourceLinked="1"/>
        <c:tickLblPos val="none"/>
        <c:crossAx val="157164288"/>
        <c:crosses val="autoZero"/>
        <c:lblAlgn val="ctr"/>
        <c:lblOffset val="100"/>
      </c:catAx>
      <c:valAx>
        <c:axId val="1571642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62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210880"/>
        <c:axId val="15826944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270976"/>
        <c:axId val="158272512"/>
      </c:lineChart>
      <c:catAx>
        <c:axId val="1572108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69440"/>
        <c:crosses val="autoZero"/>
        <c:lblAlgn val="ctr"/>
        <c:lblOffset val="100"/>
        <c:tickMarkSkip val="1"/>
      </c:catAx>
      <c:valAx>
        <c:axId val="158269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10880"/>
        <c:crosses val="autoZero"/>
        <c:crossBetween val="between"/>
      </c:valAx>
      <c:catAx>
        <c:axId val="158270976"/>
        <c:scaling>
          <c:orientation val="minMax"/>
        </c:scaling>
        <c:delete val="1"/>
        <c:axPos val="b"/>
        <c:numFmt formatCode="General" sourceLinked="1"/>
        <c:tickLblPos val="none"/>
        <c:crossAx val="158272512"/>
        <c:crosses val="autoZero"/>
        <c:lblAlgn val="ctr"/>
        <c:lblOffset val="100"/>
      </c:catAx>
      <c:valAx>
        <c:axId val="1582725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709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5703</c:v>
                </c:pt>
                <c:pt idx="3">
                  <c:v>6052</c:v>
                </c:pt>
                <c:pt idx="4">
                  <c:v>5227</c:v>
                </c:pt>
                <c:pt idx="5">
                  <c:v>4812</c:v>
                </c:pt>
                <c:pt idx="6">
                  <c:v>5035</c:v>
                </c:pt>
                <c:pt idx="7">
                  <c:v>5420</c:v>
                </c:pt>
                <c:pt idx="8">
                  <c:v>5338</c:v>
                </c:pt>
                <c:pt idx="9">
                  <c:v>5670</c:v>
                </c:pt>
                <c:pt idx="10">
                  <c:v>5594</c:v>
                </c:pt>
                <c:pt idx="11">
                  <c:v>5487</c:v>
                </c:pt>
                <c:pt idx="12">
                  <c:v>6542</c:v>
                </c:pt>
                <c:pt idx="13">
                  <c:v>6667</c:v>
                </c:pt>
                <c:pt idx="14">
                  <c:v>5860</c:v>
                </c:pt>
                <c:pt idx="15">
                  <c:v>5863</c:v>
                </c:pt>
                <c:pt idx="16">
                  <c:v>5390</c:v>
                </c:pt>
                <c:pt idx="17">
                  <c:v>5341</c:v>
                </c:pt>
                <c:pt idx="18">
                  <c:v>5872</c:v>
                </c:pt>
                <c:pt idx="19">
                  <c:v>5477</c:v>
                </c:pt>
                <c:pt idx="20">
                  <c:v>4892</c:v>
                </c:pt>
                <c:pt idx="21">
                  <c:v>4193</c:v>
                </c:pt>
                <c:pt idx="22">
                  <c:v>4311</c:v>
                </c:pt>
                <c:pt idx="23">
                  <c:v>4323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494080"/>
        <c:axId val="158508544"/>
      </c:lineChart>
      <c:catAx>
        <c:axId val="158494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08544"/>
        <c:crosses val="autoZero"/>
        <c:auto val="1"/>
        <c:lblAlgn val="ctr"/>
        <c:lblOffset val="100"/>
      </c:catAx>
      <c:valAx>
        <c:axId val="1585085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94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128</c:v>
                </c:pt>
                <c:pt idx="1">
                  <c:v>139</c:v>
                </c:pt>
                <c:pt idx="2">
                  <c:v>132</c:v>
                </c:pt>
                <c:pt idx="3">
                  <c:v>100</c:v>
                </c:pt>
                <c:pt idx="4">
                  <c:v>119</c:v>
                </c:pt>
                <c:pt idx="5">
                  <c:v>110</c:v>
                </c:pt>
                <c:pt idx="6">
                  <c:v>95</c:v>
                </c:pt>
                <c:pt idx="7">
                  <c:v>120</c:v>
                </c:pt>
                <c:pt idx="8">
                  <c:v>96</c:v>
                </c:pt>
                <c:pt idx="9">
                  <c:v>124</c:v>
                </c:pt>
                <c:pt idx="10">
                  <c:v>131</c:v>
                </c:pt>
                <c:pt idx="11">
                  <c:v>136</c:v>
                </c:pt>
                <c:pt idx="12">
                  <c:v>123</c:v>
                </c:pt>
                <c:pt idx="13">
                  <c:v>118</c:v>
                </c:pt>
                <c:pt idx="14">
                  <c:v>107</c:v>
                </c:pt>
                <c:pt idx="15">
                  <c:v>115</c:v>
                </c:pt>
                <c:pt idx="16">
                  <c:v>127</c:v>
                </c:pt>
                <c:pt idx="17">
                  <c:v>106</c:v>
                </c:pt>
                <c:pt idx="18">
                  <c:v>98</c:v>
                </c:pt>
                <c:pt idx="19">
                  <c:v>79</c:v>
                </c:pt>
                <c:pt idx="20">
                  <c:v>95</c:v>
                </c:pt>
                <c:pt idx="21">
                  <c:v>95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730112"/>
        <c:axId val="158760960"/>
      </c:lineChart>
      <c:catAx>
        <c:axId val="158730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60960"/>
        <c:crosses val="autoZero"/>
        <c:auto val="1"/>
        <c:lblAlgn val="ctr"/>
        <c:lblOffset val="100"/>
      </c:catAx>
      <c:valAx>
        <c:axId val="1587609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301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69.050000000000011</c:v>
                </c:pt>
                <c:pt idx="1">
                  <c:v>659.55</c:v>
                </c:pt>
                <c:pt idx="2">
                  <c:v>2659.62</c:v>
                </c:pt>
                <c:pt idx="3">
                  <c:v>2519.96</c:v>
                </c:pt>
                <c:pt idx="4">
                  <c:v>2105.77</c:v>
                </c:pt>
                <c:pt idx="5">
                  <c:v>1976.54</c:v>
                </c:pt>
                <c:pt idx="6">
                  <c:v>2359.02</c:v>
                </c:pt>
                <c:pt idx="7">
                  <c:v>2594.7800000000002</c:v>
                </c:pt>
                <c:pt idx="8">
                  <c:v>2352.92</c:v>
                </c:pt>
                <c:pt idx="9">
                  <c:v>2331.9499999999998</c:v>
                </c:pt>
                <c:pt idx="10">
                  <c:v>2130.17</c:v>
                </c:pt>
                <c:pt idx="11">
                  <c:v>2429.61</c:v>
                </c:pt>
                <c:pt idx="12">
                  <c:v>3102.76</c:v>
                </c:pt>
                <c:pt idx="13">
                  <c:v>2871.07</c:v>
                </c:pt>
                <c:pt idx="14">
                  <c:v>2479.71</c:v>
                </c:pt>
                <c:pt idx="15">
                  <c:v>2551.0199999999995</c:v>
                </c:pt>
                <c:pt idx="16">
                  <c:v>2263.0300000000002</c:v>
                </c:pt>
                <c:pt idx="17">
                  <c:v>2259.5099999999998</c:v>
                </c:pt>
                <c:pt idx="18">
                  <c:v>2502.42</c:v>
                </c:pt>
                <c:pt idx="19">
                  <c:v>2356.59</c:v>
                </c:pt>
                <c:pt idx="20">
                  <c:v>1891.4600000000003</c:v>
                </c:pt>
                <c:pt idx="21">
                  <c:v>1930.96</c:v>
                </c:pt>
                <c:pt idx="22">
                  <c:v>1557.2</c:v>
                </c:pt>
                <c:pt idx="23">
                  <c:v>1822.8899999999999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785920"/>
        <c:axId val="158787456"/>
      </c:lineChart>
      <c:catAx>
        <c:axId val="15878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87456"/>
        <c:crosses val="autoZero"/>
        <c:auto val="1"/>
        <c:lblAlgn val="ctr"/>
        <c:lblOffset val="200"/>
        <c:tickLblSkip val="1"/>
      </c:catAx>
      <c:valAx>
        <c:axId val="1587874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8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0.87</c:v>
                </c:pt>
                <c:pt idx="1">
                  <c:v>0.76600000000000001</c:v>
                </c:pt>
                <c:pt idx="2">
                  <c:v>0.11</c:v>
                </c:pt>
                <c:pt idx="3">
                  <c:v>0.13</c:v>
                </c:pt>
                <c:pt idx="4">
                  <c:v>0.50600000000000001</c:v>
                </c:pt>
                <c:pt idx="5">
                  <c:v>0.312</c:v>
                </c:pt>
                <c:pt idx="6">
                  <c:v>0.19500000000000001</c:v>
                </c:pt>
                <c:pt idx="7">
                  <c:v>0.16900000000000001</c:v>
                </c:pt>
                <c:pt idx="8">
                  <c:v>0.16900000000000001</c:v>
                </c:pt>
                <c:pt idx="9">
                  <c:v>0.46800000000000003</c:v>
                </c:pt>
                <c:pt idx="10">
                  <c:v>0.94799999999999995</c:v>
                </c:pt>
                <c:pt idx="11">
                  <c:v>0.93500000000000005</c:v>
                </c:pt>
                <c:pt idx="12">
                  <c:v>0.48099999999999998</c:v>
                </c:pt>
                <c:pt idx="13">
                  <c:v>0.52600000000000002</c:v>
                </c:pt>
                <c:pt idx="14">
                  <c:v>0.221</c:v>
                </c:pt>
                <c:pt idx="15">
                  <c:v>0.156</c:v>
                </c:pt>
                <c:pt idx="16">
                  <c:v>0.623</c:v>
                </c:pt>
                <c:pt idx="17">
                  <c:v>0.51900000000000002</c:v>
                </c:pt>
                <c:pt idx="18">
                  <c:v>9.0999999999999998E-2</c:v>
                </c:pt>
                <c:pt idx="19">
                  <c:v>0.11700000000000001</c:v>
                </c:pt>
                <c:pt idx="20">
                  <c:v>0.13</c:v>
                </c:pt>
                <c:pt idx="21">
                  <c:v>0.14299999999999999</c:v>
                </c:pt>
                <c:pt idx="22">
                  <c:v>0.16900000000000001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553984"/>
        <c:axId val="158555520"/>
      </c:lineChart>
      <c:catAx>
        <c:axId val="15855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55520"/>
        <c:crosses val="autoZero"/>
        <c:auto val="1"/>
        <c:lblAlgn val="ctr"/>
        <c:lblOffset val="100"/>
      </c:catAx>
      <c:valAx>
        <c:axId val="1585555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5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841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208.34000000002564</c:v>
                </c:pt>
                <c:pt idx="1">
                  <c:v>101.37599999997184</c:v>
                </c:pt>
                <c:pt idx="2">
                  <c:v>101.46399999998977</c:v>
                </c:pt>
                <c:pt idx="3">
                  <c:v>132.61599999999746</c:v>
                </c:pt>
                <c:pt idx="4">
                  <c:v>147.17999999998722</c:v>
                </c:pt>
                <c:pt idx="5">
                  <c:v>144.67200000002049</c:v>
                </c:pt>
                <c:pt idx="6">
                  <c:v>149.07200000002049</c:v>
                </c:pt>
                <c:pt idx="7">
                  <c:v>152.06399999998976</c:v>
                </c:pt>
                <c:pt idx="8">
                  <c:v>152.28400000000258</c:v>
                </c:pt>
                <c:pt idx="9">
                  <c:v>103.48800000001793</c:v>
                </c:pt>
                <c:pt idx="10">
                  <c:v>101.77199999995646</c:v>
                </c:pt>
                <c:pt idx="11">
                  <c:v>115.1920000000333</c:v>
                </c:pt>
                <c:pt idx="12">
                  <c:v>98.471999999956466</c:v>
                </c:pt>
                <c:pt idx="13">
                  <c:v>112.15600000002306</c:v>
                </c:pt>
                <c:pt idx="14">
                  <c:v>103.09200000003331</c:v>
                </c:pt>
                <c:pt idx="15">
                  <c:v>126.41199999998209</c:v>
                </c:pt>
                <c:pt idx="16">
                  <c:v>119.50400000001538</c:v>
                </c:pt>
                <c:pt idx="17">
                  <c:v>110.21999999994878</c:v>
                </c:pt>
                <c:pt idx="18">
                  <c:v>126.10400000001538</c:v>
                </c:pt>
                <c:pt idx="19">
                  <c:v>107.14000000002562</c:v>
                </c:pt>
                <c:pt idx="20">
                  <c:v>113.87199999995647</c:v>
                </c:pt>
                <c:pt idx="21">
                  <c:v>110.52800000004355</c:v>
                </c:pt>
                <c:pt idx="22">
                  <c:v>-298772.32000000007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588288"/>
        <c:axId val="159388800"/>
      </c:lineChart>
      <c:catAx>
        <c:axId val="15858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88800"/>
        <c:crosses val="autoZero"/>
        <c:auto val="1"/>
        <c:lblAlgn val="ctr"/>
        <c:lblOffset val="100"/>
      </c:catAx>
      <c:valAx>
        <c:axId val="159388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8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5703</c:v>
                </c:pt>
                <c:pt idx="3">
                  <c:v>6052</c:v>
                </c:pt>
                <c:pt idx="4">
                  <c:v>5227</c:v>
                </c:pt>
                <c:pt idx="5">
                  <c:v>4812</c:v>
                </c:pt>
                <c:pt idx="6">
                  <c:v>5035</c:v>
                </c:pt>
                <c:pt idx="7">
                  <c:v>5420</c:v>
                </c:pt>
                <c:pt idx="8">
                  <c:v>5338</c:v>
                </c:pt>
                <c:pt idx="9">
                  <c:v>5670</c:v>
                </c:pt>
                <c:pt idx="10">
                  <c:v>5594</c:v>
                </c:pt>
                <c:pt idx="11">
                  <c:v>5487</c:v>
                </c:pt>
                <c:pt idx="12">
                  <c:v>6542</c:v>
                </c:pt>
                <c:pt idx="13">
                  <c:v>6667</c:v>
                </c:pt>
                <c:pt idx="14">
                  <c:v>5860</c:v>
                </c:pt>
                <c:pt idx="15">
                  <c:v>5863</c:v>
                </c:pt>
                <c:pt idx="16">
                  <c:v>5390</c:v>
                </c:pt>
                <c:pt idx="17">
                  <c:v>5341</c:v>
                </c:pt>
                <c:pt idx="18">
                  <c:v>5872</c:v>
                </c:pt>
                <c:pt idx="19">
                  <c:v>5477</c:v>
                </c:pt>
                <c:pt idx="20">
                  <c:v>4892</c:v>
                </c:pt>
                <c:pt idx="21">
                  <c:v>4193</c:v>
                </c:pt>
                <c:pt idx="22">
                  <c:v>4311</c:v>
                </c:pt>
                <c:pt idx="23">
                  <c:v>4323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236672"/>
        <c:axId val="160238592"/>
      </c:lineChart>
      <c:catAx>
        <c:axId val="160236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38592"/>
        <c:crosses val="autoZero"/>
        <c:auto val="1"/>
        <c:lblAlgn val="ctr"/>
        <c:lblOffset val="100"/>
      </c:catAx>
      <c:valAx>
        <c:axId val="1602385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366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128</c:v>
                </c:pt>
                <c:pt idx="1">
                  <c:v>139</c:v>
                </c:pt>
                <c:pt idx="2">
                  <c:v>132</c:v>
                </c:pt>
                <c:pt idx="3">
                  <c:v>100</c:v>
                </c:pt>
                <c:pt idx="4">
                  <c:v>119</c:v>
                </c:pt>
                <c:pt idx="5">
                  <c:v>110</c:v>
                </c:pt>
                <c:pt idx="6">
                  <c:v>95</c:v>
                </c:pt>
                <c:pt idx="7">
                  <c:v>120</c:v>
                </c:pt>
                <c:pt idx="8">
                  <c:v>96</c:v>
                </c:pt>
                <c:pt idx="9">
                  <c:v>124</c:v>
                </c:pt>
                <c:pt idx="10">
                  <c:v>131</c:v>
                </c:pt>
                <c:pt idx="11">
                  <c:v>136</c:v>
                </c:pt>
                <c:pt idx="12">
                  <c:v>123</c:v>
                </c:pt>
                <c:pt idx="13">
                  <c:v>118</c:v>
                </c:pt>
                <c:pt idx="14">
                  <c:v>107</c:v>
                </c:pt>
                <c:pt idx="15">
                  <c:v>115</c:v>
                </c:pt>
                <c:pt idx="16">
                  <c:v>127</c:v>
                </c:pt>
                <c:pt idx="17">
                  <c:v>106</c:v>
                </c:pt>
                <c:pt idx="18">
                  <c:v>98</c:v>
                </c:pt>
                <c:pt idx="19">
                  <c:v>79</c:v>
                </c:pt>
                <c:pt idx="20">
                  <c:v>95</c:v>
                </c:pt>
                <c:pt idx="21">
                  <c:v>95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259456"/>
        <c:axId val="160294400"/>
      </c:lineChart>
      <c:catAx>
        <c:axId val="160259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94400"/>
        <c:crosses val="autoZero"/>
        <c:auto val="1"/>
        <c:lblAlgn val="ctr"/>
        <c:lblOffset val="100"/>
      </c:catAx>
      <c:valAx>
        <c:axId val="1602944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59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69.050000000000011</c:v>
                </c:pt>
                <c:pt idx="1">
                  <c:v>659.55</c:v>
                </c:pt>
                <c:pt idx="2">
                  <c:v>2659.62</c:v>
                </c:pt>
                <c:pt idx="3">
                  <c:v>2519.96</c:v>
                </c:pt>
                <c:pt idx="4">
                  <c:v>2105.77</c:v>
                </c:pt>
                <c:pt idx="5">
                  <c:v>1976.54</c:v>
                </c:pt>
                <c:pt idx="6">
                  <c:v>2359.02</c:v>
                </c:pt>
                <c:pt idx="7">
                  <c:v>2594.7800000000002</c:v>
                </c:pt>
                <c:pt idx="8">
                  <c:v>2352.92</c:v>
                </c:pt>
                <c:pt idx="9">
                  <c:v>2331.9499999999998</c:v>
                </c:pt>
                <c:pt idx="10">
                  <c:v>2130.17</c:v>
                </c:pt>
                <c:pt idx="11">
                  <c:v>2429.61</c:v>
                </c:pt>
                <c:pt idx="12">
                  <c:v>3102.76</c:v>
                </c:pt>
                <c:pt idx="13">
                  <c:v>2871.07</c:v>
                </c:pt>
                <c:pt idx="14">
                  <c:v>2479.71</c:v>
                </c:pt>
                <c:pt idx="15">
                  <c:v>2551.0199999999995</c:v>
                </c:pt>
                <c:pt idx="16">
                  <c:v>2263.0300000000002</c:v>
                </c:pt>
                <c:pt idx="17">
                  <c:v>2259.5099999999998</c:v>
                </c:pt>
                <c:pt idx="18">
                  <c:v>2502.42</c:v>
                </c:pt>
                <c:pt idx="19">
                  <c:v>2356.59</c:v>
                </c:pt>
                <c:pt idx="20">
                  <c:v>1891.4600000000003</c:v>
                </c:pt>
                <c:pt idx="21">
                  <c:v>1930.96</c:v>
                </c:pt>
                <c:pt idx="22">
                  <c:v>1557.2</c:v>
                </c:pt>
                <c:pt idx="23">
                  <c:v>1822.8899999999999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454528"/>
        <c:axId val="160456064"/>
      </c:lineChart>
      <c:catAx>
        <c:axId val="16045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56064"/>
        <c:crosses val="autoZero"/>
        <c:auto val="1"/>
        <c:lblAlgn val="ctr"/>
        <c:lblOffset val="200"/>
        <c:tickLblSkip val="1"/>
      </c:catAx>
      <c:valAx>
        <c:axId val="1604560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5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0.87</c:v>
                </c:pt>
                <c:pt idx="1">
                  <c:v>0.76600000000000001</c:v>
                </c:pt>
                <c:pt idx="2">
                  <c:v>0.11</c:v>
                </c:pt>
                <c:pt idx="3">
                  <c:v>0.13</c:v>
                </c:pt>
                <c:pt idx="4">
                  <c:v>0.50600000000000001</c:v>
                </c:pt>
                <c:pt idx="5">
                  <c:v>0.312</c:v>
                </c:pt>
                <c:pt idx="6">
                  <c:v>0.19500000000000001</c:v>
                </c:pt>
                <c:pt idx="7">
                  <c:v>0.16900000000000001</c:v>
                </c:pt>
                <c:pt idx="8">
                  <c:v>0.16900000000000001</c:v>
                </c:pt>
                <c:pt idx="9">
                  <c:v>0.46800000000000003</c:v>
                </c:pt>
                <c:pt idx="10">
                  <c:v>0.94799999999999995</c:v>
                </c:pt>
                <c:pt idx="11">
                  <c:v>0.93500000000000005</c:v>
                </c:pt>
                <c:pt idx="12">
                  <c:v>0.48099999999999998</c:v>
                </c:pt>
                <c:pt idx="13">
                  <c:v>0.52600000000000002</c:v>
                </c:pt>
                <c:pt idx="14">
                  <c:v>0.221</c:v>
                </c:pt>
                <c:pt idx="15">
                  <c:v>0.156</c:v>
                </c:pt>
                <c:pt idx="16">
                  <c:v>0.623</c:v>
                </c:pt>
                <c:pt idx="17">
                  <c:v>0.51900000000000002</c:v>
                </c:pt>
                <c:pt idx="18">
                  <c:v>9.0999999999999998E-2</c:v>
                </c:pt>
                <c:pt idx="19">
                  <c:v>0.11700000000000001</c:v>
                </c:pt>
                <c:pt idx="20">
                  <c:v>0.13</c:v>
                </c:pt>
                <c:pt idx="21">
                  <c:v>0.14299999999999999</c:v>
                </c:pt>
                <c:pt idx="22">
                  <c:v>0.16900000000000001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484736"/>
        <c:axId val="160490624"/>
      </c:lineChart>
      <c:catAx>
        <c:axId val="16048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90624"/>
        <c:crosses val="autoZero"/>
        <c:auto val="1"/>
        <c:lblAlgn val="ctr"/>
        <c:lblOffset val="100"/>
      </c:catAx>
      <c:valAx>
        <c:axId val="1604906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8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841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208.34000000002564</c:v>
                </c:pt>
                <c:pt idx="1">
                  <c:v>101.37599999997184</c:v>
                </c:pt>
                <c:pt idx="2">
                  <c:v>101.46399999998977</c:v>
                </c:pt>
                <c:pt idx="3">
                  <c:v>132.61599999999746</c:v>
                </c:pt>
                <c:pt idx="4">
                  <c:v>147.17999999998722</c:v>
                </c:pt>
                <c:pt idx="5">
                  <c:v>144.67200000002049</c:v>
                </c:pt>
                <c:pt idx="6">
                  <c:v>149.07200000002049</c:v>
                </c:pt>
                <c:pt idx="7">
                  <c:v>152.06399999998976</c:v>
                </c:pt>
                <c:pt idx="8">
                  <c:v>152.28400000000258</c:v>
                </c:pt>
                <c:pt idx="9">
                  <c:v>103.48800000001793</c:v>
                </c:pt>
                <c:pt idx="10">
                  <c:v>101.77199999995646</c:v>
                </c:pt>
                <c:pt idx="11">
                  <c:v>115.1920000000333</c:v>
                </c:pt>
                <c:pt idx="12">
                  <c:v>98.471999999956466</c:v>
                </c:pt>
                <c:pt idx="13">
                  <c:v>112.15600000002306</c:v>
                </c:pt>
                <c:pt idx="14">
                  <c:v>103.09200000003331</c:v>
                </c:pt>
                <c:pt idx="15">
                  <c:v>126.41199999998209</c:v>
                </c:pt>
                <c:pt idx="16">
                  <c:v>119.50400000001538</c:v>
                </c:pt>
                <c:pt idx="17">
                  <c:v>110.21999999994878</c:v>
                </c:pt>
                <c:pt idx="18">
                  <c:v>126.10400000001538</c:v>
                </c:pt>
                <c:pt idx="19">
                  <c:v>107.14000000002562</c:v>
                </c:pt>
                <c:pt idx="20">
                  <c:v>113.87199999995647</c:v>
                </c:pt>
                <c:pt idx="21">
                  <c:v>110.52800000004355</c:v>
                </c:pt>
                <c:pt idx="22">
                  <c:v>-298772.32000000007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920704"/>
        <c:axId val="160922240"/>
      </c:lineChart>
      <c:catAx>
        <c:axId val="16092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22240"/>
        <c:crosses val="autoZero"/>
        <c:auto val="1"/>
        <c:lblAlgn val="ctr"/>
        <c:lblOffset val="100"/>
      </c:catAx>
      <c:valAx>
        <c:axId val="160922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2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0955008"/>
        <c:axId val="162034432"/>
      </c:lineChart>
      <c:catAx>
        <c:axId val="160955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34432"/>
        <c:crosses val="autoZero"/>
        <c:auto val="1"/>
        <c:lblAlgn val="ctr"/>
        <c:lblOffset val="100"/>
      </c:catAx>
      <c:valAx>
        <c:axId val="1620344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550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2210944"/>
        <c:axId val="162212864"/>
      </c:lineChart>
      <c:catAx>
        <c:axId val="162210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2864"/>
        <c:crosses val="autoZero"/>
        <c:auto val="1"/>
        <c:lblAlgn val="ctr"/>
        <c:lblOffset val="100"/>
      </c:catAx>
      <c:valAx>
        <c:axId val="1622128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0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233728"/>
        <c:axId val="162247808"/>
      </c:lineChart>
      <c:catAx>
        <c:axId val="16223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7808"/>
        <c:crosses val="autoZero"/>
        <c:auto val="1"/>
        <c:lblAlgn val="ctr"/>
        <c:lblOffset val="200"/>
        <c:tickLblSkip val="1"/>
      </c:catAx>
      <c:valAx>
        <c:axId val="1622478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399360"/>
        <c:axId val="162400896"/>
      </c:lineChart>
      <c:catAx>
        <c:axId val="16239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00896"/>
        <c:crosses val="autoZero"/>
        <c:auto val="1"/>
        <c:lblAlgn val="ctr"/>
        <c:lblOffset val="100"/>
      </c:catAx>
      <c:valAx>
        <c:axId val="16240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9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866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433664"/>
        <c:axId val="162443648"/>
      </c:lineChart>
      <c:catAx>
        <c:axId val="16243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43648"/>
        <c:crosses val="autoZero"/>
        <c:auto val="1"/>
        <c:lblAlgn val="ctr"/>
        <c:lblOffset val="100"/>
      </c:catAx>
      <c:valAx>
        <c:axId val="16244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3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2943360"/>
        <c:axId val="162945280"/>
      </c:lineChart>
      <c:catAx>
        <c:axId val="162943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45280"/>
        <c:crosses val="autoZero"/>
        <c:auto val="1"/>
        <c:lblAlgn val="ctr"/>
        <c:lblOffset val="100"/>
      </c:catAx>
      <c:valAx>
        <c:axId val="162945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43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3129984"/>
        <c:axId val="163140352"/>
      </c:lineChart>
      <c:catAx>
        <c:axId val="163129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40352"/>
        <c:crosses val="autoZero"/>
        <c:auto val="1"/>
        <c:lblAlgn val="ctr"/>
        <c:lblOffset val="100"/>
      </c:catAx>
      <c:valAx>
        <c:axId val="1631403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299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161216"/>
        <c:axId val="163162752"/>
      </c:lineChart>
      <c:catAx>
        <c:axId val="16316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62752"/>
        <c:crosses val="autoZero"/>
        <c:auto val="1"/>
        <c:lblAlgn val="ctr"/>
        <c:lblOffset val="200"/>
        <c:tickLblSkip val="1"/>
      </c:catAx>
      <c:valAx>
        <c:axId val="1631627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6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728576"/>
        <c:axId val="162738560"/>
      </c:lineChart>
      <c:catAx>
        <c:axId val="16272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38560"/>
        <c:crosses val="autoZero"/>
        <c:auto val="1"/>
        <c:lblAlgn val="ctr"/>
        <c:lblOffset val="100"/>
      </c:catAx>
      <c:valAx>
        <c:axId val="16273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2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866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578240"/>
        <c:axId val="163579776"/>
      </c:lineChart>
      <c:catAx>
        <c:axId val="16357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79776"/>
        <c:crosses val="autoZero"/>
        <c:auto val="1"/>
        <c:lblAlgn val="ctr"/>
        <c:lblOffset val="100"/>
      </c:catAx>
      <c:valAx>
        <c:axId val="16357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7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842282</xdr:colOff>
      <xdr:row>5</xdr:row>
      <xdr:rowOff>76200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204107" y="95250"/>
          <a:ext cx="1577068" cy="9470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HN~1.JAP\AppData\Local\Temp\notes9CB204\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JEAN-N~1.BRA\LOCALS~1\Temp\notes5669A7\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HN~1.JAP\AppData\Local\Temp\notes9CB204\8%20AUG.%20%202019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HN~1.JAP\AppData\Local\Temp\notes9CB204\10%20OCT.%202019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HLP-REPORT%202010%20to%202016\HLP-REPORT%202010%20to%202017\HLP-REPORT-2016\HLP\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HLP-REPORT%202010%20to%202016\HLP-REPORT%202010%20to%202017\HLP-REPORT-2016\HLP\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  <row r="36">
          <cell r="C36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Sheet2"/>
    </sheetNames>
    <sheetDataSet>
      <sheetData sheetId="0"/>
      <sheetData sheetId="1"/>
      <sheetData sheetId="2"/>
      <sheetData sheetId="3"/>
      <sheetData sheetId="4">
        <row r="36">
          <cell r="L36">
            <v>33001</v>
          </cell>
        </row>
      </sheetData>
      <sheetData sheetId="5">
        <row r="43">
          <cell r="B43">
            <v>0.64172258064516119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35194.410000000018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K2" sqref="K2"/>
    </sheetView>
  </sheetViews>
  <sheetFormatPr defaultColWidth="11.5703125" defaultRowHeight="12.75"/>
  <cols>
    <col min="1" max="1" width="12.42578125" style="13" customWidth="1"/>
    <col min="2" max="3" width="11.5703125" style="622"/>
    <col min="4" max="4" width="13.42578125" style="623" customWidth="1"/>
    <col min="5" max="5" width="12.5703125" style="624" customWidth="1"/>
    <col min="6" max="6" width="12.5703125" style="13" customWidth="1"/>
    <col min="7" max="7" width="11.5703125" style="13"/>
    <col min="8" max="8" width="11.5703125" style="646"/>
    <col min="9" max="9" width="11.5703125" style="13"/>
    <col min="10" max="10" width="11.5703125" style="646"/>
    <col min="11" max="11" width="11.5703125" style="62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620" customFormat="1" ht="60.75" thickBot="1">
      <c r="A1" s="614" t="s">
        <v>280</v>
      </c>
      <c r="B1" s="615" t="s">
        <v>281</v>
      </c>
      <c r="C1" s="615" t="s">
        <v>282</v>
      </c>
      <c r="D1" s="616" t="s">
        <v>283</v>
      </c>
      <c r="E1" s="617" t="s">
        <v>284</v>
      </c>
      <c r="F1" s="618" t="s">
        <v>285</v>
      </c>
      <c r="G1" s="618" t="s">
        <v>286</v>
      </c>
      <c r="H1" s="644" t="s">
        <v>287</v>
      </c>
      <c r="I1" s="618" t="s">
        <v>288</v>
      </c>
      <c r="J1" s="644" t="s">
        <v>289</v>
      </c>
      <c r="K1" s="617" t="s">
        <v>290</v>
      </c>
      <c r="L1" s="619" t="s">
        <v>291</v>
      </c>
    </row>
    <row r="2" spans="1:12">
      <c r="A2" s="621" t="s">
        <v>292</v>
      </c>
      <c r="B2" s="622">
        <v>1</v>
      </c>
      <c r="C2" s="622">
        <v>11</v>
      </c>
      <c r="D2" s="623">
        <v>2019</v>
      </c>
      <c r="E2" s="624">
        <f>'UTILITY REPORT 1'!F3</f>
        <v>5703</v>
      </c>
      <c r="F2" s="625">
        <f>('UTILITY REPORT 1'!E3*'UTILITY REPORT 1'!D3)/'UTILITY REPORT 1'!F3</f>
        <v>0.42050149044362617</v>
      </c>
      <c r="G2" s="625">
        <f>IF('Utility summery'!M6&lt;0,"0",'Utility summery'!M6)</f>
        <v>208.34000000002564</v>
      </c>
      <c r="H2" s="645">
        <v>0</v>
      </c>
      <c r="I2" s="625">
        <f>IF('UTILITY REPORT 1'!G3&lt;0,"0",'UTILITY REPORT 1'!G3)</f>
        <v>128</v>
      </c>
      <c r="J2" s="645">
        <v>0</v>
      </c>
      <c r="K2" s="624">
        <f>'UTILITY REPORT 1'!C3</f>
        <v>66</v>
      </c>
      <c r="L2" s="626" t="e">
        <f>E2*F2+G2*H2+#REF!*#REF!+I2*J2</f>
        <v>#REF!</v>
      </c>
    </row>
    <row r="3" spans="1:12">
      <c r="A3" s="621" t="s">
        <v>292</v>
      </c>
      <c r="B3" s="622">
        <f>B2+1</f>
        <v>2</v>
      </c>
      <c r="C3" s="622">
        <v>11</v>
      </c>
      <c r="D3" s="623">
        <v>2019</v>
      </c>
      <c r="E3" s="624">
        <f>'UTILITY REPORT 1'!F4</f>
        <v>6052</v>
      </c>
      <c r="F3" s="625">
        <f>('UTILITY REPORT 1'!E4*'UTILITY REPORT 1'!D4)/'UTILITY REPORT 1'!F4</f>
        <v>0.41351123595505623</v>
      </c>
      <c r="G3" s="625">
        <f>IF('Utility summery'!M7&lt;0,"0",'Utility summery'!M7)</f>
        <v>101.37599999997184</v>
      </c>
      <c r="H3" s="645">
        <v>0</v>
      </c>
      <c r="I3" s="625">
        <f>IF('UTILITY REPORT 1'!G4&lt;0,"0",'UTILITY REPORT 1'!G4)</f>
        <v>139</v>
      </c>
      <c r="J3" s="645">
        <v>0</v>
      </c>
      <c r="K3" s="624">
        <f>'UTILITY REPORT 1'!C4</f>
        <v>58</v>
      </c>
      <c r="L3" s="626" t="e">
        <f>E3*F3+G3*H3+#REF!*#REF!+I3*J3</f>
        <v>#REF!</v>
      </c>
    </row>
    <row r="4" spans="1:12">
      <c r="A4" s="621" t="s">
        <v>292</v>
      </c>
      <c r="B4" s="622">
        <f t="shared" ref="B4:B31" si="0">B3+1</f>
        <v>3</v>
      </c>
      <c r="C4" s="622">
        <v>11</v>
      </c>
      <c r="D4" s="623">
        <v>2019</v>
      </c>
      <c r="E4" s="624">
        <f>'UTILITY REPORT 1'!F5</f>
        <v>5227</v>
      </c>
      <c r="F4" s="625">
        <f>('UTILITY REPORT 1'!E5*'UTILITY REPORT 1'!D5)/'UTILITY REPORT 1'!F5</f>
        <v>0.39924048211211016</v>
      </c>
      <c r="G4" s="625">
        <f>IF('Utility summery'!M8&lt;0,"0",'Utility summery'!M8)</f>
        <v>101.46399999998977</v>
      </c>
      <c r="H4" s="645">
        <v>0</v>
      </c>
      <c r="I4" s="625">
        <f>IF('UTILITY REPORT 1'!G5&lt;0,"0",'UTILITY REPORT 1'!G5)</f>
        <v>132</v>
      </c>
      <c r="J4" s="645">
        <v>0</v>
      </c>
      <c r="K4" s="624">
        <f>'UTILITY REPORT 1'!C5</f>
        <v>9</v>
      </c>
      <c r="L4" s="626" t="e">
        <f>E4*F4+G4*H4+#REF!*#REF!+I4*J4</f>
        <v>#REF!</v>
      </c>
    </row>
    <row r="5" spans="1:12">
      <c r="A5" s="621" t="s">
        <v>292</v>
      </c>
      <c r="B5" s="622">
        <f t="shared" si="0"/>
        <v>4</v>
      </c>
      <c r="C5" s="622">
        <v>11</v>
      </c>
      <c r="D5" s="623">
        <v>2019</v>
      </c>
      <c r="E5" s="624">
        <f>'UTILITY REPORT 1'!F6</f>
        <v>4812</v>
      </c>
      <c r="F5" s="625">
        <f>('UTILITY REPORT 1'!E6*'UTILITY REPORT 1'!D6)/'UTILITY REPORT 1'!F6</f>
        <v>0.3811741479634248</v>
      </c>
      <c r="G5" s="625">
        <f>IF('Utility summery'!M9&lt;0,"0",'Utility summery'!M9)</f>
        <v>132.61599999999746</v>
      </c>
      <c r="H5" s="645">
        <v>0</v>
      </c>
      <c r="I5" s="625">
        <f>IF('UTILITY REPORT 1'!G6&lt;0,"0",'UTILITY REPORT 1'!G6)</f>
        <v>100</v>
      </c>
      <c r="J5" s="645">
        <v>0</v>
      </c>
      <c r="K5" s="624">
        <f>'UTILITY REPORT 1'!C6</f>
        <v>10</v>
      </c>
      <c r="L5" s="626" t="e">
        <f>E5*F5+G5*H5+#REF!*#REF!+I5*J5</f>
        <v>#REF!</v>
      </c>
    </row>
    <row r="6" spans="1:12">
      <c r="A6" s="621" t="s">
        <v>292</v>
      </c>
      <c r="B6" s="622">
        <f t="shared" si="0"/>
        <v>5</v>
      </c>
      <c r="C6" s="622">
        <v>11</v>
      </c>
      <c r="D6" s="623">
        <v>2019</v>
      </c>
      <c r="E6" s="624">
        <f>'UTILITY REPORT 1'!F7</f>
        <v>5035</v>
      </c>
      <c r="F6" s="625">
        <f>('UTILITY REPORT 1'!E7*'UTILITY REPORT 1'!D7)/'UTILITY REPORT 1'!F7</f>
        <v>0.42059582919563054</v>
      </c>
      <c r="G6" s="625">
        <f>IF('Utility summery'!M10&lt;0,"0",'Utility summery'!M10)</f>
        <v>147.17999999998722</v>
      </c>
      <c r="H6" s="645">
        <v>0</v>
      </c>
      <c r="I6" s="625">
        <f>IF('UTILITY REPORT 1'!G7&lt;0,"0",'UTILITY REPORT 1'!G7)</f>
        <v>119</v>
      </c>
      <c r="J6" s="645">
        <v>0</v>
      </c>
      <c r="K6" s="624">
        <f>'UTILITY REPORT 1'!C7</f>
        <v>25</v>
      </c>
      <c r="L6" s="626" t="e">
        <f>E6*F6+G6*H6+#REF!*#REF!+I6*J6</f>
        <v>#REF!</v>
      </c>
    </row>
    <row r="7" spans="1:12">
      <c r="A7" s="621" t="s">
        <v>292</v>
      </c>
      <c r="B7" s="622">
        <f t="shared" si="0"/>
        <v>6</v>
      </c>
      <c r="C7" s="622">
        <v>11</v>
      </c>
      <c r="D7" s="623">
        <v>2019</v>
      </c>
      <c r="E7" s="624">
        <f>'UTILITY REPORT 1'!F8</f>
        <v>5420</v>
      </c>
      <c r="F7" s="625">
        <f>('UTILITY REPORT 1'!E8*'UTILITY REPORT 1'!D8)/'UTILITY REPORT 1'!F8</f>
        <v>0.4493966789667897</v>
      </c>
      <c r="G7" s="625">
        <f>IF('Utility summery'!M11&lt;0,"0",'Utility summery'!M11)</f>
        <v>144.67200000002049</v>
      </c>
      <c r="H7" s="645">
        <v>0</v>
      </c>
      <c r="I7" s="625">
        <f>IF('UTILITY REPORT 1'!G8&lt;0,"0",'UTILITY REPORT 1'!G8)</f>
        <v>110</v>
      </c>
      <c r="J7" s="645">
        <v>0</v>
      </c>
      <c r="K7" s="624">
        <f>'UTILITY REPORT 1'!C8</f>
        <v>24</v>
      </c>
      <c r="L7" s="626" t="e">
        <f>E7*F7+G7*H7+#REF!*#REF!+I7*J7</f>
        <v>#REF!</v>
      </c>
    </row>
    <row r="8" spans="1:12">
      <c r="A8" s="621" t="s">
        <v>292</v>
      </c>
      <c r="B8" s="622">
        <f t="shared" si="0"/>
        <v>7</v>
      </c>
      <c r="C8" s="622">
        <v>11</v>
      </c>
      <c r="D8" s="623">
        <v>2019</v>
      </c>
      <c r="E8" s="624">
        <f>'UTILITY REPORT 1'!F9</f>
        <v>5338</v>
      </c>
      <c r="F8" s="625">
        <f>('UTILITY REPORT 1'!E9*'UTILITY REPORT 1'!D9)/'UTILITY REPORT 1'!F9</f>
        <v>0.41775196702884976</v>
      </c>
      <c r="G8" s="625">
        <f>IF('Utility summery'!M12&lt;0,"0",'Utility summery'!M12)</f>
        <v>149.07200000002049</v>
      </c>
      <c r="H8" s="645">
        <v>0</v>
      </c>
      <c r="I8" s="625">
        <f>IF('UTILITY REPORT 1'!G9&lt;0,"0",'UTILITY REPORT 1'!G9)</f>
        <v>95</v>
      </c>
      <c r="J8" s="645">
        <v>0</v>
      </c>
      <c r="K8" s="624">
        <f>'UTILITY REPORT 1'!C9</f>
        <v>17</v>
      </c>
      <c r="L8" s="626" t="e">
        <f>E8*F8+G8*H8+#REF!*#REF!+I8*J8</f>
        <v>#REF!</v>
      </c>
    </row>
    <row r="9" spans="1:12">
      <c r="A9" s="621" t="s">
        <v>292</v>
      </c>
      <c r="B9" s="622">
        <f t="shared" si="0"/>
        <v>8</v>
      </c>
      <c r="C9" s="622">
        <v>11</v>
      </c>
      <c r="D9" s="623">
        <v>2019</v>
      </c>
      <c r="E9" s="624">
        <f>'UTILITY REPORT 1'!F10</f>
        <v>5670</v>
      </c>
      <c r="F9" s="625">
        <f>('UTILITY REPORT 1'!E10*'UTILITY REPORT 1'!D10)/'UTILITY REPORT 1'!F10</f>
        <v>0.37044973544973542</v>
      </c>
      <c r="G9" s="625">
        <f>IF('Utility summery'!M13&lt;0,"0",'Utility summery'!M13)</f>
        <v>152.06399999998976</v>
      </c>
      <c r="H9" s="645">
        <v>0</v>
      </c>
      <c r="I9" s="625">
        <f>IF('UTILITY REPORT 1'!G10&lt;0,"0",'UTILITY REPORT 1'!G10)</f>
        <v>120</v>
      </c>
      <c r="J9" s="645">
        <v>0</v>
      </c>
      <c r="K9" s="624">
        <f>'UTILITY REPORT 1'!C10</f>
        <v>13</v>
      </c>
      <c r="L9" s="626" t="e">
        <f>E9*F9+G9*H9+#REF!*#REF!+I9*J9</f>
        <v>#REF!</v>
      </c>
    </row>
    <row r="10" spans="1:12">
      <c r="A10" s="621" t="s">
        <v>292</v>
      </c>
      <c r="B10" s="622">
        <f t="shared" si="0"/>
        <v>9</v>
      </c>
      <c r="C10" s="622">
        <v>11</v>
      </c>
      <c r="D10" s="623">
        <v>2019</v>
      </c>
      <c r="E10" s="624">
        <f>'UTILITY REPORT 1'!F11</f>
        <v>5594</v>
      </c>
      <c r="F10" s="625">
        <f>('UTILITY REPORT 1'!E11*'UTILITY REPORT 1'!D11)/'UTILITY REPORT 1'!F11</f>
        <v>0.38079549517340011</v>
      </c>
      <c r="G10" s="625">
        <f>IF('Utility summery'!M14&lt;0,"0",'Utility summery'!M14)</f>
        <v>152.28400000000258</v>
      </c>
      <c r="H10" s="645">
        <v>0</v>
      </c>
      <c r="I10" s="625">
        <f>IF('UTILITY REPORT 1'!G11&lt;0,"0",'UTILITY REPORT 1'!G11)</f>
        <v>96</v>
      </c>
      <c r="J10" s="645">
        <v>0</v>
      </c>
      <c r="K10" s="624">
        <f>'UTILITY REPORT 1'!C11</f>
        <v>13</v>
      </c>
      <c r="L10" s="626" t="e">
        <f>E10*F10+G10*H10+#REF!*#REF!+I10*J10</f>
        <v>#REF!</v>
      </c>
    </row>
    <row r="11" spans="1:12">
      <c r="A11" s="621" t="s">
        <v>292</v>
      </c>
      <c r="B11" s="622">
        <f t="shared" si="0"/>
        <v>10</v>
      </c>
      <c r="C11" s="622">
        <v>11</v>
      </c>
      <c r="D11" s="623">
        <v>2019</v>
      </c>
      <c r="E11" s="624">
        <f>'UTILITY REPORT 1'!F12</f>
        <v>5487</v>
      </c>
      <c r="F11" s="625">
        <f>('UTILITY REPORT 1'!E12*'UTILITY REPORT 1'!D12)/'UTILITY REPORT 1'!F12</f>
        <v>0.40856570074722076</v>
      </c>
      <c r="G11" s="625">
        <f>IF('Utility summery'!M15&lt;0,"0",'Utility summery'!M15)</f>
        <v>103.48800000001793</v>
      </c>
      <c r="H11" s="645">
        <v>0</v>
      </c>
      <c r="I11" s="625">
        <f>IF('UTILITY REPORT 1'!G12&lt;0,"0",'UTILITY REPORT 1'!G12)</f>
        <v>124</v>
      </c>
      <c r="J11" s="645">
        <v>0</v>
      </c>
      <c r="K11" s="624">
        <f>'UTILITY REPORT 1'!C12</f>
        <v>36</v>
      </c>
      <c r="L11" s="626" t="e">
        <f>E11*F11+G11*H11+#REF!*#REF!+I11*J11</f>
        <v>#REF!</v>
      </c>
    </row>
    <row r="12" spans="1:12">
      <c r="A12" s="621" t="s">
        <v>292</v>
      </c>
      <c r="B12" s="622">
        <f t="shared" si="0"/>
        <v>11</v>
      </c>
      <c r="C12" s="622">
        <v>11</v>
      </c>
      <c r="D12" s="623">
        <v>2019</v>
      </c>
      <c r="E12" s="624">
        <f>'UTILITY REPORT 1'!F13</f>
        <v>6542</v>
      </c>
      <c r="F12" s="625">
        <f>('UTILITY REPORT 1'!E13*'UTILITY REPORT 1'!D13)/'UTILITY REPORT 1'!F13</f>
        <v>0.40544940385203304</v>
      </c>
      <c r="G12" s="625">
        <f>IF('Utility summery'!M16&lt;0,"0",'Utility summery'!M16)</f>
        <v>101.77199999995646</v>
      </c>
      <c r="H12" s="645">
        <v>0</v>
      </c>
      <c r="I12" s="625">
        <f>IF('UTILITY REPORT 1'!G13&lt;0,"0",'UTILITY REPORT 1'!G13)</f>
        <v>131</v>
      </c>
      <c r="J12" s="645">
        <v>0</v>
      </c>
      <c r="K12" s="624">
        <f>'UTILITY REPORT 1'!C13</f>
        <v>73</v>
      </c>
      <c r="L12" s="626" t="e">
        <f>E12*F12+G12*H12+#REF!*#REF!+I12*J12</f>
        <v>#REF!</v>
      </c>
    </row>
    <row r="13" spans="1:12">
      <c r="A13" s="621" t="s">
        <v>292</v>
      </c>
      <c r="B13" s="622">
        <f t="shared" si="0"/>
        <v>12</v>
      </c>
      <c r="C13" s="622">
        <v>11</v>
      </c>
      <c r="D13" s="623">
        <v>2019</v>
      </c>
      <c r="E13" s="624">
        <f>'UTILITY REPORT 1'!F14</f>
        <v>6667</v>
      </c>
      <c r="F13" s="625">
        <f>('UTILITY REPORT 1'!E14*'UTILITY REPORT 1'!D14)/'UTILITY REPORT 1'!F14</f>
        <v>0.38809959502024899</v>
      </c>
      <c r="G13" s="625">
        <f>IF('Utility summery'!M17&lt;0,"0",'Utility summery'!M17)</f>
        <v>115.1920000000333</v>
      </c>
      <c r="H13" s="645">
        <v>0</v>
      </c>
      <c r="I13" s="625">
        <f>IF('UTILITY REPORT 1'!G14&lt;0,"0",'UTILITY REPORT 1'!G14)</f>
        <v>136</v>
      </c>
      <c r="J13" s="645">
        <v>0</v>
      </c>
      <c r="K13" s="624">
        <f>'UTILITY REPORT 1'!C14</f>
        <v>73</v>
      </c>
      <c r="L13" s="626" t="e">
        <f>E13*F13+G13*H13+#REF!*#REF!+I13*J13</f>
        <v>#REF!</v>
      </c>
    </row>
    <row r="14" spans="1:12">
      <c r="A14" s="621" t="s">
        <v>292</v>
      </c>
      <c r="B14" s="622">
        <f t="shared" si="0"/>
        <v>13</v>
      </c>
      <c r="C14" s="622">
        <v>11</v>
      </c>
      <c r="D14" s="623">
        <v>2019</v>
      </c>
      <c r="E14" s="624">
        <f>'UTILITY REPORT 1'!F15</f>
        <v>5860</v>
      </c>
      <c r="F14" s="625">
        <f>('UTILITY REPORT 1'!E15*'UTILITY REPORT 1'!D15)/'UTILITY REPORT 1'!F15</f>
        <v>0.38045733788395902</v>
      </c>
      <c r="G14" s="625">
        <f>IF('Utility summery'!M18&lt;0,"0",'Utility summery'!M18)</f>
        <v>98.471999999956466</v>
      </c>
      <c r="H14" s="645">
        <v>0</v>
      </c>
      <c r="I14" s="625">
        <f>IF('UTILITY REPORT 1'!G15&lt;0,"0",'UTILITY REPORT 1'!G15)</f>
        <v>123</v>
      </c>
      <c r="J14" s="645">
        <v>0</v>
      </c>
      <c r="K14" s="624">
        <f>'UTILITY REPORT 1'!C15</f>
        <v>39</v>
      </c>
      <c r="L14" s="626" t="e">
        <f>E14*F14+G14*H14+#REF!*#REF!+I14*J14</f>
        <v>#REF!</v>
      </c>
    </row>
    <row r="15" spans="1:12">
      <c r="A15" s="621" t="s">
        <v>292</v>
      </c>
      <c r="B15" s="622">
        <f t="shared" si="0"/>
        <v>14</v>
      </c>
      <c r="C15" s="622">
        <v>11</v>
      </c>
      <c r="D15" s="623">
        <v>2019</v>
      </c>
      <c r="E15" s="624">
        <f>'UTILITY REPORT 1'!F16</f>
        <v>5863</v>
      </c>
      <c r="F15" s="625">
        <f>('UTILITY REPORT 1'!E16*'UTILITY REPORT 1'!D16)/'UTILITY REPORT 1'!F16</f>
        <v>0.40395019614531802</v>
      </c>
      <c r="G15" s="625">
        <f>IF('Utility summery'!M19&lt;0,"0",'Utility summery'!M19)</f>
        <v>112.15600000002306</v>
      </c>
      <c r="H15" s="645">
        <v>0</v>
      </c>
      <c r="I15" s="625">
        <f>IF('UTILITY REPORT 1'!G16&lt;0,"0",'UTILITY REPORT 1'!G16)</f>
        <v>118</v>
      </c>
      <c r="J15" s="645">
        <v>0</v>
      </c>
      <c r="K15" s="624">
        <f>'UTILITY REPORT 1'!C16</f>
        <v>41</v>
      </c>
      <c r="L15" s="626" t="e">
        <f>E15*F15+G15*H15+#REF!*#REF!+I15*J15</f>
        <v>#REF!</v>
      </c>
    </row>
    <row r="16" spans="1:12">
      <c r="A16" s="621" t="s">
        <v>292</v>
      </c>
      <c r="B16" s="622">
        <f t="shared" si="0"/>
        <v>15</v>
      </c>
      <c r="C16" s="622">
        <v>11</v>
      </c>
      <c r="D16" s="623">
        <v>2019</v>
      </c>
      <c r="E16" s="624">
        <f>'UTILITY REPORT 1'!F17</f>
        <v>5390</v>
      </c>
      <c r="F16" s="625">
        <f>('UTILITY REPORT 1'!E17*'UTILITY REPORT 1'!D17)/'UTILITY REPORT 1'!F17</f>
        <v>0.3958534322820037</v>
      </c>
      <c r="G16" s="625">
        <f>IF('Utility summery'!M20&lt;0,"0",'Utility summery'!M20)</f>
        <v>103.09200000003331</v>
      </c>
      <c r="H16" s="645">
        <v>0</v>
      </c>
      <c r="I16" s="625">
        <f>IF('UTILITY REPORT 1'!G17&lt;0,"0",'UTILITY REPORT 1'!G17)</f>
        <v>107</v>
      </c>
      <c r="J16" s="645">
        <v>0</v>
      </c>
      <c r="K16" s="624">
        <f>'UTILITY REPORT 1'!C17</f>
        <v>17</v>
      </c>
      <c r="L16" s="626" t="e">
        <f>E16*F16+G16*H16+#REF!*#REF!+I16*J16</f>
        <v>#REF!</v>
      </c>
    </row>
    <row r="17" spans="1:12">
      <c r="A17" s="621" t="s">
        <v>292</v>
      </c>
      <c r="B17" s="622">
        <f t="shared" si="0"/>
        <v>16</v>
      </c>
      <c r="C17" s="622">
        <v>11</v>
      </c>
      <c r="D17" s="623">
        <v>2019</v>
      </c>
      <c r="E17" s="624">
        <f>'UTILITY REPORT 1'!F18</f>
        <v>5341</v>
      </c>
      <c r="F17" s="625">
        <f>('UTILITY REPORT 1'!E18*'UTILITY REPORT 1'!D18)/'UTILITY REPORT 1'!F18</f>
        <v>0.39302003370155397</v>
      </c>
      <c r="G17" s="625">
        <f>IF('Utility summery'!M21&lt;0,"0",'Utility summery'!M21)</f>
        <v>126.41199999998209</v>
      </c>
      <c r="H17" s="645">
        <v>0</v>
      </c>
      <c r="I17" s="625">
        <f>IF('UTILITY REPORT 1'!G18&lt;0,"0",'UTILITY REPORT 1'!G18)</f>
        <v>115</v>
      </c>
      <c r="J17" s="645">
        <v>0</v>
      </c>
      <c r="K17" s="624">
        <f>'UTILITY REPORT 1'!C18</f>
        <v>12</v>
      </c>
      <c r="L17" s="626" t="e">
        <f>E17*F17+G17*H17+#REF!*#REF!+I17*J17</f>
        <v>#REF!</v>
      </c>
    </row>
    <row r="18" spans="1:12">
      <c r="A18" s="621" t="s">
        <v>292</v>
      </c>
      <c r="B18" s="622">
        <f t="shared" si="0"/>
        <v>17</v>
      </c>
      <c r="C18" s="622">
        <v>11</v>
      </c>
      <c r="D18" s="623">
        <v>2019</v>
      </c>
      <c r="E18" s="624">
        <f>'UTILITY REPORT 1'!F19</f>
        <v>5872</v>
      </c>
      <c r="F18" s="625">
        <f>('UTILITY REPORT 1'!E19*'UTILITY REPORT 1'!D19)/'UTILITY REPORT 1'!F19</f>
        <v>0.40781505449591282</v>
      </c>
      <c r="G18" s="625">
        <f>IF('Utility summery'!M22&lt;0,"0",'Utility summery'!M22)</f>
        <v>119.50400000001538</v>
      </c>
      <c r="H18" s="645">
        <v>0</v>
      </c>
      <c r="I18" s="625">
        <f>IF('UTILITY REPORT 1'!G19&lt;0,"0",'UTILITY REPORT 1'!G19)</f>
        <v>127</v>
      </c>
      <c r="J18" s="645">
        <v>0</v>
      </c>
      <c r="K18" s="624">
        <f>'UTILITY REPORT 1'!C19</f>
        <v>48</v>
      </c>
      <c r="L18" s="626" t="e">
        <f>E18*F18+G18*H18+#REF!*#REF!+I18*J18</f>
        <v>#REF!</v>
      </c>
    </row>
    <row r="19" spans="1:12">
      <c r="A19" s="621" t="s">
        <v>292</v>
      </c>
      <c r="B19" s="622">
        <f t="shared" si="0"/>
        <v>18</v>
      </c>
      <c r="C19" s="622">
        <v>11</v>
      </c>
      <c r="D19" s="623">
        <v>2019</v>
      </c>
      <c r="E19" s="624">
        <f>'UTILITY REPORT 1'!F20</f>
        <v>5477</v>
      </c>
      <c r="F19" s="625">
        <f>('UTILITY REPORT 1'!E20*'UTILITY REPORT 1'!D20)/'UTILITY REPORT 1'!F20</f>
        <v>0.41489866715355123</v>
      </c>
      <c r="G19" s="625">
        <f>IF('Utility summery'!M23&lt;0,"0",'Utility summery'!M23)</f>
        <v>110.21999999994878</v>
      </c>
      <c r="H19" s="645">
        <v>0</v>
      </c>
      <c r="I19" s="625">
        <f>IF('UTILITY REPORT 1'!G20&lt;0,"0",'UTILITY REPORT 1'!G20)</f>
        <v>106</v>
      </c>
      <c r="J19" s="645">
        <v>0</v>
      </c>
      <c r="K19" s="624">
        <f>'UTILITY REPORT 1'!C20</f>
        <v>40</v>
      </c>
      <c r="L19" s="626" t="e">
        <f>E19*F19+G19*H19+#REF!*#REF!+I19*J19</f>
        <v>#REF!</v>
      </c>
    </row>
    <row r="20" spans="1:12">
      <c r="A20" s="621" t="s">
        <v>292</v>
      </c>
      <c r="B20" s="622">
        <f t="shared" si="0"/>
        <v>19</v>
      </c>
      <c r="C20" s="622">
        <v>11</v>
      </c>
      <c r="D20" s="623">
        <v>2019</v>
      </c>
      <c r="E20" s="624">
        <f>'UTILITY REPORT 1'!F21</f>
        <v>4892</v>
      </c>
      <c r="F20" s="625">
        <f>('UTILITY REPORT 1'!E21*'UTILITY REPORT 1'!D21)/'UTILITY REPORT 1'!F21</f>
        <v>0.37884300899427642</v>
      </c>
      <c r="G20" s="625">
        <f>IF('Utility summery'!M24&lt;0,"0",'Utility summery'!M24)</f>
        <v>126.10400000001538</v>
      </c>
      <c r="H20" s="645">
        <v>0</v>
      </c>
      <c r="I20" s="625">
        <f>IF('UTILITY REPORT 1'!G21&lt;0,"0",'UTILITY REPORT 1'!G21)</f>
        <v>98</v>
      </c>
      <c r="J20" s="645">
        <v>0</v>
      </c>
      <c r="K20" s="624">
        <f>'UTILITY REPORT 1'!C21</f>
        <v>7</v>
      </c>
      <c r="L20" s="626" t="e">
        <f>E20*F20+G20*H20+#REF!*#REF!+I20*J20</f>
        <v>#REF!</v>
      </c>
    </row>
    <row r="21" spans="1:12">
      <c r="A21" s="621" t="s">
        <v>292</v>
      </c>
      <c r="B21" s="622">
        <f t="shared" si="0"/>
        <v>20</v>
      </c>
      <c r="C21" s="622">
        <v>11</v>
      </c>
      <c r="D21" s="623">
        <v>2019</v>
      </c>
      <c r="E21" s="624">
        <f>'UTILITY REPORT 1'!F22</f>
        <v>4193</v>
      </c>
      <c r="F21" s="625">
        <f>('UTILITY REPORT 1'!E22*'UTILITY REPORT 1'!D22)/'UTILITY REPORT 1'!F22</f>
        <v>0.4399284521822085</v>
      </c>
      <c r="G21" s="625">
        <f>IF('Utility summery'!M25&lt;0,"0",'Utility summery'!M25)</f>
        <v>107.14000000002562</v>
      </c>
      <c r="H21" s="645">
        <v>0</v>
      </c>
      <c r="I21" s="625">
        <f>IF('UTILITY REPORT 1'!G22&lt;0,"0",'UTILITY REPORT 1'!G22)</f>
        <v>79</v>
      </c>
      <c r="J21" s="645">
        <v>0</v>
      </c>
      <c r="K21" s="624">
        <f>'UTILITY REPORT 1'!C22</f>
        <v>9</v>
      </c>
      <c r="L21" s="626" t="e">
        <f>E21*F21+G21*H21+#REF!*#REF!+I21*J21</f>
        <v>#REF!</v>
      </c>
    </row>
    <row r="22" spans="1:12">
      <c r="A22" s="621" t="s">
        <v>292</v>
      </c>
      <c r="B22" s="622">
        <f t="shared" si="0"/>
        <v>21</v>
      </c>
      <c r="C22" s="622">
        <v>11</v>
      </c>
      <c r="D22" s="623">
        <v>2019</v>
      </c>
      <c r="E22" s="624">
        <f>'UTILITY REPORT 1'!F23</f>
        <v>4311</v>
      </c>
      <c r="F22" s="625">
        <f>('UTILITY REPORT 1'!E23*'UTILITY REPORT 1'!D23)/'UTILITY REPORT 1'!F23</f>
        <v>0.3612154952447228</v>
      </c>
      <c r="G22" s="625">
        <f>IF('Utility summery'!M26&lt;0,"0",'Utility summery'!M26)</f>
        <v>113.87199999995647</v>
      </c>
      <c r="H22" s="645">
        <v>0</v>
      </c>
      <c r="I22" s="625">
        <f>IF('UTILITY REPORT 1'!G23&lt;0,"0",'UTILITY REPORT 1'!G23)</f>
        <v>95</v>
      </c>
      <c r="J22" s="645">
        <v>0</v>
      </c>
      <c r="K22" s="624">
        <f>'UTILITY REPORT 1'!C23</f>
        <v>10</v>
      </c>
      <c r="L22" s="626" t="e">
        <f>E22*F22+G22*H22+#REF!*#REF!+I22*J22</f>
        <v>#REF!</v>
      </c>
    </row>
    <row r="23" spans="1:12">
      <c r="A23" s="621" t="s">
        <v>292</v>
      </c>
      <c r="B23" s="622">
        <f t="shared" si="0"/>
        <v>22</v>
      </c>
      <c r="C23" s="622">
        <v>11</v>
      </c>
      <c r="D23" s="623">
        <v>2019</v>
      </c>
      <c r="E23" s="624">
        <f>'UTILITY REPORT 1'!F24</f>
        <v>4323</v>
      </c>
      <c r="F23" s="625">
        <f>('UTILITY REPORT 1'!E24*'UTILITY REPORT 1'!D24)/'UTILITY REPORT 1'!F24</f>
        <v>0.42167244968771683</v>
      </c>
      <c r="G23" s="625">
        <f>IF('Utility summery'!M27&lt;0,"0",'Utility summery'!M27)</f>
        <v>110.52800000004355</v>
      </c>
      <c r="H23" s="645">
        <v>0</v>
      </c>
      <c r="I23" s="625">
        <f>IF('UTILITY REPORT 1'!G24&lt;0,"0",'UTILITY REPORT 1'!G24)</f>
        <v>95</v>
      </c>
      <c r="J23" s="645">
        <v>0</v>
      </c>
      <c r="K23" s="624">
        <f>'UTILITY REPORT 1'!C24</f>
        <v>11</v>
      </c>
      <c r="L23" s="626" t="e">
        <f>E23*F23+G23*H23+#REF!*#REF!+I23*J23</f>
        <v>#REF!</v>
      </c>
    </row>
    <row r="24" spans="1:12">
      <c r="A24" s="621" t="s">
        <v>292</v>
      </c>
      <c r="B24" s="622">
        <f t="shared" si="0"/>
        <v>23</v>
      </c>
      <c r="C24" s="622">
        <v>11</v>
      </c>
      <c r="D24" s="623">
        <v>2019</v>
      </c>
      <c r="E24" s="624">
        <f>'UTILITY REPORT 1'!F25</f>
        <v>0</v>
      </c>
      <c r="F24" s="625" t="e">
        <f>('UTILITY REPORT 1'!E25*'UTILITY REPORT 1'!D25)/'UTILITY REPORT 1'!F25</f>
        <v>#DIV/0!</v>
      </c>
      <c r="G24" s="625" t="str">
        <f>IF('Utility summery'!M28&lt;0,"0",'Utility summery'!M28)</f>
        <v>0</v>
      </c>
      <c r="H24" s="645">
        <v>0</v>
      </c>
      <c r="I24" s="625" t="str">
        <f>IF('UTILITY REPORT 1'!G25&lt;0,"0",'UTILITY REPORT 1'!G25)</f>
        <v>0</v>
      </c>
      <c r="J24" s="645">
        <v>0</v>
      </c>
      <c r="K24" s="624">
        <f>'UTILITY REPORT 1'!C25</f>
        <v>13</v>
      </c>
      <c r="L24" s="626" t="e">
        <f>E24*F24+G24*H24+#REF!*#REF!+I24*J24</f>
        <v>#DIV/0!</v>
      </c>
    </row>
    <row r="25" spans="1:12">
      <c r="A25" s="621" t="s">
        <v>292</v>
      </c>
      <c r="B25" s="622">
        <f t="shared" si="0"/>
        <v>24</v>
      </c>
      <c r="C25" s="622">
        <v>11</v>
      </c>
      <c r="D25" s="623">
        <v>2019</v>
      </c>
      <c r="E25" s="624">
        <f>'UTILITY REPORT 1'!F26</f>
        <v>0</v>
      </c>
      <c r="F25" s="625" t="e">
        <f>('UTILITY REPORT 1'!E26*'UTILITY REPORT 1'!D26)/'UTILITY REPORT 1'!F26</f>
        <v>#DIV/0!</v>
      </c>
      <c r="G25" s="625">
        <f>IF('Utility summery'!M29&lt;0,"0",'Utility summery'!M29)</f>
        <v>0</v>
      </c>
      <c r="H25" s="645">
        <v>0</v>
      </c>
      <c r="I25" s="625">
        <f>IF('UTILITY REPORT 1'!G26&lt;0,"0",'UTILITY REPORT 1'!G26)</f>
        <v>0</v>
      </c>
      <c r="J25" s="645">
        <v>0</v>
      </c>
      <c r="K25" s="624">
        <f>'UTILITY REPORT 1'!C26</f>
        <v>0</v>
      </c>
      <c r="L25" s="626" t="e">
        <f>E25*F25+G25*H25+#REF!*#REF!+I25*J25</f>
        <v>#DIV/0!</v>
      </c>
    </row>
    <row r="26" spans="1:12">
      <c r="A26" s="621" t="s">
        <v>292</v>
      </c>
      <c r="B26" s="622">
        <f>B25+1</f>
        <v>25</v>
      </c>
      <c r="C26" s="622">
        <v>11</v>
      </c>
      <c r="D26" s="623">
        <v>2019</v>
      </c>
      <c r="E26" s="624">
        <f>'UTILITY REPORT 1'!F27</f>
        <v>0</v>
      </c>
      <c r="F26" s="625" t="e">
        <f>('UTILITY REPORT 1'!E27*'UTILITY REPORT 1'!D27)/'UTILITY REPORT 1'!F27</f>
        <v>#DIV/0!</v>
      </c>
      <c r="G26" s="625">
        <f>IF('Utility summery'!M30&lt;0,"0",'Utility summery'!M30)</f>
        <v>0</v>
      </c>
      <c r="H26" s="645">
        <v>0</v>
      </c>
      <c r="I26" s="625">
        <f>IF('UTILITY REPORT 1'!G27&lt;0,"0",'UTILITY REPORT 1'!G27)</f>
        <v>0</v>
      </c>
      <c r="J26" s="645">
        <v>0</v>
      </c>
      <c r="K26" s="624">
        <f>'UTILITY REPORT 1'!C27</f>
        <v>0</v>
      </c>
      <c r="L26" s="626" t="e">
        <f>E26*F26+G26*H26+#REF!*#REF!+I26*J26</f>
        <v>#DIV/0!</v>
      </c>
    </row>
    <row r="27" spans="1:12">
      <c r="A27" s="621" t="s">
        <v>292</v>
      </c>
      <c r="B27" s="622">
        <f t="shared" si="0"/>
        <v>26</v>
      </c>
      <c r="C27" s="622">
        <v>11</v>
      </c>
      <c r="D27" s="623">
        <v>2019</v>
      </c>
      <c r="E27" s="624">
        <f>'UTILITY REPORT 1'!F28</f>
        <v>0</v>
      </c>
      <c r="F27" s="625" t="e">
        <f>('UTILITY REPORT 1'!E28*'UTILITY REPORT 1'!D28)/'UTILITY REPORT 1'!F28</f>
        <v>#DIV/0!</v>
      </c>
      <c r="G27" s="625">
        <f>IF('Utility summery'!M31&lt;0,"0",'Utility summery'!M31)</f>
        <v>0</v>
      </c>
      <c r="H27" s="645">
        <v>0</v>
      </c>
      <c r="I27" s="625">
        <f>IF('UTILITY REPORT 1'!G28&lt;0,"0",'UTILITY REPORT 1'!G28)</f>
        <v>0</v>
      </c>
      <c r="J27" s="645">
        <v>0</v>
      </c>
      <c r="K27" s="624">
        <f>'UTILITY REPORT 1'!C28</f>
        <v>0</v>
      </c>
      <c r="L27" s="626" t="e">
        <f>E27*F27+G27*H27+#REF!*#REF!+I27*J27</f>
        <v>#DIV/0!</v>
      </c>
    </row>
    <row r="28" spans="1:12">
      <c r="A28" s="621" t="s">
        <v>292</v>
      </c>
      <c r="B28" s="622">
        <f t="shared" si="0"/>
        <v>27</v>
      </c>
      <c r="C28" s="622">
        <v>11</v>
      </c>
      <c r="D28" s="623">
        <v>2019</v>
      </c>
      <c r="E28" s="624">
        <f>'UTILITY REPORT 1'!F29</f>
        <v>0</v>
      </c>
      <c r="F28" s="625" t="e">
        <f>('UTILITY REPORT 1'!E29*'UTILITY REPORT 1'!D29)/'UTILITY REPORT 1'!F29</f>
        <v>#DIV/0!</v>
      </c>
      <c r="G28" s="625">
        <f>IF('Utility summery'!M32&lt;0,"0",'Utility summery'!M32)</f>
        <v>0</v>
      </c>
      <c r="H28" s="645">
        <v>0</v>
      </c>
      <c r="I28" s="625">
        <f>IF('UTILITY REPORT 1'!G29&lt;0,"0",'UTILITY REPORT 1'!G29)</f>
        <v>0</v>
      </c>
      <c r="J28" s="645">
        <v>0</v>
      </c>
      <c r="K28" s="624">
        <f>'UTILITY REPORT 1'!C29</f>
        <v>0</v>
      </c>
      <c r="L28" s="626" t="e">
        <f>E28*F28+G28*H28+#REF!*#REF!+I28*J28</f>
        <v>#DIV/0!</v>
      </c>
    </row>
    <row r="29" spans="1:12">
      <c r="A29" s="621" t="s">
        <v>292</v>
      </c>
      <c r="B29" s="622">
        <f t="shared" si="0"/>
        <v>28</v>
      </c>
      <c r="C29" s="622">
        <v>11</v>
      </c>
      <c r="D29" s="623">
        <v>2019</v>
      </c>
      <c r="E29" s="624">
        <f>'UTILITY REPORT 1'!F30</f>
        <v>0</v>
      </c>
      <c r="F29" s="625" t="e">
        <f>('UTILITY REPORT 1'!E30*'UTILITY REPORT 1'!D30)/'UTILITY REPORT 1'!F30</f>
        <v>#DIV/0!</v>
      </c>
      <c r="G29" s="625">
        <f>IF('Utility summery'!M33&lt;0,"0",'Utility summery'!M33)</f>
        <v>0</v>
      </c>
      <c r="H29" s="645">
        <v>0</v>
      </c>
      <c r="I29" s="625">
        <f>IF('UTILITY REPORT 1'!G30&lt;0,"0",'UTILITY REPORT 1'!G30)</f>
        <v>0</v>
      </c>
      <c r="J29" s="645">
        <v>0</v>
      </c>
      <c r="K29" s="624">
        <f>'UTILITY REPORT 1'!C30</f>
        <v>0</v>
      </c>
      <c r="L29" s="626" t="e">
        <f>E29*F29+G29*H29+#REF!*#REF!+I29*J29</f>
        <v>#DIV/0!</v>
      </c>
    </row>
    <row r="30" spans="1:12">
      <c r="A30" s="621" t="s">
        <v>292</v>
      </c>
      <c r="B30" s="622">
        <f t="shared" si="0"/>
        <v>29</v>
      </c>
      <c r="C30" s="622">
        <v>11</v>
      </c>
      <c r="D30" s="623">
        <v>2019</v>
      </c>
      <c r="E30" s="624">
        <f>'UTILITY REPORT 1'!F31</f>
        <v>0</v>
      </c>
      <c r="F30" s="625" t="e">
        <f>('UTILITY REPORT 1'!E31*'UTILITY REPORT 1'!D31)/'UTILITY REPORT 1'!F31</f>
        <v>#DIV/0!</v>
      </c>
      <c r="G30" s="625">
        <f>IF('Utility summery'!M34&lt;0,"0",'Utility summery'!M34)</f>
        <v>0</v>
      </c>
      <c r="H30" s="645">
        <v>0</v>
      </c>
      <c r="I30" s="625">
        <f>IF('UTILITY REPORT 1'!G31&lt;0,"0",'UTILITY REPORT 1'!G31)</f>
        <v>0</v>
      </c>
      <c r="J30" s="645">
        <v>0</v>
      </c>
      <c r="K30" s="624">
        <f>'UTILITY REPORT 1'!C31</f>
        <v>0</v>
      </c>
      <c r="L30" s="626" t="e">
        <f>E30*F30+G30*H30+#REF!*#REF!+I30*J30</f>
        <v>#DIV/0!</v>
      </c>
    </row>
    <row r="31" spans="1:12">
      <c r="A31" s="621" t="s">
        <v>292</v>
      </c>
      <c r="B31" s="622">
        <f t="shared" si="0"/>
        <v>30</v>
      </c>
      <c r="C31" s="622">
        <v>11</v>
      </c>
      <c r="D31" s="623">
        <v>2019</v>
      </c>
      <c r="E31" s="624">
        <f>'UTILITY REPORT 1'!F32</f>
        <v>0</v>
      </c>
      <c r="F31" s="625" t="e">
        <f>('UTILITY REPORT 1'!E32*'UTILITY REPORT 1'!D32)/'UTILITY REPORT 1'!F32</f>
        <v>#DIV/0!</v>
      </c>
      <c r="G31" s="625">
        <f>IF('Utility summery'!M35&lt;0,"0",'Utility summery'!M35)</f>
        <v>0</v>
      </c>
      <c r="H31" s="645">
        <v>0</v>
      </c>
      <c r="I31" s="625">
        <f>IF('UTILITY REPORT 1'!G32&lt;0,"0",'UTILITY REPORT 1'!G32)</f>
        <v>0</v>
      </c>
      <c r="J31" s="645">
        <v>0</v>
      </c>
      <c r="K31" s="624">
        <f>'UTILITY REPORT 1'!C32</f>
        <v>0</v>
      </c>
      <c r="L31" s="626" t="e">
        <f>E31*F31+G31*H31+#REF!*#REF!+I31*J31</f>
        <v>#DIV/0!</v>
      </c>
    </row>
    <row r="32" spans="1:12">
      <c r="A32" s="621" t="s">
        <v>292</v>
      </c>
      <c r="B32" s="622">
        <v>1</v>
      </c>
      <c r="C32" s="622">
        <v>12</v>
      </c>
      <c r="D32" s="623">
        <v>2019</v>
      </c>
      <c r="E32" s="624">
        <f>'UTILITY REPORT 1'!F33</f>
        <v>0</v>
      </c>
      <c r="F32" s="625" t="e">
        <f>('UTILITY REPORT 1'!E33*'UTILITY REPORT 1'!D33)/'UTILITY REPORT 1'!F33</f>
        <v>#DIV/0!</v>
      </c>
      <c r="G32" s="625">
        <f>IF('Utility summery'!M36&lt;0,"0",'Utility summery'!M36)</f>
        <v>0</v>
      </c>
      <c r="H32" s="645">
        <v>0</v>
      </c>
      <c r="I32" s="625">
        <f>IF('UTILITY REPORT 1'!G33&lt;0,"0",'UTILITY REPORT 1'!G33)</f>
        <v>0</v>
      </c>
      <c r="J32" s="645">
        <v>0</v>
      </c>
      <c r="K32" s="624">
        <f>'UTILITY REPORT 1'!C33</f>
        <v>0</v>
      </c>
    </row>
    <row r="33" spans="6:10">
      <c r="F33" s="625"/>
      <c r="G33" s="625"/>
      <c r="H33" s="645"/>
      <c r="I33" s="625" t="s">
        <v>260</v>
      </c>
      <c r="J33" s="645"/>
    </row>
    <row r="34" spans="6:10">
      <c r="F34" s="625"/>
      <c r="G34" s="625"/>
      <c r="H34" s="645"/>
      <c r="I34" s="625"/>
      <c r="J34" s="645"/>
    </row>
    <row r="35" spans="6:10">
      <c r="F35" s="625"/>
      <c r="G35" s="625"/>
      <c r="H35" s="645"/>
      <c r="I35" s="625"/>
      <c r="J35" s="645"/>
    </row>
    <row r="36" spans="6:10">
      <c r="F36" s="625"/>
      <c r="G36" s="625"/>
      <c r="H36" s="645"/>
      <c r="I36" s="625"/>
      <c r="J36" s="645"/>
    </row>
    <row r="37" spans="6:10">
      <c r="F37" s="625"/>
      <c r="G37" s="625"/>
      <c r="H37" s="645"/>
      <c r="I37" s="625"/>
      <c r="J37" s="645"/>
    </row>
    <row r="38" spans="6:10">
      <c r="F38" s="625"/>
      <c r="G38" s="625"/>
      <c r="H38" s="645"/>
      <c r="I38" s="625"/>
      <c r="J38" s="645"/>
    </row>
    <row r="39" spans="6:10">
      <c r="F39" s="625"/>
      <c r="G39" s="625"/>
      <c r="H39" s="645"/>
      <c r="I39" s="625"/>
      <c r="J39" s="6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W13" sqref="W13"/>
    </sheetView>
  </sheetViews>
  <sheetFormatPr defaultColWidth="11.5703125" defaultRowHeight="12.75"/>
  <cols>
    <col min="1" max="1" width="12.42578125" style="13" customWidth="1"/>
    <col min="2" max="3" width="11.5703125" style="622"/>
    <col min="4" max="4" width="13.42578125" style="623" customWidth="1"/>
    <col min="5" max="6" width="12.5703125" style="13" customWidth="1"/>
    <col min="7" max="7" width="12.5703125" style="624" customWidth="1"/>
    <col min="8" max="10" width="11.5703125" style="13"/>
    <col min="11" max="11" width="12.5703125" style="624" customWidth="1"/>
    <col min="12" max="12" width="11.5703125" style="13"/>
    <col min="13" max="14" width="11.5703125" style="624"/>
    <col min="15" max="15" width="0" style="13" hidden="1" customWidth="1"/>
    <col min="16" max="16" width="13.42578125" style="13" customWidth="1"/>
    <col min="17" max="22" width="11.5703125" style="13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620" customFormat="1" ht="60.75" thickBot="1">
      <c r="A1" s="727" t="s">
        <v>280</v>
      </c>
      <c r="B1" s="728" t="s">
        <v>281</v>
      </c>
      <c r="C1" s="728" t="s">
        <v>282</v>
      </c>
      <c r="D1" s="729" t="s">
        <v>283</v>
      </c>
      <c r="E1" s="730" t="s">
        <v>296</v>
      </c>
      <c r="F1" s="730" t="s">
        <v>295</v>
      </c>
      <c r="G1" s="731" t="s">
        <v>284</v>
      </c>
      <c r="H1" s="730" t="s">
        <v>293</v>
      </c>
      <c r="I1" s="730" t="s">
        <v>294</v>
      </c>
      <c r="J1" s="730" t="s">
        <v>297</v>
      </c>
      <c r="K1" s="731" t="s">
        <v>275</v>
      </c>
      <c r="L1" s="730" t="s">
        <v>298</v>
      </c>
      <c r="M1" s="731" t="s">
        <v>299</v>
      </c>
      <c r="N1" s="731" t="s">
        <v>300</v>
      </c>
      <c r="O1" s="731" t="s">
        <v>300</v>
      </c>
      <c r="P1" s="731" t="s">
        <v>316</v>
      </c>
      <c r="Q1" s="731" t="s">
        <v>301</v>
      </c>
      <c r="R1" s="731" t="s">
        <v>302</v>
      </c>
      <c r="S1" s="731" t="s">
        <v>303</v>
      </c>
      <c r="T1" s="731" t="s">
        <v>304</v>
      </c>
      <c r="U1" s="731" t="s">
        <v>305</v>
      </c>
      <c r="V1" s="731" t="s">
        <v>306</v>
      </c>
      <c r="W1" s="735" t="s">
        <v>317</v>
      </c>
      <c r="X1" s="737" t="s">
        <v>290</v>
      </c>
    </row>
    <row r="2" spans="1:24">
      <c r="A2" s="722" t="s">
        <v>292</v>
      </c>
      <c r="B2" s="723">
        <v>1</v>
      </c>
      <c r="C2" s="723">
        <v>11</v>
      </c>
      <c r="D2" s="724">
        <v>2019</v>
      </c>
      <c r="E2" s="725">
        <f>'UTILITY REPORT 1'!I3</f>
        <v>69.050000000000011</v>
      </c>
      <c r="F2" s="725">
        <f>'UTILITY REPORT 1'!E3</f>
        <v>2398.12</v>
      </c>
      <c r="G2" s="726">
        <f>'UTILITY REPORT 1'!F3</f>
        <v>5703</v>
      </c>
      <c r="H2" s="725">
        <f>IF('Kit report'!F4&lt;0,"0",'Kit report'!F4)</f>
        <v>516.00000000002183</v>
      </c>
      <c r="I2" s="725">
        <f>IF('Kit report'!X4&lt;0,"0",'Kit report'!X4)</f>
        <v>860.00000000003638</v>
      </c>
      <c r="J2" s="725">
        <f>IF('Utility summery'!H6&lt;0,"0",'Utility summery'!H6)</f>
        <v>36</v>
      </c>
      <c r="K2" s="726">
        <f>IF('UTILITY REPORT 1'!H3&lt;0,"0",'UTILITY REPORT 1'!H3)</f>
        <v>120</v>
      </c>
      <c r="L2" s="725">
        <f>'Water-Meter'!K6</f>
        <v>3</v>
      </c>
      <c r="M2" s="726">
        <f>'Water-Meter'!H6</f>
        <v>16</v>
      </c>
      <c r="N2" s="726">
        <f>'Water-Meter'!Q6</f>
        <v>13</v>
      </c>
      <c r="O2" s="725" t="e">
        <f>K2*E2+H2*I2+#REF!*#REF!+J2*L2</f>
        <v>#REF!</v>
      </c>
      <c r="P2" s="725">
        <f>'Water-Meter'!E6</f>
        <v>128</v>
      </c>
      <c r="Q2" s="612">
        <f>IF('Water-Meter'!U6&lt;0,"0",'Water-Meter'!U6)</f>
        <v>30</v>
      </c>
      <c r="R2" s="612">
        <f>IF('Water-Meter'!X6&lt;0,"0",'Water-Meter'!X6)</f>
        <v>50</v>
      </c>
      <c r="S2" s="612">
        <f>IF('Water-Meter'!AA6&lt;0,"0",'Water-Meter'!AA6)</f>
        <v>65</v>
      </c>
      <c r="T2" s="612">
        <f>IF('Water-Meter'!AD6&lt;0,"0",'Water-Meter'!AD6)</f>
        <v>7</v>
      </c>
      <c r="U2" s="612">
        <f>IF('Water-Meter'!AG6&lt;0,"0",'Water-Meter'!AG6)</f>
        <v>14</v>
      </c>
      <c r="V2" s="612">
        <f>IF('Water-Meter'!AJ6&lt;0,"0",'Water-Meter'!AJ6)</f>
        <v>19</v>
      </c>
      <c r="W2" s="32">
        <f>'Water-Meter'!AN6</f>
        <v>185</v>
      </c>
      <c r="X2" s="738">
        <f>Total!K2</f>
        <v>66</v>
      </c>
    </row>
    <row r="3" spans="1:24">
      <c r="A3" s="714" t="s">
        <v>292</v>
      </c>
      <c r="B3" s="710">
        <f>B2+1</f>
        <v>2</v>
      </c>
      <c r="C3" s="710">
        <v>11</v>
      </c>
      <c r="D3" s="711">
        <v>2019</v>
      </c>
      <c r="E3" s="712">
        <f>'UTILITY REPORT 1'!I4</f>
        <v>659.55</v>
      </c>
      <c r="F3" s="712">
        <f>'UTILITY REPORT 1'!E4</f>
        <v>2502.5700000000002</v>
      </c>
      <c r="G3" s="713">
        <f>'UTILITY REPORT 1'!F4</f>
        <v>6052</v>
      </c>
      <c r="H3" s="712">
        <f>IF('Kit report'!F5&lt;0,"0",'Kit report'!F5)</f>
        <v>516.00000000002183</v>
      </c>
      <c r="I3" s="712">
        <f>IF('Kit report'!X5&lt;0,"0",'Kit report'!X5)</f>
        <v>900</v>
      </c>
      <c r="J3" s="712">
        <f>IF('Utility summery'!H7&lt;0,"0",'Utility summery'!H7)</f>
        <v>30</v>
      </c>
      <c r="K3" s="713">
        <f>IF('UTILITY REPORT 1'!H4&lt;0,"0",'UTILITY REPORT 1'!H4)</f>
        <v>120</v>
      </c>
      <c r="L3" s="712">
        <f>'Water-Meter'!K7</f>
        <v>3</v>
      </c>
      <c r="M3" s="713">
        <f>'Water-Meter'!H7</f>
        <v>23</v>
      </c>
      <c r="N3" s="713">
        <f>'Water-Meter'!Q7</f>
        <v>8</v>
      </c>
      <c r="O3" s="712" t="e">
        <f>K3*E3+H3*I3+#REF!*#REF!+J3*L3</f>
        <v>#REF!</v>
      </c>
      <c r="P3" s="725">
        <f>'Water-Meter'!E7</f>
        <v>139</v>
      </c>
      <c r="Q3" s="335">
        <f>IF('Water-Meter'!U7&lt;0,"0",'Water-Meter'!U7)</f>
        <v>29</v>
      </c>
      <c r="R3" s="335">
        <f>IF('Water-Meter'!X7&lt;0,"0",'Water-Meter'!X7)</f>
        <v>51</v>
      </c>
      <c r="S3" s="335">
        <f>IF('Water-Meter'!AA7&lt;0,"0",'Water-Meter'!AA7)</f>
        <v>55</v>
      </c>
      <c r="T3" s="335">
        <f>IF('Water-Meter'!AD7&lt;0,"0",'Water-Meter'!AD7)</f>
        <v>7</v>
      </c>
      <c r="U3" s="335">
        <f>IF('Water-Meter'!AG7&lt;0,"0",'Water-Meter'!AG7)</f>
        <v>14</v>
      </c>
      <c r="V3" s="335">
        <f>IF('Water-Meter'!AJ7&lt;0,"0",'Water-Meter'!AJ7)</f>
        <v>19</v>
      </c>
      <c r="W3" s="32">
        <f>'Water-Meter'!AN7</f>
        <v>175</v>
      </c>
      <c r="X3" s="738">
        <f>Total!K3</f>
        <v>58</v>
      </c>
    </row>
    <row r="4" spans="1:24">
      <c r="A4" s="714" t="s">
        <v>292</v>
      </c>
      <c r="B4" s="710">
        <f t="shared" ref="B4:B31" si="0">B3+1</f>
        <v>3</v>
      </c>
      <c r="C4" s="710">
        <v>11</v>
      </c>
      <c r="D4" s="711">
        <v>2019</v>
      </c>
      <c r="E4" s="712">
        <f>'UTILITY REPORT 1'!I5</f>
        <v>261.5</v>
      </c>
      <c r="F4" s="712">
        <f>'UTILITY REPORT 1'!E5</f>
        <v>2086.83</v>
      </c>
      <c r="G4" s="713">
        <f>'UTILITY REPORT 1'!F5</f>
        <v>5227</v>
      </c>
      <c r="H4" s="712">
        <f>IF('Kit report'!F6&lt;0,"0",'Kit report'!F6)</f>
        <v>491.99999999993452</v>
      </c>
      <c r="I4" s="712">
        <f>IF('Kit report'!X6&lt;0,"0",'Kit report'!X6)</f>
        <v>819.99999999989086</v>
      </c>
      <c r="J4" s="712">
        <f>IF('Utility summery'!H8&lt;0,"0",'Utility summery'!H8)</f>
        <v>38</v>
      </c>
      <c r="K4" s="713">
        <f>IF('UTILITY REPORT 1'!H5&lt;0,"0",'UTILITY REPORT 1'!H5)</f>
        <v>125</v>
      </c>
      <c r="L4" s="712">
        <f>'Water-Meter'!K8</f>
        <v>6</v>
      </c>
      <c r="M4" s="713">
        <f>'Water-Meter'!H8</f>
        <v>15</v>
      </c>
      <c r="N4" s="713">
        <f>'Water-Meter'!Q8</f>
        <v>13</v>
      </c>
      <c r="O4" s="712" t="e">
        <f>K4*E4+H4*I4+#REF!*#REF!+J4*L4</f>
        <v>#REF!</v>
      </c>
      <c r="P4" s="725">
        <f>'Water-Meter'!E8</f>
        <v>132</v>
      </c>
      <c r="Q4" s="335">
        <f>IF('Water-Meter'!U8&lt;0,"0",'Water-Meter'!U8)</f>
        <v>29</v>
      </c>
      <c r="R4" s="335">
        <f>IF('Water-Meter'!X8&lt;0,"0",'Water-Meter'!X8)</f>
        <v>51</v>
      </c>
      <c r="S4" s="335">
        <f>IF('Water-Meter'!AA8&lt;0,"0",'Water-Meter'!AA8)</f>
        <v>55</v>
      </c>
      <c r="T4" s="335">
        <f>IF('Water-Meter'!AD8&lt;0,"0",'Water-Meter'!AD8)</f>
        <v>7</v>
      </c>
      <c r="U4" s="335">
        <f>IF('Water-Meter'!AG8&lt;0,"0",'Water-Meter'!AG8)</f>
        <v>14</v>
      </c>
      <c r="V4" s="335">
        <f>IF('Water-Meter'!AJ8&lt;0,"0",'Water-Meter'!AJ8)</f>
        <v>20</v>
      </c>
      <c r="W4" s="32">
        <f>'Water-Meter'!AN8</f>
        <v>176</v>
      </c>
      <c r="X4" s="738">
        <f>Total!K4</f>
        <v>9</v>
      </c>
    </row>
    <row r="5" spans="1:24">
      <c r="A5" s="714" t="s">
        <v>292</v>
      </c>
      <c r="B5" s="710">
        <f t="shared" si="0"/>
        <v>4</v>
      </c>
      <c r="C5" s="710">
        <v>11</v>
      </c>
      <c r="D5" s="711">
        <v>2019</v>
      </c>
      <c r="E5" s="712">
        <f>'UTILITY REPORT 1'!I6</f>
        <v>17.39</v>
      </c>
      <c r="F5" s="712">
        <f>'UTILITY REPORT 1'!E6</f>
        <v>1834.21</v>
      </c>
      <c r="G5" s="713">
        <f>'UTILITY REPORT 1'!F6</f>
        <v>4812</v>
      </c>
      <c r="H5" s="712">
        <f>IF('Kit report'!F7&lt;0,"0",'Kit report'!F7)</f>
        <v>552.00000000004366</v>
      </c>
      <c r="I5" s="712">
        <f>IF('Kit report'!X7&lt;0,"0",'Kit report'!X7)</f>
        <v>1060.0000000000364</v>
      </c>
      <c r="J5" s="712">
        <f>IF('Utility summery'!H9&lt;0,"0",'Utility summery'!H9)</f>
        <v>40</v>
      </c>
      <c r="K5" s="713">
        <f>IF('UTILITY REPORT 1'!H6&lt;0,"0",'UTILITY REPORT 1'!H6)</f>
        <v>32</v>
      </c>
      <c r="L5" s="712">
        <f>'Water-Meter'!K9</f>
        <v>4</v>
      </c>
      <c r="M5" s="713">
        <f>'Water-Meter'!H9</f>
        <v>15</v>
      </c>
      <c r="N5" s="713">
        <f>'Water-Meter'!Q9</f>
        <v>15</v>
      </c>
      <c r="O5" s="712" t="e">
        <f>K5*E5+H5*I5+#REF!*#REF!+J5*L5</f>
        <v>#REF!</v>
      </c>
      <c r="P5" s="725">
        <f>'Water-Meter'!E9</f>
        <v>100</v>
      </c>
      <c r="Q5" s="335">
        <f>IF('Water-Meter'!U9&lt;0,"0",'Water-Meter'!U9)</f>
        <v>30</v>
      </c>
      <c r="R5" s="335">
        <f>IF('Water-Meter'!X9&lt;0,"0",'Water-Meter'!X9)</f>
        <v>51</v>
      </c>
      <c r="S5" s="335">
        <f>IF('Water-Meter'!AA9&lt;0,"0",'Water-Meter'!AA9)</f>
        <v>55</v>
      </c>
      <c r="T5" s="335">
        <f>IF('Water-Meter'!AD9&lt;0,"0",'Water-Meter'!AD9)</f>
        <v>6</v>
      </c>
      <c r="U5" s="335">
        <f>IF('Water-Meter'!AG9&lt;0,"0",'Water-Meter'!AG9)</f>
        <v>14</v>
      </c>
      <c r="V5" s="335">
        <f>IF('Water-Meter'!AJ9&lt;0,"0",'Water-Meter'!AJ9)</f>
        <v>18</v>
      </c>
      <c r="W5" s="32">
        <f>'Water-Meter'!AN9</f>
        <v>174</v>
      </c>
      <c r="X5" s="738">
        <f>Total!K5</f>
        <v>10</v>
      </c>
    </row>
    <row r="6" spans="1:24">
      <c r="A6" s="714" t="s">
        <v>292</v>
      </c>
      <c r="B6" s="710">
        <f t="shared" si="0"/>
        <v>5</v>
      </c>
      <c r="C6" s="710">
        <v>11</v>
      </c>
      <c r="D6" s="711">
        <v>2019</v>
      </c>
      <c r="E6" s="712">
        <f>'UTILITY REPORT 1'!I7</f>
        <v>18.940000000000001</v>
      </c>
      <c r="F6" s="712">
        <f>'UTILITY REPORT 1'!E7</f>
        <v>2117.6999999999998</v>
      </c>
      <c r="G6" s="713">
        <f>'UTILITY REPORT 1'!F7</f>
        <v>5035</v>
      </c>
      <c r="H6" s="712">
        <f>IF('Kit report'!F8&lt;0,"0",'Kit report'!F8)</f>
        <v>563.99999999997817</v>
      </c>
      <c r="I6" s="712">
        <f>IF('Kit report'!X8&lt;0,"0",'Kit report'!X8)</f>
        <v>860.00000000003638</v>
      </c>
      <c r="J6" s="712">
        <f>IF('Utility summery'!H10&lt;0,"0",'Utility summery'!H10)</f>
        <v>41</v>
      </c>
      <c r="K6" s="713">
        <f>IF('UTILITY REPORT 1'!H7&lt;0,"0",'UTILITY REPORT 1'!H7)</f>
        <v>0</v>
      </c>
      <c r="L6" s="712">
        <f>'Water-Meter'!K10</f>
        <v>1</v>
      </c>
      <c r="M6" s="713">
        <f>'Water-Meter'!H10</f>
        <v>15</v>
      </c>
      <c r="N6" s="713">
        <f>'Water-Meter'!Q10</f>
        <v>2</v>
      </c>
      <c r="O6" s="712" t="e">
        <f>K6*E6+H6*I6+#REF!*#REF!+J6*L6</f>
        <v>#REF!</v>
      </c>
      <c r="P6" s="725">
        <f>'Water-Meter'!E10</f>
        <v>119</v>
      </c>
      <c r="Q6" s="335">
        <f>IF('Water-Meter'!U10&lt;0,"0",'Water-Meter'!U10)</f>
        <v>29</v>
      </c>
      <c r="R6" s="335">
        <f>IF('Water-Meter'!X10&lt;0,"0",'Water-Meter'!X10)</f>
        <v>50</v>
      </c>
      <c r="S6" s="335">
        <f>IF('Water-Meter'!AA10&lt;0,"0",'Water-Meter'!AA10)</f>
        <v>55</v>
      </c>
      <c r="T6" s="335">
        <f>IF('Water-Meter'!AD10&lt;0,"0",'Water-Meter'!AD10)</f>
        <v>7</v>
      </c>
      <c r="U6" s="335">
        <f>IF('Water-Meter'!AG10&lt;0,"0",'Water-Meter'!AG10)</f>
        <v>14</v>
      </c>
      <c r="V6" s="335">
        <f>IF('Water-Meter'!AJ10&lt;0,"0",'Water-Meter'!AJ10)</f>
        <v>19</v>
      </c>
      <c r="W6" s="32">
        <f>'Water-Meter'!AN10</f>
        <v>174</v>
      </c>
      <c r="X6" s="738">
        <f>Total!K6</f>
        <v>25</v>
      </c>
    </row>
    <row r="7" spans="1:24">
      <c r="A7" s="714" t="s">
        <v>292</v>
      </c>
      <c r="B7" s="710">
        <f t="shared" si="0"/>
        <v>6</v>
      </c>
      <c r="C7" s="710">
        <v>11</v>
      </c>
      <c r="D7" s="711">
        <v>2019</v>
      </c>
      <c r="E7" s="712">
        <f>'UTILITY REPORT 1'!I8</f>
        <v>142.32999999999998</v>
      </c>
      <c r="F7" s="712">
        <f>'UTILITY REPORT 1'!E8</f>
        <v>2435.73</v>
      </c>
      <c r="G7" s="713">
        <f>'UTILITY REPORT 1'!F8</f>
        <v>5420</v>
      </c>
      <c r="H7" s="712">
        <f>IF('Kit report'!F9&lt;0,"0",'Kit report'!F9)</f>
        <v>503.99999999997817</v>
      </c>
      <c r="I7" s="712">
        <f>IF('Kit report'!X9&lt;0,"0",'Kit report'!X9)</f>
        <v>860.00000000003638</v>
      </c>
      <c r="J7" s="712">
        <f>IF('Utility summery'!H11&lt;0,"0",'Utility summery'!H11)</f>
        <v>39</v>
      </c>
      <c r="K7" s="713">
        <f>IF('UTILITY REPORT 1'!H8&lt;0,"0",'UTILITY REPORT 1'!H8)</f>
        <v>107</v>
      </c>
      <c r="L7" s="712">
        <f>'Water-Meter'!K11</f>
        <v>4</v>
      </c>
      <c r="M7" s="713">
        <f>'Water-Meter'!H11</f>
        <v>13</v>
      </c>
      <c r="N7" s="713">
        <f>'Water-Meter'!Q11</f>
        <v>8</v>
      </c>
      <c r="O7" s="712" t="e">
        <f>K7*E7+H7*I7+#REF!*#REF!+J7*L7</f>
        <v>#REF!</v>
      </c>
      <c r="P7" s="725">
        <f>'Water-Meter'!E11</f>
        <v>110</v>
      </c>
      <c r="Q7" s="335">
        <f>IF('Water-Meter'!U11&lt;0,"0",'Water-Meter'!U11)</f>
        <v>30</v>
      </c>
      <c r="R7" s="335">
        <f>IF('Water-Meter'!X11&lt;0,"0",'Water-Meter'!X11)</f>
        <v>53</v>
      </c>
      <c r="S7" s="335">
        <f>IF('Water-Meter'!AA11&lt;0,"0",'Water-Meter'!AA11)</f>
        <v>54</v>
      </c>
      <c r="T7" s="335">
        <f>IF('Water-Meter'!AD11&lt;0,"0",'Water-Meter'!AD11)</f>
        <v>6</v>
      </c>
      <c r="U7" s="335">
        <f>IF('Water-Meter'!AG11&lt;0,"0",'Water-Meter'!AG11)</f>
        <v>14</v>
      </c>
      <c r="V7" s="335">
        <f>IF('Water-Meter'!AJ11&lt;0,"0",'Water-Meter'!AJ11)</f>
        <v>18</v>
      </c>
      <c r="W7" s="32">
        <f>'Water-Meter'!AN11</f>
        <v>175</v>
      </c>
      <c r="X7" s="738">
        <f>Total!K7</f>
        <v>24</v>
      </c>
    </row>
    <row r="8" spans="1:24">
      <c r="A8" s="714" t="s">
        <v>292</v>
      </c>
      <c r="B8" s="710">
        <f t="shared" si="0"/>
        <v>7</v>
      </c>
      <c r="C8" s="710">
        <v>11</v>
      </c>
      <c r="D8" s="711">
        <v>2019</v>
      </c>
      <c r="E8" s="712">
        <f>'UTILITY REPORT 1'!I9</f>
        <v>241.32</v>
      </c>
      <c r="F8" s="712">
        <f>'UTILITY REPORT 1'!E9</f>
        <v>2229.96</v>
      </c>
      <c r="G8" s="713">
        <f>'UTILITY REPORT 1'!F9</f>
        <v>5338</v>
      </c>
      <c r="H8" s="712">
        <f>IF('Kit report'!F10&lt;0,"0",'Kit report'!F10)</f>
        <v>468.00000000006548</v>
      </c>
      <c r="I8" s="712">
        <f>IF('Kit report'!X10&lt;0,"0",'Kit report'!X10)</f>
        <v>700</v>
      </c>
      <c r="J8" s="712">
        <f>IF('Utility summery'!H12&lt;0,"0",'Utility summery'!H12)</f>
        <v>30</v>
      </c>
      <c r="K8" s="713">
        <f>IF('UTILITY REPORT 1'!H9&lt;0,"0",'UTILITY REPORT 1'!H9)</f>
        <v>112</v>
      </c>
      <c r="L8" s="712">
        <f>'Water-Meter'!K12</f>
        <v>3</v>
      </c>
      <c r="M8" s="713">
        <f>'Water-Meter'!H12</f>
        <v>10</v>
      </c>
      <c r="N8" s="713">
        <f>'Water-Meter'!Q12</f>
        <v>7</v>
      </c>
      <c r="O8" s="712" t="e">
        <f>K8*E8+H8*I8+#REF!*#REF!+J8*L8</f>
        <v>#REF!</v>
      </c>
      <c r="P8" s="725">
        <f>'Water-Meter'!E12</f>
        <v>95</v>
      </c>
      <c r="Q8" s="335">
        <f>IF('Water-Meter'!U12&lt;0,"0",'Water-Meter'!U12)</f>
        <v>30</v>
      </c>
      <c r="R8" s="335">
        <f>IF('Water-Meter'!X12&lt;0,"0",'Water-Meter'!X12)</f>
        <v>51</v>
      </c>
      <c r="S8" s="335">
        <f>IF('Water-Meter'!AA12&lt;0,"0",'Water-Meter'!AA12)</f>
        <v>55</v>
      </c>
      <c r="T8" s="335">
        <f>IF('Water-Meter'!AD12&lt;0,"0",'Water-Meter'!AD12)</f>
        <v>7</v>
      </c>
      <c r="U8" s="335">
        <f>IF('Water-Meter'!AG12&lt;0,"0",'Water-Meter'!AG12)</f>
        <v>14</v>
      </c>
      <c r="V8" s="335">
        <f>IF('Water-Meter'!AJ12&lt;0,"0",'Water-Meter'!AJ12)</f>
        <v>19</v>
      </c>
      <c r="W8" s="32">
        <f>'Water-Meter'!AN12</f>
        <v>176</v>
      </c>
      <c r="X8" s="738">
        <f>Total!K8</f>
        <v>17</v>
      </c>
    </row>
    <row r="9" spans="1:24">
      <c r="A9" s="714" t="s">
        <v>292</v>
      </c>
      <c r="B9" s="710">
        <f t="shared" si="0"/>
        <v>8</v>
      </c>
      <c r="C9" s="710">
        <v>11</v>
      </c>
      <c r="D9" s="711">
        <v>2019</v>
      </c>
      <c r="E9" s="712">
        <f>'UTILITY REPORT 1'!I10</f>
        <v>159.05000000000001</v>
      </c>
      <c r="F9" s="712">
        <f>'UTILITY REPORT 1'!E10</f>
        <v>2100.4499999999998</v>
      </c>
      <c r="G9" s="713">
        <f>'UTILITY REPORT 1'!F10</f>
        <v>5670</v>
      </c>
      <c r="H9" s="712">
        <f>IF('Kit report'!F11&lt;0,"0",'Kit report'!F11)</f>
        <v>516.00000000002183</v>
      </c>
      <c r="I9" s="712">
        <f>IF('Kit report'!X11&lt;0,"0",'Kit report'!X11)</f>
        <v>739.99999999996362</v>
      </c>
      <c r="J9" s="712">
        <f>IF('Utility summery'!H13&lt;0,"0",'Utility summery'!H13)</f>
        <v>52</v>
      </c>
      <c r="K9" s="713">
        <f>IF('UTILITY REPORT 1'!H10&lt;0,"0",'UTILITY REPORT 1'!H10)</f>
        <v>109</v>
      </c>
      <c r="L9" s="712">
        <f>'Water-Meter'!K13</f>
        <v>3</v>
      </c>
      <c r="M9" s="713">
        <f>'Water-Meter'!H13</f>
        <v>14</v>
      </c>
      <c r="N9" s="713">
        <f>'Water-Meter'!Q13</f>
        <v>10</v>
      </c>
      <c r="O9" s="712" t="e">
        <f>K9*E9+H9*I9+#REF!*#REF!+J9*L9</f>
        <v>#REF!</v>
      </c>
      <c r="P9" s="725">
        <f>'Water-Meter'!E13</f>
        <v>120</v>
      </c>
      <c r="Q9" s="335">
        <f>IF('Water-Meter'!U13&lt;0,"0",'Water-Meter'!U13)</f>
        <v>29</v>
      </c>
      <c r="R9" s="335">
        <f>IF('Water-Meter'!X13&lt;0,"0",'Water-Meter'!X13)</f>
        <v>52</v>
      </c>
      <c r="S9" s="335">
        <f>IF('Water-Meter'!AA13&lt;0,"0",'Water-Meter'!AA13)</f>
        <v>54</v>
      </c>
      <c r="T9" s="335">
        <f>IF('Water-Meter'!AD13&lt;0,"0",'Water-Meter'!AD13)</f>
        <v>5</v>
      </c>
      <c r="U9" s="335">
        <f>IF('Water-Meter'!AG13&lt;0,"0",'Water-Meter'!AG13)</f>
        <v>14</v>
      </c>
      <c r="V9" s="335">
        <f>IF('Water-Meter'!AJ13&lt;0,"0",'Water-Meter'!AJ13)</f>
        <v>18</v>
      </c>
      <c r="W9" s="32">
        <f>'Water-Meter'!AN13</f>
        <v>172</v>
      </c>
      <c r="X9" s="738">
        <f>Total!K9</f>
        <v>13</v>
      </c>
    </row>
    <row r="10" spans="1:24">
      <c r="A10" s="714" t="s">
        <v>292</v>
      </c>
      <c r="B10" s="710">
        <f t="shared" si="0"/>
        <v>9</v>
      </c>
      <c r="C10" s="710">
        <v>11</v>
      </c>
      <c r="D10" s="711">
        <v>2019</v>
      </c>
      <c r="E10" s="712">
        <f>'UTILITY REPORT 1'!I11</f>
        <v>122.96000000000001</v>
      </c>
      <c r="F10" s="712">
        <f>'UTILITY REPORT 1'!E11</f>
        <v>2130.17</v>
      </c>
      <c r="G10" s="713">
        <f>'UTILITY REPORT 1'!F11</f>
        <v>5594</v>
      </c>
      <c r="H10" s="712">
        <f>IF('Kit report'!F12&lt;0,"0",'Kit report'!F12)</f>
        <v>491.99999999993452</v>
      </c>
      <c r="I10" s="712">
        <f>IF('Kit report'!X12&lt;0,"0",'Kit report'!X12)</f>
        <v>800</v>
      </c>
      <c r="J10" s="712">
        <f>IF('Utility summery'!H14&lt;0,"0",'Utility summery'!H14)</f>
        <v>37</v>
      </c>
      <c r="K10" s="713">
        <f>IF('UTILITY REPORT 1'!H11&lt;0,"0",'UTILITY REPORT 1'!H11)</f>
        <v>110</v>
      </c>
      <c r="L10" s="712">
        <f>'Water-Meter'!K14</f>
        <v>3</v>
      </c>
      <c r="M10" s="713">
        <f>'Water-Meter'!H14</f>
        <v>20</v>
      </c>
      <c r="N10" s="713">
        <f>'Water-Meter'!Q14</f>
        <v>8</v>
      </c>
      <c r="O10" s="712" t="e">
        <f>K10*E10+H10*I10+#REF!*#REF!+J10*L10</f>
        <v>#REF!</v>
      </c>
      <c r="P10" s="725">
        <f>'Water-Meter'!E14</f>
        <v>96</v>
      </c>
      <c r="Q10" s="335">
        <f>IF('Water-Meter'!U14&lt;0,"0",'Water-Meter'!U14)</f>
        <v>31</v>
      </c>
      <c r="R10" s="335">
        <f>IF('Water-Meter'!X14&lt;0,"0",'Water-Meter'!X14)</f>
        <v>51</v>
      </c>
      <c r="S10" s="335">
        <f>IF('Water-Meter'!AA14&lt;0,"0",'Water-Meter'!AA14)</f>
        <v>55</v>
      </c>
      <c r="T10" s="335">
        <f>IF('Water-Meter'!AD14&lt;0,"0",'Water-Meter'!AD14)</f>
        <v>7</v>
      </c>
      <c r="U10" s="335">
        <f>IF('Water-Meter'!AG14&lt;0,"0",'Water-Meter'!AG14)</f>
        <v>14</v>
      </c>
      <c r="V10" s="335">
        <f>IF('Water-Meter'!AJ14&lt;0,"0",'Water-Meter'!AJ14)</f>
        <v>18</v>
      </c>
      <c r="W10" s="32">
        <f>'Water-Meter'!AN14</f>
        <v>176</v>
      </c>
      <c r="X10" s="738">
        <f>Total!K10</f>
        <v>13</v>
      </c>
    </row>
    <row r="11" spans="1:24">
      <c r="A11" s="714" t="s">
        <v>292</v>
      </c>
      <c r="B11" s="710">
        <f t="shared" si="0"/>
        <v>10</v>
      </c>
      <c r="C11" s="710">
        <v>11</v>
      </c>
      <c r="D11" s="711">
        <v>2019</v>
      </c>
      <c r="E11" s="712">
        <f>'UTILITY REPORT 1'!I12</f>
        <v>231.5</v>
      </c>
      <c r="F11" s="712">
        <f>'UTILITY REPORT 1'!E12</f>
        <v>2241.8000000000002</v>
      </c>
      <c r="G11" s="713">
        <f>'UTILITY REPORT 1'!F12</f>
        <v>5487</v>
      </c>
      <c r="H11" s="712">
        <f>IF('Kit report'!F13&lt;0,"0",'Kit report'!F13)</f>
        <v>480</v>
      </c>
      <c r="I11" s="712">
        <f>IF('Kit report'!X13&lt;0,"0",'Kit report'!X13)</f>
        <v>719.99999999989086</v>
      </c>
      <c r="J11" s="712">
        <f>IF('Utility summery'!H15&lt;0,"0",'Utility summery'!H15)</f>
        <v>35</v>
      </c>
      <c r="K11" s="713">
        <f>IF('UTILITY REPORT 1'!H12&lt;0,"0",'UTILITY REPORT 1'!H12)</f>
        <v>81</v>
      </c>
      <c r="L11" s="712">
        <f>'Water-Meter'!K15</f>
        <v>2</v>
      </c>
      <c r="M11" s="713">
        <f>'Water-Meter'!H15</f>
        <v>18</v>
      </c>
      <c r="N11" s="713">
        <f>'Water-Meter'!Q15</f>
        <v>8</v>
      </c>
      <c r="O11" s="712" t="e">
        <f>K11*E11+H11*I11+#REF!*#REF!+J11*L11</f>
        <v>#REF!</v>
      </c>
      <c r="P11" s="725">
        <f>'Water-Meter'!E15</f>
        <v>124</v>
      </c>
      <c r="Q11" s="335">
        <f>IF('Water-Meter'!U15&lt;0,"0",'Water-Meter'!U15)</f>
        <v>30</v>
      </c>
      <c r="R11" s="335">
        <f>IF('Water-Meter'!X15&lt;0,"0",'Water-Meter'!X15)</f>
        <v>52</v>
      </c>
      <c r="S11" s="335">
        <f>IF('Water-Meter'!AA15&lt;0,"0",'Water-Meter'!AA15)</f>
        <v>55</v>
      </c>
      <c r="T11" s="335">
        <f>IF('Water-Meter'!AD15&lt;0,"0",'Water-Meter'!AD15)</f>
        <v>6</v>
      </c>
      <c r="U11" s="335">
        <f>IF('Water-Meter'!AG15&lt;0,"0",'Water-Meter'!AG15)</f>
        <v>14</v>
      </c>
      <c r="V11" s="335">
        <f>IF('Water-Meter'!AJ15&lt;0,"0",'Water-Meter'!AJ15)</f>
        <v>18</v>
      </c>
      <c r="W11" s="32">
        <f>'Water-Meter'!AN15</f>
        <v>175</v>
      </c>
      <c r="X11" s="738">
        <f>Total!K11</f>
        <v>36</v>
      </c>
    </row>
    <row r="12" spans="1:24">
      <c r="A12" s="714" t="s">
        <v>292</v>
      </c>
      <c r="B12" s="710">
        <f t="shared" si="0"/>
        <v>11</v>
      </c>
      <c r="C12" s="710">
        <v>11</v>
      </c>
      <c r="D12" s="711">
        <v>2019</v>
      </c>
      <c r="E12" s="712">
        <f>'UTILITY REPORT 1'!I13</f>
        <v>0</v>
      </c>
      <c r="F12" s="712">
        <f>'UTILITY REPORT 1'!E13</f>
        <v>2652.4500000000003</v>
      </c>
      <c r="G12" s="713">
        <f>'UTILITY REPORT 1'!F13</f>
        <v>6542</v>
      </c>
      <c r="H12" s="712">
        <f>IF('Kit report'!F14&lt;0,"0",'Kit report'!F14)</f>
        <v>576.00000000002183</v>
      </c>
      <c r="I12" s="712">
        <f>IF('Kit report'!X14&lt;0,"0",'Kit report'!X14)</f>
        <v>980.00000000010914</v>
      </c>
      <c r="J12" s="712">
        <f>IF('Utility summery'!H16&lt;0,"0",'Utility summery'!H16)</f>
        <v>30</v>
      </c>
      <c r="K12" s="713">
        <f>IF('UTILITY REPORT 1'!H13&lt;0,"0",'UTILITY REPORT 1'!H13)</f>
        <v>117</v>
      </c>
      <c r="L12" s="712">
        <f>'Water-Meter'!K16</f>
        <v>3</v>
      </c>
      <c r="M12" s="713">
        <f>'Water-Meter'!H16</f>
        <v>16</v>
      </c>
      <c r="N12" s="713">
        <f>'Water-Meter'!Q16</f>
        <v>12</v>
      </c>
      <c r="O12" s="712" t="e">
        <f>K12*E12+H12*I12+#REF!*#REF!+J12*L12</f>
        <v>#REF!</v>
      </c>
      <c r="P12" s="725">
        <f>'Water-Meter'!E16</f>
        <v>131</v>
      </c>
      <c r="Q12" s="335">
        <f>IF('Water-Meter'!U16&lt;0,"0",'Water-Meter'!U16)</f>
        <v>27</v>
      </c>
      <c r="R12" s="335">
        <f>IF('Water-Meter'!X16&lt;0,"0",'Water-Meter'!X16)</f>
        <v>52</v>
      </c>
      <c r="S12" s="335">
        <f>IF('Water-Meter'!AA16&lt;0,"0",'Water-Meter'!AA16)</f>
        <v>55</v>
      </c>
      <c r="T12" s="335">
        <f>IF('Water-Meter'!AD16&lt;0,"0",'Water-Meter'!AD16)</f>
        <v>7</v>
      </c>
      <c r="U12" s="335">
        <f>IF('Water-Meter'!AG16&lt;0,"0",'Water-Meter'!AG16)</f>
        <v>14</v>
      </c>
      <c r="V12" s="335">
        <f>IF('Water-Meter'!AJ16&lt;0,"0",'Water-Meter'!AJ16)</f>
        <v>19</v>
      </c>
      <c r="W12" s="32">
        <f>'Water-Meter'!AN16</f>
        <v>174</v>
      </c>
      <c r="X12" s="738">
        <f>Total!K12</f>
        <v>73</v>
      </c>
    </row>
    <row r="13" spans="1:24">
      <c r="A13" s="714" t="s">
        <v>292</v>
      </c>
      <c r="B13" s="710">
        <f t="shared" si="0"/>
        <v>12</v>
      </c>
      <c r="C13" s="710">
        <v>11</v>
      </c>
      <c r="D13" s="711">
        <v>2019</v>
      </c>
      <c r="E13" s="712">
        <f>'UTILITY REPORT 1'!I14</f>
        <v>187.81</v>
      </c>
      <c r="F13" s="712">
        <f>'UTILITY REPORT 1'!E14</f>
        <v>2587.46</v>
      </c>
      <c r="G13" s="713">
        <f>'UTILITY REPORT 1'!F14</f>
        <v>6667</v>
      </c>
      <c r="H13" s="712">
        <f>IF('Kit report'!F15&lt;0,"0",'Kit report'!F15)</f>
        <v>527.99999999995634</v>
      </c>
      <c r="I13" s="712">
        <f>IF('Kit report'!X15&lt;0,"0",'Kit report'!X15)</f>
        <v>860.00000000003638</v>
      </c>
      <c r="J13" s="712">
        <f>IF('Utility summery'!H17&lt;0,"0",'Utility summery'!H17)</f>
        <v>41</v>
      </c>
      <c r="K13" s="713">
        <f>IF('UTILITY REPORT 1'!H14&lt;0,"0",'UTILITY REPORT 1'!H14)</f>
        <v>42</v>
      </c>
      <c r="L13" s="712">
        <f>'Water-Meter'!K17</f>
        <v>2</v>
      </c>
      <c r="M13" s="713">
        <f>'Water-Meter'!H17</f>
        <v>19</v>
      </c>
      <c r="N13" s="713">
        <f>'Water-Meter'!Q17</f>
        <v>10</v>
      </c>
      <c r="O13" s="712" t="e">
        <f>K13*E13+H13*I13+#REF!*#REF!+J13*L13</f>
        <v>#REF!</v>
      </c>
      <c r="P13" s="725">
        <f>'Water-Meter'!E17</f>
        <v>136</v>
      </c>
      <c r="Q13" s="335">
        <f>IF('Water-Meter'!U17&lt;0,"0",'Water-Meter'!U17)</f>
        <v>29</v>
      </c>
      <c r="R13" s="335">
        <f>IF('Water-Meter'!X17&lt;0,"0",'Water-Meter'!X17)</f>
        <v>49</v>
      </c>
      <c r="S13" s="335">
        <f>IF('Water-Meter'!AA17&lt;0,"0",'Water-Meter'!AA17)</f>
        <v>52</v>
      </c>
      <c r="T13" s="335">
        <f>IF('Water-Meter'!AD17&lt;0,"0",'Water-Meter'!AD17)</f>
        <v>7</v>
      </c>
      <c r="U13" s="335">
        <f>IF('Water-Meter'!AG17&lt;0,"0",'Water-Meter'!AG17)</f>
        <v>14</v>
      </c>
      <c r="V13" s="335">
        <f>IF('Water-Meter'!AJ17&lt;0,"0",'Water-Meter'!AJ17)</f>
        <v>18</v>
      </c>
      <c r="W13" s="32">
        <f>'Water-Meter'!AN17</f>
        <v>169</v>
      </c>
      <c r="X13" s="738">
        <f>Total!K13</f>
        <v>73</v>
      </c>
    </row>
    <row r="14" spans="1:24">
      <c r="A14" s="714" t="s">
        <v>292</v>
      </c>
      <c r="B14" s="710">
        <f t="shared" si="0"/>
        <v>13</v>
      </c>
      <c r="C14" s="710">
        <v>11</v>
      </c>
      <c r="D14" s="711">
        <v>2019</v>
      </c>
      <c r="E14" s="712">
        <f>'UTILITY REPORT 1'!I15</f>
        <v>450.31</v>
      </c>
      <c r="F14" s="712">
        <f>'UTILITY REPORT 1'!E15</f>
        <v>2229.48</v>
      </c>
      <c r="G14" s="713">
        <f>'UTILITY REPORT 1'!F15</f>
        <v>5860</v>
      </c>
      <c r="H14" s="712">
        <f>IF('Kit report'!F16&lt;0,"0",'Kit report'!F16)</f>
        <v>504.00000000008731</v>
      </c>
      <c r="I14" s="712">
        <f>IF('Kit report'!X16&lt;0,"0",'Kit report'!X16)</f>
        <v>700</v>
      </c>
      <c r="J14" s="712">
        <f>IF('Utility summery'!H18&lt;0,"0",'Utility summery'!H18)</f>
        <v>40</v>
      </c>
      <c r="K14" s="713">
        <f>IF('UTILITY REPORT 1'!H15&lt;0,"0",'UTILITY REPORT 1'!H15)</f>
        <v>112</v>
      </c>
      <c r="L14" s="712">
        <f>'Water-Meter'!K18</f>
        <v>2</v>
      </c>
      <c r="M14" s="713">
        <f>'Water-Meter'!H18</f>
        <v>19</v>
      </c>
      <c r="N14" s="713">
        <f>'Water-Meter'!Q18</f>
        <v>6</v>
      </c>
      <c r="O14" s="712" t="e">
        <f>K14*E14+H14*I14+#REF!*#REF!+J14*L14</f>
        <v>#REF!</v>
      </c>
      <c r="P14" s="725">
        <f>'Water-Meter'!E18</f>
        <v>123</v>
      </c>
      <c r="Q14" s="335">
        <f>IF('Water-Meter'!U18&lt;0,"0",'Water-Meter'!U18)</f>
        <v>29</v>
      </c>
      <c r="R14" s="335">
        <f>IF('Water-Meter'!X18&lt;0,"0",'Water-Meter'!X18)</f>
        <v>50</v>
      </c>
      <c r="S14" s="335">
        <f>IF('Water-Meter'!AA18&lt;0,"0",'Water-Meter'!AA18)</f>
        <v>53</v>
      </c>
      <c r="T14" s="335">
        <f>IF('Water-Meter'!AD18&lt;0,"0",'Water-Meter'!AD18)</f>
        <v>6</v>
      </c>
      <c r="U14" s="335">
        <f>IF('Water-Meter'!AG18&lt;0,"0",'Water-Meter'!AG18)</f>
        <v>14</v>
      </c>
      <c r="V14" s="335">
        <f>IF('Water-Meter'!AJ18&lt;0,"0",'Water-Meter'!AJ18)</f>
        <v>18</v>
      </c>
      <c r="W14" s="32">
        <f>'Water-Meter'!AN18</f>
        <v>170</v>
      </c>
      <c r="X14" s="738">
        <f>Total!K14</f>
        <v>39</v>
      </c>
    </row>
    <row r="15" spans="1:24">
      <c r="A15" s="714" t="s">
        <v>292</v>
      </c>
      <c r="B15" s="710">
        <f t="shared" si="0"/>
        <v>14</v>
      </c>
      <c r="C15" s="710">
        <v>11</v>
      </c>
      <c r="D15" s="711">
        <v>2019</v>
      </c>
      <c r="E15" s="712">
        <f>'UTILITY REPORT 1'!I16</f>
        <v>283.61</v>
      </c>
      <c r="F15" s="712">
        <f>'UTILITY REPORT 1'!E16</f>
        <v>2368.3599999999997</v>
      </c>
      <c r="G15" s="713">
        <f>'UTILITY REPORT 1'!F16</f>
        <v>5863</v>
      </c>
      <c r="H15" s="712">
        <f>IF('Kit report'!F17&lt;0,"0",'Kit report'!F17)</f>
        <v>491.99999999993452</v>
      </c>
      <c r="I15" s="712">
        <f>IF('Kit report'!X17&lt;0,"0",'Kit report'!X17)</f>
        <v>979.99999999992724</v>
      </c>
      <c r="J15" s="712">
        <f>IF('Utility summery'!H19&lt;0,"0",'Utility summery'!H19)</f>
        <v>41</v>
      </c>
      <c r="K15" s="713">
        <f>IF('UTILITY REPORT 1'!H16&lt;0,"0",'UTILITY REPORT 1'!H16)</f>
        <v>113</v>
      </c>
      <c r="L15" s="712">
        <f>'Water-Meter'!K19</f>
        <v>2</v>
      </c>
      <c r="M15" s="713">
        <f>'Water-Meter'!H19</f>
        <v>16</v>
      </c>
      <c r="N15" s="713">
        <f>'Water-Meter'!Q19</f>
        <v>17</v>
      </c>
      <c r="O15" s="712" t="e">
        <f>K15*E15+H15*I15+#REF!*#REF!+J15*L15</f>
        <v>#REF!</v>
      </c>
      <c r="P15" s="725">
        <f>'Water-Meter'!E19</f>
        <v>118</v>
      </c>
      <c r="Q15" s="335">
        <f>IF('Water-Meter'!U19&lt;0,"0",'Water-Meter'!U19)</f>
        <v>29</v>
      </c>
      <c r="R15" s="335">
        <f>IF('Water-Meter'!X19&lt;0,"0",'Water-Meter'!X19)</f>
        <v>50</v>
      </c>
      <c r="S15" s="335">
        <f>IF('Water-Meter'!AA19&lt;0,"0",'Water-Meter'!AA19)</f>
        <v>52</v>
      </c>
      <c r="T15" s="335">
        <f>IF('Water-Meter'!AD19&lt;0,"0",'Water-Meter'!AD19)</f>
        <v>7</v>
      </c>
      <c r="U15" s="335">
        <f>IF('Water-Meter'!AG19&lt;0,"0",'Water-Meter'!AG19)</f>
        <v>13</v>
      </c>
      <c r="V15" s="335">
        <f>IF('Water-Meter'!AJ19&lt;0,"0",'Water-Meter'!AJ19)</f>
        <v>18</v>
      </c>
      <c r="W15" s="32">
        <f>'Water-Meter'!AN19</f>
        <v>169</v>
      </c>
      <c r="X15" s="738">
        <f>Total!K15</f>
        <v>41</v>
      </c>
    </row>
    <row r="16" spans="1:24">
      <c r="A16" s="714" t="s">
        <v>292</v>
      </c>
      <c r="B16" s="710">
        <f t="shared" si="0"/>
        <v>15</v>
      </c>
      <c r="C16" s="710">
        <v>11</v>
      </c>
      <c r="D16" s="711">
        <v>2019</v>
      </c>
      <c r="E16" s="712">
        <f>'UTILITY REPORT 1'!I17</f>
        <v>250.23000000000002</v>
      </c>
      <c r="F16" s="712">
        <f>'UTILITY REPORT 1'!E17</f>
        <v>2133.65</v>
      </c>
      <c r="G16" s="713">
        <f>'UTILITY REPORT 1'!F17</f>
        <v>5390</v>
      </c>
      <c r="H16" s="712">
        <f>IF('Kit report'!F18&lt;0,"0",'Kit report'!F18)</f>
        <v>492.00000000004366</v>
      </c>
      <c r="I16" s="712">
        <f>IF('Kit report'!X18&lt;0,"0",'Kit report'!X18)</f>
        <v>879.99999999992724</v>
      </c>
      <c r="J16" s="712">
        <f>IF('Utility summery'!H20&lt;0,"0",'Utility summery'!H20)</f>
        <v>32</v>
      </c>
      <c r="K16" s="713">
        <f>IF('UTILITY REPORT 1'!H17&lt;0,"0",'UTILITY REPORT 1'!H17)</f>
        <v>110</v>
      </c>
      <c r="L16" s="712">
        <f>'Water-Meter'!K20</f>
        <v>3</v>
      </c>
      <c r="M16" s="713">
        <f>'Water-Meter'!H20</f>
        <v>12</v>
      </c>
      <c r="N16" s="713">
        <f>'Water-Meter'!Q20</f>
        <v>9</v>
      </c>
      <c r="O16" s="712" t="e">
        <f>K16*E16+H16*I16+#REF!*#REF!+J16*L16</f>
        <v>#REF!</v>
      </c>
      <c r="P16" s="725">
        <f>'Water-Meter'!E20</f>
        <v>107</v>
      </c>
      <c r="Q16" s="335">
        <f>IF('Water-Meter'!U20&lt;0,"0",'Water-Meter'!U20)</f>
        <v>30</v>
      </c>
      <c r="R16" s="335">
        <f>IF('Water-Meter'!X20&lt;0,"0",'Water-Meter'!X20)</f>
        <v>50</v>
      </c>
      <c r="S16" s="335">
        <f>IF('Water-Meter'!AA20&lt;0,"0",'Water-Meter'!AA20)</f>
        <v>53</v>
      </c>
      <c r="T16" s="335">
        <f>IF('Water-Meter'!AD20&lt;0,"0",'Water-Meter'!AD20)</f>
        <v>6</v>
      </c>
      <c r="U16" s="335">
        <f>IF('Water-Meter'!AG20&lt;0,"0",'Water-Meter'!AG20)</f>
        <v>14</v>
      </c>
      <c r="V16" s="335">
        <f>IF('Water-Meter'!AJ20&lt;0,"0",'Water-Meter'!AJ20)</f>
        <v>17</v>
      </c>
      <c r="W16" s="32">
        <f>'Water-Meter'!AN20</f>
        <v>170</v>
      </c>
      <c r="X16" s="738">
        <f>Total!K16</f>
        <v>17</v>
      </c>
    </row>
    <row r="17" spans="1:24">
      <c r="A17" s="714" t="s">
        <v>292</v>
      </c>
      <c r="B17" s="710">
        <f t="shared" si="0"/>
        <v>16</v>
      </c>
      <c r="C17" s="710">
        <v>11</v>
      </c>
      <c r="D17" s="711">
        <v>2019</v>
      </c>
      <c r="E17" s="712">
        <f>'UTILITY REPORT 1'!I18</f>
        <v>182.65999999999997</v>
      </c>
      <c r="F17" s="712">
        <f>'UTILITY REPORT 1'!E18</f>
        <v>2099.12</v>
      </c>
      <c r="G17" s="713">
        <f>'UTILITY REPORT 1'!F18</f>
        <v>5341</v>
      </c>
      <c r="H17" s="712">
        <f>IF('Kit report'!F19&lt;0,"0",'Kit report'!F19)</f>
        <v>491.99999999993452</v>
      </c>
      <c r="I17" s="712">
        <f>IF('Kit report'!X19&lt;0,"0",'Kit report'!X19)</f>
        <v>1200</v>
      </c>
      <c r="J17" s="712">
        <f>IF('Utility summery'!H21&lt;0,"0",'Utility summery'!H21)</f>
        <v>30</v>
      </c>
      <c r="K17" s="713">
        <f>IF('UTILITY REPORT 1'!H18&lt;0,"0",'UTILITY REPORT 1'!H18)</f>
        <v>110</v>
      </c>
      <c r="L17" s="712">
        <f>'Water-Meter'!K21</f>
        <v>8</v>
      </c>
      <c r="M17" s="713">
        <f>'Water-Meter'!H21</f>
        <v>14</v>
      </c>
      <c r="N17" s="713">
        <f>'Water-Meter'!Q21</f>
        <v>12</v>
      </c>
      <c r="O17" s="712" t="e">
        <f>K17*E17+H17*I17+#REF!*#REF!+J17*L17</f>
        <v>#REF!</v>
      </c>
      <c r="P17" s="725">
        <f>'Water-Meter'!E21</f>
        <v>115</v>
      </c>
      <c r="Q17" s="335">
        <f>IF('Water-Meter'!U21&lt;0,"0",'Water-Meter'!U21)</f>
        <v>29</v>
      </c>
      <c r="R17" s="335">
        <f>IF('Water-Meter'!X21&lt;0,"0",'Water-Meter'!X21)</f>
        <v>50</v>
      </c>
      <c r="S17" s="335">
        <f>IF('Water-Meter'!AA21&lt;0,"0",'Water-Meter'!AA21)</f>
        <v>52</v>
      </c>
      <c r="T17" s="335">
        <f>IF('Water-Meter'!AD21&lt;0,"0",'Water-Meter'!AD21)</f>
        <v>7</v>
      </c>
      <c r="U17" s="335">
        <f>IF('Water-Meter'!AG21&lt;0,"0",'Water-Meter'!AG21)</f>
        <v>14</v>
      </c>
      <c r="V17" s="335">
        <f>IF('Water-Meter'!AJ21&lt;0,"0",'Water-Meter'!AJ21)</f>
        <v>18</v>
      </c>
      <c r="W17" s="32">
        <f>'Water-Meter'!AN21</f>
        <v>170</v>
      </c>
      <c r="X17" s="738">
        <f>Total!K17</f>
        <v>12</v>
      </c>
    </row>
    <row r="18" spans="1:24">
      <c r="A18" s="714" t="s">
        <v>292</v>
      </c>
      <c r="B18" s="710">
        <f t="shared" si="0"/>
        <v>17</v>
      </c>
      <c r="C18" s="710">
        <v>11</v>
      </c>
      <c r="D18" s="711">
        <v>2019</v>
      </c>
      <c r="E18" s="712">
        <f>'UTILITY REPORT 1'!I19</f>
        <v>129.38</v>
      </c>
      <c r="F18" s="712">
        <f>'UTILITY REPORT 1'!E19</f>
        <v>2394.69</v>
      </c>
      <c r="G18" s="713">
        <f>'UTILITY REPORT 1'!F19</f>
        <v>5872</v>
      </c>
      <c r="H18" s="712">
        <f>IF('Kit report'!F20&lt;0,"0",'Kit report'!F20)</f>
        <v>516.00000000002183</v>
      </c>
      <c r="I18" s="712">
        <f>IF('Kit report'!X20&lt;0,"0",'Kit report'!X20)</f>
        <v>800</v>
      </c>
      <c r="J18" s="712">
        <f>IF('Utility summery'!H22&lt;0,"0",'Utility summery'!H22)</f>
        <v>47</v>
      </c>
      <c r="K18" s="713">
        <f>IF('UTILITY REPORT 1'!H19&lt;0,"0",'UTILITY REPORT 1'!H19)</f>
        <v>110</v>
      </c>
      <c r="L18" s="712">
        <f>'Water-Meter'!K22</f>
        <v>3</v>
      </c>
      <c r="M18" s="713">
        <f>'Water-Meter'!H22</f>
        <v>15</v>
      </c>
      <c r="N18" s="713">
        <f>'Water-Meter'!Q22</f>
        <v>11</v>
      </c>
      <c r="O18" s="712" t="e">
        <f>K18*E18+H18*I18+#REF!*#REF!+J18*L18</f>
        <v>#REF!</v>
      </c>
      <c r="P18" s="725">
        <f>'Water-Meter'!E22</f>
        <v>127</v>
      </c>
      <c r="Q18" s="335">
        <f>IF('Water-Meter'!U22&lt;0,"0",'Water-Meter'!U22)</f>
        <v>29</v>
      </c>
      <c r="R18" s="335">
        <f>IF('Water-Meter'!X22&lt;0,"0",'Water-Meter'!X22)</f>
        <v>52</v>
      </c>
      <c r="S18" s="335">
        <f>IF('Water-Meter'!AA22&lt;0,"0",'Water-Meter'!AA22)</f>
        <v>53</v>
      </c>
      <c r="T18" s="335">
        <f>IF('Water-Meter'!AD22&lt;0,"0",'Water-Meter'!AD22)</f>
        <v>6</v>
      </c>
      <c r="U18" s="335">
        <f>IF('Water-Meter'!AG22&lt;0,"0",'Water-Meter'!AG22)</f>
        <v>13</v>
      </c>
      <c r="V18" s="335">
        <f>IF('Water-Meter'!AJ22&lt;0,"0",'Water-Meter'!AJ22)</f>
        <v>19</v>
      </c>
      <c r="W18" s="32">
        <f>'Water-Meter'!AN22</f>
        <v>172</v>
      </c>
      <c r="X18" s="738">
        <f>Total!K18</f>
        <v>48</v>
      </c>
    </row>
    <row r="19" spans="1:24">
      <c r="A19" s="714" t="s">
        <v>292</v>
      </c>
      <c r="B19" s="710">
        <f t="shared" si="0"/>
        <v>18</v>
      </c>
      <c r="C19" s="710">
        <v>11</v>
      </c>
      <c r="D19" s="711">
        <v>2019</v>
      </c>
      <c r="E19" s="712">
        <f>'UTILITY REPORT 1'!I20</f>
        <v>160.38999999999999</v>
      </c>
      <c r="F19" s="712">
        <f>'UTILITY REPORT 1'!E20</f>
        <v>2272.4</v>
      </c>
      <c r="G19" s="713">
        <f>'UTILITY REPORT 1'!F20</f>
        <v>5477</v>
      </c>
      <c r="H19" s="712">
        <f>IF('Kit report'!F21&lt;0,"0",'Kit report'!F21)</f>
        <v>516.00000000002183</v>
      </c>
      <c r="I19" s="712">
        <f>IF('Kit report'!X21&lt;0,"0",'Kit report'!X21)</f>
        <v>820.00000000007276</v>
      </c>
      <c r="J19" s="712">
        <f>IF('Utility summery'!H23&lt;0,"0",'Utility summery'!H23)</f>
        <v>30</v>
      </c>
      <c r="K19" s="713">
        <f>IF('UTILITY REPORT 1'!H20&lt;0,"0",'UTILITY REPORT 1'!H20)</f>
        <v>77</v>
      </c>
      <c r="L19" s="712">
        <f>'Water-Meter'!K23</f>
        <v>4</v>
      </c>
      <c r="M19" s="713">
        <f>'Water-Meter'!H23</f>
        <v>14</v>
      </c>
      <c r="N19" s="713">
        <f>'Water-Meter'!Q23</f>
        <v>11</v>
      </c>
      <c r="O19" s="712" t="e">
        <f>K19*E19+H19*I19+#REF!*#REF!+J19*L19</f>
        <v>#REF!</v>
      </c>
      <c r="P19" s="725">
        <f>'Water-Meter'!E23</f>
        <v>106</v>
      </c>
      <c r="Q19" s="335">
        <f>IF('Water-Meter'!U23&lt;0,"0",'Water-Meter'!U23)</f>
        <v>29</v>
      </c>
      <c r="R19" s="335">
        <f>IF('Water-Meter'!X23&lt;0,"0",'Water-Meter'!X23)</f>
        <v>52</v>
      </c>
      <c r="S19" s="335">
        <f>IF('Water-Meter'!AA23&lt;0,"0",'Water-Meter'!AA23)</f>
        <v>53</v>
      </c>
      <c r="T19" s="335">
        <f>IF('Water-Meter'!AD23&lt;0,"0",'Water-Meter'!AD23)</f>
        <v>7</v>
      </c>
      <c r="U19" s="335">
        <f>IF('Water-Meter'!AG23&lt;0,"0",'Water-Meter'!AG23)</f>
        <v>14</v>
      </c>
      <c r="V19" s="335">
        <f>IF('Water-Meter'!AJ23&lt;0,"0",'Water-Meter'!AJ23)</f>
        <v>19</v>
      </c>
      <c r="W19" s="32">
        <f>'Water-Meter'!AN23</f>
        <v>174</v>
      </c>
      <c r="X19" s="738">
        <f>Total!K19</f>
        <v>40</v>
      </c>
    </row>
    <row r="20" spans="1:24">
      <c r="A20" s="714" t="s">
        <v>292</v>
      </c>
      <c r="B20" s="710">
        <f t="shared" si="0"/>
        <v>19</v>
      </c>
      <c r="C20" s="710">
        <v>11</v>
      </c>
      <c r="D20" s="711">
        <v>2019</v>
      </c>
      <c r="E20" s="712">
        <f>'UTILITY REPORT 1'!I21</f>
        <v>107.72999999999999</v>
      </c>
      <c r="F20" s="712">
        <f>'UTILITY REPORT 1'!E21</f>
        <v>1853.3000000000002</v>
      </c>
      <c r="G20" s="713">
        <f>'UTILITY REPORT 1'!F21</f>
        <v>4892</v>
      </c>
      <c r="H20" s="712">
        <f>IF('Kit report'!F22&lt;0,"0",'Kit report'!F22)</f>
        <v>492.00000000004366</v>
      </c>
      <c r="I20" s="712">
        <f>IF('Kit report'!X22&lt;0,"0",'Kit report'!X22)</f>
        <v>900</v>
      </c>
      <c r="J20" s="712">
        <f>IF('Utility summery'!H24&lt;0,"0",'Utility summery'!H24)</f>
        <v>40</v>
      </c>
      <c r="K20" s="713">
        <f>IF('UTILITY REPORT 1'!H21&lt;0,"0",'UTILITY REPORT 1'!H21)</f>
        <v>113</v>
      </c>
      <c r="L20" s="712">
        <f>'Water-Meter'!K24</f>
        <v>5</v>
      </c>
      <c r="M20" s="713">
        <f>'Water-Meter'!H24</f>
        <v>13</v>
      </c>
      <c r="N20" s="713">
        <f>'Water-Meter'!Q24</f>
        <v>13</v>
      </c>
      <c r="O20" s="712" t="e">
        <f>K20*E20+H20*I20+#REF!*#REF!+J20*L20</f>
        <v>#REF!</v>
      </c>
      <c r="P20" s="725">
        <f>'Water-Meter'!E24</f>
        <v>98</v>
      </c>
      <c r="Q20" s="335">
        <f>IF('Water-Meter'!U24&lt;0,"0",'Water-Meter'!U24)</f>
        <v>31</v>
      </c>
      <c r="R20" s="335">
        <f>IF('Water-Meter'!X24&lt;0,"0",'Water-Meter'!X24)</f>
        <v>51</v>
      </c>
      <c r="S20" s="335">
        <f>IF('Water-Meter'!AA24&lt;0,"0",'Water-Meter'!AA24)</f>
        <v>53</v>
      </c>
      <c r="T20" s="335">
        <f>IF('Water-Meter'!AD24&lt;0,"0",'Water-Meter'!AD24)</f>
        <v>6</v>
      </c>
      <c r="U20" s="335">
        <f>IF('Water-Meter'!AG24&lt;0,"0",'Water-Meter'!AG24)</f>
        <v>14</v>
      </c>
      <c r="V20" s="335">
        <f>IF('Water-Meter'!AJ24&lt;0,"0",'Water-Meter'!AJ24)</f>
        <v>18</v>
      </c>
      <c r="W20" s="32">
        <f>'Water-Meter'!AN24</f>
        <v>173</v>
      </c>
      <c r="X20" s="738">
        <f>Total!K20</f>
        <v>7</v>
      </c>
    </row>
    <row r="21" spans="1:24">
      <c r="A21" s="714" t="s">
        <v>292</v>
      </c>
      <c r="B21" s="710">
        <f t="shared" si="0"/>
        <v>20</v>
      </c>
      <c r="C21" s="710">
        <v>11</v>
      </c>
      <c r="D21" s="711">
        <v>2019</v>
      </c>
      <c r="E21" s="712">
        <f>'UTILITY REPORT 1'!I22</f>
        <v>84.19</v>
      </c>
      <c r="F21" s="712">
        <f>'UTILITY REPORT 1'!E22</f>
        <v>1844.6200000000001</v>
      </c>
      <c r="G21" s="713">
        <f>'UTILITY REPORT 1'!F22</f>
        <v>4193</v>
      </c>
      <c r="H21" s="712">
        <f>IF('Kit report'!F23&lt;0,"0",'Kit report'!F23)</f>
        <v>431.99999999993452</v>
      </c>
      <c r="I21" s="712">
        <f>IF('Kit report'!X23&lt;0,"0",'Kit report'!X23)</f>
        <v>660.00000000003638</v>
      </c>
      <c r="J21" s="712">
        <f>IF('Utility summery'!H25&lt;0,"0",'Utility summery'!H25)</f>
        <v>57</v>
      </c>
      <c r="K21" s="713">
        <f>IF('UTILITY REPORT 1'!H22&lt;0,"0",'UTILITY REPORT 1'!H22)</f>
        <v>62</v>
      </c>
      <c r="L21" s="712">
        <f>'Water-Meter'!K25</f>
        <v>3</v>
      </c>
      <c r="M21" s="713">
        <f>'Water-Meter'!H25</f>
        <v>20</v>
      </c>
      <c r="N21" s="713">
        <f>'Water-Meter'!Q25</f>
        <v>11</v>
      </c>
      <c r="O21" s="712" t="e">
        <f>K21*E21+H21*I21+#REF!*#REF!+J21*L21</f>
        <v>#REF!</v>
      </c>
      <c r="P21" s="725">
        <f>'Water-Meter'!E25</f>
        <v>79</v>
      </c>
      <c r="Q21" s="335">
        <f>IF('Water-Meter'!U25&lt;0,"0",'Water-Meter'!U25)</f>
        <v>29</v>
      </c>
      <c r="R21" s="335">
        <f>IF('Water-Meter'!X25&lt;0,"0",'Water-Meter'!X25)</f>
        <v>50</v>
      </c>
      <c r="S21" s="335">
        <f>IF('Water-Meter'!AA25&lt;0,"0",'Water-Meter'!AA25)</f>
        <v>54</v>
      </c>
      <c r="T21" s="335">
        <f>IF('Water-Meter'!AD25&lt;0,"0",'Water-Meter'!AD25)</f>
        <v>6</v>
      </c>
      <c r="U21" s="335">
        <f>IF('Water-Meter'!AG25&lt;0,"0",'Water-Meter'!AG25)</f>
        <v>13</v>
      </c>
      <c r="V21" s="335">
        <f>IF('Water-Meter'!AJ25&lt;0,"0",'Water-Meter'!AJ25)</f>
        <v>16</v>
      </c>
      <c r="W21" s="32">
        <f>'Water-Meter'!AN25</f>
        <v>168</v>
      </c>
      <c r="X21" s="738">
        <f>Total!K21</f>
        <v>9</v>
      </c>
    </row>
    <row r="22" spans="1:24">
      <c r="A22" s="714" t="s">
        <v>292</v>
      </c>
      <c r="B22" s="710">
        <f t="shared" si="0"/>
        <v>21</v>
      </c>
      <c r="C22" s="710">
        <v>11</v>
      </c>
      <c r="D22" s="711">
        <v>2019</v>
      </c>
      <c r="E22" s="712">
        <f>'UTILITY REPORT 1'!I23</f>
        <v>38.159999999999997</v>
      </c>
      <c r="F22" s="712">
        <f>'UTILITY REPORT 1'!E23</f>
        <v>1557.2</v>
      </c>
      <c r="G22" s="713">
        <f>'UTILITY REPORT 1'!F23</f>
        <v>4311</v>
      </c>
      <c r="H22" s="712">
        <f>IF('Kit report'!F24&lt;0,"0",'Kit report'!F24)</f>
        <v>443.99999999997817</v>
      </c>
      <c r="I22" s="712">
        <f>IF('Kit report'!X24&lt;0,"0",'Kit report'!X24)</f>
        <v>500</v>
      </c>
      <c r="J22" s="712">
        <f>IF('Utility summery'!H26&lt;0,"0",'Utility summery'!H26)</f>
        <v>42</v>
      </c>
      <c r="K22" s="713">
        <f>IF('UTILITY REPORT 1'!H23&lt;0,"0",'UTILITY REPORT 1'!H23)</f>
        <v>108</v>
      </c>
      <c r="L22" s="712">
        <f>'Water-Meter'!K26</f>
        <v>2</v>
      </c>
      <c r="M22" s="713">
        <f>'Water-Meter'!H26</f>
        <v>15</v>
      </c>
      <c r="N22" s="713">
        <f>'Water-Meter'!Q26</f>
        <v>8</v>
      </c>
      <c r="O22" s="712" t="e">
        <f>K22*E22+H22*I22+#REF!*#REF!+J22*L22</f>
        <v>#REF!</v>
      </c>
      <c r="P22" s="725">
        <f>'Water-Meter'!E26</f>
        <v>95</v>
      </c>
      <c r="Q22" s="335">
        <f>IF('Water-Meter'!U26&lt;0,"0",'Water-Meter'!U26)</f>
        <v>29</v>
      </c>
      <c r="R22" s="335">
        <f>IF('Water-Meter'!X26&lt;0,"0",'Water-Meter'!X26)</f>
        <v>51</v>
      </c>
      <c r="S22" s="335">
        <f>IF('Water-Meter'!AA26&lt;0,"0",'Water-Meter'!AA26)</f>
        <v>53</v>
      </c>
      <c r="T22" s="335">
        <f>IF('Water-Meter'!AD26&lt;0,"0",'Water-Meter'!AD26)</f>
        <v>7</v>
      </c>
      <c r="U22" s="335">
        <f>IF('Water-Meter'!AG26&lt;0,"0",'Water-Meter'!AG26)</f>
        <v>14</v>
      </c>
      <c r="V22" s="335">
        <f>IF('Water-Meter'!AJ26&lt;0,"0",'Water-Meter'!AJ26)</f>
        <v>18</v>
      </c>
      <c r="W22" s="32">
        <f>'Water-Meter'!AN26</f>
        <v>172</v>
      </c>
      <c r="X22" s="738">
        <f>Total!K22</f>
        <v>10</v>
      </c>
    </row>
    <row r="23" spans="1:24">
      <c r="A23" s="714" t="s">
        <v>292</v>
      </c>
      <c r="B23" s="710">
        <f t="shared" si="0"/>
        <v>22</v>
      </c>
      <c r="C23" s="710">
        <v>11</v>
      </c>
      <c r="D23" s="711">
        <v>2019</v>
      </c>
      <c r="E23" s="712">
        <f>'UTILITY REPORT 1'!I24</f>
        <v>86.34</v>
      </c>
      <c r="F23" s="712">
        <f>'UTILITY REPORT 1'!E24</f>
        <v>1822.8899999999999</v>
      </c>
      <c r="G23" s="713">
        <f>'UTILITY REPORT 1'!F24</f>
        <v>4323</v>
      </c>
      <c r="H23" s="712">
        <f>IF('Kit report'!F25&lt;0,"0",'Kit report'!F25)</f>
        <v>468.00000000006548</v>
      </c>
      <c r="I23" s="712">
        <f>IF('Kit report'!X25&lt;0,"0",'Kit report'!X25)</f>
        <v>419.99999999989086</v>
      </c>
      <c r="J23" s="712">
        <f>IF('Utility summery'!H27&lt;0,"0",'Utility summery'!H27)</f>
        <v>30</v>
      </c>
      <c r="K23" s="713">
        <f>IF('UTILITY REPORT 1'!H24&lt;0,"0",'UTILITY REPORT 1'!H24)</f>
        <v>108</v>
      </c>
      <c r="L23" s="712">
        <f>'Water-Meter'!K27</f>
        <v>3</v>
      </c>
      <c r="M23" s="713">
        <f>'Water-Meter'!H27</f>
        <v>19</v>
      </c>
      <c r="N23" s="713">
        <f>'Water-Meter'!Q27</f>
        <v>9</v>
      </c>
      <c r="O23" s="712" t="e">
        <f>K23*E23+H23*I23+#REF!*#REF!+J23*L23</f>
        <v>#REF!</v>
      </c>
      <c r="P23" s="725">
        <f>'Water-Meter'!E27</f>
        <v>95</v>
      </c>
      <c r="Q23" s="335">
        <f>IF('Water-Meter'!U27&lt;0,"0",'Water-Meter'!U27)</f>
        <v>30</v>
      </c>
      <c r="R23" s="335">
        <f>IF('Water-Meter'!X27&lt;0,"0",'Water-Meter'!X27)</f>
        <v>52</v>
      </c>
      <c r="S23" s="335">
        <f>IF('Water-Meter'!AA27&lt;0,"0",'Water-Meter'!AA27)</f>
        <v>53</v>
      </c>
      <c r="T23" s="335">
        <f>IF('Water-Meter'!AD27&lt;0,"0",'Water-Meter'!AD27)</f>
        <v>6</v>
      </c>
      <c r="U23" s="335">
        <f>IF('Water-Meter'!AG27&lt;0,"0",'Water-Meter'!AG27)</f>
        <v>14</v>
      </c>
      <c r="V23" s="335">
        <f>IF('Water-Meter'!AJ27&lt;0,"0",'Water-Meter'!AJ27)</f>
        <v>19</v>
      </c>
      <c r="W23" s="32">
        <f>'Water-Meter'!AN27</f>
        <v>174</v>
      </c>
      <c r="X23" s="738">
        <f>Total!K23</f>
        <v>11</v>
      </c>
    </row>
    <row r="24" spans="1:24">
      <c r="A24" s="714" t="s">
        <v>292</v>
      </c>
      <c r="B24" s="710">
        <f t="shared" si="0"/>
        <v>23</v>
      </c>
      <c r="C24" s="710">
        <v>11</v>
      </c>
      <c r="D24" s="711">
        <v>2019</v>
      </c>
      <c r="E24" s="712">
        <f>'UTILITY REPORT 1'!I25</f>
        <v>0</v>
      </c>
      <c r="F24" s="712">
        <f>'UTILITY REPORT 1'!E25</f>
        <v>0</v>
      </c>
      <c r="G24" s="713">
        <f>'UTILITY REPORT 1'!F25</f>
        <v>0</v>
      </c>
      <c r="H24" s="712" t="str">
        <f>IF('Kit report'!F26&lt;0,"0",'Kit report'!F26)</f>
        <v>0</v>
      </c>
      <c r="I24" s="712" t="str">
        <f>IF('Kit report'!X26&lt;0,"0",'Kit report'!X26)</f>
        <v>0</v>
      </c>
      <c r="J24" s="712" t="str">
        <f>IF('Utility summery'!H28&lt;0,"0",'Utility summery'!H28)</f>
        <v>0</v>
      </c>
      <c r="K24" s="713" t="str">
        <f>IF('UTILITY REPORT 1'!H25&lt;0,"0",'UTILITY REPORT 1'!H25)</f>
        <v>0</v>
      </c>
      <c r="L24" s="712" t="str">
        <f>'Water-Meter'!K28</f>
        <v>0</v>
      </c>
      <c r="M24" s="713" t="str">
        <f>'Water-Meter'!H28</f>
        <v>0</v>
      </c>
      <c r="N24" s="713" t="str">
        <f>'Water-Meter'!Q28</f>
        <v>0</v>
      </c>
      <c r="O24" s="712" t="e">
        <f>K24*E24+H24*I24+#REF!*#REF!+J24*L24</f>
        <v>#REF!</v>
      </c>
      <c r="P24" s="725" t="str">
        <f>'Water-Meter'!E28</f>
        <v>0</v>
      </c>
      <c r="Q24" s="335" t="str">
        <f>IF('Water-Meter'!U28&lt;0,"0",'Water-Meter'!U28)</f>
        <v>0</v>
      </c>
      <c r="R24" s="335" t="str">
        <f>IF('Water-Meter'!X28&lt;0,"0",'Water-Meter'!X28)</f>
        <v>0</v>
      </c>
      <c r="S24" s="335" t="str">
        <f>IF('Water-Meter'!AA28&lt;0,"0",'Water-Meter'!AA28)</f>
        <v>0</v>
      </c>
      <c r="T24" s="335" t="str">
        <f>IF('Water-Meter'!AD28&lt;0,"0",'Water-Meter'!AD28)</f>
        <v>0</v>
      </c>
      <c r="U24" s="335" t="str">
        <f>IF('Water-Meter'!AG28&lt;0,"0",'Water-Meter'!AG28)</f>
        <v>0</v>
      </c>
      <c r="V24" s="335" t="str">
        <f>IF('Water-Meter'!AJ28&lt;0,"0",'Water-Meter'!AJ28)</f>
        <v>0</v>
      </c>
      <c r="W24" s="32">
        <f>'Water-Meter'!AN28</f>
        <v>0</v>
      </c>
      <c r="X24" s="738">
        <f>Total!K24</f>
        <v>13</v>
      </c>
    </row>
    <row r="25" spans="1:24">
      <c r="A25" s="714" t="s">
        <v>292</v>
      </c>
      <c r="B25" s="710">
        <f t="shared" si="0"/>
        <v>24</v>
      </c>
      <c r="C25" s="710">
        <v>11</v>
      </c>
      <c r="D25" s="711">
        <v>2019</v>
      </c>
      <c r="E25" s="712">
        <f>'UTILITY REPORT 1'!I26</f>
        <v>0</v>
      </c>
      <c r="F25" s="712">
        <f>'UTILITY REPORT 1'!E26</f>
        <v>0</v>
      </c>
      <c r="G25" s="713">
        <f>'UTILITY REPORT 1'!F26</f>
        <v>0</v>
      </c>
      <c r="H25" s="712">
        <f>IF('Kit report'!F27&lt;0,"0",'Kit report'!F27)</f>
        <v>0</v>
      </c>
      <c r="I25" s="712">
        <f>IF('Kit report'!X27&lt;0,"0",'Kit report'!X27)</f>
        <v>0</v>
      </c>
      <c r="J25" s="712">
        <f>IF('Utility summery'!H29&lt;0,"0",'Utility summery'!H29)</f>
        <v>0</v>
      </c>
      <c r="K25" s="713">
        <f>IF('UTILITY REPORT 1'!H26&lt;0,"0",'UTILITY REPORT 1'!H26)</f>
        <v>0</v>
      </c>
      <c r="L25" s="712">
        <f>'Water-Meter'!K29</f>
        <v>0</v>
      </c>
      <c r="M25" s="713">
        <f>'Water-Meter'!H29</f>
        <v>0</v>
      </c>
      <c r="N25" s="713">
        <f>'Water-Meter'!Q29</f>
        <v>0</v>
      </c>
      <c r="O25" s="712" t="e">
        <f>K25*E25+H25*I25+#REF!*#REF!+J25*L25</f>
        <v>#REF!</v>
      </c>
      <c r="P25" s="725">
        <f>'Water-Meter'!E29</f>
        <v>0</v>
      </c>
      <c r="Q25" s="335">
        <f>IF('Water-Meter'!U29&lt;0,"0",'Water-Meter'!U29)</f>
        <v>0</v>
      </c>
      <c r="R25" s="335">
        <f>IF('Water-Meter'!X29&lt;0,"0",'Water-Meter'!X29)</f>
        <v>0</v>
      </c>
      <c r="S25" s="335">
        <f>IF('Water-Meter'!AA29&lt;0,"0",'Water-Meter'!AA29)</f>
        <v>0</v>
      </c>
      <c r="T25" s="335">
        <f>IF('Water-Meter'!AD29&lt;0,"0",'Water-Meter'!AD29)</f>
        <v>0</v>
      </c>
      <c r="U25" s="335">
        <f>IF('Water-Meter'!AG29&lt;0,"0",'Water-Meter'!AG29)</f>
        <v>0</v>
      </c>
      <c r="V25" s="335">
        <f>IF('Water-Meter'!AJ29&lt;0,"0",'Water-Meter'!AJ29)</f>
        <v>0</v>
      </c>
      <c r="W25" s="32">
        <f>'Water-Meter'!AN29</f>
        <v>0</v>
      </c>
      <c r="X25" s="738">
        <f>Total!K25</f>
        <v>0</v>
      </c>
    </row>
    <row r="26" spans="1:24">
      <c r="A26" s="714" t="s">
        <v>292</v>
      </c>
      <c r="B26" s="710">
        <f>B25+1</f>
        <v>25</v>
      </c>
      <c r="C26" s="710">
        <v>11</v>
      </c>
      <c r="D26" s="711">
        <v>2019</v>
      </c>
      <c r="E26" s="712">
        <f>'UTILITY REPORT 1'!I27</f>
        <v>0</v>
      </c>
      <c r="F26" s="712">
        <f>'UTILITY REPORT 1'!E27</f>
        <v>0</v>
      </c>
      <c r="G26" s="713">
        <f>'UTILITY REPORT 1'!F27</f>
        <v>0</v>
      </c>
      <c r="H26" s="712">
        <f>IF('Kit report'!F28&lt;0,"0",'Kit report'!F28)</f>
        <v>0</v>
      </c>
      <c r="I26" s="712">
        <f>IF('Kit report'!X28&lt;0,"0",'Kit report'!X28)</f>
        <v>0</v>
      </c>
      <c r="J26" s="712">
        <f>IF('Utility summery'!H30&lt;0,"0",'Utility summery'!H30)</f>
        <v>0</v>
      </c>
      <c r="K26" s="713">
        <f>IF('UTILITY REPORT 1'!H27&lt;0,"0",'UTILITY REPORT 1'!H27)</f>
        <v>0</v>
      </c>
      <c r="L26" s="712">
        <f>'Water-Meter'!K30</f>
        <v>0</v>
      </c>
      <c r="M26" s="713">
        <f>'Water-Meter'!H30</f>
        <v>0</v>
      </c>
      <c r="N26" s="713">
        <f>'Water-Meter'!Q30</f>
        <v>0</v>
      </c>
      <c r="O26" s="712" t="e">
        <f>K26*E26+H26*I26+#REF!*#REF!+J26*L26</f>
        <v>#REF!</v>
      </c>
      <c r="P26" s="725">
        <f>'Water-Meter'!E30</f>
        <v>0</v>
      </c>
      <c r="Q26" s="335">
        <f>IF('Water-Meter'!U30&lt;0,"0",'Water-Meter'!U30)</f>
        <v>0</v>
      </c>
      <c r="R26" s="335">
        <f>IF('Water-Meter'!X30&lt;0,"0",'Water-Meter'!X30)</f>
        <v>0</v>
      </c>
      <c r="S26" s="335">
        <f>IF('Water-Meter'!AA30&lt;0,"0",'Water-Meter'!AA30)</f>
        <v>0</v>
      </c>
      <c r="T26" s="335">
        <f>IF('Water-Meter'!AD30&lt;0,"0",'Water-Meter'!AD30)</f>
        <v>0</v>
      </c>
      <c r="U26" s="335">
        <f>IF('Water-Meter'!AG30&lt;0,"0",'Water-Meter'!AG30)</f>
        <v>0</v>
      </c>
      <c r="V26" s="335">
        <f>IF('Water-Meter'!AJ30&lt;0,"0",'Water-Meter'!AJ30)</f>
        <v>0</v>
      </c>
      <c r="W26" s="32">
        <f>'Water-Meter'!AN30</f>
        <v>0</v>
      </c>
      <c r="X26" s="738">
        <f>Total!K26</f>
        <v>0</v>
      </c>
    </row>
    <row r="27" spans="1:24">
      <c r="A27" s="714" t="s">
        <v>292</v>
      </c>
      <c r="B27" s="710">
        <f t="shared" si="0"/>
        <v>26</v>
      </c>
      <c r="C27" s="710">
        <v>11</v>
      </c>
      <c r="D27" s="711">
        <v>2019</v>
      </c>
      <c r="E27" s="712">
        <f>'UTILITY REPORT 1'!I28</f>
        <v>0</v>
      </c>
      <c r="F27" s="712">
        <f>'UTILITY REPORT 1'!E28</f>
        <v>0</v>
      </c>
      <c r="G27" s="713">
        <f>'UTILITY REPORT 1'!F28</f>
        <v>0</v>
      </c>
      <c r="H27" s="712">
        <f>IF('Kit report'!F29&lt;0,"0",'Kit report'!F29)</f>
        <v>0</v>
      </c>
      <c r="I27" s="712">
        <f>IF('Kit report'!X29&lt;0,"0",'Kit report'!X29)</f>
        <v>0</v>
      </c>
      <c r="J27" s="712">
        <f>IF('Utility summery'!H31&lt;0,"0",'Utility summery'!H31)</f>
        <v>0</v>
      </c>
      <c r="K27" s="713">
        <f>IF('UTILITY REPORT 1'!H28&lt;0,"0",'UTILITY REPORT 1'!H28)</f>
        <v>0</v>
      </c>
      <c r="L27" s="712">
        <f>'Water-Meter'!K31</f>
        <v>0</v>
      </c>
      <c r="M27" s="713">
        <f>'Water-Meter'!H31</f>
        <v>0</v>
      </c>
      <c r="N27" s="713">
        <f>'Water-Meter'!Q31</f>
        <v>0</v>
      </c>
      <c r="O27" s="712" t="e">
        <f>K27*E27+H27*I27+#REF!*#REF!+J27*L27</f>
        <v>#REF!</v>
      </c>
      <c r="P27" s="725">
        <f>'Water-Meter'!E31</f>
        <v>0</v>
      </c>
      <c r="Q27" s="335">
        <f>IF('Water-Meter'!U31&lt;0,"0",'Water-Meter'!U31)</f>
        <v>0</v>
      </c>
      <c r="R27" s="335">
        <f>IF('Water-Meter'!X31&lt;0,"0",'Water-Meter'!X31)</f>
        <v>0</v>
      </c>
      <c r="S27" s="335">
        <f>IF('Water-Meter'!AA31&lt;0,"0",'Water-Meter'!AA31)</f>
        <v>0</v>
      </c>
      <c r="T27" s="335">
        <f>IF('Water-Meter'!AD31&lt;0,"0",'Water-Meter'!AD31)</f>
        <v>0</v>
      </c>
      <c r="U27" s="335">
        <f>IF('Water-Meter'!AG31&lt;0,"0",'Water-Meter'!AG31)</f>
        <v>0</v>
      </c>
      <c r="V27" s="335">
        <f>IF('Water-Meter'!AJ31&lt;0,"0",'Water-Meter'!AJ31)</f>
        <v>0</v>
      </c>
      <c r="W27" s="32">
        <f>'Water-Meter'!AN31</f>
        <v>0</v>
      </c>
      <c r="X27" s="738">
        <f>Total!K27</f>
        <v>0</v>
      </c>
    </row>
    <row r="28" spans="1:24">
      <c r="A28" s="714" t="s">
        <v>292</v>
      </c>
      <c r="B28" s="710">
        <f t="shared" si="0"/>
        <v>27</v>
      </c>
      <c r="C28" s="710">
        <v>11</v>
      </c>
      <c r="D28" s="711">
        <v>2019</v>
      </c>
      <c r="E28" s="712">
        <f>'UTILITY REPORT 1'!I29</f>
        <v>0</v>
      </c>
      <c r="F28" s="712">
        <f>'UTILITY REPORT 1'!E29</f>
        <v>0</v>
      </c>
      <c r="G28" s="713">
        <f>'UTILITY REPORT 1'!F29</f>
        <v>0</v>
      </c>
      <c r="H28" s="712">
        <f>IF('Kit report'!F30&lt;0,"0",'Kit report'!F30)</f>
        <v>0</v>
      </c>
      <c r="I28" s="712">
        <f>IF('Kit report'!X30&lt;0,"0",'Kit report'!X30)</f>
        <v>0</v>
      </c>
      <c r="J28" s="712">
        <f>IF('Utility summery'!H32&lt;0,"0",'Utility summery'!H32)</f>
        <v>0</v>
      </c>
      <c r="K28" s="713">
        <f>IF('UTILITY REPORT 1'!H29&lt;0,"0",'UTILITY REPORT 1'!H29)</f>
        <v>0</v>
      </c>
      <c r="L28" s="712">
        <f>'Water-Meter'!K32</f>
        <v>0</v>
      </c>
      <c r="M28" s="713">
        <f>'Water-Meter'!H32</f>
        <v>0</v>
      </c>
      <c r="N28" s="713">
        <f>'Water-Meter'!Q32</f>
        <v>0</v>
      </c>
      <c r="O28" s="712" t="e">
        <f>K28*E28+H28*I28+#REF!*#REF!+J28*L28</f>
        <v>#REF!</v>
      </c>
      <c r="P28" s="725">
        <f>'Water-Meter'!E32</f>
        <v>0</v>
      </c>
      <c r="Q28" s="335">
        <f>IF('Water-Meter'!U32&lt;0,"0",'Water-Meter'!U32)</f>
        <v>0</v>
      </c>
      <c r="R28" s="335">
        <f>IF('Water-Meter'!X32&lt;0,"0",'Water-Meter'!X32)</f>
        <v>0</v>
      </c>
      <c r="S28" s="335">
        <f>IF('Water-Meter'!AA32&lt;0,"0",'Water-Meter'!AA32)</f>
        <v>0</v>
      </c>
      <c r="T28" s="335">
        <f>IF('Water-Meter'!AD32&lt;0,"0",'Water-Meter'!AD32)</f>
        <v>0</v>
      </c>
      <c r="U28" s="335">
        <f>IF('Water-Meter'!AG32&lt;0,"0",'Water-Meter'!AG32)</f>
        <v>0</v>
      </c>
      <c r="V28" s="335">
        <f>IF('Water-Meter'!AJ32&lt;0,"0",'Water-Meter'!AJ32)</f>
        <v>0</v>
      </c>
      <c r="W28" s="32">
        <f>'Water-Meter'!AN32</f>
        <v>0</v>
      </c>
      <c r="X28" s="738">
        <f>Total!K28</f>
        <v>0</v>
      </c>
    </row>
    <row r="29" spans="1:24">
      <c r="A29" s="714" t="s">
        <v>292</v>
      </c>
      <c r="B29" s="710">
        <f t="shared" si="0"/>
        <v>28</v>
      </c>
      <c r="C29" s="710">
        <v>11</v>
      </c>
      <c r="D29" s="711">
        <v>2019</v>
      </c>
      <c r="E29" s="712">
        <f>'UTILITY REPORT 1'!I30</f>
        <v>0</v>
      </c>
      <c r="F29" s="712">
        <f>'UTILITY REPORT 1'!E30</f>
        <v>0</v>
      </c>
      <c r="G29" s="713">
        <f>'UTILITY REPORT 1'!F30</f>
        <v>0</v>
      </c>
      <c r="H29" s="712">
        <f>IF('Kit report'!F31&lt;0,"0",'Kit report'!F31)</f>
        <v>0</v>
      </c>
      <c r="I29" s="712">
        <f>IF('Kit report'!X31&lt;0,"0",'Kit report'!X31)</f>
        <v>0</v>
      </c>
      <c r="J29" s="712">
        <f>IF('Utility summery'!H33&lt;0,"0",'Utility summery'!H33)</f>
        <v>0</v>
      </c>
      <c r="K29" s="713">
        <f>IF('UTILITY REPORT 1'!H30&lt;0,"0",'UTILITY REPORT 1'!H30)</f>
        <v>0</v>
      </c>
      <c r="L29" s="712">
        <f>'Water-Meter'!K33</f>
        <v>0</v>
      </c>
      <c r="M29" s="713">
        <f>'Water-Meter'!H33</f>
        <v>0</v>
      </c>
      <c r="N29" s="713">
        <f>'Water-Meter'!Q33</f>
        <v>0</v>
      </c>
      <c r="O29" s="712" t="e">
        <f>K29*E29+H29*I29+#REF!*#REF!+J29*L29</f>
        <v>#REF!</v>
      </c>
      <c r="P29" s="725">
        <f>'Water-Meter'!E33</f>
        <v>0</v>
      </c>
      <c r="Q29" s="335">
        <f>IF('Water-Meter'!U33&lt;0,"0",'Water-Meter'!U33)</f>
        <v>0</v>
      </c>
      <c r="R29" s="335">
        <f>IF('Water-Meter'!X33&lt;0,"0",'Water-Meter'!X33)</f>
        <v>0</v>
      </c>
      <c r="S29" s="335">
        <f>IF('Water-Meter'!AA33&lt;0,"0",'Water-Meter'!AA33)</f>
        <v>0</v>
      </c>
      <c r="T29" s="335">
        <f>IF('Water-Meter'!AD33&lt;0,"0",'Water-Meter'!AD33)</f>
        <v>0</v>
      </c>
      <c r="U29" s="335">
        <f>IF('Water-Meter'!AG33&lt;0,"0",'Water-Meter'!AG33)</f>
        <v>0</v>
      </c>
      <c r="V29" s="335">
        <f>IF('Water-Meter'!AJ33&lt;0,"0",'Water-Meter'!AJ33)</f>
        <v>0</v>
      </c>
      <c r="W29" s="32">
        <f>'Water-Meter'!AN33</f>
        <v>0</v>
      </c>
      <c r="X29" s="738">
        <f>Total!K29</f>
        <v>0</v>
      </c>
    </row>
    <row r="30" spans="1:24">
      <c r="A30" s="714" t="s">
        <v>292</v>
      </c>
      <c r="B30" s="710">
        <f t="shared" si="0"/>
        <v>29</v>
      </c>
      <c r="C30" s="710">
        <v>11</v>
      </c>
      <c r="D30" s="711">
        <v>2019</v>
      </c>
      <c r="E30" s="712">
        <f>'UTILITY REPORT 1'!I31</f>
        <v>0</v>
      </c>
      <c r="F30" s="712">
        <f>'UTILITY REPORT 1'!E31</f>
        <v>0</v>
      </c>
      <c r="G30" s="713">
        <f>'UTILITY REPORT 1'!F31</f>
        <v>0</v>
      </c>
      <c r="H30" s="712">
        <f>IF('Kit report'!F32&lt;0,"0",'Kit report'!F32)</f>
        <v>0</v>
      </c>
      <c r="I30" s="712">
        <f>IF('Kit report'!X32&lt;0,"0",'Kit report'!X32)</f>
        <v>0</v>
      </c>
      <c r="J30" s="712">
        <f>IF('Utility summery'!H34&lt;0,"0",'Utility summery'!H34)</f>
        <v>0</v>
      </c>
      <c r="K30" s="713">
        <f>IF('UTILITY REPORT 1'!H31&lt;0,"0",'UTILITY REPORT 1'!H31)</f>
        <v>0</v>
      </c>
      <c r="L30" s="712">
        <f>'Water-Meter'!K34</f>
        <v>0</v>
      </c>
      <c r="M30" s="713">
        <f>'Water-Meter'!H34</f>
        <v>0</v>
      </c>
      <c r="N30" s="713">
        <f>'Water-Meter'!Q34</f>
        <v>0</v>
      </c>
      <c r="O30" s="712" t="e">
        <f>K30*E30+H30*I30+#REF!*#REF!+J30*L30</f>
        <v>#REF!</v>
      </c>
      <c r="P30" s="725">
        <f>'Water-Meter'!E34</f>
        <v>0</v>
      </c>
      <c r="Q30" s="335">
        <f>IF('Water-Meter'!U34&lt;0,"0",'Water-Meter'!U34)</f>
        <v>0</v>
      </c>
      <c r="R30" s="335">
        <f>IF('Water-Meter'!X34&lt;0,"0",'Water-Meter'!X34)</f>
        <v>0</v>
      </c>
      <c r="S30" s="335">
        <f>IF('Water-Meter'!AA34&lt;0,"0",'Water-Meter'!AA34)</f>
        <v>0</v>
      </c>
      <c r="T30" s="335">
        <f>IF('Water-Meter'!AD34&lt;0,"0",'Water-Meter'!AD34)</f>
        <v>0</v>
      </c>
      <c r="U30" s="335">
        <f>IF('Water-Meter'!AG34&lt;0,"0",'Water-Meter'!AG34)</f>
        <v>0</v>
      </c>
      <c r="V30" s="335">
        <f>IF('Water-Meter'!AJ34&lt;0,"0",'Water-Meter'!AJ34)</f>
        <v>0</v>
      </c>
      <c r="W30" s="32">
        <f>'Water-Meter'!AN34</f>
        <v>0</v>
      </c>
      <c r="X30" s="738">
        <f>Total!K30</f>
        <v>0</v>
      </c>
    </row>
    <row r="31" spans="1:24">
      <c r="A31" s="714" t="s">
        <v>292</v>
      </c>
      <c r="B31" s="710">
        <f t="shared" si="0"/>
        <v>30</v>
      </c>
      <c r="C31" s="710">
        <v>11</v>
      </c>
      <c r="D31" s="711">
        <v>2019</v>
      </c>
      <c r="E31" s="712">
        <f>'UTILITY REPORT 1'!I32</f>
        <v>0</v>
      </c>
      <c r="F31" s="712">
        <f>'UTILITY REPORT 1'!E32</f>
        <v>0</v>
      </c>
      <c r="G31" s="713">
        <f>'UTILITY REPORT 1'!F32</f>
        <v>0</v>
      </c>
      <c r="H31" s="712">
        <f>IF('Kit report'!F33&lt;0,"0",'Kit report'!F33)</f>
        <v>0</v>
      </c>
      <c r="I31" s="712">
        <f>IF('Kit report'!X33&lt;0,"0",'Kit report'!X33)</f>
        <v>0</v>
      </c>
      <c r="J31" s="712">
        <f>IF('Utility summery'!H35&lt;0,"0",'Utility summery'!H35)</f>
        <v>0</v>
      </c>
      <c r="K31" s="713">
        <f>IF('UTILITY REPORT 1'!H32&lt;0,"0",'UTILITY REPORT 1'!H32)</f>
        <v>0</v>
      </c>
      <c r="L31" s="712">
        <f>'Water-Meter'!K35</f>
        <v>0</v>
      </c>
      <c r="M31" s="713">
        <f>'Water-Meter'!H35</f>
        <v>0</v>
      </c>
      <c r="N31" s="713">
        <f>'Water-Meter'!Q35</f>
        <v>0</v>
      </c>
      <c r="O31" s="712" t="e">
        <f>K31*E31+H31*I31+#REF!*#REF!+J31*L31</f>
        <v>#REF!</v>
      </c>
      <c r="P31" s="725">
        <f>'Water-Meter'!E35</f>
        <v>0</v>
      </c>
      <c r="Q31" s="335">
        <f>IF('Water-Meter'!U35&lt;0,"0",'Water-Meter'!U35)</f>
        <v>0</v>
      </c>
      <c r="R31" s="335">
        <f>IF('Water-Meter'!X35&lt;0,"0",'Water-Meter'!X35)</f>
        <v>0</v>
      </c>
      <c r="S31" s="335">
        <f>IF('Water-Meter'!AA35&lt;0,"0",'Water-Meter'!AA35)</f>
        <v>0</v>
      </c>
      <c r="T31" s="335">
        <f>IF('Water-Meter'!AD35&lt;0,"0",'Water-Meter'!AD35)</f>
        <v>0</v>
      </c>
      <c r="U31" s="335">
        <f>IF('Water-Meter'!AG35&lt;0,"0",'Water-Meter'!AG35)</f>
        <v>0</v>
      </c>
      <c r="V31" s="335">
        <f>IF('Water-Meter'!AJ35&lt;0,"0",'Water-Meter'!AJ35)</f>
        <v>0</v>
      </c>
      <c r="W31" s="32">
        <f>'Water-Meter'!AN35</f>
        <v>0</v>
      </c>
      <c r="X31" s="738">
        <f>Total!K31</f>
        <v>0</v>
      </c>
    </row>
    <row r="32" spans="1:24">
      <c r="A32" s="714" t="s">
        <v>292</v>
      </c>
      <c r="B32" s="710">
        <v>1</v>
      </c>
      <c r="C32" s="710">
        <v>12</v>
      </c>
      <c r="D32" s="711">
        <v>2019</v>
      </c>
      <c r="E32" s="712">
        <f>'UTILITY REPORT 1'!I33</f>
        <v>0</v>
      </c>
      <c r="F32" s="712">
        <f>'UTILITY REPORT 1'!E33</f>
        <v>0</v>
      </c>
      <c r="G32" s="713">
        <f>'UTILITY REPORT 1'!F33</f>
        <v>0</v>
      </c>
      <c r="H32" s="712">
        <f>IF('Kit report'!F34&lt;0,"0",'Kit report'!F34)</f>
        <v>0</v>
      </c>
      <c r="I32" s="712">
        <f>IF('Kit report'!X34&lt;0,"0",'Kit report'!X34)</f>
        <v>0</v>
      </c>
      <c r="J32" s="712">
        <f>IF('Utility summery'!H36&lt;0,"0",'Utility summery'!H36)</f>
        <v>0</v>
      </c>
      <c r="K32" s="713">
        <f>IF('UTILITY REPORT 1'!H33&lt;0,"0",'UTILITY REPORT 1'!H33)</f>
        <v>0</v>
      </c>
      <c r="L32" s="712">
        <f>'Water-Meter'!K36</f>
        <v>0</v>
      </c>
      <c r="M32" s="713">
        <f>'Water-Meter'!H36</f>
        <v>0</v>
      </c>
      <c r="N32" s="713">
        <f>'Water-Meter'!Q36</f>
        <v>0</v>
      </c>
      <c r="O32" s="335"/>
      <c r="P32" s="725">
        <f>'Water-Meter'!E36</f>
        <v>0</v>
      </c>
      <c r="Q32" s="335">
        <f>IF('Water-Meter'!U36&lt;0,"0",'Water-Meter'!U36)</f>
        <v>0</v>
      </c>
      <c r="R32" s="335">
        <f>IF('Water-Meter'!X36&lt;0,"0",'Water-Meter'!X36)</f>
        <v>0</v>
      </c>
      <c r="S32" s="335">
        <f>IF('Water-Meter'!AA36&lt;0,"0",'Water-Meter'!AA36)</f>
        <v>0</v>
      </c>
      <c r="T32" s="335">
        <f>IF('Water-Meter'!AD36&lt;0,"0",'Water-Meter'!AD36)</f>
        <v>0</v>
      </c>
      <c r="U32" s="335">
        <f>IF('Water-Meter'!AG36&lt;0,"0",'Water-Meter'!AG36)</f>
        <v>0</v>
      </c>
      <c r="V32" s="335">
        <f>IF('Water-Meter'!AJ36&lt;0,"0",'Water-Meter'!AJ36)</f>
        <v>0</v>
      </c>
      <c r="W32" s="32">
        <f>'Water-Meter'!AN36</f>
        <v>0</v>
      </c>
      <c r="X32" s="738">
        <f>Total!K32</f>
        <v>0</v>
      </c>
    </row>
    <row r="33" spans="1:24" ht="13.5" thickBot="1">
      <c r="A33" s="715"/>
      <c r="B33" s="716"/>
      <c r="C33" s="716"/>
      <c r="D33" s="717"/>
      <c r="E33" s="718"/>
      <c r="F33" s="718"/>
      <c r="G33" s="719"/>
      <c r="H33" s="718"/>
      <c r="I33" s="718"/>
      <c r="J33" s="718"/>
      <c r="K33" s="719"/>
      <c r="L33" s="718"/>
      <c r="M33" s="719"/>
      <c r="N33" s="719"/>
      <c r="O33" s="720"/>
      <c r="P33" s="720"/>
      <c r="Q33" s="720"/>
      <c r="R33" s="720"/>
      <c r="S33" s="720"/>
      <c r="T33" s="720"/>
      <c r="U33" s="720"/>
      <c r="V33" s="720"/>
      <c r="W33" s="736"/>
      <c r="X33" s="721"/>
    </row>
    <row r="34" spans="1:24">
      <c r="E34" s="625"/>
      <c r="F34" s="625"/>
      <c r="H34" s="625"/>
      <c r="I34" s="625"/>
      <c r="J34" s="625"/>
      <c r="L34" s="625"/>
    </row>
    <row r="35" spans="1:24">
      <c r="E35" s="625"/>
      <c r="F35" s="625"/>
      <c r="H35" s="625"/>
      <c r="I35" s="625"/>
      <c r="J35" s="625"/>
      <c r="L35" s="625"/>
    </row>
    <row r="36" spans="1:24">
      <c r="E36" s="625"/>
      <c r="F36" s="625"/>
      <c r="H36" s="625"/>
      <c r="I36" s="625"/>
      <c r="J36" s="625"/>
      <c r="L36" s="625"/>
    </row>
    <row r="37" spans="1:24">
      <c r="E37" s="625"/>
      <c r="F37" s="625"/>
      <c r="H37" s="625"/>
      <c r="I37" s="625"/>
      <c r="J37" s="625"/>
      <c r="L37" s="625"/>
    </row>
    <row r="38" spans="1:24">
      <c r="E38" s="625"/>
      <c r="F38" s="625"/>
      <c r="H38" s="625"/>
      <c r="I38" s="625"/>
      <c r="J38" s="625"/>
      <c r="L38" s="625"/>
    </row>
    <row r="39" spans="1:24">
      <c r="E39" s="625"/>
      <c r="F39" s="625"/>
      <c r="H39" s="625"/>
      <c r="I39" s="625"/>
      <c r="J39" s="625"/>
      <c r="L39" s="6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selection activeCell="L4" sqref="L4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46" t="s">
        <v>315</v>
      </c>
      <c r="B1" s="746"/>
      <c r="C1" s="746"/>
      <c r="D1" s="746"/>
      <c r="E1" s="746"/>
      <c r="F1" s="746"/>
      <c r="G1" s="746"/>
      <c r="H1" s="746"/>
    </row>
    <row r="2" spans="1:9" ht="48" customHeight="1" thickBot="1">
      <c r="A2" s="333" t="s">
        <v>0</v>
      </c>
      <c r="B2" s="143" t="s">
        <v>1</v>
      </c>
      <c r="C2" s="610" t="s">
        <v>277</v>
      </c>
      <c r="D2" s="399" t="s">
        <v>278</v>
      </c>
      <c r="E2" s="608" t="s">
        <v>276</v>
      </c>
      <c r="F2" s="399" t="s">
        <v>273</v>
      </c>
      <c r="G2" s="399" t="s">
        <v>274</v>
      </c>
      <c r="H2" s="610" t="s">
        <v>275</v>
      </c>
      <c r="I2" s="399" t="s">
        <v>279</v>
      </c>
    </row>
    <row r="3" spans="1:9" ht="13.5">
      <c r="A3" s="609">
        <v>43770</v>
      </c>
      <c r="B3" s="611">
        <f>Gen!B11</f>
        <v>0.87</v>
      </c>
      <c r="C3" s="612">
        <f>'Summery Report'!E5</f>
        <v>66</v>
      </c>
      <c r="D3" s="613">
        <v>1</v>
      </c>
      <c r="E3" s="612">
        <f>Gen!S11</f>
        <v>2398.12</v>
      </c>
      <c r="F3" s="612">
        <f>Gen!T11</f>
        <v>5703</v>
      </c>
      <c r="G3" s="612">
        <f>'Water-Meter'!E6</f>
        <v>128</v>
      </c>
      <c r="H3" s="612">
        <f>'Utility report '!AC6</f>
        <v>120</v>
      </c>
      <c r="I3" s="612">
        <f>Gen!AJ11</f>
        <v>69.050000000000011</v>
      </c>
    </row>
    <row r="4" spans="1:9" ht="13.5">
      <c r="A4" s="609">
        <v>43771</v>
      </c>
      <c r="B4" s="611">
        <f>Gen!B12</f>
        <v>0.76600000000000001</v>
      </c>
      <c r="C4" s="612">
        <f>'Summery Report'!E6</f>
        <v>58</v>
      </c>
      <c r="D4" s="613">
        <v>1</v>
      </c>
      <c r="E4" s="612">
        <f>Gen!S12</f>
        <v>2502.5700000000002</v>
      </c>
      <c r="F4" s="612">
        <f>Gen!T12</f>
        <v>6052</v>
      </c>
      <c r="G4" s="612">
        <f>'Water-Meter'!E7</f>
        <v>139</v>
      </c>
      <c r="H4" s="612">
        <f>'Utility report '!AC7</f>
        <v>120</v>
      </c>
      <c r="I4" s="612">
        <f>Gen!AJ12</f>
        <v>659.55</v>
      </c>
    </row>
    <row r="5" spans="1:9" ht="13.5">
      <c r="A5" s="609">
        <v>43772</v>
      </c>
      <c r="B5" s="611">
        <f>Gen!B13</f>
        <v>0.11</v>
      </c>
      <c r="C5" s="612">
        <f>'Summery Report'!E7</f>
        <v>9</v>
      </c>
      <c r="D5" s="613">
        <v>1</v>
      </c>
      <c r="E5" s="612">
        <f>Gen!S13</f>
        <v>2086.83</v>
      </c>
      <c r="F5" s="612">
        <f>Gen!T13</f>
        <v>5227</v>
      </c>
      <c r="G5" s="612">
        <f>'Water-Meter'!E8</f>
        <v>132</v>
      </c>
      <c r="H5" s="612">
        <f>'Utility report '!AC8</f>
        <v>125</v>
      </c>
      <c r="I5" s="612">
        <f>Gen!AJ13</f>
        <v>261.5</v>
      </c>
    </row>
    <row r="6" spans="1:9" ht="13.5">
      <c r="A6" s="609">
        <v>43773</v>
      </c>
      <c r="B6" s="611">
        <f>Gen!B14</f>
        <v>0.13</v>
      </c>
      <c r="C6" s="612">
        <f>'Summery Report'!E8</f>
        <v>10</v>
      </c>
      <c r="D6" s="613">
        <v>1</v>
      </c>
      <c r="E6" s="612">
        <f>Gen!S14</f>
        <v>1834.21</v>
      </c>
      <c r="F6" s="612">
        <f>Gen!T14</f>
        <v>4812</v>
      </c>
      <c r="G6" s="612">
        <f>'Water-Meter'!E9</f>
        <v>100</v>
      </c>
      <c r="H6" s="612">
        <f>'Utility report '!AC9</f>
        <v>32</v>
      </c>
      <c r="I6" s="612">
        <f>Gen!AJ14</f>
        <v>17.39</v>
      </c>
    </row>
    <row r="7" spans="1:9" ht="13.5">
      <c r="A7" s="609">
        <v>43774</v>
      </c>
      <c r="B7" s="611">
        <f>Gen!B15</f>
        <v>0.50600000000000001</v>
      </c>
      <c r="C7" s="612">
        <f>'Summery Report'!E9</f>
        <v>25</v>
      </c>
      <c r="D7" s="613">
        <v>1</v>
      </c>
      <c r="E7" s="612">
        <f>Gen!S15</f>
        <v>2117.6999999999998</v>
      </c>
      <c r="F7" s="612">
        <f>Gen!T15</f>
        <v>5035</v>
      </c>
      <c r="G7" s="612">
        <f>'Water-Meter'!E10</f>
        <v>119</v>
      </c>
      <c r="H7" s="612">
        <f>'Utility report '!AC10</f>
        <v>0</v>
      </c>
      <c r="I7" s="612">
        <f>Gen!AJ15</f>
        <v>18.940000000000001</v>
      </c>
    </row>
    <row r="8" spans="1:9" ht="13.5">
      <c r="A8" s="609">
        <v>43775</v>
      </c>
      <c r="B8" s="611">
        <f>Gen!B16</f>
        <v>0.312</v>
      </c>
      <c r="C8" s="612">
        <f>'Summery Report'!E10</f>
        <v>24</v>
      </c>
      <c r="D8" s="613">
        <v>1</v>
      </c>
      <c r="E8" s="612">
        <f>Gen!S16</f>
        <v>2435.73</v>
      </c>
      <c r="F8" s="612">
        <f>Gen!T16</f>
        <v>5420</v>
      </c>
      <c r="G8" s="612">
        <f>'Water-Meter'!E11</f>
        <v>110</v>
      </c>
      <c r="H8" s="612">
        <f>'Utility report '!AC11</f>
        <v>107</v>
      </c>
      <c r="I8" s="612">
        <f>Gen!AJ16</f>
        <v>142.32999999999998</v>
      </c>
    </row>
    <row r="9" spans="1:9" ht="13.5">
      <c r="A9" s="609">
        <v>43776</v>
      </c>
      <c r="B9" s="611">
        <f>Gen!B17</f>
        <v>0.19500000000000001</v>
      </c>
      <c r="C9" s="612">
        <f>'Summery Report'!E11</f>
        <v>17</v>
      </c>
      <c r="D9" s="613">
        <v>1</v>
      </c>
      <c r="E9" s="612">
        <f>Gen!S17</f>
        <v>2229.96</v>
      </c>
      <c r="F9" s="612">
        <f>Gen!T17</f>
        <v>5338</v>
      </c>
      <c r="G9" s="612">
        <f>'Water-Meter'!E12</f>
        <v>95</v>
      </c>
      <c r="H9" s="612">
        <f>'Utility report '!AC12</f>
        <v>112</v>
      </c>
      <c r="I9" s="612">
        <f>Gen!AJ17</f>
        <v>241.32</v>
      </c>
    </row>
    <row r="10" spans="1:9" ht="13.5">
      <c r="A10" s="609">
        <v>43777</v>
      </c>
      <c r="B10" s="611">
        <f>Gen!B18</f>
        <v>0.16900000000000001</v>
      </c>
      <c r="C10" s="612">
        <f>'Summery Report'!E12</f>
        <v>13</v>
      </c>
      <c r="D10" s="613">
        <v>1</v>
      </c>
      <c r="E10" s="612">
        <f>Gen!S18</f>
        <v>2100.4499999999998</v>
      </c>
      <c r="F10" s="612">
        <f>Gen!T18</f>
        <v>5670</v>
      </c>
      <c r="G10" s="612">
        <f>'Water-Meter'!E13</f>
        <v>120</v>
      </c>
      <c r="H10" s="612">
        <f>'Utility report '!AC13</f>
        <v>109</v>
      </c>
      <c r="I10" s="612">
        <f>Gen!AJ18</f>
        <v>159.05000000000001</v>
      </c>
    </row>
    <row r="11" spans="1:9" ht="13.5">
      <c r="A11" s="609">
        <v>43778</v>
      </c>
      <c r="B11" s="611">
        <f>Gen!B19</f>
        <v>0.16900000000000001</v>
      </c>
      <c r="C11" s="612">
        <f>'Summery Report'!E13</f>
        <v>13</v>
      </c>
      <c r="D11" s="613">
        <v>1</v>
      </c>
      <c r="E11" s="612">
        <f>Gen!S19</f>
        <v>2130.17</v>
      </c>
      <c r="F11" s="612">
        <f>Gen!T19</f>
        <v>5594</v>
      </c>
      <c r="G11" s="612">
        <f>'Water-Meter'!E14</f>
        <v>96</v>
      </c>
      <c r="H11" s="612">
        <f>'Utility report '!AC14</f>
        <v>110</v>
      </c>
      <c r="I11" s="612">
        <f>Gen!AJ19</f>
        <v>122.96000000000001</v>
      </c>
    </row>
    <row r="12" spans="1:9" ht="13.5">
      <c r="A12" s="609">
        <v>43779</v>
      </c>
      <c r="B12" s="611">
        <f>Gen!B20</f>
        <v>0.46800000000000003</v>
      </c>
      <c r="C12" s="612">
        <f>'Summery Report'!E14</f>
        <v>36</v>
      </c>
      <c r="D12" s="613">
        <v>1</v>
      </c>
      <c r="E12" s="612">
        <f>Gen!S20</f>
        <v>2241.8000000000002</v>
      </c>
      <c r="F12" s="612">
        <f>Gen!T20</f>
        <v>5487</v>
      </c>
      <c r="G12" s="612">
        <f>'Water-Meter'!E15</f>
        <v>124</v>
      </c>
      <c r="H12" s="612">
        <f>'Utility report '!AC15</f>
        <v>81</v>
      </c>
      <c r="I12" s="612">
        <f>Gen!AJ20</f>
        <v>231.5</v>
      </c>
    </row>
    <row r="13" spans="1:9" ht="13.5">
      <c r="A13" s="609">
        <v>43780</v>
      </c>
      <c r="B13" s="611">
        <f>Gen!B21</f>
        <v>0.94799999999999995</v>
      </c>
      <c r="C13" s="612">
        <f>'Summery Report'!E15</f>
        <v>73</v>
      </c>
      <c r="D13" s="613">
        <v>1</v>
      </c>
      <c r="E13" s="612">
        <f>Gen!S21</f>
        <v>2652.4500000000003</v>
      </c>
      <c r="F13" s="612">
        <f>Gen!T21</f>
        <v>6542</v>
      </c>
      <c r="G13" s="612">
        <f>'Water-Meter'!E16</f>
        <v>131</v>
      </c>
      <c r="H13" s="612">
        <f>'Utility report '!AC16</f>
        <v>117</v>
      </c>
      <c r="I13" s="612">
        <f>Gen!AJ21</f>
        <v>0</v>
      </c>
    </row>
    <row r="14" spans="1:9" ht="13.5">
      <c r="A14" s="609">
        <v>43781</v>
      </c>
      <c r="B14" s="611">
        <f>Gen!B22</f>
        <v>0.93500000000000005</v>
      </c>
      <c r="C14" s="612">
        <f>'Summery Report'!E16</f>
        <v>73</v>
      </c>
      <c r="D14" s="613">
        <v>1</v>
      </c>
      <c r="E14" s="612">
        <f>Gen!S22</f>
        <v>2587.46</v>
      </c>
      <c r="F14" s="612">
        <f>Gen!T22</f>
        <v>6667</v>
      </c>
      <c r="G14" s="612">
        <f>'Water-Meter'!E17</f>
        <v>136</v>
      </c>
      <c r="H14" s="612">
        <f>'Utility report '!AC17</f>
        <v>42</v>
      </c>
      <c r="I14" s="612">
        <f>Gen!AJ22</f>
        <v>187.81</v>
      </c>
    </row>
    <row r="15" spans="1:9" ht="13.5">
      <c r="A15" s="609">
        <v>43782</v>
      </c>
      <c r="B15" s="611">
        <f>Gen!B23</f>
        <v>0.48099999999999998</v>
      </c>
      <c r="C15" s="612">
        <f>'Summery Report'!E17</f>
        <v>39</v>
      </c>
      <c r="D15" s="613">
        <v>1</v>
      </c>
      <c r="E15" s="612">
        <f>Gen!S23</f>
        <v>2229.48</v>
      </c>
      <c r="F15" s="612">
        <f>Gen!T23</f>
        <v>5860</v>
      </c>
      <c r="G15" s="612">
        <f>'Water-Meter'!E18</f>
        <v>123</v>
      </c>
      <c r="H15" s="612">
        <f>'Utility report '!AC18</f>
        <v>112</v>
      </c>
      <c r="I15" s="612">
        <f>Gen!AJ23</f>
        <v>450.31</v>
      </c>
    </row>
    <row r="16" spans="1:9" ht="13.5">
      <c r="A16" s="609">
        <v>43783</v>
      </c>
      <c r="B16" s="611">
        <f>Gen!B24</f>
        <v>0.52600000000000002</v>
      </c>
      <c r="C16" s="612">
        <f>'Summery Report'!E18</f>
        <v>41</v>
      </c>
      <c r="D16" s="613">
        <v>1</v>
      </c>
      <c r="E16" s="612">
        <f>Gen!S24</f>
        <v>2368.3599999999997</v>
      </c>
      <c r="F16" s="612">
        <f>Gen!T24</f>
        <v>5863</v>
      </c>
      <c r="G16" s="612">
        <f>'Water-Meter'!E19</f>
        <v>118</v>
      </c>
      <c r="H16" s="612">
        <f>'Utility report '!AC19</f>
        <v>113</v>
      </c>
      <c r="I16" s="612">
        <f>Gen!AJ24</f>
        <v>283.61</v>
      </c>
    </row>
    <row r="17" spans="1:9" ht="13.5">
      <c r="A17" s="609">
        <v>43784</v>
      </c>
      <c r="B17" s="611">
        <f>Gen!B25</f>
        <v>0.221</v>
      </c>
      <c r="C17" s="612">
        <f>'Summery Report'!E19</f>
        <v>17</v>
      </c>
      <c r="D17" s="613">
        <v>1</v>
      </c>
      <c r="E17" s="612">
        <f>Gen!S25</f>
        <v>2133.65</v>
      </c>
      <c r="F17" s="612">
        <f>Gen!T25</f>
        <v>5390</v>
      </c>
      <c r="G17" s="612">
        <f>'Water-Meter'!E20</f>
        <v>107</v>
      </c>
      <c r="H17" s="612">
        <f>'Utility report '!AC20</f>
        <v>110</v>
      </c>
      <c r="I17" s="612">
        <f>Gen!AJ25</f>
        <v>250.23000000000002</v>
      </c>
    </row>
    <row r="18" spans="1:9" ht="13.5">
      <c r="A18" s="609">
        <v>43785</v>
      </c>
      <c r="B18" s="611">
        <f>Gen!B26</f>
        <v>0.156</v>
      </c>
      <c r="C18" s="612">
        <f>'Summery Report'!E20</f>
        <v>12</v>
      </c>
      <c r="D18" s="613">
        <v>1</v>
      </c>
      <c r="E18" s="612">
        <f>Gen!S26</f>
        <v>2099.12</v>
      </c>
      <c r="F18" s="612">
        <f>Gen!T26</f>
        <v>5341</v>
      </c>
      <c r="G18" s="612">
        <f>'Water-Meter'!E21</f>
        <v>115</v>
      </c>
      <c r="H18" s="612">
        <f>'Utility report '!AC21</f>
        <v>110</v>
      </c>
      <c r="I18" s="612">
        <f>Gen!AJ26</f>
        <v>182.65999999999997</v>
      </c>
    </row>
    <row r="19" spans="1:9" ht="13.5">
      <c r="A19" s="609">
        <v>43786</v>
      </c>
      <c r="B19" s="611">
        <f>Gen!B27</f>
        <v>0.623</v>
      </c>
      <c r="C19" s="612">
        <f>'Summery Report'!E21</f>
        <v>48</v>
      </c>
      <c r="D19" s="613">
        <v>1</v>
      </c>
      <c r="E19" s="612">
        <f>Gen!S27</f>
        <v>2394.69</v>
      </c>
      <c r="F19" s="612">
        <f>Gen!T27</f>
        <v>5872</v>
      </c>
      <c r="G19" s="612">
        <f>'Water-Meter'!E22</f>
        <v>127</v>
      </c>
      <c r="H19" s="612">
        <f>'Utility report '!AC22</f>
        <v>110</v>
      </c>
      <c r="I19" s="612">
        <f>Gen!AJ27</f>
        <v>129.38</v>
      </c>
    </row>
    <row r="20" spans="1:9" ht="13.5">
      <c r="A20" s="609">
        <v>43787</v>
      </c>
      <c r="B20" s="611">
        <f>Gen!B28</f>
        <v>0.51900000000000002</v>
      </c>
      <c r="C20" s="612">
        <f>'Summery Report'!E22</f>
        <v>40</v>
      </c>
      <c r="D20" s="613">
        <v>1</v>
      </c>
      <c r="E20" s="612">
        <f>Gen!S28</f>
        <v>2272.4</v>
      </c>
      <c r="F20" s="612">
        <f>Gen!T28</f>
        <v>5477</v>
      </c>
      <c r="G20" s="612">
        <f>'Water-Meter'!E23</f>
        <v>106</v>
      </c>
      <c r="H20" s="612">
        <f>'Utility report '!AC23</f>
        <v>77</v>
      </c>
      <c r="I20" s="612">
        <f>Gen!AJ28</f>
        <v>160.38999999999999</v>
      </c>
    </row>
    <row r="21" spans="1:9" ht="13.5">
      <c r="A21" s="609">
        <v>43788</v>
      </c>
      <c r="B21" s="611">
        <f>Gen!B29</f>
        <v>9.0999999999999998E-2</v>
      </c>
      <c r="C21" s="612">
        <f>'Summery Report'!E23</f>
        <v>7</v>
      </c>
      <c r="D21" s="613">
        <v>1</v>
      </c>
      <c r="E21" s="612">
        <f>Gen!S29</f>
        <v>1853.3000000000002</v>
      </c>
      <c r="F21" s="612">
        <f>Gen!T29</f>
        <v>4892</v>
      </c>
      <c r="G21" s="612">
        <f>'Water-Meter'!E24</f>
        <v>98</v>
      </c>
      <c r="H21" s="612">
        <f>'Utility report '!AC24</f>
        <v>113</v>
      </c>
      <c r="I21" s="612">
        <f>Gen!AJ29</f>
        <v>107.72999999999999</v>
      </c>
    </row>
    <row r="22" spans="1:9" ht="13.5">
      <c r="A22" s="609">
        <v>43789</v>
      </c>
      <c r="B22" s="611">
        <f>Gen!B30</f>
        <v>0.11700000000000001</v>
      </c>
      <c r="C22" s="612">
        <f>'Summery Report'!E24</f>
        <v>9</v>
      </c>
      <c r="D22" s="613">
        <v>1</v>
      </c>
      <c r="E22" s="612">
        <f>Gen!S30</f>
        <v>1844.6200000000001</v>
      </c>
      <c r="F22" s="612">
        <f>Gen!T30</f>
        <v>4193</v>
      </c>
      <c r="G22" s="612">
        <f>'Water-Meter'!E25</f>
        <v>79</v>
      </c>
      <c r="H22" s="612">
        <f>'Utility report '!AC25</f>
        <v>62</v>
      </c>
      <c r="I22" s="612">
        <f>Gen!AJ30</f>
        <v>84.19</v>
      </c>
    </row>
    <row r="23" spans="1:9" ht="13.5">
      <c r="A23" s="609">
        <v>43790</v>
      </c>
      <c r="B23" s="611">
        <f>Gen!B31</f>
        <v>0.13</v>
      </c>
      <c r="C23" s="612">
        <f>'Summery Report'!E25</f>
        <v>10</v>
      </c>
      <c r="D23" s="613">
        <v>1</v>
      </c>
      <c r="E23" s="612">
        <f>Gen!S31</f>
        <v>1557.2</v>
      </c>
      <c r="F23" s="612">
        <f>Gen!T31</f>
        <v>4311</v>
      </c>
      <c r="G23" s="612">
        <f>'Water-Meter'!E26</f>
        <v>95</v>
      </c>
      <c r="H23" s="612">
        <f>'Utility report '!AC26</f>
        <v>108</v>
      </c>
      <c r="I23" s="612">
        <f>Gen!AJ31</f>
        <v>38.159999999999997</v>
      </c>
    </row>
    <row r="24" spans="1:9" ht="13.5">
      <c r="A24" s="609">
        <v>43791</v>
      </c>
      <c r="B24" s="611">
        <f>Gen!B32</f>
        <v>0.14299999999999999</v>
      </c>
      <c r="C24" s="612">
        <f>'Summery Report'!E26</f>
        <v>11</v>
      </c>
      <c r="D24" s="613">
        <v>1</v>
      </c>
      <c r="E24" s="612">
        <f>Gen!S32</f>
        <v>1822.8899999999999</v>
      </c>
      <c r="F24" s="612">
        <f>Gen!T32</f>
        <v>4323</v>
      </c>
      <c r="G24" s="612">
        <f>'Water-Meter'!E27</f>
        <v>95</v>
      </c>
      <c r="H24" s="612">
        <f>'Utility report '!AC27</f>
        <v>108</v>
      </c>
      <c r="I24" s="612">
        <f>Gen!AJ32</f>
        <v>86.34</v>
      </c>
    </row>
    <row r="25" spans="1:9" ht="13.5">
      <c r="A25" s="609">
        <v>43792</v>
      </c>
      <c r="B25" s="611">
        <f>Gen!B33</f>
        <v>0.16900000000000001</v>
      </c>
      <c r="C25" s="612">
        <f>'Summery Report'!E27</f>
        <v>13</v>
      </c>
      <c r="D25" s="613">
        <v>1</v>
      </c>
      <c r="E25" s="612">
        <f>Gen!S33</f>
        <v>0</v>
      </c>
      <c r="F25" s="612">
        <f>Gen!T33</f>
        <v>0</v>
      </c>
      <c r="G25" s="612" t="str">
        <f>'Water-Meter'!E28</f>
        <v>0</v>
      </c>
      <c r="H25" s="612">
        <f>'Utility report '!AC28</f>
        <v>-17186</v>
      </c>
      <c r="I25" s="612">
        <f>Gen!AJ33</f>
        <v>0</v>
      </c>
    </row>
    <row r="26" spans="1:9" ht="13.5">
      <c r="A26" s="609">
        <v>43793</v>
      </c>
      <c r="B26" s="611">
        <f>Gen!B34</f>
        <v>0</v>
      </c>
      <c r="C26" s="612">
        <f>'Summery Report'!E28</f>
        <v>0</v>
      </c>
      <c r="D26" s="613">
        <v>1</v>
      </c>
      <c r="E26" s="612">
        <f>Gen!S34</f>
        <v>0</v>
      </c>
      <c r="F26" s="612">
        <f>Gen!T34</f>
        <v>0</v>
      </c>
      <c r="G26" s="612">
        <f>'Water-Meter'!E29</f>
        <v>0</v>
      </c>
      <c r="H26" s="612">
        <f>'Utility report '!AC29</f>
        <v>0</v>
      </c>
      <c r="I26" s="612">
        <f>Gen!AJ34</f>
        <v>0</v>
      </c>
    </row>
    <row r="27" spans="1:9" ht="13.5">
      <c r="A27" s="609">
        <v>43794</v>
      </c>
      <c r="B27" s="611">
        <f>Gen!B35</f>
        <v>0</v>
      </c>
      <c r="C27" s="612">
        <f>'Summery Report'!E29</f>
        <v>0</v>
      </c>
      <c r="D27" s="613">
        <v>1</v>
      </c>
      <c r="E27" s="612">
        <f>Gen!S35</f>
        <v>0</v>
      </c>
      <c r="F27" s="612">
        <f>Gen!T35</f>
        <v>0</v>
      </c>
      <c r="G27" s="612">
        <f>'Water-Meter'!E30</f>
        <v>0</v>
      </c>
      <c r="H27" s="612">
        <f>'Utility report '!AC30</f>
        <v>0</v>
      </c>
      <c r="I27" s="612">
        <f>Gen!AJ35</f>
        <v>0</v>
      </c>
    </row>
    <row r="28" spans="1:9" ht="13.5">
      <c r="A28" s="609">
        <v>43795</v>
      </c>
      <c r="B28" s="611">
        <f>Gen!B36</f>
        <v>0</v>
      </c>
      <c r="C28" s="612">
        <f>'Summery Report'!E30</f>
        <v>0</v>
      </c>
      <c r="D28" s="613">
        <v>1</v>
      </c>
      <c r="E28" s="612">
        <f>Gen!S36</f>
        <v>0</v>
      </c>
      <c r="F28" s="612">
        <f>Gen!T36</f>
        <v>0</v>
      </c>
      <c r="G28" s="612">
        <f>'Water-Meter'!E31</f>
        <v>0</v>
      </c>
      <c r="H28" s="612">
        <f>'Utility report '!AC31</f>
        <v>0</v>
      </c>
      <c r="I28" s="612">
        <f>Gen!AJ36</f>
        <v>0</v>
      </c>
    </row>
    <row r="29" spans="1:9" ht="13.5">
      <c r="A29" s="609">
        <v>43796</v>
      </c>
      <c r="B29" s="611">
        <f>Gen!B37</f>
        <v>0</v>
      </c>
      <c r="C29" s="612">
        <f>'Summery Report'!E31</f>
        <v>0</v>
      </c>
      <c r="D29" s="613">
        <v>1</v>
      </c>
      <c r="E29" s="612">
        <f>Gen!S37</f>
        <v>0</v>
      </c>
      <c r="F29" s="612">
        <f>Gen!T37</f>
        <v>0</v>
      </c>
      <c r="G29" s="612">
        <f>'Water-Meter'!E32</f>
        <v>0</v>
      </c>
      <c r="H29" s="612">
        <f>'Utility report '!AC32</f>
        <v>0</v>
      </c>
      <c r="I29" s="612">
        <f>Gen!AJ37</f>
        <v>0</v>
      </c>
    </row>
    <row r="30" spans="1:9" ht="13.5">
      <c r="A30" s="609">
        <v>43797</v>
      </c>
      <c r="B30" s="611">
        <f>Gen!B38</f>
        <v>0</v>
      </c>
      <c r="C30" s="612">
        <f>'Summery Report'!E32</f>
        <v>0</v>
      </c>
      <c r="D30" s="613">
        <v>1</v>
      </c>
      <c r="E30" s="612">
        <f>Gen!S38</f>
        <v>0</v>
      </c>
      <c r="F30" s="612">
        <f>Gen!T38</f>
        <v>0</v>
      </c>
      <c r="G30" s="612">
        <f>'Water-Meter'!E33</f>
        <v>0</v>
      </c>
      <c r="H30" s="612">
        <f>'Utility report '!AC33</f>
        <v>0</v>
      </c>
      <c r="I30" s="612">
        <f>Gen!AJ38</f>
        <v>0</v>
      </c>
    </row>
    <row r="31" spans="1:9" ht="13.5">
      <c r="A31" s="609">
        <v>43798</v>
      </c>
      <c r="B31" s="611">
        <f>Gen!B39</f>
        <v>0</v>
      </c>
      <c r="C31" s="612">
        <f>'Summery Report'!E33</f>
        <v>0</v>
      </c>
      <c r="D31" s="613">
        <v>1</v>
      </c>
      <c r="E31" s="612">
        <f>Gen!S39</f>
        <v>0</v>
      </c>
      <c r="F31" s="612">
        <f>Gen!T39</f>
        <v>0</v>
      </c>
      <c r="G31" s="612">
        <f>'Water-Meter'!E34</f>
        <v>0</v>
      </c>
      <c r="H31" s="612">
        <f>'Utility report '!AC34</f>
        <v>0</v>
      </c>
      <c r="I31" s="612">
        <f>Gen!AJ39</f>
        <v>0</v>
      </c>
    </row>
    <row r="32" spans="1:9" ht="13.5">
      <c r="A32" s="609">
        <v>43799</v>
      </c>
      <c r="B32" s="611">
        <f>Gen!B40</f>
        <v>0</v>
      </c>
      <c r="C32" s="612">
        <f>'Summery Report'!E34</f>
        <v>0</v>
      </c>
      <c r="D32" s="613">
        <v>1</v>
      </c>
      <c r="E32" s="612">
        <f>Gen!S40</f>
        <v>0</v>
      </c>
      <c r="F32" s="612">
        <f>Gen!T40</f>
        <v>0</v>
      </c>
      <c r="G32" s="612">
        <f>'Water-Meter'!E35</f>
        <v>0</v>
      </c>
      <c r="H32" s="612">
        <f>'Utility report '!AC35</f>
        <v>0</v>
      </c>
      <c r="I32" s="612">
        <f>Gen!AJ40</f>
        <v>0</v>
      </c>
    </row>
    <row r="33" spans="1:9" ht="13.5">
      <c r="A33" s="609">
        <v>43800</v>
      </c>
      <c r="B33" s="611">
        <f>Gen!B41</f>
        <v>0</v>
      </c>
      <c r="C33" s="612">
        <f>'Summery Report'!E35</f>
        <v>0</v>
      </c>
      <c r="D33" s="613">
        <v>1</v>
      </c>
      <c r="E33" s="612">
        <f>Gen!S41</f>
        <v>0</v>
      </c>
      <c r="F33" s="612">
        <f>Gen!T41</f>
        <v>0</v>
      </c>
      <c r="G33" s="612">
        <f>'Water-Meter'!E36</f>
        <v>0</v>
      </c>
      <c r="H33" s="612">
        <f>'Utility report '!AC36</f>
        <v>0</v>
      </c>
      <c r="I33" s="612">
        <f>Gen!AJ41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A39" sqref="A39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700" t="s">
        <v>0</v>
      </c>
      <c r="B4" s="701" t="s">
        <v>143</v>
      </c>
      <c r="C4" s="702" t="s">
        <v>252</v>
      </c>
      <c r="D4" s="747" t="s">
        <v>137</v>
      </c>
      <c r="E4" s="747"/>
      <c r="F4" s="747"/>
      <c r="G4" s="748" t="s">
        <v>20</v>
      </c>
      <c r="H4" s="748"/>
      <c r="I4" s="748"/>
      <c r="J4" s="749" t="s">
        <v>56</v>
      </c>
      <c r="K4" s="749"/>
      <c r="L4" s="749"/>
      <c r="M4" s="749"/>
      <c r="N4" s="750" t="s">
        <v>145</v>
      </c>
      <c r="O4" s="750"/>
      <c r="P4" s="750"/>
      <c r="Q4" s="62"/>
      <c r="R4" s="62"/>
      <c r="S4" s="63"/>
    </row>
    <row r="5" spans="1:19" ht="25.5">
      <c r="A5" s="703"/>
      <c r="B5" s="378"/>
      <c r="C5" s="176"/>
      <c r="D5" s="181" t="s">
        <v>138</v>
      </c>
      <c r="E5" s="181" t="s">
        <v>139</v>
      </c>
      <c r="F5" s="181" t="s">
        <v>123</v>
      </c>
      <c r="G5" s="183" t="s">
        <v>140</v>
      </c>
      <c r="H5" s="183" t="s">
        <v>19</v>
      </c>
      <c r="I5" s="184" t="s">
        <v>141</v>
      </c>
      <c r="J5" s="186" t="s">
        <v>144</v>
      </c>
      <c r="K5" s="186" t="s">
        <v>142</v>
      </c>
      <c r="L5" s="186" t="s">
        <v>142</v>
      </c>
      <c r="M5" s="188" t="s">
        <v>18</v>
      </c>
      <c r="N5" s="177" t="s">
        <v>146</v>
      </c>
      <c r="O5" s="177" t="s">
        <v>148</v>
      </c>
      <c r="P5" s="178" t="s">
        <v>147</v>
      </c>
      <c r="Q5" s="189" t="s">
        <v>150</v>
      </c>
      <c r="R5" s="189" t="s">
        <v>149</v>
      </c>
      <c r="S5" s="704" t="s">
        <v>151</v>
      </c>
    </row>
    <row r="6" spans="1:19" ht="14.25">
      <c r="A6" s="705">
        <f>Gen!A11</f>
        <v>43770</v>
      </c>
      <c r="B6" s="6">
        <f>'Summery Report'!E5</f>
        <v>66</v>
      </c>
      <c r="C6" s="6">
        <f>Gen!T11</f>
        <v>5703</v>
      </c>
      <c r="D6" s="182">
        <f>Gen!S11</f>
        <v>2398.12</v>
      </c>
      <c r="E6" s="182">
        <f>Gen!AJ11</f>
        <v>69.050000000000011</v>
      </c>
      <c r="F6" s="182">
        <f>Gen!AR11</f>
        <v>2467.17</v>
      </c>
      <c r="G6" s="185">
        <f>'Utility report '!AC6</f>
        <v>120</v>
      </c>
      <c r="H6" s="185">
        <f>'Utility report '!AE6</f>
        <v>36</v>
      </c>
      <c r="I6" s="412">
        <f>'Water-Meter'!E6</f>
        <v>128</v>
      </c>
      <c r="J6" s="187">
        <f>'Lpg (2)'!B10</f>
        <v>73</v>
      </c>
      <c r="K6" s="187">
        <f>'Lpg (2)'!C10</f>
        <v>85</v>
      </c>
      <c r="L6" s="187">
        <f>'Lpg (2)'!D10</f>
        <v>85</v>
      </c>
      <c r="M6" s="699">
        <f>'Lpg (2)'!G10</f>
        <v>208.34000000002564</v>
      </c>
      <c r="N6" s="6"/>
      <c r="O6" s="180">
        <f>E6</f>
        <v>69.050000000000011</v>
      </c>
      <c r="P6" s="179" t="e">
        <f>'[1]Lpg (2)'!#REF!</f>
        <v>#REF!</v>
      </c>
      <c r="Q6" s="180" t="e">
        <f>'[1]Summery Report'!#REF!</f>
        <v>#REF!</v>
      </c>
      <c r="R6" s="180">
        <f t="shared" ref="R6:R36" si="0">N6/B6</f>
        <v>0</v>
      </c>
      <c r="S6" s="706" t="e">
        <f t="shared" ref="S6:S37" si="1">Q6/B6</f>
        <v>#REF!</v>
      </c>
    </row>
    <row r="7" spans="1:19" ht="14.25">
      <c r="A7" s="705">
        <f>Gen!A12</f>
        <v>43771</v>
      </c>
      <c r="B7" s="6">
        <f>'Summery Report'!E6</f>
        <v>58</v>
      </c>
      <c r="C7" s="6">
        <f>Gen!T12</f>
        <v>6052</v>
      </c>
      <c r="D7" s="182">
        <f>Gen!S12</f>
        <v>2502.5700000000002</v>
      </c>
      <c r="E7" s="182">
        <f>Gen!AJ12</f>
        <v>659.55</v>
      </c>
      <c r="F7" s="182">
        <f>Gen!AR12</f>
        <v>3162.12</v>
      </c>
      <c r="G7" s="185">
        <f>'Utility report '!AC7</f>
        <v>120</v>
      </c>
      <c r="H7" s="185">
        <f>'Utility report '!AE7</f>
        <v>30</v>
      </c>
      <c r="I7" s="412">
        <f>'Water-Meter'!E7</f>
        <v>139</v>
      </c>
      <c r="J7" s="187">
        <f>'Lpg (2)'!B11</f>
        <v>70</v>
      </c>
      <c r="K7" s="187">
        <f>'Lpg (2)'!C11</f>
        <v>85</v>
      </c>
      <c r="L7" s="187">
        <f>'Lpg (2)'!D11</f>
        <v>85</v>
      </c>
      <c r="M7" s="699">
        <f>'Lpg (2)'!G11</f>
        <v>101.37599999997184</v>
      </c>
      <c r="N7" s="180">
        <f>D7*1.4</f>
        <v>3503.598</v>
      </c>
      <c r="O7" s="180">
        <f>E7*1.4</f>
        <v>923.36999999999989</v>
      </c>
      <c r="P7" s="179" t="e">
        <f>'[1]Lpg (2)'!#REF!</f>
        <v>#REF!</v>
      </c>
      <c r="Q7" s="180" t="e">
        <f>'[1]Summery Report'!#REF!</f>
        <v>#REF!</v>
      </c>
      <c r="R7" s="180">
        <f t="shared" si="0"/>
        <v>60.406862068965516</v>
      </c>
      <c r="S7" s="706" t="e">
        <f t="shared" si="1"/>
        <v>#REF!</v>
      </c>
    </row>
    <row r="8" spans="1:19" ht="14.25">
      <c r="A8" s="705">
        <f>Gen!A13</f>
        <v>43772</v>
      </c>
      <c r="B8" s="6">
        <f>'Summery Report'!E7</f>
        <v>9</v>
      </c>
      <c r="C8" s="6">
        <f>Gen!T13</f>
        <v>5227</v>
      </c>
      <c r="D8" s="182">
        <f>Gen!S13</f>
        <v>2086.83</v>
      </c>
      <c r="E8" s="182">
        <f>Gen!AJ13</f>
        <v>261.5</v>
      </c>
      <c r="F8" s="182">
        <f>Gen!AR13</f>
        <v>2348.33</v>
      </c>
      <c r="G8" s="185">
        <f>'Utility report '!AC8</f>
        <v>125</v>
      </c>
      <c r="H8" s="185">
        <f>'Utility report '!AE8</f>
        <v>38</v>
      </c>
      <c r="I8" s="412">
        <f>'Water-Meter'!E8</f>
        <v>132</v>
      </c>
      <c r="J8" s="187">
        <f>'Lpg (2)'!B12</f>
        <v>66</v>
      </c>
      <c r="K8" s="187">
        <f>'Lpg (2)'!C12</f>
        <v>85</v>
      </c>
      <c r="L8" s="187">
        <f>'Lpg (2)'!D12</f>
        <v>85</v>
      </c>
      <c r="M8" s="699">
        <f>'Lpg (2)'!G12</f>
        <v>101.46399999998977</v>
      </c>
      <c r="N8" s="180">
        <f t="shared" ref="N8:O36" si="2">D8*1.4</f>
        <v>2921.5619999999999</v>
      </c>
      <c r="O8" s="180">
        <f t="shared" si="2"/>
        <v>366.09999999999997</v>
      </c>
      <c r="P8" s="179" t="e">
        <f>'[1]Lpg (2)'!#REF!</f>
        <v>#REF!</v>
      </c>
      <c r="Q8" s="180" t="e">
        <f>'[1]Summery Report'!#REF!</f>
        <v>#REF!</v>
      </c>
      <c r="R8" s="180">
        <f t="shared" si="0"/>
        <v>324.61799999999999</v>
      </c>
      <c r="S8" s="706" t="e">
        <f t="shared" si="1"/>
        <v>#REF!</v>
      </c>
    </row>
    <row r="9" spans="1:19" ht="14.25">
      <c r="A9" s="705">
        <f>Gen!A14</f>
        <v>43773</v>
      </c>
      <c r="B9" s="6">
        <f>'Summery Report'!E8</f>
        <v>10</v>
      </c>
      <c r="C9" s="6">
        <f>Gen!T14</f>
        <v>4812</v>
      </c>
      <c r="D9" s="182">
        <f>Gen!S14</f>
        <v>1834.21</v>
      </c>
      <c r="E9" s="182">
        <f>Gen!AJ14</f>
        <v>17.39</v>
      </c>
      <c r="F9" s="182">
        <f>Gen!AR14</f>
        <v>1851.6000000000001</v>
      </c>
      <c r="G9" s="185">
        <f>'Utility report '!AC9</f>
        <v>32</v>
      </c>
      <c r="H9" s="185">
        <f>'Utility report '!AE9</f>
        <v>40</v>
      </c>
      <c r="I9" s="412">
        <f>'Water-Meter'!E9</f>
        <v>100</v>
      </c>
      <c r="J9" s="187">
        <f>'Lpg (2)'!B13</f>
        <v>62</v>
      </c>
      <c r="K9" s="187">
        <f>'Lpg (2)'!C13</f>
        <v>85</v>
      </c>
      <c r="L9" s="187">
        <f>'Lpg (2)'!D13</f>
        <v>85</v>
      </c>
      <c r="M9" s="699">
        <f>'Lpg (2)'!G13</f>
        <v>132.61599999999746</v>
      </c>
      <c r="N9" s="180">
        <f t="shared" si="2"/>
        <v>2567.8939999999998</v>
      </c>
      <c r="O9" s="180">
        <f t="shared" si="2"/>
        <v>24.346</v>
      </c>
      <c r="P9" s="179" t="e">
        <f>'[1]Lpg (2)'!#REF!</f>
        <v>#REF!</v>
      </c>
      <c r="Q9" s="180" t="e">
        <f>'[1]Summery Report'!#REF!</f>
        <v>#REF!</v>
      </c>
      <c r="R9" s="180">
        <f t="shared" si="0"/>
        <v>256.7894</v>
      </c>
      <c r="S9" s="706" t="e">
        <f t="shared" si="1"/>
        <v>#REF!</v>
      </c>
    </row>
    <row r="10" spans="1:19" ht="14.25">
      <c r="A10" s="705">
        <f>Gen!A15</f>
        <v>43774</v>
      </c>
      <c r="B10" s="6">
        <f>'Summery Report'!E9</f>
        <v>25</v>
      </c>
      <c r="C10" s="6">
        <f>Gen!T15</f>
        <v>5035</v>
      </c>
      <c r="D10" s="182">
        <f>Gen!S15</f>
        <v>2117.6999999999998</v>
      </c>
      <c r="E10" s="182">
        <f>Gen!AJ15</f>
        <v>18.940000000000001</v>
      </c>
      <c r="F10" s="182">
        <f>Gen!AR15</f>
        <v>2136.64</v>
      </c>
      <c r="G10" s="185">
        <f>'Utility report '!AC10</f>
        <v>0</v>
      </c>
      <c r="H10" s="185">
        <f>'Utility report '!AE10</f>
        <v>41</v>
      </c>
      <c r="I10" s="412">
        <f>'Water-Meter'!E10</f>
        <v>119</v>
      </c>
      <c r="J10" s="187">
        <f>'Lpg (2)'!B14</f>
        <v>60</v>
      </c>
      <c r="K10" s="187">
        <f>'Lpg (2)'!C14</f>
        <v>85</v>
      </c>
      <c r="L10" s="187">
        <f>'Lpg (2)'!D14</f>
        <v>85</v>
      </c>
      <c r="M10" s="699">
        <f>'Lpg (2)'!G14</f>
        <v>147.17999999998722</v>
      </c>
      <c r="N10" s="180">
        <f t="shared" si="2"/>
        <v>2964.7799999999997</v>
      </c>
      <c r="O10" s="180">
        <f t="shared" si="2"/>
        <v>26.516000000000002</v>
      </c>
      <c r="P10" s="179" t="e">
        <f>'[1]Lpg (2)'!#REF!</f>
        <v>#REF!</v>
      </c>
      <c r="Q10" s="180" t="e">
        <f>'[1]Summery Report'!#REF!</f>
        <v>#REF!</v>
      </c>
      <c r="R10" s="180">
        <f t="shared" si="0"/>
        <v>118.59119999999999</v>
      </c>
      <c r="S10" s="706" t="e">
        <f t="shared" si="1"/>
        <v>#REF!</v>
      </c>
    </row>
    <row r="11" spans="1:19" ht="14.25">
      <c r="A11" s="705">
        <f>Gen!A16</f>
        <v>43775</v>
      </c>
      <c r="B11" s="6">
        <f>'Summery Report'!E10</f>
        <v>24</v>
      </c>
      <c r="C11" s="6">
        <f>Gen!T16</f>
        <v>5420</v>
      </c>
      <c r="D11" s="182">
        <f>Gen!S16</f>
        <v>2435.73</v>
      </c>
      <c r="E11" s="182">
        <f>Gen!AJ16</f>
        <v>142.32999999999998</v>
      </c>
      <c r="F11" s="182">
        <f>Gen!AR16</f>
        <v>2578.06</v>
      </c>
      <c r="G11" s="185">
        <f>'Utility report '!AC11</f>
        <v>107</v>
      </c>
      <c r="H11" s="185">
        <f>'Utility report '!AE11</f>
        <v>39</v>
      </c>
      <c r="I11" s="412">
        <f>'Water-Meter'!E11</f>
        <v>110</v>
      </c>
      <c r="J11" s="187">
        <f>'Lpg (2)'!B15</f>
        <v>56</v>
      </c>
      <c r="K11" s="187">
        <f>'Lpg (2)'!C15</f>
        <v>85</v>
      </c>
      <c r="L11" s="187">
        <f>'Lpg (2)'!D15</f>
        <v>85</v>
      </c>
      <c r="M11" s="699">
        <f>'Lpg (2)'!G15</f>
        <v>144.67200000002049</v>
      </c>
      <c r="N11" s="180">
        <f t="shared" si="2"/>
        <v>3410.0219999999999</v>
      </c>
      <c r="O11" s="180">
        <f t="shared" si="2"/>
        <v>199.26199999999997</v>
      </c>
      <c r="P11" s="179" t="e">
        <f>'[1]Lpg (2)'!#REF!</f>
        <v>#REF!</v>
      </c>
      <c r="Q11" s="180" t="e">
        <f>'[1]Summery Report'!#REF!</f>
        <v>#REF!</v>
      </c>
      <c r="R11" s="180">
        <f t="shared" si="0"/>
        <v>142.08425</v>
      </c>
      <c r="S11" s="706" t="e">
        <f t="shared" si="1"/>
        <v>#REF!</v>
      </c>
    </row>
    <row r="12" spans="1:19" ht="14.25">
      <c r="A12" s="705">
        <f>Gen!A17</f>
        <v>43776</v>
      </c>
      <c r="B12" s="6">
        <f>'Summery Report'!E11</f>
        <v>17</v>
      </c>
      <c r="C12" s="6">
        <f>Gen!T17</f>
        <v>5338</v>
      </c>
      <c r="D12" s="182">
        <f>Gen!S17</f>
        <v>2229.96</v>
      </c>
      <c r="E12" s="182">
        <f>Gen!AJ17</f>
        <v>241.32</v>
      </c>
      <c r="F12" s="182">
        <f>Gen!AR17</f>
        <v>2471.2800000000002</v>
      </c>
      <c r="G12" s="185">
        <f>'Utility report '!AC12</f>
        <v>112</v>
      </c>
      <c r="H12" s="185">
        <f>'Utility report '!AE12</f>
        <v>30</v>
      </c>
      <c r="I12" s="412">
        <f>'Water-Meter'!E12</f>
        <v>95</v>
      </c>
      <c r="J12" s="187">
        <f>'Lpg (2)'!B16</f>
        <v>54</v>
      </c>
      <c r="K12" s="187">
        <f>'Lpg (2)'!C16</f>
        <v>85</v>
      </c>
      <c r="L12" s="187">
        <f>'Lpg (2)'!D16</f>
        <v>85</v>
      </c>
      <c r="M12" s="699">
        <f>'Lpg (2)'!G16</f>
        <v>149.07200000002049</v>
      </c>
      <c r="N12" s="180">
        <f t="shared" si="2"/>
        <v>3121.944</v>
      </c>
      <c r="O12" s="180">
        <f t="shared" si="2"/>
        <v>337.84799999999996</v>
      </c>
      <c r="P12" s="179" t="e">
        <f>'[1]Lpg (2)'!#REF!</f>
        <v>#REF!</v>
      </c>
      <c r="Q12" s="180" t="e">
        <f>'[1]Summery Report'!#REF!</f>
        <v>#REF!</v>
      </c>
      <c r="R12" s="180">
        <f t="shared" si="0"/>
        <v>183.64376470588235</v>
      </c>
      <c r="S12" s="706" t="e">
        <f t="shared" si="1"/>
        <v>#REF!</v>
      </c>
    </row>
    <row r="13" spans="1:19" ht="14.25">
      <c r="A13" s="705">
        <f>Gen!A18</f>
        <v>43777</v>
      </c>
      <c r="B13" s="6">
        <f>'Summery Report'!E12</f>
        <v>13</v>
      </c>
      <c r="C13" s="6">
        <f>Gen!T18</f>
        <v>5670</v>
      </c>
      <c r="D13" s="182">
        <f>Gen!S18</f>
        <v>2100.4499999999998</v>
      </c>
      <c r="E13" s="182">
        <f>Gen!AJ18</f>
        <v>159.05000000000001</v>
      </c>
      <c r="F13" s="182">
        <f>Gen!AR18</f>
        <v>2259.5</v>
      </c>
      <c r="G13" s="185">
        <f>'Utility report '!AC13</f>
        <v>109</v>
      </c>
      <c r="H13" s="185">
        <f>'Utility report '!AE13</f>
        <v>52</v>
      </c>
      <c r="I13" s="412">
        <f>'Water-Meter'!E13</f>
        <v>120</v>
      </c>
      <c r="J13" s="187">
        <f>'Lpg (2)'!B17</f>
        <v>50</v>
      </c>
      <c r="K13" s="187">
        <f>'Lpg (2)'!C17</f>
        <v>85</v>
      </c>
      <c r="L13" s="187">
        <f>'Lpg (2)'!D17</f>
        <v>85</v>
      </c>
      <c r="M13" s="699">
        <f>'Lpg (2)'!G17</f>
        <v>152.06399999998976</v>
      </c>
      <c r="N13" s="180">
        <f t="shared" si="2"/>
        <v>2940.6299999999997</v>
      </c>
      <c r="O13" s="180">
        <f t="shared" si="2"/>
        <v>222.67000000000002</v>
      </c>
      <c r="P13" s="179" t="e">
        <f>'[1]Lpg (2)'!#REF!</f>
        <v>#REF!</v>
      </c>
      <c r="Q13" s="180" t="e">
        <f>'[1]Summery Report'!#REF!</f>
        <v>#REF!</v>
      </c>
      <c r="R13" s="180">
        <f t="shared" si="0"/>
        <v>226.20230769230767</v>
      </c>
      <c r="S13" s="706" t="e">
        <f t="shared" si="1"/>
        <v>#REF!</v>
      </c>
    </row>
    <row r="14" spans="1:19" ht="14.25">
      <c r="A14" s="705">
        <f>Gen!A19</f>
        <v>43778</v>
      </c>
      <c r="B14" s="6">
        <f>'Summery Report'!E13</f>
        <v>13</v>
      </c>
      <c r="C14" s="6">
        <f>Gen!T19</f>
        <v>5594</v>
      </c>
      <c r="D14" s="182">
        <f>Gen!S19</f>
        <v>2130.17</v>
      </c>
      <c r="E14" s="182">
        <f>Gen!AJ19</f>
        <v>122.96000000000001</v>
      </c>
      <c r="F14" s="182">
        <f>Gen!AR19</f>
        <v>2253.13</v>
      </c>
      <c r="G14" s="185">
        <f>'Utility report '!AC14</f>
        <v>110</v>
      </c>
      <c r="H14" s="185">
        <f>'Utility report '!AE14</f>
        <v>37</v>
      </c>
      <c r="I14" s="412">
        <f>'Water-Meter'!E14</f>
        <v>96</v>
      </c>
      <c r="J14" s="187">
        <f>'Lpg (2)'!B18</f>
        <v>47</v>
      </c>
      <c r="K14" s="187">
        <f>'Lpg (2)'!C18</f>
        <v>85</v>
      </c>
      <c r="L14" s="187">
        <f>'Lpg (2)'!D18</f>
        <v>85</v>
      </c>
      <c r="M14" s="699">
        <f>'Lpg (2)'!G18</f>
        <v>152.28400000000258</v>
      </c>
      <c r="N14" s="180">
        <f t="shared" si="2"/>
        <v>2982.2379999999998</v>
      </c>
      <c r="O14" s="180">
        <f t="shared" si="2"/>
        <v>172.14400000000001</v>
      </c>
      <c r="P14" s="179" t="e">
        <f>'[1]Lpg (2)'!#REF!</f>
        <v>#REF!</v>
      </c>
      <c r="Q14" s="180" t="e">
        <f>'[1]Summery Report'!#REF!</f>
        <v>#REF!</v>
      </c>
      <c r="R14" s="180">
        <f t="shared" si="0"/>
        <v>229.40292307692306</v>
      </c>
      <c r="S14" s="706" t="e">
        <f t="shared" si="1"/>
        <v>#REF!</v>
      </c>
    </row>
    <row r="15" spans="1:19" ht="14.25">
      <c r="A15" s="705">
        <f>Gen!A20</f>
        <v>43779</v>
      </c>
      <c r="B15" s="6">
        <f>'Summery Report'!E14</f>
        <v>36</v>
      </c>
      <c r="C15" s="6">
        <f>Gen!T20</f>
        <v>5487</v>
      </c>
      <c r="D15" s="182">
        <f>Gen!S20</f>
        <v>2241.8000000000002</v>
      </c>
      <c r="E15" s="182">
        <f>Gen!AJ20</f>
        <v>231.5</v>
      </c>
      <c r="F15" s="182">
        <f>Gen!AR20</f>
        <v>2473.3000000000002</v>
      </c>
      <c r="G15" s="185">
        <f>'Utility report '!AC15</f>
        <v>81</v>
      </c>
      <c r="H15" s="185">
        <f>'Utility report '!AE15</f>
        <v>35</v>
      </c>
      <c r="I15" s="412">
        <f>'Water-Meter'!E15</f>
        <v>124</v>
      </c>
      <c r="J15" s="187">
        <f>'Lpg (2)'!B19</f>
        <v>45</v>
      </c>
      <c r="K15" s="187">
        <f>'Lpg (2)'!C19</f>
        <v>85</v>
      </c>
      <c r="L15" s="187">
        <f>'Lpg (2)'!D19</f>
        <v>85</v>
      </c>
      <c r="M15" s="699">
        <f>'Lpg (2)'!G19</f>
        <v>103.48800000001793</v>
      </c>
      <c r="N15" s="180">
        <f t="shared" si="2"/>
        <v>3138.52</v>
      </c>
      <c r="O15" s="180">
        <f t="shared" si="2"/>
        <v>324.09999999999997</v>
      </c>
      <c r="P15" s="179" t="e">
        <f>'[1]Lpg (2)'!#REF!</f>
        <v>#REF!</v>
      </c>
      <c r="Q15" s="180" t="e">
        <f>'[1]Summery Report'!#REF!</f>
        <v>#REF!</v>
      </c>
      <c r="R15" s="180">
        <f t="shared" si="0"/>
        <v>87.181111111111107</v>
      </c>
      <c r="S15" s="706" t="e">
        <f t="shared" si="1"/>
        <v>#REF!</v>
      </c>
    </row>
    <row r="16" spans="1:19" ht="14.25">
      <c r="A16" s="705">
        <f>Gen!A21</f>
        <v>43780</v>
      </c>
      <c r="B16" s="6">
        <f>'Summery Report'!E15</f>
        <v>73</v>
      </c>
      <c r="C16" s="6">
        <f>Gen!T21</f>
        <v>6542</v>
      </c>
      <c r="D16" s="182">
        <f>Gen!S21</f>
        <v>2652.4500000000003</v>
      </c>
      <c r="E16" s="182">
        <f>Gen!AJ21</f>
        <v>0</v>
      </c>
      <c r="F16" s="182">
        <f>Gen!AR21</f>
        <v>2652.4500000000003</v>
      </c>
      <c r="G16" s="185">
        <f>'Utility report '!AC16</f>
        <v>117</v>
      </c>
      <c r="H16" s="185">
        <f>'Utility report '!AE16</f>
        <v>30</v>
      </c>
      <c r="I16" s="412">
        <f>'Water-Meter'!E16</f>
        <v>131</v>
      </c>
      <c r="J16" s="187">
        <f>'Lpg (2)'!B20</f>
        <v>42</v>
      </c>
      <c r="K16" s="187">
        <f>'Lpg (2)'!C20</f>
        <v>85</v>
      </c>
      <c r="L16" s="187">
        <f>'Lpg (2)'!D20</f>
        <v>85</v>
      </c>
      <c r="M16" s="699">
        <f>'Lpg (2)'!G20</f>
        <v>101.77199999995646</v>
      </c>
      <c r="N16" s="180">
        <f t="shared" si="2"/>
        <v>3713.4300000000003</v>
      </c>
      <c r="O16" s="180">
        <f t="shared" si="2"/>
        <v>0</v>
      </c>
      <c r="P16" s="179" t="e">
        <f>'[1]Lpg (2)'!#REF!</f>
        <v>#REF!</v>
      </c>
      <c r="Q16" s="180" t="e">
        <f>'[1]Summery Report'!#REF!</f>
        <v>#REF!</v>
      </c>
      <c r="R16" s="180">
        <f t="shared" si="0"/>
        <v>50.868904109589046</v>
      </c>
      <c r="S16" s="706" t="e">
        <f t="shared" si="1"/>
        <v>#REF!</v>
      </c>
    </row>
    <row r="17" spans="1:19" ht="14.25">
      <c r="A17" s="705">
        <f>Gen!A22</f>
        <v>43781</v>
      </c>
      <c r="B17" s="6">
        <f>'Summery Report'!E16</f>
        <v>73</v>
      </c>
      <c r="C17" s="6">
        <f>Gen!T22</f>
        <v>6667</v>
      </c>
      <c r="D17" s="182">
        <f>Gen!S22</f>
        <v>2587.46</v>
      </c>
      <c r="E17" s="182">
        <f>Gen!AJ22</f>
        <v>187.81</v>
      </c>
      <c r="F17" s="182">
        <f>Gen!AR22</f>
        <v>2775.27</v>
      </c>
      <c r="G17" s="185">
        <f>'Utility report '!AC17</f>
        <v>42</v>
      </c>
      <c r="H17" s="185">
        <f>'Utility report '!AE17</f>
        <v>41</v>
      </c>
      <c r="I17" s="412">
        <f>'Water-Meter'!E17</f>
        <v>136</v>
      </c>
      <c r="J17" s="187">
        <f>'Lpg (2)'!B21</f>
        <v>39</v>
      </c>
      <c r="K17" s="187">
        <f>'Lpg (2)'!C21</f>
        <v>85</v>
      </c>
      <c r="L17" s="187">
        <f>'Lpg (2)'!D21</f>
        <v>85</v>
      </c>
      <c r="M17" s="699">
        <f>'Lpg (2)'!G21</f>
        <v>115.1920000000333</v>
      </c>
      <c r="N17" s="180">
        <f t="shared" si="2"/>
        <v>3622.444</v>
      </c>
      <c r="O17" s="180">
        <f t="shared" si="2"/>
        <v>262.93399999999997</v>
      </c>
      <c r="P17" s="179" t="e">
        <f>'[1]Lpg (2)'!#REF!</f>
        <v>#REF!</v>
      </c>
      <c r="Q17" s="180" t="e">
        <f>'[1]Summery Report'!#REF!</f>
        <v>#REF!</v>
      </c>
      <c r="R17" s="180">
        <f t="shared" si="0"/>
        <v>49.622520547945207</v>
      </c>
      <c r="S17" s="706" t="e">
        <f t="shared" si="1"/>
        <v>#REF!</v>
      </c>
    </row>
    <row r="18" spans="1:19" ht="14.25">
      <c r="A18" s="705">
        <f>Gen!A23</f>
        <v>43782</v>
      </c>
      <c r="B18" s="6">
        <f>'Summery Report'!E17</f>
        <v>39</v>
      </c>
      <c r="C18" s="6">
        <f>Gen!T23</f>
        <v>5860</v>
      </c>
      <c r="D18" s="182">
        <f>Gen!S23</f>
        <v>2229.48</v>
      </c>
      <c r="E18" s="182">
        <f>Gen!AJ23</f>
        <v>450.31</v>
      </c>
      <c r="F18" s="182">
        <f>Gen!AR23</f>
        <v>2679.79</v>
      </c>
      <c r="G18" s="185">
        <f>'Utility report '!AC18</f>
        <v>112</v>
      </c>
      <c r="H18" s="185">
        <f>'Utility report '!AE18</f>
        <v>40</v>
      </c>
      <c r="I18" s="412">
        <f>'Water-Meter'!E18</f>
        <v>123</v>
      </c>
      <c r="J18" s="187">
        <f>'Lpg (2)'!B22</f>
        <v>35</v>
      </c>
      <c r="K18" s="187">
        <f>'Lpg (2)'!C22</f>
        <v>85</v>
      </c>
      <c r="L18" s="187">
        <f>'Lpg (2)'!D22</f>
        <v>85</v>
      </c>
      <c r="M18" s="699">
        <f>'Lpg (2)'!G22</f>
        <v>98.471999999956466</v>
      </c>
      <c r="N18" s="180">
        <f t="shared" si="2"/>
        <v>3121.2719999999999</v>
      </c>
      <c r="O18" s="180">
        <f t="shared" si="2"/>
        <v>630.43399999999997</v>
      </c>
      <c r="P18" s="179" t="e">
        <f>'[1]Lpg (2)'!#REF!</f>
        <v>#REF!</v>
      </c>
      <c r="Q18" s="180" t="e">
        <f>'[1]Summery Report'!#REF!</f>
        <v>#REF!</v>
      </c>
      <c r="R18" s="180">
        <f t="shared" si="0"/>
        <v>80.032615384615383</v>
      </c>
      <c r="S18" s="706" t="e">
        <f t="shared" si="1"/>
        <v>#REF!</v>
      </c>
    </row>
    <row r="19" spans="1:19" ht="14.25">
      <c r="A19" s="705">
        <f>Gen!A24</f>
        <v>43783</v>
      </c>
      <c r="B19" s="6">
        <f>'Summery Report'!E18</f>
        <v>41</v>
      </c>
      <c r="C19" s="6">
        <f>Gen!T24</f>
        <v>5863</v>
      </c>
      <c r="D19" s="182">
        <f>Gen!S24</f>
        <v>2368.3599999999997</v>
      </c>
      <c r="E19" s="182">
        <f>Gen!AJ24</f>
        <v>283.61</v>
      </c>
      <c r="F19" s="182">
        <f>Gen!AR24</f>
        <v>2651.97</v>
      </c>
      <c r="G19" s="185">
        <f>'Utility report '!AC19</f>
        <v>113</v>
      </c>
      <c r="H19" s="185">
        <f>'Utility report '!AE19</f>
        <v>41</v>
      </c>
      <c r="I19" s="412">
        <f>'Water-Meter'!E19</f>
        <v>118</v>
      </c>
      <c r="J19" s="187">
        <f>'Lpg (2)'!B23</f>
        <v>30</v>
      </c>
      <c r="K19" s="187">
        <f>'Lpg (2)'!C23</f>
        <v>85</v>
      </c>
      <c r="L19" s="187">
        <f>'Lpg (2)'!D23</f>
        <v>85</v>
      </c>
      <c r="M19" s="699">
        <f>'Lpg (2)'!G23</f>
        <v>112.15600000002306</v>
      </c>
      <c r="N19" s="180">
        <f t="shared" si="2"/>
        <v>3315.7039999999993</v>
      </c>
      <c r="O19" s="180">
        <f t="shared" si="2"/>
        <v>397.05399999999997</v>
      </c>
      <c r="P19" s="179" t="e">
        <f>'[1]Lpg (2)'!#REF!</f>
        <v>#REF!</v>
      </c>
      <c r="Q19" s="180" t="e">
        <f>'[1]Summery Report'!#REF!</f>
        <v>#REF!</v>
      </c>
      <c r="R19" s="180">
        <f t="shared" si="0"/>
        <v>80.870829268292667</v>
      </c>
      <c r="S19" s="706" t="e">
        <f t="shared" si="1"/>
        <v>#REF!</v>
      </c>
    </row>
    <row r="20" spans="1:19" ht="14.25">
      <c r="A20" s="705">
        <f>Gen!A25</f>
        <v>43784</v>
      </c>
      <c r="B20" s="6">
        <f>'Summery Report'!E19</f>
        <v>17</v>
      </c>
      <c r="C20" s="6">
        <f>Gen!T25</f>
        <v>5390</v>
      </c>
      <c r="D20" s="182">
        <f>Gen!S25</f>
        <v>2133.65</v>
      </c>
      <c r="E20" s="182">
        <f>Gen!AJ25</f>
        <v>250.23000000000002</v>
      </c>
      <c r="F20" s="182">
        <f>Gen!AR25</f>
        <v>2383.88</v>
      </c>
      <c r="G20" s="185">
        <f>'Utility report '!AC20</f>
        <v>110</v>
      </c>
      <c r="H20" s="185">
        <f>'Utility report '!AE20</f>
        <v>32</v>
      </c>
      <c r="I20" s="412">
        <f>'Water-Meter'!E20</f>
        <v>107</v>
      </c>
      <c r="J20" s="187">
        <f>'Lpg (2)'!B24</f>
        <v>32</v>
      </c>
      <c r="K20" s="187">
        <f>'Lpg (2)'!C24</f>
        <v>85</v>
      </c>
      <c r="L20" s="187">
        <f>'Lpg (2)'!D24</f>
        <v>85</v>
      </c>
      <c r="M20" s="699">
        <f>'Lpg (2)'!G24</f>
        <v>103.09200000003331</v>
      </c>
      <c r="N20" s="180">
        <f t="shared" si="2"/>
        <v>2987.11</v>
      </c>
      <c r="O20" s="180">
        <f t="shared" si="2"/>
        <v>350.322</v>
      </c>
      <c r="P20" s="179" t="e">
        <f>'[1]Lpg (2)'!#REF!</f>
        <v>#REF!</v>
      </c>
      <c r="Q20" s="180" t="e">
        <f>'[1]Summery Report'!#REF!</f>
        <v>#REF!</v>
      </c>
      <c r="R20" s="180">
        <f t="shared" si="0"/>
        <v>175.71235294117648</v>
      </c>
      <c r="S20" s="706" t="e">
        <f t="shared" si="1"/>
        <v>#REF!</v>
      </c>
    </row>
    <row r="21" spans="1:19" ht="14.25">
      <c r="A21" s="705">
        <f>Gen!A26</f>
        <v>43785</v>
      </c>
      <c r="B21" s="6">
        <f>'Summery Report'!E20</f>
        <v>12</v>
      </c>
      <c r="C21" s="6">
        <f>Gen!T26</f>
        <v>5341</v>
      </c>
      <c r="D21" s="182">
        <f>Gen!S26</f>
        <v>2099.12</v>
      </c>
      <c r="E21" s="182">
        <f>Gen!AJ26</f>
        <v>182.65999999999997</v>
      </c>
      <c r="F21" s="182">
        <f>Gen!AR26</f>
        <v>2281.7799999999997</v>
      </c>
      <c r="G21" s="185">
        <f>'Utility report '!AC21</f>
        <v>110</v>
      </c>
      <c r="H21" s="185">
        <f>'Utility report '!AE21</f>
        <v>30</v>
      </c>
      <c r="I21" s="412">
        <f>'Water-Meter'!E21</f>
        <v>115</v>
      </c>
      <c r="J21" s="187">
        <f>'Lpg (2)'!B25</f>
        <v>30</v>
      </c>
      <c r="K21" s="187">
        <f>'Lpg (2)'!C25</f>
        <v>85</v>
      </c>
      <c r="L21" s="187">
        <f>'Lpg (2)'!D25</f>
        <v>85</v>
      </c>
      <c r="M21" s="699">
        <f>'Lpg (2)'!G25</f>
        <v>126.41199999998209</v>
      </c>
      <c r="N21" s="180">
        <f t="shared" si="2"/>
        <v>2938.7679999999996</v>
      </c>
      <c r="O21" s="180">
        <f t="shared" si="2"/>
        <v>255.72399999999993</v>
      </c>
      <c r="P21" s="179" t="e">
        <f>'[1]Lpg (2)'!#REF!</f>
        <v>#REF!</v>
      </c>
      <c r="Q21" s="180" t="e">
        <f>'[1]Summery Report'!#REF!</f>
        <v>#REF!</v>
      </c>
      <c r="R21" s="180">
        <f t="shared" si="0"/>
        <v>244.89733333333331</v>
      </c>
      <c r="S21" s="706" t="e">
        <f t="shared" si="1"/>
        <v>#REF!</v>
      </c>
    </row>
    <row r="22" spans="1:19" ht="14.25">
      <c r="A22" s="705">
        <f>Gen!A27</f>
        <v>43786</v>
      </c>
      <c r="B22" s="6">
        <f>'Summery Report'!E21</f>
        <v>48</v>
      </c>
      <c r="C22" s="6">
        <f>Gen!T27</f>
        <v>5872</v>
      </c>
      <c r="D22" s="182">
        <f>Gen!S27</f>
        <v>2394.69</v>
      </c>
      <c r="E22" s="182">
        <f>Gen!AJ27</f>
        <v>129.38</v>
      </c>
      <c r="F22" s="182">
        <f>Gen!AR27</f>
        <v>2524.0700000000002</v>
      </c>
      <c r="G22" s="185">
        <f>'Utility report '!AC22</f>
        <v>110</v>
      </c>
      <c r="H22" s="185">
        <f>'Utility report '!AE22</f>
        <v>47</v>
      </c>
      <c r="I22" s="412">
        <f>'Water-Meter'!E22</f>
        <v>127</v>
      </c>
      <c r="J22" s="187">
        <f>'Lpg (2)'!B26</f>
        <v>27</v>
      </c>
      <c r="K22" s="187">
        <f>'Lpg (2)'!C26</f>
        <v>85</v>
      </c>
      <c r="L22" s="187">
        <f>'Lpg (2)'!D26</f>
        <v>85</v>
      </c>
      <c r="M22" s="699">
        <f>'Lpg (2)'!G26</f>
        <v>119.50400000001538</v>
      </c>
      <c r="N22" s="180">
        <f t="shared" si="2"/>
        <v>3352.5659999999998</v>
      </c>
      <c r="O22" s="180">
        <f t="shared" si="2"/>
        <v>181.13199999999998</v>
      </c>
      <c r="P22" s="179" t="e">
        <f>'[1]Lpg (2)'!#REF!</f>
        <v>#REF!</v>
      </c>
      <c r="Q22" s="180" t="e">
        <f>'[1]Summery Report'!#REF!</f>
        <v>#REF!</v>
      </c>
      <c r="R22" s="180">
        <f t="shared" si="0"/>
        <v>69.845124999999996</v>
      </c>
      <c r="S22" s="706" t="e">
        <f t="shared" si="1"/>
        <v>#REF!</v>
      </c>
    </row>
    <row r="23" spans="1:19" ht="14.25">
      <c r="A23" s="705">
        <f>Gen!A28</f>
        <v>43787</v>
      </c>
      <c r="B23" s="6">
        <f>'Summery Report'!E22</f>
        <v>40</v>
      </c>
      <c r="C23" s="6">
        <f>Gen!T28</f>
        <v>5477</v>
      </c>
      <c r="D23" s="182">
        <f>Gen!S28</f>
        <v>2272.4</v>
      </c>
      <c r="E23" s="182">
        <f>Gen!AJ28</f>
        <v>160.38999999999999</v>
      </c>
      <c r="F23" s="182">
        <f>Gen!AR28</f>
        <v>2432.79</v>
      </c>
      <c r="G23" s="185">
        <f>'Utility report '!AC23</f>
        <v>77</v>
      </c>
      <c r="H23" s="185">
        <f>'Utility report '!AE23</f>
        <v>30</v>
      </c>
      <c r="I23" s="412">
        <f>'Water-Meter'!E23</f>
        <v>106</v>
      </c>
      <c r="J23" s="187">
        <f>'Lpg (2)'!B27</f>
        <v>25</v>
      </c>
      <c r="K23" s="187">
        <f>'Lpg (2)'!C27</f>
        <v>85</v>
      </c>
      <c r="L23" s="187">
        <f>'Lpg (2)'!D27</f>
        <v>85</v>
      </c>
      <c r="M23" s="699">
        <f>'Lpg (2)'!G27</f>
        <v>110.21999999994878</v>
      </c>
      <c r="N23" s="180">
        <f t="shared" si="2"/>
        <v>3181.36</v>
      </c>
      <c r="O23" s="180">
        <f t="shared" si="2"/>
        <v>224.54599999999996</v>
      </c>
      <c r="P23" s="179" t="e">
        <f>'[1]Lpg (2)'!#REF!</f>
        <v>#REF!</v>
      </c>
      <c r="Q23" s="180" t="e">
        <f>'[1]Summery Report'!#REF!</f>
        <v>#REF!</v>
      </c>
      <c r="R23" s="180">
        <f t="shared" si="0"/>
        <v>79.534000000000006</v>
      </c>
      <c r="S23" s="706" t="e">
        <f t="shared" si="1"/>
        <v>#REF!</v>
      </c>
    </row>
    <row r="24" spans="1:19" ht="14.25">
      <c r="A24" s="705">
        <f>Gen!A29</f>
        <v>43788</v>
      </c>
      <c r="B24" s="6">
        <f>'Summery Report'!E23</f>
        <v>7</v>
      </c>
      <c r="C24" s="6">
        <f>Gen!T29</f>
        <v>4892</v>
      </c>
      <c r="D24" s="182">
        <f>Gen!S29</f>
        <v>1853.3000000000002</v>
      </c>
      <c r="E24" s="182">
        <f>Gen!AJ29</f>
        <v>107.72999999999999</v>
      </c>
      <c r="F24" s="182">
        <f>Gen!AR29</f>
        <v>1961.0300000000002</v>
      </c>
      <c r="G24" s="185">
        <f>'Utility report '!AC24</f>
        <v>113</v>
      </c>
      <c r="H24" s="185">
        <f>'Utility report '!AE24</f>
        <v>40</v>
      </c>
      <c r="I24" s="412">
        <f>'Water-Meter'!E24</f>
        <v>98</v>
      </c>
      <c r="J24" s="187">
        <f>'Lpg (2)'!B28</f>
        <v>23</v>
      </c>
      <c r="K24" s="187">
        <f>'Lpg (2)'!C28</f>
        <v>85</v>
      </c>
      <c r="L24" s="187">
        <f>'Lpg (2)'!D28</f>
        <v>85</v>
      </c>
      <c r="M24" s="699">
        <f>'Lpg (2)'!G28</f>
        <v>126.10400000001538</v>
      </c>
      <c r="N24" s="180">
        <f t="shared" si="2"/>
        <v>2594.62</v>
      </c>
      <c r="O24" s="180">
        <f t="shared" si="2"/>
        <v>150.82199999999997</v>
      </c>
      <c r="P24" s="179" t="e">
        <f>'[1]Lpg (2)'!#REF!</f>
        <v>#REF!</v>
      </c>
      <c r="Q24" s="180" t="e">
        <f>'[1]Summery Report'!#REF!</f>
        <v>#REF!</v>
      </c>
      <c r="R24" s="180">
        <f t="shared" si="0"/>
        <v>370.65999999999997</v>
      </c>
      <c r="S24" s="706" t="e">
        <f t="shared" si="1"/>
        <v>#REF!</v>
      </c>
    </row>
    <row r="25" spans="1:19" ht="14.25">
      <c r="A25" s="705">
        <f>Gen!A30</f>
        <v>43789</v>
      </c>
      <c r="B25" s="6">
        <f>'Summery Report'!E24</f>
        <v>9</v>
      </c>
      <c r="C25" s="6">
        <f>Gen!T30</f>
        <v>4193</v>
      </c>
      <c r="D25" s="182">
        <f>Gen!S30</f>
        <v>1844.6200000000001</v>
      </c>
      <c r="E25" s="182">
        <f>Gen!AJ30</f>
        <v>84.19</v>
      </c>
      <c r="F25" s="182">
        <f>Gen!AR30</f>
        <v>1928.8100000000002</v>
      </c>
      <c r="G25" s="185">
        <f>'Utility report '!AC25</f>
        <v>62</v>
      </c>
      <c r="H25" s="185">
        <f>'Utility report '!AE25</f>
        <v>57</v>
      </c>
      <c r="I25" s="412">
        <f>'Water-Meter'!E25</f>
        <v>79</v>
      </c>
      <c r="J25" s="187">
        <f>'Lpg (2)'!B29</f>
        <v>20</v>
      </c>
      <c r="K25" s="187">
        <f>'Lpg (2)'!C29</f>
        <v>85</v>
      </c>
      <c r="L25" s="187">
        <f>'Lpg (2)'!D29</f>
        <v>85</v>
      </c>
      <c r="M25" s="699">
        <f>'Lpg (2)'!G29</f>
        <v>107.14000000002562</v>
      </c>
      <c r="N25" s="180">
        <f t="shared" si="2"/>
        <v>2582.4679999999998</v>
      </c>
      <c r="O25" s="180">
        <f t="shared" si="2"/>
        <v>117.86599999999999</v>
      </c>
      <c r="P25" s="179" t="e">
        <f>'[1]Lpg (2)'!#REF!</f>
        <v>#REF!</v>
      </c>
      <c r="Q25" s="180" t="e">
        <f>'[1]Summery Report'!#REF!</f>
        <v>#REF!</v>
      </c>
      <c r="R25" s="180">
        <f t="shared" si="0"/>
        <v>286.94088888888888</v>
      </c>
      <c r="S25" s="706" t="e">
        <f t="shared" si="1"/>
        <v>#REF!</v>
      </c>
    </row>
    <row r="26" spans="1:19" ht="14.25">
      <c r="A26" s="705">
        <f>Gen!A31</f>
        <v>43790</v>
      </c>
      <c r="B26" s="6">
        <f>'Summery Report'!E25</f>
        <v>10</v>
      </c>
      <c r="C26" s="6">
        <f>Gen!T31</f>
        <v>4311</v>
      </c>
      <c r="D26" s="182">
        <f>Gen!S31</f>
        <v>1557.2</v>
      </c>
      <c r="E26" s="182">
        <f>Gen!AJ31</f>
        <v>38.159999999999997</v>
      </c>
      <c r="F26" s="182">
        <f>Gen!AR31</f>
        <v>1595.3600000000001</v>
      </c>
      <c r="G26" s="185">
        <f>'Utility report '!AC26</f>
        <v>108</v>
      </c>
      <c r="H26" s="185">
        <f>'Utility report '!AE26</f>
        <v>42</v>
      </c>
      <c r="I26" s="412">
        <f>'Water-Meter'!E26</f>
        <v>95</v>
      </c>
      <c r="J26" s="187">
        <f>'Lpg (2)'!B30</f>
        <v>18</v>
      </c>
      <c r="K26" s="187">
        <f>'Lpg (2)'!C30</f>
        <v>85</v>
      </c>
      <c r="L26" s="187">
        <f>'Lpg (2)'!D30</f>
        <v>85</v>
      </c>
      <c r="M26" s="699">
        <f>'Lpg (2)'!G30</f>
        <v>113.87199999995647</v>
      </c>
      <c r="N26" s="180">
        <f t="shared" si="2"/>
        <v>2180.08</v>
      </c>
      <c r="O26" s="180">
        <f t="shared" si="2"/>
        <v>53.423999999999992</v>
      </c>
      <c r="P26" s="179" t="e">
        <f>'[1]Lpg (2)'!#REF!</f>
        <v>#REF!</v>
      </c>
      <c r="Q26" s="180" t="e">
        <f>'[1]Summery Report'!#REF!</f>
        <v>#REF!</v>
      </c>
      <c r="R26" s="180">
        <f t="shared" si="0"/>
        <v>218.00799999999998</v>
      </c>
      <c r="S26" s="706" t="e">
        <f t="shared" si="1"/>
        <v>#REF!</v>
      </c>
    </row>
    <row r="27" spans="1:19" ht="14.25">
      <c r="A27" s="705">
        <f>Gen!A32</f>
        <v>43791</v>
      </c>
      <c r="B27" s="6">
        <f>'Summery Report'!E26</f>
        <v>11</v>
      </c>
      <c r="C27" s="6">
        <f>Gen!T32</f>
        <v>4323</v>
      </c>
      <c r="D27" s="182">
        <f>Gen!S32</f>
        <v>1822.8899999999999</v>
      </c>
      <c r="E27" s="182">
        <f>Gen!AJ32</f>
        <v>86.34</v>
      </c>
      <c r="F27" s="182">
        <f>Gen!AR32</f>
        <v>1909.2299999999998</v>
      </c>
      <c r="G27" s="185">
        <f>'Utility report '!AC27</f>
        <v>108</v>
      </c>
      <c r="H27" s="185">
        <f>'Utility report '!AE27</f>
        <v>30</v>
      </c>
      <c r="I27" s="412">
        <f>'Water-Meter'!E27</f>
        <v>95</v>
      </c>
      <c r="J27" s="187">
        <f>'Lpg (2)'!B31</f>
        <v>15</v>
      </c>
      <c r="K27" s="187">
        <f>'Lpg (2)'!C31</f>
        <v>85</v>
      </c>
      <c r="L27" s="187">
        <f>'Lpg (2)'!D31</f>
        <v>85</v>
      </c>
      <c r="M27" s="699">
        <f>'Lpg (2)'!G31</f>
        <v>110.52800000004355</v>
      </c>
      <c r="N27" s="180">
        <f t="shared" si="2"/>
        <v>2552.0459999999998</v>
      </c>
      <c r="O27" s="180">
        <f t="shared" si="2"/>
        <v>120.87599999999999</v>
      </c>
      <c r="P27" s="179" t="e">
        <f>'[1]Lpg (2)'!#REF!</f>
        <v>#REF!</v>
      </c>
      <c r="Q27" s="180" t="e">
        <f>'[1]Summery Report'!#REF!</f>
        <v>#REF!</v>
      </c>
      <c r="R27" s="180">
        <f t="shared" si="0"/>
        <v>232.00418181818179</v>
      </c>
      <c r="S27" s="706" t="e">
        <f t="shared" si="1"/>
        <v>#REF!</v>
      </c>
    </row>
    <row r="28" spans="1:19" ht="14.25">
      <c r="A28" s="705">
        <f>Gen!A33</f>
        <v>43792</v>
      </c>
      <c r="B28" s="6">
        <f>'Summery Report'!E27</f>
        <v>13</v>
      </c>
      <c r="C28" s="6">
        <f>Gen!T33</f>
        <v>0</v>
      </c>
      <c r="D28" s="182">
        <f>Gen!S33</f>
        <v>0</v>
      </c>
      <c r="E28" s="182">
        <f>Gen!AJ33</f>
        <v>0</v>
      </c>
      <c r="F28" s="182">
        <f>Gen!AR33</f>
        <v>0</v>
      </c>
      <c r="G28" s="185">
        <f>'Utility report '!AC28</f>
        <v>-17186</v>
      </c>
      <c r="H28" s="185">
        <f>'Utility report '!AE28</f>
        <v>-191657</v>
      </c>
      <c r="I28" s="412" t="str">
        <f>'Water-Meter'!E28</f>
        <v>0</v>
      </c>
      <c r="J28" s="187">
        <f>'Lpg (2)'!B32</f>
        <v>0</v>
      </c>
      <c r="K28" s="187">
        <f>'Lpg (2)'!C32</f>
        <v>0</v>
      </c>
      <c r="L28" s="187">
        <f>'Lpg (2)'!D32</f>
        <v>0</v>
      </c>
      <c r="M28" s="699">
        <f>'Lpg (2)'!G32</f>
        <v>-298772.32000000007</v>
      </c>
      <c r="N28" s="180">
        <f t="shared" si="2"/>
        <v>0</v>
      </c>
      <c r="O28" s="180">
        <f t="shared" si="2"/>
        <v>0</v>
      </c>
      <c r="P28" s="179" t="e">
        <f>'[1]Lpg (2)'!#REF!</f>
        <v>#REF!</v>
      </c>
      <c r="Q28" s="180" t="e">
        <f>'[1]Summery Report'!#REF!</f>
        <v>#REF!</v>
      </c>
      <c r="R28" s="180">
        <f t="shared" si="0"/>
        <v>0</v>
      </c>
      <c r="S28" s="706" t="e">
        <f t="shared" si="1"/>
        <v>#REF!</v>
      </c>
    </row>
    <row r="29" spans="1:19" ht="14.25">
      <c r="A29" s="705">
        <f>Gen!A34</f>
        <v>43793</v>
      </c>
      <c r="B29" s="6">
        <f>'Summery Report'!E28</f>
        <v>0</v>
      </c>
      <c r="C29" s="6">
        <f>Gen!T34</f>
        <v>0</v>
      </c>
      <c r="D29" s="182">
        <f>Gen!S34</f>
        <v>0</v>
      </c>
      <c r="E29" s="182">
        <f>Gen!AJ34</f>
        <v>0</v>
      </c>
      <c r="F29" s="182">
        <f>Gen!AR34</f>
        <v>0</v>
      </c>
      <c r="G29" s="185">
        <f>'Utility report '!AC29</f>
        <v>0</v>
      </c>
      <c r="H29" s="185">
        <f>'Utility report '!AE29</f>
        <v>0</v>
      </c>
      <c r="I29" s="412">
        <f>'Water-Meter'!E29</f>
        <v>0</v>
      </c>
      <c r="J29" s="187">
        <f>'Lpg (2)'!B33</f>
        <v>0</v>
      </c>
      <c r="K29" s="187">
        <f>'Lpg (2)'!C33</f>
        <v>0</v>
      </c>
      <c r="L29" s="187">
        <f>'Lpg (2)'!D33</f>
        <v>0</v>
      </c>
      <c r="M29" s="699">
        <f>'Lpg (2)'!G33</f>
        <v>0</v>
      </c>
      <c r="N29" s="180">
        <f t="shared" si="2"/>
        <v>0</v>
      </c>
      <c r="O29" s="180">
        <f t="shared" si="2"/>
        <v>0</v>
      </c>
      <c r="P29" s="179" t="e">
        <f>'[1]Lpg (2)'!#REF!</f>
        <v>#REF!</v>
      </c>
      <c r="Q29" s="180" t="e">
        <f>'[1]Summery Report'!#REF!</f>
        <v>#REF!</v>
      </c>
      <c r="R29" s="180" t="e">
        <f t="shared" si="0"/>
        <v>#DIV/0!</v>
      </c>
      <c r="S29" s="706" t="e">
        <f t="shared" si="1"/>
        <v>#REF!</v>
      </c>
    </row>
    <row r="30" spans="1:19" ht="14.25">
      <c r="A30" s="705">
        <f>Gen!A35</f>
        <v>43794</v>
      </c>
      <c r="B30" s="6">
        <f>'Summery Report'!E29</f>
        <v>0</v>
      </c>
      <c r="C30" s="6">
        <f>Gen!T35</f>
        <v>0</v>
      </c>
      <c r="D30" s="182">
        <f>Gen!S35</f>
        <v>0</v>
      </c>
      <c r="E30" s="182">
        <f>Gen!AJ35</f>
        <v>0</v>
      </c>
      <c r="F30" s="182">
        <f>Gen!AR35</f>
        <v>0</v>
      </c>
      <c r="G30" s="185">
        <f>'Utility report '!AC30</f>
        <v>0</v>
      </c>
      <c r="H30" s="185">
        <f>'Utility report '!AE30</f>
        <v>0</v>
      </c>
      <c r="I30" s="412">
        <f>'Water-Meter'!E30</f>
        <v>0</v>
      </c>
      <c r="J30" s="187">
        <f>'Lpg (2)'!B34</f>
        <v>0</v>
      </c>
      <c r="K30" s="187">
        <f>'Lpg (2)'!C34</f>
        <v>0</v>
      </c>
      <c r="L30" s="187">
        <f>'Lpg (2)'!D34</f>
        <v>0</v>
      </c>
      <c r="M30" s="699">
        <f>'Lpg (2)'!G34</f>
        <v>0</v>
      </c>
      <c r="N30" s="180">
        <f t="shared" si="2"/>
        <v>0</v>
      </c>
      <c r="O30" s="180">
        <f t="shared" si="2"/>
        <v>0</v>
      </c>
      <c r="P30" s="179" t="e">
        <f>'[1]Lpg (2)'!#REF!</f>
        <v>#REF!</v>
      </c>
      <c r="Q30" s="180" t="e">
        <f>'[1]Summery Report'!#REF!</f>
        <v>#REF!</v>
      </c>
      <c r="R30" s="180" t="e">
        <f t="shared" si="0"/>
        <v>#DIV/0!</v>
      </c>
      <c r="S30" s="706" t="e">
        <f t="shared" si="1"/>
        <v>#REF!</v>
      </c>
    </row>
    <row r="31" spans="1:19" ht="14.25">
      <c r="A31" s="705">
        <f>Gen!A36</f>
        <v>43795</v>
      </c>
      <c r="B31" s="6">
        <f>'Summery Report'!E30</f>
        <v>0</v>
      </c>
      <c r="C31" s="6">
        <f>Gen!T36</f>
        <v>0</v>
      </c>
      <c r="D31" s="182">
        <f>Gen!S36</f>
        <v>0</v>
      </c>
      <c r="E31" s="182">
        <f>Gen!AJ36</f>
        <v>0</v>
      </c>
      <c r="F31" s="182">
        <f>Gen!AR36</f>
        <v>0</v>
      </c>
      <c r="G31" s="185">
        <f>'Utility report '!AC31</f>
        <v>0</v>
      </c>
      <c r="H31" s="185">
        <f>'Utility report '!AE31</f>
        <v>0</v>
      </c>
      <c r="I31" s="412">
        <f>'Water-Meter'!E31</f>
        <v>0</v>
      </c>
      <c r="J31" s="187">
        <f>'Lpg (2)'!B35</f>
        <v>0</v>
      </c>
      <c r="K31" s="187">
        <f>'Lpg (2)'!C35</f>
        <v>0</v>
      </c>
      <c r="L31" s="187">
        <f>'Lpg (2)'!D35</f>
        <v>0</v>
      </c>
      <c r="M31" s="699">
        <f>'Lpg (2)'!G35</f>
        <v>0</v>
      </c>
      <c r="N31" s="180">
        <f t="shared" si="2"/>
        <v>0</v>
      </c>
      <c r="O31" s="180">
        <f t="shared" si="2"/>
        <v>0</v>
      </c>
      <c r="P31" s="179" t="e">
        <f>'[1]Lpg (2)'!#REF!</f>
        <v>#REF!</v>
      </c>
      <c r="Q31" s="180" t="e">
        <f>'[1]Summery Report'!#REF!</f>
        <v>#REF!</v>
      </c>
      <c r="R31" s="180" t="e">
        <f t="shared" si="0"/>
        <v>#DIV/0!</v>
      </c>
      <c r="S31" s="706" t="e">
        <f t="shared" si="1"/>
        <v>#REF!</v>
      </c>
    </row>
    <row r="32" spans="1:19" ht="14.25">
      <c r="A32" s="705">
        <f>Gen!A37</f>
        <v>43796</v>
      </c>
      <c r="B32" s="6">
        <f>'Summery Report'!E31</f>
        <v>0</v>
      </c>
      <c r="C32" s="6">
        <f>Gen!T37</f>
        <v>0</v>
      </c>
      <c r="D32" s="182">
        <f>Gen!S37</f>
        <v>0</v>
      </c>
      <c r="E32" s="182">
        <f>Gen!AJ37</f>
        <v>0</v>
      </c>
      <c r="F32" s="182">
        <f>Gen!AR37</f>
        <v>0</v>
      </c>
      <c r="G32" s="185">
        <f>'Utility report '!AC32</f>
        <v>0</v>
      </c>
      <c r="H32" s="185">
        <f>'Utility report '!AE32</f>
        <v>0</v>
      </c>
      <c r="I32" s="412">
        <f>'Water-Meter'!E32</f>
        <v>0</v>
      </c>
      <c r="J32" s="187">
        <f>'Lpg (2)'!B36</f>
        <v>0</v>
      </c>
      <c r="K32" s="187">
        <f>'Lpg (2)'!C36</f>
        <v>0</v>
      </c>
      <c r="L32" s="187">
        <f>'Lpg (2)'!D36</f>
        <v>0</v>
      </c>
      <c r="M32" s="699">
        <f>'Lpg (2)'!G36</f>
        <v>0</v>
      </c>
      <c r="N32" s="180">
        <f t="shared" si="2"/>
        <v>0</v>
      </c>
      <c r="O32" s="180">
        <f t="shared" si="2"/>
        <v>0</v>
      </c>
      <c r="P32" s="179" t="e">
        <f>'[1]Lpg (2)'!#REF!</f>
        <v>#REF!</v>
      </c>
      <c r="Q32" s="180" t="e">
        <f>'[1]Summery Report'!#REF!</f>
        <v>#REF!</v>
      </c>
      <c r="R32" s="180" t="e">
        <f t="shared" si="0"/>
        <v>#DIV/0!</v>
      </c>
      <c r="S32" s="706" t="e">
        <f t="shared" si="1"/>
        <v>#REF!</v>
      </c>
    </row>
    <row r="33" spans="1:20" ht="14.25">
      <c r="A33" s="705">
        <f>Gen!A38</f>
        <v>43797</v>
      </c>
      <c r="B33" s="6">
        <f>'Summery Report'!E32</f>
        <v>0</v>
      </c>
      <c r="C33" s="6">
        <f>Gen!T38</f>
        <v>0</v>
      </c>
      <c r="D33" s="182">
        <f>Gen!S38</f>
        <v>0</v>
      </c>
      <c r="E33" s="182">
        <f>Gen!AJ38</f>
        <v>0</v>
      </c>
      <c r="F33" s="182">
        <f>Gen!AR38</f>
        <v>0</v>
      </c>
      <c r="G33" s="185">
        <f>'Utility report '!AC33</f>
        <v>0</v>
      </c>
      <c r="H33" s="185">
        <f>'Utility report '!AE33</f>
        <v>0</v>
      </c>
      <c r="I33" s="412">
        <f>'Water-Meter'!E33</f>
        <v>0</v>
      </c>
      <c r="J33" s="187">
        <f>'Lpg (2)'!B37</f>
        <v>0</v>
      </c>
      <c r="K33" s="187">
        <f>'Lpg (2)'!C37</f>
        <v>0</v>
      </c>
      <c r="L33" s="187">
        <f>'Lpg (2)'!D37</f>
        <v>0</v>
      </c>
      <c r="M33" s="699">
        <f>'Lpg (2)'!G37</f>
        <v>0</v>
      </c>
      <c r="N33" s="180">
        <f t="shared" si="2"/>
        <v>0</v>
      </c>
      <c r="O33" s="180">
        <f t="shared" si="2"/>
        <v>0</v>
      </c>
      <c r="P33" s="179" t="e">
        <f>'[1]Lpg (2)'!#REF!</f>
        <v>#REF!</v>
      </c>
      <c r="Q33" s="180" t="e">
        <f>'[1]Summery Report'!#REF!</f>
        <v>#REF!</v>
      </c>
      <c r="R33" s="180" t="e">
        <f t="shared" si="0"/>
        <v>#DIV/0!</v>
      </c>
      <c r="S33" s="706" t="e">
        <f t="shared" si="1"/>
        <v>#REF!</v>
      </c>
      <c r="T33">
        <f>3124/13</f>
        <v>240.30769230769232</v>
      </c>
    </row>
    <row r="34" spans="1:20" ht="14.25">
      <c r="A34" s="705">
        <f>Gen!A39</f>
        <v>43798</v>
      </c>
      <c r="B34" s="6">
        <f>'Summery Report'!E33</f>
        <v>0</v>
      </c>
      <c r="C34" s="6">
        <f>Gen!T39</f>
        <v>0</v>
      </c>
      <c r="D34" s="182">
        <f>Gen!S39</f>
        <v>0</v>
      </c>
      <c r="E34" s="182">
        <f>Gen!AJ39</f>
        <v>0</v>
      </c>
      <c r="F34" s="182">
        <f>Gen!AR39</f>
        <v>0</v>
      </c>
      <c r="G34" s="185">
        <f>'Utility report '!AC34</f>
        <v>0</v>
      </c>
      <c r="H34" s="185">
        <f>'Utility report '!AE34</f>
        <v>0</v>
      </c>
      <c r="I34" s="412">
        <f>'Water-Meter'!E34</f>
        <v>0</v>
      </c>
      <c r="J34" s="187">
        <f>'Lpg (2)'!B38</f>
        <v>0</v>
      </c>
      <c r="K34" s="187">
        <f>'Lpg (2)'!C38</f>
        <v>0</v>
      </c>
      <c r="L34" s="187">
        <f>'Lpg (2)'!D38</f>
        <v>0</v>
      </c>
      <c r="M34" s="699">
        <f>'Lpg (2)'!G38</f>
        <v>0</v>
      </c>
      <c r="N34" s="180">
        <f t="shared" si="2"/>
        <v>0</v>
      </c>
      <c r="O34" s="180">
        <f t="shared" si="2"/>
        <v>0</v>
      </c>
      <c r="P34" s="179" t="e">
        <f>'[1]Lpg (2)'!#REF!</f>
        <v>#REF!</v>
      </c>
      <c r="Q34" s="180" t="e">
        <f>'[1]Summery Report'!#REF!</f>
        <v>#REF!</v>
      </c>
      <c r="R34" s="180" t="e">
        <f t="shared" si="0"/>
        <v>#DIV/0!</v>
      </c>
      <c r="S34" s="706" t="e">
        <f t="shared" si="1"/>
        <v>#REF!</v>
      </c>
    </row>
    <row r="35" spans="1:20" ht="14.25">
      <c r="A35" s="705">
        <f>Gen!A40</f>
        <v>43799</v>
      </c>
      <c r="B35" s="6">
        <f>'Summery Report'!E34</f>
        <v>0</v>
      </c>
      <c r="C35" s="6">
        <f>Gen!T40</f>
        <v>0</v>
      </c>
      <c r="D35" s="182">
        <f>Gen!S40</f>
        <v>0</v>
      </c>
      <c r="E35" s="182">
        <f>Gen!AJ40</f>
        <v>0</v>
      </c>
      <c r="F35" s="182">
        <f>Gen!AR40</f>
        <v>0</v>
      </c>
      <c r="G35" s="185">
        <f>'Utility report '!AC35</f>
        <v>0</v>
      </c>
      <c r="H35" s="185">
        <f>'Utility report '!AE35</f>
        <v>0</v>
      </c>
      <c r="I35" s="412">
        <f>'Water-Meter'!E35</f>
        <v>0</v>
      </c>
      <c r="J35" s="187">
        <f>'Lpg (2)'!B39</f>
        <v>0</v>
      </c>
      <c r="K35" s="187">
        <f>'Lpg (2)'!C39</f>
        <v>0</v>
      </c>
      <c r="L35" s="187">
        <f>'Lpg (2)'!D39</f>
        <v>0</v>
      </c>
      <c r="M35" s="699">
        <f>'Lpg (2)'!G39</f>
        <v>0</v>
      </c>
      <c r="N35" s="180">
        <f t="shared" si="2"/>
        <v>0</v>
      </c>
      <c r="O35" s="180">
        <f t="shared" si="2"/>
        <v>0</v>
      </c>
      <c r="P35" s="179" t="e">
        <f>'[1]Lpg (2)'!#REF!</f>
        <v>#REF!</v>
      </c>
      <c r="Q35" s="180" t="e">
        <f>'[1]Summery Report'!#REF!</f>
        <v>#REF!</v>
      </c>
      <c r="R35" s="180" t="e">
        <f t="shared" si="0"/>
        <v>#DIV/0!</v>
      </c>
      <c r="S35" s="706" t="e">
        <f t="shared" si="1"/>
        <v>#REF!</v>
      </c>
    </row>
    <row r="36" spans="1:20" ht="14.25">
      <c r="A36" s="705">
        <f>Gen!A41</f>
        <v>43800</v>
      </c>
      <c r="B36" s="6">
        <f>'Summery Report'!E35</f>
        <v>0</v>
      </c>
      <c r="C36" s="6">
        <f>Gen!T41</f>
        <v>0</v>
      </c>
      <c r="D36" s="182">
        <f>Gen!S41</f>
        <v>0</v>
      </c>
      <c r="E36" s="182">
        <f>Gen!AJ41</f>
        <v>0</v>
      </c>
      <c r="F36" s="182">
        <f>Gen!AR41</f>
        <v>0</v>
      </c>
      <c r="G36" s="185">
        <f>'Utility report '!AC36</f>
        <v>0</v>
      </c>
      <c r="H36" s="185">
        <f>'Utility report '!AE36</f>
        <v>0</v>
      </c>
      <c r="I36" s="412">
        <f>'Water-Meter'!E36</f>
        <v>0</v>
      </c>
      <c r="J36" s="187">
        <f>'Lpg (2)'!B40</f>
        <v>0</v>
      </c>
      <c r="K36" s="187">
        <f>'Lpg (2)'!C40</f>
        <v>0</v>
      </c>
      <c r="L36" s="187">
        <f>'Lpg (2)'!D40</f>
        <v>0</v>
      </c>
      <c r="M36" s="699">
        <f>'Lpg (2)'!G40</f>
        <v>0</v>
      </c>
      <c r="N36" s="180">
        <f t="shared" si="2"/>
        <v>0</v>
      </c>
      <c r="O36" s="180">
        <f t="shared" si="2"/>
        <v>0</v>
      </c>
      <c r="P36" s="179" t="e">
        <f>'[1]Lpg (2)'!#REF!</f>
        <v>#REF!</v>
      </c>
      <c r="Q36" s="180" t="e">
        <f>'[1]Summery Report'!#REF!</f>
        <v>#REF!</v>
      </c>
      <c r="R36" s="180" t="e">
        <f t="shared" si="0"/>
        <v>#DIV/0!</v>
      </c>
      <c r="S36" s="706" t="e">
        <f t="shared" si="1"/>
        <v>#REF!</v>
      </c>
    </row>
    <row r="37" spans="1:20" ht="14.25">
      <c r="A37" s="705" t="e">
        <f>[1]Gen!A42</f>
        <v>#REF!</v>
      </c>
      <c r="B37" s="6">
        <f>'Summery Report'!E36</f>
        <v>0</v>
      </c>
      <c r="C37" s="6">
        <f>Gen!T42</f>
        <v>0</v>
      </c>
      <c r="D37" s="182">
        <f>Gen!S42</f>
        <v>0</v>
      </c>
      <c r="E37" s="182">
        <f>Gen!AJ42</f>
        <v>0</v>
      </c>
      <c r="F37" s="182">
        <f>Gen!AR42</f>
        <v>0</v>
      </c>
      <c r="G37" s="185">
        <f>'Utility report '!AC37</f>
        <v>0</v>
      </c>
      <c r="H37" s="185">
        <f>'Utility report '!AE37</f>
        <v>0</v>
      </c>
      <c r="I37" s="412">
        <f>'Water-Meter'!E37</f>
        <v>0</v>
      </c>
      <c r="J37" s="187">
        <f>'Lpg (2)'!B41</f>
        <v>0</v>
      </c>
      <c r="K37" s="187">
        <f>'Lpg (2)'!C41</f>
        <v>0</v>
      </c>
      <c r="L37" s="187">
        <f>'Lpg (2)'!D41</f>
        <v>0</v>
      </c>
      <c r="M37" s="699">
        <f>'Lpg (2)'!G41</f>
        <v>0</v>
      </c>
      <c r="N37" s="6"/>
      <c r="O37" s="6"/>
      <c r="P37" s="6"/>
      <c r="Q37" s="180" t="e">
        <f>'[1]Summery Report'!#REF!</f>
        <v>#REF!</v>
      </c>
      <c r="R37" s="180"/>
      <c r="S37" s="706" t="e">
        <f t="shared" si="1"/>
        <v>#REF!</v>
      </c>
    </row>
    <row r="38" spans="1:20" ht="14.25">
      <c r="A38" s="70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07"/>
    </row>
    <row r="39" spans="1:20" ht="13.5" thickBot="1">
      <c r="A39" s="56" t="s">
        <v>13</v>
      </c>
      <c r="B39" s="708">
        <f>SUM(B7:B37)</f>
        <v>598</v>
      </c>
      <c r="C39" s="708">
        <f>SUM(C7:C35)</f>
        <v>113366</v>
      </c>
      <c r="D39" s="708">
        <f>SUM(D7:D35)</f>
        <v>45495.040000000008</v>
      </c>
      <c r="E39" s="708">
        <f t="shared" ref="E39:S39" si="3">SUM(E7:E35)</f>
        <v>3815.35</v>
      </c>
      <c r="F39" s="708">
        <f t="shared" si="3"/>
        <v>49310.39</v>
      </c>
      <c r="G39" s="708">
        <f t="shared" si="3"/>
        <v>-15208</v>
      </c>
      <c r="H39" s="708">
        <f t="shared" si="3"/>
        <v>-190855</v>
      </c>
      <c r="I39" s="708">
        <f t="shared" si="3"/>
        <v>2365</v>
      </c>
      <c r="J39" s="708">
        <f t="shared" si="3"/>
        <v>846</v>
      </c>
      <c r="K39" s="708">
        <f t="shared" si="3"/>
        <v>1785</v>
      </c>
      <c r="L39" s="708">
        <f t="shared" si="3"/>
        <v>1785</v>
      </c>
      <c r="M39" s="708">
        <f t="shared" si="3"/>
        <v>-296243.64000000007</v>
      </c>
      <c r="N39" s="708">
        <f t="shared" si="3"/>
        <v>63693.056000000004</v>
      </c>
      <c r="O39" s="708">
        <f t="shared" si="3"/>
        <v>5341.49</v>
      </c>
      <c r="P39" s="708" t="e">
        <f t="shared" si="3"/>
        <v>#REF!</v>
      </c>
      <c r="Q39" s="708" t="e">
        <f t="shared" si="3"/>
        <v>#REF!</v>
      </c>
      <c r="R39" s="708" t="e">
        <f t="shared" si="3"/>
        <v>#DIV/0!</v>
      </c>
      <c r="S39" s="709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7" zoomScale="85" zoomScalePageLayoutView="85" workbookViewId="0">
      <selection activeCell="AD29" sqref="AD2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0.28515625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59" t="s">
        <v>314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  <c r="AA1" s="760"/>
      <c r="AB1" s="760"/>
      <c r="AC1" s="760"/>
      <c r="AD1" s="760"/>
      <c r="AE1" s="760"/>
      <c r="AF1" s="760"/>
      <c r="AG1" s="760"/>
      <c r="AH1" s="760"/>
      <c r="AI1" s="760"/>
      <c r="AJ1" s="760"/>
      <c r="AK1" s="761"/>
    </row>
    <row r="2" spans="1:37" ht="61.5" customHeight="1" thickBot="1">
      <c r="A2" s="152" t="s">
        <v>100</v>
      </c>
      <c r="B2" s="762" t="s">
        <v>101</v>
      </c>
      <c r="C2" s="763"/>
      <c r="D2" s="764"/>
      <c r="E2" s="153"/>
      <c r="F2" s="153"/>
      <c r="G2" s="153"/>
      <c r="H2" s="150" t="s">
        <v>126</v>
      </c>
      <c r="I2" s="397" t="s">
        <v>102</v>
      </c>
      <c r="J2" s="767" t="s">
        <v>124</v>
      </c>
      <c r="K2" s="628"/>
      <c r="L2" s="769" t="s">
        <v>125</v>
      </c>
      <c r="M2" s="627" t="s">
        <v>103</v>
      </c>
      <c r="N2" s="767" t="s">
        <v>104</v>
      </c>
      <c r="O2" s="751" t="s">
        <v>105</v>
      </c>
      <c r="P2" s="752"/>
      <c r="Q2" s="752"/>
      <c r="R2" s="752"/>
      <c r="S2" s="752"/>
      <c r="T2" s="752"/>
      <c r="U2" s="752"/>
      <c r="V2" s="752"/>
      <c r="W2" s="752"/>
      <c r="X2" s="752"/>
      <c r="Y2" s="752"/>
      <c r="Z2" s="752"/>
      <c r="AA2" s="398" t="s">
        <v>106</v>
      </c>
      <c r="AB2" s="762" t="s">
        <v>166</v>
      </c>
      <c r="AC2" s="764"/>
      <c r="AD2" s="149">
        <v>0</v>
      </c>
      <c r="AE2" s="605"/>
      <c r="AF2" s="154" t="s">
        <v>107</v>
      </c>
      <c r="AG2" s="150" t="s">
        <v>108</v>
      </c>
      <c r="AH2" s="154" t="s">
        <v>109</v>
      </c>
      <c r="AI2" s="150" t="s">
        <v>110</v>
      </c>
      <c r="AJ2" s="151" t="s">
        <v>111</v>
      </c>
      <c r="AK2" s="150" t="s">
        <v>112</v>
      </c>
    </row>
    <row r="3" spans="1:37" ht="44.25" customHeight="1" thickBot="1">
      <c r="A3" s="157" t="s">
        <v>127</v>
      </c>
      <c r="B3" s="158">
        <v>1640</v>
      </c>
      <c r="C3" s="156" t="s">
        <v>128</v>
      </c>
      <c r="D3" s="158">
        <v>2175</v>
      </c>
      <c r="E3" s="159"/>
      <c r="F3" s="765">
        <f>SUM(D3/B3)</f>
        <v>1.3262195121951219</v>
      </c>
      <c r="G3" s="766"/>
      <c r="H3" s="133">
        <f>Gen!C11</f>
        <v>35194.410000000018</v>
      </c>
      <c r="I3" s="143"/>
      <c r="J3" s="767"/>
      <c r="K3" s="628" t="s">
        <v>167</v>
      </c>
      <c r="L3" s="769"/>
      <c r="M3" s="399" t="s">
        <v>113</v>
      </c>
      <c r="N3" s="767"/>
      <c r="O3" s="751" t="s">
        <v>114</v>
      </c>
      <c r="P3" s="752"/>
      <c r="Q3" s="752"/>
      <c r="R3" s="752"/>
      <c r="S3" s="753" t="s">
        <v>115</v>
      </c>
      <c r="T3" s="754"/>
      <c r="U3" s="754"/>
      <c r="V3" s="755"/>
      <c r="W3" s="756" t="s">
        <v>116</v>
      </c>
      <c r="X3" s="757"/>
      <c r="Y3" s="757"/>
      <c r="Z3" s="758"/>
      <c r="AA3" s="400" t="s">
        <v>117</v>
      </c>
      <c r="AB3" s="132" t="s">
        <v>113</v>
      </c>
      <c r="AC3" s="132" t="s">
        <v>118</v>
      </c>
      <c r="AD3" s="132">
        <v>0</v>
      </c>
      <c r="AE3" s="132" t="s">
        <v>118</v>
      </c>
      <c r="AF3" s="134" t="s">
        <v>119</v>
      </c>
      <c r="AG3" s="135" t="s">
        <v>119</v>
      </c>
      <c r="AH3" s="136" t="s">
        <v>119</v>
      </c>
      <c r="AI3" s="137" t="s">
        <v>120</v>
      </c>
      <c r="AJ3" s="138" t="s">
        <v>117</v>
      </c>
      <c r="AK3" s="139" t="s">
        <v>117</v>
      </c>
    </row>
    <row r="4" spans="1:37" ht="75.75" thickBot="1">
      <c r="A4" s="225"/>
      <c r="B4" s="226" t="s">
        <v>132</v>
      </c>
      <c r="C4" s="227" t="s">
        <v>1</v>
      </c>
      <c r="D4" s="228" t="s">
        <v>129</v>
      </c>
      <c r="E4" s="229"/>
      <c r="F4" s="229" t="s">
        <v>130</v>
      </c>
      <c r="G4" s="229" t="s">
        <v>131</v>
      </c>
      <c r="H4" s="230"/>
      <c r="I4" s="230"/>
      <c r="J4" s="767"/>
      <c r="K4" s="628"/>
      <c r="L4" s="769"/>
      <c r="M4" s="145"/>
      <c r="N4" s="768"/>
      <c r="O4" s="401" t="s">
        <v>175</v>
      </c>
      <c r="P4" s="402" t="s">
        <v>173</v>
      </c>
      <c r="Q4" s="402" t="s">
        <v>122</v>
      </c>
      <c r="R4" s="228" t="s">
        <v>174</v>
      </c>
      <c r="S4" s="401" t="s">
        <v>175</v>
      </c>
      <c r="T4" s="402" t="s">
        <v>173</v>
      </c>
      <c r="U4" s="402" t="s">
        <v>122</v>
      </c>
      <c r="V4" s="228" t="s">
        <v>174</v>
      </c>
      <c r="W4" s="401" t="s">
        <v>175</v>
      </c>
      <c r="X4" s="403"/>
      <c r="Y4" s="403" t="s">
        <v>122</v>
      </c>
      <c r="Z4" s="402" t="s">
        <v>174</v>
      </c>
      <c r="AA4" s="404" t="s">
        <v>121</v>
      </c>
      <c r="AB4" s="247"/>
      <c r="AC4" s="236" t="s">
        <v>121</v>
      </c>
      <c r="AD4" s="247"/>
      <c r="AE4" s="236" t="s">
        <v>121</v>
      </c>
      <c r="AF4" s="237">
        <v>2000</v>
      </c>
      <c r="AG4" s="238">
        <v>1000</v>
      </c>
      <c r="AH4" s="239">
        <v>1000</v>
      </c>
      <c r="AI4" s="240">
        <f>SUM([2]Sheet1!$AA$36)</f>
        <v>950</v>
      </c>
      <c r="AJ4" s="241" t="s">
        <v>10</v>
      </c>
      <c r="AK4" s="240" t="s">
        <v>121</v>
      </c>
    </row>
    <row r="5" spans="1:37" ht="16.5" thickBot="1">
      <c r="A5" s="231"/>
      <c r="B5" s="232"/>
      <c r="C5" s="233"/>
      <c r="D5" s="232"/>
      <c r="E5" s="232"/>
      <c r="F5" s="232"/>
      <c r="G5" s="232"/>
      <c r="H5" s="234"/>
      <c r="I5" s="234"/>
      <c r="J5" s="235"/>
      <c r="K5" s="235"/>
      <c r="L5" s="235"/>
      <c r="M5" s="145"/>
      <c r="N5" s="235"/>
      <c r="O5" s="235"/>
      <c r="P5" s="235">
        <v>18537</v>
      </c>
      <c r="Q5" s="77"/>
      <c r="R5" s="235"/>
      <c r="S5" s="235"/>
      <c r="T5" s="418">
        <v>15719</v>
      </c>
      <c r="U5" s="235"/>
      <c r="V5" s="235"/>
      <c r="W5" s="235">
        <v>5.4</v>
      </c>
      <c r="X5" s="576">
        <v>21237</v>
      </c>
      <c r="Y5" s="235"/>
      <c r="Z5" s="235"/>
      <c r="AA5" s="235"/>
      <c r="AB5" s="563">
        <v>15088</v>
      </c>
      <c r="AC5" s="140"/>
      <c r="AD5" s="235">
        <v>190819</v>
      </c>
      <c r="AE5" s="231"/>
      <c r="AF5" s="246">
        <v>0.85</v>
      </c>
      <c r="AG5" s="246">
        <v>0.85</v>
      </c>
      <c r="AH5" s="246">
        <v>0.85</v>
      </c>
      <c r="AI5" s="235"/>
      <c r="AJ5" s="235"/>
      <c r="AK5" s="235"/>
    </row>
    <row r="6" spans="1:37" ht="18" thickBot="1">
      <c r="A6" s="96">
        <f>Gen!A11</f>
        <v>43770</v>
      </c>
      <c r="B6" s="652">
        <f>'Summery Report'!E5</f>
        <v>66</v>
      </c>
      <c r="C6" s="160">
        <f>Gen!B11</f>
        <v>0.87</v>
      </c>
      <c r="D6" s="653">
        <f>'Summery Report'!E5</f>
        <v>66</v>
      </c>
      <c r="E6" s="654">
        <f>SUM(F3)</f>
        <v>1.3262195121951219</v>
      </c>
      <c r="F6" s="655">
        <f>SUM(J6*E6)/D6</f>
        <v>48.188386917960088</v>
      </c>
      <c r="G6" s="655">
        <f t="shared" ref="G6:G36" si="0">SUM(L6*E6)/D6</f>
        <v>49.575893847006654</v>
      </c>
      <c r="H6" s="654">
        <f>Gen!C11</f>
        <v>35194.410000000018</v>
      </c>
      <c r="I6" s="656">
        <f>Gen!E11</f>
        <v>18000</v>
      </c>
      <c r="J6" s="144">
        <f>Gen!S11</f>
        <v>2398.12</v>
      </c>
      <c r="K6" s="144">
        <f>Gen!AJ11</f>
        <v>69.050000000000011</v>
      </c>
      <c r="L6" s="144">
        <f t="shared" ref="L6:L37" si="1">SUM(J6:K6)</f>
        <v>2467.17</v>
      </c>
      <c r="M6" s="698">
        <f>'Water-Meter'!K46</f>
        <v>422.72167160195022</v>
      </c>
      <c r="N6" s="224">
        <f>'Water-Meter'!E6</f>
        <v>128</v>
      </c>
      <c r="O6" s="235"/>
      <c r="P6" s="235">
        <v>18537</v>
      </c>
      <c r="Q6" s="657">
        <f t="shared" ref="Q6:Q36" si="2">SUM(P6-P5)</f>
        <v>0</v>
      </c>
      <c r="R6" s="658">
        <f>SUM(Q6*O6)</f>
        <v>0</v>
      </c>
      <c r="S6" s="235"/>
      <c r="T6" s="418">
        <v>15719</v>
      </c>
      <c r="U6" s="657">
        <f>T6-T5</f>
        <v>0</v>
      </c>
      <c r="V6" s="659" t="s">
        <v>250</v>
      </c>
      <c r="W6" s="235"/>
      <c r="X6" s="576">
        <v>21261</v>
      </c>
      <c r="Y6" s="657">
        <f>X6-X5</f>
        <v>24</v>
      </c>
      <c r="Z6" s="657">
        <f t="shared" ref="Z6:AA6" si="3">Y6-Y5</f>
        <v>24</v>
      </c>
      <c r="AA6" s="657">
        <f t="shared" si="3"/>
        <v>24</v>
      </c>
      <c r="AB6" s="563">
        <v>15208</v>
      </c>
      <c r="AC6" s="140">
        <f>AB6-AB5</f>
        <v>120</v>
      </c>
      <c r="AD6" s="235">
        <v>190855</v>
      </c>
      <c r="AE6" s="242">
        <f>AD6-AD5</f>
        <v>36</v>
      </c>
      <c r="AF6" s="370">
        <f>'Lpg (2)'!B10*2000/85</f>
        <v>1717.6470588235295</v>
      </c>
      <c r="AG6" s="371">
        <f>'Lpg (2)'!C10*1000/85</f>
        <v>1000</v>
      </c>
      <c r="AH6" s="372">
        <f>'Lpg (2)'!D10*1000/85</f>
        <v>1000</v>
      </c>
      <c r="AI6" s="660">
        <f>SUM(AF6*2000)+(AG6*1000)+(AH6*1000)</f>
        <v>5435294.1176470593</v>
      </c>
      <c r="AJ6" s="661">
        <f t="shared" ref="AJ6:AJ36" si="4">SUM(AI5-AI6)</f>
        <v>-5435294.1176470593</v>
      </c>
      <c r="AK6" s="243"/>
    </row>
    <row r="7" spans="1:37" ht="18" thickBot="1">
      <c r="A7" s="96">
        <f>Gen!A12</f>
        <v>43771</v>
      </c>
      <c r="B7" s="652">
        <f>'Summery Report'!E6</f>
        <v>58</v>
      </c>
      <c r="C7" s="160">
        <f>Gen!B12</f>
        <v>0.76600000000000001</v>
      </c>
      <c r="D7" s="653">
        <f>'Summery Report'!E6</f>
        <v>58</v>
      </c>
      <c r="E7" s="654">
        <f>SUM(E6)</f>
        <v>1.3262195121951219</v>
      </c>
      <c r="F7" s="655">
        <f>SUM(J7*E7)/D7</f>
        <v>57.223399390243905</v>
      </c>
      <c r="G7" s="655">
        <f t="shared" si="0"/>
        <v>72.3045731707317</v>
      </c>
      <c r="H7" s="654">
        <f>Gen!C12</f>
        <v>50727.24000000002</v>
      </c>
      <c r="I7" s="656">
        <f>Gen!E12</f>
        <v>0</v>
      </c>
      <c r="J7" s="144">
        <f>Gen!S12</f>
        <v>2502.5700000000002</v>
      </c>
      <c r="K7" s="144">
        <f>Gen!AJ12</f>
        <v>659.55</v>
      </c>
      <c r="L7" s="144">
        <f t="shared" si="1"/>
        <v>3162.12</v>
      </c>
      <c r="M7" s="698">
        <f>'Water-Meter'!K47</f>
        <v>391.26405480193733</v>
      </c>
      <c r="N7" s="224">
        <f>'Water-Meter'!E7</f>
        <v>139</v>
      </c>
      <c r="O7" s="235"/>
      <c r="P7" s="235">
        <v>18537</v>
      </c>
      <c r="Q7" s="657">
        <f t="shared" si="2"/>
        <v>0</v>
      </c>
      <c r="R7" s="658">
        <f t="shared" ref="R7:R36" si="5">SUM(Q7*O7)</f>
        <v>0</v>
      </c>
      <c r="S7" s="235"/>
      <c r="T7" s="418">
        <v>15719</v>
      </c>
      <c r="U7" s="657">
        <f t="shared" ref="U7:U36" si="6">T7-T6</f>
        <v>0</v>
      </c>
      <c r="V7" s="659">
        <f t="shared" ref="V7:V9" si="7">SUM(U7*S7)</f>
        <v>0</v>
      </c>
      <c r="W7" s="235"/>
      <c r="X7" s="576">
        <v>21284</v>
      </c>
      <c r="Y7" s="657">
        <f t="shared" ref="Y7:Y36" si="8">X7-X6</f>
        <v>23</v>
      </c>
      <c r="Z7" s="659">
        <f t="shared" ref="Z7:Z36" si="9">SUM(Y7*W7)</f>
        <v>0</v>
      </c>
      <c r="AA7" s="659">
        <f t="shared" ref="AA7:AA36" si="10">SUM(Z7*X9)</f>
        <v>0</v>
      </c>
      <c r="AB7" s="563">
        <v>15328</v>
      </c>
      <c r="AC7" s="140">
        <f t="shared" ref="AC7:AC27" si="11">AB7-AB6</f>
        <v>120</v>
      </c>
      <c r="AD7" s="235">
        <v>190885</v>
      </c>
      <c r="AE7" s="242">
        <f>AD7-AD6</f>
        <v>30</v>
      </c>
      <c r="AF7" s="370">
        <f>'Lpg (2)'!B11*2000/85</f>
        <v>1647.0588235294117</v>
      </c>
      <c r="AG7" s="371">
        <f>'Lpg (2)'!C11*1000/85</f>
        <v>1000</v>
      </c>
      <c r="AH7" s="372">
        <f>'Lpg (2)'!D11*1000/85</f>
        <v>1000</v>
      </c>
      <c r="AI7" s="662">
        <f t="shared" ref="AI7:AI14" si="12">SUM(AF6*2000)+(AG7*1000)+(AH7*1000)</f>
        <v>5435294.1176470593</v>
      </c>
      <c r="AJ7" s="661">
        <f t="shared" si="4"/>
        <v>0</v>
      </c>
      <c r="AK7" s="146"/>
    </row>
    <row r="8" spans="1:37" ht="18" thickBot="1">
      <c r="A8" s="96">
        <f>Gen!A13</f>
        <v>43772</v>
      </c>
      <c r="B8" s="652">
        <f>'Summery Report'!E7</f>
        <v>9</v>
      </c>
      <c r="C8" s="160">
        <f>Gen!B13</f>
        <v>0.11</v>
      </c>
      <c r="D8" s="653">
        <f>'Summery Report'!E7</f>
        <v>9</v>
      </c>
      <c r="E8" s="654">
        <f t="shared" ref="E8:E36" si="13">SUM(E7)</f>
        <v>1.3262195121951219</v>
      </c>
      <c r="F8" s="655">
        <f t="shared" ref="F8:F36" si="14">SUM(J8*E8)/D8</f>
        <v>307.51051829268295</v>
      </c>
      <c r="G8" s="655">
        <f t="shared" si="0"/>
        <v>346.04456300813007</v>
      </c>
      <c r="H8" s="654">
        <f>Gen!C13</f>
        <v>47565.120000000017</v>
      </c>
      <c r="I8" s="656">
        <f>Gen!E13</f>
        <v>0</v>
      </c>
      <c r="J8" s="144">
        <f>Gen!S13</f>
        <v>2086.83</v>
      </c>
      <c r="K8" s="144">
        <f>Gen!AJ13</f>
        <v>261.5</v>
      </c>
      <c r="L8" s="144">
        <f t="shared" si="1"/>
        <v>2348.33</v>
      </c>
      <c r="M8" s="698">
        <f>'Water-Meter'!K48</f>
        <v>341.78089826608209</v>
      </c>
      <c r="N8" s="224">
        <f>'Water-Meter'!E8</f>
        <v>132</v>
      </c>
      <c r="O8" s="235"/>
      <c r="P8" s="235">
        <v>18537</v>
      </c>
      <c r="Q8" s="657">
        <f t="shared" si="2"/>
        <v>0</v>
      </c>
      <c r="R8" s="658">
        <f t="shared" si="5"/>
        <v>0</v>
      </c>
      <c r="S8" s="235"/>
      <c r="T8" s="418">
        <v>15719</v>
      </c>
      <c r="U8" s="657">
        <f t="shared" si="6"/>
        <v>0</v>
      </c>
      <c r="V8" s="659">
        <f t="shared" si="7"/>
        <v>0</v>
      </c>
      <c r="W8" s="235"/>
      <c r="X8" s="576">
        <v>21287</v>
      </c>
      <c r="Y8" s="657">
        <f t="shared" si="8"/>
        <v>3</v>
      </c>
      <c r="Z8" s="659">
        <f t="shared" si="9"/>
        <v>0</v>
      </c>
      <c r="AA8" s="659">
        <f t="shared" si="10"/>
        <v>0</v>
      </c>
      <c r="AB8" s="563">
        <v>15453</v>
      </c>
      <c r="AC8" s="140">
        <f t="shared" si="11"/>
        <v>125</v>
      </c>
      <c r="AD8" s="235">
        <v>190923</v>
      </c>
      <c r="AE8" s="242">
        <f t="shared" ref="AE8:AE37" si="15">AD8-AD7</f>
        <v>38</v>
      </c>
      <c r="AF8" s="370">
        <f>'Lpg (2)'!B12*2000/85</f>
        <v>1552.9411764705883</v>
      </c>
      <c r="AG8" s="371">
        <f>'Lpg (2)'!C12*1000/85</f>
        <v>1000</v>
      </c>
      <c r="AH8" s="372">
        <f>'Lpg (2)'!D12*1000/85</f>
        <v>1000</v>
      </c>
      <c r="AI8" s="662">
        <f t="shared" si="12"/>
        <v>5294117.6470588241</v>
      </c>
      <c r="AJ8" s="661">
        <f t="shared" si="4"/>
        <v>141176.47058823518</v>
      </c>
      <c r="AK8" s="146"/>
    </row>
    <row r="9" spans="1:37" ht="18" thickBot="1">
      <c r="A9" s="96">
        <f>Gen!A14</f>
        <v>43773</v>
      </c>
      <c r="B9" s="652">
        <f>'Summery Report'!E8</f>
        <v>10</v>
      </c>
      <c r="C9" s="160">
        <f>Gen!B14</f>
        <v>0.13</v>
      </c>
      <c r="D9" s="653">
        <f>'Summery Report'!E8</f>
        <v>10</v>
      </c>
      <c r="E9" s="654">
        <f t="shared" si="13"/>
        <v>1.3262195121951219</v>
      </c>
      <c r="F9" s="655">
        <f t="shared" si="14"/>
        <v>243.25650914634147</v>
      </c>
      <c r="G9" s="655">
        <f t="shared" si="0"/>
        <v>245.56280487804878</v>
      </c>
      <c r="H9" s="654">
        <f>Gen!C14</f>
        <v>45216.790000000015</v>
      </c>
      <c r="I9" s="656">
        <f>Gen!E14</f>
        <v>0</v>
      </c>
      <c r="J9" s="144">
        <f>Gen!S14</f>
        <v>1834.21</v>
      </c>
      <c r="K9" s="144">
        <f>Gen!AJ14</f>
        <v>17.39</v>
      </c>
      <c r="L9" s="144">
        <f t="shared" si="1"/>
        <v>1851.6000000000001</v>
      </c>
      <c r="M9" s="698">
        <f>'Water-Meter'!K49</f>
        <v>436.21568347331311</v>
      </c>
      <c r="N9" s="224">
        <f>'Water-Meter'!E9</f>
        <v>100</v>
      </c>
      <c r="O9" s="235"/>
      <c r="P9" s="235">
        <v>18537</v>
      </c>
      <c r="Q9" s="657">
        <f t="shared" si="2"/>
        <v>0</v>
      </c>
      <c r="R9" s="658">
        <f t="shared" si="5"/>
        <v>0</v>
      </c>
      <c r="S9" s="235"/>
      <c r="T9" s="418">
        <v>15719</v>
      </c>
      <c r="U9" s="657">
        <f t="shared" si="6"/>
        <v>0</v>
      </c>
      <c r="V9" s="659">
        <f t="shared" si="7"/>
        <v>0</v>
      </c>
      <c r="W9" s="235"/>
      <c r="X9" s="576">
        <v>21287</v>
      </c>
      <c r="Y9" s="657">
        <f t="shared" si="8"/>
        <v>0</v>
      </c>
      <c r="Z9" s="659">
        <f t="shared" si="9"/>
        <v>0</v>
      </c>
      <c r="AA9" s="659">
        <f t="shared" si="10"/>
        <v>0</v>
      </c>
      <c r="AB9" s="563">
        <v>15485</v>
      </c>
      <c r="AC9" s="140">
        <f t="shared" si="11"/>
        <v>32</v>
      </c>
      <c r="AD9" s="235">
        <v>190963</v>
      </c>
      <c r="AE9" s="242">
        <f t="shared" si="15"/>
        <v>40</v>
      </c>
      <c r="AF9" s="370">
        <f>'Lpg (2)'!B13*2000/85</f>
        <v>1458.8235294117646</v>
      </c>
      <c r="AG9" s="371">
        <f>'Lpg (2)'!C13*1000/85</f>
        <v>1000</v>
      </c>
      <c r="AH9" s="372">
        <f>'Lpg (2)'!D13*1000/85</f>
        <v>1000</v>
      </c>
      <c r="AI9" s="662">
        <f t="shared" si="12"/>
        <v>5105882.3529411759</v>
      </c>
      <c r="AJ9" s="661">
        <f t="shared" si="4"/>
        <v>188235.29411764815</v>
      </c>
      <c r="AK9" s="146"/>
    </row>
    <row r="10" spans="1:37" ht="18" thickBot="1">
      <c r="A10" s="96">
        <f>Gen!A15</f>
        <v>43774</v>
      </c>
      <c r="B10" s="652">
        <f>'Summery Report'!E9</f>
        <v>25</v>
      </c>
      <c r="C10" s="160">
        <f>Gen!B15</f>
        <v>0.50600000000000001</v>
      </c>
      <c r="D10" s="653">
        <f>'Summery Report'!E9</f>
        <v>25</v>
      </c>
      <c r="E10" s="654">
        <f t="shared" si="13"/>
        <v>1.3262195121951219</v>
      </c>
      <c r="F10" s="655">
        <f t="shared" si="14"/>
        <v>112.34140243902436</v>
      </c>
      <c r="G10" s="655">
        <f t="shared" si="0"/>
        <v>113.34614634146341</v>
      </c>
      <c r="H10" s="654">
        <f>Gen!C15</f>
        <v>43365.190000000017</v>
      </c>
      <c r="I10" s="656">
        <f>Gen!E15</f>
        <v>0</v>
      </c>
      <c r="J10" s="144">
        <f>Gen!S15</f>
        <v>2117.6999999999998</v>
      </c>
      <c r="K10" s="144">
        <f>Gen!AJ15</f>
        <v>18.940000000000001</v>
      </c>
      <c r="L10" s="144">
        <f t="shared" si="1"/>
        <v>2136.64</v>
      </c>
      <c r="M10" s="698">
        <f>'Water-Meter'!K50</f>
        <v>453.26024335849058</v>
      </c>
      <c r="N10" s="224">
        <f>'Water-Meter'!E10</f>
        <v>119</v>
      </c>
      <c r="O10" s="235"/>
      <c r="P10" s="235">
        <v>18537</v>
      </c>
      <c r="Q10" s="657">
        <f t="shared" si="2"/>
        <v>0</v>
      </c>
      <c r="R10" s="658">
        <f t="shared" si="5"/>
        <v>0</v>
      </c>
      <c r="S10" s="235"/>
      <c r="T10" s="418">
        <v>15719</v>
      </c>
      <c r="U10" s="657">
        <f t="shared" si="6"/>
        <v>0</v>
      </c>
      <c r="V10" s="659">
        <f t="shared" ref="V10:V16" si="16">SUM(U10*S10)</f>
        <v>0</v>
      </c>
      <c r="W10" s="235"/>
      <c r="X10" s="576">
        <v>21287</v>
      </c>
      <c r="Y10" s="657">
        <f t="shared" si="8"/>
        <v>0</v>
      </c>
      <c r="Z10" s="659">
        <f t="shared" si="9"/>
        <v>0</v>
      </c>
      <c r="AA10" s="659">
        <f t="shared" si="10"/>
        <v>0</v>
      </c>
      <c r="AB10" s="563">
        <v>15485</v>
      </c>
      <c r="AC10" s="140">
        <f t="shared" si="11"/>
        <v>0</v>
      </c>
      <c r="AD10" s="235">
        <v>191004</v>
      </c>
      <c r="AE10" s="242">
        <f t="shared" si="15"/>
        <v>41</v>
      </c>
      <c r="AF10" s="370">
        <f>'Lpg (2)'!B14*2000/85</f>
        <v>1411.7647058823529</v>
      </c>
      <c r="AG10" s="371">
        <f>'Lpg (2)'!C14*1000/85</f>
        <v>1000</v>
      </c>
      <c r="AH10" s="372">
        <f>'Lpg (2)'!D14*1000/85</f>
        <v>1000</v>
      </c>
      <c r="AI10" s="662">
        <f t="shared" si="12"/>
        <v>4917647.0588235296</v>
      </c>
      <c r="AJ10" s="661">
        <f t="shared" si="4"/>
        <v>188235.29411764629</v>
      </c>
      <c r="AK10" s="146"/>
    </row>
    <row r="11" spans="1:37" ht="18" thickBot="1">
      <c r="A11" s="96">
        <f>Gen!A16</f>
        <v>43775</v>
      </c>
      <c r="B11" s="652">
        <f>'Summery Report'!E10</f>
        <v>24</v>
      </c>
      <c r="C11" s="160">
        <f>Gen!B16</f>
        <v>0.312</v>
      </c>
      <c r="D11" s="653">
        <f>'Summery Report'!E10</f>
        <v>24</v>
      </c>
      <c r="E11" s="654">
        <f t="shared" si="13"/>
        <v>1.3262195121951219</v>
      </c>
      <c r="F11" s="655">
        <f t="shared" si="14"/>
        <v>134.5963605182927</v>
      </c>
      <c r="G11" s="655">
        <f t="shared" si="0"/>
        <v>142.46139481707317</v>
      </c>
      <c r="H11" s="654">
        <f>Gen!C16</f>
        <v>41228.550000000017</v>
      </c>
      <c r="I11" s="656">
        <f>Gen!E16</f>
        <v>0</v>
      </c>
      <c r="J11" s="144">
        <f>Gen!S16</f>
        <v>2435.73</v>
      </c>
      <c r="K11" s="144">
        <f>Gen!AJ16</f>
        <v>142.32999999999998</v>
      </c>
      <c r="L11" s="144">
        <f t="shared" si="1"/>
        <v>2578.06</v>
      </c>
      <c r="M11" s="698">
        <f>'Water-Meter'!K51</f>
        <v>447.32464853128295</v>
      </c>
      <c r="N11" s="224">
        <f>'Water-Meter'!E11</f>
        <v>110</v>
      </c>
      <c r="O11" s="235"/>
      <c r="P11" s="235">
        <v>18537</v>
      </c>
      <c r="Q11" s="657">
        <f t="shared" si="2"/>
        <v>0</v>
      </c>
      <c r="R11" s="658">
        <f t="shared" si="5"/>
        <v>0</v>
      </c>
      <c r="S11" s="235"/>
      <c r="T11" s="418">
        <v>15719</v>
      </c>
      <c r="U11" s="657">
        <f t="shared" si="6"/>
        <v>0</v>
      </c>
      <c r="V11" s="659">
        <f t="shared" si="16"/>
        <v>0</v>
      </c>
      <c r="W11" s="235">
        <v>5</v>
      </c>
      <c r="X11" s="576">
        <v>21339</v>
      </c>
      <c r="Y11" s="657">
        <f t="shared" si="8"/>
        <v>52</v>
      </c>
      <c r="Z11" s="659">
        <f t="shared" si="9"/>
        <v>260</v>
      </c>
      <c r="AA11" s="659">
        <f t="shared" si="10"/>
        <v>5560620</v>
      </c>
      <c r="AB11" s="563">
        <v>15592</v>
      </c>
      <c r="AC11" s="140">
        <f t="shared" si="11"/>
        <v>107</v>
      </c>
      <c r="AD11" s="235">
        <v>191043</v>
      </c>
      <c r="AE11" s="242">
        <f t="shared" si="15"/>
        <v>39</v>
      </c>
      <c r="AF11" s="370">
        <f>'Lpg (2)'!B15*2000/85</f>
        <v>1317.6470588235295</v>
      </c>
      <c r="AG11" s="371">
        <f>'Lpg (2)'!C15*1000/85</f>
        <v>1000</v>
      </c>
      <c r="AH11" s="372">
        <f>'Lpg (2)'!D15*1000/85</f>
        <v>1000</v>
      </c>
      <c r="AI11" s="662">
        <f t="shared" si="12"/>
        <v>4823529.4117647056</v>
      </c>
      <c r="AJ11" s="661">
        <f t="shared" si="4"/>
        <v>94117.647058824077</v>
      </c>
      <c r="AK11" s="146"/>
    </row>
    <row r="12" spans="1:37" ht="18" thickBot="1">
      <c r="A12" s="96">
        <f>Gen!A17</f>
        <v>43776</v>
      </c>
      <c r="B12" s="652">
        <f>'Summery Report'!E11</f>
        <v>17</v>
      </c>
      <c r="C12" s="160">
        <f>Gen!B17</f>
        <v>0.19500000000000001</v>
      </c>
      <c r="D12" s="653">
        <f>'Summery Report'!E11</f>
        <v>17</v>
      </c>
      <c r="E12" s="654">
        <f t="shared" si="13"/>
        <v>1.3262195121951219</v>
      </c>
      <c r="F12" s="655">
        <f t="shared" si="14"/>
        <v>173.96567431850789</v>
      </c>
      <c r="G12" s="655">
        <f t="shared" si="0"/>
        <v>192.79175035868008</v>
      </c>
      <c r="H12" s="654">
        <f>Gen!C17</f>
        <v>38650.49000000002</v>
      </c>
      <c r="I12" s="656">
        <f>Gen!E17</f>
        <v>0</v>
      </c>
      <c r="J12" s="144">
        <f>Gen!S17</f>
        <v>2229.96</v>
      </c>
      <c r="K12" s="144">
        <f>Gen!AJ17</f>
        <v>241.32</v>
      </c>
      <c r="L12" s="144">
        <f t="shared" si="1"/>
        <v>2471.2800000000002</v>
      </c>
      <c r="M12" s="698">
        <f>'Water-Meter'!K52</f>
        <v>455.82345716105294</v>
      </c>
      <c r="N12" s="224">
        <f>'Water-Meter'!E12</f>
        <v>95</v>
      </c>
      <c r="O12" s="235"/>
      <c r="P12" s="235">
        <v>18537</v>
      </c>
      <c r="Q12" s="657">
        <f t="shared" si="2"/>
        <v>0</v>
      </c>
      <c r="R12" s="658">
        <f t="shared" si="5"/>
        <v>0</v>
      </c>
      <c r="S12" s="235"/>
      <c r="T12" s="418">
        <v>15719</v>
      </c>
      <c r="U12" s="657">
        <f t="shared" si="6"/>
        <v>0</v>
      </c>
      <c r="V12" s="659">
        <f t="shared" si="16"/>
        <v>0</v>
      </c>
      <c r="W12" s="235">
        <v>5</v>
      </c>
      <c r="X12" s="576">
        <v>21363</v>
      </c>
      <c r="Y12" s="657">
        <f t="shared" si="8"/>
        <v>24</v>
      </c>
      <c r="Z12" s="659">
        <f t="shared" si="9"/>
        <v>120</v>
      </c>
      <c r="AA12" s="659">
        <f t="shared" si="10"/>
        <v>2569320</v>
      </c>
      <c r="AB12" s="563">
        <v>15704</v>
      </c>
      <c r="AC12" s="140">
        <f t="shared" si="11"/>
        <v>112</v>
      </c>
      <c r="AD12" s="235">
        <v>191073</v>
      </c>
      <c r="AE12" s="242">
        <f t="shared" si="15"/>
        <v>30</v>
      </c>
      <c r="AF12" s="370">
        <f>'Lpg (2)'!B16*2000/85</f>
        <v>1270.5882352941176</v>
      </c>
      <c r="AG12" s="371">
        <f>'Lpg (2)'!C16*1000/85</f>
        <v>1000</v>
      </c>
      <c r="AH12" s="372">
        <f>'Lpg (2)'!D16*1000/85</f>
        <v>1000</v>
      </c>
      <c r="AI12" s="662">
        <f t="shared" si="12"/>
        <v>4635294.1176470593</v>
      </c>
      <c r="AJ12" s="661">
        <f t="shared" si="4"/>
        <v>188235.29411764629</v>
      </c>
      <c r="AK12" s="146"/>
    </row>
    <row r="13" spans="1:37" ht="18" thickBot="1">
      <c r="A13" s="96">
        <f>Gen!A18</f>
        <v>43777</v>
      </c>
      <c r="B13" s="652">
        <f>'Summery Report'!E12</f>
        <v>13</v>
      </c>
      <c r="C13" s="160">
        <f>Gen!B18</f>
        <v>0.16900000000000001</v>
      </c>
      <c r="D13" s="653">
        <f>'Summery Report'!E12</f>
        <v>13</v>
      </c>
      <c r="E13" s="654">
        <f t="shared" si="13"/>
        <v>1.3262195121951219</v>
      </c>
      <c r="F13" s="655">
        <f t="shared" si="14"/>
        <v>214.28136726078796</v>
      </c>
      <c r="G13" s="655">
        <f t="shared" si="0"/>
        <v>230.50715290806752</v>
      </c>
      <c r="H13" s="654">
        <f>Gen!C18</f>
        <v>51179.210000000021</v>
      </c>
      <c r="I13" s="656">
        <f>Gen!E18</f>
        <v>15000</v>
      </c>
      <c r="J13" s="144">
        <f>Gen!S18</f>
        <v>2100.4499999999998</v>
      </c>
      <c r="K13" s="144">
        <f>Gen!AJ18</f>
        <v>159.05000000000001</v>
      </c>
      <c r="L13" s="144">
        <f t="shared" si="1"/>
        <v>2259.5</v>
      </c>
      <c r="M13" s="698">
        <f>'Water-Meter'!K53</f>
        <v>434.47053358132973</v>
      </c>
      <c r="N13" s="224">
        <f>'Water-Meter'!E13</f>
        <v>120</v>
      </c>
      <c r="O13" s="235"/>
      <c r="P13" s="235">
        <v>18537</v>
      </c>
      <c r="Q13" s="657">
        <f t="shared" si="2"/>
        <v>0</v>
      </c>
      <c r="R13" s="658">
        <f t="shared" si="5"/>
        <v>0</v>
      </c>
      <c r="S13" s="235"/>
      <c r="T13" s="418">
        <v>15719</v>
      </c>
      <c r="U13" s="657">
        <f t="shared" si="6"/>
        <v>0</v>
      </c>
      <c r="V13" s="659">
        <f t="shared" si="16"/>
        <v>0</v>
      </c>
      <c r="W13" s="235">
        <v>5</v>
      </c>
      <c r="X13" s="576">
        <v>21387</v>
      </c>
      <c r="Y13" s="657">
        <f t="shared" si="8"/>
        <v>24</v>
      </c>
      <c r="Z13" s="659">
        <f t="shared" si="9"/>
        <v>120</v>
      </c>
      <c r="AA13" s="659">
        <f t="shared" si="10"/>
        <v>2571360</v>
      </c>
      <c r="AB13" s="563">
        <v>15813</v>
      </c>
      <c r="AC13" s="140">
        <f t="shared" si="11"/>
        <v>109</v>
      </c>
      <c r="AD13" s="235">
        <v>191125</v>
      </c>
      <c r="AE13" s="242">
        <f t="shared" si="15"/>
        <v>52</v>
      </c>
      <c r="AF13" s="370">
        <f>'Lpg (2)'!B17*2000/85</f>
        <v>1176.4705882352941</v>
      </c>
      <c r="AG13" s="371">
        <f>'Lpg (2)'!C17*1000/85</f>
        <v>1000</v>
      </c>
      <c r="AH13" s="372">
        <f>'Lpg (2)'!D17*1000/85</f>
        <v>1000</v>
      </c>
      <c r="AI13" s="662">
        <f t="shared" si="12"/>
        <v>4541176.4705882352</v>
      </c>
      <c r="AJ13" s="661">
        <f t="shared" si="4"/>
        <v>94117.647058824077</v>
      </c>
      <c r="AK13" s="147"/>
    </row>
    <row r="14" spans="1:37" ht="18" thickBot="1">
      <c r="A14" s="96">
        <f>Gen!A19</f>
        <v>43778</v>
      </c>
      <c r="B14" s="652">
        <f>'Summery Report'!E13</f>
        <v>13</v>
      </c>
      <c r="C14" s="160">
        <f>Gen!B19</f>
        <v>0.16900000000000001</v>
      </c>
      <c r="D14" s="653">
        <f>'Summery Report'!E13</f>
        <v>13</v>
      </c>
      <c r="E14" s="654">
        <f t="shared" si="13"/>
        <v>1.3262195121951219</v>
      </c>
      <c r="F14" s="655">
        <f t="shared" si="14"/>
        <v>217.31330909943713</v>
      </c>
      <c r="G14" s="655">
        <f t="shared" si="0"/>
        <v>229.85730534709194</v>
      </c>
      <c r="H14" s="654">
        <f>Gen!C19</f>
        <v>48919.710000000021</v>
      </c>
      <c r="I14" s="656">
        <f>Gen!E19</f>
        <v>0</v>
      </c>
      <c r="J14" s="144">
        <f>Gen!S19</f>
        <v>2130.17</v>
      </c>
      <c r="K14" s="144">
        <f>Gen!AJ19</f>
        <v>122.96000000000001</v>
      </c>
      <c r="L14" s="144">
        <f t="shared" si="1"/>
        <v>2253.13</v>
      </c>
      <c r="M14" s="698">
        <f>'Water-Meter'!K54</f>
        <v>428.07493896350331</v>
      </c>
      <c r="N14" s="224">
        <f>'Water-Meter'!E14</f>
        <v>96</v>
      </c>
      <c r="O14" s="235"/>
      <c r="P14" s="235">
        <v>18537</v>
      </c>
      <c r="Q14" s="657">
        <f t="shared" si="2"/>
        <v>0</v>
      </c>
      <c r="R14" s="658">
        <f t="shared" si="5"/>
        <v>0</v>
      </c>
      <c r="S14" s="235"/>
      <c r="T14" s="418">
        <v>15719</v>
      </c>
      <c r="U14" s="657">
        <f t="shared" si="6"/>
        <v>0</v>
      </c>
      <c r="V14" s="659">
        <f t="shared" si="16"/>
        <v>0</v>
      </c>
      <c r="W14" s="235">
        <v>5</v>
      </c>
      <c r="X14" s="576">
        <v>21411</v>
      </c>
      <c r="Y14" s="657">
        <f t="shared" si="8"/>
        <v>24</v>
      </c>
      <c r="Z14" s="659">
        <f t="shared" si="9"/>
        <v>120</v>
      </c>
      <c r="AA14" s="659">
        <f t="shared" si="10"/>
        <v>2574120</v>
      </c>
      <c r="AB14" s="563">
        <v>15923</v>
      </c>
      <c r="AC14" s="140">
        <f t="shared" si="11"/>
        <v>110</v>
      </c>
      <c r="AD14" s="235">
        <v>191162</v>
      </c>
      <c r="AE14" s="242">
        <f t="shared" si="15"/>
        <v>37</v>
      </c>
      <c r="AF14" s="370">
        <f>'Lpg (2)'!B18*2000/85</f>
        <v>1105.8823529411766</v>
      </c>
      <c r="AG14" s="371">
        <f>'Lpg (2)'!C18*1000/85</f>
        <v>1000</v>
      </c>
      <c r="AH14" s="372">
        <f>'Lpg (2)'!D18*1000/85</f>
        <v>1000</v>
      </c>
      <c r="AI14" s="662">
        <f t="shared" si="12"/>
        <v>4352941.1764705889</v>
      </c>
      <c r="AJ14" s="661">
        <f t="shared" si="4"/>
        <v>188235.29411764629</v>
      </c>
      <c r="AK14" s="146"/>
    </row>
    <row r="15" spans="1:37" ht="18" thickBot="1">
      <c r="A15" s="96">
        <f>Gen!A20</f>
        <v>43779</v>
      </c>
      <c r="B15" s="652">
        <f>'Summery Report'!E14</f>
        <v>36</v>
      </c>
      <c r="C15" s="160">
        <f>Gen!B20</f>
        <v>0.46800000000000003</v>
      </c>
      <c r="D15" s="653">
        <f>'Summery Report'!E14</f>
        <v>36</v>
      </c>
      <c r="E15" s="654">
        <f t="shared" si="13"/>
        <v>1.3262195121951219</v>
      </c>
      <c r="F15" s="655">
        <f t="shared" si="14"/>
        <v>82.586636178861795</v>
      </c>
      <c r="G15" s="655">
        <f t="shared" si="0"/>
        <v>91.114964430894304</v>
      </c>
      <c r="H15" s="654">
        <f>Gen!C20</f>
        <v>46666.580000000024</v>
      </c>
      <c r="I15" s="656">
        <f>Gen!E20</f>
        <v>0</v>
      </c>
      <c r="J15" s="144">
        <f>Gen!S20</f>
        <v>2241.8000000000002</v>
      </c>
      <c r="K15" s="144">
        <f>Gen!AJ20</f>
        <v>231.5</v>
      </c>
      <c r="L15" s="144">
        <f t="shared" si="1"/>
        <v>2473.3000000000002</v>
      </c>
      <c r="M15" s="698">
        <f>'Water-Meter'!K55</f>
        <v>426.59128032948092</v>
      </c>
      <c r="N15" s="224">
        <f>'Water-Meter'!E15</f>
        <v>124</v>
      </c>
      <c r="O15" s="235"/>
      <c r="P15" s="235">
        <v>18537</v>
      </c>
      <c r="Q15" s="657">
        <f t="shared" si="2"/>
        <v>0</v>
      </c>
      <c r="R15" s="658">
        <f t="shared" si="5"/>
        <v>0</v>
      </c>
      <c r="S15" s="235"/>
      <c r="T15" s="418">
        <v>15719</v>
      </c>
      <c r="U15" s="657">
        <f t="shared" si="6"/>
        <v>0</v>
      </c>
      <c r="V15" s="659">
        <f t="shared" si="16"/>
        <v>0</v>
      </c>
      <c r="W15" s="235">
        <v>5.3</v>
      </c>
      <c r="X15" s="576">
        <v>21428</v>
      </c>
      <c r="Y15" s="657">
        <f t="shared" si="8"/>
        <v>17</v>
      </c>
      <c r="Z15" s="659">
        <f t="shared" si="9"/>
        <v>90.1</v>
      </c>
      <c r="AA15" s="659">
        <f t="shared" si="10"/>
        <v>1933545.9999999998</v>
      </c>
      <c r="AB15" s="563">
        <v>16004</v>
      </c>
      <c r="AC15" s="140">
        <f t="shared" si="11"/>
        <v>81</v>
      </c>
      <c r="AD15" s="235">
        <v>191197</v>
      </c>
      <c r="AE15" s="242">
        <f>AD15-AD14</f>
        <v>35</v>
      </c>
      <c r="AF15" s="370">
        <f>'Lpg (2)'!B19*2000/85</f>
        <v>1058.8235294117646</v>
      </c>
      <c r="AG15" s="371">
        <f>'Lpg (2)'!C19*1000/85</f>
        <v>1000</v>
      </c>
      <c r="AH15" s="372">
        <f>'Lpg (2)'!D19*1000/85</f>
        <v>1000</v>
      </c>
      <c r="AI15" s="662">
        <f t="shared" ref="AI15:AI35" si="17">SUM(AF15*2000)+(AG15*1000)+(AH15*1000)</f>
        <v>4117647.0588235292</v>
      </c>
      <c r="AJ15" s="661">
        <f t="shared" si="4"/>
        <v>235294.11764705973</v>
      </c>
      <c r="AK15" s="146"/>
    </row>
    <row r="16" spans="1:37" ht="18" thickBot="1">
      <c r="A16" s="96">
        <f>Gen!A21</f>
        <v>43780</v>
      </c>
      <c r="B16" s="652">
        <f>'Summery Report'!E15</f>
        <v>73</v>
      </c>
      <c r="C16" s="160">
        <f>Gen!B21</f>
        <v>0.94799999999999995</v>
      </c>
      <c r="D16" s="653">
        <f>'Summery Report'!E15</f>
        <v>73</v>
      </c>
      <c r="E16" s="654">
        <f t="shared" si="13"/>
        <v>1.3262195121951219</v>
      </c>
      <c r="F16" s="655">
        <f t="shared" si="14"/>
        <v>48.18809513865687</v>
      </c>
      <c r="G16" s="655">
        <f t="shared" si="0"/>
        <v>48.18809513865687</v>
      </c>
      <c r="H16" s="654">
        <f>Gen!C21</f>
        <v>44193.280000000021</v>
      </c>
      <c r="I16" s="656">
        <f>Gen!E21</f>
        <v>0</v>
      </c>
      <c r="J16" s="144">
        <f>Gen!S21</f>
        <v>2652.4500000000003</v>
      </c>
      <c r="K16" s="144">
        <f>Gen!AJ21</f>
        <v>0</v>
      </c>
      <c r="L16" s="144">
        <f t="shared" si="1"/>
        <v>2652.4500000000003</v>
      </c>
      <c r="M16" s="698">
        <f>'Water-Meter'!K56</f>
        <v>387.25523203059265</v>
      </c>
      <c r="N16" s="224">
        <f>'Water-Meter'!E16</f>
        <v>131</v>
      </c>
      <c r="O16" s="235"/>
      <c r="P16" s="235">
        <v>18537</v>
      </c>
      <c r="Q16" s="657">
        <f t="shared" si="2"/>
        <v>0</v>
      </c>
      <c r="R16" s="658">
        <f t="shared" si="5"/>
        <v>0</v>
      </c>
      <c r="S16" s="235"/>
      <c r="T16" s="418">
        <v>15719</v>
      </c>
      <c r="U16" s="657">
        <f t="shared" si="6"/>
        <v>0</v>
      </c>
      <c r="V16" s="659">
        <f t="shared" si="16"/>
        <v>0</v>
      </c>
      <c r="W16" s="235">
        <v>5.3</v>
      </c>
      <c r="X16" s="576">
        <v>21451</v>
      </c>
      <c r="Y16" s="657">
        <f t="shared" si="8"/>
        <v>23</v>
      </c>
      <c r="Z16" s="659">
        <f t="shared" si="9"/>
        <v>121.89999999999999</v>
      </c>
      <c r="AA16" s="659">
        <f t="shared" si="10"/>
        <v>2618899.5999999996</v>
      </c>
      <c r="AB16" s="563">
        <v>16121</v>
      </c>
      <c r="AC16" s="140">
        <f t="shared" si="11"/>
        <v>117</v>
      </c>
      <c r="AD16" s="235">
        <v>191227</v>
      </c>
      <c r="AE16" s="242">
        <f t="shared" si="15"/>
        <v>30</v>
      </c>
      <c r="AF16" s="370">
        <f>'Lpg (2)'!B20*2000/85</f>
        <v>988.23529411764707</v>
      </c>
      <c r="AG16" s="371">
        <f>'Lpg (2)'!C20*1000/85</f>
        <v>1000</v>
      </c>
      <c r="AH16" s="372">
        <f>'Lpg (2)'!D20*1000/85</f>
        <v>1000</v>
      </c>
      <c r="AI16" s="662">
        <f t="shared" si="17"/>
        <v>3976470.5882352944</v>
      </c>
      <c r="AJ16" s="661">
        <f t="shared" si="4"/>
        <v>141176.47058823472</v>
      </c>
      <c r="AK16" s="146"/>
    </row>
    <row r="17" spans="1:37" ht="18" thickBot="1">
      <c r="A17" s="96">
        <f>Gen!A22</f>
        <v>43781</v>
      </c>
      <c r="B17" s="652">
        <f>'Summery Report'!E16</f>
        <v>73</v>
      </c>
      <c r="C17" s="160">
        <f>Gen!B22</f>
        <v>0.93500000000000005</v>
      </c>
      <c r="D17" s="653">
        <f>'Summery Report'!E16</f>
        <v>73</v>
      </c>
      <c r="E17" s="654">
        <f t="shared" si="13"/>
        <v>1.3262195121951219</v>
      </c>
      <c r="F17" s="655">
        <f t="shared" si="14"/>
        <v>47.007396424991647</v>
      </c>
      <c r="G17" s="655">
        <f t="shared" si="0"/>
        <v>50.419414049448712</v>
      </c>
      <c r="H17" s="654">
        <f>Gen!C22</f>
        <v>41540.830000000024</v>
      </c>
      <c r="I17" s="656">
        <f>Gen!E22</f>
        <v>0</v>
      </c>
      <c r="J17" s="144">
        <f>Gen!S22</f>
        <v>2587.46</v>
      </c>
      <c r="K17" s="144">
        <f>Gen!AJ22</f>
        <v>187.81</v>
      </c>
      <c r="L17" s="144">
        <f t="shared" si="1"/>
        <v>2775.27</v>
      </c>
      <c r="M17" s="698">
        <f>'Water-Meter'!K57</f>
        <v>340.0293096643544</v>
      </c>
      <c r="N17" s="224">
        <f>'Water-Meter'!E17</f>
        <v>136</v>
      </c>
      <c r="O17" s="235"/>
      <c r="P17" s="235">
        <v>18537</v>
      </c>
      <c r="Q17" s="657">
        <f>SUM(P18-P16)</f>
        <v>0</v>
      </c>
      <c r="R17" s="658">
        <f t="shared" si="5"/>
        <v>0</v>
      </c>
      <c r="S17" s="235"/>
      <c r="T17" s="418">
        <v>15719</v>
      </c>
      <c r="U17" s="657">
        <f t="shared" si="6"/>
        <v>0</v>
      </c>
      <c r="V17" s="659">
        <f t="shared" ref="V17:V36" si="18">SUM(U17*S17)</f>
        <v>0</v>
      </c>
      <c r="W17" s="235"/>
      <c r="X17" s="576">
        <v>21460</v>
      </c>
      <c r="Y17" s="657">
        <f t="shared" si="8"/>
        <v>9</v>
      </c>
      <c r="Z17" s="659">
        <f t="shared" si="9"/>
        <v>0</v>
      </c>
      <c r="AA17" s="659">
        <f t="shared" si="10"/>
        <v>0</v>
      </c>
      <c r="AB17" s="563">
        <v>16163</v>
      </c>
      <c r="AC17" s="140">
        <f t="shared" si="11"/>
        <v>42</v>
      </c>
      <c r="AD17" s="235">
        <v>191268</v>
      </c>
      <c r="AE17" s="242">
        <f t="shared" si="15"/>
        <v>41</v>
      </c>
      <c r="AF17" s="370">
        <f>'Lpg (2)'!B21*2000/85</f>
        <v>917.64705882352939</v>
      </c>
      <c r="AG17" s="371">
        <f>'Lpg (2)'!C21*1000/85</f>
        <v>1000</v>
      </c>
      <c r="AH17" s="372">
        <f>'Lpg (2)'!D21*1000/85</f>
        <v>1000</v>
      </c>
      <c r="AI17" s="662">
        <f t="shared" si="17"/>
        <v>3835294.1176470588</v>
      </c>
      <c r="AJ17" s="661">
        <f t="shared" si="4"/>
        <v>141176.47058823565</v>
      </c>
      <c r="AK17" s="146"/>
    </row>
    <row r="18" spans="1:37" ht="18" thickBot="1">
      <c r="A18" s="96">
        <f>Gen!A23</f>
        <v>43782</v>
      </c>
      <c r="B18" s="652">
        <f>'Summery Report'!E17</f>
        <v>39</v>
      </c>
      <c r="C18" s="160">
        <f>Gen!B23</f>
        <v>0.48099999999999998</v>
      </c>
      <c r="D18" s="653">
        <f>'Summery Report'!E17</f>
        <v>39</v>
      </c>
      <c r="E18" s="654">
        <f t="shared" si="13"/>
        <v>1.3262195121951219</v>
      </c>
      <c r="F18" s="655">
        <f t="shared" si="14"/>
        <v>75.814868667917452</v>
      </c>
      <c r="G18" s="655">
        <f t="shared" si="0"/>
        <v>91.12794324577861</v>
      </c>
      <c r="H18" s="654">
        <f>Gen!C23</f>
        <v>38765.560000000027</v>
      </c>
      <c r="I18" s="656">
        <f>Gen!E23</f>
        <v>0</v>
      </c>
      <c r="J18" s="144">
        <f>Gen!S23</f>
        <v>2229.48</v>
      </c>
      <c r="K18" s="144">
        <f>Gen!AJ23</f>
        <v>450.31</v>
      </c>
      <c r="L18" s="144">
        <f t="shared" si="1"/>
        <v>2679.79</v>
      </c>
      <c r="M18" s="698">
        <f>'Water-Meter'!K58</f>
        <v>413.74010952308697</v>
      </c>
      <c r="N18" s="224">
        <f>'Water-Meter'!E18</f>
        <v>123</v>
      </c>
      <c r="O18" s="235"/>
      <c r="P18" s="235">
        <v>18537</v>
      </c>
      <c r="Q18" s="657"/>
      <c r="R18" s="658">
        <f t="shared" si="5"/>
        <v>0</v>
      </c>
      <c r="S18" s="235"/>
      <c r="T18" s="418">
        <v>15719</v>
      </c>
      <c r="U18" s="657">
        <f t="shared" si="6"/>
        <v>0</v>
      </c>
      <c r="V18" s="659">
        <f t="shared" si="18"/>
        <v>0</v>
      </c>
      <c r="W18" s="235"/>
      <c r="X18" s="576">
        <v>21484</v>
      </c>
      <c r="Y18" s="657">
        <f t="shared" si="8"/>
        <v>24</v>
      </c>
      <c r="Z18" s="659">
        <f t="shared" si="9"/>
        <v>0</v>
      </c>
      <c r="AA18" s="659">
        <f t="shared" si="10"/>
        <v>0</v>
      </c>
      <c r="AB18" s="563">
        <v>16275</v>
      </c>
      <c r="AC18" s="140">
        <f t="shared" si="11"/>
        <v>112</v>
      </c>
      <c r="AD18" s="235">
        <v>191308</v>
      </c>
      <c r="AE18" s="242">
        <f t="shared" si="15"/>
        <v>40</v>
      </c>
      <c r="AF18" s="370">
        <f>'Lpg (2)'!B22*2000/85</f>
        <v>823.52941176470586</v>
      </c>
      <c r="AG18" s="371">
        <f>'Lpg (2)'!C22*1000/85</f>
        <v>1000</v>
      </c>
      <c r="AH18" s="372">
        <f>'Lpg (2)'!D22*1000/85</f>
        <v>1000</v>
      </c>
      <c r="AI18" s="662">
        <f t="shared" si="17"/>
        <v>3647058.823529412</v>
      </c>
      <c r="AJ18" s="661">
        <f t="shared" si="4"/>
        <v>188235.29411764676</v>
      </c>
      <c r="AK18" s="146"/>
    </row>
    <row r="19" spans="1:37" ht="18" thickBot="1">
      <c r="A19" s="96">
        <f>Gen!A24</f>
        <v>43783</v>
      </c>
      <c r="B19" s="652">
        <f>'Summery Report'!E18</f>
        <v>41</v>
      </c>
      <c r="C19" s="160">
        <f>Gen!B24</f>
        <v>0.52600000000000002</v>
      </c>
      <c r="D19" s="653">
        <f>'Summery Report'!E18</f>
        <v>41</v>
      </c>
      <c r="E19" s="654">
        <f t="shared" si="13"/>
        <v>1.3262195121951219</v>
      </c>
      <c r="F19" s="655">
        <f t="shared" si="14"/>
        <v>76.608908387864346</v>
      </c>
      <c r="G19" s="655">
        <f t="shared" si="0"/>
        <v>85.78278926234384</v>
      </c>
      <c r="H19" s="654">
        <f>Gen!C24</f>
        <v>36085.770000000026</v>
      </c>
      <c r="I19" s="656">
        <f>Gen!E24</f>
        <v>0</v>
      </c>
      <c r="J19" s="144">
        <f>Gen!S24</f>
        <v>2368.3599999999997</v>
      </c>
      <c r="K19" s="144">
        <f>Gen!AJ24</f>
        <v>283.61</v>
      </c>
      <c r="L19" s="144">
        <f t="shared" si="1"/>
        <v>2651.97</v>
      </c>
      <c r="M19" s="698">
        <f>'Water-Meter'!K59</f>
        <v>354.58074660362252</v>
      </c>
      <c r="N19" s="224">
        <f>'Water-Meter'!E19</f>
        <v>118</v>
      </c>
      <c r="O19" s="235"/>
      <c r="P19" s="235">
        <v>18537</v>
      </c>
      <c r="Q19" s="657"/>
      <c r="R19" s="658">
        <f t="shared" si="5"/>
        <v>0</v>
      </c>
      <c r="S19" s="235"/>
      <c r="T19" s="418">
        <v>15719</v>
      </c>
      <c r="U19" s="657">
        <f t="shared" si="6"/>
        <v>0</v>
      </c>
      <c r="V19" s="659">
        <f t="shared" si="18"/>
        <v>0</v>
      </c>
      <c r="W19" s="235"/>
      <c r="X19" s="576">
        <v>21508</v>
      </c>
      <c r="Y19" s="657">
        <f t="shared" si="8"/>
        <v>24</v>
      </c>
      <c r="Z19" s="659">
        <f t="shared" si="9"/>
        <v>0</v>
      </c>
      <c r="AA19" s="659">
        <f t="shared" si="10"/>
        <v>0</v>
      </c>
      <c r="AB19" s="563">
        <v>16388</v>
      </c>
      <c r="AC19" s="140">
        <f t="shared" si="11"/>
        <v>113</v>
      </c>
      <c r="AD19" s="235">
        <v>191349</v>
      </c>
      <c r="AE19" s="242">
        <f t="shared" si="15"/>
        <v>41</v>
      </c>
      <c r="AF19" s="370">
        <f>'Lpg (2)'!B23*2000/85</f>
        <v>705.88235294117646</v>
      </c>
      <c r="AG19" s="371">
        <f>'Lpg (2)'!C23*1000/85</f>
        <v>1000</v>
      </c>
      <c r="AH19" s="372">
        <f>'Lpg (2)'!D23*1000/85</f>
        <v>1000</v>
      </c>
      <c r="AI19" s="662">
        <f t="shared" si="17"/>
        <v>3411764.7058823528</v>
      </c>
      <c r="AJ19" s="661">
        <f t="shared" si="4"/>
        <v>235294.11764705926</v>
      </c>
      <c r="AK19" s="146"/>
    </row>
    <row r="20" spans="1:37" ht="18" thickBot="1">
      <c r="A20" s="96">
        <f>Gen!A25</f>
        <v>43784</v>
      </c>
      <c r="B20" s="652">
        <f>'Summery Report'!E19</f>
        <v>17</v>
      </c>
      <c r="C20" s="160">
        <f>Gen!B25</f>
        <v>0.221</v>
      </c>
      <c r="D20" s="653">
        <f>'Summery Report'!E19</f>
        <v>17</v>
      </c>
      <c r="E20" s="654">
        <f t="shared" si="13"/>
        <v>1.3262195121951219</v>
      </c>
      <c r="F20" s="655">
        <f t="shared" si="14"/>
        <v>166.45225071736013</v>
      </c>
      <c r="G20" s="655">
        <f t="shared" si="0"/>
        <v>185.97342180774748</v>
      </c>
      <c r="H20" s="654">
        <f>Gen!C25</f>
        <v>33433.800000000025</v>
      </c>
      <c r="I20" s="656">
        <f>Gen!E25</f>
        <v>18000</v>
      </c>
      <c r="J20" s="144">
        <f>Gen!S25</f>
        <v>2133.65</v>
      </c>
      <c r="K20" s="144">
        <f>Gen!AJ25</f>
        <v>250.23000000000002</v>
      </c>
      <c r="L20" s="144">
        <f t="shared" si="1"/>
        <v>2383.88</v>
      </c>
      <c r="M20" s="698">
        <f>'Water-Meter'!K60</f>
        <v>376.4735909705156</v>
      </c>
      <c r="N20" s="224">
        <f>'Water-Meter'!E20</f>
        <v>107</v>
      </c>
      <c r="O20" s="235"/>
      <c r="P20" s="235">
        <v>18537</v>
      </c>
      <c r="Q20" s="657">
        <f t="shared" si="2"/>
        <v>0</v>
      </c>
      <c r="R20" s="658">
        <f t="shared" si="5"/>
        <v>0</v>
      </c>
      <c r="S20" s="235"/>
      <c r="T20" s="418">
        <v>15719</v>
      </c>
      <c r="U20" s="657">
        <f t="shared" si="6"/>
        <v>0</v>
      </c>
      <c r="V20" s="659">
        <f t="shared" si="18"/>
        <v>0</v>
      </c>
      <c r="W20" s="235">
        <v>5</v>
      </c>
      <c r="X20" s="576">
        <v>21533</v>
      </c>
      <c r="Y20" s="657">
        <f t="shared" si="8"/>
        <v>25</v>
      </c>
      <c r="Z20" s="659">
        <f t="shared" si="9"/>
        <v>125</v>
      </c>
      <c r="AA20" s="659">
        <f t="shared" si="10"/>
        <v>2697625</v>
      </c>
      <c r="AB20" s="563">
        <v>16498</v>
      </c>
      <c r="AC20" s="140">
        <f t="shared" si="11"/>
        <v>110</v>
      </c>
      <c r="AD20" s="235">
        <v>191381</v>
      </c>
      <c r="AE20" s="242">
        <f t="shared" si="15"/>
        <v>32</v>
      </c>
      <c r="AF20" s="370">
        <f>'Lpg (2)'!B24*2000/85</f>
        <v>752.94117647058829</v>
      </c>
      <c r="AG20" s="371">
        <f>'Lpg (2)'!C24*1000/85</f>
        <v>1000</v>
      </c>
      <c r="AH20" s="372">
        <f>'Lpg (2)'!D24*1000/85</f>
        <v>1000</v>
      </c>
      <c r="AI20" s="662">
        <f t="shared" si="17"/>
        <v>3505882.3529411769</v>
      </c>
      <c r="AJ20" s="661">
        <f t="shared" si="4"/>
        <v>-94117.647058824077</v>
      </c>
      <c r="AK20" s="146"/>
    </row>
    <row r="21" spans="1:37" ht="18" thickBot="1">
      <c r="A21" s="96">
        <f>Gen!A26</f>
        <v>43785</v>
      </c>
      <c r="B21" s="652">
        <f>'Summery Report'!E20</f>
        <v>12</v>
      </c>
      <c r="C21" s="160">
        <f>Gen!B26</f>
        <v>0.156</v>
      </c>
      <c r="D21" s="653">
        <f>'Summery Report'!E20</f>
        <v>12</v>
      </c>
      <c r="E21" s="654">
        <f t="shared" si="13"/>
        <v>1.3262195121951219</v>
      </c>
      <c r="F21" s="655">
        <f t="shared" si="14"/>
        <v>231.99115853658535</v>
      </c>
      <c r="G21" s="655">
        <f t="shared" si="0"/>
        <v>252.17842987804875</v>
      </c>
      <c r="H21" s="654">
        <f>Gen!C26</f>
        <v>49049.920000000027</v>
      </c>
      <c r="I21" s="656">
        <f>Gen!E26</f>
        <v>0</v>
      </c>
      <c r="J21" s="144">
        <f>Gen!S26</f>
        <v>2099.12</v>
      </c>
      <c r="K21" s="144">
        <f>Gen!AJ26</f>
        <v>182.65999999999997</v>
      </c>
      <c r="L21" s="144">
        <f t="shared" si="1"/>
        <v>2281.7799999999997</v>
      </c>
      <c r="M21" s="698">
        <f>'Water-Meter'!K61</f>
        <v>360.88325544534933</v>
      </c>
      <c r="N21" s="224">
        <f>'Water-Meter'!E21</f>
        <v>115</v>
      </c>
      <c r="O21" s="235"/>
      <c r="P21" s="235">
        <v>18537</v>
      </c>
      <c r="Q21" s="657">
        <f t="shared" si="2"/>
        <v>0</v>
      </c>
      <c r="R21" s="658">
        <f t="shared" si="5"/>
        <v>0</v>
      </c>
      <c r="S21" s="235"/>
      <c r="T21" s="418">
        <v>15719</v>
      </c>
      <c r="U21" s="657">
        <f t="shared" si="6"/>
        <v>0</v>
      </c>
      <c r="V21" s="659">
        <f t="shared" si="18"/>
        <v>0</v>
      </c>
      <c r="W21" s="235">
        <v>5</v>
      </c>
      <c r="X21" s="576">
        <v>21557</v>
      </c>
      <c r="Y21" s="657">
        <f t="shared" si="8"/>
        <v>24</v>
      </c>
      <c r="Z21" s="659">
        <f t="shared" si="9"/>
        <v>120</v>
      </c>
      <c r="AA21" s="659">
        <f t="shared" si="10"/>
        <v>2591640</v>
      </c>
      <c r="AB21" s="563">
        <v>16608</v>
      </c>
      <c r="AC21" s="140">
        <f t="shared" si="11"/>
        <v>110</v>
      </c>
      <c r="AD21" s="235">
        <v>191411</v>
      </c>
      <c r="AE21" s="242">
        <f t="shared" si="15"/>
        <v>30</v>
      </c>
      <c r="AF21" s="370">
        <f>'Lpg (2)'!B25*2000/85</f>
        <v>705.88235294117646</v>
      </c>
      <c r="AG21" s="371">
        <f>'Lpg (2)'!C25*1000/85</f>
        <v>1000</v>
      </c>
      <c r="AH21" s="372">
        <f>'Lpg (2)'!D25*1000/85</f>
        <v>1000</v>
      </c>
      <c r="AI21" s="662">
        <f t="shared" si="17"/>
        <v>3411764.7058823528</v>
      </c>
      <c r="AJ21" s="661">
        <f t="shared" si="4"/>
        <v>94117.647058824077</v>
      </c>
      <c r="AK21" s="146"/>
    </row>
    <row r="22" spans="1:37" ht="18" thickBot="1">
      <c r="A22" s="96">
        <f>Gen!A27</f>
        <v>43786</v>
      </c>
      <c r="B22" s="652">
        <f>'Summery Report'!E21</f>
        <v>48</v>
      </c>
      <c r="C22" s="160">
        <f>Gen!B27</f>
        <v>0.623</v>
      </c>
      <c r="D22" s="653">
        <f>'Summery Report'!E21</f>
        <v>48</v>
      </c>
      <c r="E22" s="654">
        <f t="shared" si="13"/>
        <v>1.3262195121951219</v>
      </c>
      <c r="F22" s="655">
        <f t="shared" si="14"/>
        <v>66.164262576219514</v>
      </c>
      <c r="G22" s="655">
        <f t="shared" si="0"/>
        <v>69.738976753048789</v>
      </c>
      <c r="H22" s="654">
        <f>Gen!C27</f>
        <v>46768.140000000029</v>
      </c>
      <c r="I22" s="656">
        <f>Gen!E27</f>
        <v>0</v>
      </c>
      <c r="J22" s="144">
        <f>Gen!S27</f>
        <v>2394.69</v>
      </c>
      <c r="K22" s="144">
        <f>Gen!AJ27</f>
        <v>129.38</v>
      </c>
      <c r="L22" s="144">
        <f t="shared" si="1"/>
        <v>2524.0700000000002</v>
      </c>
      <c r="M22" s="698">
        <f>'Water-Meter'!K62</f>
        <v>315.97576632530109</v>
      </c>
      <c r="N22" s="224">
        <f>'Water-Meter'!E22</f>
        <v>127</v>
      </c>
      <c r="O22" s="235"/>
      <c r="P22" s="235">
        <v>18537</v>
      </c>
      <c r="Q22" s="657">
        <f t="shared" si="2"/>
        <v>0</v>
      </c>
      <c r="R22" s="658">
        <f t="shared" si="5"/>
        <v>0</v>
      </c>
      <c r="S22" s="235"/>
      <c r="T22" s="418">
        <v>15719</v>
      </c>
      <c r="U22" s="657">
        <f t="shared" si="6"/>
        <v>0</v>
      </c>
      <c r="V22" s="659">
        <f t="shared" si="18"/>
        <v>0</v>
      </c>
      <c r="W22" s="235">
        <v>5</v>
      </c>
      <c r="X22" s="576">
        <v>21581</v>
      </c>
      <c r="Y22" s="657">
        <f t="shared" si="8"/>
        <v>24</v>
      </c>
      <c r="Z22" s="659">
        <f t="shared" si="9"/>
        <v>120</v>
      </c>
      <c r="AA22" s="659">
        <f t="shared" si="10"/>
        <v>2594520</v>
      </c>
      <c r="AB22" s="563">
        <v>16718</v>
      </c>
      <c r="AC22" s="140">
        <f t="shared" si="11"/>
        <v>110</v>
      </c>
      <c r="AD22" s="235">
        <v>191458</v>
      </c>
      <c r="AE22" s="242">
        <f t="shared" si="15"/>
        <v>47</v>
      </c>
      <c r="AF22" s="370">
        <f>'Lpg (2)'!B26*2000/85</f>
        <v>635.29411764705878</v>
      </c>
      <c r="AG22" s="371">
        <f>'Lpg (2)'!C26*1000/85</f>
        <v>1000</v>
      </c>
      <c r="AH22" s="372">
        <f>'Lpg (2)'!D26*1000/85</f>
        <v>1000</v>
      </c>
      <c r="AI22" s="662">
        <f t="shared" si="17"/>
        <v>3270588.2352941176</v>
      </c>
      <c r="AJ22" s="661">
        <f t="shared" si="4"/>
        <v>141176.47058823518</v>
      </c>
      <c r="AK22" s="146"/>
    </row>
    <row r="23" spans="1:37" ht="18" thickBot="1">
      <c r="A23" s="96">
        <f>Gen!A28</f>
        <v>43787</v>
      </c>
      <c r="B23" s="652">
        <f>'Summery Report'!E22</f>
        <v>40</v>
      </c>
      <c r="C23" s="160">
        <f>Gen!B28</f>
        <v>0.51900000000000002</v>
      </c>
      <c r="D23" s="653">
        <f>'Summery Report'!E22</f>
        <v>40</v>
      </c>
      <c r="E23" s="654">
        <f t="shared" si="13"/>
        <v>1.3262195121951219</v>
      </c>
      <c r="F23" s="655">
        <f t="shared" si="14"/>
        <v>75.342530487804879</v>
      </c>
      <c r="G23" s="655">
        <f t="shared" si="0"/>
        <v>80.660339176829268</v>
      </c>
      <c r="H23" s="654">
        <f>Gen!C28</f>
        <v>44244.070000000029</v>
      </c>
      <c r="I23" s="656">
        <f>Gen!E28</f>
        <v>0</v>
      </c>
      <c r="J23" s="144">
        <f>Gen!S28</f>
        <v>2272.4</v>
      </c>
      <c r="K23" s="144">
        <f>Gen!AJ28</f>
        <v>160.38999999999999</v>
      </c>
      <c r="L23" s="144">
        <f t="shared" si="1"/>
        <v>2432.79</v>
      </c>
      <c r="M23" s="698">
        <f>'Water-Meter'!K63</f>
        <v>338.30512001531264</v>
      </c>
      <c r="N23" s="224">
        <f>'Water-Meter'!E23</f>
        <v>106</v>
      </c>
      <c r="O23" s="235"/>
      <c r="P23" s="235">
        <v>18537</v>
      </c>
      <c r="Q23" s="657">
        <f t="shared" si="2"/>
        <v>0</v>
      </c>
      <c r="R23" s="658">
        <f t="shared" si="5"/>
        <v>0</v>
      </c>
      <c r="S23" s="235"/>
      <c r="T23" s="418">
        <v>15719</v>
      </c>
      <c r="U23" s="657">
        <f t="shared" si="6"/>
        <v>0</v>
      </c>
      <c r="V23" s="659">
        <f t="shared" si="18"/>
        <v>0</v>
      </c>
      <c r="W23" s="235">
        <v>5</v>
      </c>
      <c r="X23" s="576">
        <v>21597</v>
      </c>
      <c r="Y23" s="657">
        <f t="shared" si="8"/>
        <v>16</v>
      </c>
      <c r="Z23" s="659">
        <f t="shared" si="9"/>
        <v>80</v>
      </c>
      <c r="AA23" s="659">
        <f t="shared" si="10"/>
        <v>1730800</v>
      </c>
      <c r="AB23" s="563">
        <v>16795</v>
      </c>
      <c r="AC23" s="140">
        <f t="shared" si="11"/>
        <v>77</v>
      </c>
      <c r="AD23" s="235">
        <v>191488</v>
      </c>
      <c r="AE23" s="242">
        <f t="shared" si="15"/>
        <v>30</v>
      </c>
      <c r="AF23" s="370">
        <f>'Lpg (2)'!B27*2000/85</f>
        <v>588.23529411764707</v>
      </c>
      <c r="AG23" s="371">
        <f>'Lpg (2)'!C27*1000/85</f>
        <v>1000</v>
      </c>
      <c r="AH23" s="372">
        <f>'Lpg (2)'!D27*1000/85</f>
        <v>1000</v>
      </c>
      <c r="AI23" s="662">
        <f t="shared" si="17"/>
        <v>3176470.5882352944</v>
      </c>
      <c r="AJ23" s="661">
        <f t="shared" si="4"/>
        <v>94117.647058823146</v>
      </c>
      <c r="AK23" s="146"/>
    </row>
    <row r="24" spans="1:37" ht="18" thickBot="1">
      <c r="A24" s="96">
        <f>Gen!A29</f>
        <v>43788</v>
      </c>
      <c r="B24" s="652">
        <f>'Summery Report'!E23</f>
        <v>7</v>
      </c>
      <c r="C24" s="160">
        <f>Gen!B29</f>
        <v>9.0999999999999998E-2</v>
      </c>
      <c r="D24" s="653">
        <f>'Summery Report'!E23</f>
        <v>7</v>
      </c>
      <c r="E24" s="654">
        <f t="shared" si="13"/>
        <v>1.3262195121951219</v>
      </c>
      <c r="F24" s="655">
        <f t="shared" si="14"/>
        <v>351.12608885017426</v>
      </c>
      <c r="G24" s="655">
        <f t="shared" si="0"/>
        <v>371.53660714285718</v>
      </c>
      <c r="H24" s="654">
        <f>Gen!C29</f>
        <v>41811.280000000028</v>
      </c>
      <c r="I24" s="656">
        <f>Gen!E29</f>
        <v>0</v>
      </c>
      <c r="J24" s="144">
        <f>Gen!S29</f>
        <v>1853.3000000000002</v>
      </c>
      <c r="K24" s="144">
        <f>Gen!AJ29</f>
        <v>107.72999999999999</v>
      </c>
      <c r="L24" s="144">
        <f t="shared" si="1"/>
        <v>1961.0300000000002</v>
      </c>
      <c r="M24" s="698">
        <f>'Water-Meter'!K64</f>
        <v>310.0630298564738</v>
      </c>
      <c r="N24" s="224">
        <f>'Water-Meter'!E24</f>
        <v>98</v>
      </c>
      <c r="O24" s="235"/>
      <c r="P24" s="235">
        <v>18537</v>
      </c>
      <c r="Q24" s="657">
        <f t="shared" si="2"/>
        <v>0</v>
      </c>
      <c r="R24" s="658">
        <f t="shared" si="5"/>
        <v>0</v>
      </c>
      <c r="S24" s="235"/>
      <c r="T24" s="418">
        <v>15719</v>
      </c>
      <c r="U24" s="657">
        <f t="shared" si="6"/>
        <v>0</v>
      </c>
      <c r="V24" s="659">
        <f t="shared" si="18"/>
        <v>0</v>
      </c>
      <c r="W24" s="235">
        <v>5.0999999999999996</v>
      </c>
      <c r="X24" s="576">
        <v>21621</v>
      </c>
      <c r="Y24" s="657">
        <f t="shared" si="8"/>
        <v>24</v>
      </c>
      <c r="Z24" s="659">
        <f t="shared" si="9"/>
        <v>122.39999999999999</v>
      </c>
      <c r="AA24" s="659">
        <f t="shared" si="10"/>
        <v>2651061.5999999996</v>
      </c>
      <c r="AB24" s="563">
        <v>16908</v>
      </c>
      <c r="AC24" s="140">
        <f t="shared" si="11"/>
        <v>113</v>
      </c>
      <c r="AD24" s="235">
        <v>191528</v>
      </c>
      <c r="AE24" s="242">
        <f t="shared" si="15"/>
        <v>40</v>
      </c>
      <c r="AF24" s="370">
        <f>'Lpg (2)'!B28*2000/85</f>
        <v>541.17647058823525</v>
      </c>
      <c r="AG24" s="371">
        <f>'Lpg (2)'!C28*1000/85</f>
        <v>1000</v>
      </c>
      <c r="AH24" s="372">
        <f>'Lpg (2)'!D28*1000/85</f>
        <v>1000</v>
      </c>
      <c r="AI24" s="662">
        <f t="shared" si="17"/>
        <v>3082352.9411764704</v>
      </c>
      <c r="AJ24" s="661">
        <f t="shared" si="4"/>
        <v>94117.647058824077</v>
      </c>
      <c r="AK24" s="146"/>
    </row>
    <row r="25" spans="1:37" ht="18" thickBot="1">
      <c r="A25" s="96">
        <f>Gen!A30</f>
        <v>43789</v>
      </c>
      <c r="B25" s="652">
        <f>'Summery Report'!E24</f>
        <v>9</v>
      </c>
      <c r="C25" s="160">
        <f>Gen!B30</f>
        <v>0.11700000000000001</v>
      </c>
      <c r="D25" s="653">
        <f>'Summery Report'!E24</f>
        <v>9</v>
      </c>
      <c r="E25" s="654">
        <f t="shared" si="13"/>
        <v>1.3262195121951219</v>
      </c>
      <c r="F25" s="655">
        <f t="shared" si="14"/>
        <v>271.81900406504064</v>
      </c>
      <c r="G25" s="655">
        <f t="shared" si="0"/>
        <v>284.22505081300812</v>
      </c>
      <c r="H25" s="654">
        <f>Gen!C30</f>
        <v>39850.250000000029</v>
      </c>
      <c r="I25" s="656">
        <f>Gen!E30</f>
        <v>0</v>
      </c>
      <c r="J25" s="144">
        <f>Gen!S30</f>
        <v>1844.6200000000001</v>
      </c>
      <c r="K25" s="144">
        <f>Gen!AJ30</f>
        <v>84.19</v>
      </c>
      <c r="L25" s="144">
        <f t="shared" si="1"/>
        <v>1928.8100000000002</v>
      </c>
      <c r="M25" s="698">
        <f>'Water-Meter'!K65</f>
        <v>334.37794262878754</v>
      </c>
      <c r="N25" s="224">
        <f>'Water-Meter'!E25</f>
        <v>79</v>
      </c>
      <c r="O25" s="235"/>
      <c r="P25" s="235">
        <v>18537</v>
      </c>
      <c r="Q25" s="657">
        <f t="shared" si="2"/>
        <v>0</v>
      </c>
      <c r="R25" s="658">
        <f t="shared" si="5"/>
        <v>0</v>
      </c>
      <c r="S25" s="235"/>
      <c r="T25" s="418">
        <v>15719</v>
      </c>
      <c r="U25" s="657">
        <f t="shared" si="6"/>
        <v>0</v>
      </c>
      <c r="V25" s="659">
        <f t="shared" si="18"/>
        <v>0</v>
      </c>
      <c r="W25" s="235">
        <v>5</v>
      </c>
      <c r="X25" s="576">
        <v>21635</v>
      </c>
      <c r="Y25" s="657">
        <f t="shared" si="8"/>
        <v>14</v>
      </c>
      <c r="Z25" s="659">
        <f t="shared" si="9"/>
        <v>70</v>
      </c>
      <c r="AA25" s="659">
        <f t="shared" si="10"/>
        <v>1517810</v>
      </c>
      <c r="AB25" s="563">
        <v>16970</v>
      </c>
      <c r="AC25" s="140">
        <f t="shared" si="11"/>
        <v>62</v>
      </c>
      <c r="AD25" s="235">
        <v>191585</v>
      </c>
      <c r="AE25" s="242">
        <f t="shared" si="15"/>
        <v>57</v>
      </c>
      <c r="AF25" s="370">
        <f>'Lpg (2)'!B29*2000/85</f>
        <v>470.58823529411762</v>
      </c>
      <c r="AG25" s="371">
        <f>'Lpg (2)'!C29*1000/85</f>
        <v>1000</v>
      </c>
      <c r="AH25" s="372">
        <f>'Lpg (2)'!D29*1000/85</f>
        <v>1000</v>
      </c>
      <c r="AI25" s="662">
        <f t="shared" si="17"/>
        <v>2941176.4705882352</v>
      </c>
      <c r="AJ25" s="661">
        <f t="shared" si="4"/>
        <v>141176.47058823518</v>
      </c>
      <c r="AK25" s="146"/>
    </row>
    <row r="26" spans="1:37" ht="18" thickBot="1">
      <c r="A26" s="96">
        <f>Gen!A31</f>
        <v>43790</v>
      </c>
      <c r="B26" s="652">
        <f>'Summery Report'!E25</f>
        <v>10</v>
      </c>
      <c r="C26" s="160">
        <f>Gen!B31</f>
        <v>0.13</v>
      </c>
      <c r="D26" s="653">
        <f>'Summery Report'!E25</f>
        <v>10</v>
      </c>
      <c r="E26" s="654">
        <f t="shared" si="13"/>
        <v>1.3262195121951219</v>
      </c>
      <c r="F26" s="655">
        <f>SUM(J26*E26)/D26</f>
        <v>206.5189024390244</v>
      </c>
      <c r="G26" s="655">
        <f t="shared" si="0"/>
        <v>211.57975609756099</v>
      </c>
      <c r="H26" s="654">
        <f>Gen!C31</f>
        <v>37921.440000000031</v>
      </c>
      <c r="I26" s="656">
        <f>Gen!E31</f>
        <v>0</v>
      </c>
      <c r="J26" s="144">
        <f>Gen!S31</f>
        <v>1557.2</v>
      </c>
      <c r="K26" s="144">
        <f>Gen!AJ31</f>
        <v>38.159999999999997</v>
      </c>
      <c r="L26" s="144">
        <f t="shared" si="1"/>
        <v>1595.3600000000001</v>
      </c>
      <c r="M26" s="698">
        <f>'Water-Meter'!K66</f>
        <v>361.96436599440449</v>
      </c>
      <c r="N26" s="224">
        <f>'Water-Meter'!E26</f>
        <v>95</v>
      </c>
      <c r="O26" s="235"/>
      <c r="P26" s="235">
        <v>18537</v>
      </c>
      <c r="Q26" s="657">
        <f t="shared" si="2"/>
        <v>0</v>
      </c>
      <c r="R26" s="658">
        <f t="shared" si="5"/>
        <v>0</v>
      </c>
      <c r="S26" s="235"/>
      <c r="T26" s="418">
        <v>15719</v>
      </c>
      <c r="U26" s="657">
        <f t="shared" si="6"/>
        <v>0</v>
      </c>
      <c r="V26" s="659">
        <f t="shared" si="18"/>
        <v>0</v>
      </c>
      <c r="W26" s="235">
        <v>4.9000000000000004</v>
      </c>
      <c r="X26" s="576">
        <v>21659</v>
      </c>
      <c r="Y26" s="657">
        <f t="shared" si="8"/>
        <v>24</v>
      </c>
      <c r="Z26" s="659">
        <f t="shared" si="9"/>
        <v>117.60000000000001</v>
      </c>
      <c r="AA26" s="659">
        <f t="shared" si="10"/>
        <v>0</v>
      </c>
      <c r="AB26" s="563">
        <v>17078</v>
      </c>
      <c r="AC26" s="140">
        <f t="shared" si="11"/>
        <v>108</v>
      </c>
      <c r="AD26" s="235">
        <v>191627</v>
      </c>
      <c r="AE26" s="242">
        <f t="shared" si="15"/>
        <v>42</v>
      </c>
      <c r="AF26" s="370">
        <f>'Lpg (2)'!B30*2000/85</f>
        <v>423.52941176470586</v>
      </c>
      <c r="AG26" s="371">
        <f>'Lpg (2)'!C30*1000/85</f>
        <v>1000</v>
      </c>
      <c r="AH26" s="372">
        <f>'Lpg (2)'!D30*1000/85</f>
        <v>1000</v>
      </c>
      <c r="AI26" s="662">
        <f t="shared" si="17"/>
        <v>2847058.8235294116</v>
      </c>
      <c r="AJ26" s="661">
        <f t="shared" si="4"/>
        <v>94117.647058823612</v>
      </c>
      <c r="AK26" s="146"/>
    </row>
    <row r="27" spans="1:37" ht="18" thickBot="1">
      <c r="A27" s="96">
        <f>Gen!A32</f>
        <v>43791</v>
      </c>
      <c r="B27" s="652">
        <f>'Summery Report'!E26</f>
        <v>11</v>
      </c>
      <c r="C27" s="160">
        <f>Gen!B32</f>
        <v>0.14299999999999999</v>
      </c>
      <c r="D27" s="653">
        <f>'Summery Report'!E26</f>
        <v>11</v>
      </c>
      <c r="E27" s="654">
        <f t="shared" si="13"/>
        <v>1.3262195121951219</v>
      </c>
      <c r="F27" s="655">
        <f t="shared" si="14"/>
        <v>219.7774805986696</v>
      </c>
      <c r="G27" s="655">
        <f t="shared" si="0"/>
        <v>230.18709811529928</v>
      </c>
      <c r="H27" s="654">
        <f>Gen!C32</f>
        <v>36326.080000000031</v>
      </c>
      <c r="I27" s="656">
        <f>Gen!E32</f>
        <v>0</v>
      </c>
      <c r="J27" s="144">
        <f>Gen!S32</f>
        <v>1822.8899999999999</v>
      </c>
      <c r="K27" s="144">
        <f>Gen!AJ32</f>
        <v>86.34</v>
      </c>
      <c r="L27" s="144">
        <f t="shared" si="1"/>
        <v>1909.2299999999998</v>
      </c>
      <c r="M27" s="698">
        <f>'Water-Meter'!K67</f>
        <v>354.93008512924109</v>
      </c>
      <c r="N27" s="224">
        <f>'Water-Meter'!E27</f>
        <v>95</v>
      </c>
      <c r="O27" s="235"/>
      <c r="P27" s="235">
        <v>18537</v>
      </c>
      <c r="Q27" s="657">
        <f t="shared" si="2"/>
        <v>0</v>
      </c>
      <c r="R27" s="658">
        <f t="shared" si="5"/>
        <v>0</v>
      </c>
      <c r="S27" s="235"/>
      <c r="T27" s="418">
        <v>15719</v>
      </c>
      <c r="U27" s="657">
        <f t="shared" si="6"/>
        <v>0</v>
      </c>
      <c r="V27" s="659">
        <f t="shared" si="18"/>
        <v>0</v>
      </c>
      <c r="W27" s="235">
        <v>4.9000000000000004</v>
      </c>
      <c r="X27" s="576">
        <v>21683</v>
      </c>
      <c r="Y27" s="657">
        <f t="shared" si="8"/>
        <v>24</v>
      </c>
      <c r="Z27" s="659">
        <f t="shared" si="9"/>
        <v>117.60000000000001</v>
      </c>
      <c r="AA27" s="659">
        <f t="shared" si="10"/>
        <v>0</v>
      </c>
      <c r="AB27" s="563">
        <v>17186</v>
      </c>
      <c r="AC27" s="140">
        <f t="shared" si="11"/>
        <v>108</v>
      </c>
      <c r="AD27" s="235">
        <v>191657</v>
      </c>
      <c r="AE27" s="242">
        <f t="shared" si="15"/>
        <v>30</v>
      </c>
      <c r="AF27" s="370">
        <f>'Lpg (2)'!B31*2000/85</f>
        <v>352.94117647058823</v>
      </c>
      <c r="AG27" s="371">
        <f>'Lpg (2)'!C31*1000/85</f>
        <v>1000</v>
      </c>
      <c r="AH27" s="372">
        <f>'Lpg (2)'!D31*1000/85</f>
        <v>1000</v>
      </c>
      <c r="AI27" s="662">
        <f t="shared" si="17"/>
        <v>2705882.3529411764</v>
      </c>
      <c r="AJ27" s="661">
        <f t="shared" si="4"/>
        <v>141176.47058823518</v>
      </c>
      <c r="AK27" s="146"/>
    </row>
    <row r="28" spans="1:37" ht="18" thickBot="1">
      <c r="A28" s="96">
        <f>Gen!A33</f>
        <v>43792</v>
      </c>
      <c r="B28" s="652">
        <f>'Summery Report'!E27</f>
        <v>13</v>
      </c>
      <c r="C28" s="160">
        <f>Gen!B33</f>
        <v>0.16900000000000001</v>
      </c>
      <c r="D28" s="653">
        <f>'Summery Report'!E27</f>
        <v>13</v>
      </c>
      <c r="E28" s="654">
        <f t="shared" si="13"/>
        <v>1.3262195121951219</v>
      </c>
      <c r="F28" s="655">
        <f t="shared" si="14"/>
        <v>0</v>
      </c>
      <c r="G28" s="655">
        <f t="shared" si="0"/>
        <v>0</v>
      </c>
      <c r="H28" s="654">
        <f>Gen!C33</f>
        <v>34416.850000000028</v>
      </c>
      <c r="I28" s="656">
        <f>Gen!E33</f>
        <v>15000</v>
      </c>
      <c r="J28" s="144">
        <f>Gen!S33</f>
        <v>0</v>
      </c>
      <c r="K28" s="144">
        <f>Gen!AJ33</f>
        <v>0</v>
      </c>
      <c r="L28" s="144">
        <f t="shared" si="1"/>
        <v>0</v>
      </c>
      <c r="M28" s="698">
        <f>'Water-Meter'!K68</f>
        <v>0</v>
      </c>
      <c r="N28" s="224" t="str">
        <f>'Water-Meter'!E28</f>
        <v>0</v>
      </c>
      <c r="O28" s="235"/>
      <c r="P28" s="235"/>
      <c r="Q28" s="657">
        <f t="shared" si="2"/>
        <v>-18537</v>
      </c>
      <c r="R28" s="658">
        <f t="shared" si="5"/>
        <v>0</v>
      </c>
      <c r="S28" s="235"/>
      <c r="T28" s="418"/>
      <c r="U28" s="657">
        <f t="shared" si="6"/>
        <v>-15719</v>
      </c>
      <c r="V28" s="659">
        <f t="shared" si="18"/>
        <v>0</v>
      </c>
      <c r="W28" s="235"/>
      <c r="X28" s="576"/>
      <c r="Y28" s="657">
        <f t="shared" si="8"/>
        <v>-21683</v>
      </c>
      <c r="Z28" s="659">
        <f t="shared" si="9"/>
        <v>0</v>
      </c>
      <c r="AA28" s="659">
        <f t="shared" si="10"/>
        <v>0</v>
      </c>
      <c r="AB28" s="563"/>
      <c r="AC28" s="140">
        <f t="shared" ref="AC28:AC37" si="19">SUM(AB28-AB27)</f>
        <v>-17186</v>
      </c>
      <c r="AD28" s="235"/>
      <c r="AE28" s="242">
        <f t="shared" si="15"/>
        <v>-191657</v>
      </c>
      <c r="AF28" s="370">
        <f>'Lpg (2)'!B32*2000/85</f>
        <v>0</v>
      </c>
      <c r="AG28" s="371">
        <f>'Lpg (2)'!C32*1000/85</f>
        <v>0</v>
      </c>
      <c r="AH28" s="372">
        <f>'Lpg (2)'!D32*1000/85</f>
        <v>0</v>
      </c>
      <c r="AI28" s="662">
        <f t="shared" si="17"/>
        <v>0</v>
      </c>
      <c r="AJ28" s="661">
        <f t="shared" si="4"/>
        <v>2705882.3529411764</v>
      </c>
      <c r="AK28" s="146"/>
    </row>
    <row r="29" spans="1:37" ht="18" thickBot="1">
      <c r="A29" s="96">
        <f>Gen!A34</f>
        <v>43793</v>
      </c>
      <c r="B29" s="652">
        <f>'Summery Report'!E28</f>
        <v>0</v>
      </c>
      <c r="C29" s="160">
        <f>Gen!B34</f>
        <v>0</v>
      </c>
      <c r="D29" s="653">
        <f>'Summery Report'!E28</f>
        <v>0</v>
      </c>
      <c r="E29" s="654">
        <f t="shared" si="13"/>
        <v>1.3262195121951219</v>
      </c>
      <c r="F29" s="655" t="e">
        <f t="shared" si="14"/>
        <v>#DIV/0!</v>
      </c>
      <c r="G29" s="655" t="e">
        <f t="shared" si="0"/>
        <v>#DIV/0!</v>
      </c>
      <c r="H29" s="654">
        <f>Gen!C34</f>
        <v>34416.850000000028</v>
      </c>
      <c r="I29" s="656">
        <f>Gen!E34</f>
        <v>0</v>
      </c>
      <c r="J29" s="144">
        <f>Gen!S34</f>
        <v>0</v>
      </c>
      <c r="K29" s="144">
        <f>Gen!AJ34</f>
        <v>0</v>
      </c>
      <c r="L29" s="144">
        <f t="shared" si="1"/>
        <v>0</v>
      </c>
      <c r="M29" s="698">
        <f>'Water-Meter'!K69</f>
        <v>0</v>
      </c>
      <c r="N29" s="224">
        <f>'Water-Meter'!E29</f>
        <v>0</v>
      </c>
      <c r="O29" s="235"/>
      <c r="P29" s="235"/>
      <c r="Q29" s="657">
        <f t="shared" si="2"/>
        <v>0</v>
      </c>
      <c r="R29" s="658">
        <f t="shared" si="5"/>
        <v>0</v>
      </c>
      <c r="S29" s="235"/>
      <c r="T29" s="418"/>
      <c r="U29" s="657">
        <f t="shared" si="6"/>
        <v>0</v>
      </c>
      <c r="V29" s="659">
        <f t="shared" si="18"/>
        <v>0</v>
      </c>
      <c r="W29" s="235"/>
      <c r="X29" s="576"/>
      <c r="Y29" s="657">
        <f t="shared" si="8"/>
        <v>0</v>
      </c>
      <c r="Z29" s="659">
        <f t="shared" si="9"/>
        <v>0</v>
      </c>
      <c r="AA29" s="659">
        <f t="shared" si="10"/>
        <v>0</v>
      </c>
      <c r="AB29" s="563"/>
      <c r="AC29" s="140">
        <f t="shared" si="19"/>
        <v>0</v>
      </c>
      <c r="AD29" s="235"/>
      <c r="AE29" s="242">
        <f t="shared" si="15"/>
        <v>0</v>
      </c>
      <c r="AF29" s="370">
        <f>'Lpg (2)'!B33*2000/85</f>
        <v>0</v>
      </c>
      <c r="AG29" s="371">
        <f>'Lpg (2)'!C33*1000/85</f>
        <v>0</v>
      </c>
      <c r="AH29" s="372">
        <f>'Lpg (2)'!D33*1000/85</f>
        <v>0</v>
      </c>
      <c r="AI29" s="662">
        <f t="shared" si="17"/>
        <v>0</v>
      </c>
      <c r="AJ29" s="661">
        <f t="shared" si="4"/>
        <v>0</v>
      </c>
      <c r="AK29" s="146"/>
    </row>
    <row r="30" spans="1:37" ht="18" thickBot="1">
      <c r="A30" s="96">
        <f>Gen!A35</f>
        <v>43794</v>
      </c>
      <c r="B30" s="652">
        <f>'Summery Report'!E29</f>
        <v>0</v>
      </c>
      <c r="C30" s="160">
        <f>Gen!B35</f>
        <v>0</v>
      </c>
      <c r="D30" s="653">
        <f>'Summery Report'!E29</f>
        <v>0</v>
      </c>
      <c r="E30" s="654">
        <f t="shared" si="13"/>
        <v>1.3262195121951219</v>
      </c>
      <c r="F30" s="655" t="e">
        <f t="shared" si="14"/>
        <v>#DIV/0!</v>
      </c>
      <c r="G30" s="655" t="e">
        <f t="shared" si="0"/>
        <v>#DIV/0!</v>
      </c>
      <c r="H30" s="654">
        <f>Gen!C35</f>
        <v>34416.850000000028</v>
      </c>
      <c r="I30" s="656">
        <f>Gen!E35</f>
        <v>0</v>
      </c>
      <c r="J30" s="144">
        <f>Gen!S35</f>
        <v>0</v>
      </c>
      <c r="K30" s="144">
        <f>Gen!AJ35</f>
        <v>0</v>
      </c>
      <c r="L30" s="144">
        <f t="shared" si="1"/>
        <v>0</v>
      </c>
      <c r="M30" s="698">
        <f>'Water-Meter'!K70</f>
        <v>0</v>
      </c>
      <c r="N30" s="224">
        <f>'Water-Meter'!E30</f>
        <v>0</v>
      </c>
      <c r="O30" s="235"/>
      <c r="P30" s="235"/>
      <c r="Q30" s="657">
        <f t="shared" si="2"/>
        <v>0</v>
      </c>
      <c r="R30" s="658">
        <f t="shared" si="5"/>
        <v>0</v>
      </c>
      <c r="S30" s="235"/>
      <c r="T30" s="418"/>
      <c r="U30" s="657">
        <f t="shared" si="6"/>
        <v>0</v>
      </c>
      <c r="V30" s="659">
        <f t="shared" si="18"/>
        <v>0</v>
      </c>
      <c r="W30" s="235"/>
      <c r="X30" s="576"/>
      <c r="Y30" s="657">
        <f t="shared" si="8"/>
        <v>0</v>
      </c>
      <c r="Z30" s="659">
        <f t="shared" si="9"/>
        <v>0</v>
      </c>
      <c r="AA30" s="659">
        <f t="shared" si="10"/>
        <v>0</v>
      </c>
      <c r="AB30" s="563"/>
      <c r="AC30" s="140">
        <f t="shared" si="19"/>
        <v>0</v>
      </c>
      <c r="AD30" s="235"/>
      <c r="AE30" s="242">
        <f t="shared" si="15"/>
        <v>0</v>
      </c>
      <c r="AF30" s="370">
        <f>'Lpg (2)'!B34*2000/85</f>
        <v>0</v>
      </c>
      <c r="AG30" s="371">
        <f>'Lpg (2)'!C34*1000/85</f>
        <v>0</v>
      </c>
      <c r="AH30" s="372">
        <f>'Lpg (2)'!D34*1000/85</f>
        <v>0</v>
      </c>
      <c r="AI30" s="662">
        <f t="shared" si="17"/>
        <v>0</v>
      </c>
      <c r="AJ30" s="661">
        <f t="shared" si="4"/>
        <v>0</v>
      </c>
      <c r="AK30" s="146"/>
    </row>
    <row r="31" spans="1:37" ht="18" thickBot="1">
      <c r="A31" s="96">
        <f>Gen!A36</f>
        <v>43795</v>
      </c>
      <c r="B31" s="652">
        <f>'Summery Report'!E30</f>
        <v>0</v>
      </c>
      <c r="C31" s="160">
        <f>Gen!B36</f>
        <v>0</v>
      </c>
      <c r="D31" s="653">
        <f>'Summery Report'!E30</f>
        <v>0</v>
      </c>
      <c r="E31" s="654">
        <f t="shared" si="13"/>
        <v>1.3262195121951219</v>
      </c>
      <c r="F31" s="655" t="e">
        <f t="shared" si="14"/>
        <v>#DIV/0!</v>
      </c>
      <c r="G31" s="655" t="e">
        <f t="shared" si="0"/>
        <v>#DIV/0!</v>
      </c>
      <c r="H31" s="654">
        <f>Gen!C36</f>
        <v>34416.850000000028</v>
      </c>
      <c r="I31" s="656">
        <f>Gen!E36</f>
        <v>0</v>
      </c>
      <c r="J31" s="144">
        <f>Gen!S36</f>
        <v>0</v>
      </c>
      <c r="K31" s="144">
        <f>Gen!AJ36</f>
        <v>0</v>
      </c>
      <c r="L31" s="144">
        <f t="shared" si="1"/>
        <v>0</v>
      </c>
      <c r="M31" s="698">
        <f>'Water-Meter'!K71</f>
        <v>0</v>
      </c>
      <c r="N31" s="224">
        <f>'Water-Meter'!E31</f>
        <v>0</v>
      </c>
      <c r="O31" s="235"/>
      <c r="P31" s="235"/>
      <c r="Q31" s="657">
        <f t="shared" si="2"/>
        <v>0</v>
      </c>
      <c r="R31" s="658">
        <f t="shared" si="5"/>
        <v>0</v>
      </c>
      <c r="S31" s="235"/>
      <c r="T31" s="418"/>
      <c r="U31" s="657">
        <f t="shared" si="6"/>
        <v>0</v>
      </c>
      <c r="V31" s="659">
        <f t="shared" si="18"/>
        <v>0</v>
      </c>
      <c r="W31" s="235"/>
      <c r="X31" s="576"/>
      <c r="Y31" s="657">
        <f t="shared" si="8"/>
        <v>0</v>
      </c>
      <c r="Z31" s="659">
        <f t="shared" si="9"/>
        <v>0</v>
      </c>
      <c r="AA31" s="659">
        <f t="shared" si="10"/>
        <v>0</v>
      </c>
      <c r="AB31" s="563"/>
      <c r="AC31" s="140">
        <f t="shared" si="19"/>
        <v>0</v>
      </c>
      <c r="AD31" s="235"/>
      <c r="AE31" s="242">
        <f t="shared" si="15"/>
        <v>0</v>
      </c>
      <c r="AF31" s="370">
        <f>'Lpg (2)'!B35*2000/85</f>
        <v>0</v>
      </c>
      <c r="AG31" s="371">
        <f>'Lpg (2)'!C35*1000/85</f>
        <v>0</v>
      </c>
      <c r="AH31" s="372">
        <f>'Lpg (2)'!D35*1000/85</f>
        <v>0</v>
      </c>
      <c r="AI31" s="662">
        <f t="shared" si="17"/>
        <v>0</v>
      </c>
      <c r="AJ31" s="661">
        <f t="shared" si="4"/>
        <v>0</v>
      </c>
      <c r="AK31" s="146"/>
    </row>
    <row r="32" spans="1:37" ht="18" thickBot="1">
      <c r="A32" s="96">
        <f>Gen!A37</f>
        <v>43796</v>
      </c>
      <c r="B32" s="652">
        <f>'Summery Report'!E31</f>
        <v>0</v>
      </c>
      <c r="C32" s="160">
        <f>Gen!B37</f>
        <v>0</v>
      </c>
      <c r="D32" s="653">
        <f>'Summery Report'!E31</f>
        <v>0</v>
      </c>
      <c r="E32" s="654">
        <f t="shared" si="13"/>
        <v>1.3262195121951219</v>
      </c>
      <c r="F32" s="655" t="e">
        <f t="shared" si="14"/>
        <v>#DIV/0!</v>
      </c>
      <c r="G32" s="655" t="e">
        <f t="shared" si="0"/>
        <v>#DIV/0!</v>
      </c>
      <c r="H32" s="654">
        <f>Gen!C37</f>
        <v>34416.850000000028</v>
      </c>
      <c r="I32" s="656">
        <f>Gen!E37</f>
        <v>0</v>
      </c>
      <c r="J32" s="144">
        <f>Gen!S37</f>
        <v>0</v>
      </c>
      <c r="K32" s="144">
        <f>Gen!AJ37</f>
        <v>0</v>
      </c>
      <c r="L32" s="144">
        <f t="shared" si="1"/>
        <v>0</v>
      </c>
      <c r="M32" s="698">
        <f>'Water-Meter'!K72</f>
        <v>0</v>
      </c>
      <c r="N32" s="224">
        <f>'Water-Meter'!E32</f>
        <v>0</v>
      </c>
      <c r="O32" s="235"/>
      <c r="P32" s="235"/>
      <c r="Q32" s="657">
        <f t="shared" si="2"/>
        <v>0</v>
      </c>
      <c r="R32" s="658">
        <f t="shared" si="5"/>
        <v>0</v>
      </c>
      <c r="S32" s="235"/>
      <c r="T32" s="418"/>
      <c r="U32" s="657">
        <f t="shared" si="6"/>
        <v>0</v>
      </c>
      <c r="V32" s="659">
        <f t="shared" si="18"/>
        <v>0</v>
      </c>
      <c r="W32" s="235"/>
      <c r="X32" s="576"/>
      <c r="Y32" s="657">
        <f t="shared" si="8"/>
        <v>0</v>
      </c>
      <c r="Z32" s="659">
        <f t="shared" si="9"/>
        <v>0</v>
      </c>
      <c r="AA32" s="659">
        <f t="shared" si="10"/>
        <v>0</v>
      </c>
      <c r="AB32" s="563"/>
      <c r="AC32" s="140">
        <f t="shared" si="19"/>
        <v>0</v>
      </c>
      <c r="AD32" s="235"/>
      <c r="AE32" s="242">
        <f t="shared" si="15"/>
        <v>0</v>
      </c>
      <c r="AF32" s="370">
        <f>'Lpg (2)'!B36*2000/85</f>
        <v>0</v>
      </c>
      <c r="AG32" s="371">
        <f>'Lpg (2)'!C36*1000/85</f>
        <v>0</v>
      </c>
      <c r="AH32" s="372">
        <f>'Lpg (2)'!D36*1000/85</f>
        <v>0</v>
      </c>
      <c r="AI32" s="662">
        <f t="shared" si="17"/>
        <v>0</v>
      </c>
      <c r="AJ32" s="661">
        <f t="shared" si="4"/>
        <v>0</v>
      </c>
      <c r="AK32" s="146"/>
    </row>
    <row r="33" spans="1:37" ht="18" thickBot="1">
      <c r="A33" s="96">
        <f>Gen!A38</f>
        <v>43797</v>
      </c>
      <c r="B33" s="652">
        <f>'Summery Report'!E32</f>
        <v>0</v>
      </c>
      <c r="C33" s="160">
        <f>Gen!B38</f>
        <v>0</v>
      </c>
      <c r="D33" s="653">
        <f>'Summery Report'!E32</f>
        <v>0</v>
      </c>
      <c r="E33" s="654">
        <f t="shared" si="13"/>
        <v>1.3262195121951219</v>
      </c>
      <c r="F33" s="655" t="e">
        <f t="shared" si="14"/>
        <v>#DIV/0!</v>
      </c>
      <c r="G33" s="655" t="e">
        <f t="shared" si="0"/>
        <v>#DIV/0!</v>
      </c>
      <c r="H33" s="654">
        <f>Gen!C38</f>
        <v>34416.850000000028</v>
      </c>
      <c r="I33" s="656">
        <f>Gen!E38</f>
        <v>0</v>
      </c>
      <c r="J33" s="144">
        <f>Gen!S38</f>
        <v>0</v>
      </c>
      <c r="K33" s="144">
        <f>Gen!AJ38</f>
        <v>0</v>
      </c>
      <c r="L33" s="144">
        <f t="shared" si="1"/>
        <v>0</v>
      </c>
      <c r="M33" s="698">
        <f>'Water-Meter'!K73</f>
        <v>0</v>
      </c>
      <c r="N33" s="224">
        <f>'Water-Meter'!E33</f>
        <v>0</v>
      </c>
      <c r="O33" s="235"/>
      <c r="P33" s="235"/>
      <c r="Q33" s="657">
        <f t="shared" si="2"/>
        <v>0</v>
      </c>
      <c r="R33" s="658">
        <f t="shared" si="5"/>
        <v>0</v>
      </c>
      <c r="S33" s="235"/>
      <c r="T33" s="418"/>
      <c r="U33" s="657">
        <f t="shared" si="6"/>
        <v>0</v>
      </c>
      <c r="V33" s="659">
        <f t="shared" si="18"/>
        <v>0</v>
      </c>
      <c r="W33" s="235"/>
      <c r="X33" s="576"/>
      <c r="Y33" s="657">
        <f t="shared" si="8"/>
        <v>0</v>
      </c>
      <c r="Z33" s="659">
        <f t="shared" si="9"/>
        <v>0</v>
      </c>
      <c r="AA33" s="659">
        <f t="shared" si="10"/>
        <v>0</v>
      </c>
      <c r="AB33" s="563"/>
      <c r="AC33" s="140">
        <f t="shared" si="19"/>
        <v>0</v>
      </c>
      <c r="AD33" s="235"/>
      <c r="AE33" s="242">
        <f t="shared" si="15"/>
        <v>0</v>
      </c>
      <c r="AF33" s="370">
        <f>'Lpg (2)'!B37*2000/85</f>
        <v>0</v>
      </c>
      <c r="AG33" s="371">
        <f>'Lpg (2)'!C37*1000/85</f>
        <v>0</v>
      </c>
      <c r="AH33" s="372">
        <f>'Lpg (2)'!D37*1000/85</f>
        <v>0</v>
      </c>
      <c r="AI33" s="662">
        <f t="shared" si="17"/>
        <v>0</v>
      </c>
      <c r="AJ33" s="661">
        <f t="shared" si="4"/>
        <v>0</v>
      </c>
      <c r="AK33" s="146"/>
    </row>
    <row r="34" spans="1:37" ht="18" thickBot="1">
      <c r="A34" s="96">
        <f>Gen!A39</f>
        <v>43798</v>
      </c>
      <c r="B34" s="652">
        <f>'Summery Report'!E33</f>
        <v>0</v>
      </c>
      <c r="C34" s="160">
        <f>Gen!B39</f>
        <v>0</v>
      </c>
      <c r="D34" s="653">
        <f>'Summery Report'!E33</f>
        <v>0</v>
      </c>
      <c r="E34" s="654">
        <f t="shared" si="13"/>
        <v>1.3262195121951219</v>
      </c>
      <c r="F34" s="655" t="e">
        <f t="shared" si="14"/>
        <v>#DIV/0!</v>
      </c>
      <c r="G34" s="655" t="e">
        <f t="shared" si="0"/>
        <v>#DIV/0!</v>
      </c>
      <c r="H34" s="654">
        <f>Gen!C39</f>
        <v>34416.850000000028</v>
      </c>
      <c r="I34" s="656">
        <f>Gen!E39</f>
        <v>0</v>
      </c>
      <c r="J34" s="144">
        <f>Gen!S39</f>
        <v>0</v>
      </c>
      <c r="K34" s="144">
        <f>Gen!AJ39</f>
        <v>0</v>
      </c>
      <c r="L34" s="144">
        <f t="shared" si="1"/>
        <v>0</v>
      </c>
      <c r="M34" s="698">
        <f>'Water-Meter'!K74</f>
        <v>0</v>
      </c>
      <c r="N34" s="224">
        <f>'Water-Meter'!E34</f>
        <v>0</v>
      </c>
      <c r="O34" s="235"/>
      <c r="P34" s="235"/>
      <c r="Q34" s="657">
        <f t="shared" si="2"/>
        <v>0</v>
      </c>
      <c r="R34" s="658">
        <f t="shared" si="5"/>
        <v>0</v>
      </c>
      <c r="S34" s="235"/>
      <c r="T34" s="418"/>
      <c r="U34" s="657">
        <f t="shared" si="6"/>
        <v>0</v>
      </c>
      <c r="V34" s="659">
        <f t="shared" si="18"/>
        <v>0</v>
      </c>
      <c r="W34" s="235"/>
      <c r="X34" s="576"/>
      <c r="Y34" s="657">
        <f t="shared" si="8"/>
        <v>0</v>
      </c>
      <c r="Z34" s="659">
        <f t="shared" si="9"/>
        <v>0</v>
      </c>
      <c r="AA34" s="659">
        <f t="shared" si="10"/>
        <v>0</v>
      </c>
      <c r="AB34" s="563"/>
      <c r="AC34" s="140">
        <f t="shared" si="19"/>
        <v>0</v>
      </c>
      <c r="AD34" s="235"/>
      <c r="AE34" s="242">
        <f t="shared" si="15"/>
        <v>0</v>
      </c>
      <c r="AF34" s="370">
        <f>'Lpg (2)'!B38*2000/85</f>
        <v>0</v>
      </c>
      <c r="AG34" s="371">
        <f>'Lpg (2)'!C38*1000/85</f>
        <v>0</v>
      </c>
      <c r="AH34" s="372">
        <f>'Lpg (2)'!D38*1000/85</f>
        <v>0</v>
      </c>
      <c r="AI34" s="662">
        <f t="shared" si="17"/>
        <v>0</v>
      </c>
      <c r="AJ34" s="661">
        <f t="shared" si="4"/>
        <v>0</v>
      </c>
      <c r="AK34" s="146"/>
    </row>
    <row r="35" spans="1:37" ht="18" thickBot="1">
      <c r="A35" s="96">
        <f>Gen!A40</f>
        <v>43799</v>
      </c>
      <c r="B35" s="652">
        <f>'Summery Report'!E34</f>
        <v>0</v>
      </c>
      <c r="C35" s="160">
        <f>Gen!B40</f>
        <v>0</v>
      </c>
      <c r="D35" s="653">
        <f>'Summery Report'!E34</f>
        <v>0</v>
      </c>
      <c r="E35" s="654">
        <f t="shared" si="13"/>
        <v>1.3262195121951219</v>
      </c>
      <c r="F35" s="655" t="e">
        <f t="shared" si="14"/>
        <v>#DIV/0!</v>
      </c>
      <c r="G35" s="655" t="e">
        <f t="shared" si="0"/>
        <v>#DIV/0!</v>
      </c>
      <c r="H35" s="654">
        <f>Gen!C40</f>
        <v>34416.850000000028</v>
      </c>
      <c r="I35" s="656">
        <f>Gen!E40</f>
        <v>18000</v>
      </c>
      <c r="J35" s="144">
        <f>Gen!S40</f>
        <v>0</v>
      </c>
      <c r="K35" s="144">
        <f>Gen!AJ40</f>
        <v>0</v>
      </c>
      <c r="L35" s="144">
        <f t="shared" si="1"/>
        <v>0</v>
      </c>
      <c r="M35" s="698">
        <f>'Water-Meter'!K75</f>
        <v>0</v>
      </c>
      <c r="N35" s="224">
        <f>'Water-Meter'!E35</f>
        <v>0</v>
      </c>
      <c r="O35" s="235"/>
      <c r="P35" s="235"/>
      <c r="Q35" s="657">
        <f t="shared" si="2"/>
        <v>0</v>
      </c>
      <c r="R35" s="658">
        <f t="shared" si="5"/>
        <v>0</v>
      </c>
      <c r="S35" s="235"/>
      <c r="T35" s="418"/>
      <c r="U35" s="657">
        <f t="shared" si="6"/>
        <v>0</v>
      </c>
      <c r="V35" s="659">
        <f t="shared" si="18"/>
        <v>0</v>
      </c>
      <c r="W35" s="235"/>
      <c r="X35" s="576"/>
      <c r="Y35" s="657">
        <f t="shared" si="8"/>
        <v>0</v>
      </c>
      <c r="Z35" s="659">
        <f t="shared" si="9"/>
        <v>0</v>
      </c>
      <c r="AA35" s="659">
        <f t="shared" si="10"/>
        <v>0</v>
      </c>
      <c r="AB35" s="563"/>
      <c r="AC35" s="140">
        <f t="shared" si="19"/>
        <v>0</v>
      </c>
      <c r="AD35" s="235"/>
      <c r="AE35" s="242">
        <f t="shared" si="15"/>
        <v>0</v>
      </c>
      <c r="AF35" s="370">
        <f>'Lpg (2)'!B39*2000/85</f>
        <v>0</v>
      </c>
      <c r="AG35" s="371">
        <f>'Lpg (2)'!C39*1000/85</f>
        <v>0</v>
      </c>
      <c r="AH35" s="372">
        <f>'Lpg (2)'!D39*1000/85</f>
        <v>0</v>
      </c>
      <c r="AI35" s="662">
        <f t="shared" si="17"/>
        <v>0</v>
      </c>
      <c r="AJ35" s="661">
        <f t="shared" si="4"/>
        <v>0</v>
      </c>
      <c r="AK35" s="148"/>
    </row>
    <row r="36" spans="1:37" ht="18" thickBot="1">
      <c r="A36" s="96">
        <f>Gen!A41</f>
        <v>43800</v>
      </c>
      <c r="B36" s="652">
        <f>'Summery Report'!E35</f>
        <v>0</v>
      </c>
      <c r="C36" s="160">
        <f>Gen!B41</f>
        <v>0</v>
      </c>
      <c r="D36" s="653">
        <f>'Summery Report'!E35</f>
        <v>0</v>
      </c>
      <c r="E36" s="654">
        <f t="shared" si="13"/>
        <v>1.3262195121951219</v>
      </c>
      <c r="F36" s="655" t="e">
        <f t="shared" si="14"/>
        <v>#DIV/0!</v>
      </c>
      <c r="G36" s="655" t="e">
        <f t="shared" si="0"/>
        <v>#DIV/0!</v>
      </c>
      <c r="H36" s="654">
        <f>Gen!C41</f>
        <v>34416.850000000028</v>
      </c>
      <c r="I36" s="656">
        <f>Gen!E41</f>
        <v>0</v>
      </c>
      <c r="J36" s="144">
        <f>Gen!S41</f>
        <v>0</v>
      </c>
      <c r="K36" s="144">
        <f>Gen!AJ41</f>
        <v>0</v>
      </c>
      <c r="L36" s="144">
        <f t="shared" si="1"/>
        <v>0</v>
      </c>
      <c r="M36" s="698">
        <f>'Water-Meter'!K76</f>
        <v>0</v>
      </c>
      <c r="N36" s="224">
        <f>'Water-Meter'!E36</f>
        <v>0</v>
      </c>
      <c r="O36" s="235"/>
      <c r="P36" s="235"/>
      <c r="Q36" s="657">
        <f t="shared" si="2"/>
        <v>0</v>
      </c>
      <c r="R36" s="658">
        <f t="shared" si="5"/>
        <v>0</v>
      </c>
      <c r="S36" s="235"/>
      <c r="T36" s="418"/>
      <c r="U36" s="657">
        <f t="shared" si="6"/>
        <v>0</v>
      </c>
      <c r="V36" s="659">
        <f t="shared" si="18"/>
        <v>0</v>
      </c>
      <c r="W36" s="235"/>
      <c r="X36" s="576"/>
      <c r="Y36" s="657">
        <f t="shared" si="8"/>
        <v>0</v>
      </c>
      <c r="Z36" s="659">
        <f t="shared" si="9"/>
        <v>0</v>
      </c>
      <c r="AA36" s="659">
        <f t="shared" si="10"/>
        <v>0</v>
      </c>
      <c r="AB36" s="563"/>
      <c r="AC36" s="140">
        <f t="shared" si="19"/>
        <v>0</v>
      </c>
      <c r="AD36" s="235"/>
      <c r="AE36" s="242">
        <f t="shared" si="15"/>
        <v>0</v>
      </c>
      <c r="AF36" s="370">
        <f>'Lpg (2)'!B40*2000/85</f>
        <v>0</v>
      </c>
      <c r="AG36" s="371">
        <f>'Lpg (2)'!C40*1000/85</f>
        <v>0</v>
      </c>
      <c r="AH36" s="372">
        <f>'Lpg (2)'!D40*1000/85</f>
        <v>0</v>
      </c>
      <c r="AI36" s="663">
        <f>SUM(AF36*1000)+(AG36*1000)+(AH36*2000)</f>
        <v>0</v>
      </c>
      <c r="AJ36" s="664">
        <f t="shared" si="4"/>
        <v>0</v>
      </c>
      <c r="AK36" s="148"/>
    </row>
    <row r="37" spans="1:37" s="9" customFormat="1" ht="15.75" thickBot="1">
      <c r="A37" s="163" t="s">
        <v>69</v>
      </c>
      <c r="B37" s="164">
        <v>0</v>
      </c>
      <c r="C37" s="165"/>
      <c r="D37" s="165"/>
      <c r="E37" s="165"/>
      <c r="F37" s="165"/>
      <c r="G37" s="165"/>
      <c r="H37" s="166"/>
      <c r="I37" s="167"/>
      <c r="J37" s="168">
        <f>SUM(J6:J36)</f>
        <v>47893.16</v>
      </c>
      <c r="K37" s="168"/>
      <c r="L37" s="144">
        <f t="shared" si="1"/>
        <v>47893.16</v>
      </c>
      <c r="M37" s="169"/>
      <c r="N37" s="224">
        <f>'Water-Meter'!E37</f>
        <v>0</v>
      </c>
      <c r="O37" s="169"/>
      <c r="P37" s="169"/>
      <c r="Q37" s="169"/>
      <c r="R37" s="169"/>
      <c r="S37" s="169"/>
      <c r="T37" s="169"/>
      <c r="U37" s="395"/>
      <c r="V37" s="169"/>
      <c r="W37" s="169"/>
      <c r="X37" s="169"/>
      <c r="Y37" s="169"/>
      <c r="Z37" s="169"/>
      <c r="AA37" s="665"/>
      <c r="AB37" s="170"/>
      <c r="AC37" s="140">
        <f t="shared" si="19"/>
        <v>0</v>
      </c>
      <c r="AD37" s="235"/>
      <c r="AE37" s="242">
        <f t="shared" si="15"/>
        <v>0</v>
      </c>
      <c r="AF37" s="169"/>
      <c r="AG37" s="169"/>
      <c r="AH37" s="169"/>
      <c r="AI37" s="166"/>
      <c r="AJ37" s="171">
        <f>SUM(AJ6:AJ36)</f>
        <v>0</v>
      </c>
      <c r="AK37" s="172">
        <f>SUM(AK6:AK36)</f>
        <v>0</v>
      </c>
    </row>
    <row r="38" spans="1:37" s="76" customFormat="1">
      <c r="A38" s="391"/>
      <c r="B38" s="392"/>
      <c r="C38" s="393"/>
      <c r="D38" s="393"/>
      <c r="E38" s="393"/>
      <c r="F38" s="393"/>
      <c r="G38" s="393"/>
      <c r="H38" s="392"/>
      <c r="I38" s="392"/>
      <c r="J38" s="394"/>
      <c r="K38" s="394"/>
      <c r="L38" s="394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161"/>
      <c r="Y38" s="161"/>
      <c r="Z38" s="161"/>
      <c r="AA38" s="141"/>
      <c r="AB38" s="141"/>
      <c r="AC38" s="162"/>
      <c r="AD38" s="141"/>
      <c r="AE38" s="162"/>
      <c r="AF38" s="161"/>
      <c r="AG38" s="161"/>
      <c r="AH38" s="161"/>
      <c r="AI38" s="141"/>
      <c r="AJ38" s="141"/>
      <c r="AK38" s="161"/>
    </row>
    <row r="39" spans="1:37">
      <c r="C39" s="142"/>
      <c r="J39" s="142"/>
      <c r="X39" s="142"/>
      <c r="AF39" s="142"/>
      <c r="AH39" s="141"/>
    </row>
    <row r="40" spans="1:37" ht="30.75" customHeight="1">
      <c r="C40" s="142"/>
      <c r="J40" s="142"/>
      <c r="X40" s="142"/>
    </row>
    <row r="41" spans="1:37">
      <c r="C41" s="142"/>
      <c r="J41" s="142"/>
    </row>
    <row r="42" spans="1:37">
      <c r="C42" s="142"/>
      <c r="J42" s="142"/>
    </row>
    <row r="43" spans="1:37" ht="15">
      <c r="C43" s="142"/>
      <c r="J43" s="142"/>
      <c r="X43" s="666"/>
    </row>
    <row r="44" spans="1:37" ht="15">
      <c r="C44" s="142"/>
      <c r="J44" s="142"/>
      <c r="X44" s="667"/>
    </row>
    <row r="45" spans="1:37" ht="15">
      <c r="C45" s="142"/>
      <c r="J45" s="142"/>
      <c r="X45" s="666"/>
    </row>
    <row r="46" spans="1:37" ht="15">
      <c r="C46" s="142"/>
      <c r="J46" s="142"/>
      <c r="X46" s="667"/>
    </row>
    <row r="47" spans="1:37">
      <c r="C47" s="142"/>
      <c r="J47" s="142"/>
    </row>
    <row r="48" spans="1:37">
      <c r="C48" s="142"/>
      <c r="J48" s="142"/>
    </row>
    <row r="49" spans="3:10">
      <c r="C49" s="142"/>
      <c r="J49" s="142"/>
    </row>
    <row r="50" spans="3:10">
      <c r="C50" s="142"/>
      <c r="J50" s="142"/>
    </row>
    <row r="51" spans="3:10">
      <c r="C51" s="142"/>
      <c r="J51" s="142"/>
    </row>
    <row r="52" spans="3:10">
      <c r="C52" s="142"/>
      <c r="J52" s="142"/>
    </row>
    <row r="53" spans="3:10">
      <c r="C53" s="142"/>
      <c r="J53" s="142"/>
    </row>
    <row r="54" spans="3:10">
      <c r="C54" s="142"/>
      <c r="J54" s="142"/>
    </row>
    <row r="55" spans="3:10">
      <c r="C55" s="142"/>
      <c r="J55" s="142"/>
    </row>
    <row r="56" spans="3:10">
      <c r="C56" s="142"/>
      <c r="J56" s="142"/>
    </row>
    <row r="57" spans="3:10">
      <c r="C57" s="142"/>
      <c r="J57" s="142"/>
    </row>
    <row r="58" spans="3:10">
      <c r="C58" s="142"/>
      <c r="J58" s="142"/>
    </row>
    <row r="59" spans="3:10">
      <c r="C59" s="142"/>
      <c r="J59" s="142"/>
    </row>
    <row r="60" spans="3:10">
      <c r="C60" s="142"/>
      <c r="J60" s="142"/>
    </row>
    <row r="61" spans="3:10">
      <c r="C61" s="142"/>
      <c r="J61" s="142"/>
    </row>
    <row r="62" spans="3:10">
      <c r="C62" s="142"/>
      <c r="J62" s="142"/>
    </row>
    <row r="63" spans="3:10">
      <c r="C63" s="142"/>
      <c r="J63" s="142"/>
    </row>
    <row r="64" spans="3:10">
      <c r="C64" s="142"/>
      <c r="J64" s="142"/>
    </row>
    <row r="65" spans="3:24">
      <c r="C65" s="142"/>
      <c r="J65" s="142"/>
    </row>
    <row r="66" spans="3:24" ht="15">
      <c r="C66" s="142"/>
      <c r="J66" s="142"/>
      <c r="X66" s="668"/>
    </row>
    <row r="67" spans="3:24" ht="15">
      <c r="C67" s="142"/>
      <c r="J67" s="142"/>
      <c r="X67" s="669"/>
    </row>
    <row r="68" spans="3:24" ht="15">
      <c r="C68" s="142"/>
      <c r="J68" s="142"/>
      <c r="X68" s="669"/>
    </row>
    <row r="69" spans="3:24" ht="15">
      <c r="C69" s="142"/>
      <c r="J69" s="142"/>
      <c r="X69" s="669"/>
    </row>
    <row r="70" spans="3:24" ht="15">
      <c r="C70" s="142"/>
      <c r="J70" s="142"/>
      <c r="X70" s="669"/>
    </row>
    <row r="71" spans="3:24" ht="15">
      <c r="C71" s="142"/>
      <c r="J71" s="142"/>
      <c r="X71" s="669"/>
    </row>
    <row r="72" spans="3:24">
      <c r="C72" s="142"/>
      <c r="J72" s="142"/>
      <c r="X72" s="21"/>
    </row>
    <row r="73" spans="3:24">
      <c r="C73" s="142"/>
      <c r="J73" s="142"/>
      <c r="X73" s="21"/>
    </row>
    <row r="74" spans="3:24">
      <c r="C74" s="142"/>
      <c r="J74" s="142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E9" sqref="E9"/>
    </sheetView>
  </sheetViews>
  <sheetFormatPr defaultRowHeight="12.75"/>
  <cols>
    <col min="1" max="1" width="9.140625" style="52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7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70" t="s">
        <v>152</v>
      </c>
      <c r="C1" s="771"/>
      <c r="D1" s="771"/>
      <c r="E1" s="771"/>
      <c r="F1" s="772"/>
      <c r="G1" s="192"/>
      <c r="H1" s="770" t="s">
        <v>153</v>
      </c>
      <c r="I1" s="771"/>
      <c r="J1" s="771"/>
      <c r="K1" s="771"/>
      <c r="L1" s="772"/>
      <c r="M1" s="770" t="s">
        <v>172</v>
      </c>
      <c r="N1" s="771"/>
      <c r="O1" s="771"/>
      <c r="P1" s="771"/>
      <c r="Q1" s="772"/>
      <c r="R1" s="192"/>
      <c r="T1" s="770" t="s">
        <v>168</v>
      </c>
      <c r="U1" s="771"/>
      <c r="V1" s="771"/>
      <c r="W1" s="771"/>
      <c r="X1" s="772"/>
      <c r="Y1" s="770" t="s">
        <v>171</v>
      </c>
      <c r="Z1" s="771"/>
      <c r="AA1" s="771"/>
      <c r="AB1" s="771"/>
      <c r="AC1" s="772"/>
    </row>
    <row r="2" spans="1:34" ht="75.75" thickBot="1">
      <c r="A2" s="210" t="s">
        <v>24</v>
      </c>
      <c r="B2" s="193" t="s">
        <v>154</v>
      </c>
      <c r="C2" s="194" t="s">
        <v>155</v>
      </c>
      <c r="D2" s="195" t="s">
        <v>156</v>
      </c>
      <c r="E2" s="195" t="s">
        <v>157</v>
      </c>
      <c r="F2" s="196" t="s">
        <v>161</v>
      </c>
      <c r="G2" s="197"/>
      <c r="H2" s="193" t="s">
        <v>154</v>
      </c>
      <c r="I2" s="194" t="s">
        <v>155</v>
      </c>
      <c r="J2" s="195" t="s">
        <v>165</v>
      </c>
      <c r="K2" s="195" t="s">
        <v>164</v>
      </c>
      <c r="L2" s="213" t="s">
        <v>162</v>
      </c>
      <c r="M2" s="193" t="s">
        <v>154</v>
      </c>
      <c r="N2" s="194" t="s">
        <v>155</v>
      </c>
      <c r="O2" s="195" t="s">
        <v>165</v>
      </c>
      <c r="P2" s="195" t="s">
        <v>164</v>
      </c>
      <c r="Q2" s="213" t="s">
        <v>162</v>
      </c>
      <c r="R2" s="486" t="s">
        <v>163</v>
      </c>
      <c r="S2" s="487" t="s">
        <v>160</v>
      </c>
      <c r="T2" s="193" t="s">
        <v>154</v>
      </c>
      <c r="U2" s="194" t="s">
        <v>155</v>
      </c>
      <c r="V2" s="195" t="s">
        <v>170</v>
      </c>
      <c r="W2" s="195" t="s">
        <v>169</v>
      </c>
      <c r="X2" s="196" t="s">
        <v>161</v>
      </c>
      <c r="Y2" s="193" t="s">
        <v>154</v>
      </c>
      <c r="Z2" s="194" t="s">
        <v>155</v>
      </c>
      <c r="AA2" s="195" t="s">
        <v>165</v>
      </c>
      <c r="AB2" s="195" t="s">
        <v>164</v>
      </c>
      <c r="AC2" s="196" t="s">
        <v>162</v>
      </c>
    </row>
    <row r="3" spans="1:34" ht="31.5" customHeight="1" thickBot="1">
      <c r="A3" s="211">
        <v>43770</v>
      </c>
      <c r="B3" s="773" t="s">
        <v>158</v>
      </c>
      <c r="C3" s="774"/>
      <c r="D3" s="208"/>
      <c r="E3" s="580"/>
      <c r="F3" s="209" t="s">
        <v>159</v>
      </c>
      <c r="G3" s="200"/>
      <c r="H3" s="773" t="s">
        <v>158</v>
      </c>
      <c r="I3" s="774"/>
      <c r="J3" s="333"/>
      <c r="K3" s="485">
        <f>'[1]Water-Meter'!G5</f>
        <v>36423</v>
      </c>
      <c r="L3" s="333"/>
      <c r="M3" s="773" t="s">
        <v>158</v>
      </c>
      <c r="N3" s="774"/>
      <c r="O3" s="208"/>
      <c r="P3" s="217">
        <f>'[1]Water-Meter'!J5</f>
        <v>7351</v>
      </c>
      <c r="Q3" s="207"/>
      <c r="R3" s="333"/>
      <c r="S3" s="490"/>
      <c r="T3" s="773" t="s">
        <v>158</v>
      </c>
      <c r="U3" s="774"/>
      <c r="V3" s="208"/>
      <c r="W3" s="199"/>
      <c r="X3" s="206">
        <f t="shared" ref="X3:X35" si="0">(W3-V3)*200</f>
        <v>0</v>
      </c>
      <c r="Y3" s="773" t="s">
        <v>158</v>
      </c>
      <c r="Z3" s="774"/>
      <c r="AA3" s="208"/>
      <c r="AB3" s="217">
        <f>'[1]Water-Meter'!P5</f>
        <v>18541</v>
      </c>
      <c r="AC3" s="222"/>
    </row>
    <row r="4" spans="1:34" ht="19.5" thickBot="1">
      <c r="A4" s="212">
        <f>Gen!B11</f>
        <v>0.87</v>
      </c>
      <c r="B4" s="96">
        <f>Gen!A11</f>
        <v>43770</v>
      </c>
      <c r="C4" s="205"/>
      <c r="D4" s="580">
        <v>8043.7</v>
      </c>
      <c r="E4" s="580">
        <v>8048</v>
      </c>
      <c r="F4" s="206">
        <f t="shared" ref="F4:F15" si="1">SUM(E4-D4)*120</f>
        <v>516.00000000002183</v>
      </c>
      <c r="G4" s="200"/>
      <c r="H4" s="245">
        <f>B4</f>
        <v>43770</v>
      </c>
      <c r="I4" s="198"/>
      <c r="J4" s="198">
        <f t="shared" ref="J4:J30" si="2">SUM(K3)</f>
        <v>36423</v>
      </c>
      <c r="K4" s="377">
        <f>'[1]Water-Meter'!G6</f>
        <v>36434</v>
      </c>
      <c r="L4" s="214">
        <f t="shared" ref="L4:L34" si="3">SUM(K4-J4)</f>
        <v>11</v>
      </c>
      <c r="M4" s="488">
        <f>H4</f>
        <v>43770</v>
      </c>
      <c r="N4" s="205"/>
      <c r="O4" s="205">
        <f t="shared" ref="O4:O33" si="4">SUM(P3)</f>
        <v>7351</v>
      </c>
      <c r="P4" s="489">
        <f>'[1]Water-Meter'!J6</f>
        <v>7353</v>
      </c>
      <c r="Q4" s="214">
        <f t="shared" ref="Q4:Q34" si="5">SUM(P4-O4)</f>
        <v>2</v>
      </c>
      <c r="R4" s="219">
        <f t="shared" ref="R4:R20" si="6">SUM(Q4/1615)</f>
        <v>1.238390092879257E-3</v>
      </c>
      <c r="S4" s="220" t="e">
        <f>SUM(F4/[1]Gen!T10)</f>
        <v>#DIV/0!</v>
      </c>
      <c r="T4" s="488">
        <f>M4</f>
        <v>43770</v>
      </c>
      <c r="U4" s="205"/>
      <c r="V4" s="199">
        <v>7244.3</v>
      </c>
      <c r="W4" s="199">
        <v>7248.6</v>
      </c>
      <c r="X4" s="206">
        <f t="shared" si="0"/>
        <v>860.00000000003638</v>
      </c>
      <c r="Y4" s="245">
        <f>T4</f>
        <v>43770</v>
      </c>
      <c r="Z4" s="198"/>
      <c r="AA4" s="198">
        <v>3397.9</v>
      </c>
      <c r="AB4" s="217">
        <f>'[1]Water-Meter'!P6</f>
        <v>18547</v>
      </c>
      <c r="AC4" s="206">
        <f t="shared" ref="AC4:AC34" si="7">SUM(AB4-AA4)</f>
        <v>15149.1</v>
      </c>
    </row>
    <row r="5" spans="1:34" ht="19.5" thickBot="1">
      <c r="A5" s="212">
        <f>Gen!B12</f>
        <v>0.76600000000000001</v>
      </c>
      <c r="B5" s="96">
        <f>Gen!A12</f>
        <v>43771</v>
      </c>
      <c r="C5" s="198"/>
      <c r="D5" s="198">
        <f t="shared" ref="D5:D23" si="8">E4</f>
        <v>8048</v>
      </c>
      <c r="E5" s="580">
        <v>8052.3</v>
      </c>
      <c r="F5" s="206">
        <f t="shared" si="1"/>
        <v>516.00000000002183</v>
      </c>
      <c r="G5" s="200"/>
      <c r="H5" s="245">
        <f t="shared" ref="H5:H35" si="9">B5</f>
        <v>43771</v>
      </c>
      <c r="I5" s="198"/>
      <c r="J5" s="198">
        <f t="shared" si="2"/>
        <v>36434</v>
      </c>
      <c r="K5" s="244">
        <f>'[1]Water-Meter'!G7</f>
        <v>36454</v>
      </c>
      <c r="L5" s="214">
        <f t="shared" si="3"/>
        <v>20</v>
      </c>
      <c r="M5" s="245">
        <f t="shared" ref="M5:M35" si="10">H5</f>
        <v>43771</v>
      </c>
      <c r="N5" s="198"/>
      <c r="O5" s="198">
        <f t="shared" si="4"/>
        <v>7353</v>
      </c>
      <c r="P5" s="217">
        <f>'[1]Water-Meter'!J7</f>
        <v>7357</v>
      </c>
      <c r="Q5" s="214">
        <f t="shared" si="5"/>
        <v>4</v>
      </c>
      <c r="R5" s="219">
        <f t="shared" si="6"/>
        <v>2.4767801857585141E-3</v>
      </c>
      <c r="S5" s="220">
        <f>SUM(F5/[1]Gen!T11)</f>
        <v>9.1021344152411685E-2</v>
      </c>
      <c r="T5" s="245">
        <f t="shared" ref="T5:T30" si="11">M5</f>
        <v>43771</v>
      </c>
      <c r="U5" s="198"/>
      <c r="V5" s="198">
        <f t="shared" ref="V5:V33" si="12">W4</f>
        <v>7248.6</v>
      </c>
      <c r="W5" s="199">
        <v>7253.1</v>
      </c>
      <c r="X5" s="206">
        <f t="shared" si="0"/>
        <v>900</v>
      </c>
      <c r="Y5" s="245">
        <f t="shared" ref="Y5:Y30" si="13">T5</f>
        <v>43771</v>
      </c>
      <c r="Z5" s="198"/>
      <c r="AA5" s="198">
        <f t="shared" ref="AA5:AA35" si="14">SUM(AB4)</f>
        <v>18547</v>
      </c>
      <c r="AB5" s="217">
        <f>'[1]Water-Meter'!P7</f>
        <v>18554</v>
      </c>
      <c r="AC5" s="206">
        <f t="shared" si="7"/>
        <v>7</v>
      </c>
    </row>
    <row r="6" spans="1:34" ht="19.5" thickBot="1">
      <c r="A6" s="212">
        <f>Gen!B13</f>
        <v>0.11</v>
      </c>
      <c r="B6" s="96">
        <f>Gen!A13</f>
        <v>43772</v>
      </c>
      <c r="C6" s="198"/>
      <c r="D6" s="198">
        <f t="shared" si="8"/>
        <v>8052.3</v>
      </c>
      <c r="E6" s="580">
        <v>8056.4</v>
      </c>
      <c r="F6" s="206">
        <f t="shared" si="1"/>
        <v>491.99999999993452</v>
      </c>
      <c r="G6" s="200"/>
      <c r="H6" s="245">
        <f t="shared" si="9"/>
        <v>43772</v>
      </c>
      <c r="I6" s="198"/>
      <c r="J6" s="198">
        <f t="shared" si="2"/>
        <v>36454</v>
      </c>
      <c r="K6" s="244">
        <f>'[1]Water-Meter'!G8</f>
        <v>36472</v>
      </c>
      <c r="L6" s="214">
        <f t="shared" si="3"/>
        <v>18</v>
      </c>
      <c r="M6" s="245">
        <f t="shared" si="10"/>
        <v>43772</v>
      </c>
      <c r="N6" s="198"/>
      <c r="O6" s="198">
        <f t="shared" si="4"/>
        <v>7357</v>
      </c>
      <c r="P6" s="217">
        <f>'[1]Water-Meter'!J8</f>
        <v>7360</v>
      </c>
      <c r="Q6" s="214">
        <f t="shared" si="5"/>
        <v>3</v>
      </c>
      <c r="R6" s="216">
        <f t="shared" si="6"/>
        <v>1.8575851393188853E-3</v>
      </c>
      <c r="S6" s="218">
        <f>SUM(F6/[1]Gen!T12)</f>
        <v>7.9883097905493514E-2</v>
      </c>
      <c r="T6" s="245">
        <f t="shared" si="11"/>
        <v>43772</v>
      </c>
      <c r="U6" s="198"/>
      <c r="V6" s="198">
        <f t="shared" si="12"/>
        <v>7253.1</v>
      </c>
      <c r="W6" s="199">
        <v>7257.2</v>
      </c>
      <c r="X6" s="206">
        <f t="shared" si="0"/>
        <v>819.99999999989086</v>
      </c>
      <c r="Y6" s="245">
        <f t="shared" si="13"/>
        <v>43772</v>
      </c>
      <c r="Z6" s="198"/>
      <c r="AA6" s="198">
        <f t="shared" si="14"/>
        <v>18554</v>
      </c>
      <c r="AB6" s="217">
        <f>'[1]Water-Meter'!P8</f>
        <v>18563</v>
      </c>
      <c r="AC6" s="206">
        <f t="shared" si="7"/>
        <v>9</v>
      </c>
    </row>
    <row r="7" spans="1:34" ht="19.5" thickBot="1">
      <c r="A7" s="212">
        <f>Gen!B14</f>
        <v>0.13</v>
      </c>
      <c r="B7" s="96">
        <f>Gen!A14</f>
        <v>43773</v>
      </c>
      <c r="C7" s="198"/>
      <c r="D7" s="198">
        <f t="shared" si="8"/>
        <v>8056.4</v>
      </c>
      <c r="E7" s="580">
        <v>8061</v>
      </c>
      <c r="F7" s="206">
        <f t="shared" si="1"/>
        <v>552.00000000004366</v>
      </c>
      <c r="G7" s="200"/>
      <c r="H7" s="245">
        <f t="shared" si="9"/>
        <v>43773</v>
      </c>
      <c r="I7" s="198"/>
      <c r="J7" s="198">
        <f t="shared" si="2"/>
        <v>36472</v>
      </c>
      <c r="K7" s="244">
        <f>'[1]Water-Meter'!G9</f>
        <v>36485</v>
      </c>
      <c r="L7" s="214">
        <f t="shared" si="3"/>
        <v>13</v>
      </c>
      <c r="M7" s="245">
        <f t="shared" si="10"/>
        <v>43773</v>
      </c>
      <c r="N7" s="198"/>
      <c r="O7" s="198">
        <f t="shared" si="4"/>
        <v>7360</v>
      </c>
      <c r="P7" s="217">
        <f>'[1]Water-Meter'!J9</f>
        <v>7364</v>
      </c>
      <c r="Q7" s="214">
        <f t="shared" si="5"/>
        <v>4</v>
      </c>
      <c r="R7" s="216">
        <f t="shared" si="6"/>
        <v>2.4767801857585141E-3</v>
      </c>
      <c r="S7" s="218">
        <f>SUM(F7/[1]Gen!T13)</f>
        <v>8.3890577507605424E-2</v>
      </c>
      <c r="T7" s="245">
        <f t="shared" si="11"/>
        <v>43773</v>
      </c>
      <c r="U7" s="198"/>
      <c r="V7" s="198">
        <f t="shared" si="12"/>
        <v>7257.2</v>
      </c>
      <c r="W7" s="199">
        <v>7262.5</v>
      </c>
      <c r="X7" s="206">
        <f t="shared" si="0"/>
        <v>1060.0000000000364</v>
      </c>
      <c r="Y7" s="245">
        <f t="shared" si="13"/>
        <v>43773</v>
      </c>
      <c r="Z7" s="198"/>
      <c r="AA7" s="198">
        <f t="shared" si="14"/>
        <v>18563</v>
      </c>
      <c r="AB7" s="217">
        <f>'[1]Water-Meter'!P9</f>
        <v>18575</v>
      </c>
      <c r="AC7" s="206">
        <f t="shared" si="7"/>
        <v>12</v>
      </c>
    </row>
    <row r="8" spans="1:34" ht="19.5" thickBot="1">
      <c r="A8" s="212">
        <f>Gen!B15</f>
        <v>0.50600000000000001</v>
      </c>
      <c r="B8" s="96">
        <f>Gen!A15</f>
        <v>43774</v>
      </c>
      <c r="C8" s="198"/>
      <c r="D8" s="198">
        <f t="shared" si="8"/>
        <v>8061</v>
      </c>
      <c r="E8" s="580">
        <v>8065.7</v>
      </c>
      <c r="F8" s="206">
        <f t="shared" si="1"/>
        <v>563.99999999997817</v>
      </c>
      <c r="G8" s="200"/>
      <c r="H8" s="245">
        <f t="shared" si="9"/>
        <v>43774</v>
      </c>
      <c r="I8" s="198"/>
      <c r="J8" s="198">
        <f t="shared" si="2"/>
        <v>36485</v>
      </c>
      <c r="K8" s="244">
        <f>'[1]Water-Meter'!G10</f>
        <v>36500</v>
      </c>
      <c r="L8" s="214">
        <f t="shared" si="3"/>
        <v>15</v>
      </c>
      <c r="M8" s="245">
        <f t="shared" si="10"/>
        <v>43774</v>
      </c>
      <c r="N8" s="198"/>
      <c r="O8" s="198">
        <f t="shared" si="4"/>
        <v>7364</v>
      </c>
      <c r="P8" s="217">
        <f>'[1]Water-Meter'!J10</f>
        <v>7367</v>
      </c>
      <c r="Q8" s="214">
        <f t="shared" si="5"/>
        <v>3</v>
      </c>
      <c r="R8" s="216">
        <f t="shared" si="6"/>
        <v>1.8575851393188853E-3</v>
      </c>
      <c r="S8" s="218">
        <f>SUM(F8/[1]Gen!T14)</f>
        <v>9.0631528201828404E-2</v>
      </c>
      <c r="T8" s="245">
        <f t="shared" si="11"/>
        <v>43774</v>
      </c>
      <c r="U8" s="198"/>
      <c r="V8" s="198">
        <f t="shared" si="12"/>
        <v>7262.5</v>
      </c>
      <c r="W8" s="199">
        <v>7266.8</v>
      </c>
      <c r="X8" s="206">
        <f t="shared" si="0"/>
        <v>860.00000000003638</v>
      </c>
      <c r="Y8" s="245">
        <f t="shared" si="13"/>
        <v>43774</v>
      </c>
      <c r="Z8" s="198"/>
      <c r="AA8" s="198">
        <f t="shared" si="14"/>
        <v>18575</v>
      </c>
      <c r="AB8" s="217">
        <f>'[1]Water-Meter'!P10</f>
        <v>18586</v>
      </c>
      <c r="AC8" s="206">
        <f t="shared" si="7"/>
        <v>11</v>
      </c>
    </row>
    <row r="9" spans="1:34" ht="19.5" thickBot="1">
      <c r="A9" s="212">
        <f>Gen!B16</f>
        <v>0.312</v>
      </c>
      <c r="B9" s="96">
        <f>Gen!A16</f>
        <v>43775</v>
      </c>
      <c r="C9" s="198"/>
      <c r="D9" s="198">
        <f t="shared" si="8"/>
        <v>8065.7</v>
      </c>
      <c r="E9" s="580">
        <v>8069.9</v>
      </c>
      <c r="F9" s="206">
        <f t="shared" si="1"/>
        <v>503.99999999997817</v>
      </c>
      <c r="G9" s="200"/>
      <c r="H9" s="245">
        <f t="shared" si="9"/>
        <v>43775</v>
      </c>
      <c r="I9" s="198"/>
      <c r="J9" s="198">
        <f t="shared" si="2"/>
        <v>36500</v>
      </c>
      <c r="K9" s="244">
        <f>'[1]Water-Meter'!G11</f>
        <v>36516</v>
      </c>
      <c r="L9" s="214">
        <f t="shared" si="3"/>
        <v>16</v>
      </c>
      <c r="M9" s="245">
        <f t="shared" si="10"/>
        <v>43775</v>
      </c>
      <c r="N9" s="198"/>
      <c r="O9" s="198">
        <f t="shared" si="4"/>
        <v>7367</v>
      </c>
      <c r="P9" s="217">
        <f>'[1]Water-Meter'!J11</f>
        <v>7369</v>
      </c>
      <c r="Q9" s="214">
        <f t="shared" si="5"/>
        <v>2</v>
      </c>
      <c r="R9" s="216">
        <f t="shared" si="6"/>
        <v>1.238390092879257E-3</v>
      </c>
      <c r="S9" s="218">
        <f>SUM(F9/[1]Gen!T15)</f>
        <v>8.4224598930477637E-2</v>
      </c>
      <c r="T9" s="245">
        <f t="shared" si="11"/>
        <v>43775</v>
      </c>
      <c r="U9" s="198"/>
      <c r="V9" s="198">
        <f t="shared" si="12"/>
        <v>7266.8</v>
      </c>
      <c r="W9" s="199">
        <v>7271.1</v>
      </c>
      <c r="X9" s="206">
        <f t="shared" si="0"/>
        <v>860.00000000003638</v>
      </c>
      <c r="Y9" s="245">
        <f t="shared" si="13"/>
        <v>43775</v>
      </c>
      <c r="Z9" s="198"/>
      <c r="AA9" s="198">
        <f t="shared" si="14"/>
        <v>18586</v>
      </c>
      <c r="AB9" s="217">
        <f>'[1]Water-Meter'!P11</f>
        <v>18593</v>
      </c>
      <c r="AC9" s="206">
        <f t="shared" si="7"/>
        <v>7</v>
      </c>
    </row>
    <row r="10" spans="1:34" ht="19.5" thickBot="1">
      <c r="A10" s="212">
        <f>Gen!B17</f>
        <v>0.19500000000000001</v>
      </c>
      <c r="B10" s="96">
        <f>Gen!A17</f>
        <v>43776</v>
      </c>
      <c r="C10" s="198"/>
      <c r="D10" s="198">
        <f t="shared" si="8"/>
        <v>8069.9</v>
      </c>
      <c r="E10" s="580">
        <v>8073.8</v>
      </c>
      <c r="F10" s="206">
        <f t="shared" si="1"/>
        <v>468.00000000006548</v>
      </c>
      <c r="G10" s="200"/>
      <c r="H10" s="245">
        <f t="shared" si="9"/>
        <v>43776</v>
      </c>
      <c r="I10" s="198"/>
      <c r="J10" s="198">
        <f t="shared" si="2"/>
        <v>36516</v>
      </c>
      <c r="K10" s="244">
        <f>'[1]Water-Meter'!G12</f>
        <v>36529</v>
      </c>
      <c r="L10" s="214">
        <f t="shared" si="3"/>
        <v>13</v>
      </c>
      <c r="M10" s="245">
        <f t="shared" si="10"/>
        <v>43776</v>
      </c>
      <c r="N10" s="198"/>
      <c r="O10" s="198">
        <f t="shared" si="4"/>
        <v>7369</v>
      </c>
      <c r="P10" s="217">
        <f>'[1]Water-Meter'!J12</f>
        <v>7372</v>
      </c>
      <c r="Q10" s="214">
        <f t="shared" si="5"/>
        <v>3</v>
      </c>
      <c r="R10" s="216">
        <f t="shared" si="6"/>
        <v>1.8575851393188853E-3</v>
      </c>
      <c r="S10" s="218">
        <f>SUM(F10/[1]Gen!T16)</f>
        <v>7.6683598230389227E-2</v>
      </c>
      <c r="T10" s="245">
        <f t="shared" si="11"/>
        <v>43776</v>
      </c>
      <c r="U10" s="198"/>
      <c r="V10" s="198">
        <f t="shared" si="12"/>
        <v>7271.1</v>
      </c>
      <c r="W10" s="199">
        <v>7274.6</v>
      </c>
      <c r="X10" s="206">
        <f t="shared" si="0"/>
        <v>700</v>
      </c>
      <c r="Y10" s="245">
        <f t="shared" si="13"/>
        <v>43776</v>
      </c>
      <c r="Z10" s="198"/>
      <c r="AA10" s="198">
        <f t="shared" si="14"/>
        <v>18593</v>
      </c>
      <c r="AB10" s="217">
        <f>'[1]Water-Meter'!P12</f>
        <v>18606</v>
      </c>
      <c r="AC10" s="206">
        <f t="shared" si="7"/>
        <v>13</v>
      </c>
      <c r="AH10">
        <v>5850</v>
      </c>
    </row>
    <row r="11" spans="1:34" ht="19.5" thickBot="1">
      <c r="A11" s="212">
        <f>Gen!B18</f>
        <v>0.16900000000000001</v>
      </c>
      <c r="B11" s="96">
        <f>Gen!A18</f>
        <v>43777</v>
      </c>
      <c r="C11" s="198"/>
      <c r="D11" s="198">
        <f t="shared" si="8"/>
        <v>8073.8</v>
      </c>
      <c r="E11" s="580">
        <v>8078.1</v>
      </c>
      <c r="F11" s="206">
        <f t="shared" si="1"/>
        <v>516.00000000002183</v>
      </c>
      <c r="G11" s="200"/>
      <c r="H11" s="245">
        <f t="shared" si="9"/>
        <v>43777</v>
      </c>
      <c r="I11" s="198"/>
      <c r="J11" s="198">
        <f t="shared" si="2"/>
        <v>36529</v>
      </c>
      <c r="K11" s="244">
        <f>'[1]Water-Meter'!G13</f>
        <v>36543</v>
      </c>
      <c r="L11" s="214">
        <f t="shared" si="3"/>
        <v>14</v>
      </c>
      <c r="M11" s="245">
        <f t="shared" si="10"/>
        <v>43777</v>
      </c>
      <c r="N11" s="198"/>
      <c r="O11" s="198">
        <f t="shared" si="4"/>
        <v>7372</v>
      </c>
      <c r="P11" s="217">
        <f>'[1]Water-Meter'!J13</f>
        <v>7374</v>
      </c>
      <c r="Q11" s="214">
        <f t="shared" si="5"/>
        <v>2</v>
      </c>
      <c r="R11" s="216">
        <f t="shared" si="6"/>
        <v>1.238390092879257E-3</v>
      </c>
      <c r="S11" s="218">
        <f>SUM(F11/[1]Gen!T17)</f>
        <v>9.2539454806316687E-2</v>
      </c>
      <c r="T11" s="245">
        <f t="shared" si="11"/>
        <v>43777</v>
      </c>
      <c r="U11" s="198"/>
      <c r="V11" s="198">
        <f t="shared" si="12"/>
        <v>7274.6</v>
      </c>
      <c r="W11" s="199">
        <v>7278.3</v>
      </c>
      <c r="X11" s="206">
        <f t="shared" si="0"/>
        <v>739.99999999996362</v>
      </c>
      <c r="Y11" s="245">
        <f t="shared" si="13"/>
        <v>43777</v>
      </c>
      <c r="Z11" s="198"/>
      <c r="AA11" s="198">
        <f t="shared" si="14"/>
        <v>18606</v>
      </c>
      <c r="AB11" s="217">
        <f>'[1]Water-Meter'!P13</f>
        <v>18616</v>
      </c>
      <c r="AC11" s="206">
        <f t="shared" si="7"/>
        <v>10</v>
      </c>
    </row>
    <row r="12" spans="1:34" ht="19.5" thickBot="1">
      <c r="A12" s="212">
        <f>Gen!B19</f>
        <v>0.16900000000000001</v>
      </c>
      <c r="B12" s="96">
        <f>Gen!A19</f>
        <v>43778</v>
      </c>
      <c r="C12" s="198"/>
      <c r="D12" s="198">
        <f t="shared" si="8"/>
        <v>8078.1</v>
      </c>
      <c r="E12" s="580">
        <v>8082.2</v>
      </c>
      <c r="F12" s="206">
        <f t="shared" si="1"/>
        <v>491.99999999993452</v>
      </c>
      <c r="G12" s="200"/>
      <c r="H12" s="245">
        <f t="shared" si="9"/>
        <v>43778</v>
      </c>
      <c r="I12" s="198"/>
      <c r="J12" s="198">
        <f t="shared" si="2"/>
        <v>36543</v>
      </c>
      <c r="K12" s="244">
        <f>'[1]Water-Meter'!G14</f>
        <v>36560</v>
      </c>
      <c r="L12" s="214">
        <f t="shared" si="3"/>
        <v>17</v>
      </c>
      <c r="M12" s="245">
        <f t="shared" si="10"/>
        <v>43778</v>
      </c>
      <c r="N12" s="198"/>
      <c r="O12" s="198">
        <f t="shared" si="4"/>
        <v>7374</v>
      </c>
      <c r="P12" s="217">
        <f>'[1]Water-Meter'!J14</f>
        <v>7377</v>
      </c>
      <c r="Q12" s="214">
        <f t="shared" si="5"/>
        <v>3</v>
      </c>
      <c r="R12" s="216">
        <f t="shared" si="6"/>
        <v>1.8575851393188853E-3</v>
      </c>
      <c r="S12" s="218">
        <f>SUM(F12/[1]Gen!T18)</f>
        <v>8.8937093275476234E-2</v>
      </c>
      <c r="T12" s="245">
        <f t="shared" si="11"/>
        <v>43778</v>
      </c>
      <c r="U12" s="198"/>
      <c r="V12" s="198">
        <f t="shared" si="12"/>
        <v>7278.3</v>
      </c>
      <c r="W12" s="199">
        <v>7282.3</v>
      </c>
      <c r="X12" s="206">
        <f t="shared" si="0"/>
        <v>800</v>
      </c>
      <c r="Y12" s="245">
        <f t="shared" si="13"/>
        <v>43778</v>
      </c>
      <c r="Z12" s="198"/>
      <c r="AA12" s="198">
        <f t="shared" si="14"/>
        <v>18616</v>
      </c>
      <c r="AB12" s="217">
        <f>'[1]Water-Meter'!P14</f>
        <v>18623</v>
      </c>
      <c r="AC12" s="206"/>
    </row>
    <row r="13" spans="1:34" ht="19.5" thickBot="1">
      <c r="A13" s="212">
        <f>Gen!B20</f>
        <v>0.46800000000000003</v>
      </c>
      <c r="B13" s="96">
        <f>Gen!A20</f>
        <v>43779</v>
      </c>
      <c r="C13" s="198"/>
      <c r="D13" s="198">
        <f t="shared" si="8"/>
        <v>8082.2</v>
      </c>
      <c r="E13" s="580">
        <v>8086.2</v>
      </c>
      <c r="F13" s="206">
        <f t="shared" si="1"/>
        <v>480</v>
      </c>
      <c r="G13" s="200"/>
      <c r="H13" s="245">
        <f t="shared" si="9"/>
        <v>43779</v>
      </c>
      <c r="I13" s="198"/>
      <c r="J13" s="198">
        <f t="shared" si="2"/>
        <v>36560</v>
      </c>
      <c r="K13" s="244">
        <f>'[1]Water-Meter'!G15</f>
        <v>36574</v>
      </c>
      <c r="L13" s="214">
        <f t="shared" si="3"/>
        <v>14</v>
      </c>
      <c r="M13" s="245">
        <f t="shared" si="10"/>
        <v>43779</v>
      </c>
      <c r="N13" s="198"/>
      <c r="O13" s="198">
        <f t="shared" si="4"/>
        <v>7377</v>
      </c>
      <c r="P13" s="217">
        <f>'[1]Water-Meter'!J15</f>
        <v>7381</v>
      </c>
      <c r="Q13" s="214">
        <f t="shared" si="5"/>
        <v>4</v>
      </c>
      <c r="R13" s="216">
        <f t="shared" si="6"/>
        <v>2.4767801857585141E-3</v>
      </c>
      <c r="S13" s="218">
        <f>SUM(F13/[1]Gen!T19)</f>
        <v>7.7009465746831388E-2</v>
      </c>
      <c r="T13" s="245">
        <f t="shared" si="11"/>
        <v>43779</v>
      </c>
      <c r="U13" s="198"/>
      <c r="V13" s="198">
        <f t="shared" si="12"/>
        <v>7282.3</v>
      </c>
      <c r="W13" s="199">
        <v>7285.9</v>
      </c>
      <c r="X13" s="206">
        <f t="shared" si="0"/>
        <v>719.99999999989086</v>
      </c>
      <c r="Y13" s="245">
        <f t="shared" si="13"/>
        <v>43779</v>
      </c>
      <c r="Z13" s="198"/>
      <c r="AA13" s="198">
        <f t="shared" si="14"/>
        <v>18623</v>
      </c>
      <c r="AB13" s="217">
        <f>'[1]Water-Meter'!P15</f>
        <v>18634</v>
      </c>
      <c r="AC13" s="206">
        <f>SUM(AB13-AA13)</f>
        <v>11</v>
      </c>
    </row>
    <row r="14" spans="1:34" ht="19.5" thickBot="1">
      <c r="A14" s="212">
        <f>Gen!B21</f>
        <v>0.94799999999999995</v>
      </c>
      <c r="B14" s="96">
        <f>Gen!A21</f>
        <v>43780</v>
      </c>
      <c r="C14" s="198"/>
      <c r="D14" s="198">
        <f t="shared" si="8"/>
        <v>8086.2</v>
      </c>
      <c r="E14" s="580">
        <v>8091</v>
      </c>
      <c r="F14" s="206">
        <f t="shared" si="1"/>
        <v>576.00000000002183</v>
      </c>
      <c r="G14" s="200"/>
      <c r="H14" s="245">
        <f t="shared" si="9"/>
        <v>43780</v>
      </c>
      <c r="I14" s="198"/>
      <c r="J14" s="198">
        <f t="shared" si="2"/>
        <v>36574</v>
      </c>
      <c r="K14" s="244">
        <f>'[1]Water-Meter'!G16</f>
        <v>36591</v>
      </c>
      <c r="L14" s="214">
        <f t="shared" si="3"/>
        <v>17</v>
      </c>
      <c r="M14" s="245">
        <f t="shared" si="10"/>
        <v>43780</v>
      </c>
      <c r="N14" s="198"/>
      <c r="O14" s="198">
        <f t="shared" si="4"/>
        <v>7381</v>
      </c>
      <c r="P14" s="217">
        <f>'[1]Water-Meter'!J16</f>
        <v>7385</v>
      </c>
      <c r="Q14" s="214">
        <f t="shared" si="5"/>
        <v>4</v>
      </c>
      <c r="R14" s="216">
        <f t="shared" si="6"/>
        <v>2.4767801857585141E-3</v>
      </c>
      <c r="S14" s="218">
        <f>SUM(F14/[1]Gen!T20)</f>
        <v>9.5002474022764613E-2</v>
      </c>
      <c r="T14" s="245">
        <f t="shared" si="11"/>
        <v>43780</v>
      </c>
      <c r="U14" s="198"/>
      <c r="V14" s="198">
        <f t="shared" si="12"/>
        <v>7285.9</v>
      </c>
      <c r="W14" s="199">
        <v>7290.8</v>
      </c>
      <c r="X14" s="206">
        <f t="shared" si="0"/>
        <v>980.00000000010914</v>
      </c>
      <c r="Y14" s="245">
        <f t="shared" si="13"/>
        <v>43780</v>
      </c>
      <c r="Z14" s="198"/>
      <c r="AA14" s="198">
        <f t="shared" si="14"/>
        <v>18634</v>
      </c>
      <c r="AB14" s="217">
        <f>'[1]Water-Meter'!P16</f>
        <v>18643</v>
      </c>
      <c r="AC14" s="206">
        <f t="shared" si="7"/>
        <v>9</v>
      </c>
    </row>
    <row r="15" spans="1:34" ht="19.5" thickBot="1">
      <c r="A15" s="212">
        <f>Gen!B22</f>
        <v>0.93500000000000005</v>
      </c>
      <c r="B15" s="96">
        <f>Gen!A22</f>
        <v>43781</v>
      </c>
      <c r="C15" s="198"/>
      <c r="D15" s="198">
        <f t="shared" si="8"/>
        <v>8091</v>
      </c>
      <c r="E15" s="580">
        <v>8095.4</v>
      </c>
      <c r="F15" s="206">
        <f t="shared" si="1"/>
        <v>527.99999999995634</v>
      </c>
      <c r="G15" s="200"/>
      <c r="H15" s="245">
        <f t="shared" si="9"/>
        <v>43781</v>
      </c>
      <c r="I15" s="198"/>
      <c r="J15" s="198">
        <f t="shared" si="2"/>
        <v>36591</v>
      </c>
      <c r="K15" s="244">
        <f>'[1]Water-Meter'!G17</f>
        <v>36605</v>
      </c>
      <c r="L15" s="214">
        <f t="shared" si="3"/>
        <v>14</v>
      </c>
      <c r="M15" s="245">
        <f t="shared" si="10"/>
        <v>43781</v>
      </c>
      <c r="N15" s="198"/>
      <c r="O15" s="198">
        <f t="shared" si="4"/>
        <v>7385</v>
      </c>
      <c r="P15" s="217">
        <f>'[1]Water-Meter'!J17</f>
        <v>7388</v>
      </c>
      <c r="Q15" s="214">
        <f t="shared" si="5"/>
        <v>3</v>
      </c>
      <c r="R15" s="216">
        <f t="shared" si="6"/>
        <v>1.8575851393188853E-3</v>
      </c>
      <c r="S15" s="218">
        <f>SUM(F15/[1]Gen!T21)</f>
        <v>8.8486676721963517E-2</v>
      </c>
      <c r="T15" s="245">
        <f t="shared" si="11"/>
        <v>43781</v>
      </c>
      <c r="U15" s="198"/>
      <c r="V15" s="198">
        <f t="shared" si="12"/>
        <v>7290.8</v>
      </c>
      <c r="W15" s="199">
        <v>7295.1</v>
      </c>
      <c r="X15" s="206">
        <f t="shared" si="0"/>
        <v>860.00000000003638</v>
      </c>
      <c r="Y15" s="245">
        <f t="shared" si="13"/>
        <v>43781</v>
      </c>
      <c r="Z15" s="198"/>
      <c r="AA15" s="198">
        <f t="shared" si="14"/>
        <v>18643</v>
      </c>
      <c r="AB15" s="217">
        <f>'[1]Water-Meter'!P17</f>
        <v>18652</v>
      </c>
      <c r="AC15" s="206">
        <f t="shared" si="7"/>
        <v>9</v>
      </c>
    </row>
    <row r="16" spans="1:34" ht="19.5" thickBot="1">
      <c r="A16" s="212">
        <f>Gen!B23</f>
        <v>0.48099999999999998</v>
      </c>
      <c r="B16" s="96">
        <f>Gen!A23</f>
        <v>43782</v>
      </c>
      <c r="C16" s="198"/>
      <c r="D16" s="198">
        <f t="shared" si="8"/>
        <v>8095.4</v>
      </c>
      <c r="E16" s="580">
        <v>8099.6</v>
      </c>
      <c r="F16" s="206">
        <f>SUM(E16-D16)*120</f>
        <v>504.00000000008731</v>
      </c>
      <c r="G16" s="200"/>
      <c r="H16" s="245">
        <f t="shared" si="9"/>
        <v>43782</v>
      </c>
      <c r="I16" s="198"/>
      <c r="J16" s="198">
        <f t="shared" si="2"/>
        <v>36605</v>
      </c>
      <c r="K16" s="244">
        <f>'[1]Water-Meter'!G18</f>
        <v>36619</v>
      </c>
      <c r="L16" s="214">
        <f t="shared" si="3"/>
        <v>14</v>
      </c>
      <c r="M16" s="245">
        <f t="shared" si="10"/>
        <v>43782</v>
      </c>
      <c r="N16" s="198"/>
      <c r="O16" s="198">
        <f t="shared" si="4"/>
        <v>7388</v>
      </c>
      <c r="P16" s="217">
        <f>'[1]Water-Meter'!J18</f>
        <v>7390</v>
      </c>
      <c r="Q16" s="214">
        <f t="shared" si="5"/>
        <v>2</v>
      </c>
      <c r="R16" s="216">
        <f t="shared" si="6"/>
        <v>1.238390092879257E-3</v>
      </c>
      <c r="S16" s="218">
        <f>SUM(F16/[1]Gen!T22)</f>
        <v>8.5962817670149641E-2</v>
      </c>
      <c r="T16" s="245">
        <f t="shared" si="11"/>
        <v>43782</v>
      </c>
      <c r="U16" s="198"/>
      <c r="V16" s="198">
        <f t="shared" si="12"/>
        <v>7295.1</v>
      </c>
      <c r="W16" s="199">
        <v>7298.6</v>
      </c>
      <c r="X16" s="206">
        <f t="shared" si="0"/>
        <v>700</v>
      </c>
      <c r="Y16" s="245">
        <f t="shared" si="13"/>
        <v>43782</v>
      </c>
      <c r="Z16" s="198"/>
      <c r="AA16" s="198">
        <f t="shared" si="14"/>
        <v>18652</v>
      </c>
      <c r="AB16" s="217">
        <f>'[1]Water-Meter'!P18</f>
        <v>18661</v>
      </c>
      <c r="AC16" s="206">
        <f t="shared" si="7"/>
        <v>9</v>
      </c>
    </row>
    <row r="17" spans="1:29" ht="19.5" thickBot="1">
      <c r="A17" s="212">
        <f>Gen!B24</f>
        <v>0.52600000000000002</v>
      </c>
      <c r="B17" s="96">
        <f>Gen!A24</f>
        <v>43783</v>
      </c>
      <c r="C17" s="198"/>
      <c r="D17" s="198">
        <f t="shared" si="8"/>
        <v>8099.6</v>
      </c>
      <c r="E17" s="580">
        <v>8103.7</v>
      </c>
      <c r="F17" s="206">
        <f>SUM(E17-D17)*120</f>
        <v>491.99999999993452</v>
      </c>
      <c r="G17" s="200"/>
      <c r="H17" s="245">
        <f t="shared" si="9"/>
        <v>43783</v>
      </c>
      <c r="I17" s="198"/>
      <c r="J17" s="198">
        <f t="shared" si="2"/>
        <v>36619</v>
      </c>
      <c r="K17" s="244">
        <f>'[1]Water-Meter'!G19</f>
        <v>36632</v>
      </c>
      <c r="L17" s="214">
        <f t="shared" si="3"/>
        <v>13</v>
      </c>
      <c r="M17" s="245">
        <f t="shared" si="10"/>
        <v>43783</v>
      </c>
      <c r="N17" s="198"/>
      <c r="O17" s="198">
        <f t="shared" si="4"/>
        <v>7390</v>
      </c>
      <c r="P17" s="217">
        <f>'[1]Water-Meter'!J19</f>
        <v>7393</v>
      </c>
      <c r="Q17" s="214">
        <f t="shared" si="5"/>
        <v>3</v>
      </c>
      <c r="R17" s="216">
        <f t="shared" si="6"/>
        <v>1.8575851393188853E-3</v>
      </c>
      <c r="S17" s="218">
        <f>SUM(F17/[1]Gen!T23)</f>
        <v>8.6013986013974572E-2</v>
      </c>
      <c r="T17" s="245">
        <f t="shared" si="11"/>
        <v>43783</v>
      </c>
      <c r="U17" s="198"/>
      <c r="V17" s="198">
        <f t="shared" si="12"/>
        <v>7298.6</v>
      </c>
      <c r="W17" s="199">
        <v>7303.5</v>
      </c>
      <c r="X17" s="206">
        <f t="shared" si="0"/>
        <v>979.99999999992724</v>
      </c>
      <c r="Y17" s="245">
        <f t="shared" si="13"/>
        <v>43783</v>
      </c>
      <c r="Z17" s="198"/>
      <c r="AA17" s="198">
        <f t="shared" si="14"/>
        <v>18661</v>
      </c>
      <c r="AB17" s="217">
        <f>'[1]Water-Meter'!P19</f>
        <v>18672</v>
      </c>
      <c r="AC17" s="206">
        <f t="shared" si="7"/>
        <v>11</v>
      </c>
    </row>
    <row r="18" spans="1:29" ht="19.5" thickBot="1">
      <c r="A18" s="212">
        <f>Gen!B25</f>
        <v>0.221</v>
      </c>
      <c r="B18" s="96">
        <f>Gen!A25</f>
        <v>43784</v>
      </c>
      <c r="C18" s="198"/>
      <c r="D18" s="198">
        <f t="shared" si="8"/>
        <v>8103.7</v>
      </c>
      <c r="E18" s="580">
        <v>8107.8</v>
      </c>
      <c r="F18" s="206">
        <f t="shared" ref="F18:F22" si="15">SUM(E18-D18)*120</f>
        <v>492.00000000004366</v>
      </c>
      <c r="G18" s="200"/>
      <c r="H18" s="245">
        <f t="shared" si="9"/>
        <v>43784</v>
      </c>
      <c r="I18" s="198"/>
      <c r="J18" s="198">
        <f t="shared" si="2"/>
        <v>36632</v>
      </c>
      <c r="K18" s="244">
        <f>'[1]Water-Meter'!G20</f>
        <v>36651</v>
      </c>
      <c r="L18" s="214">
        <f t="shared" si="3"/>
        <v>19</v>
      </c>
      <c r="M18" s="245">
        <f t="shared" si="10"/>
        <v>43784</v>
      </c>
      <c r="N18" s="198"/>
      <c r="O18" s="198">
        <f t="shared" si="4"/>
        <v>7393</v>
      </c>
      <c r="P18" s="217">
        <f>'[1]Water-Meter'!J20</f>
        <v>7396</v>
      </c>
      <c r="Q18" s="214">
        <f t="shared" si="5"/>
        <v>3</v>
      </c>
      <c r="R18" s="216">
        <f t="shared" si="6"/>
        <v>1.8575851393188853E-3</v>
      </c>
      <c r="S18" s="218">
        <f>SUM(F18/[1]Gen!T24)</f>
        <v>7.9418886198554264E-2</v>
      </c>
      <c r="T18" s="245">
        <f t="shared" si="11"/>
        <v>43784</v>
      </c>
      <c r="U18" s="198"/>
      <c r="V18" s="198">
        <f t="shared" si="12"/>
        <v>7303.5</v>
      </c>
      <c r="W18" s="199">
        <v>7307.9</v>
      </c>
      <c r="X18" s="206">
        <f t="shared" si="0"/>
        <v>879.99999999992724</v>
      </c>
      <c r="Y18" s="245">
        <f t="shared" si="13"/>
        <v>43784</v>
      </c>
      <c r="Z18" s="198"/>
      <c r="AA18" s="198">
        <f t="shared" si="14"/>
        <v>18672</v>
      </c>
      <c r="AB18" s="217">
        <f>'[1]Water-Meter'!P20</f>
        <v>18680</v>
      </c>
      <c r="AC18" s="206">
        <f>SUM(AB18-AA18)</f>
        <v>8</v>
      </c>
    </row>
    <row r="19" spans="1:29" ht="19.5" thickBot="1">
      <c r="A19" s="212">
        <f>Gen!B26</f>
        <v>0.156</v>
      </c>
      <c r="B19" s="96">
        <f>Gen!A26</f>
        <v>43785</v>
      </c>
      <c r="C19" s="201"/>
      <c r="D19" s="198">
        <f t="shared" si="8"/>
        <v>8107.8</v>
      </c>
      <c r="E19" s="580">
        <v>8111.9</v>
      </c>
      <c r="F19" s="206">
        <f t="shared" si="15"/>
        <v>491.99999999993452</v>
      </c>
      <c r="G19" s="200"/>
      <c r="H19" s="245">
        <f t="shared" si="9"/>
        <v>43785</v>
      </c>
      <c r="I19" s="201"/>
      <c r="J19" s="198">
        <f t="shared" si="2"/>
        <v>36651</v>
      </c>
      <c r="K19" s="244">
        <f>'[1]Water-Meter'!G21</f>
        <v>36668</v>
      </c>
      <c r="L19" s="214">
        <f t="shared" si="3"/>
        <v>17</v>
      </c>
      <c r="M19" s="245">
        <f t="shared" si="10"/>
        <v>43785</v>
      </c>
      <c r="N19" s="201"/>
      <c r="O19" s="198">
        <f t="shared" si="4"/>
        <v>7396</v>
      </c>
      <c r="P19" s="217">
        <f>'[1]Water-Meter'!J21</f>
        <v>7398</v>
      </c>
      <c r="Q19" s="214">
        <f t="shared" si="5"/>
        <v>2</v>
      </c>
      <c r="R19" s="216">
        <f t="shared" si="6"/>
        <v>1.238390092879257E-3</v>
      </c>
      <c r="S19" s="218">
        <f>SUM(F19/[1]Gen!T25)</f>
        <v>7.6279069767431706E-2</v>
      </c>
      <c r="T19" s="245">
        <f t="shared" si="11"/>
        <v>43785</v>
      </c>
      <c r="U19" s="201"/>
      <c r="V19" s="198">
        <f t="shared" si="12"/>
        <v>7307.9</v>
      </c>
      <c r="W19" s="199">
        <v>7313.9</v>
      </c>
      <c r="X19" s="206">
        <f t="shared" si="0"/>
        <v>1200</v>
      </c>
      <c r="Y19" s="245">
        <f t="shared" si="13"/>
        <v>43785</v>
      </c>
      <c r="Z19" s="201"/>
      <c r="AA19" s="198">
        <f t="shared" si="14"/>
        <v>18680</v>
      </c>
      <c r="AB19" s="217">
        <f>'[1]Water-Meter'!P21</f>
        <v>18689</v>
      </c>
      <c r="AC19" s="206">
        <f t="shared" si="7"/>
        <v>9</v>
      </c>
    </row>
    <row r="20" spans="1:29" ht="19.5" thickBot="1">
      <c r="A20" s="212">
        <f>Gen!B27</f>
        <v>0.623</v>
      </c>
      <c r="B20" s="96">
        <f>Gen!A27</f>
        <v>43786</v>
      </c>
      <c r="C20" s="201"/>
      <c r="D20" s="198">
        <f t="shared" si="8"/>
        <v>8111.9</v>
      </c>
      <c r="E20" s="580">
        <v>8116.2</v>
      </c>
      <c r="F20" s="206">
        <f t="shared" si="15"/>
        <v>516.00000000002183</v>
      </c>
      <c r="G20" s="200"/>
      <c r="H20" s="245">
        <f t="shared" si="9"/>
        <v>43786</v>
      </c>
      <c r="I20" s="201"/>
      <c r="J20" s="198">
        <f t="shared" si="2"/>
        <v>36668</v>
      </c>
      <c r="K20" s="244">
        <f>'[1]Water-Meter'!G22</f>
        <v>36681</v>
      </c>
      <c r="L20" s="214">
        <f t="shared" si="3"/>
        <v>13</v>
      </c>
      <c r="M20" s="245">
        <f t="shared" si="10"/>
        <v>43786</v>
      </c>
      <c r="N20" s="201"/>
      <c r="O20" s="198">
        <f t="shared" si="4"/>
        <v>7398</v>
      </c>
      <c r="P20" s="217">
        <f>'[1]Water-Meter'!J22</f>
        <v>7402</v>
      </c>
      <c r="Q20" s="214">
        <f t="shared" si="5"/>
        <v>4</v>
      </c>
      <c r="R20" s="216">
        <f t="shared" si="6"/>
        <v>2.4767801857585141E-3</v>
      </c>
      <c r="S20" s="218">
        <f>SUM(F20/[1]Gen!T26)</f>
        <v>7.4620390455534605E-2</v>
      </c>
      <c r="T20" s="245">
        <f t="shared" si="11"/>
        <v>43786</v>
      </c>
      <c r="U20" s="201"/>
      <c r="V20" s="198">
        <f t="shared" si="12"/>
        <v>7313.9</v>
      </c>
      <c r="W20" s="199">
        <v>7317.9</v>
      </c>
      <c r="X20" s="206">
        <f t="shared" si="0"/>
        <v>800</v>
      </c>
      <c r="Y20" s="245">
        <f t="shared" si="13"/>
        <v>43786</v>
      </c>
      <c r="Z20" s="201"/>
      <c r="AA20" s="198">
        <f t="shared" si="14"/>
        <v>18689</v>
      </c>
      <c r="AB20" s="217">
        <f>'[1]Water-Meter'!P22</f>
        <v>18701</v>
      </c>
      <c r="AC20" s="206">
        <f t="shared" si="7"/>
        <v>12</v>
      </c>
    </row>
    <row r="21" spans="1:29" ht="19.5" thickBot="1">
      <c r="A21" s="212">
        <f>Gen!B28</f>
        <v>0.51900000000000002</v>
      </c>
      <c r="B21" s="96">
        <f>Gen!A28</f>
        <v>43787</v>
      </c>
      <c r="C21" s="201"/>
      <c r="D21" s="198">
        <f t="shared" si="8"/>
        <v>8116.2</v>
      </c>
      <c r="E21" s="580">
        <v>8120.5</v>
      </c>
      <c r="F21" s="206">
        <f t="shared" si="15"/>
        <v>516.00000000002183</v>
      </c>
      <c r="G21" s="200"/>
      <c r="H21" s="245">
        <f t="shared" si="9"/>
        <v>43787</v>
      </c>
      <c r="I21" s="201"/>
      <c r="J21" s="198">
        <f t="shared" si="2"/>
        <v>36681</v>
      </c>
      <c r="K21" s="244">
        <f>'[1]Water-Meter'!G23</f>
        <v>36696</v>
      </c>
      <c r="L21" s="214">
        <f t="shared" si="3"/>
        <v>15</v>
      </c>
      <c r="M21" s="245">
        <f t="shared" si="10"/>
        <v>43787</v>
      </c>
      <c r="N21" s="201"/>
      <c r="O21" s="198">
        <f t="shared" si="4"/>
        <v>7402</v>
      </c>
      <c r="P21" s="217">
        <f>'[1]Water-Meter'!J23</f>
        <v>7404</v>
      </c>
      <c r="Q21" s="214">
        <f t="shared" si="5"/>
        <v>2</v>
      </c>
      <c r="R21" s="216">
        <f t="shared" ref="R21:R35" si="16">SUM(Q21/1615)</f>
        <v>1.238390092879257E-3</v>
      </c>
      <c r="S21" s="218">
        <f>SUM(F21/[1]Gen!T28)</f>
        <v>9.8154841164166215E-2</v>
      </c>
      <c r="T21" s="245">
        <f t="shared" si="11"/>
        <v>43787</v>
      </c>
      <c r="U21" s="201"/>
      <c r="V21" s="198">
        <f t="shared" si="12"/>
        <v>7317.9</v>
      </c>
      <c r="W21" s="199">
        <v>7322</v>
      </c>
      <c r="X21" s="206">
        <f t="shared" si="0"/>
        <v>820.00000000007276</v>
      </c>
      <c r="Y21" s="245">
        <f t="shared" si="13"/>
        <v>43787</v>
      </c>
      <c r="Z21" s="201"/>
      <c r="AA21" s="198">
        <f t="shared" si="14"/>
        <v>18701</v>
      </c>
      <c r="AB21" s="217">
        <f>'[1]Water-Meter'!P23</f>
        <v>18712</v>
      </c>
      <c r="AC21" s="206">
        <f t="shared" si="7"/>
        <v>11</v>
      </c>
    </row>
    <row r="22" spans="1:29" ht="19.5" thickBot="1">
      <c r="A22" s="212">
        <f>Gen!B29</f>
        <v>9.0999999999999998E-2</v>
      </c>
      <c r="B22" s="96">
        <f>Gen!A29</f>
        <v>43788</v>
      </c>
      <c r="C22" s="198"/>
      <c r="D22" s="198">
        <f t="shared" si="8"/>
        <v>8120.5</v>
      </c>
      <c r="E22" s="580">
        <v>8124.6</v>
      </c>
      <c r="F22" s="206">
        <f t="shared" si="15"/>
        <v>492.00000000004366</v>
      </c>
      <c r="G22" s="200"/>
      <c r="H22" s="245">
        <f t="shared" si="9"/>
        <v>43788</v>
      </c>
      <c r="I22" s="198"/>
      <c r="J22" s="198">
        <f t="shared" si="2"/>
        <v>36696</v>
      </c>
      <c r="K22" s="244">
        <f>'[1]Water-Meter'!G24</f>
        <v>36708</v>
      </c>
      <c r="L22" s="214">
        <f t="shared" si="3"/>
        <v>12</v>
      </c>
      <c r="M22" s="245">
        <f t="shared" si="10"/>
        <v>43788</v>
      </c>
      <c r="N22" s="198"/>
      <c r="O22" s="198">
        <f t="shared" si="4"/>
        <v>7404</v>
      </c>
      <c r="P22" s="217">
        <f>'[1]Water-Meter'!J24</f>
        <v>7408</v>
      </c>
      <c r="Q22" s="214">
        <f t="shared" si="5"/>
        <v>4</v>
      </c>
      <c r="R22" s="216">
        <f t="shared" si="16"/>
        <v>2.4767801857585141E-3</v>
      </c>
      <c r="S22" s="218">
        <f>SUM(F22/[1]Gen!T29)</f>
        <v>0.10488168833938258</v>
      </c>
      <c r="T22" s="245">
        <f t="shared" si="11"/>
        <v>43788</v>
      </c>
      <c r="U22" s="198"/>
      <c r="V22" s="198">
        <f t="shared" si="12"/>
        <v>7322</v>
      </c>
      <c r="W22" s="199">
        <v>7326.5</v>
      </c>
      <c r="X22" s="206">
        <f t="shared" si="0"/>
        <v>900</v>
      </c>
      <c r="Y22" s="245">
        <f t="shared" si="13"/>
        <v>43788</v>
      </c>
      <c r="Z22" s="198"/>
      <c r="AA22" s="198">
        <f t="shared" si="14"/>
        <v>18712</v>
      </c>
      <c r="AB22" s="217">
        <f>'[1]Water-Meter'!P24</f>
        <v>18719</v>
      </c>
      <c r="AC22" s="206">
        <f t="shared" si="7"/>
        <v>7</v>
      </c>
    </row>
    <row r="23" spans="1:29" ht="19.5" thickBot="1">
      <c r="A23" s="212">
        <f>Gen!B30</f>
        <v>0.11700000000000001</v>
      </c>
      <c r="B23" s="96">
        <f>Gen!A30</f>
        <v>43789</v>
      </c>
      <c r="C23" s="201"/>
      <c r="D23" s="198">
        <f t="shared" si="8"/>
        <v>8124.6</v>
      </c>
      <c r="E23" s="580">
        <v>8128.2</v>
      </c>
      <c r="F23" s="206">
        <f t="shared" ref="F23:F34" si="17">SUM(E23-D23)*120</f>
        <v>431.99999999993452</v>
      </c>
      <c r="G23" s="200"/>
      <c r="H23" s="245">
        <f t="shared" si="9"/>
        <v>43789</v>
      </c>
      <c r="I23" s="201"/>
      <c r="J23" s="198">
        <f t="shared" si="2"/>
        <v>36708</v>
      </c>
      <c r="K23" s="244">
        <f>'[1]Water-Meter'!G25</f>
        <v>36724</v>
      </c>
      <c r="L23" s="214">
        <f t="shared" si="3"/>
        <v>16</v>
      </c>
      <c r="M23" s="245">
        <f t="shared" si="10"/>
        <v>43789</v>
      </c>
      <c r="N23" s="201"/>
      <c r="O23" s="198">
        <f t="shared" si="4"/>
        <v>7408</v>
      </c>
      <c r="P23" s="217">
        <f>'[1]Water-Meter'!J25</f>
        <v>7412</v>
      </c>
      <c r="Q23" s="214">
        <f t="shared" si="5"/>
        <v>4</v>
      </c>
      <c r="R23" s="216">
        <f t="shared" si="16"/>
        <v>2.4767801857585141E-3</v>
      </c>
      <c r="S23" s="218">
        <f>SUM(F23/[1]Gen!T30)</f>
        <v>7.5630252100828868E-2</v>
      </c>
      <c r="T23" s="245">
        <f t="shared" si="11"/>
        <v>43789</v>
      </c>
      <c r="U23" s="201"/>
      <c r="V23" s="198">
        <f t="shared" si="12"/>
        <v>7326.5</v>
      </c>
      <c r="W23" s="199">
        <v>7329.8</v>
      </c>
      <c r="X23" s="206">
        <f t="shared" si="0"/>
        <v>660.00000000003638</v>
      </c>
      <c r="Y23" s="245">
        <f t="shared" si="13"/>
        <v>43789</v>
      </c>
      <c r="Z23" s="201"/>
      <c r="AA23" s="198">
        <f t="shared" si="14"/>
        <v>18719</v>
      </c>
      <c r="AB23" s="217">
        <f>'[1]Water-Meter'!P25</f>
        <v>18728</v>
      </c>
      <c r="AC23" s="206">
        <f t="shared" si="7"/>
        <v>9</v>
      </c>
    </row>
    <row r="24" spans="1:29" ht="19.5" thickBot="1">
      <c r="A24" s="212">
        <f>Gen!B31</f>
        <v>0.13</v>
      </c>
      <c r="B24" s="96">
        <f>Gen!A31</f>
        <v>43790</v>
      </c>
      <c r="C24" s="201"/>
      <c r="D24" s="198">
        <f t="shared" ref="D24:D35" si="18">SUM(E23)</f>
        <v>8128.2</v>
      </c>
      <c r="E24" s="580">
        <v>8131.9</v>
      </c>
      <c r="F24" s="206">
        <f t="shared" si="17"/>
        <v>443.99999999997817</v>
      </c>
      <c r="G24" s="200"/>
      <c r="H24" s="245">
        <f t="shared" si="9"/>
        <v>43790</v>
      </c>
      <c r="I24" s="201"/>
      <c r="J24" s="198">
        <f t="shared" si="2"/>
        <v>36724</v>
      </c>
      <c r="K24" s="244">
        <f>'[1]Water-Meter'!G26</f>
        <v>36740</v>
      </c>
      <c r="L24" s="214">
        <f t="shared" si="3"/>
        <v>16</v>
      </c>
      <c r="M24" s="245">
        <f t="shared" si="10"/>
        <v>43790</v>
      </c>
      <c r="N24" s="201"/>
      <c r="O24" s="198">
        <f t="shared" si="4"/>
        <v>7412</v>
      </c>
      <c r="P24" s="217">
        <f>'[1]Water-Meter'!J26</f>
        <v>7415</v>
      </c>
      <c r="Q24" s="214">
        <f t="shared" si="5"/>
        <v>3</v>
      </c>
      <c r="R24" s="216">
        <f t="shared" si="16"/>
        <v>1.8575851393188853E-3</v>
      </c>
      <c r="S24" s="218">
        <f>SUM(F24/[1]Gen!T31)</f>
        <v>7.473489311563343E-2</v>
      </c>
      <c r="T24" s="245">
        <v>5835.7</v>
      </c>
      <c r="U24" s="201"/>
      <c r="V24" s="198">
        <f t="shared" si="12"/>
        <v>7329.8</v>
      </c>
      <c r="W24" s="199">
        <v>7332.3</v>
      </c>
      <c r="X24" s="206">
        <f t="shared" si="0"/>
        <v>500</v>
      </c>
      <c r="Y24" s="245">
        <f t="shared" si="13"/>
        <v>5835.7</v>
      </c>
      <c r="Z24" s="201"/>
      <c r="AA24" s="198">
        <f t="shared" si="14"/>
        <v>18728</v>
      </c>
      <c r="AB24" s="217">
        <f>'[1]Water-Meter'!P26</f>
        <v>18737</v>
      </c>
      <c r="AC24" s="206">
        <f t="shared" si="7"/>
        <v>9</v>
      </c>
    </row>
    <row r="25" spans="1:29" ht="19.5" thickBot="1">
      <c r="A25" s="212">
        <f>Gen!B32</f>
        <v>0.14299999999999999</v>
      </c>
      <c r="B25" s="96">
        <f>Gen!A32</f>
        <v>43791</v>
      </c>
      <c r="C25" s="201"/>
      <c r="D25" s="198">
        <f t="shared" si="18"/>
        <v>8131.9</v>
      </c>
      <c r="E25" s="580">
        <v>8135.8</v>
      </c>
      <c r="F25" s="206">
        <f t="shared" si="17"/>
        <v>468.00000000006548</v>
      </c>
      <c r="G25" s="200"/>
      <c r="H25" s="245">
        <f t="shared" si="9"/>
        <v>43791</v>
      </c>
      <c r="I25" s="201"/>
      <c r="J25" s="198">
        <f t="shared" si="2"/>
        <v>36740</v>
      </c>
      <c r="K25" s="244">
        <f>'[1]Water-Meter'!G27</f>
        <v>36754</v>
      </c>
      <c r="L25" s="214">
        <f t="shared" si="3"/>
        <v>14</v>
      </c>
      <c r="M25" s="245">
        <f t="shared" si="10"/>
        <v>43791</v>
      </c>
      <c r="N25" s="201"/>
      <c r="O25" s="198">
        <f t="shared" si="4"/>
        <v>7415</v>
      </c>
      <c r="P25" s="217">
        <f>'[1]Water-Meter'!J27</f>
        <v>7418</v>
      </c>
      <c r="Q25" s="214">
        <f t="shared" si="5"/>
        <v>3</v>
      </c>
      <c r="R25" s="216">
        <f t="shared" si="16"/>
        <v>1.8575851393188853E-3</v>
      </c>
      <c r="S25" s="218">
        <f>SUM(F25/[1]Gen!T32)</f>
        <v>8.6666666666678799E-2</v>
      </c>
      <c r="T25" s="245">
        <f t="shared" si="11"/>
        <v>43791</v>
      </c>
      <c r="U25" s="201"/>
      <c r="V25" s="198">
        <f t="shared" si="12"/>
        <v>7332.3</v>
      </c>
      <c r="W25" s="199">
        <v>7334.4</v>
      </c>
      <c r="X25" s="206">
        <f t="shared" si="0"/>
        <v>419.99999999989086</v>
      </c>
      <c r="Y25" s="245">
        <f t="shared" si="13"/>
        <v>43791</v>
      </c>
      <c r="Z25" s="201"/>
      <c r="AA25" s="198">
        <f t="shared" si="14"/>
        <v>18737</v>
      </c>
      <c r="AB25" s="217">
        <f>'[1]Water-Meter'!P27</f>
        <v>18746</v>
      </c>
      <c r="AC25" s="206">
        <f t="shared" si="7"/>
        <v>9</v>
      </c>
    </row>
    <row r="26" spans="1:29" ht="19.5" thickBot="1">
      <c r="A26" s="212">
        <f>Gen!B33</f>
        <v>0.16900000000000001</v>
      </c>
      <c r="B26" s="96">
        <f>Gen!A33</f>
        <v>43792</v>
      </c>
      <c r="C26" s="201"/>
      <c r="D26" s="198">
        <f t="shared" si="18"/>
        <v>8135.8</v>
      </c>
      <c r="E26" s="580"/>
      <c r="F26" s="206">
        <f t="shared" si="17"/>
        <v>-976296</v>
      </c>
      <c r="G26" s="200"/>
      <c r="H26" s="245">
        <f t="shared" si="9"/>
        <v>43792</v>
      </c>
      <c r="I26" s="201"/>
      <c r="J26" s="198">
        <f t="shared" si="2"/>
        <v>36754</v>
      </c>
      <c r="K26" s="244">
        <f>'[1]Water-Meter'!G28</f>
        <v>36767</v>
      </c>
      <c r="L26" s="214">
        <f t="shared" si="3"/>
        <v>13</v>
      </c>
      <c r="M26" s="245">
        <f t="shared" si="10"/>
        <v>43792</v>
      </c>
      <c r="N26" s="201"/>
      <c r="O26" s="198">
        <f t="shared" si="4"/>
        <v>7418</v>
      </c>
      <c r="P26" s="217">
        <f>'[1]Water-Meter'!J28</f>
        <v>7421</v>
      </c>
      <c r="Q26" s="214">
        <f t="shared" si="5"/>
        <v>3</v>
      </c>
      <c r="R26" s="216">
        <f t="shared" si="16"/>
        <v>1.8575851393188853E-3</v>
      </c>
      <c r="S26" s="218">
        <f>SUM(F26/[1]Gen!T33)</f>
        <v>-181.77173710668404</v>
      </c>
      <c r="T26" s="245">
        <f t="shared" si="11"/>
        <v>43792</v>
      </c>
      <c r="U26" s="201"/>
      <c r="V26" s="198">
        <f t="shared" si="12"/>
        <v>7334.4</v>
      </c>
      <c r="W26" s="199"/>
      <c r="X26" s="206">
        <f t="shared" si="0"/>
        <v>-1466880</v>
      </c>
      <c r="Y26" s="245">
        <f t="shared" si="13"/>
        <v>43792</v>
      </c>
      <c r="Z26" s="201"/>
      <c r="AA26" s="198">
        <f t="shared" si="14"/>
        <v>18746</v>
      </c>
      <c r="AB26" s="217">
        <f>'[1]Water-Meter'!P28</f>
        <v>18754</v>
      </c>
      <c r="AC26" s="206">
        <f t="shared" si="7"/>
        <v>8</v>
      </c>
    </row>
    <row r="27" spans="1:29" ht="19.5" thickBot="1">
      <c r="A27" s="212">
        <f>Gen!B34</f>
        <v>0</v>
      </c>
      <c r="B27" s="96">
        <f>Gen!A34</f>
        <v>43793</v>
      </c>
      <c r="C27" s="201"/>
      <c r="D27" s="198">
        <f t="shared" si="18"/>
        <v>0</v>
      </c>
      <c r="E27" s="580"/>
      <c r="F27" s="206">
        <f t="shared" si="17"/>
        <v>0</v>
      </c>
      <c r="G27" s="200"/>
      <c r="H27" s="245">
        <f t="shared" si="9"/>
        <v>43793</v>
      </c>
      <c r="I27" s="201"/>
      <c r="J27" s="198">
        <f t="shared" si="2"/>
        <v>36767</v>
      </c>
      <c r="K27" s="244">
        <f>'[1]Water-Meter'!G29</f>
        <v>36779</v>
      </c>
      <c r="L27" s="214">
        <f t="shared" si="3"/>
        <v>12</v>
      </c>
      <c r="M27" s="245">
        <f t="shared" si="10"/>
        <v>43793</v>
      </c>
      <c r="N27" s="201"/>
      <c r="O27" s="198">
        <f t="shared" si="4"/>
        <v>7421</v>
      </c>
      <c r="P27" s="217">
        <f>'[1]Water-Meter'!J29</f>
        <v>7423</v>
      </c>
      <c r="Q27" s="214">
        <f t="shared" si="5"/>
        <v>2</v>
      </c>
      <c r="R27" s="216">
        <f t="shared" si="16"/>
        <v>1.238390092879257E-3</v>
      </c>
      <c r="S27" s="218">
        <f>SUM(F27/[1]Gen!T34)</f>
        <v>0</v>
      </c>
      <c r="T27" s="245">
        <f t="shared" si="11"/>
        <v>43793</v>
      </c>
      <c r="U27" s="201"/>
      <c r="V27" s="198">
        <f t="shared" si="12"/>
        <v>0</v>
      </c>
      <c r="W27" s="199"/>
      <c r="X27" s="206">
        <f t="shared" si="0"/>
        <v>0</v>
      </c>
      <c r="Y27" s="245">
        <f t="shared" si="13"/>
        <v>43793</v>
      </c>
      <c r="Z27" s="201"/>
      <c r="AA27" s="198">
        <f t="shared" si="14"/>
        <v>18754</v>
      </c>
      <c r="AB27" s="217">
        <f>'[1]Water-Meter'!P29</f>
        <v>18763</v>
      </c>
      <c r="AC27" s="206">
        <f t="shared" si="7"/>
        <v>9</v>
      </c>
    </row>
    <row r="28" spans="1:29" ht="19.5" thickBot="1">
      <c r="A28" s="212">
        <f>Gen!B35</f>
        <v>0</v>
      </c>
      <c r="B28" s="96">
        <f>Gen!A35</f>
        <v>43794</v>
      </c>
      <c r="C28" s="201"/>
      <c r="D28" s="198">
        <f t="shared" si="18"/>
        <v>0</v>
      </c>
      <c r="E28" s="580"/>
      <c r="F28" s="206">
        <f t="shared" si="17"/>
        <v>0</v>
      </c>
      <c r="G28" s="200"/>
      <c r="H28" s="245">
        <f t="shared" si="9"/>
        <v>43794</v>
      </c>
      <c r="I28" s="201"/>
      <c r="J28" s="198">
        <f t="shared" si="2"/>
        <v>36779</v>
      </c>
      <c r="K28" s="244">
        <f>'[1]Water-Meter'!G30</f>
        <v>36792</v>
      </c>
      <c r="L28" s="214">
        <f t="shared" si="3"/>
        <v>13</v>
      </c>
      <c r="M28" s="245">
        <f t="shared" si="10"/>
        <v>43794</v>
      </c>
      <c r="N28" s="201"/>
      <c r="O28" s="198">
        <f t="shared" si="4"/>
        <v>7423</v>
      </c>
      <c r="P28" s="217">
        <f>'[1]Water-Meter'!J30</f>
        <v>7426</v>
      </c>
      <c r="Q28" s="214">
        <f t="shared" si="5"/>
        <v>3</v>
      </c>
      <c r="R28" s="216">
        <f t="shared" si="16"/>
        <v>1.8575851393188853E-3</v>
      </c>
      <c r="S28" s="218">
        <f>SUM(F28/[1]Gen!T35)</f>
        <v>0</v>
      </c>
      <c r="T28" s="245">
        <f t="shared" si="11"/>
        <v>43794</v>
      </c>
      <c r="U28" s="201"/>
      <c r="V28" s="198">
        <f t="shared" si="12"/>
        <v>0</v>
      </c>
      <c r="W28" s="199"/>
      <c r="X28" s="206">
        <f t="shared" si="0"/>
        <v>0</v>
      </c>
      <c r="Y28" s="245">
        <f t="shared" si="13"/>
        <v>43794</v>
      </c>
      <c r="Z28" s="201"/>
      <c r="AA28" s="198">
        <f t="shared" si="14"/>
        <v>18763</v>
      </c>
      <c r="AB28" s="217">
        <f>'[1]Water-Meter'!P30</f>
        <v>18773</v>
      </c>
      <c r="AC28" s="206">
        <f t="shared" si="7"/>
        <v>10</v>
      </c>
    </row>
    <row r="29" spans="1:29" ht="19.5" thickBot="1">
      <c r="A29" s="212">
        <f>Gen!B36</f>
        <v>0</v>
      </c>
      <c r="B29" s="96">
        <f>Gen!A36</f>
        <v>43795</v>
      </c>
      <c r="C29" s="201"/>
      <c r="D29" s="198">
        <f t="shared" si="18"/>
        <v>0</v>
      </c>
      <c r="E29" s="580"/>
      <c r="F29" s="206">
        <f t="shared" si="17"/>
        <v>0</v>
      </c>
      <c r="G29" s="200"/>
      <c r="H29" s="245">
        <f t="shared" si="9"/>
        <v>43795</v>
      </c>
      <c r="I29" s="201"/>
      <c r="J29" s="198">
        <f t="shared" si="2"/>
        <v>36792</v>
      </c>
      <c r="K29" s="244">
        <f>'[1]Water-Meter'!G31</f>
        <v>36809</v>
      </c>
      <c r="L29" s="214">
        <f t="shared" si="3"/>
        <v>17</v>
      </c>
      <c r="M29" s="245">
        <f t="shared" si="10"/>
        <v>43795</v>
      </c>
      <c r="N29" s="201"/>
      <c r="O29" s="198">
        <f t="shared" si="4"/>
        <v>7426</v>
      </c>
      <c r="P29" s="217">
        <f>'[1]Water-Meter'!J31</f>
        <v>7428</v>
      </c>
      <c r="Q29" s="214">
        <f t="shared" si="5"/>
        <v>2</v>
      </c>
      <c r="R29" s="216">
        <f t="shared" si="16"/>
        <v>1.238390092879257E-3</v>
      </c>
      <c r="S29" s="218">
        <f>SUM(F29/[1]Gen!T36)</f>
        <v>0</v>
      </c>
      <c r="T29" s="245">
        <f t="shared" si="11"/>
        <v>43795</v>
      </c>
      <c r="U29" s="201"/>
      <c r="V29" s="198">
        <f t="shared" si="12"/>
        <v>0</v>
      </c>
      <c r="W29" s="199"/>
      <c r="X29" s="206">
        <f t="shared" si="0"/>
        <v>0</v>
      </c>
      <c r="Y29" s="245">
        <f t="shared" si="13"/>
        <v>43795</v>
      </c>
      <c r="Z29" s="201"/>
      <c r="AA29" s="198">
        <f t="shared" si="14"/>
        <v>18773</v>
      </c>
      <c r="AB29" s="217">
        <f>'[1]Water-Meter'!P31</f>
        <v>18782</v>
      </c>
      <c r="AC29" s="206">
        <f t="shared" si="7"/>
        <v>9</v>
      </c>
    </row>
    <row r="30" spans="1:29" ht="19.5" thickBot="1">
      <c r="A30" s="212">
        <f>Gen!B37</f>
        <v>0</v>
      </c>
      <c r="B30" s="96">
        <f>Gen!A37</f>
        <v>43796</v>
      </c>
      <c r="C30" s="201"/>
      <c r="D30" s="198">
        <f t="shared" si="18"/>
        <v>0</v>
      </c>
      <c r="E30" s="580"/>
      <c r="F30" s="206">
        <f t="shared" si="17"/>
        <v>0</v>
      </c>
      <c r="G30" s="200"/>
      <c r="H30" s="245">
        <f t="shared" si="9"/>
        <v>43796</v>
      </c>
      <c r="I30" s="201"/>
      <c r="J30" s="198">
        <f t="shared" si="2"/>
        <v>36809</v>
      </c>
      <c r="K30" s="244">
        <f>'[1]Water-Meter'!G32</f>
        <v>36825</v>
      </c>
      <c r="L30" s="214">
        <f t="shared" si="3"/>
        <v>16</v>
      </c>
      <c r="M30" s="245">
        <f t="shared" si="10"/>
        <v>43796</v>
      </c>
      <c r="N30" s="201"/>
      <c r="O30" s="198">
        <f t="shared" si="4"/>
        <v>7428</v>
      </c>
      <c r="P30" s="217">
        <f>'[1]Water-Meter'!J32</f>
        <v>7432</v>
      </c>
      <c r="Q30" s="214">
        <f t="shared" si="5"/>
        <v>4</v>
      </c>
      <c r="R30" s="216">
        <f t="shared" si="16"/>
        <v>2.4767801857585141E-3</v>
      </c>
      <c r="S30" s="218">
        <f>SUM(F30/[1]Gen!T37)</f>
        <v>0</v>
      </c>
      <c r="T30" s="245">
        <f t="shared" si="11"/>
        <v>43796</v>
      </c>
      <c r="U30" s="201"/>
      <c r="V30" s="198">
        <f t="shared" si="12"/>
        <v>0</v>
      </c>
      <c r="W30" s="199"/>
      <c r="X30" s="206">
        <f t="shared" si="0"/>
        <v>0</v>
      </c>
      <c r="Y30" s="245">
        <f t="shared" si="13"/>
        <v>43796</v>
      </c>
      <c r="Z30" s="201"/>
      <c r="AA30" s="198">
        <f t="shared" si="14"/>
        <v>18782</v>
      </c>
      <c r="AB30" s="217">
        <f>'[1]Water-Meter'!P32</f>
        <v>18790</v>
      </c>
      <c r="AC30" s="206">
        <f t="shared" si="7"/>
        <v>8</v>
      </c>
    </row>
    <row r="31" spans="1:29" ht="19.5" thickBot="1">
      <c r="A31" s="212">
        <f>Gen!B38</f>
        <v>0</v>
      </c>
      <c r="B31" s="96">
        <f>Gen!A38</f>
        <v>43797</v>
      </c>
      <c r="C31" s="201"/>
      <c r="D31" s="198">
        <f t="shared" si="18"/>
        <v>0</v>
      </c>
      <c r="E31" s="580"/>
      <c r="F31" s="206">
        <f t="shared" si="17"/>
        <v>0</v>
      </c>
      <c r="G31" s="200"/>
      <c r="H31" s="245">
        <f t="shared" si="9"/>
        <v>43797</v>
      </c>
      <c r="I31" s="201"/>
      <c r="J31" s="198">
        <f t="shared" ref="J31:J35" si="19">SUM(K30)</f>
        <v>36825</v>
      </c>
      <c r="K31" s="244" t="e">
        <f>'[1]Water-Meter'!G33</f>
        <v>#REF!</v>
      </c>
      <c r="L31" s="214" t="e">
        <f t="shared" si="3"/>
        <v>#REF!</v>
      </c>
      <c r="M31" s="245">
        <f t="shared" si="10"/>
        <v>43797</v>
      </c>
      <c r="N31" s="201"/>
      <c r="O31" s="198">
        <f t="shared" si="4"/>
        <v>7432</v>
      </c>
      <c r="P31" s="217" t="e">
        <f>'[1]Water-Meter'!J33</f>
        <v>#REF!</v>
      </c>
      <c r="Q31" s="214" t="e">
        <f t="shared" si="5"/>
        <v>#REF!</v>
      </c>
      <c r="R31" s="216" t="e">
        <f t="shared" si="16"/>
        <v>#REF!</v>
      </c>
      <c r="S31" s="218" t="e">
        <f>SUM(F31/[1]Gen!T38)</f>
        <v>#DIV/0!</v>
      </c>
      <c r="T31" s="245">
        <f>M31</f>
        <v>43797</v>
      </c>
      <c r="U31" s="201"/>
      <c r="V31" s="198">
        <f t="shared" si="12"/>
        <v>0</v>
      </c>
      <c r="W31" s="199"/>
      <c r="X31" s="206">
        <f t="shared" si="0"/>
        <v>0</v>
      </c>
      <c r="Y31" s="245">
        <f>T31</f>
        <v>43797</v>
      </c>
      <c r="Z31" s="201"/>
      <c r="AA31" s="198">
        <f t="shared" si="14"/>
        <v>18790</v>
      </c>
      <c r="AB31" s="217" t="e">
        <f>'[1]Water-Meter'!P33</f>
        <v>#REF!</v>
      </c>
      <c r="AC31" s="206" t="e">
        <f t="shared" si="7"/>
        <v>#REF!</v>
      </c>
    </row>
    <row r="32" spans="1:29" ht="19.5" thickBot="1">
      <c r="A32" s="212">
        <f>Gen!B39</f>
        <v>0</v>
      </c>
      <c r="B32" s="96">
        <f>Gen!A39</f>
        <v>43798</v>
      </c>
      <c r="C32" s="201"/>
      <c r="D32" s="198">
        <f t="shared" si="18"/>
        <v>0</v>
      </c>
      <c r="E32" s="580"/>
      <c r="F32" s="206">
        <f t="shared" si="17"/>
        <v>0</v>
      </c>
      <c r="G32" s="200"/>
      <c r="H32" s="245">
        <f t="shared" si="9"/>
        <v>43798</v>
      </c>
      <c r="I32" s="201"/>
      <c r="J32" s="198" t="e">
        <f t="shared" si="19"/>
        <v>#REF!</v>
      </c>
      <c r="K32" s="244" t="e">
        <f>'[1]Water-Meter'!G34</f>
        <v>#REF!</v>
      </c>
      <c r="L32" s="214" t="e">
        <f t="shared" si="3"/>
        <v>#REF!</v>
      </c>
      <c r="M32" s="245">
        <f t="shared" si="10"/>
        <v>43798</v>
      </c>
      <c r="N32" s="201"/>
      <c r="O32" s="198" t="e">
        <f t="shared" si="4"/>
        <v>#REF!</v>
      </c>
      <c r="P32" s="217" t="e">
        <f>'[1]Water-Meter'!J34</f>
        <v>#REF!</v>
      </c>
      <c r="Q32" s="214" t="e">
        <f t="shared" si="5"/>
        <v>#REF!</v>
      </c>
      <c r="R32" s="216" t="e">
        <f t="shared" si="16"/>
        <v>#REF!</v>
      </c>
      <c r="S32" s="218" t="e">
        <f>SUM(F32/[1]Gen!T39)</f>
        <v>#DIV/0!</v>
      </c>
      <c r="T32" s="245">
        <f t="shared" ref="T32:T35" si="20">M32</f>
        <v>43798</v>
      </c>
      <c r="U32" s="201"/>
      <c r="V32" s="198">
        <f t="shared" si="12"/>
        <v>0</v>
      </c>
      <c r="W32" s="199"/>
      <c r="X32" s="206">
        <f t="shared" si="0"/>
        <v>0</v>
      </c>
      <c r="Y32" s="245">
        <f t="shared" ref="Y32:Y35" si="21">T32</f>
        <v>43798</v>
      </c>
      <c r="Z32" s="201"/>
      <c r="AA32" s="198" t="e">
        <f t="shared" si="14"/>
        <v>#REF!</v>
      </c>
      <c r="AB32" s="217" t="e">
        <f>'[1]Water-Meter'!P34</f>
        <v>#REF!</v>
      </c>
      <c r="AC32" s="206" t="e">
        <f t="shared" si="7"/>
        <v>#REF!</v>
      </c>
    </row>
    <row r="33" spans="1:29" ht="19.5" thickBot="1">
      <c r="A33" s="212">
        <f>Gen!B40</f>
        <v>0</v>
      </c>
      <c r="B33" s="96">
        <f>Gen!A40</f>
        <v>43799</v>
      </c>
      <c r="C33" s="201"/>
      <c r="D33" s="198">
        <f t="shared" si="18"/>
        <v>0</v>
      </c>
      <c r="E33" s="580"/>
      <c r="F33" s="206">
        <f t="shared" si="17"/>
        <v>0</v>
      </c>
      <c r="G33" s="200"/>
      <c r="H33" s="245">
        <f t="shared" si="9"/>
        <v>43799</v>
      </c>
      <c r="I33" s="201"/>
      <c r="J33" s="198" t="e">
        <f t="shared" si="19"/>
        <v>#REF!</v>
      </c>
      <c r="K33" s="244" t="e">
        <f>'[1]Water-Meter'!G35</f>
        <v>#REF!</v>
      </c>
      <c r="L33" s="214" t="e">
        <f t="shared" si="3"/>
        <v>#REF!</v>
      </c>
      <c r="M33" s="245">
        <f t="shared" si="10"/>
        <v>43799</v>
      </c>
      <c r="N33" s="201"/>
      <c r="O33" s="198" t="e">
        <f t="shared" si="4"/>
        <v>#REF!</v>
      </c>
      <c r="P33" s="217" t="e">
        <f>'[1]Water-Meter'!J35</f>
        <v>#REF!</v>
      </c>
      <c r="Q33" s="214" t="e">
        <f t="shared" si="5"/>
        <v>#REF!</v>
      </c>
      <c r="R33" s="216" t="e">
        <f t="shared" si="16"/>
        <v>#REF!</v>
      </c>
      <c r="S33" s="218" t="e">
        <f>SUM(F33/[1]Gen!T40)</f>
        <v>#DIV/0!</v>
      </c>
      <c r="T33" s="245">
        <f t="shared" si="20"/>
        <v>43799</v>
      </c>
      <c r="U33" s="201"/>
      <c r="V33" s="198">
        <f t="shared" si="12"/>
        <v>0</v>
      </c>
      <c r="W33" s="199"/>
      <c r="X33" s="206">
        <f t="shared" si="0"/>
        <v>0</v>
      </c>
      <c r="Y33" s="245">
        <f t="shared" si="21"/>
        <v>43799</v>
      </c>
      <c r="Z33" s="201"/>
      <c r="AA33" s="198" t="e">
        <f t="shared" si="14"/>
        <v>#REF!</v>
      </c>
      <c r="AB33" s="217" t="e">
        <f>'[1]Water-Meter'!P35</f>
        <v>#REF!</v>
      </c>
      <c r="AC33" s="206" t="e">
        <f t="shared" si="7"/>
        <v>#REF!</v>
      </c>
    </row>
    <row r="34" spans="1:29" ht="19.5" thickBot="1">
      <c r="A34" s="212">
        <f>Gen!B41</f>
        <v>0</v>
      </c>
      <c r="B34" s="96">
        <f>Gen!A41</f>
        <v>43800</v>
      </c>
      <c r="C34" s="202"/>
      <c r="D34" s="198">
        <f t="shared" si="18"/>
        <v>0</v>
      </c>
      <c r="E34" s="580"/>
      <c r="F34" s="206">
        <f t="shared" si="17"/>
        <v>0</v>
      </c>
      <c r="G34" s="21"/>
      <c r="H34" s="245">
        <f t="shared" si="9"/>
        <v>43800</v>
      </c>
      <c r="I34" s="202"/>
      <c r="J34" s="198" t="e">
        <f t="shared" si="19"/>
        <v>#REF!</v>
      </c>
      <c r="K34" s="244" t="e">
        <f>'[1]Water-Meter'!G36</f>
        <v>#REF!</v>
      </c>
      <c r="L34" s="214" t="e">
        <f t="shared" si="3"/>
        <v>#REF!</v>
      </c>
      <c r="M34" s="245">
        <f t="shared" si="10"/>
        <v>43800</v>
      </c>
      <c r="N34" s="202"/>
      <c r="O34" s="198" t="e">
        <f t="shared" ref="O34:O35" si="22">SUM(P33)</f>
        <v>#REF!</v>
      </c>
      <c r="P34" s="217" t="e">
        <f>'[1]Water-Meter'!J36</f>
        <v>#REF!</v>
      </c>
      <c r="Q34" s="214" t="e">
        <f t="shared" si="5"/>
        <v>#REF!</v>
      </c>
      <c r="R34" s="216" t="e">
        <f t="shared" si="16"/>
        <v>#REF!</v>
      </c>
      <c r="S34" s="218" t="e">
        <f>SUM(F34/[1]Gen!T41)</f>
        <v>#DIV/0!</v>
      </c>
      <c r="T34" s="245">
        <f t="shared" si="20"/>
        <v>43800</v>
      </c>
      <c r="U34" s="202"/>
      <c r="V34" s="198">
        <f t="shared" ref="V34:V35" si="23">SUM(W33)</f>
        <v>0</v>
      </c>
      <c r="W34" s="199"/>
      <c r="X34" s="206">
        <f t="shared" si="0"/>
        <v>0</v>
      </c>
      <c r="Y34" s="245">
        <f t="shared" si="21"/>
        <v>43800</v>
      </c>
      <c r="Z34" s="202"/>
      <c r="AA34" s="198" t="e">
        <f t="shared" si="14"/>
        <v>#REF!</v>
      </c>
      <c r="AB34" s="217" t="e">
        <f>'[1]Water-Meter'!P36</f>
        <v>#REF!</v>
      </c>
      <c r="AC34" s="223" t="e">
        <f t="shared" si="7"/>
        <v>#REF!</v>
      </c>
    </row>
    <row r="35" spans="1:29" ht="20.25" customHeight="1" thickBot="1">
      <c r="A35" s="212" t="e">
        <f>[1]Gen!B42</f>
        <v>#REF!</v>
      </c>
      <c r="B35" s="96" t="e">
        <f>[1]Gen!A42</f>
        <v>#REF!</v>
      </c>
      <c r="D35" s="696">
        <f t="shared" si="18"/>
        <v>0</v>
      </c>
      <c r="E35" s="697"/>
      <c r="F35" s="208">
        <f>SUM(F4:F6)</f>
        <v>1523.9999999999782</v>
      </c>
      <c r="G35" s="21"/>
      <c r="H35" s="245" t="e">
        <f t="shared" si="9"/>
        <v>#REF!</v>
      </c>
      <c r="J35" s="198" t="e">
        <f t="shared" si="19"/>
        <v>#REF!</v>
      </c>
      <c r="K35" s="244" t="e">
        <f>'[1]Water-Meter'!G37</f>
        <v>#REF!</v>
      </c>
      <c r="L35" s="208" t="e">
        <f>SUM(L5:L34)</f>
        <v>#REF!</v>
      </c>
      <c r="M35" s="245" t="e">
        <f t="shared" si="10"/>
        <v>#REF!</v>
      </c>
      <c r="N35" s="202"/>
      <c r="O35" s="198" t="e">
        <f t="shared" si="22"/>
        <v>#REF!</v>
      </c>
      <c r="P35" s="217" t="e">
        <f>'[1]Water-Meter'!J37</f>
        <v>#REF!</v>
      </c>
      <c r="Q35" s="208" t="e">
        <f>SUM(Q5:Q34)</f>
        <v>#REF!</v>
      </c>
      <c r="R35" s="216" t="e">
        <f t="shared" si="16"/>
        <v>#REF!</v>
      </c>
      <c r="S35" s="218" t="e">
        <f>SUM(F35/[1]Gen!T42)</f>
        <v>#DIV/0!</v>
      </c>
      <c r="T35" s="245" t="e">
        <f t="shared" si="20"/>
        <v>#REF!</v>
      </c>
      <c r="V35" s="198">
        <f t="shared" si="23"/>
        <v>0</v>
      </c>
      <c r="W35" s="199"/>
      <c r="X35" s="206">
        <f t="shared" si="0"/>
        <v>0</v>
      </c>
      <c r="Y35" s="245" t="e">
        <f t="shared" si="21"/>
        <v>#REF!</v>
      </c>
      <c r="AA35" s="198" t="e">
        <f t="shared" si="14"/>
        <v>#REF!</v>
      </c>
      <c r="AB35" s="217" t="e">
        <f>'[1]Water-Meter'!P37</f>
        <v>#REF!</v>
      </c>
      <c r="AC35" s="221" t="e">
        <f>SUM(AC5:AC34)</f>
        <v>#REF!</v>
      </c>
    </row>
    <row r="36" spans="1:29" ht="24.75" customHeight="1">
      <c r="D36" s="21"/>
      <c r="E36" s="591"/>
      <c r="L36" s="155"/>
      <c r="Q36" s="155"/>
      <c r="R36" s="215"/>
      <c r="X36" s="582">
        <f>SUM(X4:X6)</f>
        <v>2579.9999999999272</v>
      </c>
      <c r="AC36" s="155"/>
    </row>
    <row r="37" spans="1:29" ht="12.75" customHeight="1">
      <c r="D37" s="21"/>
      <c r="E37" s="591"/>
      <c r="G37" s="21"/>
    </row>
    <row r="38" spans="1:29" ht="12.75" customHeight="1">
      <c r="E38" s="203"/>
      <c r="G38" s="21"/>
      <c r="K38" s="203"/>
      <c r="W38" s="203"/>
      <c r="AB38" s="203"/>
    </row>
    <row r="39" spans="1:29" ht="12.75" customHeight="1">
      <c r="E39" s="591"/>
      <c r="G39" s="21"/>
    </row>
    <row r="40" spans="1:29" ht="12.75" customHeight="1">
      <c r="D40" s="155"/>
      <c r="E40" s="203"/>
      <c r="G40" s="21"/>
      <c r="V40" s="155"/>
      <c r="W40" s="203"/>
    </row>
    <row r="41" spans="1:29" ht="12.75" customHeight="1">
      <c r="E41" s="591"/>
      <c r="G41" s="21"/>
    </row>
    <row r="42" spans="1:29" ht="12.75" customHeight="1">
      <c r="C42" s="204"/>
      <c r="E42" s="592"/>
      <c r="G42" s="21"/>
      <c r="U42" s="204"/>
    </row>
    <row r="43" spans="1:29" ht="18.75">
      <c r="E43" s="591"/>
    </row>
    <row r="44" spans="1:29">
      <c r="E44" s="592"/>
    </row>
    <row r="45" spans="1:29" ht="18.75">
      <c r="E45" s="591"/>
    </row>
    <row r="46" spans="1:29">
      <c r="E46" s="592"/>
    </row>
    <row r="47" spans="1:29" ht="18.75">
      <c r="E47" s="591"/>
    </row>
    <row r="48" spans="1:29">
      <c r="E48" s="592"/>
    </row>
    <row r="49" spans="5:5" ht="18.75">
      <c r="E49" s="591"/>
    </row>
    <row r="50" spans="5:5">
      <c r="E50" s="592"/>
    </row>
    <row r="51" spans="5:5" ht="18.75">
      <c r="E51" s="591"/>
    </row>
    <row r="52" spans="5:5">
      <c r="E52" s="592"/>
    </row>
    <row r="53" spans="5:5" ht="18.75">
      <c r="E53" s="59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3" sqref="E33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75" t="s">
        <v>261</v>
      </c>
      <c r="B2" s="776"/>
      <c r="C2" s="776"/>
      <c r="D2" s="776"/>
      <c r="E2" s="777"/>
      <c r="F2" s="123"/>
      <c r="G2" s="123"/>
      <c r="H2" s="123"/>
      <c r="I2" s="123"/>
      <c r="J2" s="123"/>
      <c r="K2" s="123"/>
      <c r="L2" s="123"/>
    </row>
    <row r="3" spans="1:13" ht="50.25" customHeight="1">
      <c r="A3" s="64"/>
      <c r="B3" s="18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2" customFormat="1" ht="50.25" customHeight="1">
      <c r="A4" s="65" t="s">
        <v>0</v>
      </c>
      <c r="B4" s="83" t="s">
        <v>68</v>
      </c>
      <c r="C4" s="420" t="s">
        <v>52</v>
      </c>
      <c r="D4" s="54" t="s">
        <v>66</v>
      </c>
      <c r="E4" s="54" t="s">
        <v>67</v>
      </c>
      <c r="F4" s="75" t="s">
        <v>43</v>
      </c>
      <c r="G4" s="54" t="s">
        <v>206</v>
      </c>
      <c r="H4" s="54" t="s">
        <v>209</v>
      </c>
      <c r="I4" s="54" t="s">
        <v>207</v>
      </c>
      <c r="J4" s="54" t="s">
        <v>208</v>
      </c>
      <c r="K4" s="75" t="s">
        <v>53</v>
      </c>
      <c r="L4" s="75" t="s">
        <v>78</v>
      </c>
    </row>
    <row r="5" spans="1:13">
      <c r="A5" s="55">
        <f>Gen!A11</f>
        <v>43770</v>
      </c>
      <c r="B5" s="457">
        <f>'Daily report Gen'!Z6</f>
        <v>41</v>
      </c>
      <c r="C5" s="90">
        <f>Gen!B11</f>
        <v>0.87</v>
      </c>
      <c r="D5" s="670">
        <f t="shared" ref="D5:D36" si="0">E5</f>
        <v>66</v>
      </c>
      <c r="E5" s="77">
        <v>66</v>
      </c>
      <c r="F5" s="73">
        <f>Gen!T9</f>
        <v>0</v>
      </c>
      <c r="G5" s="88">
        <f>Gen!S9</f>
        <v>0</v>
      </c>
      <c r="H5" s="88">
        <f>Gen!AJ11</f>
        <v>69.050000000000011</v>
      </c>
      <c r="I5" s="88">
        <f t="shared" ref="I5:I36" si="1">SUM(G5:H5)</f>
        <v>69.050000000000011</v>
      </c>
      <c r="J5" s="694">
        <f>Gen!C11</f>
        <v>35194.410000000018</v>
      </c>
      <c r="K5" s="411">
        <f>'Water-Meter'!E6</f>
        <v>128</v>
      </c>
      <c r="L5" s="695">
        <f>'Lpg (2)'!G10</f>
        <v>208.34000000002564</v>
      </c>
      <c r="M5" s="82" t="e">
        <f>SUM(#REF!-#REF!)</f>
        <v>#REF!</v>
      </c>
    </row>
    <row r="6" spans="1:13">
      <c r="A6" s="55">
        <f>Gen!A12</f>
        <v>43771</v>
      </c>
      <c r="B6" s="457">
        <f>'Daily report Gen'!Z7</f>
        <v>46</v>
      </c>
      <c r="C6" s="90">
        <f>Gen!B12</f>
        <v>0.76600000000000001</v>
      </c>
      <c r="D6" s="670">
        <f t="shared" si="0"/>
        <v>58</v>
      </c>
      <c r="E6" s="77">
        <v>58</v>
      </c>
      <c r="F6" s="73">
        <f>Gen!T10</f>
        <v>0</v>
      </c>
      <c r="G6" s="88">
        <f>Gen!S10</f>
        <v>0</v>
      </c>
      <c r="H6" s="88">
        <f>Gen!AJ12</f>
        <v>659.55</v>
      </c>
      <c r="I6" s="88">
        <f t="shared" si="1"/>
        <v>659.55</v>
      </c>
      <c r="J6" s="694">
        <f>Gen!C12</f>
        <v>50727.24000000002</v>
      </c>
      <c r="K6" s="411">
        <f>'Water-Meter'!E7</f>
        <v>139</v>
      </c>
      <c r="L6" s="695">
        <f>'Lpg (2)'!G11</f>
        <v>101.37599999997184</v>
      </c>
      <c r="M6" s="82" t="e">
        <f>SUM(#REF!-#REF!)</f>
        <v>#REF!</v>
      </c>
    </row>
    <row r="7" spans="1:13">
      <c r="A7" s="55">
        <f>Gen!A13</f>
        <v>43772</v>
      </c>
      <c r="B7" s="457">
        <f>'Daily report Gen'!Z8</f>
        <v>43</v>
      </c>
      <c r="C7" s="90">
        <f>Gen!B13</f>
        <v>0.11</v>
      </c>
      <c r="D7" s="670">
        <f t="shared" si="0"/>
        <v>9</v>
      </c>
      <c r="E7" s="77">
        <v>9</v>
      </c>
      <c r="F7" s="73">
        <f>Gen!T11</f>
        <v>5703</v>
      </c>
      <c r="G7" s="88">
        <f>Gen!S11</f>
        <v>2398.12</v>
      </c>
      <c r="H7" s="88">
        <f>Gen!AJ13</f>
        <v>261.5</v>
      </c>
      <c r="I7" s="88">
        <f t="shared" si="1"/>
        <v>2659.62</v>
      </c>
      <c r="J7" s="694">
        <f>Gen!C13</f>
        <v>47565.120000000017</v>
      </c>
      <c r="K7" s="411">
        <f>'Water-Meter'!E8</f>
        <v>132</v>
      </c>
      <c r="L7" s="695">
        <f>'Lpg (2)'!G12</f>
        <v>101.46399999998977</v>
      </c>
      <c r="M7" s="82" t="e">
        <f>SUM(#REF!-#REF!)</f>
        <v>#REF!</v>
      </c>
    </row>
    <row r="8" spans="1:13">
      <c r="A8" s="55">
        <f>Gen!A14</f>
        <v>43773</v>
      </c>
      <c r="B8" s="457">
        <f>'Daily report Gen'!Z9</f>
        <v>40</v>
      </c>
      <c r="C8" s="90">
        <f>Gen!B14</f>
        <v>0.13</v>
      </c>
      <c r="D8" s="670">
        <f>E8</f>
        <v>10</v>
      </c>
      <c r="E8" s="77">
        <v>10</v>
      </c>
      <c r="F8" s="73">
        <f>Gen!T12</f>
        <v>6052</v>
      </c>
      <c r="G8" s="88">
        <f>Gen!S12</f>
        <v>2502.5700000000002</v>
      </c>
      <c r="H8" s="88">
        <f>Gen!AJ14</f>
        <v>17.39</v>
      </c>
      <c r="I8" s="88">
        <f t="shared" si="1"/>
        <v>2519.96</v>
      </c>
      <c r="J8" s="694">
        <f>Gen!C14</f>
        <v>45216.790000000015</v>
      </c>
      <c r="K8" s="411">
        <f>'Water-Meter'!E9</f>
        <v>100</v>
      </c>
      <c r="L8" s="695">
        <f>'Lpg (2)'!G13</f>
        <v>132.61599999999746</v>
      </c>
      <c r="M8" s="82" t="e">
        <f>SUM(#REF!-#REF!)</f>
        <v>#REF!</v>
      </c>
    </row>
    <row r="9" spans="1:13">
      <c r="A9" s="55">
        <f>Gen!A15</f>
        <v>43774</v>
      </c>
      <c r="B9" s="457">
        <f>'Daily report Gen'!Z10</f>
        <v>39</v>
      </c>
      <c r="C9" s="90">
        <f>Gen!B15</f>
        <v>0.50600000000000001</v>
      </c>
      <c r="D9" s="670">
        <f t="shared" si="0"/>
        <v>25</v>
      </c>
      <c r="E9" s="77">
        <v>25</v>
      </c>
      <c r="F9" s="73">
        <f>Gen!T13</f>
        <v>5227</v>
      </c>
      <c r="G9" s="88">
        <f>Gen!S13</f>
        <v>2086.83</v>
      </c>
      <c r="H9" s="88">
        <f>Gen!AJ15</f>
        <v>18.940000000000001</v>
      </c>
      <c r="I9" s="88">
        <f t="shared" si="1"/>
        <v>2105.77</v>
      </c>
      <c r="J9" s="694">
        <f>Gen!C15</f>
        <v>43365.190000000017</v>
      </c>
      <c r="K9" s="411">
        <f>'Water-Meter'!E10</f>
        <v>119</v>
      </c>
      <c r="L9" s="695">
        <f>'Lpg (2)'!G14</f>
        <v>147.17999999998722</v>
      </c>
      <c r="M9" s="82" t="e">
        <f>SUM(#REF!-#REF!)</f>
        <v>#REF!</v>
      </c>
    </row>
    <row r="10" spans="1:13">
      <c r="A10" s="55">
        <f>Gen!A16</f>
        <v>43775</v>
      </c>
      <c r="B10" s="457">
        <f>'Daily report Gen'!Z11</f>
        <v>48</v>
      </c>
      <c r="C10" s="90">
        <f>Gen!B16</f>
        <v>0.312</v>
      </c>
      <c r="D10" s="670">
        <f t="shared" si="0"/>
        <v>24</v>
      </c>
      <c r="E10" s="77">
        <v>24</v>
      </c>
      <c r="F10" s="73">
        <f>Gen!T14</f>
        <v>4812</v>
      </c>
      <c r="G10" s="88">
        <f>Gen!S14</f>
        <v>1834.21</v>
      </c>
      <c r="H10" s="88">
        <f>Gen!AJ16</f>
        <v>142.32999999999998</v>
      </c>
      <c r="I10" s="88">
        <f t="shared" si="1"/>
        <v>1976.54</v>
      </c>
      <c r="J10" s="694">
        <f>Gen!C16</f>
        <v>41228.550000000017</v>
      </c>
      <c r="K10" s="411">
        <f>'Water-Meter'!E11</f>
        <v>110</v>
      </c>
      <c r="L10" s="695">
        <f>'Lpg (2)'!G15</f>
        <v>144.67200000002049</v>
      </c>
      <c r="M10" s="82" t="e">
        <f>SUM(#REF!-#REF!)</f>
        <v>#REF!</v>
      </c>
    </row>
    <row r="11" spans="1:13">
      <c r="A11" s="55">
        <f>Gen!A17</f>
        <v>43776</v>
      </c>
      <c r="B11" s="457">
        <f>'Daily report Gen'!Z12</f>
        <v>41</v>
      </c>
      <c r="C11" s="90">
        <f>Gen!B17</f>
        <v>0.19500000000000001</v>
      </c>
      <c r="D11" s="670">
        <f t="shared" si="0"/>
        <v>17</v>
      </c>
      <c r="E11" s="77">
        <v>17</v>
      </c>
      <c r="F11" s="73">
        <f>Gen!T15</f>
        <v>5035</v>
      </c>
      <c r="G11" s="88">
        <f>Gen!S15</f>
        <v>2117.6999999999998</v>
      </c>
      <c r="H11" s="88">
        <f>Gen!AJ17</f>
        <v>241.32</v>
      </c>
      <c r="I11" s="88">
        <f t="shared" si="1"/>
        <v>2359.02</v>
      </c>
      <c r="J11" s="694">
        <f>Gen!C17</f>
        <v>38650.49000000002</v>
      </c>
      <c r="K11" s="411">
        <f>'Water-Meter'!E12</f>
        <v>95</v>
      </c>
      <c r="L11" s="695">
        <f>'Lpg (2)'!G16</f>
        <v>149.07200000002049</v>
      </c>
      <c r="M11" s="82" t="e">
        <f>SUM(#REF!-#REF!)</f>
        <v>#REF!</v>
      </c>
    </row>
    <row r="12" spans="1:13">
      <c r="A12" s="55">
        <f>Gen!A18</f>
        <v>43777</v>
      </c>
      <c r="B12" s="457">
        <f>'Daily report Gen'!Z13</f>
        <v>44</v>
      </c>
      <c r="C12" s="90">
        <f>Gen!B18</f>
        <v>0.16900000000000001</v>
      </c>
      <c r="D12" s="670">
        <f t="shared" si="0"/>
        <v>13</v>
      </c>
      <c r="E12" s="77">
        <v>13</v>
      </c>
      <c r="F12" s="73">
        <f>Gen!T16</f>
        <v>5420</v>
      </c>
      <c r="G12" s="88">
        <f>Gen!S16</f>
        <v>2435.73</v>
      </c>
      <c r="H12" s="88">
        <f>Gen!AJ18</f>
        <v>159.05000000000001</v>
      </c>
      <c r="I12" s="88">
        <f t="shared" si="1"/>
        <v>2594.7800000000002</v>
      </c>
      <c r="J12" s="694">
        <f>Gen!C18</f>
        <v>51179.210000000021</v>
      </c>
      <c r="K12" s="411">
        <f>'Water-Meter'!E13</f>
        <v>120</v>
      </c>
      <c r="L12" s="695">
        <f>'Lpg (2)'!G17</f>
        <v>152.06399999998976</v>
      </c>
      <c r="M12" s="82" t="e">
        <f>SUM(#REF!-#REF!)</f>
        <v>#REF!</v>
      </c>
    </row>
    <row r="13" spans="1:13">
      <c r="A13" s="55">
        <f>Gen!A19</f>
        <v>43778</v>
      </c>
      <c r="B13" s="457">
        <f>'Daily report Gen'!Z14</f>
        <v>43</v>
      </c>
      <c r="C13" s="90">
        <f>Gen!B19</f>
        <v>0.16900000000000001</v>
      </c>
      <c r="D13" s="670">
        <f t="shared" si="0"/>
        <v>13</v>
      </c>
      <c r="E13" s="77">
        <v>13</v>
      </c>
      <c r="F13" s="73">
        <f>Gen!T17</f>
        <v>5338</v>
      </c>
      <c r="G13" s="88">
        <f>Gen!S17</f>
        <v>2229.96</v>
      </c>
      <c r="H13" s="88">
        <f>Gen!AJ19</f>
        <v>122.96000000000001</v>
      </c>
      <c r="I13" s="88">
        <f t="shared" si="1"/>
        <v>2352.92</v>
      </c>
      <c r="J13" s="694">
        <f>Gen!C19</f>
        <v>48919.710000000021</v>
      </c>
      <c r="K13" s="411">
        <f>'Water-Meter'!E14</f>
        <v>96</v>
      </c>
      <c r="L13" s="695">
        <f>'Lpg (2)'!G18</f>
        <v>152.28400000000258</v>
      </c>
      <c r="M13" s="82" t="e">
        <f>SUM(#REF!-#REF!)</f>
        <v>#REF!</v>
      </c>
    </row>
    <row r="14" spans="1:13">
      <c r="A14" s="55">
        <f>Gen!A20</f>
        <v>43779</v>
      </c>
      <c r="B14" s="457">
        <f>'Daily report Gen'!Z15</f>
        <v>42</v>
      </c>
      <c r="C14" s="90">
        <f>Gen!B20</f>
        <v>0.46800000000000003</v>
      </c>
      <c r="D14" s="670">
        <f t="shared" si="0"/>
        <v>36</v>
      </c>
      <c r="E14" s="77">
        <v>36</v>
      </c>
      <c r="F14" s="73">
        <f>Gen!T18</f>
        <v>5670</v>
      </c>
      <c r="G14" s="88">
        <f>Gen!S18</f>
        <v>2100.4499999999998</v>
      </c>
      <c r="H14" s="88">
        <f>Gen!AJ20</f>
        <v>231.5</v>
      </c>
      <c r="I14" s="88">
        <f t="shared" si="1"/>
        <v>2331.9499999999998</v>
      </c>
      <c r="J14" s="694">
        <f>Gen!C20</f>
        <v>46666.580000000024</v>
      </c>
      <c r="K14" s="411">
        <f>'Water-Meter'!E15</f>
        <v>124</v>
      </c>
      <c r="L14" s="695">
        <f>'Lpg (2)'!G19</f>
        <v>103.48800000001793</v>
      </c>
      <c r="M14" s="82" t="e">
        <f>SUM(#REF!-#REF!)</f>
        <v>#REF!</v>
      </c>
    </row>
    <row r="15" spans="1:13">
      <c r="A15" s="55">
        <f>Gen!A21</f>
        <v>43780</v>
      </c>
      <c r="B15" s="457">
        <f>'Daily report Gen'!Z16</f>
        <v>47</v>
      </c>
      <c r="C15" s="90">
        <f>Gen!B21</f>
        <v>0.94799999999999995</v>
      </c>
      <c r="D15" s="670">
        <f t="shared" si="0"/>
        <v>73</v>
      </c>
      <c r="E15" s="77">
        <v>73</v>
      </c>
      <c r="F15" s="73">
        <f>Gen!T19</f>
        <v>5594</v>
      </c>
      <c r="G15" s="88">
        <f>Gen!S19</f>
        <v>2130.17</v>
      </c>
      <c r="H15" s="88">
        <f>Gen!AJ21</f>
        <v>0</v>
      </c>
      <c r="I15" s="88">
        <f t="shared" si="1"/>
        <v>2130.17</v>
      </c>
      <c r="J15" s="694">
        <f>Gen!C21</f>
        <v>44193.280000000021</v>
      </c>
      <c r="K15" s="411">
        <f>'Water-Meter'!E16</f>
        <v>131</v>
      </c>
      <c r="L15" s="695">
        <f>'Lpg (2)'!G20</f>
        <v>101.77199999995646</v>
      </c>
      <c r="M15" s="82" t="e">
        <f>SUM(#REF!-#REF!)</f>
        <v>#REF!</v>
      </c>
    </row>
    <row r="16" spans="1:13">
      <c r="A16" s="55">
        <f>Gen!A22</f>
        <v>43781</v>
      </c>
      <c r="B16" s="457">
        <f>'Daily report Gen'!Z17</f>
        <v>46</v>
      </c>
      <c r="C16" s="90">
        <f>Gen!B22</f>
        <v>0.93500000000000005</v>
      </c>
      <c r="D16" s="670">
        <f t="shared" si="0"/>
        <v>73</v>
      </c>
      <c r="E16" s="77">
        <v>73</v>
      </c>
      <c r="F16" s="73">
        <f>Gen!T20</f>
        <v>5487</v>
      </c>
      <c r="G16" s="88">
        <f>Gen!S20</f>
        <v>2241.8000000000002</v>
      </c>
      <c r="H16" s="88">
        <f>Gen!AJ22</f>
        <v>187.81</v>
      </c>
      <c r="I16" s="88">
        <f t="shared" si="1"/>
        <v>2429.61</v>
      </c>
      <c r="J16" s="694">
        <f>Gen!C22</f>
        <v>41540.830000000024</v>
      </c>
      <c r="K16" s="411">
        <f>'Water-Meter'!E17</f>
        <v>136</v>
      </c>
      <c r="L16" s="695">
        <f>'Lpg (2)'!G21</f>
        <v>115.1920000000333</v>
      </c>
      <c r="M16" s="82" t="e">
        <f>SUM(#REF!-#REF!)</f>
        <v>#REF!</v>
      </c>
    </row>
    <row r="17" spans="1:13">
      <c r="A17" s="55">
        <f>Gen!A23</f>
        <v>43782</v>
      </c>
      <c r="B17" s="457">
        <f>'Daily report Gen'!Z18</f>
        <v>44</v>
      </c>
      <c r="C17" s="90">
        <f>Gen!B23</f>
        <v>0.48099999999999998</v>
      </c>
      <c r="D17" s="670">
        <f t="shared" si="0"/>
        <v>39</v>
      </c>
      <c r="E17" s="77">
        <v>39</v>
      </c>
      <c r="F17" s="73">
        <f>Gen!T21</f>
        <v>6542</v>
      </c>
      <c r="G17" s="88">
        <f>Gen!S21</f>
        <v>2652.4500000000003</v>
      </c>
      <c r="H17" s="88">
        <f>Gen!AJ23</f>
        <v>450.31</v>
      </c>
      <c r="I17" s="88">
        <f t="shared" si="1"/>
        <v>3102.76</v>
      </c>
      <c r="J17" s="694">
        <f>Gen!C23</f>
        <v>38765.560000000027</v>
      </c>
      <c r="K17" s="411">
        <f>'Water-Meter'!E18</f>
        <v>123</v>
      </c>
      <c r="L17" s="695">
        <f>'Lpg (2)'!G22</f>
        <v>98.471999999956466</v>
      </c>
      <c r="M17" s="82" t="e">
        <f>SUM(#REF!-#REF!)</f>
        <v>#REF!</v>
      </c>
    </row>
    <row r="18" spans="1:13">
      <c r="A18" s="55">
        <f>Gen!A24</f>
        <v>43783</v>
      </c>
      <c r="B18" s="457">
        <f>'Daily report Gen'!Z19</f>
        <v>44</v>
      </c>
      <c r="C18" s="90">
        <f>Gen!B24</f>
        <v>0.52600000000000002</v>
      </c>
      <c r="D18" s="670">
        <f t="shared" si="0"/>
        <v>41</v>
      </c>
      <c r="E18" s="77">
        <v>41</v>
      </c>
      <c r="F18" s="73">
        <f>Gen!T22</f>
        <v>6667</v>
      </c>
      <c r="G18" s="88">
        <f>Gen!S22</f>
        <v>2587.46</v>
      </c>
      <c r="H18" s="88">
        <f>Gen!AJ24</f>
        <v>283.61</v>
      </c>
      <c r="I18" s="88">
        <f t="shared" si="1"/>
        <v>2871.07</v>
      </c>
      <c r="J18" s="694">
        <f>Gen!C24</f>
        <v>36085.770000000026</v>
      </c>
      <c r="K18" s="411">
        <f>'Water-Meter'!E19</f>
        <v>118</v>
      </c>
      <c r="L18" s="695">
        <f>'Lpg (2)'!G23</f>
        <v>112.15600000002306</v>
      </c>
      <c r="M18" s="82" t="e">
        <f>SUM(#REF!-#REF!)</f>
        <v>#REF!</v>
      </c>
    </row>
    <row r="19" spans="1:13">
      <c r="A19" s="55">
        <f>Gen!A25</f>
        <v>43784</v>
      </c>
      <c r="B19" s="457">
        <f>'Daily report Gen'!Z20</f>
        <v>43</v>
      </c>
      <c r="C19" s="90">
        <f>Gen!B25</f>
        <v>0.221</v>
      </c>
      <c r="D19" s="670">
        <f t="shared" si="0"/>
        <v>17</v>
      </c>
      <c r="E19" s="77">
        <v>17</v>
      </c>
      <c r="F19" s="73">
        <f>Gen!T23</f>
        <v>5860</v>
      </c>
      <c r="G19" s="88">
        <f>Gen!S23</f>
        <v>2229.48</v>
      </c>
      <c r="H19" s="88">
        <f>Gen!AJ25</f>
        <v>250.23000000000002</v>
      </c>
      <c r="I19" s="88">
        <f t="shared" si="1"/>
        <v>2479.71</v>
      </c>
      <c r="J19" s="694">
        <f>Gen!C25</f>
        <v>33433.800000000025</v>
      </c>
      <c r="K19" s="411">
        <f>'Water-Meter'!E20</f>
        <v>107</v>
      </c>
      <c r="L19" s="695">
        <f>'Lpg (2)'!G24</f>
        <v>103.09200000003331</v>
      </c>
      <c r="M19" s="82" t="e">
        <f>SUM(#REF!-#REF!)</f>
        <v>#REF!</v>
      </c>
    </row>
    <row r="20" spans="1:13">
      <c r="A20" s="55">
        <f>Gen!A26</f>
        <v>43785</v>
      </c>
      <c r="B20" s="457">
        <f>'Daily report Gen'!Z21</f>
        <v>43</v>
      </c>
      <c r="C20" s="90">
        <f>Gen!B26</f>
        <v>0.156</v>
      </c>
      <c r="D20" s="670">
        <f t="shared" si="0"/>
        <v>12</v>
      </c>
      <c r="E20" s="77">
        <v>12</v>
      </c>
      <c r="F20" s="73">
        <f>Gen!T24</f>
        <v>5863</v>
      </c>
      <c r="G20" s="88">
        <f>Gen!S24</f>
        <v>2368.3599999999997</v>
      </c>
      <c r="H20" s="88">
        <f>Gen!AJ26</f>
        <v>182.65999999999997</v>
      </c>
      <c r="I20" s="88">
        <f t="shared" si="1"/>
        <v>2551.0199999999995</v>
      </c>
      <c r="J20" s="694">
        <f>Gen!C26</f>
        <v>49049.920000000027</v>
      </c>
      <c r="K20" s="411">
        <f>'Water-Meter'!E21</f>
        <v>115</v>
      </c>
      <c r="L20" s="695">
        <f>'Lpg (2)'!G25</f>
        <v>126.41199999998209</v>
      </c>
      <c r="M20" s="82" t="e">
        <f>SUM(#REF!-#REF!)</f>
        <v>#REF!</v>
      </c>
    </row>
    <row r="21" spans="1:13">
      <c r="A21" s="55">
        <f>Gen!A27</f>
        <v>43786</v>
      </c>
      <c r="B21" s="457">
        <f>'Daily report Gen'!Z22</f>
        <v>42</v>
      </c>
      <c r="C21" s="90">
        <f>Gen!B27</f>
        <v>0.623</v>
      </c>
      <c r="D21" s="670">
        <f t="shared" si="0"/>
        <v>48</v>
      </c>
      <c r="E21" s="77">
        <v>48</v>
      </c>
      <c r="F21" s="73">
        <f>Gen!T25</f>
        <v>5390</v>
      </c>
      <c r="G21" s="88">
        <f>Gen!S25</f>
        <v>2133.65</v>
      </c>
      <c r="H21" s="88">
        <f>Gen!AJ27</f>
        <v>129.38</v>
      </c>
      <c r="I21" s="88">
        <f t="shared" si="1"/>
        <v>2263.0300000000002</v>
      </c>
      <c r="J21" s="694">
        <f>Gen!C27</f>
        <v>46768.140000000029</v>
      </c>
      <c r="K21" s="411">
        <f>'Water-Meter'!E22</f>
        <v>127</v>
      </c>
      <c r="L21" s="695">
        <f>'Lpg (2)'!G26</f>
        <v>119.50400000001538</v>
      </c>
      <c r="M21" s="82" t="e">
        <f>SUM(#REF!-#REF!)</f>
        <v>#REF!</v>
      </c>
    </row>
    <row r="22" spans="1:13">
      <c r="A22" s="55">
        <f>Gen!A28</f>
        <v>43787</v>
      </c>
      <c r="B22" s="457">
        <f>'Daily report Gen'!Z23</f>
        <v>43</v>
      </c>
      <c r="C22" s="90">
        <f>Gen!B28</f>
        <v>0.51900000000000002</v>
      </c>
      <c r="D22" s="670">
        <f t="shared" si="0"/>
        <v>40</v>
      </c>
      <c r="E22" s="77">
        <v>40</v>
      </c>
      <c r="F22" s="73">
        <f>Gen!T26</f>
        <v>5341</v>
      </c>
      <c r="G22" s="88">
        <f>Gen!S26</f>
        <v>2099.12</v>
      </c>
      <c r="H22" s="88">
        <f>Gen!AJ28</f>
        <v>160.38999999999999</v>
      </c>
      <c r="I22" s="88">
        <f t="shared" si="1"/>
        <v>2259.5099999999998</v>
      </c>
      <c r="J22" s="694">
        <f>Gen!C28</f>
        <v>44244.070000000029</v>
      </c>
      <c r="K22" s="411">
        <f>'Water-Meter'!E23</f>
        <v>106</v>
      </c>
      <c r="L22" s="695">
        <f>'Lpg (2)'!G27</f>
        <v>110.21999999994878</v>
      </c>
      <c r="M22" s="82" t="e">
        <f>SUM(#REF!-#REF!)</f>
        <v>#REF!</v>
      </c>
    </row>
    <row r="23" spans="1:13">
      <c r="A23" s="55">
        <f>Gen!A29</f>
        <v>43788</v>
      </c>
      <c r="B23" s="457">
        <f>'Daily report Gen'!Z24</f>
        <v>41</v>
      </c>
      <c r="C23" s="90">
        <f>Gen!B29</f>
        <v>9.0999999999999998E-2</v>
      </c>
      <c r="D23" s="670">
        <f t="shared" si="0"/>
        <v>7</v>
      </c>
      <c r="E23" s="77">
        <v>7</v>
      </c>
      <c r="F23" s="73">
        <f>Gen!T27</f>
        <v>5872</v>
      </c>
      <c r="G23" s="88">
        <f>Gen!S27</f>
        <v>2394.69</v>
      </c>
      <c r="H23" s="88">
        <f>Gen!AJ29</f>
        <v>107.72999999999999</v>
      </c>
      <c r="I23" s="88">
        <f t="shared" si="1"/>
        <v>2502.42</v>
      </c>
      <c r="J23" s="694">
        <f>Gen!C29</f>
        <v>41811.280000000028</v>
      </c>
      <c r="K23" s="411">
        <f>'Water-Meter'!E24</f>
        <v>98</v>
      </c>
      <c r="L23" s="695">
        <f>'Lpg (2)'!G28</f>
        <v>126.10400000001538</v>
      </c>
      <c r="M23" s="82" t="e">
        <f>SUM(#REF!-#REF!)</f>
        <v>#REF!</v>
      </c>
    </row>
    <row r="24" spans="1:13">
      <c r="A24" s="55">
        <f>Gen!A30</f>
        <v>43789</v>
      </c>
      <c r="B24" s="457">
        <f>'Daily report Gen'!Z25</f>
        <v>33</v>
      </c>
      <c r="C24" s="90">
        <f>Gen!B30</f>
        <v>0.11700000000000001</v>
      </c>
      <c r="D24" s="670">
        <f t="shared" si="0"/>
        <v>9</v>
      </c>
      <c r="E24" s="77">
        <v>9</v>
      </c>
      <c r="F24" s="73">
        <f>Gen!T28</f>
        <v>5477</v>
      </c>
      <c r="G24" s="88">
        <f>Gen!S28</f>
        <v>2272.4</v>
      </c>
      <c r="H24" s="88">
        <f>Gen!AJ30</f>
        <v>84.19</v>
      </c>
      <c r="I24" s="88">
        <f t="shared" si="1"/>
        <v>2356.59</v>
      </c>
      <c r="J24" s="694">
        <f>Gen!C30</f>
        <v>39850.250000000029</v>
      </c>
      <c r="K24" s="411">
        <f>'Water-Meter'!E25</f>
        <v>79</v>
      </c>
      <c r="L24" s="695">
        <f>'Lpg (2)'!G29</f>
        <v>107.14000000002562</v>
      </c>
      <c r="M24" s="82" t="e">
        <f>SUM(#REF!-#REF!)</f>
        <v>#REF!</v>
      </c>
    </row>
    <row r="25" spans="1:13">
      <c r="A25" s="55">
        <f>Gen!A31</f>
        <v>43790</v>
      </c>
      <c r="B25" s="457">
        <f>'Daily report Gen'!Z26</f>
        <v>29</v>
      </c>
      <c r="C25" s="90">
        <f>Gen!B31</f>
        <v>0.13</v>
      </c>
      <c r="D25" s="670">
        <f t="shared" si="0"/>
        <v>10</v>
      </c>
      <c r="E25" s="77">
        <v>10</v>
      </c>
      <c r="F25" s="73">
        <f>Gen!T29</f>
        <v>4892</v>
      </c>
      <c r="G25" s="88">
        <f>Gen!S29</f>
        <v>1853.3000000000002</v>
      </c>
      <c r="H25" s="88">
        <f>Gen!AJ31</f>
        <v>38.159999999999997</v>
      </c>
      <c r="I25" s="88">
        <f t="shared" si="1"/>
        <v>1891.4600000000003</v>
      </c>
      <c r="J25" s="694">
        <f>Gen!C31</f>
        <v>37921.440000000031</v>
      </c>
      <c r="K25" s="411">
        <f>'Water-Meter'!E26</f>
        <v>95</v>
      </c>
      <c r="L25" s="695">
        <f>'Lpg (2)'!G30</f>
        <v>113.87199999995647</v>
      </c>
      <c r="M25" s="82" t="e">
        <f>SUM(#REF!-#REF!)</f>
        <v>#REF!</v>
      </c>
    </row>
    <row r="26" spans="1:13">
      <c r="A26" s="55">
        <f>Gen!A32</f>
        <v>43791</v>
      </c>
      <c r="B26" s="457">
        <f>'Daily report Gen'!Z27</f>
        <v>32</v>
      </c>
      <c r="C26" s="90">
        <f>Gen!B32</f>
        <v>0.14299999999999999</v>
      </c>
      <c r="D26" s="670">
        <f t="shared" si="0"/>
        <v>11</v>
      </c>
      <c r="E26" s="77">
        <v>11</v>
      </c>
      <c r="F26" s="73">
        <f>Gen!T30</f>
        <v>4193</v>
      </c>
      <c r="G26" s="88">
        <f>Gen!S30</f>
        <v>1844.6200000000001</v>
      </c>
      <c r="H26" s="88">
        <f>Gen!AJ32</f>
        <v>86.34</v>
      </c>
      <c r="I26" s="88">
        <f t="shared" si="1"/>
        <v>1930.96</v>
      </c>
      <c r="J26" s="694">
        <f>Gen!C32</f>
        <v>36326.080000000031</v>
      </c>
      <c r="K26" s="411">
        <f>'Water-Meter'!E27</f>
        <v>95</v>
      </c>
      <c r="L26" s="695">
        <f>'Lpg (2)'!G31</f>
        <v>110.52800000004355</v>
      </c>
      <c r="M26" s="82" t="e">
        <f>SUM(#REF!-#REF!)</f>
        <v>#REF!</v>
      </c>
    </row>
    <row r="27" spans="1:13">
      <c r="A27" s="55">
        <f>Gen!A33</f>
        <v>43792</v>
      </c>
      <c r="B27" s="457">
        <f>'Daily report Gen'!Z28</f>
        <v>-145094</v>
      </c>
      <c r="C27" s="90">
        <f>Gen!B33</f>
        <v>0.16900000000000001</v>
      </c>
      <c r="D27" s="670">
        <f t="shared" si="0"/>
        <v>13</v>
      </c>
      <c r="E27" s="77">
        <v>13</v>
      </c>
      <c r="F27" s="73">
        <f>Gen!T31</f>
        <v>4311</v>
      </c>
      <c r="G27" s="88">
        <f>Gen!S31</f>
        <v>1557.2</v>
      </c>
      <c r="H27" s="88">
        <f>Gen!AJ33</f>
        <v>0</v>
      </c>
      <c r="I27" s="88">
        <f t="shared" si="1"/>
        <v>1557.2</v>
      </c>
      <c r="J27" s="694">
        <f>Gen!C33</f>
        <v>34416.850000000028</v>
      </c>
      <c r="K27" s="411" t="str">
        <f>'Water-Meter'!E28</f>
        <v>0</v>
      </c>
      <c r="L27" s="695">
        <f>'Lpg (2)'!G32</f>
        <v>-298772.32000000007</v>
      </c>
      <c r="M27" s="82" t="e">
        <f>SUM(#REF!-#REF!)</f>
        <v>#REF!</v>
      </c>
    </row>
    <row r="28" spans="1:13">
      <c r="A28" s="55">
        <f>Gen!A34</f>
        <v>43793</v>
      </c>
      <c r="B28" s="457">
        <f>'Daily report Gen'!Z29</f>
        <v>0</v>
      </c>
      <c r="C28" s="90">
        <f>Gen!B34</f>
        <v>0</v>
      </c>
      <c r="D28" s="670">
        <f t="shared" si="0"/>
        <v>0</v>
      </c>
      <c r="E28" s="77"/>
      <c r="F28" s="73">
        <f>Gen!T32</f>
        <v>4323</v>
      </c>
      <c r="G28" s="88">
        <f>Gen!S32</f>
        <v>1822.8899999999999</v>
      </c>
      <c r="H28" s="88">
        <f>Gen!AJ34</f>
        <v>0</v>
      </c>
      <c r="I28" s="88">
        <f t="shared" si="1"/>
        <v>1822.8899999999999</v>
      </c>
      <c r="J28" s="694">
        <f>Gen!C34</f>
        <v>34416.850000000028</v>
      </c>
      <c r="K28" s="411">
        <f>'Water-Meter'!E29</f>
        <v>0</v>
      </c>
      <c r="L28" s="695">
        <f>'Lpg (2)'!G33</f>
        <v>0</v>
      </c>
      <c r="M28" s="82" t="e">
        <f>SUM(#REF!-#REF!)</f>
        <v>#REF!</v>
      </c>
    </row>
    <row r="29" spans="1:13">
      <c r="A29" s="55">
        <f>Gen!A35</f>
        <v>43794</v>
      </c>
      <c r="B29" s="457">
        <f>'Daily report Gen'!Z30</f>
        <v>0</v>
      </c>
      <c r="C29" s="90">
        <f>Gen!B35</f>
        <v>0</v>
      </c>
      <c r="D29" s="670">
        <f t="shared" si="0"/>
        <v>0</v>
      </c>
      <c r="E29" s="77"/>
      <c r="F29" s="73">
        <f>Gen!T33</f>
        <v>0</v>
      </c>
      <c r="G29" s="88">
        <f>Gen!S33</f>
        <v>0</v>
      </c>
      <c r="H29" s="88">
        <f>Gen!AJ35</f>
        <v>0</v>
      </c>
      <c r="I29" s="88">
        <f t="shared" si="1"/>
        <v>0</v>
      </c>
      <c r="J29" s="694">
        <f>Gen!C35</f>
        <v>34416.850000000028</v>
      </c>
      <c r="K29" s="411">
        <f>'Water-Meter'!E30</f>
        <v>0</v>
      </c>
      <c r="L29" s="695">
        <f>'Lpg (2)'!G34</f>
        <v>0</v>
      </c>
      <c r="M29" s="82" t="e">
        <f>SUM(#REF!-#REF!)</f>
        <v>#REF!</v>
      </c>
    </row>
    <row r="30" spans="1:13">
      <c r="A30" s="55">
        <f>Gen!A36</f>
        <v>43795</v>
      </c>
      <c r="B30" s="457">
        <f>'Daily report Gen'!Z31</f>
        <v>0</v>
      </c>
      <c r="C30" s="90">
        <f>Gen!B36</f>
        <v>0</v>
      </c>
      <c r="D30" s="670">
        <f t="shared" si="0"/>
        <v>0</v>
      </c>
      <c r="E30" s="77"/>
      <c r="F30" s="73">
        <f>Gen!T34</f>
        <v>0</v>
      </c>
      <c r="G30" s="88">
        <f>Gen!S34</f>
        <v>0</v>
      </c>
      <c r="H30" s="88">
        <f>Gen!AJ36</f>
        <v>0</v>
      </c>
      <c r="I30" s="88">
        <f t="shared" si="1"/>
        <v>0</v>
      </c>
      <c r="J30" s="694">
        <f>Gen!C36</f>
        <v>34416.850000000028</v>
      </c>
      <c r="K30" s="411">
        <f>'Water-Meter'!E31</f>
        <v>0</v>
      </c>
      <c r="L30" s="695">
        <f>'Lpg (2)'!G35</f>
        <v>0</v>
      </c>
      <c r="M30" s="82" t="e">
        <f>SUM(#REF!-#REF!)</f>
        <v>#REF!</v>
      </c>
    </row>
    <row r="31" spans="1:13">
      <c r="A31" s="55">
        <f>Gen!A37</f>
        <v>43796</v>
      </c>
      <c r="B31" s="457">
        <f>'Daily report Gen'!Z32</f>
        <v>0</v>
      </c>
      <c r="C31" s="90">
        <f>Gen!B37</f>
        <v>0</v>
      </c>
      <c r="D31" s="670">
        <f t="shared" si="0"/>
        <v>0</v>
      </c>
      <c r="E31" s="77"/>
      <c r="F31" s="73">
        <f>Gen!T35</f>
        <v>0</v>
      </c>
      <c r="G31" s="88">
        <f>Gen!S35</f>
        <v>0</v>
      </c>
      <c r="H31" s="88">
        <f>Gen!AJ37</f>
        <v>0</v>
      </c>
      <c r="I31" s="88">
        <f t="shared" si="1"/>
        <v>0</v>
      </c>
      <c r="J31" s="694">
        <f>Gen!C37</f>
        <v>34416.850000000028</v>
      </c>
      <c r="K31" s="411">
        <f>'Water-Meter'!E32</f>
        <v>0</v>
      </c>
      <c r="L31" s="695">
        <f>'Lpg (2)'!G36</f>
        <v>0</v>
      </c>
      <c r="M31" s="82" t="e">
        <f>SUM(#REF!-#REF!)</f>
        <v>#REF!</v>
      </c>
    </row>
    <row r="32" spans="1:13">
      <c r="A32" s="55">
        <f>Gen!A38</f>
        <v>43797</v>
      </c>
      <c r="B32" s="457">
        <f>'Daily report Gen'!Z33</f>
        <v>0</v>
      </c>
      <c r="C32" s="90">
        <f>Gen!B38</f>
        <v>0</v>
      </c>
      <c r="D32" s="670">
        <f t="shared" si="0"/>
        <v>0</v>
      </c>
      <c r="E32" s="77"/>
      <c r="F32" s="73">
        <f>Gen!T36</f>
        <v>0</v>
      </c>
      <c r="G32" s="88">
        <f>Gen!S36</f>
        <v>0</v>
      </c>
      <c r="H32" s="88">
        <f>Gen!AJ38</f>
        <v>0</v>
      </c>
      <c r="I32" s="88">
        <f t="shared" si="1"/>
        <v>0</v>
      </c>
      <c r="J32" s="694">
        <f>Gen!C38</f>
        <v>34416.850000000028</v>
      </c>
      <c r="K32" s="411">
        <f>'Water-Meter'!E33</f>
        <v>0</v>
      </c>
      <c r="L32" s="695">
        <f>'Lpg (2)'!G37</f>
        <v>0</v>
      </c>
      <c r="M32" s="82" t="e">
        <f>SUM(#REF!-#REF!)</f>
        <v>#REF!</v>
      </c>
    </row>
    <row r="33" spans="1:13">
      <c r="A33" s="55">
        <f>Gen!A39</f>
        <v>43798</v>
      </c>
      <c r="B33" s="457">
        <f>'Daily report Gen'!Z34</f>
        <v>0</v>
      </c>
      <c r="C33" s="90">
        <f>Gen!B39</f>
        <v>0</v>
      </c>
      <c r="D33" s="670">
        <f t="shared" si="0"/>
        <v>0</v>
      </c>
      <c r="E33" s="77"/>
      <c r="F33" s="73">
        <f>Gen!T37</f>
        <v>0</v>
      </c>
      <c r="G33" s="88">
        <f>Gen!S37</f>
        <v>0</v>
      </c>
      <c r="H33" s="88">
        <f>Gen!AJ39</f>
        <v>0</v>
      </c>
      <c r="I33" s="88">
        <f t="shared" si="1"/>
        <v>0</v>
      </c>
      <c r="J33" s="694">
        <f>Gen!C39</f>
        <v>34416.850000000028</v>
      </c>
      <c r="K33" s="411">
        <f>'Water-Meter'!E34</f>
        <v>0</v>
      </c>
      <c r="L33" s="695">
        <f>'Lpg (2)'!G38</f>
        <v>0</v>
      </c>
      <c r="M33" s="82" t="e">
        <f>SUM(#REF!-#REF!)</f>
        <v>#REF!</v>
      </c>
    </row>
    <row r="34" spans="1:13">
      <c r="A34" s="55">
        <f>Gen!A40</f>
        <v>43799</v>
      </c>
      <c r="B34" s="457">
        <f>'Daily report Gen'!Z35</f>
        <v>0</v>
      </c>
      <c r="C34" s="90">
        <f>Gen!B40</f>
        <v>0</v>
      </c>
      <c r="D34" s="670">
        <f t="shared" si="0"/>
        <v>0</v>
      </c>
      <c r="E34" s="77"/>
      <c r="F34" s="73">
        <f>Gen!T38</f>
        <v>0</v>
      </c>
      <c r="G34" s="88">
        <f>Gen!S38</f>
        <v>0</v>
      </c>
      <c r="H34" s="88">
        <f>Gen!AJ40</f>
        <v>0</v>
      </c>
      <c r="I34" s="88">
        <f t="shared" si="1"/>
        <v>0</v>
      </c>
      <c r="J34" s="694">
        <f>Gen!C40</f>
        <v>34416.850000000028</v>
      </c>
      <c r="K34" s="411">
        <f>'Water-Meter'!E35</f>
        <v>0</v>
      </c>
      <c r="L34" s="695">
        <f>'Lpg (2)'!G39</f>
        <v>0</v>
      </c>
      <c r="M34" s="82" t="e">
        <f>SUM(#REF!-#REF!)</f>
        <v>#REF!</v>
      </c>
    </row>
    <row r="35" spans="1:13">
      <c r="A35" s="55">
        <f>Gen!A41</f>
        <v>43800</v>
      </c>
      <c r="B35" s="457">
        <f>'Daily report Gen'!Z36</f>
        <v>0</v>
      </c>
      <c r="C35" s="90">
        <f>Gen!B41</f>
        <v>0</v>
      </c>
      <c r="D35" s="670">
        <f t="shared" si="0"/>
        <v>0</v>
      </c>
      <c r="E35" s="77"/>
      <c r="F35" s="73">
        <f>Gen!T39</f>
        <v>0</v>
      </c>
      <c r="G35" s="88">
        <f>Gen!S39</f>
        <v>0</v>
      </c>
      <c r="H35" s="88">
        <f>Gen!AJ41</f>
        <v>0</v>
      </c>
      <c r="I35" s="88">
        <f t="shared" si="1"/>
        <v>0</v>
      </c>
      <c r="J35" s="694">
        <f>Gen!C41</f>
        <v>34416.850000000028</v>
      </c>
      <c r="K35" s="411">
        <f>'Water-Meter'!E36</f>
        <v>0</v>
      </c>
      <c r="L35" s="695">
        <f>'Lpg (2)'!G40</f>
        <v>0</v>
      </c>
      <c r="M35" s="82" t="e">
        <f>SUM(#REF!-#REF!)</f>
        <v>#REF!</v>
      </c>
    </row>
    <row r="36" spans="1:13">
      <c r="A36" s="55">
        <f>Gen!A42</f>
        <v>0</v>
      </c>
      <c r="B36" s="457">
        <f>'Daily report Gen'!Z37</f>
        <v>0</v>
      </c>
      <c r="C36" s="90">
        <f>Gen!B42</f>
        <v>0</v>
      </c>
      <c r="D36" s="670">
        <f t="shared" si="0"/>
        <v>0</v>
      </c>
      <c r="E36" s="77"/>
      <c r="F36" s="73">
        <f>Gen!T40</f>
        <v>0</v>
      </c>
      <c r="G36" s="88">
        <f>Gen!S40</f>
        <v>0</v>
      </c>
      <c r="H36" s="88">
        <f>Gen!AJ42</f>
        <v>0</v>
      </c>
      <c r="I36" s="88">
        <f t="shared" si="1"/>
        <v>0</v>
      </c>
      <c r="J36" s="694">
        <f>Gen!C42</f>
        <v>34416.850000000028</v>
      </c>
      <c r="K36" s="411">
        <f>'Water-Meter'!E37</f>
        <v>0</v>
      </c>
      <c r="L36" s="695">
        <f>'Lpg (2)'!G41</f>
        <v>0</v>
      </c>
    </row>
    <row r="38" spans="1:13">
      <c r="B38" s="86" t="e">
        <f>SUM(B5:B37)/[1]Gen!A47</f>
        <v>#REF!</v>
      </c>
      <c r="D38" s="90"/>
    </row>
    <row r="39" spans="1:13">
      <c r="B39" s="86" t="e">
        <f>SUM(B38*[1]Gen!A47)</f>
        <v>#REF!</v>
      </c>
      <c r="C39" s="86" t="e">
        <f>SUM(B39/250)</f>
        <v>#REF!</v>
      </c>
    </row>
  </sheetData>
  <mergeCells count="1">
    <mergeCell ref="A2:E2"/>
  </mergeCells>
  <pageMargins left="0.7" right="0.7" top="0.75" bottom="0.75" header="0.3" footer="0.3"/>
  <pageSetup paperSize="9" scale="60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E15" workbookViewId="0">
      <selection activeCell="X33" sqref="X3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78">
        <v>43770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/>
      <c r="AB1" s="779"/>
      <c r="AC1" s="21"/>
    </row>
    <row r="2" spans="1:29" ht="12" customHeight="1" thickBot="1">
      <c r="A2" s="779"/>
      <c r="B2" s="779"/>
      <c r="C2" s="779"/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21"/>
    </row>
    <row r="3" spans="1:29" ht="27.75" customHeight="1" thickBot="1">
      <c r="A3" s="21"/>
      <c r="B3" s="21"/>
      <c r="C3" s="21"/>
      <c r="D3" s="21"/>
      <c r="E3" s="21"/>
      <c r="F3" s="21"/>
      <c r="G3" s="21"/>
      <c r="H3" s="21"/>
      <c r="I3" s="41"/>
      <c r="J3" s="21"/>
      <c r="K3" s="780" t="s">
        <v>307</v>
      </c>
      <c r="L3" s="781"/>
      <c r="M3" s="782"/>
      <c r="N3" s="780" t="s">
        <v>308</v>
      </c>
      <c r="O3" s="781"/>
      <c r="P3" s="782"/>
      <c r="Q3" s="780" t="s">
        <v>309</v>
      </c>
      <c r="R3" s="781"/>
      <c r="S3" s="782"/>
      <c r="T3" s="780" t="s">
        <v>310</v>
      </c>
      <c r="U3" s="781"/>
      <c r="V3" s="782"/>
      <c r="W3" s="780" t="s">
        <v>311</v>
      </c>
      <c r="X3" s="781"/>
      <c r="Y3" s="782"/>
      <c r="Z3" s="426"/>
      <c r="AA3" s="21"/>
      <c r="AB3" s="21"/>
      <c r="AC3" s="21"/>
    </row>
    <row r="4" spans="1:29" ht="35.25" customHeight="1" thickBot="1">
      <c r="A4" s="360" t="s">
        <v>88</v>
      </c>
      <c r="B4" s="478" t="s">
        <v>89</v>
      </c>
      <c r="C4" s="478" t="s">
        <v>90</v>
      </c>
      <c r="D4" s="478" t="s">
        <v>91</v>
      </c>
      <c r="E4" s="478" t="s">
        <v>92</v>
      </c>
      <c r="F4" s="478" t="s">
        <v>245</v>
      </c>
      <c r="G4" s="479" t="s">
        <v>93</v>
      </c>
      <c r="H4" s="478" t="s">
        <v>94</v>
      </c>
      <c r="I4" s="479" t="s">
        <v>95</v>
      </c>
      <c r="J4" s="480" t="s">
        <v>96</v>
      </c>
      <c r="K4" s="481" t="s">
        <v>194</v>
      </c>
      <c r="L4" s="479" t="s">
        <v>195</v>
      </c>
      <c r="M4" s="479" t="s">
        <v>205</v>
      </c>
      <c r="N4" s="481" t="s">
        <v>194</v>
      </c>
      <c r="O4" s="479" t="s">
        <v>195</v>
      </c>
      <c r="P4" s="479" t="s">
        <v>205</v>
      </c>
      <c r="Q4" s="481" t="s">
        <v>194</v>
      </c>
      <c r="R4" s="479" t="s">
        <v>195</v>
      </c>
      <c r="S4" s="479" t="s">
        <v>205</v>
      </c>
      <c r="T4" s="481" t="s">
        <v>194</v>
      </c>
      <c r="U4" s="479" t="s">
        <v>195</v>
      </c>
      <c r="V4" s="479" t="s">
        <v>205</v>
      </c>
      <c r="W4" s="481" t="s">
        <v>194</v>
      </c>
      <c r="X4" s="479"/>
      <c r="Y4" s="480" t="s">
        <v>205</v>
      </c>
      <c r="Z4" s="482" t="s">
        <v>196</v>
      </c>
      <c r="AA4" s="478" t="s">
        <v>176</v>
      </c>
      <c r="AB4" s="483" t="s">
        <v>97</v>
      </c>
      <c r="AC4" s="484" t="s">
        <v>198</v>
      </c>
    </row>
    <row r="5" spans="1:29" ht="18.75" customHeight="1">
      <c r="A5" s="475"/>
      <c r="B5" s="477"/>
      <c r="C5" s="477"/>
      <c r="D5" s="477"/>
      <c r="E5" s="477"/>
      <c r="F5" s="477"/>
      <c r="G5" s="477"/>
      <c r="H5" s="477"/>
      <c r="I5" s="477"/>
      <c r="J5" s="477"/>
      <c r="K5" s="734"/>
      <c r="L5" s="428">
        <v>33200</v>
      </c>
      <c r="M5" s="734"/>
      <c r="N5" s="428"/>
      <c r="O5" s="428">
        <v>28102</v>
      </c>
      <c r="P5" s="476"/>
      <c r="Q5" s="428"/>
      <c r="R5" s="428">
        <v>33419</v>
      </c>
      <c r="S5" s="476"/>
      <c r="T5" s="428"/>
      <c r="U5" s="428">
        <v>30941</v>
      </c>
      <c r="V5" s="476"/>
      <c r="W5" s="428"/>
      <c r="X5" s="428">
        <v>18518</v>
      </c>
      <c r="Y5" s="476"/>
      <c r="Z5" s="476"/>
      <c r="AA5" s="130"/>
      <c r="AB5" s="130"/>
      <c r="AC5" s="476"/>
    </row>
    <row r="6" spans="1:29" ht="20.100000000000001" customHeight="1">
      <c r="A6" s="359">
        <f>Gen!A11</f>
        <v>43770</v>
      </c>
      <c r="B6" s="477">
        <f>Gen!B11</f>
        <v>0.87</v>
      </c>
      <c r="C6" s="428">
        <v>17421.259999999998</v>
      </c>
      <c r="D6" s="428">
        <v>17779.21</v>
      </c>
      <c r="E6" s="428">
        <f>Gen!D11</f>
        <v>0</v>
      </c>
      <c r="F6" s="428"/>
      <c r="G6" s="428">
        <v>69.05</v>
      </c>
      <c r="H6" s="428"/>
      <c r="I6" s="428">
        <v>29289.599999999999</v>
      </c>
      <c r="J6" s="428">
        <v>19296.5</v>
      </c>
      <c r="K6" s="427">
        <f>L5</f>
        <v>33200</v>
      </c>
      <c r="L6" s="428">
        <v>33210</v>
      </c>
      <c r="M6" s="427">
        <f>L6-K6</f>
        <v>10</v>
      </c>
      <c r="N6" s="429">
        <f>O5</f>
        <v>28102</v>
      </c>
      <c r="O6" s="428">
        <v>28110</v>
      </c>
      <c r="P6" s="427">
        <f>O6-N6</f>
        <v>8</v>
      </c>
      <c r="Q6" s="427">
        <f>R5</f>
        <v>33419</v>
      </c>
      <c r="R6" s="428">
        <v>33426</v>
      </c>
      <c r="S6" s="427">
        <f>R6-Q6</f>
        <v>7</v>
      </c>
      <c r="T6" s="427">
        <f>U5</f>
        <v>30941</v>
      </c>
      <c r="U6" s="428">
        <v>30951</v>
      </c>
      <c r="V6" s="427">
        <f>U6-T6</f>
        <v>10</v>
      </c>
      <c r="W6" s="429">
        <f>X5</f>
        <v>18518</v>
      </c>
      <c r="X6" s="428">
        <v>18524</v>
      </c>
      <c r="Y6" s="427">
        <f>X6-W6</f>
        <v>6</v>
      </c>
      <c r="Z6" s="430">
        <f>Y6+V6+S6+P6+M6</f>
        <v>41</v>
      </c>
      <c r="AA6" s="130">
        <v>416</v>
      </c>
      <c r="AB6" s="130">
        <v>203</v>
      </c>
      <c r="AC6" s="368">
        <f>Gen!S11</f>
        <v>2398.12</v>
      </c>
    </row>
    <row r="7" spans="1:29" ht="20.100000000000001" customHeight="1">
      <c r="A7" s="359">
        <f>Gen!A12</f>
        <v>43771</v>
      </c>
      <c r="B7" s="477">
        <f>Gen!B12</f>
        <v>0.76600000000000001</v>
      </c>
      <c r="C7" s="428">
        <v>24259.14</v>
      </c>
      <c r="D7" s="428">
        <v>25779.21</v>
      </c>
      <c r="E7" s="428">
        <f>Gen!D12</f>
        <v>18000</v>
      </c>
      <c r="F7" s="428"/>
      <c r="G7" s="428">
        <v>659.55</v>
      </c>
      <c r="H7" s="428"/>
      <c r="I7" s="428">
        <v>29308.5</v>
      </c>
      <c r="J7" s="428">
        <v>19308.599999999999</v>
      </c>
      <c r="K7" s="427">
        <f t="shared" ref="K7:K36" si="0">L6</f>
        <v>33210</v>
      </c>
      <c r="L7" s="428">
        <v>33218</v>
      </c>
      <c r="M7" s="427">
        <f t="shared" ref="M7:M37" si="1">L7-K7</f>
        <v>8</v>
      </c>
      <c r="N7" s="429">
        <f t="shared" ref="N7:N36" si="2">O6</f>
        <v>28110</v>
      </c>
      <c r="O7" s="428">
        <v>28117</v>
      </c>
      <c r="P7" s="427">
        <f t="shared" ref="P7:P37" si="3">O7-N7</f>
        <v>7</v>
      </c>
      <c r="Q7" s="427">
        <f t="shared" ref="Q7:Q36" si="4">R6</f>
        <v>33426</v>
      </c>
      <c r="R7" s="428">
        <v>33439</v>
      </c>
      <c r="S7" s="427">
        <f t="shared" ref="S7:S37" si="5">R7-Q7</f>
        <v>13</v>
      </c>
      <c r="T7" s="427">
        <f t="shared" ref="T7:T36" si="6">U6</f>
        <v>30951</v>
      </c>
      <c r="U7" s="428">
        <v>30962</v>
      </c>
      <c r="V7" s="427">
        <f t="shared" ref="V7:V37" si="7">U7-T7</f>
        <v>11</v>
      </c>
      <c r="W7" s="429">
        <f t="shared" ref="W7:W36" si="8">X6</f>
        <v>18524</v>
      </c>
      <c r="X7" s="428">
        <v>18531</v>
      </c>
      <c r="Y7" s="427">
        <f t="shared" ref="Y7:Y37" si="9">X7-W7</f>
        <v>7</v>
      </c>
      <c r="Z7" s="430">
        <f>M7+P7+S7+V7+Y7</f>
        <v>46</v>
      </c>
      <c r="AA7" s="130">
        <v>471</v>
      </c>
      <c r="AB7" s="130">
        <v>242</v>
      </c>
      <c r="AC7" s="368">
        <f>Gen!S12</f>
        <v>2502.5700000000002</v>
      </c>
    </row>
    <row r="8" spans="1:29" ht="20.100000000000001" customHeight="1">
      <c r="A8" s="359">
        <f>Gen!A13</f>
        <v>43772</v>
      </c>
      <c r="B8" s="477">
        <f>Gen!B13</f>
        <v>0.11</v>
      </c>
      <c r="C8" s="428">
        <v>24259.14</v>
      </c>
      <c r="D8" s="428">
        <v>20957.650000000001</v>
      </c>
      <c r="E8" s="428">
        <f>Gen!D13</f>
        <v>0</v>
      </c>
      <c r="F8" s="428"/>
      <c r="G8" s="428">
        <v>261.5</v>
      </c>
      <c r="H8" s="428"/>
      <c r="I8" s="428">
        <v>29318.6</v>
      </c>
      <c r="J8" s="428">
        <v>19314.8</v>
      </c>
      <c r="K8" s="427">
        <f t="shared" si="0"/>
        <v>33218</v>
      </c>
      <c r="L8" s="428">
        <v>33224</v>
      </c>
      <c r="M8" s="427">
        <f t="shared" si="1"/>
        <v>6</v>
      </c>
      <c r="N8" s="429">
        <f t="shared" si="2"/>
        <v>28117</v>
      </c>
      <c r="O8" s="428">
        <v>28130</v>
      </c>
      <c r="P8" s="427">
        <f t="shared" si="3"/>
        <v>13</v>
      </c>
      <c r="Q8" s="427">
        <f t="shared" si="4"/>
        <v>33439</v>
      </c>
      <c r="R8" s="428">
        <v>33446</v>
      </c>
      <c r="S8" s="427">
        <f t="shared" si="5"/>
        <v>7</v>
      </c>
      <c r="T8" s="427">
        <f t="shared" si="6"/>
        <v>30962</v>
      </c>
      <c r="U8" s="428">
        <v>30966</v>
      </c>
      <c r="V8" s="427">
        <f t="shared" si="7"/>
        <v>4</v>
      </c>
      <c r="W8" s="429">
        <f t="shared" si="8"/>
        <v>18531</v>
      </c>
      <c r="X8" s="428">
        <v>18544</v>
      </c>
      <c r="Y8" s="427">
        <f t="shared" si="9"/>
        <v>13</v>
      </c>
      <c r="Z8" s="430">
        <f t="shared" ref="Z8:Z37" si="10">M8+P8+S8+V8+Y8</f>
        <v>43</v>
      </c>
      <c r="AA8" s="130">
        <v>486</v>
      </c>
      <c r="AB8" s="130">
        <v>220</v>
      </c>
      <c r="AC8" s="368">
        <f>Gen!S13</f>
        <v>2086.83</v>
      </c>
    </row>
    <row r="9" spans="1:29" ht="20.100000000000001" customHeight="1">
      <c r="A9" s="359">
        <f>Gen!A14</f>
        <v>43773</v>
      </c>
      <c r="B9" s="477">
        <f>Gen!B14</f>
        <v>0.13</v>
      </c>
      <c r="C9" s="428">
        <v>24259.14</v>
      </c>
      <c r="D9" s="428">
        <v>19106.05</v>
      </c>
      <c r="E9" s="428">
        <f>Gen!D14</f>
        <v>0</v>
      </c>
      <c r="F9" s="428"/>
      <c r="G9" s="428">
        <v>17.39</v>
      </c>
      <c r="H9" s="428"/>
      <c r="I9" s="428">
        <v>29328</v>
      </c>
      <c r="J9" s="428">
        <v>19320.7</v>
      </c>
      <c r="K9" s="427">
        <f t="shared" si="0"/>
        <v>33224</v>
      </c>
      <c r="L9" s="428">
        <v>33234</v>
      </c>
      <c r="M9" s="427">
        <f t="shared" si="1"/>
        <v>10</v>
      </c>
      <c r="N9" s="429">
        <f t="shared" si="2"/>
        <v>28130</v>
      </c>
      <c r="O9" s="428">
        <v>28136</v>
      </c>
      <c r="P9" s="427">
        <f t="shared" si="3"/>
        <v>6</v>
      </c>
      <c r="Q9" s="427">
        <f t="shared" si="4"/>
        <v>33446</v>
      </c>
      <c r="R9" s="428">
        <v>33464</v>
      </c>
      <c r="S9" s="427">
        <f t="shared" si="5"/>
        <v>18</v>
      </c>
      <c r="T9" s="427">
        <f t="shared" si="6"/>
        <v>30966</v>
      </c>
      <c r="U9" s="428">
        <v>30972</v>
      </c>
      <c r="V9" s="427">
        <f t="shared" si="7"/>
        <v>6</v>
      </c>
      <c r="W9" s="429">
        <f t="shared" si="8"/>
        <v>18544</v>
      </c>
      <c r="X9" s="428">
        <v>18544</v>
      </c>
      <c r="Y9" s="427">
        <f t="shared" si="9"/>
        <v>0</v>
      </c>
      <c r="Z9" s="430">
        <f t="shared" si="10"/>
        <v>40</v>
      </c>
      <c r="AA9" s="130">
        <v>462</v>
      </c>
      <c r="AB9" s="130">
        <v>215</v>
      </c>
      <c r="AC9" s="368">
        <f>Gen!S14</f>
        <v>1834.21</v>
      </c>
    </row>
    <row r="10" spans="1:29" ht="20.100000000000001" customHeight="1">
      <c r="A10" s="359">
        <f>Gen!A15</f>
        <v>43774</v>
      </c>
      <c r="B10" s="477">
        <f>Gen!B15</f>
        <v>0.50600000000000001</v>
      </c>
      <c r="C10" s="428">
        <v>24259.14</v>
      </c>
      <c r="D10" s="428">
        <v>16969.41</v>
      </c>
      <c r="E10" s="428">
        <f>Gen!D15</f>
        <v>0</v>
      </c>
      <c r="F10" s="428"/>
      <c r="G10" s="428">
        <v>18.940000000000001</v>
      </c>
      <c r="H10" s="428"/>
      <c r="I10" s="428">
        <v>29336.799999999999</v>
      </c>
      <c r="J10" s="428">
        <v>19325.8</v>
      </c>
      <c r="K10" s="427">
        <f t="shared" si="0"/>
        <v>33234</v>
      </c>
      <c r="L10" s="428">
        <v>33239</v>
      </c>
      <c r="M10" s="427">
        <f t="shared" si="1"/>
        <v>5</v>
      </c>
      <c r="N10" s="429">
        <f t="shared" si="2"/>
        <v>28136</v>
      </c>
      <c r="O10" s="428">
        <v>28149</v>
      </c>
      <c r="P10" s="427">
        <f t="shared" si="3"/>
        <v>13</v>
      </c>
      <c r="Q10" s="427">
        <f t="shared" si="4"/>
        <v>33464</v>
      </c>
      <c r="R10" s="428">
        <v>33470</v>
      </c>
      <c r="S10" s="427">
        <f t="shared" si="5"/>
        <v>6</v>
      </c>
      <c r="T10" s="427">
        <f t="shared" si="6"/>
        <v>30972</v>
      </c>
      <c r="U10" s="428">
        <v>30987</v>
      </c>
      <c r="V10" s="427">
        <f t="shared" si="7"/>
        <v>15</v>
      </c>
      <c r="W10" s="429">
        <f t="shared" si="8"/>
        <v>18544</v>
      </c>
      <c r="X10" s="428">
        <v>18544</v>
      </c>
      <c r="Y10" s="427">
        <f t="shared" si="9"/>
        <v>0</v>
      </c>
      <c r="Z10" s="430">
        <f t="shared" si="10"/>
        <v>39</v>
      </c>
      <c r="AA10" s="130">
        <v>468</v>
      </c>
      <c r="AB10" s="130">
        <v>210</v>
      </c>
      <c r="AC10" s="368">
        <f>Gen!S15</f>
        <v>2117.6999999999998</v>
      </c>
    </row>
    <row r="11" spans="1:29" ht="20.100000000000001" customHeight="1">
      <c r="A11" s="359">
        <f>Gen!A16</f>
        <v>43775</v>
      </c>
      <c r="B11" s="477">
        <f>Gen!B16</f>
        <v>0.312</v>
      </c>
      <c r="C11" s="428">
        <v>24259.14</v>
      </c>
      <c r="D11" s="428">
        <v>14391.35</v>
      </c>
      <c r="E11" s="428">
        <f>Gen!D16</f>
        <v>0</v>
      </c>
      <c r="F11" s="428"/>
      <c r="G11" s="428">
        <v>142.33000000000001</v>
      </c>
      <c r="H11" s="428"/>
      <c r="I11" s="428">
        <v>29346.3</v>
      </c>
      <c r="J11" s="428">
        <v>19331.3</v>
      </c>
      <c r="K11" s="427">
        <f t="shared" si="0"/>
        <v>33239</v>
      </c>
      <c r="L11" s="428">
        <v>33252</v>
      </c>
      <c r="M11" s="427">
        <f t="shared" si="1"/>
        <v>13</v>
      </c>
      <c r="N11" s="429">
        <f t="shared" si="2"/>
        <v>28149</v>
      </c>
      <c r="O11" s="428">
        <v>28155</v>
      </c>
      <c r="P11" s="427">
        <f t="shared" si="3"/>
        <v>6</v>
      </c>
      <c r="Q11" s="427">
        <f t="shared" si="4"/>
        <v>33470</v>
      </c>
      <c r="R11" s="428">
        <v>33478</v>
      </c>
      <c r="S11" s="427">
        <f t="shared" si="5"/>
        <v>8</v>
      </c>
      <c r="T11" s="427">
        <f t="shared" si="6"/>
        <v>30987</v>
      </c>
      <c r="U11" s="428">
        <v>30993</v>
      </c>
      <c r="V11" s="427">
        <f t="shared" si="7"/>
        <v>6</v>
      </c>
      <c r="W11" s="429">
        <f t="shared" si="8"/>
        <v>18544</v>
      </c>
      <c r="X11" s="428">
        <v>18559</v>
      </c>
      <c r="Y11" s="427">
        <f t="shared" si="9"/>
        <v>15</v>
      </c>
      <c r="Z11" s="430">
        <f t="shared" si="10"/>
        <v>48</v>
      </c>
      <c r="AA11" s="130">
        <v>510</v>
      </c>
      <c r="AB11" s="130">
        <v>200</v>
      </c>
      <c r="AC11" s="368">
        <f>Gen!S16</f>
        <v>2435.73</v>
      </c>
    </row>
    <row r="12" spans="1:29" ht="20.100000000000001" customHeight="1">
      <c r="A12" s="359">
        <f>Gen!A17</f>
        <v>43776</v>
      </c>
      <c r="B12" s="477">
        <f>Gen!B17</f>
        <v>0.19500000000000001</v>
      </c>
      <c r="C12" s="428">
        <v>24259.14</v>
      </c>
      <c r="D12" s="428">
        <v>11920.07</v>
      </c>
      <c r="E12" s="428">
        <f>Gen!D17</f>
        <v>0</v>
      </c>
      <c r="F12" s="428"/>
      <c r="G12" s="428">
        <v>241.32</v>
      </c>
      <c r="H12" s="428"/>
      <c r="I12" s="428">
        <v>29355.4</v>
      </c>
      <c r="J12" s="428">
        <v>19337.400000000001</v>
      </c>
      <c r="K12" s="427">
        <f t="shared" si="0"/>
        <v>33252</v>
      </c>
      <c r="L12" s="428">
        <v>33258</v>
      </c>
      <c r="M12" s="427">
        <f t="shared" si="1"/>
        <v>6</v>
      </c>
      <c r="N12" s="429">
        <f t="shared" si="2"/>
        <v>28155</v>
      </c>
      <c r="O12" s="428">
        <v>28165</v>
      </c>
      <c r="P12" s="427">
        <f t="shared" si="3"/>
        <v>10</v>
      </c>
      <c r="Q12" s="427">
        <f t="shared" si="4"/>
        <v>33478</v>
      </c>
      <c r="R12" s="428">
        <v>33482</v>
      </c>
      <c r="S12" s="427">
        <f t="shared" si="5"/>
        <v>4</v>
      </c>
      <c r="T12" s="427">
        <f t="shared" si="6"/>
        <v>30993</v>
      </c>
      <c r="U12" s="428">
        <v>31002</v>
      </c>
      <c r="V12" s="427">
        <f t="shared" si="7"/>
        <v>9</v>
      </c>
      <c r="W12" s="429">
        <f t="shared" si="8"/>
        <v>18559</v>
      </c>
      <c r="X12" s="428">
        <v>18571</v>
      </c>
      <c r="Y12" s="427">
        <f t="shared" si="9"/>
        <v>12</v>
      </c>
      <c r="Z12" s="430">
        <f t="shared" si="10"/>
        <v>41</v>
      </c>
      <c r="AA12" s="130">
        <v>429</v>
      </c>
      <c r="AB12" s="130">
        <v>197</v>
      </c>
      <c r="AC12" s="368">
        <f>Gen!S17</f>
        <v>2229.96</v>
      </c>
    </row>
    <row r="13" spans="1:29" ht="20.100000000000001" customHeight="1">
      <c r="A13" s="359">
        <f>Gen!A18</f>
        <v>43777</v>
      </c>
      <c r="B13" s="477">
        <f>Gen!B18</f>
        <v>0.16900000000000001</v>
      </c>
      <c r="C13" s="428">
        <v>24259.14</v>
      </c>
      <c r="D13" s="428">
        <v>24660.57</v>
      </c>
      <c r="E13" s="428">
        <f>Gen!D18</f>
        <v>15000</v>
      </c>
      <c r="F13" s="428"/>
      <c r="G13" s="428">
        <v>159.05000000000001</v>
      </c>
      <c r="H13" s="428"/>
      <c r="I13" s="428">
        <v>29368.6</v>
      </c>
      <c r="J13" s="428">
        <v>19343.900000000001</v>
      </c>
      <c r="K13" s="427">
        <f t="shared" si="0"/>
        <v>33258</v>
      </c>
      <c r="L13" s="428">
        <v>33265</v>
      </c>
      <c r="M13" s="427">
        <f t="shared" si="1"/>
        <v>7</v>
      </c>
      <c r="N13" s="429">
        <f t="shared" si="2"/>
        <v>28165</v>
      </c>
      <c r="O13" s="428">
        <v>28176</v>
      </c>
      <c r="P13" s="427">
        <f t="shared" si="3"/>
        <v>11</v>
      </c>
      <c r="Q13" s="427">
        <f t="shared" si="4"/>
        <v>33482</v>
      </c>
      <c r="R13" s="428">
        <v>33492</v>
      </c>
      <c r="S13" s="427">
        <f t="shared" si="5"/>
        <v>10</v>
      </c>
      <c r="T13" s="427">
        <f t="shared" si="6"/>
        <v>31002</v>
      </c>
      <c r="U13" s="428">
        <v>31009</v>
      </c>
      <c r="V13" s="427">
        <f t="shared" si="7"/>
        <v>7</v>
      </c>
      <c r="W13" s="429">
        <f t="shared" si="8"/>
        <v>18571</v>
      </c>
      <c r="X13" s="428">
        <v>18580</v>
      </c>
      <c r="Y13" s="427">
        <f t="shared" si="9"/>
        <v>9</v>
      </c>
      <c r="Z13" s="430">
        <f t="shared" si="10"/>
        <v>44</v>
      </c>
      <c r="AA13" s="130">
        <v>447</v>
      </c>
      <c r="AB13" s="130">
        <v>200</v>
      </c>
      <c r="AC13" s="368">
        <f>Gen!S18</f>
        <v>2100.4499999999998</v>
      </c>
    </row>
    <row r="14" spans="1:29" ht="20.100000000000001" customHeight="1">
      <c r="A14" s="359">
        <f>Gen!A19</f>
        <v>43778</v>
      </c>
      <c r="B14" s="477">
        <f>Gen!B19</f>
        <v>0.16900000000000001</v>
      </c>
      <c r="C14" s="428">
        <v>22006.01</v>
      </c>
      <c r="D14" s="428">
        <v>23100.25</v>
      </c>
      <c r="E14" s="428">
        <f>Gen!D19</f>
        <v>0</v>
      </c>
      <c r="F14" s="428"/>
      <c r="G14" s="428">
        <v>122.93</v>
      </c>
      <c r="H14" s="428"/>
      <c r="I14" s="428">
        <v>29372.400000000001</v>
      </c>
      <c r="J14" s="428">
        <v>19350.5</v>
      </c>
      <c r="K14" s="427">
        <f t="shared" si="0"/>
        <v>33265</v>
      </c>
      <c r="L14" s="428">
        <v>33271</v>
      </c>
      <c r="M14" s="427">
        <f t="shared" si="1"/>
        <v>6</v>
      </c>
      <c r="N14" s="429">
        <f t="shared" si="2"/>
        <v>28176</v>
      </c>
      <c r="O14" s="428">
        <v>28188</v>
      </c>
      <c r="P14" s="427">
        <f t="shared" si="3"/>
        <v>12</v>
      </c>
      <c r="Q14" s="427">
        <f t="shared" si="4"/>
        <v>33492</v>
      </c>
      <c r="R14" s="428">
        <v>33498</v>
      </c>
      <c r="S14" s="427">
        <f t="shared" si="5"/>
        <v>6</v>
      </c>
      <c r="T14" s="427">
        <f t="shared" si="6"/>
        <v>31009</v>
      </c>
      <c r="U14" s="428">
        <v>31022</v>
      </c>
      <c r="V14" s="427">
        <f t="shared" si="7"/>
        <v>13</v>
      </c>
      <c r="W14" s="429">
        <f t="shared" si="8"/>
        <v>18580</v>
      </c>
      <c r="X14" s="428">
        <v>18586</v>
      </c>
      <c r="Y14" s="427">
        <f t="shared" si="9"/>
        <v>6</v>
      </c>
      <c r="Z14" s="430">
        <f t="shared" si="10"/>
        <v>43</v>
      </c>
      <c r="AA14" s="130">
        <v>468</v>
      </c>
      <c r="AB14" s="130">
        <v>213</v>
      </c>
      <c r="AC14" s="368">
        <f>Gen!S19</f>
        <v>2130.17</v>
      </c>
    </row>
    <row r="15" spans="1:29" ht="20.100000000000001" customHeight="1">
      <c r="A15" s="359">
        <f>Gen!A20</f>
        <v>43779</v>
      </c>
      <c r="B15" s="477">
        <f>Gen!B20</f>
        <v>0.46800000000000003</v>
      </c>
      <c r="C15" s="428">
        <v>21093.03</v>
      </c>
      <c r="D15" s="428">
        <v>23100.25</v>
      </c>
      <c r="E15" s="428">
        <f>Gen!D20</f>
        <v>0</v>
      </c>
      <c r="F15" s="428"/>
      <c r="G15" s="428">
        <v>231.5</v>
      </c>
      <c r="H15" s="428"/>
      <c r="I15" s="428">
        <v>29381.3</v>
      </c>
      <c r="J15" s="428">
        <v>19387.099999999999</v>
      </c>
      <c r="K15" s="427">
        <f t="shared" si="0"/>
        <v>33271</v>
      </c>
      <c r="L15" s="428">
        <v>33284</v>
      </c>
      <c r="M15" s="427">
        <f t="shared" si="1"/>
        <v>13</v>
      </c>
      <c r="N15" s="429">
        <f t="shared" si="2"/>
        <v>28188</v>
      </c>
      <c r="O15" s="428">
        <v>28194</v>
      </c>
      <c r="P15" s="427">
        <f t="shared" si="3"/>
        <v>6</v>
      </c>
      <c r="Q15" s="427">
        <f t="shared" si="4"/>
        <v>33498</v>
      </c>
      <c r="R15" s="428">
        <v>33510</v>
      </c>
      <c r="S15" s="427">
        <f t="shared" si="5"/>
        <v>12</v>
      </c>
      <c r="T15" s="427">
        <f t="shared" si="6"/>
        <v>31022</v>
      </c>
      <c r="U15" s="428">
        <v>31026</v>
      </c>
      <c r="V15" s="427">
        <f t="shared" si="7"/>
        <v>4</v>
      </c>
      <c r="W15" s="429">
        <f t="shared" si="8"/>
        <v>18586</v>
      </c>
      <c r="X15" s="428">
        <v>18593</v>
      </c>
      <c r="Y15" s="427">
        <f t="shared" si="9"/>
        <v>7</v>
      </c>
      <c r="Z15" s="430">
        <f t="shared" si="10"/>
        <v>42</v>
      </c>
      <c r="AA15" s="130">
        <v>479</v>
      </c>
      <c r="AB15" s="130">
        <v>181</v>
      </c>
      <c r="AC15" s="368">
        <f>Gen!S20</f>
        <v>2241.8000000000002</v>
      </c>
    </row>
    <row r="16" spans="1:29" ht="20.100000000000001" customHeight="1">
      <c r="A16" s="359">
        <f>Gen!A21</f>
        <v>43780</v>
      </c>
      <c r="B16" s="477">
        <f>Gen!B21</f>
        <v>0.94799999999999995</v>
      </c>
      <c r="C16" s="428">
        <v>18440.580000000002</v>
      </c>
      <c r="D16" s="428">
        <v>23100.25</v>
      </c>
      <c r="E16" s="428">
        <f>Gen!D21</f>
        <v>0</v>
      </c>
      <c r="F16" s="428"/>
      <c r="G16" s="428"/>
      <c r="H16" s="428"/>
      <c r="I16" s="428">
        <v>29390.2</v>
      </c>
      <c r="J16" s="428">
        <v>19363.599999999999</v>
      </c>
      <c r="K16" s="427">
        <f t="shared" si="0"/>
        <v>33284</v>
      </c>
      <c r="L16" s="428">
        <v>33292</v>
      </c>
      <c r="M16" s="427">
        <f t="shared" si="1"/>
        <v>8</v>
      </c>
      <c r="N16" s="429">
        <f t="shared" si="2"/>
        <v>28194</v>
      </c>
      <c r="O16" s="428">
        <v>28205</v>
      </c>
      <c r="P16" s="427">
        <f t="shared" si="3"/>
        <v>11</v>
      </c>
      <c r="Q16" s="427">
        <f t="shared" si="4"/>
        <v>33510</v>
      </c>
      <c r="R16" s="428">
        <v>33520</v>
      </c>
      <c r="S16" s="427">
        <f t="shared" si="5"/>
        <v>10</v>
      </c>
      <c r="T16" s="427">
        <f t="shared" si="6"/>
        <v>31026</v>
      </c>
      <c r="U16" s="428">
        <v>31035</v>
      </c>
      <c r="V16" s="427">
        <f t="shared" si="7"/>
        <v>9</v>
      </c>
      <c r="W16" s="429">
        <f t="shared" si="8"/>
        <v>18593</v>
      </c>
      <c r="X16" s="428">
        <v>18602</v>
      </c>
      <c r="Y16" s="427">
        <f t="shared" si="9"/>
        <v>9</v>
      </c>
      <c r="Z16" s="430">
        <f t="shared" si="10"/>
        <v>47</v>
      </c>
      <c r="AA16" s="130">
        <v>537</v>
      </c>
      <c r="AB16" s="130">
        <v>216</v>
      </c>
      <c r="AC16" s="368">
        <f>Gen!S21</f>
        <v>2652.4500000000003</v>
      </c>
    </row>
    <row r="17" spans="1:29" ht="20.100000000000001" customHeight="1">
      <c r="A17" s="359">
        <f>Gen!A22</f>
        <v>43781</v>
      </c>
      <c r="B17" s="477">
        <f>Gen!B22</f>
        <v>0.93500000000000005</v>
      </c>
      <c r="C17" s="428">
        <v>15665.31</v>
      </c>
      <c r="D17" s="428">
        <v>23100.25</v>
      </c>
      <c r="E17" s="428">
        <f>Gen!D22</f>
        <v>0</v>
      </c>
      <c r="F17" s="428"/>
      <c r="G17" s="428">
        <v>187.81</v>
      </c>
      <c r="H17" s="428"/>
      <c r="I17" s="428">
        <v>29401.1</v>
      </c>
      <c r="J17" s="428">
        <v>19371.099999999999</v>
      </c>
      <c r="K17" s="427">
        <f t="shared" si="0"/>
        <v>33292</v>
      </c>
      <c r="L17" s="428">
        <v>33304</v>
      </c>
      <c r="M17" s="427">
        <f t="shared" si="1"/>
        <v>12</v>
      </c>
      <c r="N17" s="429">
        <f t="shared" si="2"/>
        <v>28205</v>
      </c>
      <c r="O17" s="428">
        <v>28214</v>
      </c>
      <c r="P17" s="427">
        <f t="shared" si="3"/>
        <v>9</v>
      </c>
      <c r="Q17" s="427">
        <f t="shared" si="4"/>
        <v>33520</v>
      </c>
      <c r="R17" s="428">
        <v>33531</v>
      </c>
      <c r="S17" s="427">
        <f t="shared" si="5"/>
        <v>11</v>
      </c>
      <c r="T17" s="427">
        <f t="shared" si="6"/>
        <v>31035</v>
      </c>
      <c r="U17" s="428">
        <v>31042</v>
      </c>
      <c r="V17" s="427">
        <f t="shared" si="7"/>
        <v>7</v>
      </c>
      <c r="W17" s="429">
        <f t="shared" si="8"/>
        <v>18602</v>
      </c>
      <c r="X17" s="428">
        <v>18609</v>
      </c>
      <c r="Y17" s="427">
        <f t="shared" si="9"/>
        <v>7</v>
      </c>
      <c r="Z17" s="430">
        <f t="shared" si="10"/>
        <v>46</v>
      </c>
      <c r="AA17" s="130">
        <v>614</v>
      </c>
      <c r="AB17" s="130">
        <v>208</v>
      </c>
      <c r="AC17" s="368">
        <f>Gen!S22</f>
        <v>2587.46</v>
      </c>
    </row>
    <row r="18" spans="1:29" ht="20.100000000000001" customHeight="1">
      <c r="A18" s="359">
        <f>Gen!A23</f>
        <v>43782</v>
      </c>
      <c r="B18" s="477">
        <f>Gen!B23</f>
        <v>0.48099999999999998</v>
      </c>
      <c r="C18" s="428">
        <v>12985.52</v>
      </c>
      <c r="D18" s="428">
        <v>23100.25</v>
      </c>
      <c r="E18" s="428">
        <f>Gen!D23</f>
        <v>0</v>
      </c>
      <c r="F18" s="428"/>
      <c r="G18" s="428">
        <v>450.31</v>
      </c>
      <c r="H18" s="428"/>
      <c r="I18" s="428">
        <v>29412.1</v>
      </c>
      <c r="J18" s="428">
        <v>19378.7</v>
      </c>
      <c r="K18" s="427">
        <f t="shared" si="0"/>
        <v>33304</v>
      </c>
      <c r="L18" s="428">
        <v>33315</v>
      </c>
      <c r="M18" s="427">
        <f t="shared" si="1"/>
        <v>11</v>
      </c>
      <c r="N18" s="429">
        <f t="shared" si="2"/>
        <v>28214</v>
      </c>
      <c r="O18" s="428">
        <v>28220</v>
      </c>
      <c r="P18" s="427">
        <f t="shared" si="3"/>
        <v>6</v>
      </c>
      <c r="Q18" s="427">
        <f t="shared" si="4"/>
        <v>33531</v>
      </c>
      <c r="R18" s="428">
        <v>33545</v>
      </c>
      <c r="S18" s="427">
        <f t="shared" si="5"/>
        <v>14</v>
      </c>
      <c r="T18" s="427">
        <f t="shared" si="6"/>
        <v>31042</v>
      </c>
      <c r="U18" s="428">
        <v>31049</v>
      </c>
      <c r="V18" s="427">
        <f t="shared" si="7"/>
        <v>7</v>
      </c>
      <c r="W18" s="429">
        <f t="shared" si="8"/>
        <v>18609</v>
      </c>
      <c r="X18" s="428">
        <v>18615</v>
      </c>
      <c r="Y18" s="427">
        <f t="shared" si="9"/>
        <v>6</v>
      </c>
      <c r="Z18" s="430">
        <f t="shared" si="10"/>
        <v>44</v>
      </c>
      <c r="AA18" s="130">
        <v>417</v>
      </c>
      <c r="AB18" s="130">
        <v>231</v>
      </c>
      <c r="AC18" s="368">
        <f>Gen!S23</f>
        <v>2229.48</v>
      </c>
    </row>
    <row r="19" spans="1:29" ht="20.100000000000001" customHeight="1">
      <c r="A19" s="359">
        <f>Gen!A24</f>
        <v>43783</v>
      </c>
      <c r="B19" s="477">
        <f>Gen!B24</f>
        <v>0.52600000000000002</v>
      </c>
      <c r="C19" s="428">
        <v>10333.549999999999</v>
      </c>
      <c r="D19" s="428">
        <v>23100.25</v>
      </c>
      <c r="E19" s="428">
        <f>Gen!D24</f>
        <v>0</v>
      </c>
      <c r="F19" s="428"/>
      <c r="G19" s="428">
        <v>283.61</v>
      </c>
      <c r="H19" s="428"/>
      <c r="I19" s="428">
        <v>29421.4</v>
      </c>
      <c r="J19" s="428">
        <v>19385.5</v>
      </c>
      <c r="K19" s="427">
        <f t="shared" si="0"/>
        <v>33315</v>
      </c>
      <c r="L19" s="428">
        <v>33322</v>
      </c>
      <c r="M19" s="427">
        <f t="shared" si="1"/>
        <v>7</v>
      </c>
      <c r="N19" s="429">
        <f t="shared" si="2"/>
        <v>28220</v>
      </c>
      <c r="O19" s="428">
        <v>28233</v>
      </c>
      <c r="P19" s="427">
        <f t="shared" si="3"/>
        <v>13</v>
      </c>
      <c r="Q19" s="427">
        <f t="shared" si="4"/>
        <v>33545</v>
      </c>
      <c r="R19" s="428">
        <v>33551</v>
      </c>
      <c r="S19" s="427">
        <f t="shared" si="5"/>
        <v>6</v>
      </c>
      <c r="T19" s="427">
        <f t="shared" si="6"/>
        <v>31049</v>
      </c>
      <c r="U19" s="428">
        <v>31054</v>
      </c>
      <c r="V19" s="427">
        <f t="shared" si="7"/>
        <v>5</v>
      </c>
      <c r="W19" s="429">
        <f t="shared" si="8"/>
        <v>18615</v>
      </c>
      <c r="X19" s="428">
        <v>18628</v>
      </c>
      <c r="Y19" s="427">
        <f t="shared" si="9"/>
        <v>13</v>
      </c>
      <c r="Z19" s="430">
        <f t="shared" si="10"/>
        <v>44</v>
      </c>
      <c r="AA19" s="130">
        <v>417</v>
      </c>
      <c r="AB19" s="130">
        <v>231</v>
      </c>
      <c r="AC19" s="368">
        <f>Gen!S24</f>
        <v>2368.3599999999997</v>
      </c>
    </row>
    <row r="20" spans="1:29" ht="20.100000000000001" customHeight="1">
      <c r="A20" s="359">
        <f>Gen!A25</f>
        <v>43784</v>
      </c>
      <c r="B20" s="477">
        <f>Gen!B25</f>
        <v>0.221</v>
      </c>
      <c r="C20" s="428">
        <v>7949.67</v>
      </c>
      <c r="D20" s="428">
        <v>23100.25</v>
      </c>
      <c r="E20" s="428">
        <f>Gen!D25</f>
        <v>0</v>
      </c>
      <c r="F20" s="428"/>
      <c r="G20" s="428">
        <v>250.23</v>
      </c>
      <c r="H20" s="428"/>
      <c r="I20" s="428">
        <v>29431.1</v>
      </c>
      <c r="J20" s="428">
        <v>19392.099999999999</v>
      </c>
      <c r="K20" s="427">
        <f t="shared" si="0"/>
        <v>33322</v>
      </c>
      <c r="L20" s="428">
        <v>33333</v>
      </c>
      <c r="M20" s="427">
        <f t="shared" si="1"/>
        <v>11</v>
      </c>
      <c r="N20" s="429">
        <f t="shared" si="2"/>
        <v>28233</v>
      </c>
      <c r="O20" s="428">
        <v>28240</v>
      </c>
      <c r="P20" s="427">
        <f t="shared" si="3"/>
        <v>7</v>
      </c>
      <c r="Q20" s="427">
        <f t="shared" si="4"/>
        <v>33551</v>
      </c>
      <c r="R20" s="428">
        <v>33563</v>
      </c>
      <c r="S20" s="427">
        <f t="shared" si="5"/>
        <v>12</v>
      </c>
      <c r="T20" s="427">
        <f t="shared" si="6"/>
        <v>31054</v>
      </c>
      <c r="U20" s="428">
        <v>31061</v>
      </c>
      <c r="V20" s="427">
        <f t="shared" si="7"/>
        <v>7</v>
      </c>
      <c r="W20" s="429">
        <f t="shared" si="8"/>
        <v>18628</v>
      </c>
      <c r="X20" s="428">
        <v>18634</v>
      </c>
      <c r="Y20" s="427">
        <f t="shared" si="9"/>
        <v>6</v>
      </c>
      <c r="Z20" s="430">
        <f t="shared" si="10"/>
        <v>43</v>
      </c>
      <c r="AA20" s="130">
        <v>436</v>
      </c>
      <c r="AB20" s="130">
        <v>200</v>
      </c>
      <c r="AC20" s="368">
        <f>Gen!S25</f>
        <v>2133.65</v>
      </c>
    </row>
    <row r="21" spans="1:29" ht="20.100000000000001" customHeight="1">
      <c r="A21" s="359">
        <f>Gen!A26</f>
        <v>43785</v>
      </c>
      <c r="B21" s="477">
        <f>Gen!B26</f>
        <v>0.156</v>
      </c>
      <c r="C21" s="428">
        <v>25300.57</v>
      </c>
      <c r="D21" s="428">
        <v>23100.25</v>
      </c>
      <c r="E21" s="428">
        <f>Gen!D26</f>
        <v>18000</v>
      </c>
      <c r="F21" s="428"/>
      <c r="G21" s="428">
        <v>182.66</v>
      </c>
      <c r="H21" s="428"/>
      <c r="I21" s="428">
        <v>29439.9</v>
      </c>
      <c r="J21" s="428">
        <v>19398.099999999999</v>
      </c>
      <c r="K21" s="427">
        <f t="shared" si="0"/>
        <v>33333</v>
      </c>
      <c r="L21" s="428">
        <v>33339</v>
      </c>
      <c r="M21" s="427">
        <f t="shared" si="1"/>
        <v>6</v>
      </c>
      <c r="N21" s="429">
        <f t="shared" si="2"/>
        <v>28240</v>
      </c>
      <c r="O21" s="428">
        <v>28252</v>
      </c>
      <c r="P21" s="427">
        <f t="shared" si="3"/>
        <v>12</v>
      </c>
      <c r="Q21" s="427">
        <f t="shared" si="4"/>
        <v>33563</v>
      </c>
      <c r="R21" s="428">
        <v>33569</v>
      </c>
      <c r="S21" s="427">
        <f t="shared" si="5"/>
        <v>6</v>
      </c>
      <c r="T21" s="427">
        <f t="shared" si="6"/>
        <v>31061</v>
      </c>
      <c r="U21" s="428">
        <v>31068</v>
      </c>
      <c r="V21" s="427">
        <f t="shared" si="7"/>
        <v>7</v>
      </c>
      <c r="W21" s="429">
        <f t="shared" si="8"/>
        <v>18634</v>
      </c>
      <c r="X21" s="428">
        <v>18646</v>
      </c>
      <c r="Y21" s="427">
        <f t="shared" si="9"/>
        <v>12</v>
      </c>
      <c r="Z21" s="430">
        <f t="shared" si="10"/>
        <v>43</v>
      </c>
      <c r="AA21" s="130">
        <v>435</v>
      </c>
      <c r="AB21" s="130">
        <v>210</v>
      </c>
      <c r="AC21" s="368">
        <f>Gen!S26</f>
        <v>2099.12</v>
      </c>
    </row>
    <row r="22" spans="1:29" ht="18.75" customHeight="1">
      <c r="A22" s="359">
        <f>Gen!A27</f>
        <v>43786</v>
      </c>
      <c r="B22" s="477">
        <f>Gen!B27</f>
        <v>0.623</v>
      </c>
      <c r="C22" s="428">
        <v>23667.89</v>
      </c>
      <c r="D22" s="428">
        <v>23100.25</v>
      </c>
      <c r="E22" s="428">
        <f>Gen!D27</f>
        <v>0</v>
      </c>
      <c r="F22" s="428"/>
      <c r="G22" s="428">
        <v>129.38</v>
      </c>
      <c r="H22" s="428"/>
      <c r="I22" s="428">
        <v>29449.5</v>
      </c>
      <c r="J22" s="428">
        <v>19403.7</v>
      </c>
      <c r="K22" s="427">
        <f t="shared" si="0"/>
        <v>33339</v>
      </c>
      <c r="L22" s="428">
        <v>33347</v>
      </c>
      <c r="M22" s="427">
        <f t="shared" si="1"/>
        <v>8</v>
      </c>
      <c r="N22" s="429">
        <f t="shared" si="2"/>
        <v>28252</v>
      </c>
      <c r="O22" s="428">
        <v>28261</v>
      </c>
      <c r="P22" s="427">
        <f t="shared" si="3"/>
        <v>9</v>
      </c>
      <c r="Q22" s="427">
        <f t="shared" si="4"/>
        <v>33569</v>
      </c>
      <c r="R22" s="428">
        <v>33577</v>
      </c>
      <c r="S22" s="427">
        <f t="shared" si="5"/>
        <v>8</v>
      </c>
      <c r="T22" s="427">
        <f t="shared" si="6"/>
        <v>31068</v>
      </c>
      <c r="U22" s="428">
        <v>31075</v>
      </c>
      <c r="V22" s="427">
        <f t="shared" si="7"/>
        <v>7</v>
      </c>
      <c r="W22" s="429">
        <f t="shared" si="8"/>
        <v>18646</v>
      </c>
      <c r="X22" s="428">
        <v>18656</v>
      </c>
      <c r="Y22" s="427">
        <f t="shared" si="9"/>
        <v>10</v>
      </c>
      <c r="Z22" s="430">
        <f t="shared" si="10"/>
        <v>42</v>
      </c>
      <c r="AA22" s="130">
        <v>486</v>
      </c>
      <c r="AB22" s="130">
        <v>220</v>
      </c>
      <c r="AC22" s="368">
        <f>Gen!S27</f>
        <v>2394.69</v>
      </c>
    </row>
    <row r="23" spans="1:29" ht="20.100000000000001" customHeight="1">
      <c r="A23" s="359">
        <f>Gen!A28</f>
        <v>43787</v>
      </c>
      <c r="B23" s="477">
        <f>Gen!B28</f>
        <v>0.51900000000000002</v>
      </c>
      <c r="C23" s="428">
        <v>21143.82</v>
      </c>
      <c r="D23" s="428">
        <v>23100.25</v>
      </c>
      <c r="E23" s="428">
        <f>Gen!D28</f>
        <v>0</v>
      </c>
      <c r="F23" s="428"/>
      <c r="G23" s="428">
        <v>160.38999999999999</v>
      </c>
      <c r="H23" s="428"/>
      <c r="I23" s="428">
        <v>29459.5</v>
      </c>
      <c r="J23" s="428">
        <v>19410.2</v>
      </c>
      <c r="K23" s="427">
        <f t="shared" si="0"/>
        <v>33347</v>
      </c>
      <c r="L23" s="428">
        <v>33355</v>
      </c>
      <c r="M23" s="427">
        <f t="shared" si="1"/>
        <v>8</v>
      </c>
      <c r="N23" s="429">
        <f t="shared" si="2"/>
        <v>28261</v>
      </c>
      <c r="O23" s="428">
        <v>28270</v>
      </c>
      <c r="P23" s="427">
        <f t="shared" si="3"/>
        <v>9</v>
      </c>
      <c r="Q23" s="427">
        <f t="shared" si="4"/>
        <v>33577</v>
      </c>
      <c r="R23" s="428">
        <v>33588</v>
      </c>
      <c r="S23" s="427">
        <f t="shared" si="5"/>
        <v>11</v>
      </c>
      <c r="T23" s="427">
        <f t="shared" si="6"/>
        <v>31075</v>
      </c>
      <c r="U23" s="428">
        <v>31081</v>
      </c>
      <c r="V23" s="427">
        <f t="shared" si="7"/>
        <v>6</v>
      </c>
      <c r="W23" s="429">
        <f t="shared" si="8"/>
        <v>18656</v>
      </c>
      <c r="X23" s="428">
        <v>18665</v>
      </c>
      <c r="Y23" s="427">
        <f t="shared" si="9"/>
        <v>9</v>
      </c>
      <c r="Z23" s="430">
        <f t="shared" si="10"/>
        <v>43</v>
      </c>
      <c r="AA23" s="130">
        <v>498</v>
      </c>
      <c r="AB23" s="130">
        <v>230</v>
      </c>
      <c r="AC23" s="368">
        <f>Gen!S28</f>
        <v>2272.4</v>
      </c>
    </row>
    <row r="24" spans="1:29" ht="20.100000000000001" customHeight="1">
      <c r="A24" s="359">
        <f>Gen!A29</f>
        <v>43788</v>
      </c>
      <c r="B24" s="477">
        <f>Gen!B29</f>
        <v>9.0999999999999998E-2</v>
      </c>
      <c r="C24" s="428">
        <v>18711.03</v>
      </c>
      <c r="D24" s="428">
        <v>23100.25</v>
      </c>
      <c r="E24" s="428">
        <f>Gen!D29</f>
        <v>0</v>
      </c>
      <c r="F24" s="428"/>
      <c r="G24" s="428">
        <v>107.73</v>
      </c>
      <c r="H24" s="428"/>
      <c r="I24" s="428">
        <v>29468.9</v>
      </c>
      <c r="J24" s="428">
        <v>19416.2</v>
      </c>
      <c r="K24" s="427">
        <f t="shared" si="0"/>
        <v>33355</v>
      </c>
      <c r="L24" s="428">
        <v>33361</v>
      </c>
      <c r="M24" s="427">
        <f t="shared" si="1"/>
        <v>6</v>
      </c>
      <c r="N24" s="429">
        <f t="shared" si="2"/>
        <v>28270</v>
      </c>
      <c r="O24" s="428">
        <v>28280</v>
      </c>
      <c r="P24" s="427">
        <f t="shared" si="3"/>
        <v>10</v>
      </c>
      <c r="Q24" s="427">
        <f t="shared" si="4"/>
        <v>33588</v>
      </c>
      <c r="R24" s="428">
        <v>33594</v>
      </c>
      <c r="S24" s="427">
        <f t="shared" si="5"/>
        <v>6</v>
      </c>
      <c r="T24" s="427">
        <f t="shared" si="6"/>
        <v>31081</v>
      </c>
      <c r="U24" s="428">
        <v>31091</v>
      </c>
      <c r="V24" s="427">
        <f t="shared" si="7"/>
        <v>10</v>
      </c>
      <c r="W24" s="429">
        <f t="shared" si="8"/>
        <v>18665</v>
      </c>
      <c r="X24" s="428">
        <v>18674</v>
      </c>
      <c r="Y24" s="427">
        <f t="shared" si="9"/>
        <v>9</v>
      </c>
      <c r="Z24" s="430">
        <f t="shared" si="10"/>
        <v>41</v>
      </c>
      <c r="AA24" s="130">
        <v>473</v>
      </c>
      <c r="AB24" s="130">
        <v>180</v>
      </c>
      <c r="AC24" s="368">
        <f>Gen!S29</f>
        <v>1853.3000000000002</v>
      </c>
    </row>
    <row r="25" spans="1:29" ht="18.75" customHeight="1">
      <c r="A25" s="359">
        <f>Gen!A30</f>
        <v>43789</v>
      </c>
      <c r="B25" s="477">
        <f>Gen!B30</f>
        <v>0.11700000000000001</v>
      </c>
      <c r="C25" s="428">
        <v>16750.04</v>
      </c>
      <c r="D25" s="428">
        <v>23100.21</v>
      </c>
      <c r="E25" s="428">
        <f>Gen!D30</f>
        <v>0</v>
      </c>
      <c r="F25" s="428"/>
      <c r="G25" s="428">
        <v>84.19</v>
      </c>
      <c r="H25" s="428"/>
      <c r="I25" s="428">
        <v>29477.3</v>
      </c>
      <c r="J25" s="428">
        <v>19421.2</v>
      </c>
      <c r="K25" s="427">
        <f t="shared" si="0"/>
        <v>33361</v>
      </c>
      <c r="L25" s="428">
        <v>33365</v>
      </c>
      <c r="M25" s="427">
        <f t="shared" si="1"/>
        <v>4</v>
      </c>
      <c r="N25" s="429">
        <f t="shared" si="2"/>
        <v>28280</v>
      </c>
      <c r="O25" s="428">
        <v>28285</v>
      </c>
      <c r="P25" s="427">
        <f t="shared" si="3"/>
        <v>5</v>
      </c>
      <c r="Q25" s="427">
        <f t="shared" si="4"/>
        <v>33594</v>
      </c>
      <c r="R25" s="428">
        <v>33607</v>
      </c>
      <c r="S25" s="427">
        <f t="shared" si="5"/>
        <v>13</v>
      </c>
      <c r="T25" s="427">
        <f t="shared" si="6"/>
        <v>31091</v>
      </c>
      <c r="U25" s="428">
        <v>31096</v>
      </c>
      <c r="V25" s="427">
        <f t="shared" si="7"/>
        <v>5</v>
      </c>
      <c r="W25" s="429">
        <f t="shared" si="8"/>
        <v>18674</v>
      </c>
      <c r="X25" s="428">
        <v>18680</v>
      </c>
      <c r="Y25" s="427">
        <f t="shared" si="9"/>
        <v>6</v>
      </c>
      <c r="Z25" s="430">
        <f t="shared" si="10"/>
        <v>33</v>
      </c>
      <c r="AA25" s="130">
        <v>426</v>
      </c>
      <c r="AB25" s="130">
        <v>165</v>
      </c>
      <c r="AC25" s="368">
        <f>Gen!S30</f>
        <v>1844.6200000000001</v>
      </c>
    </row>
    <row r="26" spans="1:29" ht="20.100000000000001" customHeight="1">
      <c r="A26" s="359">
        <f>Gen!A31</f>
        <v>43790</v>
      </c>
      <c r="B26" s="477">
        <f>Gen!B31</f>
        <v>0.13</v>
      </c>
      <c r="C26" s="428">
        <v>14821.23</v>
      </c>
      <c r="D26" s="428">
        <v>23100.21</v>
      </c>
      <c r="E26" s="428">
        <f>Gen!D31</f>
        <v>0</v>
      </c>
      <c r="F26" s="428"/>
      <c r="G26" s="428">
        <v>38.159999999999997</v>
      </c>
      <c r="H26" s="428"/>
      <c r="I26" s="428">
        <v>29484.6</v>
      </c>
      <c r="J26" s="428">
        <v>19425.7</v>
      </c>
      <c r="K26" s="427">
        <f t="shared" si="0"/>
        <v>33365</v>
      </c>
      <c r="L26" s="428">
        <v>33367</v>
      </c>
      <c r="M26" s="427">
        <f t="shared" si="1"/>
        <v>2</v>
      </c>
      <c r="N26" s="429">
        <f t="shared" si="2"/>
        <v>28285</v>
      </c>
      <c r="O26" s="428">
        <v>28292</v>
      </c>
      <c r="P26" s="427">
        <f t="shared" si="3"/>
        <v>7</v>
      </c>
      <c r="Q26" s="427">
        <f t="shared" si="4"/>
        <v>33607</v>
      </c>
      <c r="R26" s="428">
        <v>33616</v>
      </c>
      <c r="S26" s="427">
        <f t="shared" si="5"/>
        <v>9</v>
      </c>
      <c r="T26" s="427">
        <f t="shared" si="6"/>
        <v>31096</v>
      </c>
      <c r="U26" s="428">
        <v>31102</v>
      </c>
      <c r="V26" s="427">
        <f t="shared" si="7"/>
        <v>6</v>
      </c>
      <c r="W26" s="429">
        <f t="shared" si="8"/>
        <v>18680</v>
      </c>
      <c r="X26" s="428">
        <v>18685</v>
      </c>
      <c r="Y26" s="427">
        <f t="shared" si="9"/>
        <v>5</v>
      </c>
      <c r="Z26" s="430">
        <f t="shared" si="10"/>
        <v>29</v>
      </c>
      <c r="AA26" s="130">
        <v>397</v>
      </c>
      <c r="AB26" s="130">
        <v>172</v>
      </c>
      <c r="AC26" s="368">
        <f>Gen!S31</f>
        <v>1557.2</v>
      </c>
    </row>
    <row r="27" spans="1:29" ht="20.100000000000001" customHeight="1">
      <c r="A27" s="359">
        <f>Gen!A32</f>
        <v>43791</v>
      </c>
      <c r="B27" s="477">
        <f>Gen!B32</f>
        <v>0.14299999999999999</v>
      </c>
      <c r="C27" s="428">
        <v>13225.87</v>
      </c>
      <c r="D27" s="428">
        <v>23100.21</v>
      </c>
      <c r="E27" s="428">
        <f>Gen!D32</f>
        <v>0</v>
      </c>
      <c r="F27" s="428"/>
      <c r="G27" s="428">
        <v>86.34</v>
      </c>
      <c r="H27" s="428"/>
      <c r="I27" s="428">
        <v>29491.7</v>
      </c>
      <c r="J27" s="428">
        <v>19430.8</v>
      </c>
      <c r="K27" s="427">
        <f t="shared" si="0"/>
        <v>33367</v>
      </c>
      <c r="L27" s="428">
        <v>33375</v>
      </c>
      <c r="M27" s="427">
        <f t="shared" si="1"/>
        <v>8</v>
      </c>
      <c r="N27" s="429">
        <f t="shared" si="2"/>
        <v>28292</v>
      </c>
      <c r="O27" s="428">
        <v>28299</v>
      </c>
      <c r="P27" s="427">
        <f t="shared" si="3"/>
        <v>7</v>
      </c>
      <c r="Q27" s="427">
        <f t="shared" si="4"/>
        <v>33616</v>
      </c>
      <c r="R27" s="428">
        <v>33619</v>
      </c>
      <c r="S27" s="427">
        <f t="shared" si="5"/>
        <v>3</v>
      </c>
      <c r="T27" s="427">
        <f t="shared" si="6"/>
        <v>31102</v>
      </c>
      <c r="U27" s="428">
        <v>31108</v>
      </c>
      <c r="V27" s="427">
        <f t="shared" si="7"/>
        <v>6</v>
      </c>
      <c r="W27" s="429">
        <f t="shared" si="8"/>
        <v>18685</v>
      </c>
      <c r="X27" s="428">
        <v>18693</v>
      </c>
      <c r="Y27" s="427">
        <f t="shared" si="9"/>
        <v>8</v>
      </c>
      <c r="Z27" s="430">
        <f t="shared" si="10"/>
        <v>32</v>
      </c>
      <c r="AA27" s="130">
        <v>399</v>
      </c>
      <c r="AB27" s="130">
        <v>181</v>
      </c>
      <c r="AC27" s="368">
        <f>Gen!S32</f>
        <v>1822.8899999999999</v>
      </c>
    </row>
    <row r="28" spans="1:29" ht="20.100000000000001" customHeight="1">
      <c r="A28" s="359">
        <f>Gen!A33</f>
        <v>43792</v>
      </c>
      <c r="B28" s="477">
        <f>Gen!B33</f>
        <v>0.16900000000000001</v>
      </c>
      <c r="C28" s="428">
        <v>11316.64</v>
      </c>
      <c r="D28" s="428">
        <v>23100.21</v>
      </c>
      <c r="E28" s="428">
        <f>Gen!D33</f>
        <v>0</v>
      </c>
      <c r="F28" s="428"/>
      <c r="G28" s="428"/>
      <c r="H28" s="428"/>
      <c r="I28" s="428">
        <v>29498.6</v>
      </c>
      <c r="J28" s="428">
        <v>19436.099999999999</v>
      </c>
      <c r="K28" s="427">
        <f t="shared" si="0"/>
        <v>33375</v>
      </c>
      <c r="L28" s="428"/>
      <c r="M28" s="427">
        <f t="shared" si="1"/>
        <v>-33375</v>
      </c>
      <c r="N28" s="429">
        <f t="shared" si="2"/>
        <v>28299</v>
      </c>
      <c r="O28" s="428"/>
      <c r="P28" s="427">
        <f t="shared" si="3"/>
        <v>-28299</v>
      </c>
      <c r="Q28" s="427">
        <f t="shared" si="4"/>
        <v>33619</v>
      </c>
      <c r="R28" s="428"/>
      <c r="S28" s="427">
        <f t="shared" si="5"/>
        <v>-33619</v>
      </c>
      <c r="T28" s="427">
        <f t="shared" si="6"/>
        <v>31108</v>
      </c>
      <c r="U28" s="428"/>
      <c r="V28" s="427">
        <f t="shared" si="7"/>
        <v>-31108</v>
      </c>
      <c r="W28" s="429">
        <f t="shared" si="8"/>
        <v>18693</v>
      </c>
      <c r="X28" s="428"/>
      <c r="Y28" s="427">
        <f t="shared" si="9"/>
        <v>-18693</v>
      </c>
      <c r="Z28" s="430">
        <f t="shared" si="10"/>
        <v>-145094</v>
      </c>
      <c r="AA28" s="130"/>
      <c r="AB28" s="130"/>
      <c r="AC28" s="368">
        <f>Gen!S33</f>
        <v>0</v>
      </c>
    </row>
    <row r="29" spans="1:29" ht="20.100000000000001" customHeight="1">
      <c r="A29" s="359">
        <f>Gen!A34</f>
        <v>43793</v>
      </c>
      <c r="B29" s="477">
        <f>Gen!B34</f>
        <v>0</v>
      </c>
      <c r="C29" s="428"/>
      <c r="D29" s="428"/>
      <c r="E29" s="428">
        <f>Gen!D34</f>
        <v>0</v>
      </c>
      <c r="F29" s="428"/>
      <c r="G29" s="428"/>
      <c r="H29" s="428"/>
      <c r="I29" s="428"/>
      <c r="J29" s="428"/>
      <c r="K29" s="427">
        <f t="shared" si="0"/>
        <v>0</v>
      </c>
      <c r="L29" s="428"/>
      <c r="M29" s="427">
        <f t="shared" si="1"/>
        <v>0</v>
      </c>
      <c r="N29" s="429">
        <f t="shared" si="2"/>
        <v>0</v>
      </c>
      <c r="O29" s="428"/>
      <c r="P29" s="427">
        <f t="shared" si="3"/>
        <v>0</v>
      </c>
      <c r="Q29" s="427">
        <f t="shared" si="4"/>
        <v>0</v>
      </c>
      <c r="R29" s="428"/>
      <c r="S29" s="427">
        <f t="shared" si="5"/>
        <v>0</v>
      </c>
      <c r="T29" s="427">
        <f t="shared" si="6"/>
        <v>0</v>
      </c>
      <c r="U29" s="428"/>
      <c r="V29" s="427">
        <f t="shared" si="7"/>
        <v>0</v>
      </c>
      <c r="W29" s="429">
        <f t="shared" si="8"/>
        <v>0</v>
      </c>
      <c r="X29" s="428"/>
      <c r="Y29" s="427">
        <f t="shared" si="9"/>
        <v>0</v>
      </c>
      <c r="Z29" s="430">
        <f t="shared" si="10"/>
        <v>0</v>
      </c>
      <c r="AA29" s="130"/>
      <c r="AB29" s="130"/>
      <c r="AC29" s="368">
        <f>Gen!S34</f>
        <v>0</v>
      </c>
    </row>
    <row r="30" spans="1:29" ht="20.100000000000001" customHeight="1">
      <c r="A30" s="359">
        <f>Gen!A35</f>
        <v>43794</v>
      </c>
      <c r="B30" s="477">
        <f>Gen!B35</f>
        <v>0</v>
      </c>
      <c r="C30" s="428"/>
      <c r="D30" s="428"/>
      <c r="E30" s="428">
        <f>Gen!D35</f>
        <v>0</v>
      </c>
      <c r="F30" s="428"/>
      <c r="G30" s="428"/>
      <c r="H30" s="428"/>
      <c r="I30" s="428"/>
      <c r="J30" s="428"/>
      <c r="K30" s="427">
        <f t="shared" si="0"/>
        <v>0</v>
      </c>
      <c r="L30" s="428"/>
      <c r="M30" s="427">
        <f t="shared" si="1"/>
        <v>0</v>
      </c>
      <c r="N30" s="429">
        <f t="shared" si="2"/>
        <v>0</v>
      </c>
      <c r="O30" s="428"/>
      <c r="P30" s="427">
        <f t="shared" si="3"/>
        <v>0</v>
      </c>
      <c r="Q30" s="427">
        <f t="shared" si="4"/>
        <v>0</v>
      </c>
      <c r="R30" s="428"/>
      <c r="S30" s="427">
        <f t="shared" si="5"/>
        <v>0</v>
      </c>
      <c r="T30" s="427">
        <f t="shared" si="6"/>
        <v>0</v>
      </c>
      <c r="U30" s="428"/>
      <c r="V30" s="427">
        <f t="shared" si="7"/>
        <v>0</v>
      </c>
      <c r="W30" s="429">
        <f t="shared" si="8"/>
        <v>0</v>
      </c>
      <c r="X30" s="428"/>
      <c r="Y30" s="427">
        <f t="shared" si="9"/>
        <v>0</v>
      </c>
      <c r="Z30" s="430">
        <f t="shared" si="10"/>
        <v>0</v>
      </c>
      <c r="AA30" s="130"/>
      <c r="AB30" s="130"/>
      <c r="AC30" s="368">
        <f>Gen!S35</f>
        <v>0</v>
      </c>
    </row>
    <row r="31" spans="1:29" ht="20.100000000000001" customHeight="1">
      <c r="A31" s="359">
        <f>Gen!A36</f>
        <v>43795</v>
      </c>
      <c r="B31" s="477">
        <f>Gen!B36</f>
        <v>0</v>
      </c>
      <c r="C31" s="428"/>
      <c r="D31" s="428"/>
      <c r="E31" s="428">
        <f>Gen!D36</f>
        <v>0</v>
      </c>
      <c r="F31" s="428"/>
      <c r="G31" s="428"/>
      <c r="H31" s="428"/>
      <c r="I31" s="428"/>
      <c r="J31" s="428"/>
      <c r="K31" s="427">
        <f t="shared" si="0"/>
        <v>0</v>
      </c>
      <c r="L31" s="428"/>
      <c r="M31" s="427">
        <f t="shared" si="1"/>
        <v>0</v>
      </c>
      <c r="N31" s="429">
        <f t="shared" si="2"/>
        <v>0</v>
      </c>
      <c r="O31" s="428"/>
      <c r="P31" s="427">
        <f t="shared" si="3"/>
        <v>0</v>
      </c>
      <c r="Q31" s="427">
        <f t="shared" si="4"/>
        <v>0</v>
      </c>
      <c r="R31" s="428"/>
      <c r="S31" s="427">
        <f t="shared" si="5"/>
        <v>0</v>
      </c>
      <c r="T31" s="427">
        <f t="shared" si="6"/>
        <v>0</v>
      </c>
      <c r="U31" s="428"/>
      <c r="V31" s="427">
        <f t="shared" si="7"/>
        <v>0</v>
      </c>
      <c r="W31" s="429">
        <f t="shared" si="8"/>
        <v>0</v>
      </c>
      <c r="X31" s="428"/>
      <c r="Y31" s="427">
        <f t="shared" si="9"/>
        <v>0</v>
      </c>
      <c r="Z31" s="430">
        <f t="shared" si="10"/>
        <v>0</v>
      </c>
      <c r="AA31" s="130"/>
      <c r="AB31" s="130"/>
      <c r="AC31" s="368">
        <f>Gen!S36</f>
        <v>0</v>
      </c>
    </row>
    <row r="32" spans="1:29" ht="20.100000000000001" customHeight="1">
      <c r="A32" s="359">
        <f>Gen!A37</f>
        <v>43796</v>
      </c>
      <c r="B32" s="477">
        <f>Gen!B37</f>
        <v>0</v>
      </c>
      <c r="C32" s="428"/>
      <c r="D32" s="428"/>
      <c r="E32" s="428">
        <f>Gen!D37</f>
        <v>0</v>
      </c>
      <c r="F32" s="428"/>
      <c r="G32" s="428"/>
      <c r="H32" s="428"/>
      <c r="I32" s="428"/>
      <c r="J32" s="428"/>
      <c r="K32" s="427">
        <f t="shared" si="0"/>
        <v>0</v>
      </c>
      <c r="L32" s="428"/>
      <c r="M32" s="427">
        <f t="shared" si="1"/>
        <v>0</v>
      </c>
      <c r="N32" s="429">
        <f t="shared" si="2"/>
        <v>0</v>
      </c>
      <c r="O32" s="428"/>
      <c r="P32" s="427">
        <f t="shared" si="3"/>
        <v>0</v>
      </c>
      <c r="Q32" s="427">
        <f t="shared" si="4"/>
        <v>0</v>
      </c>
      <c r="R32" s="428"/>
      <c r="S32" s="427">
        <f t="shared" si="5"/>
        <v>0</v>
      </c>
      <c r="T32" s="427">
        <f t="shared" si="6"/>
        <v>0</v>
      </c>
      <c r="U32" s="428"/>
      <c r="V32" s="427">
        <f t="shared" si="7"/>
        <v>0</v>
      </c>
      <c r="W32" s="429">
        <f t="shared" si="8"/>
        <v>0</v>
      </c>
      <c r="X32" s="428"/>
      <c r="Y32" s="427">
        <f t="shared" si="9"/>
        <v>0</v>
      </c>
      <c r="Z32" s="430">
        <f t="shared" si="10"/>
        <v>0</v>
      </c>
      <c r="AA32" s="130"/>
      <c r="AB32" s="130"/>
      <c r="AC32" s="368">
        <f>Gen!S37</f>
        <v>0</v>
      </c>
    </row>
    <row r="33" spans="1:29" ht="20.100000000000001" customHeight="1">
      <c r="A33" s="359">
        <f>Gen!A38</f>
        <v>43797</v>
      </c>
      <c r="B33" s="477">
        <f>Gen!B38</f>
        <v>0</v>
      </c>
      <c r="C33" s="428"/>
      <c r="D33" s="428"/>
      <c r="E33" s="428">
        <f>Gen!D38</f>
        <v>0</v>
      </c>
      <c r="F33" s="428"/>
      <c r="G33" s="428"/>
      <c r="H33" s="428"/>
      <c r="I33" s="428"/>
      <c r="J33" s="428"/>
      <c r="K33" s="427">
        <f t="shared" si="0"/>
        <v>0</v>
      </c>
      <c r="L33" s="428"/>
      <c r="M33" s="427">
        <f t="shared" si="1"/>
        <v>0</v>
      </c>
      <c r="N33" s="429">
        <f t="shared" si="2"/>
        <v>0</v>
      </c>
      <c r="O33" s="428"/>
      <c r="P33" s="427">
        <f t="shared" si="3"/>
        <v>0</v>
      </c>
      <c r="Q33" s="427">
        <f t="shared" si="4"/>
        <v>0</v>
      </c>
      <c r="R33" s="428"/>
      <c r="S33" s="427">
        <f t="shared" si="5"/>
        <v>0</v>
      </c>
      <c r="T33" s="427">
        <f t="shared" si="6"/>
        <v>0</v>
      </c>
      <c r="U33" s="428"/>
      <c r="V33" s="427">
        <f t="shared" si="7"/>
        <v>0</v>
      </c>
      <c r="W33" s="429">
        <f t="shared" si="8"/>
        <v>0</v>
      </c>
      <c r="X33" s="428"/>
      <c r="Y33" s="427">
        <f t="shared" si="9"/>
        <v>0</v>
      </c>
      <c r="Z33" s="430">
        <f t="shared" si="10"/>
        <v>0</v>
      </c>
      <c r="AA33" s="130"/>
      <c r="AB33" s="130"/>
      <c r="AC33" s="368">
        <f>Gen!S38</f>
        <v>0</v>
      </c>
    </row>
    <row r="34" spans="1:29" ht="20.100000000000001" customHeight="1">
      <c r="A34" s="359">
        <f>Gen!A39</f>
        <v>43798</v>
      </c>
      <c r="B34" s="477">
        <f>Gen!B39</f>
        <v>0</v>
      </c>
      <c r="C34" s="428"/>
      <c r="D34" s="428"/>
      <c r="E34" s="428">
        <f>Gen!D39</f>
        <v>0</v>
      </c>
      <c r="F34" s="428"/>
      <c r="G34" s="428"/>
      <c r="H34" s="428"/>
      <c r="I34" s="428"/>
      <c r="J34" s="428"/>
      <c r="K34" s="427">
        <f t="shared" si="0"/>
        <v>0</v>
      </c>
      <c r="L34" s="428"/>
      <c r="M34" s="427">
        <f t="shared" si="1"/>
        <v>0</v>
      </c>
      <c r="N34" s="429">
        <f t="shared" si="2"/>
        <v>0</v>
      </c>
      <c r="O34" s="428"/>
      <c r="P34" s="427">
        <f t="shared" si="3"/>
        <v>0</v>
      </c>
      <c r="Q34" s="427">
        <f t="shared" si="4"/>
        <v>0</v>
      </c>
      <c r="R34" s="428"/>
      <c r="S34" s="427">
        <f t="shared" si="5"/>
        <v>0</v>
      </c>
      <c r="T34" s="427">
        <f t="shared" si="6"/>
        <v>0</v>
      </c>
      <c r="U34" s="428"/>
      <c r="V34" s="427">
        <f t="shared" si="7"/>
        <v>0</v>
      </c>
      <c r="W34" s="429">
        <f t="shared" si="8"/>
        <v>0</v>
      </c>
      <c r="X34" s="428"/>
      <c r="Y34" s="427">
        <f t="shared" si="9"/>
        <v>0</v>
      </c>
      <c r="Z34" s="430">
        <f t="shared" si="10"/>
        <v>0</v>
      </c>
      <c r="AA34" s="130"/>
      <c r="AB34" s="130"/>
      <c r="AC34" s="368">
        <f>Gen!S39</f>
        <v>0</v>
      </c>
    </row>
    <row r="35" spans="1:29" ht="20.100000000000001" customHeight="1">
      <c r="A35" s="359">
        <f>Gen!A40</f>
        <v>43799</v>
      </c>
      <c r="B35" s="477">
        <f>Gen!B40</f>
        <v>0</v>
      </c>
      <c r="C35" s="428"/>
      <c r="D35" s="428"/>
      <c r="E35" s="428">
        <f>Gen!D40</f>
        <v>0</v>
      </c>
      <c r="F35" s="428"/>
      <c r="G35" s="428"/>
      <c r="H35" s="428"/>
      <c r="I35" s="428"/>
      <c r="J35" s="428"/>
      <c r="K35" s="427">
        <f t="shared" si="0"/>
        <v>0</v>
      </c>
      <c r="L35" s="428"/>
      <c r="M35" s="427">
        <f t="shared" si="1"/>
        <v>0</v>
      </c>
      <c r="N35" s="429">
        <f t="shared" si="2"/>
        <v>0</v>
      </c>
      <c r="O35" s="428"/>
      <c r="P35" s="427">
        <f t="shared" si="3"/>
        <v>0</v>
      </c>
      <c r="Q35" s="427">
        <f t="shared" si="4"/>
        <v>0</v>
      </c>
      <c r="R35" s="428"/>
      <c r="S35" s="427">
        <f t="shared" si="5"/>
        <v>0</v>
      </c>
      <c r="T35" s="427">
        <f t="shared" si="6"/>
        <v>0</v>
      </c>
      <c r="U35" s="428"/>
      <c r="V35" s="427">
        <f t="shared" si="7"/>
        <v>0</v>
      </c>
      <c r="W35" s="429">
        <f t="shared" si="8"/>
        <v>0</v>
      </c>
      <c r="X35" s="428"/>
      <c r="Y35" s="427">
        <f t="shared" si="9"/>
        <v>0</v>
      </c>
      <c r="Z35" s="430">
        <f t="shared" si="10"/>
        <v>0</v>
      </c>
      <c r="AA35" s="130"/>
      <c r="AB35" s="130"/>
      <c r="AC35" s="368">
        <f>Gen!S40</f>
        <v>0</v>
      </c>
    </row>
    <row r="36" spans="1:29" ht="20.100000000000001" customHeight="1">
      <c r="A36" s="359">
        <f>Gen!A41</f>
        <v>43800</v>
      </c>
      <c r="B36" s="477"/>
      <c r="C36" s="428"/>
      <c r="D36" s="428"/>
      <c r="E36" s="428">
        <f>Gen!D41</f>
        <v>0</v>
      </c>
      <c r="F36" s="428"/>
      <c r="G36" s="428"/>
      <c r="H36" s="428"/>
      <c r="I36" s="428"/>
      <c r="J36" s="428"/>
      <c r="K36" s="427">
        <f t="shared" si="0"/>
        <v>0</v>
      </c>
      <c r="L36" s="428"/>
      <c r="M36" s="427">
        <f t="shared" si="1"/>
        <v>0</v>
      </c>
      <c r="N36" s="429">
        <f t="shared" si="2"/>
        <v>0</v>
      </c>
      <c r="O36" s="428"/>
      <c r="P36" s="427">
        <f t="shared" si="3"/>
        <v>0</v>
      </c>
      <c r="Q36" s="427">
        <f t="shared" si="4"/>
        <v>0</v>
      </c>
      <c r="R36" s="428"/>
      <c r="S36" s="427">
        <f t="shared" si="5"/>
        <v>0</v>
      </c>
      <c r="T36" s="427">
        <f t="shared" si="6"/>
        <v>0</v>
      </c>
      <c r="U36" s="428"/>
      <c r="V36" s="427">
        <f t="shared" si="7"/>
        <v>0</v>
      </c>
      <c r="W36" s="429">
        <f t="shared" si="8"/>
        <v>0</v>
      </c>
      <c r="X36" s="428"/>
      <c r="Y36" s="427">
        <f t="shared" si="9"/>
        <v>0</v>
      </c>
      <c r="Z36" s="430">
        <f t="shared" si="10"/>
        <v>0</v>
      </c>
      <c r="AA36" s="130"/>
      <c r="AB36" s="130"/>
      <c r="AC36" s="368">
        <f>Gen!S41</f>
        <v>0</v>
      </c>
    </row>
    <row r="37" spans="1:29" ht="21" customHeight="1">
      <c r="A37" s="359" t="e">
        <f>[1]Gen!A42</f>
        <v>#REF!</v>
      </c>
      <c r="B37" s="477"/>
      <c r="C37" s="428"/>
      <c r="D37" s="428"/>
      <c r="E37" s="428"/>
      <c r="F37" s="428"/>
      <c r="G37" s="428"/>
      <c r="H37" s="428"/>
      <c r="I37" s="428"/>
      <c r="J37" s="428"/>
      <c r="K37" s="427">
        <f>'[4]Daily report Gen'!L68</f>
        <v>0</v>
      </c>
      <c r="L37" s="428"/>
      <c r="M37" s="427">
        <f t="shared" si="1"/>
        <v>0</v>
      </c>
      <c r="N37" s="429"/>
      <c r="O37" s="428"/>
      <c r="P37" s="427">
        <f t="shared" si="3"/>
        <v>0</v>
      </c>
      <c r="Q37" s="427"/>
      <c r="R37" s="428"/>
      <c r="S37" s="427">
        <f t="shared" si="5"/>
        <v>0</v>
      </c>
      <c r="T37" s="427"/>
      <c r="U37" s="428"/>
      <c r="V37" s="427">
        <f t="shared" si="7"/>
        <v>0</v>
      </c>
      <c r="W37" s="429"/>
      <c r="X37" s="428"/>
      <c r="Y37" s="427">
        <f t="shared" si="9"/>
        <v>0</v>
      </c>
      <c r="Z37" s="430">
        <f t="shared" si="10"/>
        <v>0</v>
      </c>
      <c r="AA37" s="130"/>
      <c r="AB37" s="130"/>
      <c r="AC37" s="368">
        <f>Gen!S42</f>
        <v>0</v>
      </c>
    </row>
    <row r="38" spans="1:29">
      <c r="A38" s="359"/>
      <c r="B38" s="359"/>
      <c r="C38" s="359"/>
      <c r="D38" s="359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abSelected="1" topLeftCell="A7" zoomScale="120" zoomScaleNormal="120" workbookViewId="0">
      <pane xSplit="1" topLeftCell="V1" activePane="topRight" state="frozen"/>
      <selection pane="topRight" activeCell="AC22" sqref="AC22"/>
    </sheetView>
  </sheetViews>
  <sheetFormatPr defaultRowHeight="11.25"/>
  <cols>
    <col min="1" max="1" width="9.85546875" style="638" customWidth="1"/>
    <col min="2" max="2" width="8.85546875" style="638" customWidth="1"/>
    <col min="3" max="4" width="9" style="638" customWidth="1"/>
    <col min="5" max="5" width="9.28515625" style="638" bestFit="1" customWidth="1"/>
    <col min="6" max="6" width="5.28515625" style="638" bestFit="1" customWidth="1"/>
    <col min="7" max="7" width="11.28515625" style="638" customWidth="1"/>
    <col min="8" max="8" width="9.7109375" style="638" customWidth="1"/>
    <col min="9" max="9" width="8" style="638" customWidth="1"/>
    <col min="10" max="10" width="8.7109375" style="638" customWidth="1"/>
    <col min="11" max="11" width="8.28515625" style="638" customWidth="1"/>
    <col min="12" max="12" width="10.140625" style="638" customWidth="1"/>
    <col min="13" max="13" width="9.28515625" style="638" customWidth="1"/>
    <col min="14" max="14" width="14.42578125" style="638" customWidth="1"/>
    <col min="15" max="15" width="10.140625" style="638" customWidth="1"/>
    <col min="16" max="16" width="14.42578125" style="638" customWidth="1"/>
    <col min="17" max="17" width="10.7109375" style="638" customWidth="1"/>
    <col min="18" max="18" width="13.140625" style="638" customWidth="1"/>
    <col min="19" max="19" width="11.7109375" style="250" customWidth="1"/>
    <col min="20" max="20" width="13" style="250" customWidth="1"/>
    <col min="21" max="21" width="13.140625" style="250" customWidth="1"/>
    <col min="22" max="22" width="13.5703125" style="250" bestFit="1" customWidth="1"/>
    <col min="23" max="23" width="13" style="250" customWidth="1"/>
    <col min="24" max="24" width="15.7109375" style="250" customWidth="1"/>
    <col min="25" max="25" width="9.5703125" style="250" bestFit="1" customWidth="1"/>
    <col min="26" max="26" width="12" style="250" bestFit="1" customWidth="1"/>
    <col min="27" max="27" width="9.5703125" style="250" bestFit="1" customWidth="1"/>
    <col min="28" max="28" width="8.28515625" style="250" bestFit="1" customWidth="1"/>
    <col min="29" max="29" width="9.42578125" style="250" bestFit="1" customWidth="1"/>
    <col min="30" max="30" width="8.140625" style="250" bestFit="1" customWidth="1"/>
    <col min="31" max="31" width="8" style="250" bestFit="1" customWidth="1"/>
    <col min="32" max="32" width="9.28515625" style="250" bestFit="1" customWidth="1"/>
    <col min="33" max="33" width="11.42578125" style="250" customWidth="1"/>
    <col min="34" max="34" width="9.85546875" style="250" bestFit="1" customWidth="1"/>
    <col min="35" max="35" width="9.5703125" style="250" bestFit="1" customWidth="1"/>
    <col min="36" max="36" width="12" style="250" bestFit="1" customWidth="1"/>
    <col min="37" max="42" width="9.140625" style="250" hidden="1" customWidth="1"/>
    <col min="43" max="43" width="5.42578125" style="250" customWidth="1"/>
    <col min="44" max="44" width="15" style="250" bestFit="1" customWidth="1"/>
    <col min="45" max="45" width="10.7109375" style="250" bestFit="1" customWidth="1"/>
    <col min="46" max="46" width="9.7109375" style="250" bestFit="1" customWidth="1"/>
    <col min="47" max="47" width="8" style="248" bestFit="1" customWidth="1"/>
    <col min="48" max="16384" width="9.140625" style="248"/>
  </cols>
  <sheetData>
    <row r="1" spans="1:46">
      <c r="A1" s="820"/>
      <c r="B1" s="820"/>
    </row>
    <row r="2" spans="1:46" ht="26.25">
      <c r="A2" s="820"/>
      <c r="B2" s="820"/>
      <c r="D2" s="821" t="s">
        <v>313</v>
      </c>
      <c r="E2" s="821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B2" s="822"/>
      <c r="AC2" s="822"/>
      <c r="AD2" s="822"/>
      <c r="AE2" s="822"/>
      <c r="AF2" s="822"/>
      <c r="AG2" s="822"/>
      <c r="AH2" s="822"/>
      <c r="AI2" s="822"/>
      <c r="AJ2" s="822"/>
      <c r="AK2" s="822"/>
      <c r="AL2" s="822"/>
      <c r="AM2" s="822"/>
      <c r="AN2" s="822"/>
      <c r="AO2" s="822"/>
      <c r="AP2" s="822"/>
      <c r="AQ2" s="822"/>
      <c r="AR2" s="822"/>
      <c r="AS2" s="822"/>
      <c r="AT2" s="822"/>
    </row>
    <row r="3" spans="1:46">
      <c r="A3" s="820"/>
      <c r="B3" s="820"/>
      <c r="K3" s="249"/>
      <c r="Q3" s="249"/>
    </row>
    <row r="4" spans="1:46">
      <c r="A4" s="820"/>
      <c r="B4" s="820"/>
      <c r="K4" s="249"/>
      <c r="Q4" s="249"/>
    </row>
    <row r="5" spans="1:46" ht="12" thickBot="1">
      <c r="A5" s="820"/>
      <c r="B5" s="820"/>
      <c r="L5" s="251"/>
      <c r="R5" s="251"/>
      <c r="S5" s="252"/>
      <c r="T5" s="252"/>
      <c r="U5" s="252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</row>
    <row r="6" spans="1:46" ht="21" thickBot="1">
      <c r="A6" s="820"/>
      <c r="B6" s="820"/>
      <c r="C6" s="254"/>
      <c r="F6" s="813" t="s">
        <v>59</v>
      </c>
      <c r="G6" s="814"/>
      <c r="H6" s="814"/>
      <c r="I6" s="814"/>
      <c r="J6" s="814"/>
      <c r="K6" s="814"/>
      <c r="L6" s="815"/>
      <c r="M6" s="251"/>
      <c r="N6" s="251"/>
      <c r="O6" s="251"/>
      <c r="P6" s="251"/>
      <c r="Q6" s="251"/>
      <c r="R6" s="251"/>
      <c r="S6" s="252"/>
      <c r="T6" s="252"/>
      <c r="U6" s="252"/>
      <c r="V6" s="255">
        <v>1</v>
      </c>
      <c r="W6" s="255">
        <v>2</v>
      </c>
      <c r="X6" s="255">
        <v>3</v>
      </c>
      <c r="Y6" s="255">
        <v>4</v>
      </c>
      <c r="Z6" s="255">
        <v>5</v>
      </c>
      <c r="AA6" s="255">
        <v>6</v>
      </c>
      <c r="AB6" s="255">
        <v>7</v>
      </c>
      <c r="AC6" s="255">
        <v>8</v>
      </c>
      <c r="AD6" s="255">
        <v>9</v>
      </c>
      <c r="AE6" s="255">
        <v>10</v>
      </c>
      <c r="AF6" s="255">
        <v>11</v>
      </c>
      <c r="AG6" s="255"/>
      <c r="AH6" s="255"/>
      <c r="AI6" s="255"/>
      <c r="AR6" s="255"/>
      <c r="AS6" s="252"/>
    </row>
    <row r="7" spans="1:46" ht="21" thickBot="1">
      <c r="C7" s="256"/>
      <c r="D7" s="256"/>
      <c r="E7" s="256"/>
      <c r="F7" s="823" t="s">
        <v>204</v>
      </c>
      <c r="G7" s="824"/>
      <c r="H7" s="824"/>
      <c r="I7" s="824"/>
      <c r="J7" s="824"/>
      <c r="K7" s="824"/>
      <c r="L7" s="825"/>
      <c r="M7" s="826" t="s">
        <v>41</v>
      </c>
      <c r="N7" s="827"/>
      <c r="O7" s="827"/>
      <c r="P7" s="827"/>
      <c r="Q7" s="827"/>
      <c r="R7" s="828"/>
      <c r="S7" s="517"/>
      <c r="T7" s="518"/>
      <c r="U7" s="519"/>
      <c r="V7" s="520" t="s">
        <v>82</v>
      </c>
      <c r="W7" s="521" t="s">
        <v>82</v>
      </c>
      <c r="X7" s="521" t="s">
        <v>5</v>
      </c>
      <c r="Y7" s="521" t="s">
        <v>83</v>
      </c>
      <c r="Z7" s="521" t="s">
        <v>85</v>
      </c>
      <c r="AA7" s="521" t="s">
        <v>84</v>
      </c>
      <c r="AB7" s="521" t="s">
        <v>84</v>
      </c>
      <c r="AC7" s="522" t="s">
        <v>202</v>
      </c>
      <c r="AD7" s="521" t="s">
        <v>30</v>
      </c>
      <c r="AE7" s="521" t="s">
        <v>99</v>
      </c>
      <c r="AF7" s="523" t="s">
        <v>22</v>
      </c>
      <c r="AG7" s="524" t="s">
        <v>29</v>
      </c>
      <c r="AH7" s="521" t="s">
        <v>86</v>
      </c>
      <c r="AI7" s="525" t="s">
        <v>193</v>
      </c>
      <c r="AJ7" s="537" t="s">
        <v>26</v>
      </c>
      <c r="AK7" s="257"/>
      <c r="AL7" s="257"/>
      <c r="AM7" s="257"/>
      <c r="AN7" s="257"/>
      <c r="AO7" s="257"/>
      <c r="AP7" s="257"/>
      <c r="AQ7" s="257"/>
      <c r="AR7" s="258"/>
      <c r="AS7" s="259"/>
      <c r="AT7" s="257"/>
    </row>
    <row r="8" spans="1:46" s="261" customFormat="1" ht="30" customHeight="1" thickBot="1">
      <c r="A8" s="558" t="s">
        <v>0</v>
      </c>
      <c r="B8" s="559" t="s">
        <v>51</v>
      </c>
      <c r="C8" s="560" t="s">
        <v>2</v>
      </c>
      <c r="D8" s="561" t="s">
        <v>39</v>
      </c>
      <c r="E8" s="561" t="s">
        <v>98</v>
      </c>
      <c r="F8" s="562" t="s">
        <v>36</v>
      </c>
      <c r="G8" s="549">
        <v>1</v>
      </c>
      <c r="H8" s="550">
        <v>2</v>
      </c>
      <c r="I8" s="550">
        <v>3</v>
      </c>
      <c r="J8" s="550">
        <v>4</v>
      </c>
      <c r="K8" s="550">
        <v>5</v>
      </c>
      <c r="L8" s="551">
        <v>6</v>
      </c>
      <c r="M8" s="552">
        <v>1</v>
      </c>
      <c r="N8" s="553">
        <v>2</v>
      </c>
      <c r="O8" s="553">
        <v>3</v>
      </c>
      <c r="P8" s="553">
        <v>4</v>
      </c>
      <c r="Q8" s="553">
        <v>5</v>
      </c>
      <c r="R8" s="553">
        <v>6</v>
      </c>
      <c r="S8" s="554" t="s">
        <v>40</v>
      </c>
      <c r="T8" s="554" t="s">
        <v>42</v>
      </c>
      <c r="U8" s="555" t="s">
        <v>201</v>
      </c>
      <c r="V8" s="528" t="s">
        <v>33</v>
      </c>
      <c r="W8" s="529" t="s">
        <v>32</v>
      </c>
      <c r="X8" s="529" t="s">
        <v>35</v>
      </c>
      <c r="Y8" s="530" t="s">
        <v>211</v>
      </c>
      <c r="Z8" s="530" t="s">
        <v>210</v>
      </c>
      <c r="AA8" s="530" t="s">
        <v>212</v>
      </c>
      <c r="AB8" s="529" t="s">
        <v>253</v>
      </c>
      <c r="AC8" s="531" t="s">
        <v>34</v>
      </c>
      <c r="AD8" s="529" t="s">
        <v>31</v>
      </c>
      <c r="AE8" s="529" t="s">
        <v>213</v>
      </c>
      <c r="AF8" s="529" t="s">
        <v>214</v>
      </c>
      <c r="AG8" s="532" t="s">
        <v>87</v>
      </c>
      <c r="AH8" s="533" t="s">
        <v>28</v>
      </c>
      <c r="AI8" s="534" t="s">
        <v>28</v>
      </c>
      <c r="AJ8" s="536"/>
      <c r="AK8" s="382"/>
      <c r="AL8" s="53"/>
      <c r="AM8" s="53"/>
      <c r="AN8" s="53"/>
      <c r="AO8" s="53"/>
      <c r="AP8" s="260"/>
      <c r="AQ8" s="539"/>
      <c r="AR8" s="540" t="s">
        <v>203</v>
      </c>
      <c r="AS8" s="540" t="s">
        <v>44</v>
      </c>
      <c r="AT8" s="539" t="s">
        <v>3</v>
      </c>
    </row>
    <row r="9" spans="1:46" ht="14.25">
      <c r="A9" s="262"/>
      <c r="B9" s="262"/>
      <c r="C9" s="282">
        <f>[5]Gen!$C$43</f>
        <v>35194.410000000018</v>
      </c>
      <c r="D9" s="556"/>
      <c r="E9" s="264"/>
      <c r="F9" s="557"/>
      <c r="G9" s="541"/>
      <c r="H9" s="265"/>
      <c r="I9" s="541"/>
      <c r="J9" s="542"/>
      <c r="K9" s="543"/>
      <c r="L9" s="544"/>
      <c r="M9" s="545"/>
      <c r="N9" s="546"/>
      <c r="O9" s="546"/>
      <c r="P9" s="546"/>
      <c r="Q9" s="546"/>
      <c r="R9" s="546"/>
      <c r="S9" s="547">
        <f t="shared" ref="S9:S45" si="0">SUM(F9:L9)</f>
        <v>0</v>
      </c>
      <c r="T9" s="548">
        <f t="shared" ref="T9:T10" si="1">SUM(M9:R9)</f>
        <v>0</v>
      </c>
      <c r="U9" s="268"/>
      <c r="V9" s="526"/>
      <c r="W9" s="271"/>
      <c r="X9" s="527"/>
      <c r="Y9" s="527"/>
      <c r="Z9" s="527"/>
      <c r="AA9" s="271"/>
      <c r="AB9" s="269"/>
      <c r="AC9" s="271"/>
      <c r="AD9" s="272"/>
      <c r="AE9" s="272"/>
      <c r="AF9" s="273"/>
      <c r="AG9" s="269"/>
      <c r="AH9" s="271"/>
      <c r="AI9" s="300"/>
      <c r="AJ9" s="535"/>
      <c r="AK9" s="274"/>
      <c r="AL9" s="274"/>
      <c r="AM9" s="274"/>
      <c r="AN9" s="274"/>
      <c r="AO9" s="274"/>
      <c r="AP9" s="274"/>
      <c r="AQ9" s="274"/>
      <c r="AR9" s="538">
        <f t="shared" ref="AR9:AR43" si="2">SUM(AJ9+S9)</f>
        <v>0</v>
      </c>
      <c r="AS9" s="275"/>
      <c r="AT9" s="276">
        <v>38784.699999999997</v>
      </c>
    </row>
    <row r="10" spans="1:46" ht="13.5" customHeight="1">
      <c r="A10" s="277"/>
      <c r="B10" s="278"/>
      <c r="C10" s="316"/>
      <c r="D10" s="263"/>
      <c r="E10" s="280"/>
      <c r="F10" s="281"/>
      <c r="G10" s="282"/>
      <c r="H10" s="282"/>
      <c r="I10" s="283"/>
      <c r="J10" s="282"/>
      <c r="K10" s="282"/>
      <c r="L10" s="415"/>
      <c r="M10" s="414"/>
      <c r="N10" s="285"/>
      <c r="O10" s="284"/>
      <c r="P10" s="284"/>
      <c r="Q10" s="284"/>
      <c r="R10" s="284"/>
      <c r="S10" s="298">
        <f t="shared" si="0"/>
        <v>0</v>
      </c>
      <c r="T10" s="299">
        <f t="shared" si="1"/>
        <v>0</v>
      </c>
      <c r="U10" s="299">
        <f t="shared" ref="U10" si="3">SUM(N10:S10)</f>
        <v>0</v>
      </c>
      <c r="V10" s="287"/>
      <c r="W10" s="300"/>
      <c r="X10" s="270"/>
      <c r="Y10" s="287"/>
      <c r="Z10" s="282"/>
      <c r="AA10" s="287"/>
      <c r="AB10" s="288"/>
      <c r="AC10" s="287"/>
      <c r="AD10" s="289"/>
      <c r="AE10" s="289"/>
      <c r="AF10" s="287"/>
      <c r="AG10" s="290"/>
      <c r="AH10" s="300"/>
      <c r="AI10" s="300"/>
      <c r="AJ10" s="381">
        <f t="shared" ref="AJ10:AJ44" si="4">SUM(V10:AI10)</f>
        <v>0</v>
      </c>
      <c r="AK10" s="291"/>
      <c r="AL10" s="291"/>
      <c r="AM10" s="291"/>
      <c r="AN10" s="291"/>
      <c r="AO10" s="291"/>
      <c r="AP10" s="291"/>
      <c r="AQ10" s="292"/>
      <c r="AR10" s="293">
        <f t="shared" si="2"/>
        <v>0</v>
      </c>
      <c r="AS10" s="294"/>
      <c r="AT10" s="396"/>
    </row>
    <row r="11" spans="1:46" s="303" customFormat="1" ht="13.5" customHeight="1">
      <c r="A11" s="295">
        <v>43770</v>
      </c>
      <c r="B11" s="310">
        <v>0.87</v>
      </c>
      <c r="C11" s="296">
        <f>SUM(C9+D11)</f>
        <v>35194.410000000018</v>
      </c>
      <c r="D11" s="304"/>
      <c r="E11" s="280">
        <v>18000</v>
      </c>
      <c r="F11" s="297"/>
      <c r="G11" s="282">
        <v>416.9</v>
      </c>
      <c r="H11" s="282">
        <v>365.59</v>
      </c>
      <c r="I11" s="283"/>
      <c r="J11" s="282">
        <v>351.9</v>
      </c>
      <c r="K11" s="282">
        <v>828.44</v>
      </c>
      <c r="L11" s="415">
        <v>435.29</v>
      </c>
      <c r="M11" s="284">
        <v>970</v>
      </c>
      <c r="N11" s="284">
        <v>1502</v>
      </c>
      <c r="O11" s="284"/>
      <c r="P11" s="284">
        <v>938</v>
      </c>
      <c r="Q11" s="284">
        <v>1400</v>
      </c>
      <c r="R11" s="284">
        <v>893</v>
      </c>
      <c r="S11" s="298">
        <f t="shared" si="0"/>
        <v>2398.12</v>
      </c>
      <c r="T11" s="299">
        <f t="shared" ref="T11:T43" si="5">SUM(M11:R11)</f>
        <v>5703</v>
      </c>
      <c r="U11" s="299">
        <f t="shared" ref="U11:U41" si="6">S11/T11</f>
        <v>0.42050149044362617</v>
      </c>
      <c r="V11" s="287"/>
      <c r="W11" s="287">
        <v>45.77</v>
      </c>
      <c r="X11" s="287"/>
      <c r="Y11" s="287"/>
      <c r="Z11" s="287">
        <v>23.28</v>
      </c>
      <c r="AA11" s="287"/>
      <c r="AB11" s="287"/>
      <c r="AC11" s="287"/>
      <c r="AD11" s="287"/>
      <c r="AE11" s="287"/>
      <c r="AF11" s="287"/>
      <c r="AG11" s="287"/>
      <c r="AH11" s="287"/>
      <c r="AI11" s="287"/>
      <c r="AJ11" s="381">
        <f t="shared" si="4"/>
        <v>69.050000000000011</v>
      </c>
      <c r="AK11" s="301"/>
      <c r="AL11" s="301"/>
      <c r="AM11" s="301"/>
      <c r="AN11" s="301"/>
      <c r="AO11" s="301"/>
      <c r="AP11" s="301"/>
      <c r="AQ11" s="301"/>
      <c r="AR11" s="293">
        <f t="shared" si="2"/>
        <v>2467.17</v>
      </c>
      <c r="AS11" s="302">
        <f>AR11*AU11</f>
        <v>0</v>
      </c>
      <c r="AT11" s="396">
        <f t="shared" ref="AT11:AT43" si="7">C11</f>
        <v>35194.410000000018</v>
      </c>
    </row>
    <row r="12" spans="1:46" ht="13.5" customHeight="1">
      <c r="A12" s="295">
        <v>43771</v>
      </c>
      <c r="B12" s="310">
        <v>0.76600000000000001</v>
      </c>
      <c r="C12" s="296">
        <f t="shared" ref="C12:C43" si="8">SUM(C11-AR11+D12)</f>
        <v>50727.24000000002</v>
      </c>
      <c r="D12" s="304">
        <v>18000</v>
      </c>
      <c r="E12" s="280"/>
      <c r="F12" s="305"/>
      <c r="G12" s="282">
        <v>508.61</v>
      </c>
      <c r="H12" s="282">
        <v>472.97</v>
      </c>
      <c r="I12" s="306"/>
      <c r="J12" s="282">
        <v>700.12</v>
      </c>
      <c r="K12" s="282">
        <v>338.72</v>
      </c>
      <c r="L12" s="415">
        <v>482.15</v>
      </c>
      <c r="M12" s="414">
        <v>973</v>
      </c>
      <c r="N12" s="284">
        <v>977</v>
      </c>
      <c r="O12" s="284"/>
      <c r="P12" s="284">
        <v>1633</v>
      </c>
      <c r="Q12" s="284">
        <v>1552</v>
      </c>
      <c r="R12" s="284">
        <v>917</v>
      </c>
      <c r="S12" s="298">
        <f t="shared" si="0"/>
        <v>2502.5700000000002</v>
      </c>
      <c r="T12" s="299">
        <f t="shared" si="5"/>
        <v>6052</v>
      </c>
      <c r="U12" s="299">
        <f t="shared" si="6"/>
        <v>0.41351123595505623</v>
      </c>
      <c r="V12" s="287"/>
      <c r="W12" s="287"/>
      <c r="X12" s="287">
        <v>23.51</v>
      </c>
      <c r="Y12" s="287"/>
      <c r="Z12" s="287"/>
      <c r="AA12" s="287"/>
      <c r="AB12" s="287"/>
      <c r="AC12" s="745">
        <v>36.04</v>
      </c>
      <c r="AD12" s="287"/>
      <c r="AE12" s="287"/>
      <c r="AF12" s="287"/>
      <c r="AG12" s="287">
        <v>600</v>
      </c>
      <c r="AH12" s="287"/>
      <c r="AI12" s="287"/>
      <c r="AJ12" s="381">
        <f t="shared" si="4"/>
        <v>659.55</v>
      </c>
      <c r="AK12" s="291"/>
      <c r="AL12" s="291"/>
      <c r="AM12" s="291"/>
      <c r="AN12" s="291"/>
      <c r="AO12" s="291"/>
      <c r="AP12" s="291"/>
      <c r="AQ12" s="291"/>
      <c r="AR12" s="293">
        <f t="shared" si="2"/>
        <v>3162.12</v>
      </c>
      <c r="AS12" s="302">
        <f t="shared" ref="AS12:AS44" si="9">AR12*AU12</f>
        <v>0</v>
      </c>
      <c r="AT12" s="396">
        <f t="shared" si="7"/>
        <v>50727.24000000002</v>
      </c>
    </row>
    <row r="13" spans="1:46" ht="13.5" customHeight="1">
      <c r="A13" s="295">
        <v>43772</v>
      </c>
      <c r="B13" s="310">
        <v>0.11</v>
      </c>
      <c r="C13" s="296">
        <f t="shared" si="8"/>
        <v>47565.120000000017</v>
      </c>
      <c r="D13" s="304"/>
      <c r="E13" s="280"/>
      <c r="F13" s="305"/>
      <c r="G13" s="282">
        <v>302.77</v>
      </c>
      <c r="H13" s="282">
        <v>588.74</v>
      </c>
      <c r="I13" s="306"/>
      <c r="J13" s="282">
        <v>340.03</v>
      </c>
      <c r="K13" s="282">
        <v>206.76</v>
      </c>
      <c r="L13" s="415">
        <v>648.53</v>
      </c>
      <c r="M13" s="414">
        <v>810</v>
      </c>
      <c r="N13" s="284">
        <v>1477</v>
      </c>
      <c r="O13" s="284"/>
      <c r="P13" s="284">
        <v>805</v>
      </c>
      <c r="Q13" s="284">
        <v>448</v>
      </c>
      <c r="R13" s="284">
        <v>1687</v>
      </c>
      <c r="S13" s="298">
        <f t="shared" si="0"/>
        <v>2086.83</v>
      </c>
      <c r="T13" s="299">
        <f t="shared" si="5"/>
        <v>5227</v>
      </c>
      <c r="U13" s="299">
        <f t="shared" si="6"/>
        <v>0.39924048211211016</v>
      </c>
      <c r="V13" s="287">
        <v>80.650000000000006</v>
      </c>
      <c r="W13" s="300">
        <v>42.09</v>
      </c>
      <c r="X13" s="270"/>
      <c r="Y13" s="300">
        <v>35.78</v>
      </c>
      <c r="Z13" s="282">
        <v>18.239999999999998</v>
      </c>
      <c r="AA13" s="383"/>
      <c r="AB13" s="300"/>
      <c r="AC13" s="300">
        <v>48.74</v>
      </c>
      <c r="AD13" s="300"/>
      <c r="AE13" s="300"/>
      <c r="AF13" s="300"/>
      <c r="AG13" s="300"/>
      <c r="AH13" s="300">
        <v>36</v>
      </c>
      <c r="AI13" s="300"/>
      <c r="AJ13" s="381">
        <f>SUM(V13:AH13)</f>
        <v>261.5</v>
      </c>
      <c r="AK13" s="307"/>
      <c r="AL13" s="307"/>
      <c r="AM13" s="307"/>
      <c r="AN13" s="307"/>
      <c r="AO13" s="307"/>
      <c r="AP13" s="307"/>
      <c r="AQ13" s="307"/>
      <c r="AR13" s="293">
        <f t="shared" si="2"/>
        <v>2348.33</v>
      </c>
      <c r="AS13" s="302">
        <f t="shared" si="9"/>
        <v>0</v>
      </c>
      <c r="AT13" s="396">
        <f t="shared" si="7"/>
        <v>47565.120000000017</v>
      </c>
    </row>
    <row r="14" spans="1:46" ht="13.5" customHeight="1">
      <c r="A14" s="295">
        <v>43773</v>
      </c>
      <c r="B14" s="310">
        <v>0.13</v>
      </c>
      <c r="C14" s="296">
        <f t="shared" si="8"/>
        <v>45216.790000000015</v>
      </c>
      <c r="D14" s="304"/>
      <c r="E14" s="280"/>
      <c r="F14" s="305"/>
      <c r="G14" s="282">
        <v>366.6</v>
      </c>
      <c r="H14" s="282">
        <v>307.74</v>
      </c>
      <c r="I14" s="306"/>
      <c r="J14" s="282">
        <v>913.17</v>
      </c>
      <c r="K14" s="282">
        <v>246.7</v>
      </c>
      <c r="L14" s="415"/>
      <c r="M14" s="414">
        <v>1101</v>
      </c>
      <c r="N14" s="284">
        <v>778</v>
      </c>
      <c r="O14" s="284"/>
      <c r="P14" s="284">
        <v>2255</v>
      </c>
      <c r="Q14" s="284">
        <v>678</v>
      </c>
      <c r="R14" s="284"/>
      <c r="S14" s="298">
        <f t="shared" si="0"/>
        <v>1834.21</v>
      </c>
      <c r="T14" s="299">
        <f t="shared" si="5"/>
        <v>4812</v>
      </c>
      <c r="U14" s="299">
        <f t="shared" si="6"/>
        <v>0.3811741479634248</v>
      </c>
      <c r="V14" s="287"/>
      <c r="W14" s="300"/>
      <c r="X14" s="270"/>
      <c r="Y14" s="300">
        <v>17.39</v>
      </c>
      <c r="Z14" s="282"/>
      <c r="AA14" s="383"/>
      <c r="AB14" s="300"/>
      <c r="AC14" s="300"/>
      <c r="AD14" s="300"/>
      <c r="AE14" s="300"/>
      <c r="AF14" s="300"/>
      <c r="AG14" s="300"/>
      <c r="AH14" s="300"/>
      <c r="AI14" s="300"/>
      <c r="AJ14" s="381">
        <f>SUM(V14:AH14)</f>
        <v>17.39</v>
      </c>
      <c r="AK14" s="301"/>
      <c r="AL14" s="301"/>
      <c r="AM14" s="301"/>
      <c r="AN14" s="301"/>
      <c r="AO14" s="301"/>
      <c r="AP14" s="301"/>
      <c r="AQ14" s="301"/>
      <c r="AR14" s="293">
        <f t="shared" si="2"/>
        <v>1851.6000000000001</v>
      </c>
      <c r="AS14" s="302">
        <f t="shared" si="9"/>
        <v>0</v>
      </c>
      <c r="AT14" s="396">
        <f t="shared" si="7"/>
        <v>45216.790000000015</v>
      </c>
    </row>
    <row r="15" spans="1:46" ht="13.5" customHeight="1">
      <c r="A15" s="295">
        <v>43774</v>
      </c>
      <c r="B15" s="310">
        <v>0.50600000000000001</v>
      </c>
      <c r="C15" s="296">
        <f t="shared" si="8"/>
        <v>43365.190000000017</v>
      </c>
      <c r="D15" s="304"/>
      <c r="E15" s="280"/>
      <c r="F15" s="305"/>
      <c r="G15" s="282">
        <v>347.21</v>
      </c>
      <c r="H15" s="282">
        <v>613.36</v>
      </c>
      <c r="I15" s="306"/>
      <c r="J15" s="282">
        <v>329.28</v>
      </c>
      <c r="K15" s="282">
        <v>827.85</v>
      </c>
      <c r="L15" s="415"/>
      <c r="M15" s="414">
        <v>666</v>
      </c>
      <c r="N15" s="284">
        <v>1586</v>
      </c>
      <c r="O15" s="284"/>
      <c r="P15" s="284">
        <v>785</v>
      </c>
      <c r="Q15" s="284">
        <v>1998</v>
      </c>
      <c r="R15" s="284"/>
      <c r="S15" s="298">
        <f t="shared" si="0"/>
        <v>2117.6999999999998</v>
      </c>
      <c r="T15" s="299">
        <f t="shared" si="5"/>
        <v>5035</v>
      </c>
      <c r="U15" s="299">
        <f t="shared" si="6"/>
        <v>0.42059582919563054</v>
      </c>
      <c r="V15" s="287"/>
      <c r="W15" s="300"/>
      <c r="X15" s="270">
        <v>18.940000000000001</v>
      </c>
      <c r="Y15" s="300"/>
      <c r="Z15" s="282"/>
      <c r="AA15" s="383"/>
      <c r="AB15" s="300"/>
      <c r="AC15" s="300"/>
      <c r="AD15" s="300"/>
      <c r="AE15" s="300"/>
      <c r="AF15" s="300"/>
      <c r="AG15" s="300"/>
      <c r="AH15" s="300"/>
      <c r="AI15" s="300"/>
      <c r="AJ15" s="381">
        <f>SUM(V15:AH15)</f>
        <v>18.940000000000001</v>
      </c>
      <c r="AK15" s="301"/>
      <c r="AL15" s="301"/>
      <c r="AM15" s="301"/>
      <c r="AN15" s="301"/>
      <c r="AO15" s="301"/>
      <c r="AP15" s="301"/>
      <c r="AQ15" s="301"/>
      <c r="AR15" s="293">
        <f t="shared" si="2"/>
        <v>2136.64</v>
      </c>
      <c r="AS15" s="302">
        <f t="shared" si="9"/>
        <v>0</v>
      </c>
      <c r="AT15" s="396">
        <f t="shared" si="7"/>
        <v>43365.190000000017</v>
      </c>
    </row>
    <row r="16" spans="1:46" ht="13.5" customHeight="1">
      <c r="A16" s="295">
        <v>43775</v>
      </c>
      <c r="B16" s="310">
        <v>0.312</v>
      </c>
      <c r="C16" s="296">
        <f t="shared" si="8"/>
        <v>41228.550000000017</v>
      </c>
      <c r="D16" s="304"/>
      <c r="E16" s="280"/>
      <c r="F16" s="305"/>
      <c r="G16" s="732">
        <v>658.71</v>
      </c>
      <c r="H16" s="282">
        <v>259.82</v>
      </c>
      <c r="I16" s="306"/>
      <c r="J16" s="282">
        <v>364.27</v>
      </c>
      <c r="K16" s="282">
        <v>343.76</v>
      </c>
      <c r="L16" s="415">
        <v>809.17</v>
      </c>
      <c r="M16" s="414">
        <v>1500</v>
      </c>
      <c r="N16" s="284">
        <v>772</v>
      </c>
      <c r="O16" s="284"/>
      <c r="P16" s="284">
        <v>886</v>
      </c>
      <c r="Q16" s="284">
        <v>832</v>
      </c>
      <c r="R16" s="284">
        <v>1430</v>
      </c>
      <c r="S16" s="298">
        <f t="shared" si="0"/>
        <v>2435.73</v>
      </c>
      <c r="T16" s="299">
        <f t="shared" si="5"/>
        <v>5420</v>
      </c>
      <c r="U16" s="299">
        <f t="shared" si="6"/>
        <v>0.4493966789667897</v>
      </c>
      <c r="V16" s="287">
        <v>77.319999999999993</v>
      </c>
      <c r="W16" s="300"/>
      <c r="X16" s="270">
        <v>14.76</v>
      </c>
      <c r="Y16" s="300">
        <v>3.14</v>
      </c>
      <c r="Z16" s="282">
        <v>47.11</v>
      </c>
      <c r="AA16" s="383"/>
      <c r="AB16" s="300"/>
      <c r="AC16" s="300"/>
      <c r="AD16" s="300"/>
      <c r="AE16" s="300"/>
      <c r="AF16" s="300"/>
      <c r="AG16" s="300"/>
      <c r="AH16" s="300"/>
      <c r="AI16" s="300"/>
      <c r="AJ16" s="381">
        <f>SUM(V16:AH16)</f>
        <v>142.32999999999998</v>
      </c>
      <c r="AK16" s="301"/>
      <c r="AL16" s="301"/>
      <c r="AM16" s="301"/>
      <c r="AN16" s="301"/>
      <c r="AO16" s="301"/>
      <c r="AP16" s="301"/>
      <c r="AQ16" s="301"/>
      <c r="AR16" s="293">
        <f t="shared" si="2"/>
        <v>2578.06</v>
      </c>
      <c r="AS16" s="302">
        <f t="shared" si="9"/>
        <v>0</v>
      </c>
      <c r="AT16" s="396">
        <f t="shared" si="7"/>
        <v>41228.550000000017</v>
      </c>
    </row>
    <row r="17" spans="1:46" ht="13.5" customHeight="1">
      <c r="A17" s="295">
        <v>43776</v>
      </c>
      <c r="B17" s="310">
        <v>0.19500000000000001</v>
      </c>
      <c r="C17" s="296">
        <f t="shared" si="8"/>
        <v>38650.49000000002</v>
      </c>
      <c r="D17" s="304"/>
      <c r="E17" s="280"/>
      <c r="F17" s="305"/>
      <c r="G17" s="282">
        <v>333.85</v>
      </c>
      <c r="H17" s="282">
        <v>544.20000000000005</v>
      </c>
      <c r="I17" s="306"/>
      <c r="J17" s="282">
        <v>227.76</v>
      </c>
      <c r="K17" s="282">
        <v>439.52</v>
      </c>
      <c r="L17" s="415">
        <v>684.63</v>
      </c>
      <c r="M17" s="414">
        <v>843</v>
      </c>
      <c r="N17" s="284">
        <v>1280</v>
      </c>
      <c r="O17" s="284"/>
      <c r="P17" s="284">
        <v>568</v>
      </c>
      <c r="Q17" s="284">
        <v>1027</v>
      </c>
      <c r="R17" s="284">
        <v>1620</v>
      </c>
      <c r="S17" s="298">
        <f t="shared" si="0"/>
        <v>2229.96</v>
      </c>
      <c r="T17" s="299">
        <f t="shared" si="5"/>
        <v>5338</v>
      </c>
      <c r="U17" s="299">
        <f t="shared" si="6"/>
        <v>0.41775196702884976</v>
      </c>
      <c r="V17" s="287"/>
      <c r="W17" s="300">
        <v>73.36</v>
      </c>
      <c r="X17" s="270">
        <v>20.059999999999999</v>
      </c>
      <c r="Y17" s="300"/>
      <c r="Z17" s="282">
        <v>35.9</v>
      </c>
      <c r="AA17" s="383"/>
      <c r="AB17" s="300"/>
      <c r="AC17" s="300"/>
      <c r="AD17" s="300"/>
      <c r="AE17" s="300"/>
      <c r="AF17" s="300"/>
      <c r="AG17" s="300"/>
      <c r="AH17" s="300">
        <v>112</v>
      </c>
      <c r="AI17" s="300"/>
      <c r="AJ17" s="381">
        <f t="shared" si="4"/>
        <v>241.32</v>
      </c>
      <c r="AK17" s="301"/>
      <c r="AL17" s="301"/>
      <c r="AM17" s="301"/>
      <c r="AN17" s="301"/>
      <c r="AO17" s="301"/>
      <c r="AP17" s="301"/>
      <c r="AQ17" s="301"/>
      <c r="AR17" s="293">
        <f t="shared" si="2"/>
        <v>2471.2800000000002</v>
      </c>
      <c r="AS17" s="302">
        <f t="shared" si="9"/>
        <v>0</v>
      </c>
      <c r="AT17" s="396">
        <f t="shared" si="7"/>
        <v>38650.49000000002</v>
      </c>
    </row>
    <row r="18" spans="1:46" ht="13.5" customHeight="1">
      <c r="A18" s="295">
        <v>43777</v>
      </c>
      <c r="B18" s="310">
        <v>0.16900000000000001</v>
      </c>
      <c r="C18" s="296">
        <f t="shared" si="8"/>
        <v>51179.210000000021</v>
      </c>
      <c r="D18" s="304">
        <v>15000</v>
      </c>
      <c r="E18" s="280">
        <v>15000</v>
      </c>
      <c r="F18" s="305"/>
      <c r="G18" s="282">
        <v>346.7</v>
      </c>
      <c r="H18" s="282">
        <v>486.73</v>
      </c>
      <c r="I18" s="306"/>
      <c r="J18" s="282">
        <v>456.19</v>
      </c>
      <c r="K18" s="282">
        <v>352.55</v>
      </c>
      <c r="L18" s="415">
        <v>458.28</v>
      </c>
      <c r="M18" s="414">
        <v>933</v>
      </c>
      <c r="N18" s="284">
        <v>1289</v>
      </c>
      <c r="O18" s="284"/>
      <c r="P18" s="284">
        <v>1160</v>
      </c>
      <c r="Q18" s="284">
        <v>861</v>
      </c>
      <c r="R18" s="284">
        <v>1427</v>
      </c>
      <c r="S18" s="298">
        <f t="shared" si="0"/>
        <v>2100.4499999999998</v>
      </c>
      <c r="T18" s="299">
        <f t="shared" si="5"/>
        <v>5670</v>
      </c>
      <c r="U18" s="299">
        <f t="shared" si="6"/>
        <v>0.37044973544973542</v>
      </c>
      <c r="V18" s="287">
        <v>59.93</v>
      </c>
      <c r="W18" s="300"/>
      <c r="X18" s="270">
        <v>19.87</v>
      </c>
      <c r="Y18" s="282">
        <v>27.3</v>
      </c>
      <c r="Z18" s="282"/>
      <c r="AA18" s="383"/>
      <c r="AB18" s="300"/>
      <c r="AC18" s="300"/>
      <c r="AD18" s="300">
        <v>51.95</v>
      </c>
      <c r="AE18" s="300"/>
      <c r="AF18" s="300"/>
      <c r="AG18" s="300"/>
      <c r="AH18" s="300"/>
      <c r="AI18" s="300"/>
      <c r="AJ18" s="381">
        <f t="shared" si="4"/>
        <v>159.05000000000001</v>
      </c>
      <c r="AK18" s="301"/>
      <c r="AL18" s="301"/>
      <c r="AM18" s="301"/>
      <c r="AN18" s="301"/>
      <c r="AO18" s="301"/>
      <c r="AP18" s="301"/>
      <c r="AQ18" s="301"/>
      <c r="AR18" s="293">
        <f t="shared" si="2"/>
        <v>2259.5</v>
      </c>
      <c r="AS18" s="302">
        <f t="shared" si="9"/>
        <v>0</v>
      </c>
      <c r="AT18" s="396">
        <f t="shared" si="7"/>
        <v>51179.210000000021</v>
      </c>
    </row>
    <row r="19" spans="1:46" ht="13.5" customHeight="1">
      <c r="A19" s="295">
        <v>43778</v>
      </c>
      <c r="B19" s="310">
        <v>0.16900000000000001</v>
      </c>
      <c r="C19" s="296">
        <f t="shared" si="8"/>
        <v>48919.710000000021</v>
      </c>
      <c r="D19" s="304"/>
      <c r="E19" s="280"/>
      <c r="F19" s="334"/>
      <c r="G19" s="282">
        <v>701.5</v>
      </c>
      <c r="H19" s="282">
        <v>316.45999999999998</v>
      </c>
      <c r="I19" s="306"/>
      <c r="J19" s="282">
        <v>490.37</v>
      </c>
      <c r="K19" s="282">
        <v>324.83</v>
      </c>
      <c r="L19" s="415">
        <v>297.01</v>
      </c>
      <c r="M19" s="414">
        <v>1804</v>
      </c>
      <c r="N19" s="284">
        <v>810</v>
      </c>
      <c r="O19" s="284"/>
      <c r="P19" s="284">
        <v>1362</v>
      </c>
      <c r="Q19" s="284">
        <v>789</v>
      </c>
      <c r="R19" s="284">
        <v>829</v>
      </c>
      <c r="S19" s="298">
        <f t="shared" si="0"/>
        <v>2130.17</v>
      </c>
      <c r="T19" s="299">
        <f t="shared" si="5"/>
        <v>5594</v>
      </c>
      <c r="U19" s="299">
        <f t="shared" si="6"/>
        <v>0.38079549517340011</v>
      </c>
      <c r="V19" s="287"/>
      <c r="W19" s="300">
        <v>24.92</v>
      </c>
      <c r="X19" s="270">
        <v>6</v>
      </c>
      <c r="Y19" s="300">
        <v>3.15</v>
      </c>
      <c r="Z19" s="282"/>
      <c r="AA19" s="383"/>
      <c r="AB19" s="300"/>
      <c r="AC19" s="300"/>
      <c r="AD19" s="300"/>
      <c r="AE19" s="300"/>
      <c r="AF19" s="300">
        <v>58.89</v>
      </c>
      <c r="AG19" s="300"/>
      <c r="AH19" s="300"/>
      <c r="AI19" s="300">
        <v>30</v>
      </c>
      <c r="AJ19" s="381">
        <f t="shared" si="4"/>
        <v>122.96000000000001</v>
      </c>
      <c r="AK19" s="301"/>
      <c r="AL19" s="292"/>
      <c r="AM19" s="301"/>
      <c r="AN19" s="308"/>
      <c r="AO19" s="308"/>
      <c r="AP19" s="308"/>
      <c r="AQ19" s="309"/>
      <c r="AR19" s="293">
        <f t="shared" si="2"/>
        <v>2253.13</v>
      </c>
      <c r="AS19" s="302">
        <f t="shared" si="9"/>
        <v>0</v>
      </c>
      <c r="AT19" s="396">
        <f t="shared" si="7"/>
        <v>48919.710000000021</v>
      </c>
    </row>
    <row r="20" spans="1:46" ht="14.25">
      <c r="A20" s="295">
        <v>43779</v>
      </c>
      <c r="B20" s="310">
        <v>0.46800000000000003</v>
      </c>
      <c r="C20" s="296">
        <f t="shared" si="8"/>
        <v>46666.580000000024</v>
      </c>
      <c r="D20" s="304"/>
      <c r="E20" s="280"/>
      <c r="F20" s="305"/>
      <c r="G20" s="282">
        <v>625.66</v>
      </c>
      <c r="H20" s="300">
        <v>406.99</v>
      </c>
      <c r="I20" s="306"/>
      <c r="J20" s="282">
        <v>612.95000000000005</v>
      </c>
      <c r="K20" s="282">
        <v>252.38</v>
      </c>
      <c r="L20" s="282">
        <v>343.82</v>
      </c>
      <c r="M20" s="414">
        <v>1570</v>
      </c>
      <c r="N20" s="284">
        <v>925</v>
      </c>
      <c r="O20" s="284"/>
      <c r="P20" s="284">
        <v>1499</v>
      </c>
      <c r="Q20" s="284">
        <v>597</v>
      </c>
      <c r="R20" s="417">
        <v>896</v>
      </c>
      <c r="S20" s="298">
        <f t="shared" si="0"/>
        <v>2241.8000000000002</v>
      </c>
      <c r="T20" s="299">
        <f t="shared" si="5"/>
        <v>5487</v>
      </c>
      <c r="U20" s="299">
        <f t="shared" si="6"/>
        <v>0.40856570074722076</v>
      </c>
      <c r="V20" s="287"/>
      <c r="W20" s="300">
        <v>47.53</v>
      </c>
      <c r="X20" s="270">
        <v>15.84</v>
      </c>
      <c r="Y20" s="300"/>
      <c r="Z20" s="282">
        <v>23.13</v>
      </c>
      <c r="AA20" s="383"/>
      <c r="AB20" s="300"/>
      <c r="AC20" s="300"/>
      <c r="AD20" s="300"/>
      <c r="AE20" s="300"/>
      <c r="AF20" s="300"/>
      <c r="AG20" s="300"/>
      <c r="AH20" s="300">
        <v>145</v>
      </c>
      <c r="AI20" s="300"/>
      <c r="AJ20" s="381">
        <f t="shared" si="4"/>
        <v>231.5</v>
      </c>
      <c r="AK20" s="301"/>
      <c r="AL20" s="292"/>
      <c r="AM20" s="301"/>
      <c r="AN20" s="308"/>
      <c r="AO20" s="308"/>
      <c r="AP20" s="308"/>
      <c r="AQ20" s="309"/>
      <c r="AR20" s="293">
        <f t="shared" si="2"/>
        <v>2473.3000000000002</v>
      </c>
      <c r="AS20" s="302">
        <f t="shared" si="9"/>
        <v>0</v>
      </c>
      <c r="AT20" s="396">
        <f t="shared" si="7"/>
        <v>46666.580000000024</v>
      </c>
    </row>
    <row r="21" spans="1:46" ht="14.25">
      <c r="A21" s="295">
        <v>43780</v>
      </c>
      <c r="B21" s="310">
        <v>0.94799999999999995</v>
      </c>
      <c r="C21" s="296">
        <f>SUM(C20-AR20+D21)</f>
        <v>44193.280000000021</v>
      </c>
      <c r="D21" s="304"/>
      <c r="E21" s="280"/>
      <c r="F21" s="305"/>
      <c r="G21" s="282">
        <v>420.92</v>
      </c>
      <c r="H21" s="300">
        <v>794.8</v>
      </c>
      <c r="I21" s="306"/>
      <c r="J21" s="282">
        <v>544.98</v>
      </c>
      <c r="K21" s="282">
        <v>313.85000000000002</v>
      </c>
      <c r="L21" s="415">
        <v>577.9</v>
      </c>
      <c r="M21" s="414">
        <v>1027</v>
      </c>
      <c r="N21" s="414">
        <v>1539</v>
      </c>
      <c r="O21" s="284"/>
      <c r="P21" s="284">
        <v>1347</v>
      </c>
      <c r="Q21" s="284">
        <v>1385</v>
      </c>
      <c r="R21" s="284">
        <v>1244</v>
      </c>
      <c r="S21" s="298">
        <f t="shared" si="0"/>
        <v>2652.4500000000003</v>
      </c>
      <c r="T21" s="299">
        <f t="shared" si="5"/>
        <v>6542</v>
      </c>
      <c r="U21" s="299">
        <f t="shared" si="6"/>
        <v>0.40544940385203304</v>
      </c>
      <c r="V21" s="287"/>
      <c r="W21" s="300"/>
      <c r="X21" s="270"/>
      <c r="Y21" s="300"/>
      <c r="Z21" s="282"/>
      <c r="AA21" s="383"/>
      <c r="AB21" s="300"/>
      <c r="AC21" s="300"/>
      <c r="AD21" s="300"/>
      <c r="AE21" s="300"/>
      <c r="AF21" s="300"/>
      <c r="AG21" s="300"/>
      <c r="AH21" s="300"/>
      <c r="AI21" s="300"/>
      <c r="AJ21" s="381">
        <f t="shared" si="4"/>
        <v>0</v>
      </c>
      <c r="AK21" s="291"/>
      <c r="AL21" s="292"/>
      <c r="AM21" s="301"/>
      <c r="AN21" s="308"/>
      <c r="AO21" s="308"/>
      <c r="AP21" s="308"/>
      <c r="AQ21" s="309"/>
      <c r="AR21" s="293">
        <f>SUM(AJ21+S21)</f>
        <v>2652.4500000000003</v>
      </c>
      <c r="AS21" s="302">
        <f t="shared" si="9"/>
        <v>0</v>
      </c>
      <c r="AT21" s="396">
        <f t="shared" si="7"/>
        <v>44193.280000000021</v>
      </c>
    </row>
    <row r="22" spans="1:46" ht="14.25">
      <c r="A22" s="295">
        <v>43781</v>
      </c>
      <c r="B22" s="310">
        <v>0.93500000000000005</v>
      </c>
      <c r="C22" s="296">
        <f>SUM(C21-AR21+D22)</f>
        <v>41540.830000000024</v>
      </c>
      <c r="D22" s="304"/>
      <c r="E22" s="280"/>
      <c r="F22" s="305"/>
      <c r="G22" s="282">
        <v>539.74</v>
      </c>
      <c r="H22" s="300">
        <v>582.75</v>
      </c>
      <c r="I22" s="306"/>
      <c r="J22" s="282">
        <v>655.75</v>
      </c>
      <c r="K22" s="282">
        <v>446.35</v>
      </c>
      <c r="L22" s="415">
        <v>362.87</v>
      </c>
      <c r="M22" s="414">
        <v>1566</v>
      </c>
      <c r="N22" s="284">
        <v>1414</v>
      </c>
      <c r="O22" s="284"/>
      <c r="P22" s="284">
        <v>1734</v>
      </c>
      <c r="Q22" s="284">
        <v>1101</v>
      </c>
      <c r="R22" s="284">
        <v>852</v>
      </c>
      <c r="S22" s="298">
        <f t="shared" si="0"/>
        <v>2587.46</v>
      </c>
      <c r="T22" s="299">
        <f t="shared" si="5"/>
        <v>6667</v>
      </c>
      <c r="U22" s="299">
        <f t="shared" si="6"/>
        <v>0.38809959502024899</v>
      </c>
      <c r="V22" s="287"/>
      <c r="W22" s="300">
        <v>1.67</v>
      </c>
      <c r="X22" s="270">
        <v>23.79</v>
      </c>
      <c r="Y22" s="300"/>
      <c r="Z22" s="282">
        <v>25.35</v>
      </c>
      <c r="AA22" s="383"/>
      <c r="AB22" s="300"/>
      <c r="AC22" s="300"/>
      <c r="AD22" s="300"/>
      <c r="AE22" s="300"/>
      <c r="AF22" s="300"/>
      <c r="AG22" s="300"/>
      <c r="AH22" s="300">
        <v>137</v>
      </c>
      <c r="AI22" s="300"/>
      <c r="AJ22" s="381">
        <f t="shared" si="4"/>
        <v>187.81</v>
      </c>
      <c r="AK22" s="291"/>
      <c r="AL22" s="292"/>
      <c r="AM22" s="301"/>
      <c r="AN22" s="308"/>
      <c r="AO22" s="308"/>
      <c r="AP22" s="308"/>
      <c r="AQ22" s="309"/>
      <c r="AR22" s="293">
        <f t="shared" si="2"/>
        <v>2775.27</v>
      </c>
      <c r="AS22" s="302">
        <f t="shared" si="9"/>
        <v>0</v>
      </c>
      <c r="AT22" s="396">
        <f t="shared" si="7"/>
        <v>41540.830000000024</v>
      </c>
    </row>
    <row r="23" spans="1:46" ht="14.25">
      <c r="A23" s="295">
        <v>43782</v>
      </c>
      <c r="B23" s="310">
        <v>0.48099999999999998</v>
      </c>
      <c r="C23" s="296">
        <f t="shared" si="8"/>
        <v>38765.560000000027</v>
      </c>
      <c r="D23" s="304"/>
      <c r="E23" s="280"/>
      <c r="F23" s="305"/>
      <c r="G23" s="282">
        <v>640.34</v>
      </c>
      <c r="H23" s="300">
        <v>424.4</v>
      </c>
      <c r="I23" s="306"/>
      <c r="J23" s="282">
        <v>411.89</v>
      </c>
      <c r="K23" s="282">
        <v>305.57</v>
      </c>
      <c r="L23" s="415">
        <v>447.28</v>
      </c>
      <c r="M23" s="414">
        <v>1433</v>
      </c>
      <c r="N23" s="284">
        <v>859</v>
      </c>
      <c r="O23" s="284"/>
      <c r="P23" s="284">
        <v>1684</v>
      </c>
      <c r="Q23" s="284">
        <v>1054</v>
      </c>
      <c r="R23" s="284">
        <v>830</v>
      </c>
      <c r="S23" s="298">
        <f t="shared" si="0"/>
        <v>2229.48</v>
      </c>
      <c r="T23" s="299">
        <f t="shared" si="5"/>
        <v>5860</v>
      </c>
      <c r="U23" s="299">
        <f t="shared" si="6"/>
        <v>0.38045733788395902</v>
      </c>
      <c r="V23" s="287"/>
      <c r="W23" s="300"/>
      <c r="X23" s="270">
        <v>12.79</v>
      </c>
      <c r="Y23" s="300">
        <v>48.34</v>
      </c>
      <c r="Z23" s="282">
        <v>22.18</v>
      </c>
      <c r="AA23" s="383"/>
      <c r="AB23" s="300"/>
      <c r="AC23" s="300"/>
      <c r="AD23" s="300"/>
      <c r="AE23" s="300"/>
      <c r="AF23" s="300"/>
      <c r="AG23" s="300"/>
      <c r="AH23" s="300">
        <v>367</v>
      </c>
      <c r="AI23" s="300"/>
      <c r="AJ23" s="381">
        <f t="shared" si="4"/>
        <v>450.31</v>
      </c>
      <c r="AK23" s="291"/>
      <c r="AL23" s="291"/>
      <c r="AM23" s="291"/>
      <c r="AN23" s="291"/>
      <c r="AO23" s="291"/>
      <c r="AP23" s="291"/>
      <c r="AQ23" s="291"/>
      <c r="AR23" s="293">
        <f t="shared" si="2"/>
        <v>2679.79</v>
      </c>
      <c r="AS23" s="302">
        <f t="shared" si="9"/>
        <v>0</v>
      </c>
      <c r="AT23" s="396">
        <f t="shared" si="7"/>
        <v>38765.560000000027</v>
      </c>
    </row>
    <row r="24" spans="1:46" ht="14.25">
      <c r="A24" s="295">
        <v>43783</v>
      </c>
      <c r="B24" s="310">
        <v>0.52600000000000002</v>
      </c>
      <c r="C24" s="296">
        <f t="shared" si="8"/>
        <v>36085.770000000026</v>
      </c>
      <c r="D24" s="304"/>
      <c r="E24" s="280"/>
      <c r="F24" s="305"/>
      <c r="G24" s="282">
        <v>359.79</v>
      </c>
      <c r="H24" s="300">
        <v>931.51</v>
      </c>
      <c r="I24" s="306"/>
      <c r="J24" s="282">
        <v>360.47</v>
      </c>
      <c r="K24" s="282">
        <v>324.06</v>
      </c>
      <c r="L24" s="415">
        <v>392.53</v>
      </c>
      <c r="M24" s="414">
        <v>879</v>
      </c>
      <c r="N24" s="414">
        <v>1678</v>
      </c>
      <c r="O24" s="284"/>
      <c r="P24" s="284">
        <v>872</v>
      </c>
      <c r="Q24" s="284">
        <v>860</v>
      </c>
      <c r="R24" s="284">
        <v>1574</v>
      </c>
      <c r="S24" s="298">
        <f t="shared" si="0"/>
        <v>2368.3599999999997</v>
      </c>
      <c r="T24" s="299">
        <f t="shared" si="5"/>
        <v>5863</v>
      </c>
      <c r="U24" s="299">
        <f t="shared" si="6"/>
        <v>0.40395019614531802</v>
      </c>
      <c r="V24" s="287"/>
      <c r="W24" s="300">
        <v>108.51</v>
      </c>
      <c r="X24" s="270">
        <v>11.2</v>
      </c>
      <c r="Y24" s="300"/>
      <c r="Z24" s="282">
        <v>46.9</v>
      </c>
      <c r="AA24" s="383"/>
      <c r="AB24" s="300"/>
      <c r="AC24" s="300"/>
      <c r="AD24" s="300"/>
      <c r="AE24" s="300"/>
      <c r="AF24" s="300"/>
      <c r="AG24" s="300"/>
      <c r="AH24" s="300">
        <v>117</v>
      </c>
      <c r="AI24" s="300"/>
      <c r="AJ24" s="381">
        <f t="shared" si="4"/>
        <v>283.61</v>
      </c>
      <c r="AK24" s="291"/>
      <c r="AL24" s="291"/>
      <c r="AM24" s="291"/>
      <c r="AN24" s="291"/>
      <c r="AO24" s="291"/>
      <c r="AP24" s="291"/>
      <c r="AQ24" s="291"/>
      <c r="AR24" s="293">
        <f t="shared" si="2"/>
        <v>2651.97</v>
      </c>
      <c r="AS24" s="302">
        <f t="shared" si="9"/>
        <v>0</v>
      </c>
      <c r="AT24" s="396">
        <f t="shared" si="7"/>
        <v>36085.770000000026</v>
      </c>
    </row>
    <row r="25" spans="1:46" ht="14.25">
      <c r="A25" s="295">
        <v>43784</v>
      </c>
      <c r="B25" s="310">
        <v>0.221</v>
      </c>
      <c r="C25" s="296">
        <f t="shared" si="8"/>
        <v>33433.800000000025</v>
      </c>
      <c r="D25" s="304"/>
      <c r="E25" s="280">
        <v>18000</v>
      </c>
      <c r="F25" s="305"/>
      <c r="G25" s="282">
        <v>330.65</v>
      </c>
      <c r="H25" s="300">
        <v>521.84</v>
      </c>
      <c r="I25" s="306"/>
      <c r="J25" s="282">
        <v>408.51</v>
      </c>
      <c r="K25" s="282">
        <v>398.92</v>
      </c>
      <c r="L25" s="415">
        <v>473.73</v>
      </c>
      <c r="M25" s="414">
        <v>1392</v>
      </c>
      <c r="N25" s="284">
        <v>803</v>
      </c>
      <c r="O25" s="284"/>
      <c r="P25" s="284">
        <v>1422</v>
      </c>
      <c r="Q25" s="284">
        <v>1000</v>
      </c>
      <c r="R25" s="284">
        <v>773</v>
      </c>
      <c r="S25" s="298">
        <f t="shared" si="0"/>
        <v>2133.65</v>
      </c>
      <c r="T25" s="299">
        <f t="shared" si="5"/>
        <v>5390</v>
      </c>
      <c r="U25" s="299">
        <f t="shared" si="6"/>
        <v>0.3958534322820037</v>
      </c>
      <c r="V25" s="287"/>
      <c r="W25" s="300"/>
      <c r="X25" s="270">
        <v>40.61</v>
      </c>
      <c r="Y25" s="300"/>
      <c r="Z25" s="282">
        <v>17.62</v>
      </c>
      <c r="AA25" s="383"/>
      <c r="AB25" s="300"/>
      <c r="AC25" s="300"/>
      <c r="AD25" s="300"/>
      <c r="AE25" s="300"/>
      <c r="AF25" s="300"/>
      <c r="AG25" s="300"/>
      <c r="AH25" s="300">
        <v>192</v>
      </c>
      <c r="AI25" s="300"/>
      <c r="AJ25" s="381">
        <f t="shared" si="4"/>
        <v>250.23000000000002</v>
      </c>
      <c r="AK25" s="291"/>
      <c r="AL25" s="291"/>
      <c r="AM25" s="291"/>
      <c r="AN25" s="291"/>
      <c r="AO25" s="291"/>
      <c r="AP25" s="291"/>
      <c r="AQ25" s="291"/>
      <c r="AR25" s="293">
        <f t="shared" si="2"/>
        <v>2383.88</v>
      </c>
      <c r="AS25" s="302">
        <f t="shared" si="9"/>
        <v>0</v>
      </c>
      <c r="AT25" s="396">
        <f t="shared" si="7"/>
        <v>33433.800000000025</v>
      </c>
    </row>
    <row r="26" spans="1:46" ht="14.25">
      <c r="A26" s="295">
        <v>43785</v>
      </c>
      <c r="B26" s="310">
        <v>0.156</v>
      </c>
      <c r="C26" s="296">
        <f t="shared" si="8"/>
        <v>49049.920000000027</v>
      </c>
      <c r="D26" s="304">
        <v>18000</v>
      </c>
      <c r="E26" s="280"/>
      <c r="F26" s="305"/>
      <c r="G26" s="282">
        <v>495.08</v>
      </c>
      <c r="H26" s="300">
        <v>377.86</v>
      </c>
      <c r="I26" s="306"/>
      <c r="J26" s="282">
        <v>480.31</v>
      </c>
      <c r="K26" s="282">
        <v>338.07</v>
      </c>
      <c r="L26" s="415">
        <v>407.8</v>
      </c>
      <c r="M26" s="414">
        <v>730</v>
      </c>
      <c r="N26" s="284">
        <v>1460</v>
      </c>
      <c r="O26" s="284"/>
      <c r="P26" s="284">
        <v>731</v>
      </c>
      <c r="Q26" s="284">
        <v>982</v>
      </c>
      <c r="R26" s="284">
        <v>1438</v>
      </c>
      <c r="S26" s="298">
        <f t="shared" si="0"/>
        <v>2099.12</v>
      </c>
      <c r="T26" s="299">
        <f t="shared" si="5"/>
        <v>5341</v>
      </c>
      <c r="U26" s="299">
        <f t="shared" si="6"/>
        <v>0.39302003370155397</v>
      </c>
      <c r="V26" s="287"/>
      <c r="W26" s="300">
        <v>64.02</v>
      </c>
      <c r="X26" s="270">
        <v>29.13</v>
      </c>
      <c r="Y26" s="300">
        <v>16.66</v>
      </c>
      <c r="Z26" s="300">
        <v>12.85</v>
      </c>
      <c r="AA26" s="383"/>
      <c r="AB26" s="300"/>
      <c r="AC26" s="300"/>
      <c r="AD26" s="300"/>
      <c r="AE26" s="300"/>
      <c r="AF26" s="300"/>
      <c r="AG26" s="300"/>
      <c r="AH26" s="300">
        <v>60</v>
      </c>
      <c r="AI26" s="300"/>
      <c r="AJ26" s="381">
        <f t="shared" si="4"/>
        <v>182.65999999999997</v>
      </c>
      <c r="AK26" s="291"/>
      <c r="AL26" s="291"/>
      <c r="AM26" s="291"/>
      <c r="AN26" s="291"/>
      <c r="AO26" s="291"/>
      <c r="AP26" s="291"/>
      <c r="AQ26" s="291"/>
      <c r="AR26" s="293">
        <f t="shared" si="2"/>
        <v>2281.7799999999997</v>
      </c>
      <c r="AS26" s="302">
        <f t="shared" si="9"/>
        <v>0</v>
      </c>
      <c r="AT26" s="396">
        <f t="shared" si="7"/>
        <v>49049.920000000027</v>
      </c>
    </row>
    <row r="27" spans="1:46" ht="14.25">
      <c r="A27" s="295">
        <v>43786</v>
      </c>
      <c r="B27" s="310">
        <v>0.623</v>
      </c>
      <c r="C27" s="296">
        <f t="shared" si="8"/>
        <v>46768.140000000029</v>
      </c>
      <c r="D27" s="304"/>
      <c r="E27" s="280"/>
      <c r="F27" s="305"/>
      <c r="G27" s="282">
        <v>405.97</v>
      </c>
      <c r="H27" s="300">
        <v>562.37</v>
      </c>
      <c r="I27" s="306"/>
      <c r="J27" s="282">
        <v>431.95</v>
      </c>
      <c r="K27" s="282">
        <v>439.29</v>
      </c>
      <c r="L27" s="415">
        <v>555.11</v>
      </c>
      <c r="M27" s="414">
        <v>1074</v>
      </c>
      <c r="N27" s="284">
        <v>1342</v>
      </c>
      <c r="O27" s="284"/>
      <c r="P27" s="284">
        <v>1015</v>
      </c>
      <c r="Q27" s="284">
        <v>1143</v>
      </c>
      <c r="R27" s="284">
        <v>1298</v>
      </c>
      <c r="S27" s="298">
        <f t="shared" si="0"/>
        <v>2394.69</v>
      </c>
      <c r="T27" s="299">
        <f t="shared" si="5"/>
        <v>5872</v>
      </c>
      <c r="U27" s="299">
        <f t="shared" si="6"/>
        <v>0.40781505449591282</v>
      </c>
      <c r="V27" s="287"/>
      <c r="W27" s="300"/>
      <c r="X27" s="270">
        <v>38.380000000000003</v>
      </c>
      <c r="Y27" s="300"/>
      <c r="Z27" s="282"/>
      <c r="AA27" s="383"/>
      <c r="AB27" s="300"/>
      <c r="AC27" s="300"/>
      <c r="AD27" s="300"/>
      <c r="AE27" s="300"/>
      <c r="AF27" s="300"/>
      <c r="AG27" s="300"/>
      <c r="AH27" s="300">
        <v>91</v>
      </c>
      <c r="AI27" s="300"/>
      <c r="AJ27" s="381">
        <f t="shared" si="4"/>
        <v>129.38</v>
      </c>
      <c r="AK27" s="291"/>
      <c r="AL27" s="291"/>
      <c r="AM27" s="291"/>
      <c r="AN27" s="291"/>
      <c r="AO27" s="291"/>
      <c r="AP27" s="291"/>
      <c r="AQ27" s="291"/>
      <c r="AR27" s="293">
        <f t="shared" si="2"/>
        <v>2524.0700000000002</v>
      </c>
      <c r="AS27" s="302">
        <f t="shared" si="9"/>
        <v>0</v>
      </c>
      <c r="AT27" s="396">
        <f t="shared" si="7"/>
        <v>46768.140000000029</v>
      </c>
    </row>
    <row r="28" spans="1:46" ht="14.25">
      <c r="A28" s="295">
        <v>43787</v>
      </c>
      <c r="B28" s="310">
        <v>0.51900000000000002</v>
      </c>
      <c r="C28" s="296">
        <f>SUM(C27-AR27+D28)</f>
        <v>44244.070000000029</v>
      </c>
      <c r="D28" s="304"/>
      <c r="E28" s="280"/>
      <c r="F28" s="281"/>
      <c r="G28" s="282">
        <v>430.07</v>
      </c>
      <c r="H28" s="300">
        <v>472.35</v>
      </c>
      <c r="I28" s="283"/>
      <c r="J28" s="282">
        <v>548.03</v>
      </c>
      <c r="K28" s="282">
        <v>348.64</v>
      </c>
      <c r="L28" s="415">
        <v>473.31</v>
      </c>
      <c r="M28" s="414">
        <v>941</v>
      </c>
      <c r="N28" s="284">
        <v>1146</v>
      </c>
      <c r="O28" s="284"/>
      <c r="P28" s="284">
        <v>1364</v>
      </c>
      <c r="Q28" s="284">
        <v>899</v>
      </c>
      <c r="R28" s="284">
        <v>1127</v>
      </c>
      <c r="S28" s="298">
        <f t="shared" si="0"/>
        <v>2272.4</v>
      </c>
      <c r="T28" s="299">
        <f t="shared" si="5"/>
        <v>5477</v>
      </c>
      <c r="U28" s="299">
        <f t="shared" si="6"/>
        <v>0.41489866715355123</v>
      </c>
      <c r="V28" s="287"/>
      <c r="W28" s="300">
        <v>12.21</v>
      </c>
      <c r="X28" s="270"/>
      <c r="Y28" s="300">
        <v>33.520000000000003</v>
      </c>
      <c r="Z28" s="282">
        <v>66.66</v>
      </c>
      <c r="AA28" s="383"/>
      <c r="AB28" s="300"/>
      <c r="AC28" s="300"/>
      <c r="AD28" s="300"/>
      <c r="AE28" s="300"/>
      <c r="AF28" s="300"/>
      <c r="AG28" s="300"/>
      <c r="AH28" s="300">
        <v>48</v>
      </c>
      <c r="AI28" s="300"/>
      <c r="AJ28" s="381">
        <f>SUM(V28:AI28)</f>
        <v>160.38999999999999</v>
      </c>
      <c r="AK28" s="291"/>
      <c r="AL28" s="291"/>
      <c r="AM28" s="291"/>
      <c r="AN28" s="291"/>
      <c r="AO28" s="291"/>
      <c r="AP28" s="291"/>
      <c r="AQ28" s="291"/>
      <c r="AR28" s="293">
        <f t="shared" si="2"/>
        <v>2432.79</v>
      </c>
      <c r="AS28" s="302">
        <f t="shared" si="9"/>
        <v>0</v>
      </c>
      <c r="AT28" s="396">
        <f t="shared" si="7"/>
        <v>44244.070000000029</v>
      </c>
    </row>
    <row r="29" spans="1:46" ht="14.25">
      <c r="A29" s="295">
        <v>43788</v>
      </c>
      <c r="B29" s="310">
        <v>9.0999999999999998E-2</v>
      </c>
      <c r="C29" s="296">
        <f t="shared" si="8"/>
        <v>41811.280000000028</v>
      </c>
      <c r="D29" s="304"/>
      <c r="E29" s="280"/>
      <c r="F29" s="281"/>
      <c r="G29" s="282">
        <v>150.24</v>
      </c>
      <c r="H29" s="300">
        <v>552.04999999999995</v>
      </c>
      <c r="I29" s="283"/>
      <c r="J29" s="282">
        <v>162.24</v>
      </c>
      <c r="K29" s="282">
        <v>544.33000000000004</v>
      </c>
      <c r="L29" s="415">
        <v>444.44</v>
      </c>
      <c r="M29" s="414">
        <v>706</v>
      </c>
      <c r="N29" s="284">
        <v>1092</v>
      </c>
      <c r="O29" s="284"/>
      <c r="P29" s="284">
        <v>701</v>
      </c>
      <c r="Q29" s="284">
        <v>1383</v>
      </c>
      <c r="R29" s="284">
        <v>1010</v>
      </c>
      <c r="S29" s="298">
        <f t="shared" si="0"/>
        <v>1853.3000000000002</v>
      </c>
      <c r="T29" s="299">
        <f>SUM(M29:R29)</f>
        <v>4892</v>
      </c>
      <c r="U29" s="299">
        <f t="shared" si="6"/>
        <v>0.37884300899427642</v>
      </c>
      <c r="V29" s="287"/>
      <c r="W29" s="300">
        <v>72.44</v>
      </c>
      <c r="X29" s="270"/>
      <c r="Y29" s="300"/>
      <c r="Z29" s="300">
        <v>35.29</v>
      </c>
      <c r="AA29" s="383"/>
      <c r="AB29" s="300"/>
      <c r="AC29" s="300"/>
      <c r="AD29" s="300"/>
      <c r="AE29" s="300"/>
      <c r="AF29" s="300"/>
      <c r="AG29" s="300"/>
      <c r="AH29" s="300"/>
      <c r="AI29" s="300"/>
      <c r="AJ29" s="381">
        <f t="shared" si="4"/>
        <v>107.72999999999999</v>
      </c>
      <c r="AK29" s="291"/>
      <c r="AL29" s="291"/>
      <c r="AM29" s="291"/>
      <c r="AN29" s="291"/>
      <c r="AO29" s="291"/>
      <c r="AP29" s="291"/>
      <c r="AQ29" s="291"/>
      <c r="AR29" s="293">
        <f t="shared" si="2"/>
        <v>1961.0300000000002</v>
      </c>
      <c r="AS29" s="302">
        <f t="shared" si="9"/>
        <v>0</v>
      </c>
      <c r="AT29" s="396">
        <f t="shared" si="7"/>
        <v>41811.280000000028</v>
      </c>
    </row>
    <row r="30" spans="1:46" ht="14.25">
      <c r="A30" s="295">
        <v>43789</v>
      </c>
      <c r="B30" s="310">
        <v>0.11700000000000001</v>
      </c>
      <c r="C30" s="296">
        <f t="shared" si="8"/>
        <v>39850.250000000029</v>
      </c>
      <c r="D30" s="304"/>
      <c r="E30" s="280"/>
      <c r="F30" s="281"/>
      <c r="G30" s="282">
        <v>120.14</v>
      </c>
      <c r="H30" s="300">
        <v>269.44</v>
      </c>
      <c r="I30" s="283"/>
      <c r="J30" s="282">
        <v>737.4</v>
      </c>
      <c r="K30" s="282">
        <v>257.20999999999998</v>
      </c>
      <c r="L30" s="415">
        <v>460.43</v>
      </c>
      <c r="M30" s="414">
        <v>284</v>
      </c>
      <c r="N30" s="284">
        <v>560</v>
      </c>
      <c r="O30" s="284"/>
      <c r="P30" s="284">
        <v>1846</v>
      </c>
      <c r="Q30" s="284">
        <v>603</v>
      </c>
      <c r="R30" s="284">
        <v>900</v>
      </c>
      <c r="S30" s="298">
        <f t="shared" si="0"/>
        <v>1844.6200000000001</v>
      </c>
      <c r="T30" s="299">
        <f t="shared" si="5"/>
        <v>4193</v>
      </c>
      <c r="U30" s="299">
        <f t="shared" si="6"/>
        <v>0.4399284521822085</v>
      </c>
      <c r="V30" s="287"/>
      <c r="W30" s="300"/>
      <c r="X30" s="270"/>
      <c r="Y30" s="300"/>
      <c r="Z30" s="282">
        <v>21</v>
      </c>
      <c r="AA30" s="383"/>
      <c r="AB30" s="300"/>
      <c r="AC30" s="300">
        <v>63.19</v>
      </c>
      <c r="AD30" s="300"/>
      <c r="AE30" s="300"/>
      <c r="AF30" s="300"/>
      <c r="AG30" s="300"/>
      <c r="AH30" s="300"/>
      <c r="AI30" s="300"/>
      <c r="AJ30" s="381">
        <f t="shared" si="4"/>
        <v>84.19</v>
      </c>
      <c r="AK30" s="291"/>
      <c r="AL30" s="291"/>
      <c r="AM30" s="291"/>
      <c r="AN30" s="291"/>
      <c r="AO30" s="291"/>
      <c r="AP30" s="291"/>
      <c r="AQ30" s="291"/>
      <c r="AR30" s="293">
        <f t="shared" si="2"/>
        <v>1928.8100000000002</v>
      </c>
      <c r="AS30" s="302">
        <f t="shared" si="9"/>
        <v>0</v>
      </c>
      <c r="AT30" s="396">
        <f t="shared" si="7"/>
        <v>39850.250000000029</v>
      </c>
    </row>
    <row r="31" spans="1:46" ht="14.25">
      <c r="A31" s="295">
        <v>43790</v>
      </c>
      <c r="B31" s="310">
        <v>0.13</v>
      </c>
      <c r="C31" s="296">
        <f t="shared" si="8"/>
        <v>37921.440000000031</v>
      </c>
      <c r="D31" s="304"/>
      <c r="E31" s="280"/>
      <c r="F31" s="281"/>
      <c r="G31" s="282">
        <v>109.83</v>
      </c>
      <c r="H31" s="300">
        <v>352.04</v>
      </c>
      <c r="I31" s="283"/>
      <c r="J31" s="282">
        <v>471.39</v>
      </c>
      <c r="K31" s="282">
        <v>280.01</v>
      </c>
      <c r="L31" s="415">
        <v>343.93</v>
      </c>
      <c r="M31" s="414">
        <v>236</v>
      </c>
      <c r="N31" s="284">
        <v>995</v>
      </c>
      <c r="O31" s="284"/>
      <c r="P31" s="284">
        <v>1357</v>
      </c>
      <c r="Q31" s="284">
        <v>781</v>
      </c>
      <c r="R31" s="284">
        <v>942</v>
      </c>
      <c r="S31" s="298">
        <f t="shared" si="0"/>
        <v>1557.2</v>
      </c>
      <c r="T31" s="299">
        <f t="shared" si="5"/>
        <v>4311</v>
      </c>
      <c r="U31" s="299">
        <f t="shared" si="6"/>
        <v>0.3612154952447228</v>
      </c>
      <c r="V31" s="287"/>
      <c r="W31" s="300"/>
      <c r="X31" s="270">
        <v>38.159999999999997</v>
      </c>
      <c r="Y31" s="300"/>
      <c r="Z31" s="282"/>
      <c r="AA31" s="383"/>
      <c r="AB31" s="300"/>
      <c r="AC31" s="300"/>
      <c r="AD31" s="300"/>
      <c r="AE31" s="300"/>
      <c r="AF31" s="300"/>
      <c r="AG31" s="300"/>
      <c r="AH31" s="300"/>
      <c r="AI31" s="300"/>
      <c r="AJ31" s="381">
        <f t="shared" si="4"/>
        <v>38.159999999999997</v>
      </c>
      <c r="AK31" s="291"/>
      <c r="AL31" s="291"/>
      <c r="AM31" s="291"/>
      <c r="AN31" s="291"/>
      <c r="AO31" s="291"/>
      <c r="AP31" s="291"/>
      <c r="AQ31" s="291"/>
      <c r="AR31" s="293">
        <f t="shared" si="2"/>
        <v>1595.3600000000001</v>
      </c>
      <c r="AS31" s="302">
        <f t="shared" si="9"/>
        <v>0</v>
      </c>
      <c r="AT31" s="396">
        <f t="shared" si="7"/>
        <v>37921.440000000031</v>
      </c>
    </row>
    <row r="32" spans="1:46" ht="14.25">
      <c r="A32" s="295">
        <v>43791</v>
      </c>
      <c r="B32" s="310">
        <v>0.14299999999999999</v>
      </c>
      <c r="C32" s="296">
        <f t="shared" si="8"/>
        <v>36326.080000000031</v>
      </c>
      <c r="D32" s="304"/>
      <c r="E32" s="280"/>
      <c r="F32" s="281"/>
      <c r="G32" s="282">
        <v>594.05999999999995</v>
      </c>
      <c r="H32" s="300">
        <v>318.87</v>
      </c>
      <c r="I32" s="283"/>
      <c r="J32" s="282">
        <v>212.62</v>
      </c>
      <c r="K32" s="282">
        <v>340.4</v>
      </c>
      <c r="L32" s="415">
        <v>356.94</v>
      </c>
      <c r="M32" s="414">
        <v>1405</v>
      </c>
      <c r="N32" s="284">
        <v>773</v>
      </c>
      <c r="O32" s="284"/>
      <c r="P32" s="284">
        <v>472</v>
      </c>
      <c r="Q32" s="284">
        <v>804</v>
      </c>
      <c r="R32" s="284">
        <v>869</v>
      </c>
      <c r="S32" s="298">
        <f t="shared" si="0"/>
        <v>1822.8899999999999</v>
      </c>
      <c r="T32" s="299">
        <f t="shared" si="5"/>
        <v>4323</v>
      </c>
      <c r="U32" s="299">
        <f t="shared" si="6"/>
        <v>0.42167244968771683</v>
      </c>
      <c r="V32" s="287"/>
      <c r="W32" s="300">
        <v>73.83</v>
      </c>
      <c r="X32" s="270"/>
      <c r="Y32" s="300">
        <v>12.51</v>
      </c>
      <c r="Z32" s="282"/>
      <c r="AA32" s="383"/>
      <c r="AB32" s="300"/>
      <c r="AC32" s="300"/>
      <c r="AD32" s="300"/>
      <c r="AE32" s="300"/>
      <c r="AF32" s="300"/>
      <c r="AG32" s="300"/>
      <c r="AH32" s="300"/>
      <c r="AI32" s="300"/>
      <c r="AJ32" s="381">
        <f t="shared" si="4"/>
        <v>86.34</v>
      </c>
      <c r="AK32" s="291"/>
      <c r="AL32" s="291"/>
      <c r="AM32" s="291"/>
      <c r="AN32" s="291"/>
      <c r="AO32" s="291"/>
      <c r="AP32" s="291"/>
      <c r="AQ32" s="291"/>
      <c r="AR32" s="293">
        <f t="shared" si="2"/>
        <v>1909.2299999999998</v>
      </c>
      <c r="AS32" s="302">
        <f t="shared" si="9"/>
        <v>0</v>
      </c>
      <c r="AT32" s="396">
        <f t="shared" si="7"/>
        <v>36326.080000000031</v>
      </c>
    </row>
    <row r="33" spans="1:47" ht="14.25">
      <c r="A33" s="295">
        <v>43792</v>
      </c>
      <c r="B33" s="310">
        <v>0.16900000000000001</v>
      </c>
      <c r="C33" s="296">
        <f t="shared" si="8"/>
        <v>34416.850000000028</v>
      </c>
      <c r="D33" s="304"/>
      <c r="E33" s="280">
        <v>15000</v>
      </c>
      <c r="F33" s="281"/>
      <c r="G33" s="282"/>
      <c r="H33" s="300"/>
      <c r="I33" s="283"/>
      <c r="J33" s="282"/>
      <c r="K33" s="282"/>
      <c r="L33" s="415"/>
      <c r="M33" s="414"/>
      <c r="N33" s="284"/>
      <c r="O33" s="284"/>
      <c r="P33" s="284"/>
      <c r="Q33" s="284"/>
      <c r="R33" s="284"/>
      <c r="S33" s="298">
        <f t="shared" si="0"/>
        <v>0</v>
      </c>
      <c r="T33" s="299">
        <f>SUM(M33:R33)</f>
        <v>0</v>
      </c>
      <c r="U33" s="299" t="e">
        <f t="shared" si="6"/>
        <v>#DIV/0!</v>
      </c>
      <c r="V33" s="287"/>
      <c r="W33" s="300"/>
      <c r="X33" s="270"/>
      <c r="Y33" s="300"/>
      <c r="Z33" s="282"/>
      <c r="AA33" s="383"/>
      <c r="AB33" s="300"/>
      <c r="AC33" s="300"/>
      <c r="AD33" s="300"/>
      <c r="AE33" s="300"/>
      <c r="AF33" s="300"/>
      <c r="AG33" s="300"/>
      <c r="AH33" s="300"/>
      <c r="AI33" s="300"/>
      <c r="AJ33" s="381">
        <f t="shared" si="4"/>
        <v>0</v>
      </c>
      <c r="AK33" s="291"/>
      <c r="AL33" s="291"/>
      <c r="AM33" s="291"/>
      <c r="AN33" s="291"/>
      <c r="AO33" s="291"/>
      <c r="AP33" s="291"/>
      <c r="AQ33" s="291"/>
      <c r="AR33" s="293">
        <f t="shared" si="2"/>
        <v>0</v>
      </c>
      <c r="AS33" s="302">
        <f t="shared" si="9"/>
        <v>0</v>
      </c>
      <c r="AT33" s="396">
        <f t="shared" si="7"/>
        <v>34416.850000000028</v>
      </c>
      <c r="AU33" s="248">
        <f t="shared" ref="AU33:AU41" si="10">SUM(AU32)</f>
        <v>0</v>
      </c>
    </row>
    <row r="34" spans="1:47" ht="14.25">
      <c r="A34" s="295">
        <v>43793</v>
      </c>
      <c r="B34" s="310"/>
      <c r="C34" s="296">
        <f t="shared" si="8"/>
        <v>34416.850000000028</v>
      </c>
      <c r="D34" s="304"/>
      <c r="E34" s="280"/>
      <c r="F34" s="281"/>
      <c r="G34" s="282"/>
      <c r="H34" s="300"/>
      <c r="I34" s="283"/>
      <c r="J34" s="282"/>
      <c r="K34" s="282"/>
      <c r="L34" s="415"/>
      <c r="M34" s="414"/>
      <c r="N34" s="284"/>
      <c r="O34" s="284"/>
      <c r="P34" s="284"/>
      <c r="Q34" s="284"/>
      <c r="R34" s="284"/>
      <c r="S34" s="298">
        <f t="shared" si="0"/>
        <v>0</v>
      </c>
      <c r="T34" s="299">
        <f t="shared" si="5"/>
        <v>0</v>
      </c>
      <c r="U34" s="299" t="e">
        <f t="shared" si="6"/>
        <v>#DIV/0!</v>
      </c>
      <c r="V34" s="287"/>
      <c r="W34" s="300"/>
      <c r="X34" s="270"/>
      <c r="Y34" s="300"/>
      <c r="Z34" s="282"/>
      <c r="AA34" s="383"/>
      <c r="AB34" s="300"/>
      <c r="AC34" s="300"/>
      <c r="AD34" s="300"/>
      <c r="AE34" s="300"/>
      <c r="AF34" s="300"/>
      <c r="AG34" s="300"/>
      <c r="AH34" s="300"/>
      <c r="AI34" s="300"/>
      <c r="AJ34" s="381">
        <f t="shared" si="4"/>
        <v>0</v>
      </c>
      <c r="AK34" s="291"/>
      <c r="AL34" s="291"/>
      <c r="AM34" s="291"/>
      <c r="AN34" s="291"/>
      <c r="AO34" s="291"/>
      <c r="AP34" s="291"/>
      <c r="AQ34" s="291"/>
      <c r="AR34" s="293">
        <f t="shared" si="2"/>
        <v>0</v>
      </c>
      <c r="AS34" s="302">
        <f t="shared" si="9"/>
        <v>0</v>
      </c>
      <c r="AT34" s="396">
        <f t="shared" si="7"/>
        <v>34416.850000000028</v>
      </c>
      <c r="AU34" s="248">
        <f t="shared" si="10"/>
        <v>0</v>
      </c>
    </row>
    <row r="35" spans="1:47" ht="14.25">
      <c r="A35" s="295">
        <v>43794</v>
      </c>
      <c r="B35" s="310"/>
      <c r="C35" s="296">
        <f t="shared" si="8"/>
        <v>34416.850000000028</v>
      </c>
      <c r="D35" s="304"/>
      <c r="E35" s="280"/>
      <c r="F35" s="281"/>
      <c r="G35" s="282"/>
      <c r="H35" s="300"/>
      <c r="I35" s="283"/>
      <c r="J35" s="282"/>
      <c r="K35" s="282"/>
      <c r="L35" s="415"/>
      <c r="M35" s="414"/>
      <c r="N35" s="284"/>
      <c r="O35" s="284"/>
      <c r="P35" s="284"/>
      <c r="Q35" s="284"/>
      <c r="R35" s="284"/>
      <c r="S35" s="298">
        <f t="shared" si="0"/>
        <v>0</v>
      </c>
      <c r="T35" s="299">
        <f t="shared" si="5"/>
        <v>0</v>
      </c>
      <c r="U35" s="299" t="e">
        <f t="shared" si="6"/>
        <v>#DIV/0!</v>
      </c>
      <c r="V35" s="287"/>
      <c r="W35" s="300"/>
      <c r="X35" s="270"/>
      <c r="Y35" s="300"/>
      <c r="Z35" s="282"/>
      <c r="AA35" s="383"/>
      <c r="AB35" s="300"/>
      <c r="AC35" s="300"/>
      <c r="AD35" s="300"/>
      <c r="AE35" s="300"/>
      <c r="AF35" s="300"/>
      <c r="AG35" s="300"/>
      <c r="AH35" s="300"/>
      <c r="AI35" s="300"/>
      <c r="AJ35" s="381">
        <f t="shared" si="4"/>
        <v>0</v>
      </c>
      <c r="AK35" s="291"/>
      <c r="AL35" s="291"/>
      <c r="AM35" s="291"/>
      <c r="AN35" s="291"/>
      <c r="AO35" s="291"/>
      <c r="AP35" s="291"/>
      <c r="AQ35" s="291"/>
      <c r="AR35" s="293">
        <f t="shared" si="2"/>
        <v>0</v>
      </c>
      <c r="AS35" s="302">
        <f t="shared" si="9"/>
        <v>0</v>
      </c>
      <c r="AT35" s="396">
        <f t="shared" si="7"/>
        <v>34416.850000000028</v>
      </c>
      <c r="AU35" s="248">
        <f t="shared" si="10"/>
        <v>0</v>
      </c>
    </row>
    <row r="36" spans="1:47" ht="14.25">
      <c r="A36" s="295">
        <v>43795</v>
      </c>
      <c r="B36" s="310"/>
      <c r="C36" s="296">
        <f t="shared" si="8"/>
        <v>34416.850000000028</v>
      </c>
      <c r="D36" s="304"/>
      <c r="E36" s="280"/>
      <c r="F36" s="281"/>
      <c r="G36" s="282"/>
      <c r="H36" s="300"/>
      <c r="I36" s="283"/>
      <c r="J36" s="282"/>
      <c r="K36" s="282"/>
      <c r="L36" s="415"/>
      <c r="M36" s="414"/>
      <c r="N36" s="284"/>
      <c r="O36" s="284"/>
      <c r="P36" s="284"/>
      <c r="Q36" s="284"/>
      <c r="R36" s="284"/>
      <c r="S36" s="298">
        <f t="shared" si="0"/>
        <v>0</v>
      </c>
      <c r="T36" s="299">
        <f t="shared" si="5"/>
        <v>0</v>
      </c>
      <c r="U36" s="299" t="e">
        <f t="shared" si="6"/>
        <v>#DIV/0!</v>
      </c>
      <c r="V36" s="287"/>
      <c r="W36" s="300"/>
      <c r="X36" s="270"/>
      <c r="Y36" s="300"/>
      <c r="Z36" s="282"/>
      <c r="AA36" s="383"/>
      <c r="AB36" s="300"/>
      <c r="AC36" s="300"/>
      <c r="AD36" s="300"/>
      <c r="AE36" s="300"/>
      <c r="AF36" s="300"/>
      <c r="AG36" s="300"/>
      <c r="AH36" s="300"/>
      <c r="AI36" s="300"/>
      <c r="AJ36" s="381">
        <f t="shared" si="4"/>
        <v>0</v>
      </c>
      <c r="AK36" s="291"/>
      <c r="AL36" s="291"/>
      <c r="AM36" s="291"/>
      <c r="AN36" s="291"/>
      <c r="AO36" s="291"/>
      <c r="AP36" s="291"/>
      <c r="AQ36" s="291"/>
      <c r="AR36" s="293">
        <f t="shared" si="2"/>
        <v>0</v>
      </c>
      <c r="AS36" s="302">
        <f t="shared" si="9"/>
        <v>0</v>
      </c>
      <c r="AT36" s="396">
        <f t="shared" si="7"/>
        <v>34416.850000000028</v>
      </c>
      <c r="AU36" s="248">
        <f t="shared" si="10"/>
        <v>0</v>
      </c>
    </row>
    <row r="37" spans="1:47" ht="14.25">
      <c r="A37" s="295">
        <v>43796</v>
      </c>
      <c r="B37" s="310"/>
      <c r="C37" s="296">
        <f t="shared" si="8"/>
        <v>34416.850000000028</v>
      </c>
      <c r="D37" s="304"/>
      <c r="E37" s="280"/>
      <c r="F37" s="281"/>
      <c r="G37" s="282"/>
      <c r="H37" s="300"/>
      <c r="I37" s="283"/>
      <c r="J37" s="282"/>
      <c r="K37" s="282"/>
      <c r="L37" s="415"/>
      <c r="M37" s="414"/>
      <c r="N37" s="284"/>
      <c r="O37" s="284"/>
      <c r="P37" s="284"/>
      <c r="Q37" s="284"/>
      <c r="R37" s="284"/>
      <c r="S37" s="298">
        <f t="shared" si="0"/>
        <v>0</v>
      </c>
      <c r="T37" s="299">
        <f t="shared" si="5"/>
        <v>0</v>
      </c>
      <c r="U37" s="299" t="e">
        <f t="shared" si="6"/>
        <v>#DIV/0!</v>
      </c>
      <c r="V37" s="287"/>
      <c r="W37" s="300"/>
      <c r="X37" s="270"/>
      <c r="Y37" s="300"/>
      <c r="Z37" s="282"/>
      <c r="AA37" s="383"/>
      <c r="AB37" s="300"/>
      <c r="AC37" s="300"/>
      <c r="AD37" s="300"/>
      <c r="AE37" s="300"/>
      <c r="AF37" s="300"/>
      <c r="AG37" s="679"/>
      <c r="AH37" s="300"/>
      <c r="AI37" s="578"/>
      <c r="AJ37" s="381">
        <f t="shared" si="4"/>
        <v>0</v>
      </c>
      <c r="AK37" s="291"/>
      <c r="AL37" s="291"/>
      <c r="AM37" s="291"/>
      <c r="AN37" s="291"/>
      <c r="AO37" s="291"/>
      <c r="AP37" s="291"/>
      <c r="AQ37" s="291"/>
      <c r="AR37" s="293">
        <f t="shared" si="2"/>
        <v>0</v>
      </c>
      <c r="AS37" s="302">
        <f t="shared" si="9"/>
        <v>0</v>
      </c>
      <c r="AT37" s="396">
        <f t="shared" si="7"/>
        <v>34416.850000000028</v>
      </c>
      <c r="AU37" s="248">
        <f t="shared" si="10"/>
        <v>0</v>
      </c>
    </row>
    <row r="38" spans="1:47" ht="14.25">
      <c r="A38" s="295">
        <v>43797</v>
      </c>
      <c r="B38" s="310"/>
      <c r="C38" s="296">
        <f t="shared" si="8"/>
        <v>34416.850000000028</v>
      </c>
      <c r="D38" s="304"/>
      <c r="E38" s="280"/>
      <c r="F38" s="281"/>
      <c r="G38" s="282"/>
      <c r="H38" s="300"/>
      <c r="I38" s="283"/>
      <c r="J38" s="282"/>
      <c r="K38" s="282"/>
      <c r="L38" s="415"/>
      <c r="M38" s="414"/>
      <c r="N38" s="284"/>
      <c r="O38" s="284"/>
      <c r="P38" s="284"/>
      <c r="Q38" s="284"/>
      <c r="R38" s="284"/>
      <c r="S38" s="298">
        <f t="shared" si="0"/>
        <v>0</v>
      </c>
      <c r="T38" s="299">
        <f t="shared" si="5"/>
        <v>0</v>
      </c>
      <c r="U38" s="299" t="e">
        <f t="shared" si="6"/>
        <v>#DIV/0!</v>
      </c>
      <c r="V38" s="287"/>
      <c r="W38" s="300"/>
      <c r="X38" s="270"/>
      <c r="Y38" s="300"/>
      <c r="Z38" s="282"/>
      <c r="AA38" s="383"/>
      <c r="AB38" s="300"/>
      <c r="AC38" s="300"/>
      <c r="AD38" s="300"/>
      <c r="AE38" s="300"/>
      <c r="AF38" s="300"/>
      <c r="AG38" s="679"/>
      <c r="AH38" s="300"/>
      <c r="AI38" s="578"/>
      <c r="AJ38" s="381">
        <f t="shared" si="4"/>
        <v>0</v>
      </c>
      <c r="AK38" s="291"/>
      <c r="AL38" s="291"/>
      <c r="AM38" s="291"/>
      <c r="AN38" s="291"/>
      <c r="AO38" s="291"/>
      <c r="AP38" s="291"/>
      <c r="AQ38" s="291"/>
      <c r="AR38" s="293">
        <f t="shared" si="2"/>
        <v>0</v>
      </c>
      <c r="AS38" s="302">
        <f t="shared" si="9"/>
        <v>0</v>
      </c>
      <c r="AT38" s="396">
        <f t="shared" si="7"/>
        <v>34416.850000000028</v>
      </c>
      <c r="AU38" s="248">
        <f t="shared" si="10"/>
        <v>0</v>
      </c>
    </row>
    <row r="39" spans="1:47" ht="14.25">
      <c r="A39" s="295">
        <v>43798</v>
      </c>
      <c r="B39" s="310"/>
      <c r="C39" s="296">
        <f t="shared" si="8"/>
        <v>34416.850000000028</v>
      </c>
      <c r="D39" s="304"/>
      <c r="E39" s="280"/>
      <c r="F39" s="281"/>
      <c r="G39" s="282"/>
      <c r="H39" s="300"/>
      <c r="I39" s="311"/>
      <c r="J39" s="282"/>
      <c r="K39" s="282"/>
      <c r="L39" s="415"/>
      <c r="M39" s="414"/>
      <c r="N39" s="284"/>
      <c r="O39" s="312"/>
      <c r="P39" s="284"/>
      <c r="Q39" s="284"/>
      <c r="R39" s="284"/>
      <c r="S39" s="298">
        <f t="shared" si="0"/>
        <v>0</v>
      </c>
      <c r="T39" s="299">
        <f t="shared" si="5"/>
        <v>0</v>
      </c>
      <c r="U39" s="299" t="e">
        <f t="shared" si="6"/>
        <v>#DIV/0!</v>
      </c>
      <c r="V39" s="287"/>
      <c r="W39" s="300"/>
      <c r="X39" s="270"/>
      <c r="Y39" s="300"/>
      <c r="Z39" s="282"/>
      <c r="AA39" s="383"/>
      <c r="AB39" s="300"/>
      <c r="AC39" s="300"/>
      <c r="AD39" s="300"/>
      <c r="AE39" s="300"/>
      <c r="AF39" s="300"/>
      <c r="AG39" s="679"/>
      <c r="AH39" s="300"/>
      <c r="AI39" s="578"/>
      <c r="AJ39" s="381">
        <f t="shared" si="4"/>
        <v>0</v>
      </c>
      <c r="AK39" s="291"/>
      <c r="AL39" s="291"/>
      <c r="AM39" s="291"/>
      <c r="AN39" s="291"/>
      <c r="AO39" s="291"/>
      <c r="AP39" s="291"/>
      <c r="AQ39" s="291"/>
      <c r="AR39" s="293">
        <f t="shared" si="2"/>
        <v>0</v>
      </c>
      <c r="AS39" s="302">
        <f t="shared" si="9"/>
        <v>0</v>
      </c>
      <c r="AT39" s="396">
        <f t="shared" si="7"/>
        <v>34416.850000000028</v>
      </c>
      <c r="AU39" s="248">
        <f t="shared" si="10"/>
        <v>0</v>
      </c>
    </row>
    <row r="40" spans="1:47" ht="14.25">
      <c r="A40" s="295">
        <v>43799</v>
      </c>
      <c r="B40" s="310"/>
      <c r="C40" s="296">
        <f t="shared" si="8"/>
        <v>34416.850000000028</v>
      </c>
      <c r="D40" s="304"/>
      <c r="E40" s="280">
        <v>18000</v>
      </c>
      <c r="F40" s="281"/>
      <c r="G40" s="282"/>
      <c r="H40" s="300"/>
      <c r="I40" s="283"/>
      <c r="J40" s="282"/>
      <c r="K40" s="282"/>
      <c r="L40" s="415"/>
      <c r="M40" s="414"/>
      <c r="N40" s="284"/>
      <c r="O40" s="284"/>
      <c r="P40" s="284"/>
      <c r="Q40" s="284"/>
      <c r="R40" s="284"/>
      <c r="S40" s="298">
        <f t="shared" si="0"/>
        <v>0</v>
      </c>
      <c r="T40" s="299">
        <f t="shared" si="5"/>
        <v>0</v>
      </c>
      <c r="U40" s="299" t="e">
        <f t="shared" si="6"/>
        <v>#DIV/0!</v>
      </c>
      <c r="V40" s="287"/>
      <c r="W40" s="300"/>
      <c r="X40" s="270"/>
      <c r="Y40" s="300"/>
      <c r="Z40" s="282"/>
      <c r="AA40" s="383"/>
      <c r="AB40" s="300"/>
      <c r="AC40" s="300"/>
      <c r="AD40" s="300"/>
      <c r="AE40" s="300"/>
      <c r="AF40" s="300"/>
      <c r="AG40" s="679"/>
      <c r="AH40" s="300"/>
      <c r="AI40" s="578"/>
      <c r="AJ40" s="381">
        <f t="shared" si="4"/>
        <v>0</v>
      </c>
      <c r="AK40" s="291"/>
      <c r="AL40" s="291"/>
      <c r="AM40" s="291"/>
      <c r="AN40" s="291"/>
      <c r="AO40" s="291"/>
      <c r="AP40" s="291"/>
      <c r="AQ40" s="291"/>
      <c r="AR40" s="293">
        <f t="shared" si="2"/>
        <v>0</v>
      </c>
      <c r="AS40" s="302">
        <f t="shared" si="9"/>
        <v>0</v>
      </c>
      <c r="AT40" s="396">
        <f t="shared" si="7"/>
        <v>34416.850000000028</v>
      </c>
      <c r="AU40" s="248">
        <f t="shared" si="10"/>
        <v>0</v>
      </c>
    </row>
    <row r="41" spans="1:47" ht="14.25">
      <c r="A41" s="295">
        <v>43800</v>
      </c>
      <c r="B41" s="310"/>
      <c r="C41" s="296">
        <f t="shared" si="8"/>
        <v>34416.850000000028</v>
      </c>
      <c r="D41" s="304"/>
      <c r="E41" s="280"/>
      <c r="F41" s="281"/>
      <c r="G41" s="282"/>
      <c r="H41" s="282"/>
      <c r="I41" s="282"/>
      <c r="J41" s="282"/>
      <c r="K41" s="282"/>
      <c r="L41" s="415"/>
      <c r="M41" s="414"/>
      <c r="N41" s="284"/>
      <c r="O41" s="284"/>
      <c r="P41" s="284"/>
      <c r="Q41" s="284"/>
      <c r="R41" s="284"/>
      <c r="S41" s="298">
        <f t="shared" si="0"/>
        <v>0</v>
      </c>
      <c r="T41" s="299">
        <f t="shared" si="5"/>
        <v>0</v>
      </c>
      <c r="U41" s="299" t="e">
        <f t="shared" si="6"/>
        <v>#DIV/0!</v>
      </c>
      <c r="V41" s="287"/>
      <c r="W41" s="300"/>
      <c r="X41" s="270"/>
      <c r="Y41" s="300"/>
      <c r="Z41" s="282"/>
      <c r="AA41" s="383"/>
      <c r="AB41" s="300"/>
      <c r="AC41" s="300"/>
      <c r="AD41" s="300"/>
      <c r="AE41" s="300"/>
      <c r="AF41" s="300"/>
      <c r="AG41" s="679"/>
      <c r="AH41" s="300"/>
      <c r="AI41" s="578"/>
      <c r="AJ41" s="381">
        <f t="shared" si="4"/>
        <v>0</v>
      </c>
      <c r="AK41" s="291"/>
      <c r="AL41" s="291"/>
      <c r="AM41" s="291"/>
      <c r="AN41" s="291"/>
      <c r="AO41" s="291"/>
      <c r="AP41" s="291"/>
      <c r="AQ41" s="291"/>
      <c r="AR41" s="293">
        <f t="shared" si="2"/>
        <v>0</v>
      </c>
      <c r="AS41" s="302">
        <f t="shared" si="9"/>
        <v>0</v>
      </c>
      <c r="AT41" s="396">
        <f t="shared" si="7"/>
        <v>34416.850000000028</v>
      </c>
      <c r="AU41" s="248">
        <f t="shared" si="10"/>
        <v>0</v>
      </c>
    </row>
    <row r="42" spans="1:47" ht="14.25">
      <c r="A42" s="295"/>
      <c r="B42" s="635"/>
      <c r="C42" s="296">
        <f t="shared" si="8"/>
        <v>34416.850000000028</v>
      </c>
      <c r="D42" s="279"/>
      <c r="E42" s="280"/>
      <c r="F42" s="281"/>
      <c r="G42" s="282"/>
      <c r="H42" s="282"/>
      <c r="I42" s="282"/>
      <c r="J42" s="282"/>
      <c r="K42" s="282"/>
      <c r="L42" s="415"/>
      <c r="M42" s="414"/>
      <c r="N42" s="284"/>
      <c r="O42" s="284"/>
      <c r="P42" s="284"/>
      <c r="Q42" s="284"/>
      <c r="R42" s="284"/>
      <c r="S42" s="298">
        <f t="shared" si="0"/>
        <v>0</v>
      </c>
      <c r="T42" s="299">
        <f t="shared" si="5"/>
        <v>0</v>
      </c>
      <c r="U42" s="313"/>
      <c r="V42" s="287"/>
      <c r="W42" s="300"/>
      <c r="X42" s="270"/>
      <c r="Y42" s="300"/>
      <c r="Z42" s="282"/>
      <c r="AA42" s="383"/>
      <c r="AB42" s="300"/>
      <c r="AC42" s="286"/>
      <c r="AD42" s="300"/>
      <c r="AE42" s="300"/>
      <c r="AF42" s="300"/>
      <c r="AG42" s="679"/>
      <c r="AH42" s="300"/>
      <c r="AI42" s="578"/>
      <c r="AJ42" s="381">
        <f t="shared" si="4"/>
        <v>0</v>
      </c>
      <c r="AK42" s="314"/>
      <c r="AL42" s="314"/>
      <c r="AM42" s="314"/>
      <c r="AN42" s="314"/>
      <c r="AO42" s="314"/>
      <c r="AP42" s="314"/>
      <c r="AQ42" s="314"/>
      <c r="AR42" s="293">
        <f t="shared" si="2"/>
        <v>0</v>
      </c>
      <c r="AS42" s="302">
        <f t="shared" si="9"/>
        <v>0</v>
      </c>
      <c r="AT42" s="396">
        <f t="shared" si="7"/>
        <v>34416.850000000028</v>
      </c>
    </row>
    <row r="43" spans="1:47" ht="14.25">
      <c r="A43" s="315" t="s">
        <v>25</v>
      </c>
      <c r="B43" s="733">
        <f>AVERAGE(B11:B42)</f>
        <v>0.38060869565217403</v>
      </c>
      <c r="C43" s="316">
        <f t="shared" si="8"/>
        <v>34416.850000000028</v>
      </c>
      <c r="D43" s="279"/>
      <c r="E43" s="279"/>
      <c r="F43" s="281"/>
      <c r="G43" s="633"/>
      <c r="H43" s="282"/>
      <c r="I43" s="282"/>
      <c r="J43" s="282"/>
      <c r="K43" s="282"/>
      <c r="L43" s="415"/>
      <c r="M43" s="414"/>
      <c r="N43" s="284"/>
      <c r="O43" s="284"/>
      <c r="P43" s="284"/>
      <c r="Q43" s="284"/>
      <c r="R43" s="284"/>
      <c r="S43" s="298">
        <f t="shared" si="0"/>
        <v>0</v>
      </c>
      <c r="T43" s="299">
        <f t="shared" si="5"/>
        <v>0</v>
      </c>
      <c r="U43" s="313"/>
      <c r="V43" s="287"/>
      <c r="W43" s="300"/>
      <c r="X43" s="282"/>
      <c r="Y43" s="286"/>
      <c r="Z43" s="286"/>
      <c r="AA43" s="383"/>
      <c r="AB43" s="286"/>
      <c r="AC43" s="321"/>
      <c r="AD43" s="321"/>
      <c r="AE43" s="300"/>
      <c r="AF43" s="300"/>
      <c r="AG43" s="679"/>
      <c r="AH43" s="286"/>
      <c r="AI43" s="578"/>
      <c r="AJ43" s="381">
        <f t="shared" si="4"/>
        <v>0</v>
      </c>
      <c r="AK43" s="317"/>
      <c r="AL43" s="317"/>
      <c r="AM43" s="317"/>
      <c r="AN43" s="317"/>
      <c r="AO43" s="317"/>
      <c r="AP43" s="317"/>
      <c r="AQ43" s="317"/>
      <c r="AR43" s="293">
        <f t="shared" si="2"/>
        <v>0</v>
      </c>
      <c r="AS43" s="302">
        <f t="shared" si="9"/>
        <v>0</v>
      </c>
      <c r="AT43" s="396">
        <f t="shared" si="7"/>
        <v>34416.850000000028</v>
      </c>
    </row>
    <row r="44" spans="1:47" ht="15" thickBot="1">
      <c r="A44" s="318"/>
      <c r="B44" s="318"/>
      <c r="C44" s="432"/>
      <c r="D44" s="433"/>
      <c r="E44" s="433"/>
      <c r="F44" s="266"/>
      <c r="G44" s="642"/>
      <c r="H44" s="266"/>
      <c r="I44" s="266"/>
      <c r="J44" s="266"/>
      <c r="K44" s="266"/>
      <c r="L44" s="416"/>
      <c r="M44" s="413"/>
      <c r="N44" s="267"/>
      <c r="O44" s="284"/>
      <c r="P44" s="284"/>
      <c r="Q44" s="267"/>
      <c r="R44" s="267"/>
      <c r="S44" s="298">
        <f t="shared" si="0"/>
        <v>0</v>
      </c>
      <c r="T44" s="319"/>
      <c r="U44" s="319"/>
      <c r="V44" s="320"/>
      <c r="W44" s="255"/>
      <c r="X44" s="321"/>
      <c r="Y44" s="321"/>
      <c r="Z44" s="321"/>
      <c r="AA44" s="322"/>
      <c r="AB44" s="321"/>
      <c r="AC44" s="321"/>
      <c r="AD44" s="321"/>
      <c r="AE44" s="321"/>
      <c r="AF44" s="321"/>
      <c r="AG44" s="323"/>
      <c r="AH44" s="578"/>
      <c r="AI44" s="578"/>
      <c r="AJ44" s="381">
        <f t="shared" si="4"/>
        <v>0</v>
      </c>
      <c r="AK44" s="434"/>
      <c r="AL44" s="434"/>
      <c r="AM44" s="434"/>
      <c r="AN44" s="434"/>
      <c r="AO44" s="434"/>
      <c r="AP44" s="434"/>
      <c r="AQ44" s="434"/>
      <c r="AR44" s="435">
        <f>S44+AJ44</f>
        <v>0</v>
      </c>
      <c r="AS44" s="436">
        <f t="shared" si="9"/>
        <v>0</v>
      </c>
      <c r="AT44" s="437"/>
    </row>
    <row r="45" spans="1:47" s="326" customFormat="1" ht="13.5" thickBot="1">
      <c r="A45" s="438"/>
      <c r="B45" s="439"/>
      <c r="C45" s="440"/>
      <c r="D45" s="441">
        <f>SUM(D11:D44)</f>
        <v>51000</v>
      </c>
      <c r="E45" s="441">
        <f>SUM(E11:E42)</f>
        <v>84000</v>
      </c>
      <c r="F45" s="442">
        <f t="shared" ref="F45" si="11">SUM(F11:F44)</f>
        <v>0</v>
      </c>
      <c r="G45" s="606">
        <f>SUM(G11:G44)</f>
        <v>9205.3399999999983</v>
      </c>
      <c r="H45" s="606">
        <f t="shared" ref="H45:O45" si="12">SUM(H11:H44)</f>
        <v>10522.880000000003</v>
      </c>
      <c r="I45" s="606">
        <f t="shared" si="12"/>
        <v>0</v>
      </c>
      <c r="J45" s="606">
        <f t="shared" si="12"/>
        <v>10211.580000000002</v>
      </c>
      <c r="K45" s="606">
        <f>SUM(K11:K44)</f>
        <v>8498.2100000000009</v>
      </c>
      <c r="L45" s="606">
        <f t="shared" si="12"/>
        <v>9455.15</v>
      </c>
      <c r="M45" s="606">
        <f t="shared" si="12"/>
        <v>22843</v>
      </c>
      <c r="N45" s="607">
        <f t="shared" si="12"/>
        <v>25057</v>
      </c>
      <c r="O45" s="441">
        <f t="shared" si="12"/>
        <v>0</v>
      </c>
      <c r="P45" s="442">
        <f>SUM(P11:P43)</f>
        <v>26436</v>
      </c>
      <c r="Q45" s="441">
        <f>SUM(Q11:Q44)</f>
        <v>22177</v>
      </c>
      <c r="R45" s="443">
        <f>SUM(R11:R44)</f>
        <v>22556</v>
      </c>
      <c r="S45" s="298">
        <f t="shared" si="0"/>
        <v>47893.16</v>
      </c>
      <c r="T45" s="431">
        <f>SUM(M45:R45)</f>
        <v>119069</v>
      </c>
      <c r="U45" s="325" t="e">
        <f>SUM(U11:U42)</f>
        <v>#DIV/0!</v>
      </c>
      <c r="V45" s="324">
        <f>SUM(V9:V44)</f>
        <v>217.9</v>
      </c>
      <c r="W45" s="324">
        <f t="shared" ref="W45:AJ45" si="13">SUM(W9:W44)</f>
        <v>566.35</v>
      </c>
      <c r="X45" s="324">
        <f t="shared" si="13"/>
        <v>313.03999999999996</v>
      </c>
      <c r="Y45" s="324">
        <f t="shared" si="13"/>
        <v>197.79000000000002</v>
      </c>
      <c r="Z45" s="324">
        <f t="shared" si="13"/>
        <v>395.51000000000005</v>
      </c>
      <c r="AA45" s="324">
        <f t="shared" si="13"/>
        <v>0</v>
      </c>
      <c r="AB45" s="324">
        <f t="shared" si="13"/>
        <v>0</v>
      </c>
      <c r="AC45" s="324">
        <f>SUM(AC10:AC44)</f>
        <v>147.97</v>
      </c>
      <c r="AD45" s="324">
        <f>SUM(AD10:AD44)</f>
        <v>51.95</v>
      </c>
      <c r="AE45" s="324">
        <f t="shared" si="13"/>
        <v>0</v>
      </c>
      <c r="AF45" s="324">
        <f t="shared" si="13"/>
        <v>58.89</v>
      </c>
      <c r="AG45" s="324">
        <f t="shared" si="13"/>
        <v>600</v>
      </c>
      <c r="AH45" s="680">
        <f>SUM(AH9:AH43)</f>
        <v>1305</v>
      </c>
      <c r="AI45" s="680">
        <f>SUM(AI9:AI39)</f>
        <v>30</v>
      </c>
      <c r="AJ45" s="324">
        <f t="shared" si="13"/>
        <v>3884.3999999999996</v>
      </c>
      <c r="AK45" s="324"/>
      <c r="AL45" s="324"/>
      <c r="AM45" s="324"/>
      <c r="AN45" s="324"/>
      <c r="AO45" s="324"/>
      <c r="AP45" s="324"/>
      <c r="AQ45" s="444"/>
      <c r="AR45" s="445">
        <f>SUM(AR11:AR43)</f>
        <v>51777.56</v>
      </c>
      <c r="AS45" s="446">
        <f>SUM(AS11:AS44)</f>
        <v>0</v>
      </c>
      <c r="AT45" s="447"/>
    </row>
    <row r="46" spans="1:47" ht="14.25" thickBot="1">
      <c r="A46" s="638" t="s">
        <v>69</v>
      </c>
      <c r="W46" s="259"/>
      <c r="X46" s="259"/>
      <c r="Y46" s="259"/>
      <c r="Z46" s="259"/>
      <c r="AA46" s="259"/>
      <c r="AC46" s="250" t="e">
        <f>SUM(AC44/A47)</f>
        <v>#DIV/0!</v>
      </c>
      <c r="AD46" s="250" t="e">
        <f>SUM(AD44/A47)</f>
        <v>#DIV/0!</v>
      </c>
      <c r="AJ46" s="250">
        <v>0</v>
      </c>
      <c r="AQ46" s="250">
        <f>SUM(AQ45/12)</f>
        <v>0</v>
      </c>
      <c r="AR46" s="249"/>
      <c r="AS46" s="327"/>
      <c r="AT46" s="248"/>
    </row>
    <row r="47" spans="1:47" ht="14.25" thickBot="1">
      <c r="A47" s="464"/>
      <c r="F47" s="328"/>
      <c r="R47" s="249" t="e">
        <f>SUM(S47+#REF!)</f>
        <v>#REF!</v>
      </c>
      <c r="S47" s="249"/>
      <c r="T47" s="455">
        <f>S45*2143</f>
        <v>102635041.88000001</v>
      </c>
      <c r="U47" s="456" t="s">
        <v>248</v>
      </c>
      <c r="W47" s="250" t="e">
        <f>SUM(W45/A47)</f>
        <v>#DIV/0!</v>
      </c>
      <c r="X47" s="250" t="e">
        <f>SUM(X45/A47)</f>
        <v>#DIV/0!</v>
      </c>
      <c r="Y47" s="250" t="e">
        <f>SUM(Y45/A47)</f>
        <v>#DIV/0!</v>
      </c>
      <c r="Z47" s="250" t="e">
        <f>SUM(Z45/A47)</f>
        <v>#DIV/0!</v>
      </c>
      <c r="AA47" s="250" t="e">
        <f>SUM(AA45/A47)</f>
        <v>#DIV/0!</v>
      </c>
      <c r="AB47" s="250" t="e">
        <f>SUM(AB45/A47)</f>
        <v>#DIV/0!</v>
      </c>
      <c r="AF47" s="250" t="e">
        <f>SUM(AF45/A47)</f>
        <v>#DIV/0!</v>
      </c>
      <c r="AG47" s="250" t="e">
        <f>SUM(AG45/A47)</f>
        <v>#DIV/0!</v>
      </c>
      <c r="AQ47" s="250" t="e">
        <f>SUM(AQ45/A47)</f>
        <v>#DIV/0!</v>
      </c>
      <c r="AS47" s="327"/>
      <c r="AT47" s="248"/>
    </row>
    <row r="48" spans="1:47" ht="14.25" thickBot="1">
      <c r="A48" s="465" t="s">
        <v>251</v>
      </c>
      <c r="B48" s="329" t="e">
        <f>SUM(B11:B41)/A47</f>
        <v>#DIV/0!</v>
      </c>
      <c r="T48" s="455">
        <f>T47/2245</f>
        <v>45717.167875278399</v>
      </c>
      <c r="U48" s="456" t="s">
        <v>249</v>
      </c>
      <c r="W48" s="259"/>
      <c r="X48" s="259"/>
      <c r="Y48" s="259"/>
      <c r="Z48" s="259"/>
      <c r="AA48" s="259"/>
      <c r="AR48" s="249">
        <f>AVERAGE(AR11:AR24)</f>
        <v>2482.9007142857145</v>
      </c>
      <c r="AT48" s="327"/>
    </row>
    <row r="49" spans="2:46" ht="14.25" thickBot="1">
      <c r="U49" s="330"/>
      <c r="W49" s="259"/>
      <c r="X49" s="259"/>
      <c r="Y49" s="259"/>
      <c r="Z49" s="259"/>
      <c r="AA49" s="259"/>
      <c r="AB49" s="252"/>
      <c r="AJ49" s="250" t="e">
        <f>SUM(AJ10:AJ25)/A47</f>
        <v>#DIV/0!</v>
      </c>
      <c r="AR49" s="330" t="e">
        <f>SUM(AQ45*'[1]Summery Report'!#REF!)</f>
        <v>#REF!</v>
      </c>
      <c r="AT49" s="327"/>
    </row>
    <row r="50" spans="2:46" ht="13.5" customHeight="1" thickBot="1">
      <c r="B50" s="816" t="s">
        <v>244</v>
      </c>
      <c r="C50" s="817"/>
      <c r="D50" s="817"/>
      <c r="E50" s="818"/>
      <c r="F50" s="799" t="s">
        <v>216</v>
      </c>
      <c r="G50" s="800"/>
      <c r="H50" s="800"/>
      <c r="I50" s="800"/>
      <c r="J50" s="800"/>
      <c r="K50" s="800"/>
      <c r="L50" s="804" t="s">
        <v>247</v>
      </c>
      <c r="M50" s="805"/>
      <c r="N50" s="805"/>
      <c r="O50" s="805"/>
      <c r="P50" s="805"/>
      <c r="Q50" s="805"/>
      <c r="R50" s="806"/>
      <c r="S50" s="801" t="s">
        <v>229</v>
      </c>
      <c r="T50" s="802"/>
      <c r="U50" s="802"/>
      <c r="V50" s="802"/>
      <c r="W50" s="802"/>
      <c r="X50" s="803"/>
      <c r="AJ50" s="250" t="e">
        <f>SUM(#REF!-AI34)/14</f>
        <v>#REF!</v>
      </c>
    </row>
    <row r="51" spans="2:46" ht="25.5" customHeight="1" thickBot="1">
      <c r="B51" s="564" t="s">
        <v>100</v>
      </c>
      <c r="C51" s="565" t="s">
        <v>199</v>
      </c>
      <c r="D51" s="566" t="s">
        <v>200</v>
      </c>
      <c r="E51" s="567" t="s">
        <v>215</v>
      </c>
      <c r="F51" s="807" t="s">
        <v>100</v>
      </c>
      <c r="G51" s="808"/>
      <c r="H51" s="637" t="s">
        <v>199</v>
      </c>
      <c r="I51" s="819" t="s">
        <v>200</v>
      </c>
      <c r="J51" s="819"/>
      <c r="K51" s="511" t="s">
        <v>215</v>
      </c>
      <c r="L51" s="807" t="s">
        <v>100</v>
      </c>
      <c r="M51" s="808"/>
      <c r="N51" s="637" t="s">
        <v>199</v>
      </c>
      <c r="O51" s="819" t="s">
        <v>200</v>
      </c>
      <c r="P51" s="819"/>
      <c r="Q51" s="508" t="s">
        <v>215</v>
      </c>
      <c r="R51" s="509" t="s">
        <v>218</v>
      </c>
      <c r="S51" s="513" t="s">
        <v>0</v>
      </c>
      <c r="T51" s="514" t="s">
        <v>199</v>
      </c>
      <c r="U51" s="514" t="s">
        <v>230</v>
      </c>
      <c r="V51" s="514" t="s">
        <v>215</v>
      </c>
      <c r="W51" s="514" t="s">
        <v>231</v>
      </c>
      <c r="X51" s="515" t="s">
        <v>232</v>
      </c>
    </row>
    <row r="52" spans="2:46" ht="11.25" customHeight="1" thickBot="1">
      <c r="B52" s="516">
        <v>43772</v>
      </c>
      <c r="C52" s="569" t="s">
        <v>318</v>
      </c>
      <c r="D52" s="570">
        <v>36</v>
      </c>
      <c r="E52" s="571" t="s">
        <v>319</v>
      </c>
      <c r="F52" s="830"/>
      <c r="G52" s="831"/>
      <c r="H52" s="636"/>
      <c r="I52" s="829"/>
      <c r="J52" s="829"/>
      <c r="K52" s="510"/>
      <c r="L52" s="791"/>
      <c r="M52" s="792"/>
      <c r="N52" s="639"/>
      <c r="O52" s="783"/>
      <c r="P52" s="783"/>
      <c r="Q52" s="639"/>
      <c r="R52" s="639"/>
      <c r="S52" s="516">
        <v>43778</v>
      </c>
      <c r="T52" s="516" t="s">
        <v>322</v>
      </c>
      <c r="U52" s="578">
        <v>30</v>
      </c>
      <c r="V52" s="577" t="s">
        <v>323</v>
      </c>
      <c r="W52" s="516" t="s">
        <v>324</v>
      </c>
      <c r="X52" s="516" t="s">
        <v>325</v>
      </c>
    </row>
    <row r="53" spans="2:46" ht="11.25" customHeight="1" thickBot="1">
      <c r="B53" s="516">
        <v>43776</v>
      </c>
      <c r="C53" s="425" t="s">
        <v>320</v>
      </c>
      <c r="D53" s="568">
        <v>112</v>
      </c>
      <c r="E53" s="502" t="s">
        <v>321</v>
      </c>
      <c r="F53" s="786"/>
      <c r="G53" s="787"/>
      <c r="H53" s="369"/>
      <c r="I53" s="788"/>
      <c r="J53" s="788"/>
      <c r="K53" s="375"/>
      <c r="L53" s="791"/>
      <c r="M53" s="792"/>
      <c r="N53" s="639"/>
      <c r="O53" s="783"/>
      <c r="P53" s="783"/>
      <c r="Q53" s="639"/>
      <c r="R53" s="639"/>
      <c r="S53" s="516"/>
      <c r="T53" s="516"/>
      <c r="U53" s="578"/>
      <c r="V53" s="577"/>
      <c r="W53" s="516"/>
      <c r="X53" s="516"/>
    </row>
    <row r="54" spans="2:46" ht="11.25" customHeight="1" thickBot="1">
      <c r="B54" s="501">
        <v>43779</v>
      </c>
      <c r="C54" s="425" t="s">
        <v>326</v>
      </c>
      <c r="D54" s="568">
        <v>145</v>
      </c>
      <c r="E54" s="502" t="s">
        <v>327</v>
      </c>
      <c r="F54" s="786"/>
      <c r="G54" s="787"/>
      <c r="H54" s="369"/>
      <c r="I54" s="788"/>
      <c r="J54" s="788"/>
      <c r="K54" s="375"/>
      <c r="L54" s="791"/>
      <c r="M54" s="792"/>
      <c r="N54" s="639"/>
      <c r="O54" s="783"/>
      <c r="P54" s="783"/>
      <c r="Q54" s="639"/>
      <c r="R54" s="639"/>
      <c r="S54" s="501"/>
      <c r="T54" s="425"/>
      <c r="U54" s="578"/>
      <c r="V54" s="577"/>
      <c r="W54" s="425"/>
      <c r="X54" s="516"/>
    </row>
    <row r="55" spans="2:46" ht="11.25" customHeight="1" thickBot="1">
      <c r="B55" s="501">
        <v>43781</v>
      </c>
      <c r="C55" s="425" t="s">
        <v>328</v>
      </c>
      <c r="D55" s="568">
        <v>137</v>
      </c>
      <c r="E55" s="502" t="s">
        <v>329</v>
      </c>
      <c r="F55" s="786"/>
      <c r="G55" s="787"/>
      <c r="H55" s="369"/>
      <c r="I55" s="788"/>
      <c r="J55" s="788"/>
      <c r="K55" s="375"/>
      <c r="L55" s="795"/>
      <c r="M55" s="796"/>
      <c r="N55" s="677"/>
      <c r="O55" s="783"/>
      <c r="P55" s="783"/>
      <c r="Q55" s="677"/>
      <c r="R55" s="639"/>
      <c r="S55" s="501"/>
      <c r="T55" s="425"/>
      <c r="U55" s="578"/>
      <c r="V55" s="635"/>
      <c r="W55" s="425"/>
      <c r="X55" s="516"/>
    </row>
    <row r="56" spans="2:46" ht="11.25" customHeight="1">
      <c r="B56" s="501">
        <v>43782</v>
      </c>
      <c r="C56" s="425" t="s">
        <v>330</v>
      </c>
      <c r="D56" s="568">
        <v>122</v>
      </c>
      <c r="E56" s="502" t="s">
        <v>331</v>
      </c>
      <c r="F56" s="786"/>
      <c r="G56" s="787"/>
      <c r="H56" s="369"/>
      <c r="I56" s="789"/>
      <c r="J56" s="790"/>
      <c r="K56" s="375"/>
      <c r="L56" s="795"/>
      <c r="M56" s="796"/>
      <c r="N56" s="639"/>
      <c r="O56" s="783"/>
      <c r="P56" s="783"/>
      <c r="Q56" s="639"/>
      <c r="R56" s="639"/>
      <c r="S56" s="501"/>
      <c r="T56" s="425"/>
      <c r="U56" s="578"/>
      <c r="V56" s="635"/>
      <c r="W56" s="425"/>
      <c r="X56" s="516"/>
    </row>
    <row r="57" spans="2:46" ht="11.25" customHeight="1">
      <c r="B57" s="501">
        <v>43782</v>
      </c>
      <c r="C57" s="425" t="s">
        <v>332</v>
      </c>
      <c r="D57" s="568">
        <v>67</v>
      </c>
      <c r="E57" s="502" t="s">
        <v>331</v>
      </c>
      <c r="F57" s="634"/>
      <c r="G57" s="635"/>
      <c r="H57" s="369"/>
      <c r="I57" s="630"/>
      <c r="J57" s="631"/>
      <c r="K57" s="375"/>
      <c r="L57" s="640"/>
      <c r="M57" s="641"/>
      <c r="N57" s="639"/>
      <c r="O57" s="648"/>
      <c r="P57" s="649"/>
      <c r="Q57" s="579"/>
      <c r="R57" s="639"/>
      <c r="S57" s="501"/>
      <c r="T57" s="425"/>
      <c r="U57" s="578"/>
      <c r="V57" s="635"/>
      <c r="W57" s="425"/>
      <c r="X57" s="502"/>
    </row>
    <row r="58" spans="2:46" ht="11.25" customHeight="1">
      <c r="B58" s="501">
        <v>43782</v>
      </c>
      <c r="C58" s="425" t="s">
        <v>333</v>
      </c>
      <c r="D58" s="568">
        <v>178</v>
      </c>
      <c r="E58" s="502" t="s">
        <v>334</v>
      </c>
      <c r="F58" s="634"/>
      <c r="G58" s="635"/>
      <c r="H58" s="369"/>
      <c r="I58" s="630"/>
      <c r="J58" s="631"/>
      <c r="K58" s="375"/>
      <c r="L58" s="640"/>
      <c r="M58" s="641"/>
      <c r="N58" s="639"/>
      <c r="O58" s="650"/>
      <c r="P58" s="651"/>
      <c r="Q58" s="579"/>
      <c r="R58" s="639"/>
      <c r="S58" s="501"/>
      <c r="T58" s="425"/>
      <c r="U58" s="578"/>
      <c r="V58" s="635"/>
      <c r="W58" s="425"/>
      <c r="X58" s="502"/>
    </row>
    <row r="59" spans="2:46" ht="11.25" customHeight="1">
      <c r="B59" s="501">
        <v>43783</v>
      </c>
      <c r="C59" s="425" t="s">
        <v>320</v>
      </c>
      <c r="D59" s="568">
        <v>117</v>
      </c>
      <c r="E59" s="502" t="s">
        <v>321</v>
      </c>
      <c r="F59" s="786"/>
      <c r="G59" s="787"/>
      <c r="H59" s="369"/>
      <c r="I59" s="789"/>
      <c r="J59" s="790"/>
      <c r="K59" s="375"/>
      <c r="L59" s="797"/>
      <c r="M59" s="798"/>
      <c r="N59" s="633"/>
      <c r="O59" s="784"/>
      <c r="P59" s="785"/>
      <c r="Q59" s="630"/>
      <c r="R59" s="639"/>
      <c r="S59" s="501"/>
      <c r="T59" s="425"/>
      <c r="U59" s="578"/>
      <c r="V59" s="635"/>
      <c r="W59" s="425"/>
      <c r="X59" s="502"/>
    </row>
    <row r="60" spans="2:46" ht="11.25" customHeight="1">
      <c r="B60" s="501">
        <v>43784</v>
      </c>
      <c r="C60" s="425" t="s">
        <v>318</v>
      </c>
      <c r="D60" s="568">
        <v>141</v>
      </c>
      <c r="E60" s="502" t="s">
        <v>335</v>
      </c>
      <c r="F60" s="786"/>
      <c r="G60" s="787"/>
      <c r="H60" s="369"/>
      <c r="I60" s="789"/>
      <c r="J60" s="790"/>
      <c r="K60" s="375"/>
      <c r="L60" s="793"/>
      <c r="M60" s="794"/>
      <c r="N60" s="633"/>
      <c r="O60" s="784"/>
      <c r="P60" s="785"/>
      <c r="Q60" s="630"/>
      <c r="R60" s="639"/>
      <c r="S60" s="501"/>
      <c r="T60" s="425"/>
      <c r="U60" s="578"/>
      <c r="V60" s="647"/>
      <c r="W60" s="425"/>
      <c r="X60" s="502"/>
    </row>
    <row r="61" spans="2:46" ht="11.25" customHeight="1">
      <c r="B61" s="501">
        <v>43784</v>
      </c>
      <c r="C61" s="425" t="s">
        <v>328</v>
      </c>
      <c r="D61" s="568">
        <v>51</v>
      </c>
      <c r="E61" s="502" t="s">
        <v>329</v>
      </c>
      <c r="F61" s="786"/>
      <c r="G61" s="787"/>
      <c r="H61" s="369"/>
      <c r="I61" s="789"/>
      <c r="J61" s="790"/>
      <c r="K61" s="375"/>
      <c r="L61" s="793"/>
      <c r="M61" s="794"/>
      <c r="N61" s="633"/>
      <c r="O61" s="784"/>
      <c r="P61" s="785"/>
      <c r="Q61" s="630"/>
      <c r="R61" s="630"/>
      <c r="S61" s="501"/>
      <c r="T61" s="425"/>
      <c r="U61" s="578"/>
      <c r="V61" s="635"/>
      <c r="W61" s="425"/>
      <c r="X61" s="502"/>
    </row>
    <row r="62" spans="2:46" ht="11.25" customHeight="1">
      <c r="B62" s="501">
        <v>43785</v>
      </c>
      <c r="C62" s="425" t="s">
        <v>326</v>
      </c>
      <c r="D62" s="568">
        <v>60</v>
      </c>
      <c r="E62" s="502" t="s">
        <v>327</v>
      </c>
      <c r="F62" s="786"/>
      <c r="G62" s="787"/>
      <c r="H62" s="369"/>
      <c r="I62" s="789"/>
      <c r="J62" s="790"/>
      <c r="K62" s="375"/>
      <c r="L62" s="793"/>
      <c r="M62" s="794"/>
      <c r="N62" s="633"/>
      <c r="O62" s="784"/>
      <c r="P62" s="785"/>
      <c r="Q62" s="630"/>
      <c r="R62" s="630"/>
      <c r="S62" s="501"/>
      <c r="T62" s="425"/>
      <c r="U62" s="578"/>
      <c r="V62" s="635"/>
      <c r="W62" s="425"/>
      <c r="X62" s="502"/>
    </row>
    <row r="63" spans="2:46" ht="11.25" customHeight="1">
      <c r="B63" s="501">
        <v>43786</v>
      </c>
      <c r="C63" s="425" t="s">
        <v>330</v>
      </c>
      <c r="D63" s="568">
        <v>91</v>
      </c>
      <c r="E63" s="502" t="s">
        <v>331</v>
      </c>
      <c r="F63" s="786"/>
      <c r="G63" s="787"/>
      <c r="H63" s="369"/>
      <c r="I63" s="789"/>
      <c r="J63" s="790"/>
      <c r="K63" s="375"/>
      <c r="L63" s="793"/>
      <c r="M63" s="794"/>
      <c r="N63" s="633"/>
      <c r="O63" s="784"/>
      <c r="P63" s="785"/>
      <c r="Q63" s="630"/>
      <c r="R63" s="630"/>
      <c r="S63" s="501"/>
      <c r="T63" s="425"/>
      <c r="U63" s="578"/>
      <c r="V63" s="635"/>
      <c r="W63" s="425"/>
      <c r="X63" s="502"/>
    </row>
    <row r="64" spans="2:46" ht="11.25" customHeight="1">
      <c r="B64" s="501">
        <v>43787</v>
      </c>
      <c r="C64" s="425" t="s">
        <v>336</v>
      </c>
      <c r="D64" s="568">
        <v>48</v>
      </c>
      <c r="E64" s="502" t="s">
        <v>335</v>
      </c>
      <c r="F64" s="786"/>
      <c r="G64" s="787"/>
      <c r="H64" s="369"/>
      <c r="I64" s="789"/>
      <c r="J64" s="790"/>
      <c r="K64" s="375"/>
      <c r="L64" s="793"/>
      <c r="M64" s="794"/>
      <c r="N64" s="633"/>
      <c r="O64" s="784"/>
      <c r="P64" s="785"/>
      <c r="Q64" s="630"/>
      <c r="R64" s="630"/>
      <c r="S64" s="501"/>
      <c r="T64" s="425"/>
      <c r="U64" s="578"/>
      <c r="V64" s="635"/>
      <c r="W64" s="425"/>
      <c r="X64" s="502"/>
    </row>
    <row r="65" spans="2:24" ht="11.25" customHeight="1">
      <c r="B65" s="501"/>
      <c r="C65" s="425"/>
      <c r="D65" s="568"/>
      <c r="E65" s="502"/>
      <c r="F65" s="786"/>
      <c r="G65" s="787"/>
      <c r="H65" s="369"/>
      <c r="I65" s="789"/>
      <c r="J65" s="790"/>
      <c r="K65" s="375"/>
      <c r="L65" s="793"/>
      <c r="M65" s="794"/>
      <c r="N65" s="633"/>
      <c r="O65" s="784"/>
      <c r="P65" s="785"/>
      <c r="Q65" s="630"/>
      <c r="R65" s="630"/>
      <c r="S65" s="501"/>
      <c r="T65" s="425"/>
      <c r="U65" s="578"/>
      <c r="V65" s="635"/>
      <c r="W65" s="425"/>
      <c r="X65" s="502"/>
    </row>
    <row r="66" spans="2:24" ht="11.25" customHeight="1">
      <c r="B66" s="501"/>
      <c r="C66" s="425"/>
      <c r="D66" s="568"/>
      <c r="E66" s="502"/>
      <c r="F66" s="786"/>
      <c r="G66" s="787"/>
      <c r="H66" s="369"/>
      <c r="I66" s="789"/>
      <c r="J66" s="790"/>
      <c r="K66" s="375"/>
      <c r="L66" s="793"/>
      <c r="M66" s="794"/>
      <c r="N66" s="633"/>
      <c r="O66" s="784"/>
      <c r="P66" s="785"/>
      <c r="Q66" s="572"/>
      <c r="R66" s="630"/>
      <c r="S66" s="501"/>
      <c r="T66" s="425"/>
      <c r="U66" s="578"/>
      <c r="V66" s="635"/>
      <c r="W66" s="425"/>
      <c r="X66" s="502"/>
    </row>
    <row r="67" spans="2:24" ht="11.25" customHeight="1">
      <c r="B67" s="501"/>
      <c r="C67" s="425"/>
      <c r="D67" s="568"/>
      <c r="E67" s="502"/>
      <c r="F67" s="786"/>
      <c r="G67" s="787"/>
      <c r="H67" s="369"/>
      <c r="I67" s="789"/>
      <c r="J67" s="790"/>
      <c r="K67" s="375"/>
      <c r="L67" s="793"/>
      <c r="M67" s="794"/>
      <c r="N67" s="633"/>
      <c r="O67" s="784"/>
      <c r="P67" s="785"/>
      <c r="Q67" s="572"/>
      <c r="R67" s="630"/>
      <c r="S67" s="501"/>
      <c r="T67" s="425"/>
      <c r="U67" s="578"/>
      <c r="V67" s="635"/>
      <c r="W67" s="425"/>
      <c r="X67" s="502"/>
    </row>
    <row r="68" spans="2:24" ht="11.25" customHeight="1">
      <c r="B68" s="501"/>
      <c r="C68" s="425"/>
      <c r="D68" s="568"/>
      <c r="E68" s="502"/>
      <c r="F68" s="786"/>
      <c r="G68" s="787"/>
      <c r="H68" s="369"/>
      <c r="I68" s="789"/>
      <c r="J68" s="790"/>
      <c r="K68" s="375"/>
      <c r="L68" s="793"/>
      <c r="M68" s="794"/>
      <c r="N68" s="633"/>
      <c r="O68" s="784"/>
      <c r="P68" s="785"/>
      <c r="Q68" s="630"/>
      <c r="R68" s="630"/>
      <c r="S68" s="501"/>
      <c r="T68" s="425"/>
      <c r="U68" s="578"/>
      <c r="V68" s="635"/>
      <c r="W68" s="425"/>
      <c r="X68" s="502"/>
    </row>
    <row r="69" spans="2:24" ht="11.25" customHeight="1">
      <c r="B69" s="501"/>
      <c r="C69" s="425"/>
      <c r="D69" s="568"/>
      <c r="E69" s="502"/>
      <c r="F69" s="786"/>
      <c r="G69" s="787"/>
      <c r="H69" s="369"/>
      <c r="I69" s="789"/>
      <c r="J69" s="790"/>
      <c r="K69" s="375"/>
      <c r="L69" s="793"/>
      <c r="M69" s="794"/>
      <c r="N69" s="633"/>
      <c r="O69" s="784"/>
      <c r="P69" s="785"/>
      <c r="Q69" s="630"/>
      <c r="R69" s="630"/>
      <c r="S69" s="501"/>
      <c r="T69" s="425"/>
      <c r="U69" s="578"/>
      <c r="V69" s="635"/>
      <c r="W69" s="425"/>
      <c r="X69" s="502"/>
    </row>
    <row r="70" spans="2:24" ht="11.25" customHeight="1">
      <c r="B70" s="501"/>
      <c r="C70" s="425"/>
      <c r="D70" s="568"/>
      <c r="E70" s="502"/>
      <c r="F70" s="786"/>
      <c r="G70" s="787"/>
      <c r="H70" s="369"/>
      <c r="I70" s="789"/>
      <c r="J70" s="790"/>
      <c r="K70" s="375"/>
      <c r="L70" s="793"/>
      <c r="M70" s="794"/>
      <c r="N70" s="633"/>
      <c r="O70" s="784"/>
      <c r="P70" s="785"/>
      <c r="Q70" s="630"/>
      <c r="R70" s="630"/>
      <c r="S70" s="501"/>
      <c r="T70" s="425"/>
      <c r="U70" s="578"/>
      <c r="V70" s="635"/>
      <c r="W70" s="425"/>
      <c r="X70" s="502"/>
    </row>
    <row r="71" spans="2:24" ht="11.25" customHeight="1">
      <c r="B71" s="501"/>
      <c r="C71" s="425"/>
      <c r="D71" s="568"/>
      <c r="E71" s="502"/>
      <c r="F71" s="786"/>
      <c r="G71" s="787"/>
      <c r="H71" s="369"/>
      <c r="I71" s="789"/>
      <c r="J71" s="790"/>
      <c r="K71" s="375"/>
      <c r="L71" s="793"/>
      <c r="M71" s="794"/>
      <c r="N71" s="633"/>
      <c r="O71" s="784"/>
      <c r="P71" s="785"/>
      <c r="Q71" s="630"/>
      <c r="R71" s="630"/>
      <c r="S71" s="501"/>
      <c r="T71" s="425"/>
      <c r="U71" s="578"/>
      <c r="V71" s="635"/>
      <c r="W71" s="425"/>
      <c r="X71" s="502"/>
    </row>
    <row r="72" spans="2:24" ht="11.25" customHeight="1">
      <c r="B72" s="501"/>
      <c r="C72" s="425"/>
      <c r="D72" s="568"/>
      <c r="E72" s="502"/>
      <c r="F72" s="786"/>
      <c r="G72" s="787"/>
      <c r="H72" s="373"/>
      <c r="I72" s="809"/>
      <c r="J72" s="810"/>
      <c r="K72" s="376"/>
      <c r="L72" s="793"/>
      <c r="M72" s="794"/>
      <c r="N72" s="633"/>
      <c r="O72" s="784"/>
      <c r="P72" s="785"/>
      <c r="Q72" s="643"/>
      <c r="R72" s="630"/>
      <c r="S72" s="501"/>
      <c r="T72" s="425"/>
      <c r="U72" s="578"/>
      <c r="V72" s="635"/>
      <c r="W72" s="425"/>
      <c r="X72" s="502"/>
    </row>
    <row r="73" spans="2:24" ht="11.25" customHeight="1">
      <c r="B73" s="501"/>
      <c r="C73" s="425"/>
      <c r="D73" s="568"/>
      <c r="E73" s="502"/>
      <c r="F73" s="786"/>
      <c r="G73" s="787"/>
      <c r="H73" s="369"/>
      <c r="I73" s="789"/>
      <c r="J73" s="790"/>
      <c r="K73" s="375"/>
      <c r="L73" s="793"/>
      <c r="M73" s="794"/>
      <c r="N73" s="633"/>
      <c r="O73" s="784"/>
      <c r="P73" s="785"/>
      <c r="Q73" s="630"/>
      <c r="R73" s="630"/>
      <c r="S73" s="501"/>
      <c r="T73" s="425"/>
      <c r="U73" s="578"/>
      <c r="V73" s="635"/>
      <c r="W73" s="425"/>
      <c r="X73" s="502"/>
    </row>
    <row r="74" spans="2:24" ht="11.25" customHeight="1">
      <c r="B74" s="501"/>
      <c r="C74" s="425"/>
      <c r="D74" s="568"/>
      <c r="E74" s="502"/>
      <c r="F74" s="786"/>
      <c r="G74" s="787"/>
      <c r="H74" s="369"/>
      <c r="I74" s="789"/>
      <c r="J74" s="790"/>
      <c r="K74" s="375"/>
      <c r="L74" s="793"/>
      <c r="M74" s="794"/>
      <c r="N74" s="633"/>
      <c r="O74" s="784"/>
      <c r="P74" s="785"/>
      <c r="Q74" s="630"/>
      <c r="R74" s="630"/>
      <c r="S74" s="501"/>
      <c r="T74" s="425"/>
      <c r="U74" s="578"/>
      <c r="V74" s="635"/>
      <c r="W74" s="425"/>
      <c r="X74" s="502"/>
    </row>
    <row r="75" spans="2:24" ht="11.25" customHeight="1">
      <c r="B75" s="501"/>
      <c r="C75" s="425"/>
      <c r="D75" s="568"/>
      <c r="E75" s="502"/>
      <c r="F75" s="786"/>
      <c r="G75" s="787"/>
      <c r="H75" s="369"/>
      <c r="I75" s="789"/>
      <c r="J75" s="790"/>
      <c r="K75" s="375"/>
      <c r="L75" s="793"/>
      <c r="M75" s="794"/>
      <c r="N75" s="633"/>
      <c r="O75" s="784"/>
      <c r="P75" s="785"/>
      <c r="Q75" s="630"/>
      <c r="R75" s="630"/>
      <c r="S75" s="501"/>
      <c r="T75" s="425"/>
      <c r="U75" s="578"/>
      <c r="V75" s="635"/>
      <c r="W75" s="425"/>
      <c r="X75" s="502"/>
    </row>
    <row r="76" spans="2:24" ht="9.75" customHeight="1">
      <c r="B76" s="501"/>
      <c r="C76" s="425"/>
      <c r="D76" s="568"/>
      <c r="E76" s="502"/>
      <c r="F76" s="786"/>
      <c r="G76" s="787"/>
      <c r="H76" s="369"/>
      <c r="I76" s="789"/>
      <c r="J76" s="790"/>
      <c r="K76" s="375"/>
      <c r="L76" s="793"/>
      <c r="M76" s="794"/>
      <c r="N76" s="633"/>
      <c r="O76" s="784"/>
      <c r="P76" s="785"/>
      <c r="Q76" s="630"/>
      <c r="R76" s="630"/>
      <c r="S76" s="501"/>
      <c r="T76" s="425"/>
      <c r="U76" s="578"/>
      <c r="V76" s="635"/>
      <c r="W76" s="425"/>
      <c r="X76" s="502"/>
    </row>
    <row r="77" spans="2:24" ht="11.25" hidden="1" customHeight="1">
      <c r="B77" s="501"/>
      <c r="C77" s="425"/>
      <c r="D77" s="568"/>
      <c r="E77" s="502"/>
      <c r="F77" s="786"/>
      <c r="G77" s="787"/>
      <c r="H77" s="369"/>
      <c r="I77" s="630"/>
      <c r="J77" s="631"/>
      <c r="K77" s="375"/>
      <c r="L77" s="793"/>
      <c r="M77" s="794"/>
      <c r="N77" s="633"/>
      <c r="O77" s="784"/>
      <c r="P77" s="785"/>
      <c r="Q77" s="630"/>
      <c r="R77" s="630"/>
      <c r="S77" s="501"/>
      <c r="T77" s="425"/>
      <c r="U77" s="578"/>
      <c r="V77" s="635"/>
      <c r="W77" s="425"/>
      <c r="X77" s="502"/>
    </row>
    <row r="78" spans="2:24" ht="11.25" customHeight="1">
      <c r="B78" s="501"/>
      <c r="C78" s="425"/>
      <c r="D78" s="568"/>
      <c r="E78" s="502"/>
      <c r="F78" s="786"/>
      <c r="G78" s="787"/>
      <c r="H78" s="369"/>
      <c r="I78" s="789"/>
      <c r="J78" s="790"/>
      <c r="K78" s="375"/>
      <c r="L78" s="793"/>
      <c r="M78" s="794"/>
      <c r="N78" s="633"/>
      <c r="O78" s="789"/>
      <c r="P78" s="790"/>
      <c r="Q78" s="630"/>
      <c r="R78" s="630"/>
      <c r="S78" s="501"/>
      <c r="T78" s="425"/>
      <c r="U78" s="578"/>
      <c r="V78" s="635"/>
      <c r="W78" s="425"/>
      <c r="X78" s="502"/>
    </row>
    <row r="79" spans="2:24" ht="11.25" customHeight="1">
      <c r="B79" s="501"/>
      <c r="C79" s="425"/>
      <c r="D79" s="568"/>
      <c r="E79" s="502"/>
      <c r="F79" s="786"/>
      <c r="G79" s="787"/>
      <c r="H79" s="369"/>
      <c r="I79" s="789"/>
      <c r="J79" s="790"/>
      <c r="K79" s="375"/>
      <c r="L79" s="793"/>
      <c r="M79" s="794"/>
      <c r="N79" s="633"/>
      <c r="O79" s="789"/>
      <c r="P79" s="790"/>
      <c r="Q79" s="630"/>
      <c r="R79" s="630"/>
      <c r="S79" s="501"/>
      <c r="T79" s="425"/>
      <c r="U79" s="578"/>
      <c r="V79" s="635"/>
      <c r="W79" s="425"/>
      <c r="X79" s="502"/>
    </row>
    <row r="80" spans="2:24" ht="11.25" customHeight="1">
      <c r="B80" s="501"/>
      <c r="C80" s="425"/>
      <c r="D80" s="568"/>
      <c r="E80" s="502"/>
      <c r="F80" s="786"/>
      <c r="G80" s="787"/>
      <c r="H80" s="369"/>
      <c r="I80" s="789"/>
      <c r="J80" s="790"/>
      <c r="K80" s="375"/>
      <c r="L80" s="793"/>
      <c r="M80" s="794"/>
      <c r="N80" s="633"/>
      <c r="O80" s="789"/>
      <c r="P80" s="790"/>
      <c r="Q80" s="630"/>
      <c r="R80" s="630"/>
      <c r="S80" s="501"/>
      <c r="T80" s="425"/>
      <c r="U80" s="578"/>
      <c r="V80" s="635"/>
      <c r="W80" s="425"/>
      <c r="X80" s="502"/>
    </row>
    <row r="81" spans="2:24" ht="11.25" customHeight="1">
      <c r="B81" s="501"/>
      <c r="C81" s="425"/>
      <c r="D81" s="568"/>
      <c r="E81" s="502"/>
      <c r="F81" s="786"/>
      <c r="G81" s="787"/>
      <c r="H81" s="369"/>
      <c r="I81" s="789"/>
      <c r="J81" s="790"/>
      <c r="K81" s="375"/>
      <c r="L81" s="793"/>
      <c r="M81" s="794"/>
      <c r="N81" s="633"/>
      <c r="O81" s="789"/>
      <c r="P81" s="790"/>
      <c r="Q81" s="630"/>
      <c r="R81" s="630"/>
      <c r="S81" s="501"/>
      <c r="T81" s="425"/>
      <c r="U81" s="578"/>
      <c r="V81" s="635"/>
      <c r="W81" s="425"/>
      <c r="X81" s="502"/>
    </row>
    <row r="82" spans="2:24" ht="11.25" customHeight="1">
      <c r="B82" s="501"/>
      <c r="C82" s="425"/>
      <c r="D82" s="568"/>
      <c r="E82" s="502"/>
      <c r="F82" s="786"/>
      <c r="G82" s="787"/>
      <c r="H82" s="369"/>
      <c r="I82" s="789"/>
      <c r="J82" s="790"/>
      <c r="K82" s="375"/>
      <c r="L82" s="793"/>
      <c r="M82" s="794"/>
      <c r="N82" s="633"/>
      <c r="O82" s="789"/>
      <c r="P82" s="790"/>
      <c r="Q82" s="630"/>
      <c r="R82" s="630"/>
      <c r="S82" s="501"/>
      <c r="T82" s="425"/>
      <c r="U82" s="578"/>
      <c r="V82" s="635"/>
      <c r="W82" s="425"/>
      <c r="X82" s="502"/>
    </row>
    <row r="83" spans="2:24" ht="11.25" customHeight="1">
      <c r="B83" s="501"/>
      <c r="C83" s="425"/>
      <c r="D83" s="568"/>
      <c r="E83" s="502"/>
      <c r="F83" s="786"/>
      <c r="G83" s="787"/>
      <c r="H83" s="369"/>
      <c r="I83" s="789"/>
      <c r="J83" s="790"/>
      <c r="K83" s="375"/>
      <c r="L83" s="793"/>
      <c r="M83" s="794"/>
      <c r="N83" s="633"/>
      <c r="O83" s="789"/>
      <c r="P83" s="790"/>
      <c r="Q83" s="630"/>
      <c r="R83" s="630"/>
      <c r="S83" s="501"/>
      <c r="T83" s="425"/>
      <c r="U83" s="578"/>
      <c r="V83" s="635"/>
      <c r="W83" s="425"/>
      <c r="X83" s="502"/>
    </row>
    <row r="84" spans="2:24" ht="11.25" customHeight="1">
      <c r="B84" s="501"/>
      <c r="C84" s="425"/>
      <c r="D84" s="568"/>
      <c r="E84" s="502"/>
      <c r="F84" s="786"/>
      <c r="G84" s="787"/>
      <c r="H84" s="369"/>
      <c r="I84" s="789"/>
      <c r="J84" s="790"/>
      <c r="K84" s="375"/>
      <c r="L84" s="793"/>
      <c r="M84" s="794"/>
      <c r="N84" s="633"/>
      <c r="O84" s="789"/>
      <c r="P84" s="790"/>
      <c r="Q84" s="630"/>
      <c r="R84" s="630"/>
      <c r="S84" s="501"/>
      <c r="T84" s="425"/>
      <c r="U84" s="425"/>
      <c r="V84" s="425"/>
      <c r="W84" s="425"/>
      <c r="X84" s="502"/>
    </row>
    <row r="85" spans="2:24" ht="11.25" customHeight="1">
      <c r="B85" s="501"/>
      <c r="C85" s="425"/>
      <c r="D85" s="568"/>
      <c r="E85" s="502"/>
      <c r="F85" s="786"/>
      <c r="G85" s="787"/>
      <c r="H85" s="369"/>
      <c r="I85" s="789"/>
      <c r="J85" s="790"/>
      <c r="K85" s="375"/>
      <c r="L85" s="793"/>
      <c r="M85" s="794"/>
      <c r="N85" s="633"/>
      <c r="O85" s="789"/>
      <c r="P85" s="790"/>
      <c r="Q85" s="630"/>
      <c r="R85" s="630"/>
      <c r="S85" s="501"/>
      <c r="T85" s="425"/>
      <c r="U85" s="425"/>
      <c r="V85" s="425"/>
      <c r="W85" s="425"/>
      <c r="X85" s="502"/>
    </row>
    <row r="86" spans="2:24" ht="11.25" customHeight="1">
      <c r="B86" s="501"/>
      <c r="C86" s="425"/>
      <c r="D86" s="568"/>
      <c r="E86" s="502"/>
      <c r="F86" s="786"/>
      <c r="G86" s="787"/>
      <c r="H86" s="369"/>
      <c r="I86" s="789"/>
      <c r="J86" s="790"/>
      <c r="K86" s="375"/>
      <c r="L86" s="793"/>
      <c r="M86" s="794"/>
      <c r="N86" s="633"/>
      <c r="O86" s="789"/>
      <c r="P86" s="790"/>
      <c r="Q86" s="630"/>
      <c r="R86" s="630"/>
      <c r="S86" s="501"/>
      <c r="T86" s="425"/>
      <c r="U86" s="425"/>
      <c r="V86" s="425"/>
      <c r="W86" s="425"/>
      <c r="X86" s="502"/>
    </row>
    <row r="87" spans="2:24" ht="11.25" customHeight="1">
      <c r="B87" s="501"/>
      <c r="C87" s="425"/>
      <c r="D87" s="568"/>
      <c r="E87" s="502"/>
      <c r="F87" s="786"/>
      <c r="G87" s="787"/>
      <c r="H87" s="369"/>
      <c r="I87" s="789"/>
      <c r="J87" s="790"/>
      <c r="K87" s="375"/>
      <c r="L87" s="793"/>
      <c r="M87" s="794"/>
      <c r="N87" s="633"/>
      <c r="O87" s="789"/>
      <c r="P87" s="790"/>
      <c r="Q87" s="630"/>
      <c r="R87" s="630"/>
      <c r="S87" s="501"/>
      <c r="T87" s="425"/>
      <c r="U87" s="425"/>
      <c r="V87" s="425"/>
      <c r="W87" s="425"/>
      <c r="X87" s="502"/>
    </row>
    <row r="88" spans="2:24" ht="11.25" customHeight="1">
      <c r="B88" s="501"/>
      <c r="C88" s="425"/>
      <c r="D88" s="568"/>
      <c r="E88" s="502"/>
      <c r="F88" s="786"/>
      <c r="G88" s="787"/>
      <c r="H88" s="369"/>
      <c r="I88" s="789"/>
      <c r="J88" s="790"/>
      <c r="K88" s="375"/>
      <c r="L88" s="793"/>
      <c r="M88" s="794"/>
      <c r="N88" s="633"/>
      <c r="O88" s="789"/>
      <c r="P88" s="790"/>
      <c r="Q88" s="630"/>
      <c r="R88" s="630"/>
      <c r="S88" s="501"/>
      <c r="T88" s="425"/>
      <c r="U88" s="425"/>
      <c r="V88" s="425"/>
      <c r="W88" s="425"/>
      <c r="X88" s="502"/>
    </row>
    <row r="89" spans="2:24" ht="11.25" customHeight="1">
      <c r="B89" s="501"/>
      <c r="C89" s="425"/>
      <c r="D89" s="568"/>
      <c r="E89" s="502"/>
      <c r="F89" s="786"/>
      <c r="G89" s="787"/>
      <c r="H89" s="369"/>
      <c r="I89" s="789"/>
      <c r="J89" s="790"/>
      <c r="K89" s="375"/>
      <c r="L89" s="793"/>
      <c r="M89" s="794"/>
      <c r="N89" s="633"/>
      <c r="O89" s="789"/>
      <c r="P89" s="790"/>
      <c r="Q89" s="630"/>
      <c r="R89" s="630"/>
      <c r="S89" s="501"/>
      <c r="T89" s="425"/>
      <c r="U89" s="425"/>
      <c r="V89" s="425"/>
      <c r="W89" s="425"/>
      <c r="X89" s="502"/>
    </row>
    <row r="90" spans="2:24" ht="11.25" customHeight="1">
      <c r="B90" s="501"/>
      <c r="C90" s="425"/>
      <c r="D90" s="568"/>
      <c r="E90" s="502"/>
      <c r="F90" s="786"/>
      <c r="G90" s="787"/>
      <c r="H90" s="369"/>
      <c r="I90" s="788"/>
      <c r="J90" s="788"/>
      <c r="K90" s="375"/>
      <c r="L90" s="793"/>
      <c r="M90" s="794"/>
      <c r="N90" s="633"/>
      <c r="O90" s="811"/>
      <c r="P90" s="812"/>
      <c r="Q90" s="642"/>
      <c r="R90" s="630"/>
      <c r="S90" s="501"/>
      <c r="T90" s="425"/>
      <c r="U90" s="425"/>
      <c r="V90" s="425"/>
      <c r="W90" s="425"/>
      <c r="X90" s="502"/>
    </row>
    <row r="91" spans="2:24">
      <c r="B91" s="501"/>
      <c r="C91" s="425"/>
      <c r="D91" s="568"/>
      <c r="E91" s="502"/>
      <c r="F91" s="786"/>
      <c r="G91" s="787"/>
      <c r="H91" s="369"/>
      <c r="I91" s="788"/>
      <c r="J91" s="788"/>
      <c r="K91" s="375"/>
      <c r="L91" s="793"/>
      <c r="M91" s="794"/>
      <c r="N91" s="633"/>
      <c r="O91" s="788"/>
      <c r="P91" s="788"/>
      <c r="Q91" s="633"/>
      <c r="R91" s="630"/>
      <c r="S91" s="501"/>
      <c r="T91" s="425"/>
      <c r="U91" s="425"/>
      <c r="V91" s="425"/>
      <c r="W91" s="425"/>
      <c r="X91" s="502"/>
    </row>
    <row r="92" spans="2:24">
      <c r="B92" s="501"/>
      <c r="C92" s="425"/>
      <c r="D92" s="568"/>
      <c r="E92" s="502"/>
      <c r="F92" s="786"/>
      <c r="G92" s="787"/>
      <c r="H92" s="369"/>
      <c r="I92" s="788"/>
      <c r="J92" s="788"/>
      <c r="K92" s="375"/>
      <c r="L92" s="793"/>
      <c r="M92" s="794"/>
      <c r="N92" s="633"/>
      <c r="O92" s="788"/>
      <c r="P92" s="788"/>
      <c r="Q92" s="633"/>
      <c r="R92" s="630"/>
      <c r="S92" s="501"/>
      <c r="T92" s="425"/>
      <c r="U92" s="425"/>
      <c r="V92" s="425"/>
      <c r="W92" s="425"/>
      <c r="X92" s="502"/>
    </row>
    <row r="93" spans="2:24">
      <c r="B93" s="501"/>
      <c r="C93" s="425"/>
      <c r="D93" s="568"/>
      <c r="E93" s="502"/>
      <c r="F93" s="786"/>
      <c r="G93" s="787"/>
      <c r="H93" s="369"/>
      <c r="I93" s="788"/>
      <c r="J93" s="788"/>
      <c r="K93" s="375"/>
      <c r="L93" s="793"/>
      <c r="M93" s="794"/>
      <c r="N93" s="633"/>
      <c r="O93" s="788"/>
      <c r="P93" s="788"/>
      <c r="Q93" s="633"/>
      <c r="R93" s="630"/>
      <c r="S93" s="501"/>
      <c r="T93" s="425"/>
      <c r="U93" s="425"/>
      <c r="V93" s="425"/>
      <c r="W93" s="425"/>
      <c r="X93" s="502"/>
    </row>
    <row r="94" spans="2:24">
      <c r="B94" s="501"/>
      <c r="C94" s="425"/>
      <c r="D94" s="568"/>
      <c r="E94" s="502"/>
      <c r="F94" s="786"/>
      <c r="G94" s="787"/>
      <c r="H94" s="369"/>
      <c r="I94" s="788"/>
      <c r="J94" s="788"/>
      <c r="K94" s="375"/>
      <c r="L94" s="793"/>
      <c r="M94" s="794"/>
      <c r="N94" s="633"/>
      <c r="O94" s="788"/>
      <c r="P94" s="788"/>
      <c r="Q94" s="633"/>
      <c r="R94" s="630"/>
      <c r="S94" s="501"/>
      <c r="T94" s="425"/>
      <c r="U94" s="425"/>
      <c r="V94" s="425"/>
      <c r="W94" s="425"/>
      <c r="X94" s="502"/>
    </row>
    <row r="95" spans="2:24">
      <c r="B95" s="501"/>
      <c r="C95" s="425"/>
      <c r="D95" s="568"/>
      <c r="E95" s="502"/>
      <c r="F95" s="786"/>
      <c r="G95" s="787"/>
      <c r="H95" s="369"/>
      <c r="I95" s="788"/>
      <c r="J95" s="788"/>
      <c r="K95" s="375"/>
      <c r="L95" s="793"/>
      <c r="M95" s="794"/>
      <c r="N95" s="633"/>
      <c r="O95" s="788"/>
      <c r="P95" s="788"/>
      <c r="Q95" s="633"/>
      <c r="R95" s="630"/>
      <c r="S95" s="501"/>
      <c r="T95" s="425"/>
      <c r="U95" s="425"/>
      <c r="V95" s="425"/>
      <c r="W95" s="425"/>
      <c r="X95" s="502"/>
    </row>
    <row r="96" spans="2:24">
      <c r="B96" s="501"/>
      <c r="C96" s="425"/>
      <c r="D96" s="568"/>
      <c r="E96" s="502"/>
      <c r="F96" s="786"/>
      <c r="G96" s="787"/>
      <c r="H96" s="369"/>
      <c r="I96" s="788"/>
      <c r="J96" s="788"/>
      <c r="K96" s="375"/>
      <c r="L96" s="793"/>
      <c r="M96" s="794"/>
      <c r="N96" s="633"/>
      <c r="O96" s="788"/>
      <c r="P96" s="788"/>
      <c r="Q96" s="633"/>
      <c r="R96" s="630"/>
      <c r="S96" s="501"/>
      <c r="T96" s="425"/>
      <c r="U96" s="425"/>
      <c r="V96" s="425"/>
      <c r="W96" s="425"/>
      <c r="X96" s="502"/>
    </row>
    <row r="97" spans="2:24" ht="12" thickBot="1">
      <c r="B97" s="503"/>
      <c r="C97" s="504"/>
      <c r="D97" s="505"/>
      <c r="E97" s="506"/>
      <c r="F97" s="832"/>
      <c r="G97" s="833"/>
      <c r="H97" s="419"/>
      <c r="I97" s="834"/>
      <c r="J97" s="835"/>
      <c r="K97" s="507"/>
      <c r="L97" s="793"/>
      <c r="M97" s="794"/>
      <c r="N97" s="633"/>
      <c r="O97" s="834"/>
      <c r="P97" s="835"/>
      <c r="Q97" s="632"/>
      <c r="R97" s="512"/>
      <c r="S97" s="503"/>
      <c r="T97" s="504"/>
      <c r="U97" s="504"/>
      <c r="V97" s="504"/>
      <c r="W97" s="504"/>
      <c r="X97" s="506"/>
    </row>
  </sheetData>
  <mergeCells count="188">
    <mergeCell ref="F97:G97"/>
    <mergeCell ref="L97:M97"/>
    <mergeCell ref="O88:P88"/>
    <mergeCell ref="O89:P89"/>
    <mergeCell ref="O79:P79"/>
    <mergeCell ref="O80:P80"/>
    <mergeCell ref="O81:P81"/>
    <mergeCell ref="O82:P82"/>
    <mergeCell ref="O83:P83"/>
    <mergeCell ref="O84:P84"/>
    <mergeCell ref="O85:P85"/>
    <mergeCell ref="O86:P86"/>
    <mergeCell ref="O87:P87"/>
    <mergeCell ref="I97:J97"/>
    <mergeCell ref="O96:P96"/>
    <mergeCell ref="O97:P97"/>
    <mergeCell ref="F82:G82"/>
    <mergeCell ref="F83:G83"/>
    <mergeCell ref="I95:J95"/>
    <mergeCell ref="I96:J96"/>
    <mergeCell ref="F80:G80"/>
    <mergeCell ref="F81:G81"/>
    <mergeCell ref="L96:M96"/>
    <mergeCell ref="F93:G93"/>
    <mergeCell ref="F6:L6"/>
    <mergeCell ref="O65:P65"/>
    <mergeCell ref="B50:E50"/>
    <mergeCell ref="O63:P63"/>
    <mergeCell ref="O64:P64"/>
    <mergeCell ref="O52:P52"/>
    <mergeCell ref="O56:P56"/>
    <mergeCell ref="I51:J51"/>
    <mergeCell ref="A1:B6"/>
    <mergeCell ref="O51:P51"/>
    <mergeCell ref="D2:AT2"/>
    <mergeCell ref="F7:L7"/>
    <mergeCell ref="M7:R7"/>
    <mergeCell ref="I52:J52"/>
    <mergeCell ref="I56:J56"/>
    <mergeCell ref="I59:J59"/>
    <mergeCell ref="L52:M52"/>
    <mergeCell ref="L55:M55"/>
    <mergeCell ref="F52:G52"/>
    <mergeCell ref="F55:G55"/>
    <mergeCell ref="F56:G56"/>
    <mergeCell ref="O55:P55"/>
    <mergeCell ref="I55:J55"/>
    <mergeCell ref="I60:J60"/>
    <mergeCell ref="I90:J90"/>
    <mergeCell ref="I94:J94"/>
    <mergeCell ref="I91:J91"/>
    <mergeCell ref="I92:J92"/>
    <mergeCell ref="I93:J93"/>
    <mergeCell ref="O94:P94"/>
    <mergeCell ref="O68:P68"/>
    <mergeCell ref="O95:P95"/>
    <mergeCell ref="O90:P90"/>
    <mergeCell ref="O91:P91"/>
    <mergeCell ref="O92:P92"/>
    <mergeCell ref="O93:P93"/>
    <mergeCell ref="O77:P77"/>
    <mergeCell ref="O78:P78"/>
    <mergeCell ref="L71:M71"/>
    <mergeCell ref="L72:M72"/>
    <mergeCell ref="L78:M78"/>
    <mergeCell ref="L79:M79"/>
    <mergeCell ref="L80:M80"/>
    <mergeCell ref="L81:M81"/>
    <mergeCell ref="L82:M82"/>
    <mergeCell ref="L73:M73"/>
    <mergeCell ref="L74:M74"/>
    <mergeCell ref="I75:J75"/>
    <mergeCell ref="O62:P62"/>
    <mergeCell ref="O76:P76"/>
    <mergeCell ref="O72:P72"/>
    <mergeCell ref="O73:P73"/>
    <mergeCell ref="O75:P75"/>
    <mergeCell ref="O69:P69"/>
    <mergeCell ref="O70:P70"/>
    <mergeCell ref="O71:P71"/>
    <mergeCell ref="O66:P66"/>
    <mergeCell ref="O67:P67"/>
    <mergeCell ref="O74:P74"/>
    <mergeCell ref="I62:J62"/>
    <mergeCell ref="I63:J63"/>
    <mergeCell ref="F73:G73"/>
    <mergeCell ref="F74:G74"/>
    <mergeCell ref="F65:G65"/>
    <mergeCell ref="F66:G66"/>
    <mergeCell ref="F67:G67"/>
    <mergeCell ref="F68:G68"/>
    <mergeCell ref="F69:G69"/>
    <mergeCell ref="I64:J64"/>
    <mergeCell ref="I65:J65"/>
    <mergeCell ref="F62:G62"/>
    <mergeCell ref="F63:G63"/>
    <mergeCell ref="F64:G64"/>
    <mergeCell ref="I71:J71"/>
    <mergeCell ref="I72:J72"/>
    <mergeCell ref="I73:J73"/>
    <mergeCell ref="I69:J69"/>
    <mergeCell ref="I70:J70"/>
    <mergeCell ref="I66:J66"/>
    <mergeCell ref="I67:J67"/>
    <mergeCell ref="I68:J68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F78:G78"/>
    <mergeCell ref="F79:G79"/>
    <mergeCell ref="F70:G70"/>
    <mergeCell ref="F71:G71"/>
    <mergeCell ref="F72:G72"/>
    <mergeCell ref="F75:G75"/>
    <mergeCell ref="F76:G76"/>
    <mergeCell ref="F77:G77"/>
    <mergeCell ref="L75:M75"/>
    <mergeCell ref="L76:M76"/>
    <mergeCell ref="L77:M77"/>
    <mergeCell ref="I76:J76"/>
    <mergeCell ref="L88:M88"/>
    <mergeCell ref="L89:M89"/>
    <mergeCell ref="L90:M90"/>
    <mergeCell ref="L91:M91"/>
    <mergeCell ref="L92:M92"/>
    <mergeCell ref="L83:M83"/>
    <mergeCell ref="L84:M84"/>
    <mergeCell ref="L85:M85"/>
    <mergeCell ref="L86:M86"/>
    <mergeCell ref="L87:M87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50:K50"/>
    <mergeCell ref="S50:X50"/>
    <mergeCell ref="L50:R50"/>
    <mergeCell ref="F51:G51"/>
    <mergeCell ref="L51:M51"/>
    <mergeCell ref="F94:G94"/>
    <mergeCell ref="F95:G95"/>
    <mergeCell ref="F96:G96"/>
    <mergeCell ref="I74:J74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L93:M93"/>
    <mergeCell ref="L94:M94"/>
    <mergeCell ref="L95:M95"/>
    <mergeCell ref="O53:P53"/>
    <mergeCell ref="O54:P54"/>
    <mergeCell ref="O61:P61"/>
    <mergeCell ref="F53:G53"/>
    <mergeCell ref="F54:G54"/>
    <mergeCell ref="F61:G61"/>
    <mergeCell ref="I53:J53"/>
    <mergeCell ref="I54:J54"/>
    <mergeCell ref="I61:J61"/>
    <mergeCell ref="L53:M53"/>
    <mergeCell ref="L54:M54"/>
    <mergeCell ref="L61:M61"/>
    <mergeCell ref="L56:M56"/>
    <mergeCell ref="L59:M59"/>
    <mergeCell ref="L60:M60"/>
    <mergeCell ref="F59:G59"/>
    <mergeCell ref="F60:G60"/>
    <mergeCell ref="O59:P59"/>
    <mergeCell ref="O60:P6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sqref="A1:XFD1048576"/>
    </sheetView>
  </sheetViews>
  <sheetFormatPr defaultRowHeight="12.75"/>
  <cols>
    <col min="2" max="2" width="10.28515625" style="13" bestFit="1" customWidth="1"/>
  </cols>
  <sheetData>
    <row r="1" spans="1:6" s="16" customFormat="1" ht="51">
      <c r="A1" s="12" t="s">
        <v>0</v>
      </c>
      <c r="B1" s="15" t="s">
        <v>272</v>
      </c>
      <c r="C1" s="12" t="s">
        <v>24</v>
      </c>
      <c r="D1" s="80" t="s">
        <v>62</v>
      </c>
      <c r="E1" s="80" t="s">
        <v>63</v>
      </c>
    </row>
    <row r="2" spans="1:6">
      <c r="A2" s="97">
        <f>SUM([1]Gen!A11)</f>
        <v>43739</v>
      </c>
      <c r="B2" s="14">
        <f>SUM('[1]Summery Report'!F5)</f>
        <v>5669</v>
      </c>
      <c r="C2" s="122">
        <f>SUM('[1]Summery Report'!C5)</f>
        <v>0.623</v>
      </c>
      <c r="D2" s="81" t="e">
        <f>SUM('[1]Summery Report'!#REF!)</f>
        <v>#REF!</v>
      </c>
      <c r="E2" s="81" t="e">
        <f>SUM('[1]Summery Report'!#REF!)</f>
        <v>#REF!</v>
      </c>
      <c r="F2" s="20">
        <v>0.1</v>
      </c>
    </row>
    <row r="3" spans="1:6">
      <c r="A3" s="97">
        <f>SUM([1]Gen!A12)</f>
        <v>43740</v>
      </c>
      <c r="B3" s="14">
        <f>SUM('[1]Summery Report'!F6)</f>
        <v>6159</v>
      </c>
      <c r="C3" s="122">
        <f>SUM('[1]Summery Report'!C6)</f>
        <v>0.77900000000000003</v>
      </c>
      <c r="D3" s="81" t="e">
        <f>SUM('[1]Summery Report'!#REF!)</f>
        <v>#REF!</v>
      </c>
      <c r="E3" s="81" t="e">
        <f>SUM('[1]Summery Report'!#REF!)</f>
        <v>#REF!</v>
      </c>
      <c r="F3" s="20">
        <v>0.13750000000000001</v>
      </c>
    </row>
    <row r="4" spans="1:6">
      <c r="A4" s="97">
        <f>SUM([1]Gen!A13)</f>
        <v>43741</v>
      </c>
      <c r="B4" s="14">
        <f>SUM('[1]Summery Report'!F7)</f>
        <v>6580</v>
      </c>
      <c r="C4" s="122">
        <f>SUM('[1]Summery Report'!C7)</f>
        <v>0.53200000000000003</v>
      </c>
      <c r="D4" s="81" t="e">
        <f>SUM('[1]Summery Report'!#REF!)</f>
        <v>#REF!</v>
      </c>
      <c r="E4" s="81" t="e">
        <f>SUM('[1]Summery Report'!#REF!)</f>
        <v>#REF!</v>
      </c>
      <c r="F4" s="20">
        <v>8.7499999999999994E-2</v>
      </c>
    </row>
    <row r="5" spans="1:6">
      <c r="A5" s="97">
        <f>SUM([1]Gen!A14)</f>
        <v>43742</v>
      </c>
      <c r="B5" s="14">
        <f>SUM('[1]Summery Report'!F8)</f>
        <v>6223</v>
      </c>
      <c r="C5" s="122">
        <f>SUM('[1]Summery Report'!C8)</f>
        <v>0.61</v>
      </c>
      <c r="D5" s="81" t="e">
        <f>SUM('[1]Summery Report'!#REF!)</f>
        <v>#REF!</v>
      </c>
      <c r="E5" s="81" t="e">
        <f>SUM('[1]Summery Report'!#REF!)</f>
        <v>#REF!</v>
      </c>
      <c r="F5" s="20">
        <v>0.22500000000000001</v>
      </c>
    </row>
    <row r="6" spans="1:6">
      <c r="A6" s="97">
        <f>SUM([1]Gen!A15)</f>
        <v>43743</v>
      </c>
      <c r="B6" s="14">
        <f>SUM('[1]Summery Report'!F9)</f>
        <v>5984</v>
      </c>
      <c r="C6" s="122">
        <f>SUM('[1]Summery Report'!C9)</f>
        <v>0.68799999999999994</v>
      </c>
      <c r="D6" s="81" t="e">
        <f>SUM('[1]Summery Report'!#REF!)</f>
        <v>#REF!</v>
      </c>
      <c r="E6" s="81" t="e">
        <f>SUM('[1]Summery Report'!#REF!)</f>
        <v>#REF!</v>
      </c>
      <c r="F6" s="20">
        <v>0.2</v>
      </c>
    </row>
    <row r="7" spans="1:6">
      <c r="A7" s="97">
        <f>SUM([1]Gen!A16)</f>
        <v>43744</v>
      </c>
      <c r="B7" s="14">
        <f>SUM('[1]Summery Report'!F10)</f>
        <v>6103</v>
      </c>
      <c r="C7" s="122">
        <f>SUM('[1]Summery Report'!C10)</f>
        <v>0.53200000000000003</v>
      </c>
      <c r="D7" s="81" t="e">
        <f>SUM('[1]Summery Report'!#REF!)</f>
        <v>#REF!</v>
      </c>
      <c r="E7" s="81" t="e">
        <f>SUM('[1]Summery Report'!#REF!)</f>
        <v>#REF!</v>
      </c>
      <c r="F7" s="20">
        <v>0.35</v>
      </c>
    </row>
    <row r="8" spans="1:6">
      <c r="A8" s="97">
        <f>SUM([1]Gen!A17)</f>
        <v>43745</v>
      </c>
      <c r="B8" s="14">
        <f>SUM('[1]Summery Report'!F11)</f>
        <v>5576</v>
      </c>
      <c r="C8" s="122">
        <f>SUM('[1]Summery Report'!C11)</f>
        <v>0.753</v>
      </c>
      <c r="D8" s="81" t="e">
        <f>SUM('[1]Summery Report'!#REF!)</f>
        <v>#REF!</v>
      </c>
      <c r="E8" s="81" t="e">
        <f>SUM('[1]Summery Report'!#REF!)</f>
        <v>#REF!</v>
      </c>
      <c r="F8" s="20">
        <v>0.375</v>
      </c>
    </row>
    <row r="9" spans="1:6">
      <c r="A9" s="97">
        <f>SUM([1]Gen!A18)</f>
        <v>43746</v>
      </c>
      <c r="B9" s="14">
        <f>SUM('[1]Summery Report'!F12)</f>
        <v>5532</v>
      </c>
      <c r="C9" s="122">
        <f>SUM('[1]Summery Report'!C12)</f>
        <v>0.156</v>
      </c>
      <c r="D9" s="81" t="e">
        <f>SUM('[1]Summery Report'!#REF!)</f>
        <v>#REF!</v>
      </c>
      <c r="E9" s="81" t="e">
        <f>SUM('[1]Summery Report'!#REF!)</f>
        <v>#REF!</v>
      </c>
      <c r="F9" s="20">
        <v>0.32500000000000001</v>
      </c>
    </row>
    <row r="10" spans="1:6">
      <c r="A10" s="97">
        <f>SUM([1]Gen!A19)</f>
        <v>43747</v>
      </c>
      <c r="B10" s="14">
        <f>SUM('[1]Summery Report'!F13)</f>
        <v>6233</v>
      </c>
      <c r="C10" s="122">
        <f>SUM('[1]Summery Report'!C13)</f>
        <v>0.442</v>
      </c>
      <c r="D10" s="81" t="e">
        <f>SUM('[1]Summery Report'!#REF!)</f>
        <v>#REF!</v>
      </c>
      <c r="E10" s="81" t="e">
        <f>SUM('[1]Summery Report'!#REF!)</f>
        <v>#REF!</v>
      </c>
      <c r="F10" s="20">
        <v>0.75</v>
      </c>
    </row>
    <row r="11" spans="1:6">
      <c r="A11" s="97">
        <f>SUM([1]Gen!A20)</f>
        <v>43748</v>
      </c>
      <c r="B11" s="14">
        <f>SUM('[1]Summery Report'!F14)</f>
        <v>6063</v>
      </c>
      <c r="C11" s="122">
        <f>SUM('[1]Summery Report'!C14)</f>
        <v>0.32500000000000001</v>
      </c>
      <c r="D11" s="81" t="e">
        <f>SUM('[1]Summery Report'!#REF!)</f>
        <v>#REF!</v>
      </c>
      <c r="E11" s="81" t="e">
        <f>SUM('[1]Summery Report'!#REF!)</f>
        <v>#REF!</v>
      </c>
      <c r="F11" s="20">
        <v>0.76249999999999996</v>
      </c>
    </row>
    <row r="12" spans="1:6">
      <c r="A12" s="97">
        <f>SUM([1]Gen!A21)</f>
        <v>43749</v>
      </c>
      <c r="B12" s="14">
        <f>SUM('[1]Summery Report'!F15)</f>
        <v>5967</v>
      </c>
      <c r="C12" s="122">
        <f>SUM('[1]Summery Report'!C15)</f>
        <v>0.45500000000000002</v>
      </c>
      <c r="D12" s="81" t="e">
        <f>SUM('[1]Summery Report'!#REF!)</f>
        <v>#REF!</v>
      </c>
      <c r="E12" s="81" t="e">
        <f>SUM('[1]Summery Report'!#REF!)</f>
        <v>#REF!</v>
      </c>
      <c r="F12" s="20">
        <v>0.16250000000000001</v>
      </c>
    </row>
    <row r="13" spans="1:6">
      <c r="A13" s="97">
        <f>SUM([1]Gen!A22)</f>
        <v>43750</v>
      </c>
      <c r="B13" s="14">
        <f>SUM('[1]Summery Report'!F16)</f>
        <v>5863</v>
      </c>
      <c r="C13" s="122">
        <f>SUM('[1]Summery Report'!C16)</f>
        <v>0.41599999999999998</v>
      </c>
      <c r="D13" s="81" t="e">
        <f>SUM('[1]Summery Report'!#REF!)</f>
        <v>#REF!</v>
      </c>
      <c r="E13" s="81" t="e">
        <f>SUM('[1]Summery Report'!#REF!)</f>
        <v>#REF!</v>
      </c>
      <c r="F13" s="20">
        <v>0.1125</v>
      </c>
    </row>
    <row r="14" spans="1:6">
      <c r="A14" s="97">
        <f>SUM([1]Gen!A23)</f>
        <v>43751</v>
      </c>
      <c r="B14" s="14">
        <f>SUM('[1]Summery Report'!F17)</f>
        <v>5720</v>
      </c>
      <c r="C14" s="122">
        <f>SUM('[1]Summery Report'!C17)</f>
        <v>0.39</v>
      </c>
      <c r="D14" s="81" t="e">
        <f>SUM('[1]Summery Report'!#REF!)</f>
        <v>#REF!</v>
      </c>
      <c r="E14" s="81" t="e">
        <f>SUM('[1]Summery Report'!#REF!)</f>
        <v>#REF!</v>
      </c>
      <c r="F14" s="20">
        <v>3.7499999999999999E-2</v>
      </c>
    </row>
    <row r="15" spans="1:6">
      <c r="A15" s="97">
        <f>SUM([1]Gen!A24)</f>
        <v>43752</v>
      </c>
      <c r="B15" s="14">
        <f>SUM('[1]Summery Report'!F18)</f>
        <v>6195</v>
      </c>
      <c r="C15" s="122">
        <f>SUM('[1]Summery Report'!C18)</f>
        <v>0.63600000000000001</v>
      </c>
      <c r="D15" s="81" t="e">
        <f>SUM('[1]Summery Report'!#REF!)</f>
        <v>#REF!</v>
      </c>
      <c r="E15" s="81" t="e">
        <f>SUM('[1]Summery Report'!#REF!)</f>
        <v>#REF!</v>
      </c>
      <c r="F15" s="20">
        <v>0.125</v>
      </c>
    </row>
    <row r="16" spans="1:6">
      <c r="A16" s="97">
        <f>SUM([1]Gen!A25)</f>
        <v>43753</v>
      </c>
      <c r="B16" s="14">
        <f>SUM('[1]Summery Report'!F19)</f>
        <v>6450</v>
      </c>
      <c r="C16" s="122">
        <f>SUM('[1]Summery Report'!C19)</f>
        <v>0.84399999999999997</v>
      </c>
      <c r="D16" s="81" t="e">
        <f>SUM('[1]Summery Report'!#REF!)</f>
        <v>#REF!</v>
      </c>
      <c r="E16" s="81" t="e">
        <f>SUM('[1]Summery Report'!#REF!)</f>
        <v>#REF!</v>
      </c>
      <c r="F16" s="20">
        <v>0.125</v>
      </c>
    </row>
    <row r="17" spans="1:6">
      <c r="A17" s="97">
        <f>SUM([1]Gen!A26)</f>
        <v>43754</v>
      </c>
      <c r="B17" s="14">
        <f>SUM('[1]Summery Report'!F20)</f>
        <v>6915</v>
      </c>
      <c r="C17" s="122">
        <f>SUM('[1]Summery Report'!C20)</f>
        <v>0.81799999999999995</v>
      </c>
      <c r="D17" s="81" t="e">
        <f>SUM('[1]Summery Report'!#REF!)</f>
        <v>#REF!</v>
      </c>
      <c r="E17" s="81" t="e">
        <f>SUM('[1]Summery Report'!#REF!)</f>
        <v>#REF!</v>
      </c>
      <c r="F17" s="20">
        <v>0.05</v>
      </c>
    </row>
    <row r="18" spans="1:6">
      <c r="A18" s="97">
        <f>SUM([1]Gen!A27)</f>
        <v>43755</v>
      </c>
      <c r="B18" s="14">
        <f>SUM('[1]Summery Report'!F21)</f>
        <v>5962</v>
      </c>
      <c r="C18" s="122">
        <f>SUM('[1]Summery Report'!C21)</f>
        <v>0.20799999999999999</v>
      </c>
      <c r="D18" s="81" t="e">
        <f>SUM('[1]Summery Report'!#REF!)</f>
        <v>#REF!</v>
      </c>
      <c r="E18" s="81" t="e">
        <f>SUM('[1]Summery Report'!#REF!)</f>
        <v>#REF!</v>
      </c>
      <c r="F18" s="20">
        <v>0.21249999999999999</v>
      </c>
    </row>
    <row r="19" spans="1:6">
      <c r="A19" s="97">
        <f>SUM([1]Gen!A28)</f>
        <v>43756</v>
      </c>
      <c r="B19" s="14">
        <f>SUM('[1]Summery Report'!F22)</f>
        <v>5257</v>
      </c>
      <c r="C19" s="122">
        <f>SUM('[1]Summery Report'!C22)</f>
        <v>0.221</v>
      </c>
      <c r="D19" s="81" t="e">
        <f>SUM('[1]Summery Report'!#REF!)</f>
        <v>#REF!</v>
      </c>
      <c r="E19" s="81" t="e">
        <f>SUM('[1]Summery Report'!#REF!)</f>
        <v>#REF!</v>
      </c>
      <c r="F19" s="20">
        <v>0.1125</v>
      </c>
    </row>
    <row r="20" spans="1:6">
      <c r="A20" s="97">
        <f>SUM([1]Gen!A29)</f>
        <v>43757</v>
      </c>
      <c r="B20" s="14">
        <f>SUM('[1]Summery Report'!F23)</f>
        <v>4691</v>
      </c>
      <c r="C20" s="122">
        <f>SUM('[1]Summery Report'!C23)</f>
        <v>0.11700000000000001</v>
      </c>
      <c r="D20" s="81" t="e">
        <f>SUM('[1]Summery Report'!#REF!)</f>
        <v>#REF!</v>
      </c>
      <c r="E20" s="81" t="e">
        <f>SUM('[1]Summery Report'!#REF!)</f>
        <v>#REF!</v>
      </c>
      <c r="F20" s="20">
        <v>0.13750000000000001</v>
      </c>
    </row>
    <row r="21" spans="1:6">
      <c r="A21" s="97">
        <f>SUM([1]Gen!A30)</f>
        <v>43758</v>
      </c>
      <c r="B21" s="14">
        <f>SUM('[1]Summery Report'!F24)</f>
        <v>5712</v>
      </c>
      <c r="C21" s="122">
        <f>SUM('[1]Summery Report'!C24)</f>
        <v>0.57099999999999995</v>
      </c>
      <c r="D21" s="81" t="e">
        <f>SUM('[1]Summery Report'!#REF!)</f>
        <v>#REF!</v>
      </c>
      <c r="E21" s="81" t="e">
        <f>SUM('[1]Summery Report'!#REF!)</f>
        <v>#REF!</v>
      </c>
      <c r="F21" s="20">
        <v>0.15</v>
      </c>
    </row>
    <row r="22" spans="1:6">
      <c r="A22" s="97">
        <f>SUM([1]Gen!A31)</f>
        <v>43759</v>
      </c>
      <c r="B22" s="14">
        <f>SUM('[1]Summery Report'!F25)</f>
        <v>5941</v>
      </c>
      <c r="C22" s="122">
        <f>SUM('[1]Summery Report'!C25)</f>
        <v>0.55800000000000005</v>
      </c>
      <c r="D22" s="81" t="e">
        <f>SUM('[1]Summery Report'!#REF!)</f>
        <v>#REF!</v>
      </c>
      <c r="E22" s="81" t="e">
        <f>SUM('[1]Summery Report'!#REF!)</f>
        <v>#REF!</v>
      </c>
      <c r="F22" s="20">
        <v>0.13750000000000001</v>
      </c>
    </row>
    <row r="23" spans="1:6">
      <c r="A23" s="97">
        <f>SUM([1]Gen!A32)</f>
        <v>43760</v>
      </c>
      <c r="B23" s="14">
        <f>SUM('[1]Summery Report'!F26)</f>
        <v>5400</v>
      </c>
      <c r="C23" s="122">
        <f>SUM('[1]Summery Report'!C26)</f>
        <v>0.40300000000000002</v>
      </c>
      <c r="D23" s="81" t="e">
        <f>SUM('[1]Summery Report'!#REF!)</f>
        <v>#REF!</v>
      </c>
      <c r="E23" s="81" t="e">
        <f>SUM('[1]Summery Report'!#REF!)</f>
        <v>#REF!</v>
      </c>
      <c r="F23" s="20">
        <v>0</v>
      </c>
    </row>
    <row r="24" spans="1:6">
      <c r="A24" s="97">
        <f>SUM([1]Gen!A33)</f>
        <v>43761</v>
      </c>
      <c r="B24" s="14">
        <f>SUM('[1]Summery Report'!F27)</f>
        <v>5371</v>
      </c>
      <c r="C24" s="122">
        <f>SUM('[1]Summery Report'!C27)</f>
        <v>0.24</v>
      </c>
      <c r="D24" s="81" t="e">
        <f>SUM('[1]Summery Report'!#REF!)</f>
        <v>#REF!</v>
      </c>
      <c r="E24" s="81" t="e">
        <f>SUM('[1]Summery Report'!#REF!)</f>
        <v>#REF!</v>
      </c>
      <c r="F24" s="20">
        <v>0.05</v>
      </c>
    </row>
    <row r="25" spans="1:6">
      <c r="A25" s="97">
        <f>SUM([1]Gen!A34)</f>
        <v>43762</v>
      </c>
      <c r="B25" s="14">
        <f>SUM('[1]Summery Report'!F28)</f>
        <v>5296</v>
      </c>
      <c r="C25" s="122">
        <f>SUM('[1]Summery Report'!C28)</f>
        <v>0.09</v>
      </c>
      <c r="D25" s="81" t="e">
        <f>SUM('[1]Summery Report'!#REF!)</f>
        <v>#REF!</v>
      </c>
      <c r="E25" s="81" t="e">
        <f>SUM('[1]Summery Report'!#REF!)</f>
        <v>#REF!</v>
      </c>
      <c r="F25" s="20">
        <v>0.1125</v>
      </c>
    </row>
    <row r="26" spans="1:6">
      <c r="A26" s="97">
        <f>SUM([1]Gen!A35)</f>
        <v>43763</v>
      </c>
      <c r="B26" s="14">
        <f>SUM('[1]Summery Report'!F29)</f>
        <v>5221</v>
      </c>
      <c r="C26" s="122">
        <f>SUM('[1]Summery Report'!C29)</f>
        <v>0.28599999999999998</v>
      </c>
      <c r="D26" s="81" t="e">
        <f>SUM('[1]Summery Report'!#REF!)</f>
        <v>#REF!</v>
      </c>
      <c r="E26" s="81" t="e">
        <f>SUM('[1]Summery Report'!#REF!)</f>
        <v>#REF!</v>
      </c>
      <c r="F26" s="20">
        <v>0.125</v>
      </c>
    </row>
    <row r="27" spans="1:6">
      <c r="A27" s="97">
        <f>SUM([1]Gen!A36)</f>
        <v>43764</v>
      </c>
      <c r="B27" s="14">
        <f>SUM('[1]Summery Report'!F30)</f>
        <v>5665</v>
      </c>
      <c r="C27" s="122">
        <f>SUM('[1]Summery Report'!C30)</f>
        <v>0.54500000000000004</v>
      </c>
      <c r="D27" s="81" t="e">
        <f>SUM('[1]Summery Report'!#REF!)</f>
        <v>#REF!</v>
      </c>
      <c r="E27" s="81" t="e">
        <f>SUM('[1]Summery Report'!#REF!)</f>
        <v>#REF!</v>
      </c>
      <c r="F27" s="20">
        <v>0.17499999999999999</v>
      </c>
    </row>
    <row r="28" spans="1:6">
      <c r="A28" s="97">
        <f>SUM([1]Gen!A37)</f>
        <v>43765</v>
      </c>
      <c r="B28" s="14">
        <f>SUM('[1]Summery Report'!F31)</f>
        <v>6109</v>
      </c>
      <c r="C28" s="122">
        <f>SUM('[1]Summery Report'!C31)</f>
        <v>0.67500000000000004</v>
      </c>
      <c r="D28" s="81" t="e">
        <f>SUM('[1]Summery Report'!#REF!)</f>
        <v>#REF!</v>
      </c>
      <c r="E28" s="81" t="e">
        <f>SUM('[1]Summery Report'!#REF!)</f>
        <v>#REF!</v>
      </c>
      <c r="F28" s="20">
        <v>0.125</v>
      </c>
    </row>
    <row r="29" spans="1:6">
      <c r="A29" s="97">
        <f>SUM([1]Gen!A38)</f>
        <v>43766</v>
      </c>
      <c r="B29" s="14">
        <f>SUM('[1]Summery Report'!F32)</f>
        <v>0</v>
      </c>
      <c r="C29" s="122">
        <f>SUM('[1]Summery Report'!C32)</f>
        <v>0.27300000000000002</v>
      </c>
      <c r="D29" s="81" t="e">
        <f>SUM('[1]Summery Report'!#REF!)</f>
        <v>#REF!</v>
      </c>
      <c r="E29" s="81" t="e">
        <f>SUM('[1]Summery Report'!#REF!)</f>
        <v>#REF!</v>
      </c>
      <c r="F29" s="20">
        <v>7.4999999999999997E-2</v>
      </c>
    </row>
    <row r="30" spans="1:6">
      <c r="A30" s="97">
        <f>SUM([1]Gen!A39)</f>
        <v>43767</v>
      </c>
      <c r="B30" s="14">
        <f>SUM('[1]Summery Report'!F33)</f>
        <v>0</v>
      </c>
      <c r="C30" s="122">
        <f>SUM('[1]Summery Report'!C33)</f>
        <v>0</v>
      </c>
      <c r="D30" s="81" t="e">
        <f>SUM('[1]Summery Report'!#REF!)</f>
        <v>#REF!</v>
      </c>
      <c r="E30" s="81" t="e">
        <f>SUM('[1]Summery Report'!#REF!)</f>
        <v>#REF!</v>
      </c>
      <c r="F30" s="20">
        <v>0.1125</v>
      </c>
    </row>
    <row r="31" spans="1:6">
      <c r="A31" s="97">
        <f>SUM([1]Gen!A40)</f>
        <v>43768</v>
      </c>
      <c r="B31" s="14">
        <f>SUM('[1]Summery Report'!F34)</f>
        <v>0</v>
      </c>
      <c r="C31" s="122">
        <f>SUM('[1]Summery Report'!C34)</f>
        <v>0</v>
      </c>
      <c r="D31" s="81" t="e">
        <f>SUM('[1]Summery Report'!#REF!)</f>
        <v>#REF!</v>
      </c>
      <c r="E31" s="81" t="e">
        <f>SUM('[1]Summery Report'!#REF!)</f>
        <v>#REF!</v>
      </c>
      <c r="F31" s="20">
        <v>0.15</v>
      </c>
    </row>
    <row r="32" spans="1:6">
      <c r="A32" s="97">
        <f>SUM([1]Gen!A41)</f>
        <v>43769</v>
      </c>
      <c r="B32" s="14">
        <f>SUM('[1]Summery Report'!F35)</f>
        <v>0</v>
      </c>
      <c r="C32" s="122">
        <f>SUM('[1]Summery Report'!C35)</f>
        <v>0</v>
      </c>
      <c r="D32" s="81" t="e">
        <f>SUM('[1]Summery Report'!#REF!)</f>
        <v>#REF!</v>
      </c>
      <c r="E32" s="81" t="e">
        <f>SUM('[1]Summery Report'!#REF!)</f>
        <v>#REF!</v>
      </c>
      <c r="F32" s="20">
        <v>0.17499999999999999</v>
      </c>
    </row>
    <row r="33" spans="1:2">
      <c r="A33" s="11"/>
      <c r="B33" s="14">
        <f>[1]Gen!S41</f>
        <v>0</v>
      </c>
    </row>
    <row r="34" spans="1:2">
      <c r="A34" s="11"/>
      <c r="B34" s="14"/>
    </row>
    <row r="35" spans="1:2">
      <c r="A35" s="11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D36" sqref="D3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6" customWidth="1"/>
    <col min="8" max="8" width="23.5703125" customWidth="1"/>
    <col min="9" max="9" width="17.5703125" customWidth="1"/>
    <col min="10" max="10" width="18.5703125" style="94" customWidth="1"/>
  </cols>
  <sheetData>
    <row r="1" spans="1:15" ht="15">
      <c r="A1" s="33"/>
      <c r="B1" s="36"/>
      <c r="C1" s="37"/>
      <c r="D1" s="36"/>
      <c r="E1" s="36"/>
      <c r="F1" s="38"/>
      <c r="G1" s="100"/>
      <c r="H1" s="36"/>
      <c r="I1" s="36"/>
      <c r="J1" s="117"/>
    </row>
    <row r="2" spans="1:15" ht="15">
      <c r="A2" s="34"/>
      <c r="B2" s="39"/>
      <c r="C2" s="40"/>
      <c r="D2" s="41"/>
      <c r="E2" s="41"/>
      <c r="F2" s="42"/>
      <c r="G2" s="104"/>
      <c r="H2" s="39"/>
      <c r="I2" s="39"/>
      <c r="J2" s="118"/>
    </row>
    <row r="3" spans="1:15" ht="15.75">
      <c r="A3" s="34"/>
      <c r="B3" s="39"/>
      <c r="C3" s="837" t="s">
        <v>72</v>
      </c>
      <c r="D3" s="838"/>
      <c r="E3" s="838"/>
      <c r="F3" s="839"/>
      <c r="G3" s="105"/>
      <c r="H3" s="43" t="e">
        <f>4579-#REF!</f>
        <v>#REF!</v>
      </c>
      <c r="I3" s="43"/>
      <c r="J3" s="119"/>
    </row>
    <row r="4" spans="1:15" ht="15">
      <c r="A4" s="34"/>
      <c r="B4" s="39"/>
      <c r="C4" s="40"/>
      <c r="D4" s="41"/>
      <c r="E4" s="41"/>
      <c r="F4" s="51"/>
      <c r="G4" s="104"/>
      <c r="H4" s="39"/>
      <c r="I4" s="39"/>
      <c r="J4" s="118"/>
    </row>
    <row r="5" spans="1:15" ht="15">
      <c r="A5" s="32"/>
      <c r="B5" s="44"/>
      <c r="C5" s="45"/>
      <c r="D5" s="44"/>
      <c r="E5" s="44"/>
      <c r="F5" s="46"/>
      <c r="G5" s="104"/>
      <c r="H5" s="39"/>
      <c r="I5" s="39"/>
      <c r="J5" s="120"/>
    </row>
    <row r="6" spans="1:15" ht="13.5" customHeight="1">
      <c r="A6" s="5"/>
      <c r="B6" s="47"/>
      <c r="C6" s="840"/>
      <c r="D6" s="841"/>
      <c r="E6" s="842"/>
      <c r="F6" s="842"/>
      <c r="G6" s="50" t="s">
        <v>4</v>
      </c>
      <c r="H6" s="48" t="s">
        <v>14</v>
      </c>
      <c r="I6" s="43"/>
      <c r="J6" s="118"/>
    </row>
    <row r="7" spans="1:15" ht="18" customHeight="1">
      <c r="A7" s="843" t="s">
        <v>7</v>
      </c>
      <c r="B7" s="102" t="s">
        <v>74</v>
      </c>
      <c r="C7" s="101" t="s">
        <v>75</v>
      </c>
      <c r="D7" s="102" t="s">
        <v>76</v>
      </c>
      <c r="E7" s="107"/>
      <c r="F7" s="108" t="s">
        <v>38</v>
      </c>
      <c r="G7" s="109" t="s">
        <v>13</v>
      </c>
      <c r="H7" s="190" t="s">
        <v>12</v>
      </c>
      <c r="I7" s="110" t="s">
        <v>11</v>
      </c>
      <c r="J7" s="49" t="s">
        <v>10</v>
      </c>
    </row>
    <row r="8" spans="1:15" ht="18" customHeight="1">
      <c r="A8" s="844"/>
      <c r="B8" s="410" t="s">
        <v>61</v>
      </c>
      <c r="C8" s="102" t="s">
        <v>37</v>
      </c>
      <c r="D8" s="103" t="s">
        <v>60</v>
      </c>
      <c r="E8" s="112"/>
      <c r="F8" s="115" t="s">
        <v>16</v>
      </c>
      <c r="G8" s="113" t="s">
        <v>73</v>
      </c>
      <c r="H8" s="111" t="s">
        <v>1</v>
      </c>
      <c r="I8" s="114" t="s">
        <v>9</v>
      </c>
      <c r="J8" s="49" t="s">
        <v>8</v>
      </c>
    </row>
    <row r="9" spans="1:15" ht="18.75">
      <c r="A9" s="336"/>
      <c r="B9" s="374">
        <v>76</v>
      </c>
      <c r="C9" s="374">
        <v>85</v>
      </c>
      <c r="D9" s="374">
        <v>85</v>
      </c>
      <c r="E9" s="374"/>
      <c r="F9" s="374">
        <v>67280.75</v>
      </c>
      <c r="G9" s="374"/>
      <c r="H9" s="35"/>
      <c r="I9" s="22"/>
      <c r="J9" s="121"/>
      <c r="N9" s="191"/>
      <c r="O9" s="191"/>
    </row>
    <row r="10" spans="1:15" ht="18.75">
      <c r="A10" s="98">
        <f>Gen!A11</f>
        <v>43770</v>
      </c>
      <c r="B10" s="374">
        <v>73</v>
      </c>
      <c r="C10" s="374">
        <v>85</v>
      </c>
      <c r="D10" s="374">
        <v>85</v>
      </c>
      <c r="E10" s="374"/>
      <c r="F10" s="374">
        <v>67328.100000000006</v>
      </c>
      <c r="G10" s="374">
        <f t="shared" ref="G10:G41" si="0">(F10-F9)*4.4</f>
        <v>208.34000000002564</v>
      </c>
      <c r="H10" s="116">
        <f>'[1]Summery Report'!C5</f>
        <v>0.623</v>
      </c>
      <c r="I10" s="6">
        <f>SUM(F10/H10)</f>
        <v>108070.78651685394</v>
      </c>
      <c r="J10" s="121">
        <f t="shared" ref="J10:J40" si="1">SUM(G10/I10)</f>
        <v>1.9278105278481936E-3</v>
      </c>
      <c r="N10" s="191"/>
      <c r="O10" s="191"/>
    </row>
    <row r="11" spans="1:15" ht="18.75">
      <c r="A11" s="98">
        <f>Gen!A12</f>
        <v>43771</v>
      </c>
      <c r="B11" s="374">
        <v>70</v>
      </c>
      <c r="C11" s="374">
        <v>85</v>
      </c>
      <c r="D11" s="374">
        <v>85</v>
      </c>
      <c r="E11" s="374"/>
      <c r="F11" s="374">
        <v>67351.14</v>
      </c>
      <c r="G11" s="374">
        <f t="shared" si="0"/>
        <v>101.37599999997184</v>
      </c>
      <c r="H11" s="116">
        <f>'[1]Summery Report'!C6</f>
        <v>0.77900000000000003</v>
      </c>
      <c r="I11" s="6">
        <f t="shared" ref="I11:I41" si="2">SUM(F11/H11)</f>
        <v>86458.459563543001</v>
      </c>
      <c r="J11" s="121">
        <f t="shared" si="1"/>
        <v>1.1725399748241539E-3</v>
      </c>
      <c r="M11" s="191"/>
      <c r="N11" s="191"/>
    </row>
    <row r="12" spans="1:15" ht="18.75">
      <c r="A12" s="98">
        <f>Gen!A13</f>
        <v>43772</v>
      </c>
      <c r="B12" s="374">
        <v>66</v>
      </c>
      <c r="C12" s="374">
        <v>85</v>
      </c>
      <c r="D12" s="374">
        <v>85</v>
      </c>
      <c r="E12" s="374"/>
      <c r="F12" s="374">
        <v>67374.2</v>
      </c>
      <c r="G12" s="374">
        <f t="shared" si="0"/>
        <v>101.46399999998977</v>
      </c>
      <c r="H12" s="116">
        <f>'[1]Summery Report'!C7</f>
        <v>0.53200000000000003</v>
      </c>
      <c r="I12" s="6">
        <f t="shared" si="2"/>
        <v>126643.23308270675</v>
      </c>
      <c r="J12" s="121">
        <f t="shared" si="1"/>
        <v>8.0117979879530394E-4</v>
      </c>
      <c r="M12" s="191"/>
      <c r="N12" s="191"/>
    </row>
    <row r="13" spans="1:15" ht="18.75">
      <c r="A13" s="98">
        <f>Gen!A14</f>
        <v>43773</v>
      </c>
      <c r="B13" s="374">
        <v>62</v>
      </c>
      <c r="C13" s="374">
        <v>85</v>
      </c>
      <c r="D13" s="374">
        <v>85</v>
      </c>
      <c r="E13" s="374"/>
      <c r="F13" s="374">
        <v>67404.34</v>
      </c>
      <c r="G13" s="374">
        <f t="shared" si="0"/>
        <v>132.61599999999746</v>
      </c>
      <c r="H13" s="116">
        <f>'[1]Summery Report'!C8</f>
        <v>0.61</v>
      </c>
      <c r="I13" s="6">
        <f t="shared" si="2"/>
        <v>110498.91803278688</v>
      </c>
      <c r="J13" s="121">
        <f t="shared" si="1"/>
        <v>1.200156547783102E-3</v>
      </c>
      <c r="M13" s="191"/>
      <c r="N13" s="191"/>
    </row>
    <row r="14" spans="1:15" ht="18.75">
      <c r="A14" s="98">
        <f>Gen!A15</f>
        <v>43774</v>
      </c>
      <c r="B14" s="374">
        <v>60</v>
      </c>
      <c r="C14" s="374">
        <v>85</v>
      </c>
      <c r="D14" s="374">
        <v>85</v>
      </c>
      <c r="E14" s="374"/>
      <c r="F14" s="374">
        <v>67437.789999999994</v>
      </c>
      <c r="G14" s="374">
        <f t="shared" si="0"/>
        <v>147.17999999998722</v>
      </c>
      <c r="H14" s="116">
        <f>'[1]Summery Report'!C9</f>
        <v>0.68799999999999994</v>
      </c>
      <c r="I14" s="6">
        <f t="shared" si="2"/>
        <v>98020.04360465116</v>
      </c>
      <c r="J14" s="121">
        <f t="shared" si="1"/>
        <v>1.5015296319762436E-3</v>
      </c>
      <c r="M14" s="191"/>
      <c r="N14" s="191"/>
    </row>
    <row r="15" spans="1:15" ht="18.75">
      <c r="A15" s="98">
        <f>Gen!A16</f>
        <v>43775</v>
      </c>
      <c r="B15" s="374">
        <v>56</v>
      </c>
      <c r="C15" s="374">
        <v>85</v>
      </c>
      <c r="D15" s="374">
        <v>85</v>
      </c>
      <c r="E15" s="374"/>
      <c r="F15" s="374">
        <v>67470.67</v>
      </c>
      <c r="G15" s="374">
        <f t="shared" si="0"/>
        <v>144.67200000002049</v>
      </c>
      <c r="H15" s="116">
        <f>'[1]Summery Report'!C10</f>
        <v>0.53200000000000003</v>
      </c>
      <c r="I15" s="6">
        <f t="shared" si="2"/>
        <v>126824.56766917292</v>
      </c>
      <c r="J15" s="121">
        <f t="shared" si="1"/>
        <v>1.14072535518042E-3</v>
      </c>
      <c r="M15" s="191"/>
      <c r="N15" s="191"/>
    </row>
    <row r="16" spans="1:15" ht="18.75">
      <c r="A16" s="98">
        <f>Gen!A17</f>
        <v>43776</v>
      </c>
      <c r="B16" s="374">
        <v>54</v>
      </c>
      <c r="C16" s="374">
        <v>85</v>
      </c>
      <c r="D16" s="374">
        <v>85</v>
      </c>
      <c r="E16" s="374"/>
      <c r="F16" s="374">
        <v>67504.55</v>
      </c>
      <c r="G16" s="374">
        <f t="shared" si="0"/>
        <v>149.07200000002049</v>
      </c>
      <c r="H16" s="116">
        <f>'[1]Summery Report'!C11</f>
        <v>0.753</v>
      </c>
      <c r="I16" s="6">
        <f t="shared" si="2"/>
        <v>89647.47675962816</v>
      </c>
      <c r="J16" s="121">
        <f t="shared" si="1"/>
        <v>1.6628688880974012E-3</v>
      </c>
      <c r="M16" s="191"/>
      <c r="N16" s="191"/>
    </row>
    <row r="17" spans="1:14" ht="18.75">
      <c r="A17" s="98">
        <f>Gen!A18</f>
        <v>43777</v>
      </c>
      <c r="B17" s="374">
        <v>50</v>
      </c>
      <c r="C17" s="374">
        <v>85</v>
      </c>
      <c r="D17" s="374">
        <v>85</v>
      </c>
      <c r="E17" s="374"/>
      <c r="F17" s="374">
        <v>67539.11</v>
      </c>
      <c r="G17" s="374">
        <f t="shared" si="0"/>
        <v>152.06399999998976</v>
      </c>
      <c r="H17" s="116">
        <f>'[1]Summery Report'!C12</f>
        <v>0.156</v>
      </c>
      <c r="I17" s="6">
        <f t="shared" si="2"/>
        <v>432943.01282051281</v>
      </c>
      <c r="J17" s="121">
        <f t="shared" si="1"/>
        <v>3.5123329282838351E-4</v>
      </c>
      <c r="M17" s="191"/>
      <c r="N17" s="191"/>
    </row>
    <row r="18" spans="1:14" ht="18.75">
      <c r="A18" s="98">
        <f>Gen!A19</f>
        <v>43778</v>
      </c>
      <c r="B18" s="374">
        <v>47</v>
      </c>
      <c r="C18" s="374">
        <v>85</v>
      </c>
      <c r="D18" s="374">
        <v>85</v>
      </c>
      <c r="E18" s="374"/>
      <c r="F18" s="374">
        <v>67573.72</v>
      </c>
      <c r="G18" s="374">
        <f t="shared" si="0"/>
        <v>152.28400000000258</v>
      </c>
      <c r="H18" s="116">
        <f>'[1]Summery Report'!C13</f>
        <v>0.442</v>
      </c>
      <c r="I18" s="6">
        <f t="shared" si="2"/>
        <v>152881.71945701356</v>
      </c>
      <c r="J18" s="121">
        <f t="shared" si="1"/>
        <v>9.9609031440034889E-4</v>
      </c>
      <c r="M18" s="191"/>
      <c r="N18" s="191"/>
    </row>
    <row r="19" spans="1:14" ht="18.75">
      <c r="A19" s="98">
        <f>Gen!A20</f>
        <v>43779</v>
      </c>
      <c r="B19" s="374">
        <v>45</v>
      </c>
      <c r="C19" s="374">
        <v>85</v>
      </c>
      <c r="D19" s="374">
        <v>85</v>
      </c>
      <c r="E19" s="374"/>
      <c r="F19" s="374">
        <v>67597.240000000005</v>
      </c>
      <c r="G19" s="374">
        <f t="shared" si="0"/>
        <v>103.48800000001793</v>
      </c>
      <c r="H19" s="116">
        <f>'[1]Summery Report'!C14</f>
        <v>0.32500000000000001</v>
      </c>
      <c r="I19" s="6">
        <f t="shared" si="2"/>
        <v>207991.5076923077</v>
      </c>
      <c r="J19" s="121">
        <f t="shared" si="1"/>
        <v>4.9755877606845824E-4</v>
      </c>
      <c r="M19" s="191"/>
      <c r="N19" s="191"/>
    </row>
    <row r="20" spans="1:14" ht="18.75">
      <c r="A20" s="98">
        <f>Gen!A21</f>
        <v>43780</v>
      </c>
      <c r="B20" s="374">
        <v>42</v>
      </c>
      <c r="C20" s="374">
        <v>85</v>
      </c>
      <c r="D20" s="374">
        <v>85</v>
      </c>
      <c r="E20" s="374"/>
      <c r="F20" s="374">
        <v>67620.37</v>
      </c>
      <c r="G20" s="374">
        <f t="shared" si="0"/>
        <v>101.77199999995646</v>
      </c>
      <c r="H20" s="116">
        <f>'[1]Summery Report'!C15</f>
        <v>0.45500000000000002</v>
      </c>
      <c r="I20" s="6">
        <f t="shared" si="2"/>
        <v>148616.1978021978</v>
      </c>
      <c r="J20" s="121">
        <f t="shared" si="1"/>
        <v>6.8479749519235393E-4</v>
      </c>
    </row>
    <row r="21" spans="1:14" ht="18.75">
      <c r="A21" s="98">
        <f>Gen!A22</f>
        <v>43781</v>
      </c>
      <c r="B21" s="374">
        <v>39</v>
      </c>
      <c r="C21" s="374">
        <v>85</v>
      </c>
      <c r="D21" s="374">
        <v>85</v>
      </c>
      <c r="E21" s="374"/>
      <c r="F21" s="374">
        <v>67646.55</v>
      </c>
      <c r="G21" s="374">
        <f t="shared" si="0"/>
        <v>115.1920000000333</v>
      </c>
      <c r="H21" s="116">
        <f>'[1]Summery Report'!C16</f>
        <v>0.41599999999999998</v>
      </c>
      <c r="I21" s="6">
        <f t="shared" si="2"/>
        <v>162611.89903846156</v>
      </c>
      <c r="J21" s="121">
        <f t="shared" si="1"/>
        <v>7.083860448169766E-4</v>
      </c>
    </row>
    <row r="22" spans="1:14" ht="18.75">
      <c r="A22" s="98">
        <f>Gen!A23</f>
        <v>43782</v>
      </c>
      <c r="B22" s="374">
        <v>35</v>
      </c>
      <c r="C22" s="374">
        <v>85</v>
      </c>
      <c r="D22" s="374">
        <v>85</v>
      </c>
      <c r="E22" s="374"/>
      <c r="F22" s="374">
        <v>67668.929999999993</v>
      </c>
      <c r="G22" s="374">
        <f t="shared" si="0"/>
        <v>98.471999999956466</v>
      </c>
      <c r="H22" s="116">
        <f>'[1]Summery Report'!C17</f>
        <v>0.39</v>
      </c>
      <c r="I22" s="6">
        <f t="shared" si="2"/>
        <v>173510.07692307691</v>
      </c>
      <c r="J22" s="121">
        <f t="shared" si="1"/>
        <v>5.6752899742884989E-4</v>
      </c>
    </row>
    <row r="23" spans="1:14" ht="18.75">
      <c r="A23" s="98">
        <f>Gen!A24</f>
        <v>43783</v>
      </c>
      <c r="B23" s="374">
        <v>30</v>
      </c>
      <c r="C23" s="374">
        <v>85</v>
      </c>
      <c r="D23" s="374">
        <v>85</v>
      </c>
      <c r="E23" s="374"/>
      <c r="F23" s="374">
        <v>67694.42</v>
      </c>
      <c r="G23" s="374">
        <f t="shared" si="0"/>
        <v>112.15600000002306</v>
      </c>
      <c r="H23" s="116">
        <f>'[1]Summery Report'!C18</f>
        <v>0.63600000000000001</v>
      </c>
      <c r="I23" s="6">
        <f t="shared" si="2"/>
        <v>106437.76729559748</v>
      </c>
      <c r="J23" s="121">
        <f t="shared" si="1"/>
        <v>1.0537237190305297E-3</v>
      </c>
    </row>
    <row r="24" spans="1:14" ht="18.75">
      <c r="A24" s="98">
        <f>Gen!A25</f>
        <v>43784</v>
      </c>
      <c r="B24" s="374">
        <v>32</v>
      </c>
      <c r="C24" s="374">
        <v>85</v>
      </c>
      <c r="D24" s="374">
        <v>85</v>
      </c>
      <c r="E24" s="374"/>
      <c r="F24" s="374">
        <v>67717.850000000006</v>
      </c>
      <c r="G24" s="374">
        <f t="shared" si="0"/>
        <v>103.09200000003331</v>
      </c>
      <c r="H24" s="116">
        <f>'[1]Summery Report'!C19</f>
        <v>0.84399999999999997</v>
      </c>
      <c r="I24" s="6">
        <f t="shared" si="2"/>
        <v>80234.419431279632</v>
      </c>
      <c r="J24" s="121">
        <f t="shared" si="1"/>
        <v>1.2848849749368609E-3</v>
      </c>
    </row>
    <row r="25" spans="1:14" ht="18.75">
      <c r="A25" s="98">
        <f>Gen!A26</f>
        <v>43785</v>
      </c>
      <c r="B25" s="374">
        <v>30</v>
      </c>
      <c r="C25" s="374">
        <v>85</v>
      </c>
      <c r="D25" s="374">
        <v>85</v>
      </c>
      <c r="E25" s="374"/>
      <c r="F25" s="374">
        <v>67746.58</v>
      </c>
      <c r="G25" s="374">
        <f t="shared" si="0"/>
        <v>126.41199999998209</v>
      </c>
      <c r="H25" s="116">
        <f>'[1]Summery Report'!C20</f>
        <v>0.81799999999999995</v>
      </c>
      <c r="I25" s="6">
        <f t="shared" si="2"/>
        <v>82819.779951100252</v>
      </c>
      <c r="J25" s="121">
        <f t="shared" si="1"/>
        <v>1.5263503486077871E-3</v>
      </c>
    </row>
    <row r="26" spans="1:14" ht="18.75">
      <c r="A26" s="98">
        <f>Gen!A27</f>
        <v>43786</v>
      </c>
      <c r="B26" s="374">
        <v>27</v>
      </c>
      <c r="C26" s="374">
        <v>85</v>
      </c>
      <c r="D26" s="374">
        <v>85</v>
      </c>
      <c r="E26" s="374"/>
      <c r="F26" s="374">
        <v>67773.740000000005</v>
      </c>
      <c r="G26" s="374">
        <f t="shared" si="0"/>
        <v>119.50400000001538</v>
      </c>
      <c r="H26" s="116">
        <f>'[1]Summery Report'!C21</f>
        <v>0.20799999999999999</v>
      </c>
      <c r="I26" s="6">
        <f t="shared" si="2"/>
        <v>325835.2884615385</v>
      </c>
      <c r="J26" s="121">
        <f t="shared" si="1"/>
        <v>3.6676199365717749E-4</v>
      </c>
    </row>
    <row r="27" spans="1:14" ht="18.75">
      <c r="A27" s="98">
        <f>Gen!A28</f>
        <v>43787</v>
      </c>
      <c r="B27" s="374">
        <v>25</v>
      </c>
      <c r="C27" s="374">
        <v>85</v>
      </c>
      <c r="D27" s="374">
        <v>85</v>
      </c>
      <c r="E27" s="374"/>
      <c r="F27" s="374">
        <v>67798.789999999994</v>
      </c>
      <c r="G27" s="374">
        <f t="shared" si="0"/>
        <v>110.21999999994878</v>
      </c>
      <c r="H27" s="116">
        <f>'[1]Summery Report'!C22</f>
        <v>0.221</v>
      </c>
      <c r="I27" s="6">
        <f t="shared" si="2"/>
        <v>306781.85520361987</v>
      </c>
      <c r="J27" s="121">
        <f t="shared" si="1"/>
        <v>3.592780933109379E-4</v>
      </c>
    </row>
    <row r="28" spans="1:14" ht="18.75">
      <c r="A28" s="98">
        <f>Gen!A29</f>
        <v>43788</v>
      </c>
      <c r="B28" s="374">
        <v>23</v>
      </c>
      <c r="C28" s="374">
        <v>85</v>
      </c>
      <c r="D28" s="374">
        <v>85</v>
      </c>
      <c r="E28" s="374"/>
      <c r="F28" s="374">
        <v>67827.45</v>
      </c>
      <c r="G28" s="374">
        <f t="shared" si="0"/>
        <v>126.10400000001538</v>
      </c>
      <c r="H28" s="116">
        <f>'[1]Summery Report'!C23</f>
        <v>0.11700000000000001</v>
      </c>
      <c r="I28" s="6">
        <f t="shared" si="2"/>
        <v>579721.79487179476</v>
      </c>
      <c r="J28" s="121">
        <f t="shared" si="1"/>
        <v>2.1752502858358677E-4</v>
      </c>
    </row>
    <row r="29" spans="1:14" ht="18.75">
      <c r="A29" s="98">
        <f>Gen!A30</f>
        <v>43789</v>
      </c>
      <c r="B29" s="374">
        <v>20</v>
      </c>
      <c r="C29" s="374">
        <v>85</v>
      </c>
      <c r="D29" s="374">
        <v>85</v>
      </c>
      <c r="E29" s="374"/>
      <c r="F29" s="374">
        <v>67851.8</v>
      </c>
      <c r="G29" s="374">
        <f t="shared" si="0"/>
        <v>107.14000000002562</v>
      </c>
      <c r="H29" s="116">
        <f>'[1]Summery Report'!C24</f>
        <v>0.57099999999999995</v>
      </c>
      <c r="I29" s="6">
        <f t="shared" si="2"/>
        <v>118829.77232924695</v>
      </c>
      <c r="J29" s="121">
        <f t="shared" si="1"/>
        <v>9.0162589643921938E-4</v>
      </c>
    </row>
    <row r="30" spans="1:14" ht="18.75">
      <c r="A30" s="98">
        <f>Gen!A31</f>
        <v>43790</v>
      </c>
      <c r="B30" s="374">
        <v>18</v>
      </c>
      <c r="C30" s="374">
        <v>85</v>
      </c>
      <c r="D30" s="374">
        <v>85</v>
      </c>
      <c r="E30" s="374"/>
      <c r="F30" s="374">
        <v>67877.679999999993</v>
      </c>
      <c r="G30" s="374">
        <f t="shared" si="0"/>
        <v>113.87199999995647</v>
      </c>
      <c r="H30" s="116">
        <f>'[1]Summery Report'!C25</f>
        <v>0.55800000000000005</v>
      </c>
      <c r="I30" s="6">
        <f t="shared" si="2"/>
        <v>121644.58781362005</v>
      </c>
      <c r="J30" s="121">
        <f t="shared" si="1"/>
        <v>9.3610412141333825E-4</v>
      </c>
    </row>
    <row r="31" spans="1:14" ht="18.75">
      <c r="A31" s="98">
        <f>Gen!A32</f>
        <v>43791</v>
      </c>
      <c r="B31" s="374">
        <v>15</v>
      </c>
      <c r="C31" s="374">
        <v>85</v>
      </c>
      <c r="D31" s="374">
        <v>85</v>
      </c>
      <c r="E31" s="374"/>
      <c r="F31" s="374">
        <v>67902.8</v>
      </c>
      <c r="G31" s="374">
        <f t="shared" si="0"/>
        <v>110.52800000004355</v>
      </c>
      <c r="H31" s="116">
        <f>'[1]Summery Report'!C26</f>
        <v>0.40300000000000002</v>
      </c>
      <c r="I31" s="6">
        <f t="shared" si="2"/>
        <v>168493.30024813896</v>
      </c>
      <c r="J31" s="121">
        <f t="shared" si="1"/>
        <v>6.5597860471169889E-4</v>
      </c>
    </row>
    <row r="32" spans="1:14" ht="18.75">
      <c r="A32" s="98">
        <f>Gen!A33</f>
        <v>43792</v>
      </c>
      <c r="B32" s="374"/>
      <c r="C32" s="374"/>
      <c r="D32" s="374"/>
      <c r="E32" s="374"/>
      <c r="F32" s="374"/>
      <c r="G32" s="374">
        <f t="shared" si="0"/>
        <v>-298772.32000000007</v>
      </c>
      <c r="H32" s="116">
        <f>'[1]Summery Report'!C27</f>
        <v>0.24</v>
      </c>
      <c r="I32" s="6">
        <f t="shared" si="2"/>
        <v>0</v>
      </c>
      <c r="J32" s="121" t="e">
        <f t="shared" si="1"/>
        <v>#DIV/0!</v>
      </c>
    </row>
    <row r="33" spans="1:10" ht="18.75">
      <c r="A33" s="98">
        <f>Gen!A34</f>
        <v>43793</v>
      </c>
      <c r="B33" s="374"/>
      <c r="C33" s="374"/>
      <c r="D33" s="374"/>
      <c r="E33" s="374"/>
      <c r="F33" s="374"/>
      <c r="G33" s="374">
        <f t="shared" si="0"/>
        <v>0</v>
      </c>
      <c r="H33" s="116">
        <f>'[1]Summery Report'!C28</f>
        <v>0.09</v>
      </c>
      <c r="I33" s="6">
        <f t="shared" si="2"/>
        <v>0</v>
      </c>
      <c r="J33" s="121" t="e">
        <f t="shared" si="1"/>
        <v>#DIV/0!</v>
      </c>
    </row>
    <row r="34" spans="1:10" ht="18.75">
      <c r="A34" s="98">
        <f>Gen!A35</f>
        <v>43794</v>
      </c>
      <c r="B34" s="374"/>
      <c r="C34" s="374"/>
      <c r="D34" s="374"/>
      <c r="E34" s="374"/>
      <c r="F34" s="374"/>
      <c r="G34" s="374">
        <f t="shared" si="0"/>
        <v>0</v>
      </c>
      <c r="H34" s="116">
        <f>'[1]Summery Report'!C29</f>
        <v>0.28599999999999998</v>
      </c>
      <c r="I34" s="6">
        <f t="shared" si="2"/>
        <v>0</v>
      </c>
      <c r="J34" s="121" t="e">
        <f t="shared" si="1"/>
        <v>#DIV/0!</v>
      </c>
    </row>
    <row r="35" spans="1:10" ht="18.75">
      <c r="A35" s="98">
        <f>Gen!A36</f>
        <v>43795</v>
      </c>
      <c r="B35" s="374"/>
      <c r="C35" s="374"/>
      <c r="D35" s="374"/>
      <c r="E35" s="374"/>
      <c r="F35" s="374"/>
      <c r="G35" s="374">
        <f t="shared" si="0"/>
        <v>0</v>
      </c>
      <c r="H35" s="116">
        <f>'[1]Summery Report'!C30</f>
        <v>0.54500000000000004</v>
      </c>
      <c r="I35" s="6">
        <f t="shared" si="2"/>
        <v>0</v>
      </c>
      <c r="J35" s="121" t="e">
        <f t="shared" si="1"/>
        <v>#DIV/0!</v>
      </c>
    </row>
    <row r="36" spans="1:10" ht="18.75">
      <c r="A36" s="98">
        <f>Gen!A37</f>
        <v>43796</v>
      </c>
      <c r="B36" s="374"/>
      <c r="C36" s="374"/>
      <c r="D36" s="374"/>
      <c r="E36" s="374"/>
      <c r="F36" s="374"/>
      <c r="G36" s="374">
        <f t="shared" si="0"/>
        <v>0</v>
      </c>
      <c r="H36" s="116">
        <f>'[1]Summery Report'!C31</f>
        <v>0.67500000000000004</v>
      </c>
      <c r="I36" s="6">
        <f t="shared" si="2"/>
        <v>0</v>
      </c>
      <c r="J36" s="121" t="e">
        <f t="shared" si="1"/>
        <v>#DIV/0!</v>
      </c>
    </row>
    <row r="37" spans="1:10" ht="18.75">
      <c r="A37" s="98">
        <f>Gen!A38</f>
        <v>43797</v>
      </c>
      <c r="B37" s="374"/>
      <c r="C37" s="374"/>
      <c r="D37" s="374"/>
      <c r="E37" s="374"/>
      <c r="F37" s="374"/>
      <c r="G37" s="374">
        <f t="shared" si="0"/>
        <v>0</v>
      </c>
      <c r="H37" s="116">
        <f>'[1]Summery Report'!C32</f>
        <v>0.27300000000000002</v>
      </c>
      <c r="I37" s="6">
        <f t="shared" si="2"/>
        <v>0</v>
      </c>
      <c r="J37" s="121" t="e">
        <f t="shared" si="1"/>
        <v>#DIV/0!</v>
      </c>
    </row>
    <row r="38" spans="1:10" ht="18.75">
      <c r="A38" s="98">
        <f>Gen!A39</f>
        <v>43798</v>
      </c>
      <c r="B38" s="374"/>
      <c r="C38" s="374"/>
      <c r="D38" s="374"/>
      <c r="E38" s="374"/>
      <c r="F38" s="374"/>
      <c r="G38" s="374">
        <f t="shared" si="0"/>
        <v>0</v>
      </c>
      <c r="H38" s="116">
        <f>'[1]Summery Report'!C33</f>
        <v>0</v>
      </c>
      <c r="I38" s="6" t="e">
        <f t="shared" si="2"/>
        <v>#DIV/0!</v>
      </c>
      <c r="J38" s="121" t="e">
        <f t="shared" si="1"/>
        <v>#DIV/0!</v>
      </c>
    </row>
    <row r="39" spans="1:10" ht="18.75">
      <c r="A39" s="98">
        <f>Gen!A40</f>
        <v>43799</v>
      </c>
      <c r="B39" s="374"/>
      <c r="C39" s="374"/>
      <c r="D39" s="374"/>
      <c r="E39" s="374"/>
      <c r="F39" s="374"/>
      <c r="G39" s="374">
        <f t="shared" si="0"/>
        <v>0</v>
      </c>
      <c r="H39" s="116">
        <f>'[1]Summery Report'!C34</f>
        <v>0</v>
      </c>
      <c r="I39" s="6" t="e">
        <f t="shared" si="2"/>
        <v>#DIV/0!</v>
      </c>
      <c r="J39" s="121" t="e">
        <f t="shared" si="1"/>
        <v>#DIV/0!</v>
      </c>
    </row>
    <row r="40" spans="1:10" ht="18.75">
      <c r="A40" s="98">
        <f>Gen!A41</f>
        <v>43800</v>
      </c>
      <c r="B40" s="374"/>
      <c r="C40" s="374"/>
      <c r="D40" s="374"/>
      <c r="E40" s="374"/>
      <c r="F40" s="374"/>
      <c r="G40" s="374">
        <f t="shared" si="0"/>
        <v>0</v>
      </c>
      <c r="H40" s="116">
        <f>'[1]Summery Report'!C35</f>
        <v>0</v>
      </c>
      <c r="I40" s="6" t="e">
        <f t="shared" si="2"/>
        <v>#DIV/0!</v>
      </c>
      <c r="J40" s="121" t="e">
        <f t="shared" si="1"/>
        <v>#DIV/0!</v>
      </c>
    </row>
    <row r="41" spans="1:10" ht="18.75">
      <c r="A41" s="98" t="e">
        <f>[1]Gen!A42</f>
        <v>#REF!</v>
      </c>
      <c r="B41" s="374"/>
      <c r="C41" s="374"/>
      <c r="D41" s="374"/>
      <c r="E41" s="374"/>
      <c r="F41" s="374"/>
      <c r="G41" s="374">
        <f t="shared" si="0"/>
        <v>0</v>
      </c>
      <c r="H41" s="116">
        <f>'[1]Summery Report'!C36</f>
        <v>0</v>
      </c>
      <c r="I41" s="6" t="e">
        <f t="shared" si="2"/>
        <v>#DIV/0!</v>
      </c>
      <c r="J41" s="6"/>
    </row>
    <row r="42" spans="1:10" ht="17.25">
      <c r="A42" s="98"/>
      <c r="B42" s="5"/>
      <c r="C42" s="836" t="s">
        <v>6</v>
      </c>
      <c r="D42" s="836"/>
      <c r="E42" s="2">
        <f t="shared" ref="E42:F42" si="3">SUM(E10:E40)</f>
        <v>0</v>
      </c>
      <c r="F42" s="2">
        <f t="shared" si="3"/>
        <v>1487707.82</v>
      </c>
      <c r="G42" s="106">
        <f>SUM(G10:G40)</f>
        <v>-296035.30000000005</v>
      </c>
      <c r="H42" s="7"/>
      <c r="I42" s="6"/>
      <c r="J42" s="121"/>
    </row>
    <row r="45" spans="1:10">
      <c r="F45">
        <f>E12-E11</f>
        <v>0</v>
      </c>
      <c r="G45" s="16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3" bestFit="1" customWidth="1"/>
  </cols>
  <sheetData>
    <row r="1" spans="1:3" s="17" customFormat="1">
      <c r="A1" s="15" t="s">
        <v>0</v>
      </c>
      <c r="B1" s="15" t="s">
        <v>77</v>
      </c>
      <c r="C1" s="15" t="s">
        <v>24</v>
      </c>
    </row>
    <row r="2" spans="1:3">
      <c r="A2" s="97">
        <f>SUM([1]Gen!A11)</f>
        <v>43739</v>
      </c>
      <c r="B2" s="14">
        <f>'[1]Lpg (2)'!G10</f>
        <v>197.55999999997439</v>
      </c>
      <c r="C2" s="95">
        <f>SUM([1]Gen!B11)</f>
        <v>0.623</v>
      </c>
    </row>
    <row r="3" spans="1:3">
      <c r="A3" s="97">
        <f>SUM([1]Gen!A12)</f>
        <v>43740</v>
      </c>
      <c r="B3" s="14">
        <f>'[1]Lpg (2)'!G11</f>
        <v>131.95600000002307</v>
      </c>
      <c r="C3" s="95">
        <f>SUM([1]Gen!B12)</f>
        <v>0.77900000000000003</v>
      </c>
    </row>
    <row r="4" spans="1:3">
      <c r="A4" s="97">
        <f>SUM([1]Gen!A13)</f>
        <v>43741</v>
      </c>
      <c r="B4" s="14">
        <f>'[1]Lpg (2)'!G12</f>
        <v>117.4799999999872</v>
      </c>
      <c r="C4" s="95">
        <f>SUM([1]Gen!B13)</f>
        <v>0.53200000000000003</v>
      </c>
    </row>
    <row r="5" spans="1:3">
      <c r="A5" s="97">
        <f>SUM([1]Gen!A14)</f>
        <v>43742</v>
      </c>
      <c r="B5" s="14">
        <f>'[1]Lpg (2)'!G13</f>
        <v>102.9599999999744</v>
      </c>
      <c r="C5" s="95">
        <f>SUM([1]Gen!B14)</f>
        <v>0.61</v>
      </c>
    </row>
    <row r="6" spans="1:3">
      <c r="A6" s="97">
        <f>SUM([1]Gen!A15)</f>
        <v>43743</v>
      </c>
      <c r="B6" s="14">
        <f>'[1]Lpg (2)'!G14</f>
        <v>101.81599999999744</v>
      </c>
      <c r="C6" s="95">
        <f>SUM([1]Gen!B15)</f>
        <v>0.68799999999999994</v>
      </c>
    </row>
    <row r="7" spans="1:3">
      <c r="A7" s="97">
        <f>SUM([1]Gen!A16)</f>
        <v>43744</v>
      </c>
      <c r="B7" s="14">
        <f>'[1]Lpg (2)'!G15</f>
        <v>106.92000000001282</v>
      </c>
      <c r="C7" s="95">
        <f>SUM([1]Gen!B16)</f>
        <v>0.53200000000000003</v>
      </c>
    </row>
    <row r="8" spans="1:3">
      <c r="A8" s="97">
        <f>SUM([1]Gen!A17)</f>
        <v>43745</v>
      </c>
      <c r="B8" s="14">
        <f>'[1]Lpg (2)'!G16</f>
        <v>116.73199999999488</v>
      </c>
      <c r="C8" s="95">
        <f>SUM([1]Gen!B17)</f>
        <v>0.753</v>
      </c>
    </row>
    <row r="9" spans="1:3">
      <c r="A9" s="97">
        <f>SUM([1]Gen!A18)</f>
        <v>43746</v>
      </c>
      <c r="B9" s="14">
        <f>'[1]Lpg (2)'!G17</f>
        <v>105.73199999999488</v>
      </c>
      <c r="C9" s="95">
        <f>SUM([1]Gen!B18)</f>
        <v>0.156</v>
      </c>
    </row>
    <row r="10" spans="1:3">
      <c r="A10" s="97">
        <f>SUM([1]Gen!A19)</f>
        <v>43747</v>
      </c>
      <c r="B10" s="14">
        <f>'[1]Lpg (2)'!G18</f>
        <v>114.4</v>
      </c>
      <c r="C10" s="95">
        <f>SUM([1]Gen!B19)</f>
        <v>0.442</v>
      </c>
    </row>
    <row r="11" spans="1:3">
      <c r="A11" s="97">
        <f>SUM([1]Gen!A20)</f>
        <v>43748</v>
      </c>
      <c r="B11" s="14">
        <f>'[1]Lpg (2)'!G19</f>
        <v>102.08000000005123</v>
      </c>
      <c r="C11" s="95">
        <f>SUM([1]Gen!B20)</f>
        <v>0.32500000000000001</v>
      </c>
    </row>
    <row r="12" spans="1:3">
      <c r="A12" s="97">
        <f>SUM([1]Gen!A21)</f>
        <v>43749</v>
      </c>
      <c r="B12" s="14">
        <f>'[1]Lpg (2)'!G20</f>
        <v>105.29199999996928</v>
      </c>
      <c r="C12" s="95">
        <f>SUM([1]Gen!B21)</f>
        <v>0.45500000000000002</v>
      </c>
    </row>
    <row r="13" spans="1:3">
      <c r="A13" s="97">
        <f>SUM([1]Gen!A22)</f>
        <v>43750</v>
      </c>
      <c r="B13" s="14">
        <f>'[1]Lpg (2)'!G21</f>
        <v>114.66399999998977</v>
      </c>
      <c r="C13" s="95">
        <f>SUM([1]Gen!B22)</f>
        <v>0.41599999999999998</v>
      </c>
    </row>
    <row r="14" spans="1:3">
      <c r="A14" s="97">
        <f>SUM([1]Gen!A23)</f>
        <v>43751</v>
      </c>
      <c r="B14" s="14">
        <f>'[1]Lpg (2)'!G22</f>
        <v>113.78400000000256</v>
      </c>
      <c r="C14" s="95">
        <f>SUM([1]Gen!B23)</f>
        <v>0.39</v>
      </c>
    </row>
    <row r="15" spans="1:3">
      <c r="A15" s="97">
        <f>SUM([1]Gen!A24)</f>
        <v>43752</v>
      </c>
      <c r="B15" s="14">
        <f>'[1]Lpg (2)'!G23</f>
        <v>114.62000000001281</v>
      </c>
      <c r="C15" s="95">
        <f>SUM([1]Gen!B24)</f>
        <v>0.63600000000000001</v>
      </c>
    </row>
    <row r="16" spans="1:3">
      <c r="A16" s="97">
        <f>SUM([1]Gen!A25)</f>
        <v>43753</v>
      </c>
      <c r="B16" s="14">
        <f>'[1]Lpg (2)'!G24</f>
        <v>107.49199999996928</v>
      </c>
      <c r="C16" s="95">
        <f>SUM([1]Gen!B25)</f>
        <v>0.84399999999999997</v>
      </c>
    </row>
    <row r="17" spans="1:3">
      <c r="A17" s="97">
        <f>SUM([1]Gen!A26)</f>
        <v>43754</v>
      </c>
      <c r="B17" s="14">
        <f>'[1]Lpg (2)'!G25</f>
        <v>106.78800000001793</v>
      </c>
      <c r="C17" s="95">
        <f>SUM([1]Gen!B26)</f>
        <v>0.81799999999999995</v>
      </c>
    </row>
    <row r="18" spans="1:3">
      <c r="A18" s="97">
        <f>SUM([1]Gen!A27)</f>
        <v>43755</v>
      </c>
      <c r="B18" s="14">
        <f>'[1]Lpg (2)'!G26</f>
        <v>100.76000000003843</v>
      </c>
      <c r="C18" s="95">
        <f>SUM([1]Gen!B27)</f>
        <v>0.20799999999999999</v>
      </c>
    </row>
    <row r="19" spans="1:3">
      <c r="A19" s="97">
        <f>SUM([1]Gen!A28)</f>
        <v>43756</v>
      </c>
      <c r="B19" s="14">
        <f>'[1]Lpg (2)'!G27</f>
        <v>108.6799999999872</v>
      </c>
      <c r="C19" s="95">
        <f>SUM([1]Gen!B28)</f>
        <v>0.221</v>
      </c>
    </row>
    <row r="20" spans="1:3">
      <c r="A20" s="97">
        <f>SUM([1]Gen!A29)</f>
        <v>43757</v>
      </c>
      <c r="B20" s="14">
        <f>'[1]Lpg (2)'!G28</f>
        <v>92.795999999984645</v>
      </c>
      <c r="C20" s="95">
        <f>SUM([1]Gen!B29)</f>
        <v>0.11700000000000001</v>
      </c>
    </row>
    <row r="21" spans="1:3">
      <c r="A21" s="97">
        <f>SUM([1]Gen!A30)</f>
        <v>43758</v>
      </c>
      <c r="B21" s="14">
        <f>'[1]Lpg (2)'!G29</f>
        <v>137.80800000003075</v>
      </c>
      <c r="C21" s="95">
        <f>SUM([1]Gen!B30)</f>
        <v>0.57099999999999995</v>
      </c>
    </row>
    <row r="22" spans="1:3">
      <c r="A22" s="97">
        <f>SUM([1]Gen!A31)</f>
        <v>43759</v>
      </c>
      <c r="B22" s="14">
        <f>'[1]Lpg (2)'!G30</f>
        <v>103.79599999998464</v>
      </c>
      <c r="C22" s="95">
        <f>SUM([1]Gen!B31)</f>
        <v>0.55800000000000005</v>
      </c>
    </row>
    <row r="23" spans="1:3">
      <c r="A23" s="97">
        <f>SUM([1]Gen!A32)</f>
        <v>43760</v>
      </c>
      <c r="B23" s="14">
        <f>'[1]Lpg (2)'!G31</f>
        <v>20.415999999997439</v>
      </c>
      <c r="C23" s="95">
        <f>SUM([1]Gen!B32)</f>
        <v>0.40300000000000002</v>
      </c>
    </row>
    <row r="24" spans="1:3">
      <c r="A24" s="97">
        <f>SUM([1]Gen!A33)</f>
        <v>43761</v>
      </c>
      <c r="B24" s="14">
        <f>'[1]Lpg (2)'!G32</f>
        <v>197.69199999996928</v>
      </c>
      <c r="C24" s="95">
        <f>SUM([1]Gen!B33)</f>
        <v>0.24</v>
      </c>
    </row>
    <row r="25" spans="1:3">
      <c r="A25" s="97">
        <f>SUM([1]Gen!A34)</f>
        <v>43762</v>
      </c>
      <c r="B25" s="14">
        <f>'[1]Lpg (2)'!G33</f>
        <v>101.11200000004611</v>
      </c>
      <c r="C25" s="95">
        <f>SUM([1]Gen!B34)</f>
        <v>0.09</v>
      </c>
    </row>
    <row r="26" spans="1:3">
      <c r="A26" s="97">
        <f>SUM([1]Gen!A35)</f>
        <v>43763</v>
      </c>
      <c r="B26" s="14">
        <f>'[1]Lpg (2)'!G34</f>
        <v>95.303999999951344</v>
      </c>
      <c r="C26" s="95">
        <f>SUM([1]Gen!B35)</f>
        <v>0.28599999999999998</v>
      </c>
    </row>
    <row r="27" spans="1:3">
      <c r="A27" s="97">
        <f>SUM([1]Gen!A36)</f>
        <v>43764</v>
      </c>
      <c r="B27" s="14">
        <f>'[1]Lpg (2)'!G35</f>
        <v>104.80800000003075</v>
      </c>
      <c r="C27" s="95">
        <f>SUM([1]Gen!B36)</f>
        <v>0.54500000000000004</v>
      </c>
    </row>
    <row r="28" spans="1:3">
      <c r="A28" s="97">
        <f>SUM([1]Gen!A37)</f>
        <v>43765</v>
      </c>
      <c r="B28" s="14">
        <f>'[1]Lpg (2)'!G36</f>
        <v>102.43199999999489</v>
      </c>
      <c r="C28" s="95">
        <f>SUM([1]Gen!B37)</f>
        <v>0.67500000000000004</v>
      </c>
    </row>
    <row r="29" spans="1:3">
      <c r="A29" s="97">
        <f>SUM([1]Gen!A38)</f>
        <v>43766</v>
      </c>
      <c r="B29" s="14">
        <f>'[1]Lpg (2)'!G37</f>
        <v>-295728.88400000002</v>
      </c>
      <c r="C29" s="95">
        <f>SUM([1]Gen!B38)</f>
        <v>0.27300000000000002</v>
      </c>
    </row>
    <row r="30" spans="1:3">
      <c r="A30" s="97">
        <f>SUM([1]Gen!A39)</f>
        <v>43767</v>
      </c>
      <c r="B30" s="14">
        <f>'[1]Lpg (2)'!G38</f>
        <v>0</v>
      </c>
      <c r="C30" s="95" t="e">
        <f>SUM([1]Gen!B39)</f>
        <v>#REF!</v>
      </c>
    </row>
    <row r="31" spans="1:3">
      <c r="A31" s="97">
        <f>SUM([1]Gen!A40)</f>
        <v>43768</v>
      </c>
      <c r="B31" s="14">
        <f>'[1]Lpg (2)'!G39</f>
        <v>0</v>
      </c>
      <c r="C31" s="95" t="e">
        <f>SUM([1]Gen!B40)</f>
        <v>#REF!</v>
      </c>
    </row>
    <row r="32" spans="1:3">
      <c r="A32" s="97">
        <f>SUM([1]Gen!A41)</f>
        <v>43769</v>
      </c>
      <c r="B32" s="14">
        <f>'[1]Lpg (2)'!G40</f>
        <v>0</v>
      </c>
      <c r="C32" s="95" t="e">
        <f>SUM([1]Gen!B41)</f>
        <v>#REF!</v>
      </c>
    </row>
    <row r="33" spans="1:2">
      <c r="A33" s="11"/>
      <c r="B33" s="14"/>
    </row>
    <row r="34" spans="1:2">
      <c r="A34" s="11"/>
      <c r="B34" s="14"/>
    </row>
    <row r="35" spans="1:2">
      <c r="A35" s="1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N77"/>
  <sheetViews>
    <sheetView topLeftCell="A40" zoomScale="98" zoomScaleNormal="98" workbookViewId="0">
      <pane xSplit="1" topLeftCell="B1" activePane="topRight" state="frozen"/>
      <selection pane="topRight" activeCell="I75" sqref="I7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3.28515625" bestFit="1" customWidth="1"/>
    <col min="9" max="9" width="10.28515625" customWidth="1"/>
    <col min="10" max="10" width="9.42578125" customWidth="1"/>
    <col min="11" max="11" width="13.28515625" bestFit="1" customWidth="1"/>
    <col min="12" max="14" width="10.28515625" customWidth="1"/>
    <col min="15" max="15" width="9.28515625" customWidth="1"/>
    <col min="16" max="16" width="10.140625" bestFit="1" customWidth="1"/>
    <col min="17" max="17" width="13.42578125" bestFit="1" customWidth="1"/>
    <col min="18" max="18" width="12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4" t="s">
        <v>262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865"/>
      <c r="AD1" s="865"/>
      <c r="AE1" s="865"/>
      <c r="AF1" s="865"/>
      <c r="AG1" s="865"/>
      <c r="AH1" s="865"/>
      <c r="AI1" s="865"/>
      <c r="AJ1" s="865"/>
      <c r="AK1" s="865"/>
      <c r="AL1" s="865"/>
      <c r="AM1" s="865"/>
      <c r="AN1" s="865"/>
    </row>
    <row r="2" spans="1:40" ht="13.5" customHeight="1" thickTop="1">
      <c r="A2" s="31"/>
      <c r="B2" s="31"/>
      <c r="C2" s="863" t="s">
        <v>54</v>
      </c>
      <c r="D2" s="863"/>
      <c r="E2" s="863"/>
      <c r="F2" s="863" t="s">
        <v>17</v>
      </c>
      <c r="G2" s="863"/>
      <c r="H2" s="863"/>
      <c r="I2" s="863" t="s">
        <v>133</v>
      </c>
      <c r="J2" s="863"/>
      <c r="K2" s="863"/>
      <c r="L2" s="863" t="s">
        <v>136</v>
      </c>
      <c r="M2" s="863"/>
      <c r="N2" s="863"/>
      <c r="O2" s="863" t="s">
        <v>134</v>
      </c>
      <c r="P2" s="863"/>
      <c r="Q2" s="863"/>
      <c r="R2" s="350"/>
      <c r="S2" s="872" t="s">
        <v>184</v>
      </c>
      <c r="T2" s="873"/>
      <c r="U2" s="874"/>
      <c r="V2" s="872" t="s">
        <v>185</v>
      </c>
      <c r="W2" s="873"/>
      <c r="X2" s="874"/>
      <c r="Y2" s="872" t="s">
        <v>186</v>
      </c>
      <c r="Z2" s="873"/>
      <c r="AA2" s="874"/>
      <c r="AB2" s="872" t="s">
        <v>187</v>
      </c>
      <c r="AC2" s="873"/>
      <c r="AD2" s="874"/>
      <c r="AE2" s="866" t="s">
        <v>242</v>
      </c>
      <c r="AF2" s="867"/>
      <c r="AG2" s="878"/>
      <c r="AH2" s="866" t="s">
        <v>246</v>
      </c>
      <c r="AI2" s="867"/>
      <c r="AJ2" s="878"/>
      <c r="AK2" s="866" t="s">
        <v>243</v>
      </c>
      <c r="AL2" s="867"/>
      <c r="AM2" s="867"/>
      <c r="AN2" s="870" t="s">
        <v>192</v>
      </c>
    </row>
    <row r="3" spans="1:40" ht="21.75" customHeight="1" thickBot="1">
      <c r="A3" s="861" t="s">
        <v>7</v>
      </c>
      <c r="B3" s="31"/>
      <c r="C3" s="863" t="s">
        <v>135</v>
      </c>
      <c r="D3" s="863" t="s">
        <v>15</v>
      </c>
      <c r="E3" s="863" t="s">
        <v>16</v>
      </c>
      <c r="F3" s="863" t="s">
        <v>135</v>
      </c>
      <c r="G3" s="863" t="s">
        <v>15</v>
      </c>
      <c r="H3" s="863" t="s">
        <v>16</v>
      </c>
      <c r="I3" s="863" t="s">
        <v>135</v>
      </c>
      <c r="J3" s="863" t="s">
        <v>15</v>
      </c>
      <c r="K3" s="863" t="s">
        <v>16</v>
      </c>
      <c r="L3" s="863" t="s">
        <v>135</v>
      </c>
      <c r="M3" s="863" t="s">
        <v>15</v>
      </c>
      <c r="N3" s="863" t="s">
        <v>16</v>
      </c>
      <c r="O3" s="863" t="s">
        <v>135</v>
      </c>
      <c r="P3" s="863" t="s">
        <v>15</v>
      </c>
      <c r="Q3" s="863" t="s">
        <v>16</v>
      </c>
      <c r="R3" s="880" t="s">
        <v>188</v>
      </c>
      <c r="S3" s="875"/>
      <c r="T3" s="876"/>
      <c r="U3" s="877"/>
      <c r="V3" s="875"/>
      <c r="W3" s="876"/>
      <c r="X3" s="877"/>
      <c r="Y3" s="875"/>
      <c r="Z3" s="876"/>
      <c r="AA3" s="877"/>
      <c r="AB3" s="875"/>
      <c r="AC3" s="876"/>
      <c r="AD3" s="877"/>
      <c r="AE3" s="868"/>
      <c r="AF3" s="869"/>
      <c r="AG3" s="879"/>
      <c r="AH3" s="868"/>
      <c r="AI3" s="869"/>
      <c r="AJ3" s="879"/>
      <c r="AK3" s="868"/>
      <c r="AL3" s="869"/>
      <c r="AM3" s="869"/>
      <c r="AN3" s="871"/>
    </row>
    <row r="4" spans="1:40" ht="15.75" thickTop="1">
      <c r="A4" s="862"/>
      <c r="B4" s="337"/>
      <c r="C4" s="863"/>
      <c r="D4" s="863"/>
      <c r="E4" s="863"/>
      <c r="F4" s="863"/>
      <c r="G4" s="863"/>
      <c r="H4" s="863"/>
      <c r="I4" s="863"/>
      <c r="J4" s="863"/>
      <c r="K4" s="863"/>
      <c r="L4" s="863"/>
      <c r="M4" s="863"/>
      <c r="N4" s="863"/>
      <c r="O4" s="863"/>
      <c r="P4" s="863"/>
      <c r="Q4" s="863"/>
      <c r="R4" s="880"/>
      <c r="S4" s="356" t="s">
        <v>189</v>
      </c>
      <c r="T4" s="357" t="s">
        <v>190</v>
      </c>
      <c r="U4" s="354" t="s">
        <v>191</v>
      </c>
      <c r="V4" s="352" t="s">
        <v>189</v>
      </c>
      <c r="W4" s="353" t="s">
        <v>190</v>
      </c>
      <c r="X4" s="354" t="s">
        <v>191</v>
      </c>
      <c r="Y4" s="352" t="s">
        <v>189</v>
      </c>
      <c r="Z4" s="353" t="s">
        <v>190</v>
      </c>
      <c r="AA4" s="354" t="s">
        <v>191</v>
      </c>
      <c r="AB4" s="352" t="s">
        <v>189</v>
      </c>
      <c r="AC4" s="353" t="s">
        <v>190</v>
      </c>
      <c r="AD4" s="405" t="s">
        <v>121</v>
      </c>
      <c r="AE4" s="352" t="s">
        <v>189</v>
      </c>
      <c r="AF4" s="353" t="s">
        <v>190</v>
      </c>
      <c r="AG4" s="406" t="s">
        <v>121</v>
      </c>
      <c r="AH4" s="352" t="s">
        <v>189</v>
      </c>
      <c r="AI4" s="353" t="s">
        <v>190</v>
      </c>
      <c r="AJ4" s="406" t="s">
        <v>121</v>
      </c>
      <c r="AK4" s="352" t="s">
        <v>189</v>
      </c>
      <c r="AL4" s="353" t="s">
        <v>190</v>
      </c>
      <c r="AM4" s="406" t="s">
        <v>121</v>
      </c>
      <c r="AN4" s="407"/>
    </row>
    <row r="5" spans="1:40" ht="21">
      <c r="A5" s="4"/>
      <c r="B5" s="4"/>
      <c r="C5" s="99">
        <f t="shared" ref="C5:C24" si="0">D4</f>
        <v>0</v>
      </c>
      <c r="D5" s="1">
        <v>215914</v>
      </c>
      <c r="E5" s="60">
        <f t="shared" ref="E5:E16" si="1">IF((D5-D4)&lt;0,"0",(D5-D4))</f>
        <v>215914</v>
      </c>
      <c r="F5" s="99">
        <f t="shared" ref="F5:F37" si="2">G4</f>
        <v>0</v>
      </c>
      <c r="G5" s="581">
        <v>36884</v>
      </c>
      <c r="H5" s="739">
        <f t="shared" ref="H5:H37" si="3">IF((G5-G4)&lt;0,"0",(G5-G4))</f>
        <v>36884</v>
      </c>
      <c r="I5" s="99">
        <f t="shared" ref="I5:I37" si="4">J4</f>
        <v>0</v>
      </c>
      <c r="J5" s="1">
        <v>7444</v>
      </c>
      <c r="K5" s="739">
        <f t="shared" ref="K5:K37" si="5">IF((J5-J4)&lt;0,"0",(J5-J4))</f>
        <v>7444</v>
      </c>
      <c r="L5" s="99">
        <f>M4</f>
        <v>0</v>
      </c>
      <c r="M5" s="1">
        <v>10700</v>
      </c>
      <c r="N5" s="739">
        <f t="shared" ref="N5:N37" si="6">IF((M5-M4)&lt;0,"0",(M5-M4))</f>
        <v>10700</v>
      </c>
      <c r="O5" s="99">
        <f t="shared" ref="O5:O37" si="7">P4</f>
        <v>0</v>
      </c>
      <c r="P5" s="573">
        <v>18829</v>
      </c>
      <c r="Q5" s="739">
        <f t="shared" ref="Q5:Q37" si="8">IF((P5-P4)&lt;0,"0",(P5-P4))</f>
        <v>18829</v>
      </c>
      <c r="R5" s="339"/>
      <c r="S5" s="338" t="str">
        <f t="shared" ref="S5:S37" si="9">T4</f>
        <v>FINAL</v>
      </c>
      <c r="T5" s="574">
        <v>45970</v>
      </c>
      <c r="U5" s="338" t="str">
        <f t="shared" ref="U5:V20" si="10">V4</f>
        <v xml:space="preserve">OPEN </v>
      </c>
      <c r="V5" s="338" t="str">
        <f t="shared" si="10"/>
        <v>FINAL</v>
      </c>
      <c r="W5" s="574">
        <v>64218</v>
      </c>
      <c r="X5" s="339"/>
      <c r="Y5" s="338" t="str">
        <f t="shared" ref="Y5:Y37" si="11">Z4</f>
        <v>FINAL</v>
      </c>
      <c r="Z5" s="574">
        <v>73536</v>
      </c>
      <c r="AA5" s="339"/>
      <c r="AB5" s="338" t="str">
        <f t="shared" ref="AB5:AB37" si="12">AC4</f>
        <v>FINAL</v>
      </c>
      <c r="AC5" s="688">
        <v>11537</v>
      </c>
      <c r="AD5" s="358"/>
      <c r="AE5" s="338" t="str">
        <f t="shared" ref="AE5:AE37" si="13">AF4</f>
        <v>FINAL</v>
      </c>
      <c r="AF5" s="575">
        <v>14086</v>
      </c>
      <c r="AG5" s="358"/>
      <c r="AH5" s="338" t="str">
        <f t="shared" ref="AH5:AH37" si="14">AI4</f>
        <v>FINAL</v>
      </c>
      <c r="AI5" s="575">
        <v>22768</v>
      </c>
      <c r="AJ5" s="358"/>
      <c r="AK5" s="454" t="str">
        <f t="shared" ref="AK5:AK37" si="15">AL4</f>
        <v>FINAL</v>
      </c>
      <c r="AL5" s="574">
        <v>15154</v>
      </c>
      <c r="AM5" s="358"/>
      <c r="AN5" s="590"/>
    </row>
    <row r="6" spans="1:40" ht="23.1" customHeight="1">
      <c r="A6" s="59">
        <f>Gen!A11</f>
        <v>43770</v>
      </c>
      <c r="B6" s="4"/>
      <c r="C6" s="99">
        <f t="shared" si="0"/>
        <v>215914</v>
      </c>
      <c r="D6" s="1">
        <v>216042</v>
      </c>
      <c r="E6" s="60">
        <f t="shared" si="1"/>
        <v>128</v>
      </c>
      <c r="F6" s="99">
        <f t="shared" si="2"/>
        <v>36884</v>
      </c>
      <c r="G6" s="581">
        <v>36900</v>
      </c>
      <c r="H6" s="739">
        <f t="shared" si="3"/>
        <v>16</v>
      </c>
      <c r="I6" s="99">
        <f t="shared" si="4"/>
        <v>7444</v>
      </c>
      <c r="J6" s="1">
        <v>7447</v>
      </c>
      <c r="K6" s="739">
        <f t="shared" si="5"/>
        <v>3</v>
      </c>
      <c r="L6" s="99">
        <f t="shared" ref="L6:L37" si="16">M5</f>
        <v>10700</v>
      </c>
      <c r="M6" s="1">
        <v>10726</v>
      </c>
      <c r="N6" s="739">
        <f t="shared" si="6"/>
        <v>26</v>
      </c>
      <c r="O6" s="99">
        <f t="shared" si="7"/>
        <v>18829</v>
      </c>
      <c r="P6" s="573">
        <v>18842</v>
      </c>
      <c r="Q6" s="739">
        <f t="shared" si="8"/>
        <v>13</v>
      </c>
      <c r="R6" s="344"/>
      <c r="S6" s="338">
        <f t="shared" si="9"/>
        <v>45970</v>
      </c>
      <c r="T6" s="574">
        <v>46000</v>
      </c>
      <c r="U6" s="740">
        <f t="shared" ref="U6:U37" si="17">IF((T6-T5)&lt;0,"0",(T6-T5))</f>
        <v>30</v>
      </c>
      <c r="V6" s="338">
        <f t="shared" si="10"/>
        <v>64218</v>
      </c>
      <c r="W6" s="574">
        <v>64268</v>
      </c>
      <c r="X6" s="740">
        <f t="shared" ref="X6:X37" si="18">IF((W6-W5)&lt;0,"0",(W6-W5))</f>
        <v>50</v>
      </c>
      <c r="Y6" s="338">
        <f t="shared" si="11"/>
        <v>73536</v>
      </c>
      <c r="Z6" s="574">
        <v>73601</v>
      </c>
      <c r="AA6" s="740">
        <f t="shared" ref="AA6:AA37" si="19">IF((Z6-Z5)&lt;0,"0",(Z6-Z5))</f>
        <v>65</v>
      </c>
      <c r="AB6" s="338">
        <f t="shared" si="12"/>
        <v>11537</v>
      </c>
      <c r="AC6" s="743">
        <v>11544</v>
      </c>
      <c r="AD6" s="740">
        <f t="shared" ref="AD6:AD37" si="20">IF((AC6-AC5)&lt;0,"0",(AC6-AC5))</f>
        <v>7</v>
      </c>
      <c r="AE6" s="338">
        <f t="shared" si="13"/>
        <v>14086</v>
      </c>
      <c r="AF6" s="575">
        <v>14100</v>
      </c>
      <c r="AG6" s="740">
        <f t="shared" ref="AG6:AG37" si="21">IF((AF6-AF5)&lt;0,"0",(AF6-AF5))</f>
        <v>14</v>
      </c>
      <c r="AH6" s="338">
        <f t="shared" si="14"/>
        <v>22768</v>
      </c>
      <c r="AI6" s="575">
        <v>22787</v>
      </c>
      <c r="AJ6" s="740">
        <f t="shared" ref="AJ6:AJ37" si="22">IF((AI6-AI5)&lt;0,"0",(AI6-AI5))</f>
        <v>19</v>
      </c>
      <c r="AK6" s="454">
        <f t="shared" si="15"/>
        <v>15154</v>
      </c>
      <c r="AL6" s="574">
        <v>15154</v>
      </c>
      <c r="AM6" s="740">
        <f t="shared" ref="AM6:AM37" si="23">IF((AL6-AL5)&lt;0,"0",(AL6-AL5))</f>
        <v>0</v>
      </c>
      <c r="AN6" s="590">
        <f>U6+X6+AA6+AD6+AG6+AJ6+AM6</f>
        <v>185</v>
      </c>
    </row>
    <row r="7" spans="1:40" ht="23.1" customHeight="1">
      <c r="A7" s="59">
        <f>Gen!A12</f>
        <v>43771</v>
      </c>
      <c r="B7" s="4"/>
      <c r="C7" s="99">
        <f t="shared" si="0"/>
        <v>216042</v>
      </c>
      <c r="D7" s="1">
        <v>216181</v>
      </c>
      <c r="E7" s="60">
        <f t="shared" si="1"/>
        <v>139</v>
      </c>
      <c r="F7" s="99">
        <f t="shared" si="2"/>
        <v>36900</v>
      </c>
      <c r="G7" s="581">
        <v>36923</v>
      </c>
      <c r="H7" s="739">
        <f t="shared" si="3"/>
        <v>23</v>
      </c>
      <c r="I7" s="99">
        <f t="shared" si="4"/>
        <v>7447</v>
      </c>
      <c r="J7" s="1">
        <v>7450</v>
      </c>
      <c r="K7" s="739">
        <f t="shared" si="5"/>
        <v>3</v>
      </c>
      <c r="L7" s="99">
        <f t="shared" si="16"/>
        <v>10726</v>
      </c>
      <c r="M7" s="1">
        <v>10732</v>
      </c>
      <c r="N7" s="739">
        <f t="shared" si="6"/>
        <v>6</v>
      </c>
      <c r="O7" s="99">
        <f t="shared" si="7"/>
        <v>18842</v>
      </c>
      <c r="P7" s="573">
        <v>18850</v>
      </c>
      <c r="Q7" s="739">
        <f t="shared" si="8"/>
        <v>8</v>
      </c>
      <c r="R7" s="344"/>
      <c r="S7" s="338">
        <f t="shared" si="9"/>
        <v>46000</v>
      </c>
      <c r="T7" s="574">
        <v>46029</v>
      </c>
      <c r="U7" s="740">
        <f t="shared" si="17"/>
        <v>29</v>
      </c>
      <c r="V7" s="338">
        <f t="shared" si="10"/>
        <v>64268</v>
      </c>
      <c r="W7" s="574">
        <v>64319</v>
      </c>
      <c r="X7" s="740">
        <f t="shared" si="18"/>
        <v>51</v>
      </c>
      <c r="Y7" s="338">
        <f t="shared" si="11"/>
        <v>73601</v>
      </c>
      <c r="Z7" s="574">
        <v>73656</v>
      </c>
      <c r="AA7" s="740">
        <f t="shared" si="19"/>
        <v>55</v>
      </c>
      <c r="AB7" s="338">
        <f t="shared" si="12"/>
        <v>11544</v>
      </c>
      <c r="AC7" s="743">
        <v>11551</v>
      </c>
      <c r="AD7" s="740">
        <f t="shared" si="20"/>
        <v>7</v>
      </c>
      <c r="AE7" s="338">
        <f t="shared" si="13"/>
        <v>14100</v>
      </c>
      <c r="AF7" s="575">
        <v>14114</v>
      </c>
      <c r="AG7" s="740">
        <f t="shared" si="21"/>
        <v>14</v>
      </c>
      <c r="AH7" s="338">
        <f t="shared" si="14"/>
        <v>22787</v>
      </c>
      <c r="AI7" s="575">
        <v>22806</v>
      </c>
      <c r="AJ7" s="740">
        <f t="shared" si="22"/>
        <v>19</v>
      </c>
      <c r="AK7" s="454">
        <f t="shared" si="15"/>
        <v>15154</v>
      </c>
      <c r="AL7" s="574">
        <v>15154</v>
      </c>
      <c r="AM7" s="740">
        <f t="shared" si="23"/>
        <v>0</v>
      </c>
      <c r="AN7" s="590">
        <f t="shared" ref="AN7:AN36" si="24">U7+X7+AA7+AD7+AG7+AJ7+AM7</f>
        <v>175</v>
      </c>
    </row>
    <row r="8" spans="1:40" ht="23.1" customHeight="1">
      <c r="A8" s="59">
        <f>Gen!A13</f>
        <v>43772</v>
      </c>
      <c r="B8" s="4"/>
      <c r="C8" s="99">
        <f t="shared" si="0"/>
        <v>216181</v>
      </c>
      <c r="D8" s="1">
        <v>216313</v>
      </c>
      <c r="E8" s="60">
        <f t="shared" si="1"/>
        <v>132</v>
      </c>
      <c r="F8" s="99">
        <f t="shared" si="2"/>
        <v>36923</v>
      </c>
      <c r="G8" s="581">
        <v>36938</v>
      </c>
      <c r="H8" s="739">
        <f t="shared" si="3"/>
        <v>15</v>
      </c>
      <c r="I8" s="99">
        <f t="shared" si="4"/>
        <v>7450</v>
      </c>
      <c r="J8" s="1">
        <v>7456</v>
      </c>
      <c r="K8" s="739">
        <f t="shared" si="5"/>
        <v>6</v>
      </c>
      <c r="L8" s="99">
        <f t="shared" si="16"/>
        <v>10732</v>
      </c>
      <c r="M8" s="1">
        <v>10740</v>
      </c>
      <c r="N8" s="739">
        <f t="shared" si="6"/>
        <v>8</v>
      </c>
      <c r="O8" s="99">
        <f t="shared" si="7"/>
        <v>18850</v>
      </c>
      <c r="P8" s="573">
        <v>18863</v>
      </c>
      <c r="Q8" s="739">
        <f t="shared" si="8"/>
        <v>13</v>
      </c>
      <c r="R8" s="344"/>
      <c r="S8" s="338">
        <f t="shared" si="9"/>
        <v>46029</v>
      </c>
      <c r="T8" s="574">
        <v>46058</v>
      </c>
      <c r="U8" s="740">
        <f t="shared" si="17"/>
        <v>29</v>
      </c>
      <c r="V8" s="338">
        <f t="shared" si="10"/>
        <v>64319</v>
      </c>
      <c r="W8" s="574">
        <v>64370</v>
      </c>
      <c r="X8" s="740">
        <f t="shared" si="18"/>
        <v>51</v>
      </c>
      <c r="Y8" s="338">
        <f t="shared" si="11"/>
        <v>73656</v>
      </c>
      <c r="Z8" s="574">
        <v>73711</v>
      </c>
      <c r="AA8" s="740">
        <f t="shared" si="19"/>
        <v>55</v>
      </c>
      <c r="AB8" s="338">
        <f t="shared" si="12"/>
        <v>11551</v>
      </c>
      <c r="AC8" s="743">
        <v>11558</v>
      </c>
      <c r="AD8" s="740">
        <f t="shared" si="20"/>
        <v>7</v>
      </c>
      <c r="AE8" s="338">
        <f t="shared" si="13"/>
        <v>14114</v>
      </c>
      <c r="AF8" s="575">
        <v>14128</v>
      </c>
      <c r="AG8" s="740">
        <f t="shared" si="21"/>
        <v>14</v>
      </c>
      <c r="AH8" s="338">
        <f t="shared" si="14"/>
        <v>22806</v>
      </c>
      <c r="AI8" s="575">
        <v>22826</v>
      </c>
      <c r="AJ8" s="740">
        <f t="shared" si="22"/>
        <v>20</v>
      </c>
      <c r="AK8" s="454">
        <f t="shared" si="15"/>
        <v>15154</v>
      </c>
      <c r="AL8" s="574">
        <v>15154</v>
      </c>
      <c r="AM8" s="740">
        <f t="shared" si="23"/>
        <v>0</v>
      </c>
      <c r="AN8" s="590">
        <f t="shared" si="24"/>
        <v>176</v>
      </c>
    </row>
    <row r="9" spans="1:40" ht="23.1" customHeight="1">
      <c r="A9" s="59">
        <f>Gen!A14</f>
        <v>43773</v>
      </c>
      <c r="B9" s="4"/>
      <c r="C9" s="99">
        <f t="shared" si="0"/>
        <v>216313</v>
      </c>
      <c r="D9" s="1">
        <v>216413</v>
      </c>
      <c r="E9" s="60">
        <f t="shared" si="1"/>
        <v>100</v>
      </c>
      <c r="F9" s="99">
        <f t="shared" si="2"/>
        <v>36938</v>
      </c>
      <c r="G9" s="581">
        <v>36953</v>
      </c>
      <c r="H9" s="739">
        <f t="shared" si="3"/>
        <v>15</v>
      </c>
      <c r="I9" s="99">
        <f t="shared" si="4"/>
        <v>7456</v>
      </c>
      <c r="J9" s="1">
        <v>7460</v>
      </c>
      <c r="K9" s="739">
        <f t="shared" si="5"/>
        <v>4</v>
      </c>
      <c r="L9" s="99">
        <f t="shared" si="16"/>
        <v>10740</v>
      </c>
      <c r="M9" s="1">
        <v>10753</v>
      </c>
      <c r="N9" s="739">
        <f t="shared" si="6"/>
        <v>13</v>
      </c>
      <c r="O9" s="99">
        <f t="shared" si="7"/>
        <v>18863</v>
      </c>
      <c r="P9" s="573">
        <v>18878</v>
      </c>
      <c r="Q9" s="739">
        <f t="shared" si="8"/>
        <v>15</v>
      </c>
      <c r="R9" s="344"/>
      <c r="S9" s="338">
        <f t="shared" si="9"/>
        <v>46058</v>
      </c>
      <c r="T9" s="574">
        <v>46088</v>
      </c>
      <c r="U9" s="740">
        <f t="shared" si="17"/>
        <v>30</v>
      </c>
      <c r="V9" s="338">
        <f t="shared" si="10"/>
        <v>64370</v>
      </c>
      <c r="W9" s="574">
        <v>64421</v>
      </c>
      <c r="X9" s="740">
        <f t="shared" si="18"/>
        <v>51</v>
      </c>
      <c r="Y9" s="338">
        <f t="shared" si="11"/>
        <v>73711</v>
      </c>
      <c r="Z9" s="574">
        <v>73766</v>
      </c>
      <c r="AA9" s="740">
        <f t="shared" si="19"/>
        <v>55</v>
      </c>
      <c r="AB9" s="338">
        <f t="shared" si="12"/>
        <v>11558</v>
      </c>
      <c r="AC9" s="743">
        <v>11564</v>
      </c>
      <c r="AD9" s="740">
        <f t="shared" si="20"/>
        <v>6</v>
      </c>
      <c r="AE9" s="338">
        <f t="shared" si="13"/>
        <v>14128</v>
      </c>
      <c r="AF9" s="575">
        <v>14142</v>
      </c>
      <c r="AG9" s="740">
        <f t="shared" si="21"/>
        <v>14</v>
      </c>
      <c r="AH9" s="338">
        <f t="shared" si="14"/>
        <v>22826</v>
      </c>
      <c r="AI9" s="575">
        <v>22844</v>
      </c>
      <c r="AJ9" s="740">
        <f t="shared" si="22"/>
        <v>18</v>
      </c>
      <c r="AK9" s="454">
        <f t="shared" si="15"/>
        <v>15154</v>
      </c>
      <c r="AL9" s="574">
        <v>15154</v>
      </c>
      <c r="AM9" s="740">
        <f t="shared" si="23"/>
        <v>0</v>
      </c>
      <c r="AN9" s="590">
        <f t="shared" si="24"/>
        <v>174</v>
      </c>
    </row>
    <row r="10" spans="1:40" ht="23.1" customHeight="1">
      <c r="A10" s="59">
        <f>Gen!A15</f>
        <v>43774</v>
      </c>
      <c r="B10" s="4"/>
      <c r="C10" s="99">
        <f t="shared" si="0"/>
        <v>216413</v>
      </c>
      <c r="D10" s="1">
        <v>216532</v>
      </c>
      <c r="E10" s="60">
        <f t="shared" si="1"/>
        <v>119</v>
      </c>
      <c r="F10" s="99">
        <f t="shared" si="2"/>
        <v>36953</v>
      </c>
      <c r="G10" s="581">
        <v>36968</v>
      </c>
      <c r="H10" s="739">
        <f t="shared" si="3"/>
        <v>15</v>
      </c>
      <c r="I10" s="99">
        <f t="shared" si="4"/>
        <v>7460</v>
      </c>
      <c r="J10" s="1">
        <v>7461</v>
      </c>
      <c r="K10" s="739">
        <f t="shared" si="5"/>
        <v>1</v>
      </c>
      <c r="L10" s="99">
        <f t="shared" si="16"/>
        <v>10753</v>
      </c>
      <c r="M10" s="1">
        <v>10770</v>
      </c>
      <c r="N10" s="739">
        <f t="shared" si="6"/>
        <v>17</v>
      </c>
      <c r="O10" s="99">
        <f t="shared" si="7"/>
        <v>18878</v>
      </c>
      <c r="P10" s="573">
        <v>18880</v>
      </c>
      <c r="Q10" s="739">
        <f t="shared" si="8"/>
        <v>2</v>
      </c>
      <c r="R10" s="344"/>
      <c r="S10" s="338">
        <f t="shared" si="9"/>
        <v>46088</v>
      </c>
      <c r="T10" s="574">
        <v>46117</v>
      </c>
      <c r="U10" s="740">
        <f t="shared" si="17"/>
        <v>29</v>
      </c>
      <c r="V10" s="338">
        <f t="shared" si="10"/>
        <v>64421</v>
      </c>
      <c r="W10" s="574">
        <v>64471</v>
      </c>
      <c r="X10" s="740">
        <f t="shared" si="18"/>
        <v>50</v>
      </c>
      <c r="Y10" s="338">
        <f t="shared" si="11"/>
        <v>73766</v>
      </c>
      <c r="Z10" s="574">
        <v>73821</v>
      </c>
      <c r="AA10" s="740">
        <f t="shared" si="19"/>
        <v>55</v>
      </c>
      <c r="AB10" s="338">
        <f t="shared" si="12"/>
        <v>11564</v>
      </c>
      <c r="AC10" s="744">
        <v>11571</v>
      </c>
      <c r="AD10" s="740">
        <f t="shared" si="20"/>
        <v>7</v>
      </c>
      <c r="AE10" s="338">
        <f t="shared" si="13"/>
        <v>14142</v>
      </c>
      <c r="AF10" s="575">
        <v>14156</v>
      </c>
      <c r="AG10" s="740">
        <f t="shared" si="21"/>
        <v>14</v>
      </c>
      <c r="AH10" s="338">
        <f t="shared" si="14"/>
        <v>22844</v>
      </c>
      <c r="AI10" s="575">
        <v>22863</v>
      </c>
      <c r="AJ10" s="740">
        <f t="shared" si="22"/>
        <v>19</v>
      </c>
      <c r="AK10" s="454">
        <f t="shared" si="15"/>
        <v>15154</v>
      </c>
      <c r="AL10" s="574">
        <v>15154</v>
      </c>
      <c r="AM10" s="740">
        <f t="shared" si="23"/>
        <v>0</v>
      </c>
      <c r="AN10" s="590">
        <f t="shared" si="24"/>
        <v>174</v>
      </c>
    </row>
    <row r="11" spans="1:40" ht="23.1" customHeight="1">
      <c r="A11" s="59">
        <f>Gen!A16</f>
        <v>43775</v>
      </c>
      <c r="B11" s="4"/>
      <c r="C11" s="99">
        <f t="shared" si="0"/>
        <v>216532</v>
      </c>
      <c r="D11" s="1">
        <v>216642</v>
      </c>
      <c r="E11" s="60">
        <f t="shared" si="1"/>
        <v>110</v>
      </c>
      <c r="F11" s="99">
        <f t="shared" si="2"/>
        <v>36968</v>
      </c>
      <c r="G11" s="581">
        <v>36981</v>
      </c>
      <c r="H11" s="739">
        <f t="shared" si="3"/>
        <v>13</v>
      </c>
      <c r="I11" s="99">
        <f t="shared" si="4"/>
        <v>7461</v>
      </c>
      <c r="J11" s="1">
        <v>7465</v>
      </c>
      <c r="K11" s="739">
        <f t="shared" si="5"/>
        <v>4</v>
      </c>
      <c r="L11" s="99"/>
      <c r="M11" s="1">
        <v>10780</v>
      </c>
      <c r="N11" s="739">
        <f t="shared" si="6"/>
        <v>10</v>
      </c>
      <c r="O11" s="99">
        <f t="shared" si="7"/>
        <v>18880</v>
      </c>
      <c r="P11" s="573">
        <v>18888</v>
      </c>
      <c r="Q11" s="739">
        <f t="shared" si="8"/>
        <v>8</v>
      </c>
      <c r="R11" s="344"/>
      <c r="S11" s="338">
        <f t="shared" si="9"/>
        <v>46117</v>
      </c>
      <c r="T11" s="574">
        <v>46147</v>
      </c>
      <c r="U11" s="740">
        <f t="shared" si="17"/>
        <v>30</v>
      </c>
      <c r="V11" s="338">
        <f t="shared" si="10"/>
        <v>64471</v>
      </c>
      <c r="W11" s="574">
        <v>64524</v>
      </c>
      <c r="X11" s="740">
        <f t="shared" si="18"/>
        <v>53</v>
      </c>
      <c r="Y11" s="338">
        <f t="shared" si="11"/>
        <v>73821</v>
      </c>
      <c r="Z11" s="574">
        <v>73875</v>
      </c>
      <c r="AA11" s="740">
        <f t="shared" si="19"/>
        <v>54</v>
      </c>
      <c r="AB11" s="338">
        <f t="shared" si="12"/>
        <v>11571</v>
      </c>
      <c r="AC11" s="744">
        <v>11577</v>
      </c>
      <c r="AD11" s="740">
        <f t="shared" si="20"/>
        <v>6</v>
      </c>
      <c r="AE11" s="338">
        <f t="shared" si="13"/>
        <v>14156</v>
      </c>
      <c r="AF11" s="575">
        <v>14170</v>
      </c>
      <c r="AG11" s="740">
        <f t="shared" si="21"/>
        <v>14</v>
      </c>
      <c r="AH11" s="338">
        <f t="shared" si="14"/>
        <v>22863</v>
      </c>
      <c r="AI11" s="575">
        <v>22881</v>
      </c>
      <c r="AJ11" s="740">
        <f t="shared" si="22"/>
        <v>18</v>
      </c>
      <c r="AK11" s="454">
        <f t="shared" si="15"/>
        <v>15154</v>
      </c>
      <c r="AL11" s="574">
        <v>15154</v>
      </c>
      <c r="AM11" s="740">
        <f t="shared" si="23"/>
        <v>0</v>
      </c>
      <c r="AN11" s="590">
        <f t="shared" si="24"/>
        <v>175</v>
      </c>
    </row>
    <row r="12" spans="1:40" ht="23.1" customHeight="1">
      <c r="A12" s="59">
        <f>Gen!A17</f>
        <v>43776</v>
      </c>
      <c r="B12" s="4"/>
      <c r="C12" s="99">
        <f t="shared" si="0"/>
        <v>216642</v>
      </c>
      <c r="D12" s="1">
        <v>216737</v>
      </c>
      <c r="E12" s="60">
        <f t="shared" si="1"/>
        <v>95</v>
      </c>
      <c r="F12" s="99">
        <f t="shared" si="2"/>
        <v>36981</v>
      </c>
      <c r="G12" s="581">
        <v>36991</v>
      </c>
      <c r="H12" s="739">
        <f t="shared" si="3"/>
        <v>10</v>
      </c>
      <c r="I12" s="99">
        <f t="shared" si="4"/>
        <v>7465</v>
      </c>
      <c r="J12" s="1">
        <v>7468</v>
      </c>
      <c r="K12" s="739">
        <f t="shared" si="5"/>
        <v>3</v>
      </c>
      <c r="L12" s="99">
        <f t="shared" si="16"/>
        <v>10780</v>
      </c>
      <c r="M12" s="1">
        <v>10792</v>
      </c>
      <c r="N12" s="739">
        <f t="shared" si="6"/>
        <v>12</v>
      </c>
      <c r="O12" s="99">
        <f t="shared" si="7"/>
        <v>18888</v>
      </c>
      <c r="P12" s="573">
        <v>18895</v>
      </c>
      <c r="Q12" s="739">
        <f t="shared" si="8"/>
        <v>7</v>
      </c>
      <c r="R12" s="344"/>
      <c r="S12" s="338">
        <f t="shared" si="9"/>
        <v>46147</v>
      </c>
      <c r="T12" s="574">
        <v>46177</v>
      </c>
      <c r="U12" s="740">
        <f t="shared" si="17"/>
        <v>30</v>
      </c>
      <c r="V12" s="338">
        <f t="shared" si="10"/>
        <v>64524</v>
      </c>
      <c r="W12" s="574">
        <v>64575</v>
      </c>
      <c r="X12" s="740">
        <f t="shared" si="18"/>
        <v>51</v>
      </c>
      <c r="Y12" s="338">
        <f t="shared" si="11"/>
        <v>73875</v>
      </c>
      <c r="Z12" s="574">
        <v>73930</v>
      </c>
      <c r="AA12" s="740">
        <f t="shared" si="19"/>
        <v>55</v>
      </c>
      <c r="AB12" s="338">
        <f t="shared" si="12"/>
        <v>11577</v>
      </c>
      <c r="AC12" s="744">
        <v>11584</v>
      </c>
      <c r="AD12" s="740">
        <f t="shared" si="20"/>
        <v>7</v>
      </c>
      <c r="AE12" s="338">
        <f t="shared" si="13"/>
        <v>14170</v>
      </c>
      <c r="AF12" s="575">
        <v>14184</v>
      </c>
      <c r="AG12" s="740">
        <f t="shared" si="21"/>
        <v>14</v>
      </c>
      <c r="AH12" s="338">
        <f t="shared" si="14"/>
        <v>22881</v>
      </c>
      <c r="AI12" s="575">
        <v>22900</v>
      </c>
      <c r="AJ12" s="740">
        <f t="shared" si="22"/>
        <v>19</v>
      </c>
      <c r="AK12" s="454">
        <f t="shared" si="15"/>
        <v>15154</v>
      </c>
      <c r="AL12" s="574">
        <v>15154</v>
      </c>
      <c r="AM12" s="740">
        <f t="shared" si="23"/>
        <v>0</v>
      </c>
      <c r="AN12" s="590">
        <f t="shared" si="24"/>
        <v>176</v>
      </c>
    </row>
    <row r="13" spans="1:40" ht="23.1" customHeight="1">
      <c r="A13" s="59">
        <f>Gen!A18</f>
        <v>43777</v>
      </c>
      <c r="B13" s="4"/>
      <c r="C13" s="99">
        <f t="shared" si="0"/>
        <v>216737</v>
      </c>
      <c r="D13" s="1">
        <v>216857</v>
      </c>
      <c r="E13" s="60">
        <f t="shared" si="1"/>
        <v>120</v>
      </c>
      <c r="F13" s="99">
        <f t="shared" si="2"/>
        <v>36991</v>
      </c>
      <c r="G13" s="581">
        <v>37005</v>
      </c>
      <c r="H13" s="739">
        <f t="shared" si="3"/>
        <v>14</v>
      </c>
      <c r="I13" s="99">
        <f t="shared" si="4"/>
        <v>7468</v>
      </c>
      <c r="J13" s="1">
        <v>7471</v>
      </c>
      <c r="K13" s="739">
        <f t="shared" si="5"/>
        <v>3</v>
      </c>
      <c r="L13" s="99">
        <f t="shared" si="16"/>
        <v>10792</v>
      </c>
      <c r="M13" s="1">
        <v>10810</v>
      </c>
      <c r="N13" s="739">
        <f t="shared" si="6"/>
        <v>18</v>
      </c>
      <c r="O13" s="99">
        <f t="shared" si="7"/>
        <v>18895</v>
      </c>
      <c r="P13" s="573">
        <v>18905</v>
      </c>
      <c r="Q13" s="739">
        <f t="shared" si="8"/>
        <v>10</v>
      </c>
      <c r="R13" s="344"/>
      <c r="S13" s="338">
        <f t="shared" si="9"/>
        <v>46177</v>
      </c>
      <c r="T13" s="574">
        <v>46206</v>
      </c>
      <c r="U13" s="740">
        <f t="shared" si="17"/>
        <v>29</v>
      </c>
      <c r="V13" s="338">
        <f t="shared" si="10"/>
        <v>64575</v>
      </c>
      <c r="W13" s="574">
        <v>64627</v>
      </c>
      <c r="X13" s="740">
        <f t="shared" si="18"/>
        <v>52</v>
      </c>
      <c r="Y13" s="338">
        <f t="shared" si="11"/>
        <v>73930</v>
      </c>
      <c r="Z13" s="574">
        <v>73984</v>
      </c>
      <c r="AA13" s="740">
        <f t="shared" si="19"/>
        <v>54</v>
      </c>
      <c r="AB13" s="338">
        <f t="shared" si="12"/>
        <v>11584</v>
      </c>
      <c r="AC13" s="744">
        <v>11589</v>
      </c>
      <c r="AD13" s="740">
        <f t="shared" si="20"/>
        <v>5</v>
      </c>
      <c r="AE13" s="338">
        <f>AF12</f>
        <v>14184</v>
      </c>
      <c r="AF13" s="575">
        <v>14198</v>
      </c>
      <c r="AG13" s="740">
        <f t="shared" si="21"/>
        <v>14</v>
      </c>
      <c r="AH13" s="338">
        <f t="shared" si="14"/>
        <v>22900</v>
      </c>
      <c r="AI13" s="575">
        <v>22918</v>
      </c>
      <c r="AJ13" s="740">
        <f t="shared" si="22"/>
        <v>18</v>
      </c>
      <c r="AK13" s="454">
        <f t="shared" si="15"/>
        <v>15154</v>
      </c>
      <c r="AL13" s="574">
        <v>15154</v>
      </c>
      <c r="AM13" s="740">
        <f t="shared" si="23"/>
        <v>0</v>
      </c>
      <c r="AN13" s="590">
        <f t="shared" si="24"/>
        <v>172</v>
      </c>
    </row>
    <row r="14" spans="1:40" ht="23.1" customHeight="1">
      <c r="A14" s="59">
        <f>Gen!A19</f>
        <v>43778</v>
      </c>
      <c r="B14" s="4"/>
      <c r="C14" s="99">
        <f t="shared" si="0"/>
        <v>216857</v>
      </c>
      <c r="D14" s="1">
        <v>216953</v>
      </c>
      <c r="E14" s="60">
        <f t="shared" si="1"/>
        <v>96</v>
      </c>
      <c r="F14" s="99">
        <f t="shared" si="2"/>
        <v>37005</v>
      </c>
      <c r="G14" s="581">
        <v>37025</v>
      </c>
      <c r="H14" s="739">
        <f t="shared" si="3"/>
        <v>20</v>
      </c>
      <c r="I14" s="99">
        <f t="shared" si="4"/>
        <v>7471</v>
      </c>
      <c r="J14" s="1">
        <v>7474</v>
      </c>
      <c r="K14" s="739">
        <f t="shared" si="5"/>
        <v>3</v>
      </c>
      <c r="L14" s="99">
        <f t="shared" si="16"/>
        <v>10810</v>
      </c>
      <c r="M14" s="1">
        <v>10822</v>
      </c>
      <c r="N14" s="739">
        <f t="shared" si="6"/>
        <v>12</v>
      </c>
      <c r="O14" s="99">
        <f t="shared" si="7"/>
        <v>18905</v>
      </c>
      <c r="P14" s="573">
        <v>18913</v>
      </c>
      <c r="Q14" s="739">
        <f t="shared" si="8"/>
        <v>8</v>
      </c>
      <c r="R14" s="344"/>
      <c r="S14" s="338">
        <f t="shared" si="9"/>
        <v>46206</v>
      </c>
      <c r="T14" s="574">
        <v>46237</v>
      </c>
      <c r="U14" s="740">
        <f t="shared" si="17"/>
        <v>31</v>
      </c>
      <c r="V14" s="338">
        <f t="shared" si="10"/>
        <v>64627</v>
      </c>
      <c r="W14" s="574">
        <v>64678</v>
      </c>
      <c r="X14" s="740">
        <f t="shared" si="18"/>
        <v>51</v>
      </c>
      <c r="Y14" s="338">
        <f t="shared" si="11"/>
        <v>73984</v>
      </c>
      <c r="Z14" s="574">
        <v>74039</v>
      </c>
      <c r="AA14" s="740">
        <f t="shared" si="19"/>
        <v>55</v>
      </c>
      <c r="AB14" s="338">
        <f t="shared" si="12"/>
        <v>11589</v>
      </c>
      <c r="AC14" s="744">
        <v>11596</v>
      </c>
      <c r="AD14" s="740">
        <f t="shared" si="20"/>
        <v>7</v>
      </c>
      <c r="AE14" s="338">
        <f t="shared" si="13"/>
        <v>14198</v>
      </c>
      <c r="AF14" s="575">
        <v>14212</v>
      </c>
      <c r="AG14" s="740">
        <f t="shared" si="21"/>
        <v>14</v>
      </c>
      <c r="AH14" s="338">
        <f t="shared" si="14"/>
        <v>22918</v>
      </c>
      <c r="AI14" s="575">
        <v>22936</v>
      </c>
      <c r="AJ14" s="740">
        <f t="shared" si="22"/>
        <v>18</v>
      </c>
      <c r="AK14" s="454">
        <f t="shared" si="15"/>
        <v>15154</v>
      </c>
      <c r="AL14" s="574">
        <v>15154</v>
      </c>
      <c r="AM14" s="740">
        <f t="shared" si="23"/>
        <v>0</v>
      </c>
      <c r="AN14" s="590">
        <f t="shared" si="24"/>
        <v>176</v>
      </c>
    </row>
    <row r="15" spans="1:40" ht="23.1" customHeight="1">
      <c r="A15" s="59">
        <f>Gen!A20</f>
        <v>43779</v>
      </c>
      <c r="B15" s="4"/>
      <c r="C15" s="99">
        <f t="shared" si="0"/>
        <v>216953</v>
      </c>
      <c r="D15" s="1">
        <v>217077</v>
      </c>
      <c r="E15" s="60">
        <f t="shared" si="1"/>
        <v>124</v>
      </c>
      <c r="F15" s="99">
        <f t="shared" si="2"/>
        <v>37025</v>
      </c>
      <c r="G15" s="581">
        <v>37043</v>
      </c>
      <c r="H15" s="739">
        <f t="shared" si="3"/>
        <v>18</v>
      </c>
      <c r="I15" s="99">
        <f t="shared" si="4"/>
        <v>7474</v>
      </c>
      <c r="J15" s="1">
        <v>7476</v>
      </c>
      <c r="K15" s="739">
        <f t="shared" si="5"/>
        <v>2</v>
      </c>
      <c r="L15" s="99">
        <f t="shared" si="16"/>
        <v>10822</v>
      </c>
      <c r="M15" s="1">
        <v>10845</v>
      </c>
      <c r="N15" s="739">
        <f t="shared" si="6"/>
        <v>23</v>
      </c>
      <c r="O15" s="99">
        <f t="shared" si="7"/>
        <v>18913</v>
      </c>
      <c r="P15" s="573">
        <v>18921</v>
      </c>
      <c r="Q15" s="739">
        <f t="shared" si="8"/>
        <v>8</v>
      </c>
      <c r="R15" s="344"/>
      <c r="S15" s="338">
        <f t="shared" si="9"/>
        <v>46237</v>
      </c>
      <c r="T15" s="574">
        <v>46267</v>
      </c>
      <c r="U15" s="740">
        <f t="shared" si="17"/>
        <v>30</v>
      </c>
      <c r="V15" s="338">
        <f t="shared" si="10"/>
        <v>64678</v>
      </c>
      <c r="W15" s="574">
        <v>64730</v>
      </c>
      <c r="X15" s="740">
        <f t="shared" si="18"/>
        <v>52</v>
      </c>
      <c r="Y15" s="338">
        <f t="shared" si="11"/>
        <v>74039</v>
      </c>
      <c r="Z15" s="574">
        <v>74094</v>
      </c>
      <c r="AA15" s="740">
        <f t="shared" si="19"/>
        <v>55</v>
      </c>
      <c r="AB15" s="338">
        <f t="shared" si="12"/>
        <v>11596</v>
      </c>
      <c r="AC15" s="744">
        <v>11602</v>
      </c>
      <c r="AD15" s="740">
        <f t="shared" si="20"/>
        <v>6</v>
      </c>
      <c r="AE15" s="338">
        <f t="shared" si="13"/>
        <v>14212</v>
      </c>
      <c r="AF15" s="575">
        <v>14226</v>
      </c>
      <c r="AG15" s="740">
        <f t="shared" si="21"/>
        <v>14</v>
      </c>
      <c r="AH15" s="338">
        <f t="shared" si="14"/>
        <v>22936</v>
      </c>
      <c r="AI15" s="575">
        <v>22954</v>
      </c>
      <c r="AJ15" s="740">
        <f t="shared" si="22"/>
        <v>18</v>
      </c>
      <c r="AK15" s="454">
        <f t="shared" si="15"/>
        <v>15154</v>
      </c>
      <c r="AL15" s="574">
        <v>15154</v>
      </c>
      <c r="AM15" s="740">
        <f t="shared" si="23"/>
        <v>0</v>
      </c>
      <c r="AN15" s="590">
        <f t="shared" si="24"/>
        <v>175</v>
      </c>
    </row>
    <row r="16" spans="1:40" ht="23.1" customHeight="1">
      <c r="A16" s="59">
        <f>Gen!A21</f>
        <v>43780</v>
      </c>
      <c r="B16" s="4"/>
      <c r="C16" s="99">
        <f t="shared" si="0"/>
        <v>217077</v>
      </c>
      <c r="D16" s="1">
        <v>217208</v>
      </c>
      <c r="E16" s="60">
        <f t="shared" si="1"/>
        <v>131</v>
      </c>
      <c r="F16" s="99">
        <f t="shared" si="2"/>
        <v>37043</v>
      </c>
      <c r="G16" s="581">
        <v>37059</v>
      </c>
      <c r="H16" s="739">
        <f t="shared" si="3"/>
        <v>16</v>
      </c>
      <c r="I16" s="99">
        <f t="shared" si="4"/>
        <v>7476</v>
      </c>
      <c r="J16" s="1">
        <v>7479</v>
      </c>
      <c r="K16" s="739">
        <f t="shared" si="5"/>
        <v>3</v>
      </c>
      <c r="L16" s="99">
        <f t="shared" si="16"/>
        <v>10845</v>
      </c>
      <c r="M16" s="1">
        <v>10857</v>
      </c>
      <c r="N16" s="739">
        <f t="shared" si="6"/>
        <v>12</v>
      </c>
      <c r="O16" s="99">
        <f t="shared" si="7"/>
        <v>18921</v>
      </c>
      <c r="P16" s="573">
        <v>18933</v>
      </c>
      <c r="Q16" s="739">
        <f t="shared" si="8"/>
        <v>12</v>
      </c>
      <c r="R16" s="344"/>
      <c r="S16" s="338">
        <f t="shared" si="9"/>
        <v>46267</v>
      </c>
      <c r="T16" s="574">
        <v>46294</v>
      </c>
      <c r="U16" s="740">
        <f t="shared" si="17"/>
        <v>27</v>
      </c>
      <c r="V16" s="338">
        <f t="shared" si="10"/>
        <v>64730</v>
      </c>
      <c r="W16" s="574">
        <v>64782</v>
      </c>
      <c r="X16" s="740">
        <f t="shared" si="18"/>
        <v>52</v>
      </c>
      <c r="Y16" s="338">
        <f t="shared" si="11"/>
        <v>74094</v>
      </c>
      <c r="Z16" s="574">
        <v>74149</v>
      </c>
      <c r="AA16" s="740">
        <f t="shared" si="19"/>
        <v>55</v>
      </c>
      <c r="AB16" s="338">
        <f t="shared" si="12"/>
        <v>11602</v>
      </c>
      <c r="AC16" s="744">
        <v>11609</v>
      </c>
      <c r="AD16" s="740">
        <f t="shared" si="20"/>
        <v>7</v>
      </c>
      <c r="AE16" s="338">
        <f t="shared" si="13"/>
        <v>14226</v>
      </c>
      <c r="AF16" s="575">
        <v>14240</v>
      </c>
      <c r="AG16" s="740">
        <f t="shared" si="21"/>
        <v>14</v>
      </c>
      <c r="AH16" s="338">
        <f t="shared" si="14"/>
        <v>22954</v>
      </c>
      <c r="AI16" s="575">
        <v>22973</v>
      </c>
      <c r="AJ16" s="740">
        <f t="shared" si="22"/>
        <v>19</v>
      </c>
      <c r="AK16" s="454">
        <f t="shared" si="15"/>
        <v>15154</v>
      </c>
      <c r="AL16" s="574">
        <v>15154</v>
      </c>
      <c r="AM16" s="740">
        <f t="shared" si="23"/>
        <v>0</v>
      </c>
      <c r="AN16" s="590">
        <f t="shared" si="24"/>
        <v>174</v>
      </c>
    </row>
    <row r="17" spans="1:40" ht="23.1" customHeight="1">
      <c r="A17" s="59">
        <f>Gen!A22</f>
        <v>43781</v>
      </c>
      <c r="B17" s="4"/>
      <c r="C17" s="99">
        <f t="shared" si="0"/>
        <v>217208</v>
      </c>
      <c r="D17" s="1">
        <v>217344</v>
      </c>
      <c r="E17" s="739">
        <f>IF((D17-D16)&lt;0,"0",(D17-D16))</f>
        <v>136</v>
      </c>
      <c r="F17" s="99">
        <f t="shared" si="2"/>
        <v>37059</v>
      </c>
      <c r="G17" s="581">
        <v>37078</v>
      </c>
      <c r="H17" s="739">
        <f>IF((G17-G16)&lt;0,"0",(G17-G16))</f>
        <v>19</v>
      </c>
      <c r="I17" s="99">
        <f t="shared" si="4"/>
        <v>7479</v>
      </c>
      <c r="J17" s="1">
        <v>7481</v>
      </c>
      <c r="K17" s="739">
        <f>IF((J17-J16)&lt;0,"0",(J17-J16))</f>
        <v>2</v>
      </c>
      <c r="L17" s="99">
        <f t="shared" si="16"/>
        <v>10857</v>
      </c>
      <c r="M17" s="1">
        <v>10872</v>
      </c>
      <c r="N17" s="739">
        <f>IF((M17-M16)&lt;0,"0",(M17-M16))</f>
        <v>15</v>
      </c>
      <c r="O17" s="99">
        <f t="shared" si="7"/>
        <v>18933</v>
      </c>
      <c r="P17" s="573">
        <v>18943</v>
      </c>
      <c r="Q17" s="739">
        <f>IF((P17-P16)&lt;0,"0",(P17-P16))</f>
        <v>10</v>
      </c>
      <c r="R17" s="344"/>
      <c r="S17" s="338">
        <f t="shared" si="9"/>
        <v>46294</v>
      </c>
      <c r="T17" s="574">
        <v>46323</v>
      </c>
      <c r="U17" s="740">
        <f>IF((T17-T16)&lt;0,"0",(T17-T16))</f>
        <v>29</v>
      </c>
      <c r="V17" s="338">
        <f t="shared" si="10"/>
        <v>64782</v>
      </c>
      <c r="W17" s="574">
        <v>64831</v>
      </c>
      <c r="X17" s="740">
        <f>IF((W17-W16)&lt;0,"0",(W17-W16))</f>
        <v>49</v>
      </c>
      <c r="Y17" s="338">
        <f t="shared" si="11"/>
        <v>74149</v>
      </c>
      <c r="Z17" s="574">
        <v>74201</v>
      </c>
      <c r="AA17" s="740">
        <f>IF((Z17-Z16)&lt;0,"0",(Z17-Z16))</f>
        <v>52</v>
      </c>
      <c r="AB17" s="338">
        <f t="shared" si="12"/>
        <v>11609</v>
      </c>
      <c r="AC17" s="744">
        <v>11616</v>
      </c>
      <c r="AD17" s="740">
        <f>IF((AC17-AC16)&lt;0,"0",(AC17-AC16))</f>
        <v>7</v>
      </c>
      <c r="AE17" s="338">
        <f t="shared" si="13"/>
        <v>14240</v>
      </c>
      <c r="AF17" s="575">
        <v>14254</v>
      </c>
      <c r="AG17" s="740">
        <f>IF((AF17-AF16)&lt;0,"0",(AF17-AF16))</f>
        <v>14</v>
      </c>
      <c r="AH17" s="338">
        <f t="shared" si="14"/>
        <v>22973</v>
      </c>
      <c r="AI17" s="575">
        <v>22991</v>
      </c>
      <c r="AJ17" s="740">
        <f t="shared" si="22"/>
        <v>18</v>
      </c>
      <c r="AK17" s="454">
        <f t="shared" si="15"/>
        <v>15154</v>
      </c>
      <c r="AL17" s="574">
        <v>15154</v>
      </c>
      <c r="AM17" s="740">
        <f>IF((AL17-AL16)&lt;0,"0",(AL17-AL16))</f>
        <v>0</v>
      </c>
      <c r="AN17" s="590">
        <f t="shared" si="24"/>
        <v>169</v>
      </c>
    </row>
    <row r="18" spans="1:40" ht="23.1" customHeight="1">
      <c r="A18" s="59">
        <f>Gen!A23</f>
        <v>43782</v>
      </c>
      <c r="B18" s="4"/>
      <c r="C18" s="99">
        <f t="shared" si="0"/>
        <v>217344</v>
      </c>
      <c r="D18" s="1">
        <v>217467</v>
      </c>
      <c r="E18" s="739">
        <f t="shared" ref="E18:E37" si="25">IF((D18-D17)&lt;0,"0",(D18-D17))</f>
        <v>123</v>
      </c>
      <c r="F18" s="99">
        <f t="shared" si="2"/>
        <v>37078</v>
      </c>
      <c r="G18" s="581">
        <v>37097</v>
      </c>
      <c r="H18" s="739">
        <f t="shared" si="3"/>
        <v>19</v>
      </c>
      <c r="I18" s="99">
        <f t="shared" si="4"/>
        <v>7481</v>
      </c>
      <c r="J18" s="1">
        <v>7483</v>
      </c>
      <c r="K18" s="739">
        <f t="shared" si="5"/>
        <v>2</v>
      </c>
      <c r="L18" s="99">
        <f t="shared" si="16"/>
        <v>10872</v>
      </c>
      <c r="M18" s="1">
        <v>10885</v>
      </c>
      <c r="N18" s="739">
        <f t="shared" si="6"/>
        <v>13</v>
      </c>
      <c r="O18" s="99">
        <f t="shared" si="7"/>
        <v>18943</v>
      </c>
      <c r="P18" s="573">
        <v>18949</v>
      </c>
      <c r="Q18" s="739">
        <f t="shared" si="8"/>
        <v>6</v>
      </c>
      <c r="R18" s="344"/>
      <c r="S18" s="338">
        <f t="shared" si="9"/>
        <v>46323</v>
      </c>
      <c r="T18" s="574">
        <v>46352</v>
      </c>
      <c r="U18" s="740">
        <f t="shared" si="17"/>
        <v>29</v>
      </c>
      <c r="V18" s="338">
        <f t="shared" si="10"/>
        <v>64831</v>
      </c>
      <c r="W18" s="574">
        <v>64881</v>
      </c>
      <c r="X18" s="740">
        <f t="shared" si="18"/>
        <v>50</v>
      </c>
      <c r="Y18" s="338">
        <f t="shared" si="11"/>
        <v>74201</v>
      </c>
      <c r="Z18" s="574">
        <v>74254</v>
      </c>
      <c r="AA18" s="740">
        <f t="shared" si="19"/>
        <v>53</v>
      </c>
      <c r="AB18" s="338">
        <f t="shared" si="12"/>
        <v>11616</v>
      </c>
      <c r="AC18" s="744">
        <v>11622</v>
      </c>
      <c r="AD18" s="740">
        <f t="shared" si="20"/>
        <v>6</v>
      </c>
      <c r="AE18" s="338">
        <f t="shared" si="13"/>
        <v>14254</v>
      </c>
      <c r="AF18" s="575">
        <v>14268</v>
      </c>
      <c r="AG18" s="740">
        <f t="shared" si="21"/>
        <v>14</v>
      </c>
      <c r="AH18" s="338">
        <f t="shared" si="14"/>
        <v>22991</v>
      </c>
      <c r="AI18" s="575">
        <v>23009</v>
      </c>
      <c r="AJ18" s="740">
        <f t="shared" si="22"/>
        <v>18</v>
      </c>
      <c r="AK18" s="454">
        <f t="shared" si="15"/>
        <v>15154</v>
      </c>
      <c r="AL18" s="574">
        <v>15154</v>
      </c>
      <c r="AM18" s="740">
        <f t="shared" ref="AM18:AM26" si="26">IF((AL18-AL17)&lt;0,"0",(AL18-AL17))</f>
        <v>0</v>
      </c>
      <c r="AN18" s="590">
        <f t="shared" si="24"/>
        <v>170</v>
      </c>
    </row>
    <row r="19" spans="1:40" ht="23.1" customHeight="1">
      <c r="A19" s="59">
        <f>Gen!A24</f>
        <v>43783</v>
      </c>
      <c r="B19" s="4"/>
      <c r="C19" s="99">
        <f t="shared" si="0"/>
        <v>217467</v>
      </c>
      <c r="D19" s="1">
        <v>217585</v>
      </c>
      <c r="E19" s="739">
        <f t="shared" si="25"/>
        <v>118</v>
      </c>
      <c r="F19" s="99">
        <f t="shared" si="2"/>
        <v>37097</v>
      </c>
      <c r="G19" s="581">
        <v>37113</v>
      </c>
      <c r="H19" s="739">
        <f t="shared" si="3"/>
        <v>16</v>
      </c>
      <c r="I19" s="99">
        <f t="shared" si="4"/>
        <v>7483</v>
      </c>
      <c r="J19" s="1">
        <v>7485</v>
      </c>
      <c r="K19" s="739">
        <f t="shared" si="5"/>
        <v>2</v>
      </c>
      <c r="L19" s="99">
        <f t="shared" si="16"/>
        <v>10885</v>
      </c>
      <c r="M19" s="1">
        <v>10885</v>
      </c>
      <c r="N19" s="739">
        <f t="shared" si="6"/>
        <v>0</v>
      </c>
      <c r="O19" s="99">
        <f t="shared" si="7"/>
        <v>18949</v>
      </c>
      <c r="P19" s="573">
        <v>18966</v>
      </c>
      <c r="Q19" s="739">
        <f t="shared" si="8"/>
        <v>17</v>
      </c>
      <c r="R19" s="344"/>
      <c r="S19" s="338">
        <f t="shared" si="9"/>
        <v>46352</v>
      </c>
      <c r="T19" s="574">
        <v>46381</v>
      </c>
      <c r="U19" s="740">
        <f t="shared" si="17"/>
        <v>29</v>
      </c>
      <c r="V19" s="338">
        <f t="shared" si="10"/>
        <v>64881</v>
      </c>
      <c r="W19" s="574">
        <v>64931</v>
      </c>
      <c r="X19" s="740">
        <f t="shared" si="18"/>
        <v>50</v>
      </c>
      <c r="Y19" s="338">
        <f t="shared" si="11"/>
        <v>74254</v>
      </c>
      <c r="Z19" s="574">
        <v>74306</v>
      </c>
      <c r="AA19" s="740">
        <f t="shared" si="19"/>
        <v>52</v>
      </c>
      <c r="AB19" s="338">
        <f t="shared" si="12"/>
        <v>11622</v>
      </c>
      <c r="AC19" s="744">
        <v>11629</v>
      </c>
      <c r="AD19" s="740">
        <f t="shared" si="20"/>
        <v>7</v>
      </c>
      <c r="AE19" s="338">
        <f t="shared" si="13"/>
        <v>14268</v>
      </c>
      <c r="AF19" s="575">
        <v>14281</v>
      </c>
      <c r="AG19" s="740">
        <f t="shared" si="21"/>
        <v>13</v>
      </c>
      <c r="AH19" s="338">
        <f t="shared" si="14"/>
        <v>23009</v>
      </c>
      <c r="AI19" s="575">
        <v>23027</v>
      </c>
      <c r="AJ19" s="740">
        <f t="shared" si="22"/>
        <v>18</v>
      </c>
      <c r="AK19" s="454">
        <f t="shared" si="15"/>
        <v>15154</v>
      </c>
      <c r="AL19" s="574">
        <v>15154</v>
      </c>
      <c r="AM19" s="740">
        <f t="shared" si="26"/>
        <v>0</v>
      </c>
      <c r="AN19" s="590">
        <f t="shared" si="24"/>
        <v>169</v>
      </c>
    </row>
    <row r="20" spans="1:40" ht="23.1" customHeight="1">
      <c r="A20" s="59">
        <f>Gen!A25</f>
        <v>43784</v>
      </c>
      <c r="B20" s="4"/>
      <c r="C20" s="99">
        <f t="shared" si="0"/>
        <v>217585</v>
      </c>
      <c r="D20" s="1">
        <v>217692</v>
      </c>
      <c r="E20" s="739">
        <f t="shared" si="25"/>
        <v>107</v>
      </c>
      <c r="F20" s="99">
        <f t="shared" si="2"/>
        <v>37113</v>
      </c>
      <c r="G20" s="581">
        <v>37125</v>
      </c>
      <c r="H20" s="739">
        <f t="shared" si="3"/>
        <v>12</v>
      </c>
      <c r="I20" s="99">
        <f t="shared" si="4"/>
        <v>7485</v>
      </c>
      <c r="J20" s="1">
        <v>7488</v>
      </c>
      <c r="K20" s="739">
        <f t="shared" si="5"/>
        <v>3</v>
      </c>
      <c r="L20" s="99">
        <f t="shared" si="16"/>
        <v>10885</v>
      </c>
      <c r="M20" s="1">
        <v>10895</v>
      </c>
      <c r="N20" s="739">
        <f t="shared" si="6"/>
        <v>10</v>
      </c>
      <c r="O20" s="99">
        <f t="shared" si="7"/>
        <v>18966</v>
      </c>
      <c r="P20" s="573">
        <v>18975</v>
      </c>
      <c r="Q20" s="739">
        <f t="shared" si="8"/>
        <v>9</v>
      </c>
      <c r="R20" s="344"/>
      <c r="S20" s="338">
        <f t="shared" si="9"/>
        <v>46381</v>
      </c>
      <c r="T20" s="574">
        <v>46411</v>
      </c>
      <c r="U20" s="740">
        <f t="shared" si="17"/>
        <v>30</v>
      </c>
      <c r="V20" s="338">
        <f t="shared" si="10"/>
        <v>64931</v>
      </c>
      <c r="W20" s="574">
        <v>64981</v>
      </c>
      <c r="X20" s="740">
        <f t="shared" si="18"/>
        <v>50</v>
      </c>
      <c r="Y20" s="338">
        <f t="shared" si="11"/>
        <v>74306</v>
      </c>
      <c r="Z20" s="574">
        <v>74359</v>
      </c>
      <c r="AA20" s="740">
        <f t="shared" si="19"/>
        <v>53</v>
      </c>
      <c r="AB20" s="338">
        <f t="shared" si="12"/>
        <v>11629</v>
      </c>
      <c r="AC20" s="744">
        <v>11635</v>
      </c>
      <c r="AD20" s="740">
        <f t="shared" si="20"/>
        <v>6</v>
      </c>
      <c r="AE20" s="338">
        <f t="shared" si="13"/>
        <v>14281</v>
      </c>
      <c r="AF20" s="575">
        <v>14295</v>
      </c>
      <c r="AG20" s="740">
        <f t="shared" si="21"/>
        <v>14</v>
      </c>
      <c r="AH20" s="338">
        <f t="shared" si="14"/>
        <v>23027</v>
      </c>
      <c r="AI20" s="575">
        <v>23044</v>
      </c>
      <c r="AJ20" s="740">
        <f t="shared" si="22"/>
        <v>17</v>
      </c>
      <c r="AK20" s="454">
        <f t="shared" si="15"/>
        <v>15154</v>
      </c>
      <c r="AL20" s="574">
        <v>15154</v>
      </c>
      <c r="AM20" s="740">
        <f t="shared" si="26"/>
        <v>0</v>
      </c>
      <c r="AN20" s="590">
        <f t="shared" si="24"/>
        <v>170</v>
      </c>
    </row>
    <row r="21" spans="1:40" ht="23.1" customHeight="1">
      <c r="A21" s="59">
        <f>Gen!A26</f>
        <v>43785</v>
      </c>
      <c r="B21" s="4"/>
      <c r="C21" s="99">
        <f t="shared" si="0"/>
        <v>217692</v>
      </c>
      <c r="D21" s="1">
        <v>217807</v>
      </c>
      <c r="E21" s="739">
        <f t="shared" si="25"/>
        <v>115</v>
      </c>
      <c r="F21" s="99">
        <f t="shared" si="2"/>
        <v>37125</v>
      </c>
      <c r="G21" s="581">
        <v>37139</v>
      </c>
      <c r="H21" s="739">
        <f t="shared" si="3"/>
        <v>14</v>
      </c>
      <c r="I21" s="99">
        <f t="shared" si="4"/>
        <v>7488</v>
      </c>
      <c r="J21" s="1">
        <v>7496</v>
      </c>
      <c r="K21" s="739">
        <f t="shared" si="5"/>
        <v>8</v>
      </c>
      <c r="L21" s="99">
        <f t="shared" si="16"/>
        <v>10895</v>
      </c>
      <c r="M21" s="1">
        <v>10902</v>
      </c>
      <c r="N21" s="739">
        <f t="shared" si="6"/>
        <v>7</v>
      </c>
      <c r="O21" s="99">
        <f t="shared" si="7"/>
        <v>18975</v>
      </c>
      <c r="P21" s="573">
        <v>18987</v>
      </c>
      <c r="Q21" s="739">
        <f t="shared" si="8"/>
        <v>12</v>
      </c>
      <c r="R21" s="344"/>
      <c r="S21" s="338">
        <f t="shared" si="9"/>
        <v>46411</v>
      </c>
      <c r="T21" s="574">
        <v>46440</v>
      </c>
      <c r="U21" s="740">
        <f t="shared" si="17"/>
        <v>29</v>
      </c>
      <c r="V21" s="338">
        <f t="shared" ref="V21:V37" si="27">W20</f>
        <v>64981</v>
      </c>
      <c r="W21" s="574">
        <v>65031</v>
      </c>
      <c r="X21" s="740">
        <f t="shared" si="18"/>
        <v>50</v>
      </c>
      <c r="Y21" s="338">
        <f t="shared" si="11"/>
        <v>74359</v>
      </c>
      <c r="Z21" s="574">
        <v>74411</v>
      </c>
      <c r="AA21" s="740">
        <f t="shared" si="19"/>
        <v>52</v>
      </c>
      <c r="AB21" s="338">
        <f t="shared" si="12"/>
        <v>11635</v>
      </c>
      <c r="AC21" s="744">
        <v>11642</v>
      </c>
      <c r="AD21" s="740">
        <f t="shared" si="20"/>
        <v>7</v>
      </c>
      <c r="AE21" s="338">
        <f t="shared" si="13"/>
        <v>14295</v>
      </c>
      <c r="AF21" s="575">
        <v>14309</v>
      </c>
      <c r="AG21" s="740">
        <f t="shared" si="21"/>
        <v>14</v>
      </c>
      <c r="AH21" s="338">
        <f t="shared" si="14"/>
        <v>23044</v>
      </c>
      <c r="AI21" s="575">
        <v>23062</v>
      </c>
      <c r="AJ21" s="740">
        <f t="shared" si="22"/>
        <v>18</v>
      </c>
      <c r="AK21" s="454">
        <f t="shared" si="15"/>
        <v>15154</v>
      </c>
      <c r="AL21" s="574">
        <v>15154</v>
      </c>
      <c r="AM21" s="740">
        <f t="shared" si="26"/>
        <v>0</v>
      </c>
      <c r="AN21" s="590">
        <f t="shared" si="24"/>
        <v>170</v>
      </c>
    </row>
    <row r="22" spans="1:40" ht="23.1" customHeight="1">
      <c r="A22" s="59">
        <f>Gen!A27</f>
        <v>43786</v>
      </c>
      <c r="B22" s="4"/>
      <c r="C22" s="99">
        <f t="shared" si="0"/>
        <v>217807</v>
      </c>
      <c r="D22" s="1">
        <v>217934</v>
      </c>
      <c r="E22" s="739">
        <f t="shared" si="25"/>
        <v>127</v>
      </c>
      <c r="F22" s="99">
        <f t="shared" si="2"/>
        <v>37139</v>
      </c>
      <c r="G22" s="581">
        <v>37154</v>
      </c>
      <c r="H22" s="739">
        <f t="shared" si="3"/>
        <v>15</v>
      </c>
      <c r="I22" s="99">
        <f t="shared" si="4"/>
        <v>7496</v>
      </c>
      <c r="J22" s="1">
        <v>7499</v>
      </c>
      <c r="K22" s="739">
        <f t="shared" si="5"/>
        <v>3</v>
      </c>
      <c r="L22" s="99">
        <f t="shared" si="16"/>
        <v>10902</v>
      </c>
      <c r="M22" s="1">
        <v>10917</v>
      </c>
      <c r="N22" s="739">
        <f t="shared" si="6"/>
        <v>15</v>
      </c>
      <c r="O22" s="99">
        <f t="shared" si="7"/>
        <v>18987</v>
      </c>
      <c r="P22" s="573">
        <v>18998</v>
      </c>
      <c r="Q22" s="739">
        <f t="shared" si="8"/>
        <v>11</v>
      </c>
      <c r="R22" s="344"/>
      <c r="S22" s="338">
        <f t="shared" si="9"/>
        <v>46440</v>
      </c>
      <c r="T22" s="574">
        <v>46469</v>
      </c>
      <c r="U22" s="740">
        <f t="shared" si="17"/>
        <v>29</v>
      </c>
      <c r="V22" s="338">
        <f t="shared" si="27"/>
        <v>65031</v>
      </c>
      <c r="W22" s="574">
        <v>65083</v>
      </c>
      <c r="X22" s="740">
        <f t="shared" si="18"/>
        <v>52</v>
      </c>
      <c r="Y22" s="338">
        <f t="shared" si="11"/>
        <v>74411</v>
      </c>
      <c r="Z22" s="574">
        <v>74464</v>
      </c>
      <c r="AA22" s="740">
        <f t="shared" si="19"/>
        <v>53</v>
      </c>
      <c r="AB22" s="338">
        <f t="shared" si="12"/>
        <v>11642</v>
      </c>
      <c r="AC22" s="744">
        <v>11648</v>
      </c>
      <c r="AD22" s="740">
        <f t="shared" si="20"/>
        <v>6</v>
      </c>
      <c r="AE22" s="338">
        <f t="shared" si="13"/>
        <v>14309</v>
      </c>
      <c r="AF22" s="575">
        <v>14322</v>
      </c>
      <c r="AG22" s="740">
        <f t="shared" si="21"/>
        <v>13</v>
      </c>
      <c r="AH22" s="338">
        <f t="shared" si="14"/>
        <v>23062</v>
      </c>
      <c r="AI22" s="575">
        <v>23081</v>
      </c>
      <c r="AJ22" s="740">
        <f t="shared" si="22"/>
        <v>19</v>
      </c>
      <c r="AK22" s="454">
        <f t="shared" si="15"/>
        <v>15154</v>
      </c>
      <c r="AL22" s="574">
        <v>15154</v>
      </c>
      <c r="AM22" s="740">
        <f t="shared" si="26"/>
        <v>0</v>
      </c>
      <c r="AN22" s="590">
        <f t="shared" si="24"/>
        <v>172</v>
      </c>
    </row>
    <row r="23" spans="1:40" ht="23.1" customHeight="1">
      <c r="A23" s="59">
        <f>Gen!A28</f>
        <v>43787</v>
      </c>
      <c r="B23" s="4"/>
      <c r="C23" s="99">
        <f t="shared" si="0"/>
        <v>217934</v>
      </c>
      <c r="D23" s="1">
        <v>218040</v>
      </c>
      <c r="E23" s="739">
        <f t="shared" si="25"/>
        <v>106</v>
      </c>
      <c r="F23" s="99">
        <f t="shared" si="2"/>
        <v>37154</v>
      </c>
      <c r="G23" s="581">
        <v>37168</v>
      </c>
      <c r="H23" s="739">
        <f t="shared" si="3"/>
        <v>14</v>
      </c>
      <c r="I23" s="99">
        <f t="shared" si="4"/>
        <v>7499</v>
      </c>
      <c r="J23" s="1">
        <v>7503</v>
      </c>
      <c r="K23" s="739">
        <f t="shared" si="5"/>
        <v>4</v>
      </c>
      <c r="L23" s="99">
        <f t="shared" si="16"/>
        <v>10917</v>
      </c>
      <c r="M23" s="1">
        <v>10927</v>
      </c>
      <c r="N23" s="739">
        <f t="shared" si="6"/>
        <v>10</v>
      </c>
      <c r="O23" s="99">
        <f t="shared" si="7"/>
        <v>18998</v>
      </c>
      <c r="P23" s="573">
        <v>19009</v>
      </c>
      <c r="Q23" s="739">
        <f t="shared" si="8"/>
        <v>11</v>
      </c>
      <c r="R23" s="344"/>
      <c r="S23" s="338">
        <f t="shared" si="9"/>
        <v>46469</v>
      </c>
      <c r="T23" s="574">
        <v>46498</v>
      </c>
      <c r="U23" s="740">
        <f t="shared" si="17"/>
        <v>29</v>
      </c>
      <c r="V23" s="338">
        <f t="shared" si="27"/>
        <v>65083</v>
      </c>
      <c r="W23" s="574">
        <v>65135</v>
      </c>
      <c r="X23" s="740">
        <f t="shared" si="18"/>
        <v>52</v>
      </c>
      <c r="Y23" s="338">
        <f t="shared" si="11"/>
        <v>74464</v>
      </c>
      <c r="Z23" s="574">
        <v>74517</v>
      </c>
      <c r="AA23" s="740">
        <f t="shared" si="19"/>
        <v>53</v>
      </c>
      <c r="AB23" s="338">
        <f t="shared" si="12"/>
        <v>11648</v>
      </c>
      <c r="AC23" s="339">
        <v>11655</v>
      </c>
      <c r="AD23" s="740">
        <f t="shared" si="20"/>
        <v>7</v>
      </c>
      <c r="AE23" s="338">
        <f t="shared" si="13"/>
        <v>14322</v>
      </c>
      <c r="AF23" s="575">
        <v>14336</v>
      </c>
      <c r="AG23" s="740">
        <f t="shared" si="21"/>
        <v>14</v>
      </c>
      <c r="AH23" s="338">
        <f t="shared" si="14"/>
        <v>23081</v>
      </c>
      <c r="AI23" s="575">
        <v>23100</v>
      </c>
      <c r="AJ23" s="740">
        <f t="shared" si="22"/>
        <v>19</v>
      </c>
      <c r="AK23" s="454">
        <f t="shared" si="15"/>
        <v>15154</v>
      </c>
      <c r="AL23" s="574">
        <v>15154</v>
      </c>
      <c r="AM23" s="740">
        <f t="shared" si="26"/>
        <v>0</v>
      </c>
      <c r="AN23" s="590">
        <f t="shared" si="24"/>
        <v>174</v>
      </c>
    </row>
    <row r="24" spans="1:40" ht="23.1" customHeight="1">
      <c r="A24" s="59">
        <f>Gen!A29</f>
        <v>43788</v>
      </c>
      <c r="B24" s="4"/>
      <c r="C24" s="99">
        <f t="shared" si="0"/>
        <v>218040</v>
      </c>
      <c r="D24" s="1">
        <v>218138</v>
      </c>
      <c r="E24" s="739">
        <f t="shared" si="25"/>
        <v>98</v>
      </c>
      <c r="F24" s="99">
        <f t="shared" si="2"/>
        <v>37168</v>
      </c>
      <c r="G24" s="581">
        <v>37181</v>
      </c>
      <c r="H24" s="739">
        <f t="shared" si="3"/>
        <v>13</v>
      </c>
      <c r="I24" s="99">
        <f t="shared" si="4"/>
        <v>7503</v>
      </c>
      <c r="J24" s="1">
        <v>7508</v>
      </c>
      <c r="K24" s="739">
        <f t="shared" si="5"/>
        <v>5</v>
      </c>
      <c r="L24" s="99">
        <f t="shared" si="16"/>
        <v>10927</v>
      </c>
      <c r="M24" s="1">
        <v>10932</v>
      </c>
      <c r="N24" s="739">
        <f t="shared" si="6"/>
        <v>5</v>
      </c>
      <c r="O24" s="99">
        <f t="shared" si="7"/>
        <v>19009</v>
      </c>
      <c r="P24" s="573">
        <v>19022</v>
      </c>
      <c r="Q24" s="739">
        <f t="shared" si="8"/>
        <v>13</v>
      </c>
      <c r="R24" s="344"/>
      <c r="S24" s="338">
        <f t="shared" si="9"/>
        <v>46498</v>
      </c>
      <c r="T24" s="574">
        <v>46529</v>
      </c>
      <c r="U24" s="740">
        <f t="shared" si="17"/>
        <v>31</v>
      </c>
      <c r="V24" s="338">
        <f t="shared" si="27"/>
        <v>65135</v>
      </c>
      <c r="W24" s="574">
        <v>65186</v>
      </c>
      <c r="X24" s="740">
        <f t="shared" si="18"/>
        <v>51</v>
      </c>
      <c r="Y24" s="338">
        <f t="shared" si="11"/>
        <v>74517</v>
      </c>
      <c r="Z24" s="574">
        <v>74570</v>
      </c>
      <c r="AA24" s="740">
        <f t="shared" si="19"/>
        <v>53</v>
      </c>
      <c r="AB24" s="338">
        <f t="shared" si="12"/>
        <v>11655</v>
      </c>
      <c r="AC24" s="339">
        <v>11661</v>
      </c>
      <c r="AD24" s="740">
        <f t="shared" si="20"/>
        <v>6</v>
      </c>
      <c r="AE24" s="338">
        <f t="shared" si="13"/>
        <v>14336</v>
      </c>
      <c r="AF24" s="575">
        <v>14350</v>
      </c>
      <c r="AG24" s="740">
        <f t="shared" si="21"/>
        <v>14</v>
      </c>
      <c r="AH24" s="338">
        <f t="shared" si="14"/>
        <v>23100</v>
      </c>
      <c r="AI24" s="575">
        <v>23118</v>
      </c>
      <c r="AJ24" s="740">
        <f t="shared" si="22"/>
        <v>18</v>
      </c>
      <c r="AK24" s="454">
        <f t="shared" si="15"/>
        <v>15154</v>
      </c>
      <c r="AL24" s="574">
        <v>15154</v>
      </c>
      <c r="AM24" s="740">
        <f t="shared" si="26"/>
        <v>0</v>
      </c>
      <c r="AN24" s="590">
        <f t="shared" si="24"/>
        <v>173</v>
      </c>
    </row>
    <row r="25" spans="1:40" ht="23.1" customHeight="1">
      <c r="A25" s="59">
        <f>Gen!A30</f>
        <v>43789</v>
      </c>
      <c r="B25" s="4"/>
      <c r="C25" s="99">
        <f>D24</f>
        <v>218138</v>
      </c>
      <c r="D25" s="1">
        <v>218217</v>
      </c>
      <c r="E25" s="739">
        <f t="shared" si="25"/>
        <v>79</v>
      </c>
      <c r="F25" s="99">
        <f t="shared" si="2"/>
        <v>37181</v>
      </c>
      <c r="G25" s="581">
        <v>37201</v>
      </c>
      <c r="H25" s="739">
        <f t="shared" si="3"/>
        <v>20</v>
      </c>
      <c r="I25" s="99">
        <f t="shared" si="4"/>
        <v>7508</v>
      </c>
      <c r="J25" s="1">
        <v>7511</v>
      </c>
      <c r="K25" s="739">
        <f t="shared" si="5"/>
        <v>3</v>
      </c>
      <c r="L25" s="99">
        <f t="shared" si="16"/>
        <v>10932</v>
      </c>
      <c r="M25" s="1">
        <v>10940</v>
      </c>
      <c r="N25" s="739">
        <f t="shared" si="6"/>
        <v>8</v>
      </c>
      <c r="O25" s="99">
        <f t="shared" si="7"/>
        <v>19022</v>
      </c>
      <c r="P25" s="573">
        <v>19033</v>
      </c>
      <c r="Q25" s="739">
        <f t="shared" si="8"/>
        <v>11</v>
      </c>
      <c r="R25" s="344"/>
      <c r="S25" s="338">
        <f t="shared" si="9"/>
        <v>46529</v>
      </c>
      <c r="T25" s="574">
        <v>46558</v>
      </c>
      <c r="U25" s="740">
        <f t="shared" si="17"/>
        <v>29</v>
      </c>
      <c r="V25" s="338">
        <f t="shared" si="27"/>
        <v>65186</v>
      </c>
      <c r="W25" s="574">
        <v>65236</v>
      </c>
      <c r="X25" s="740">
        <f t="shared" si="18"/>
        <v>50</v>
      </c>
      <c r="Y25" s="338">
        <f t="shared" si="11"/>
        <v>74570</v>
      </c>
      <c r="Z25" s="574">
        <v>74624</v>
      </c>
      <c r="AA25" s="740">
        <f t="shared" si="19"/>
        <v>54</v>
      </c>
      <c r="AB25" s="338">
        <f t="shared" si="12"/>
        <v>11661</v>
      </c>
      <c r="AC25" s="339">
        <v>11667</v>
      </c>
      <c r="AD25" s="740">
        <f t="shared" si="20"/>
        <v>6</v>
      </c>
      <c r="AE25" s="338">
        <f t="shared" si="13"/>
        <v>14350</v>
      </c>
      <c r="AF25" s="575">
        <v>14363</v>
      </c>
      <c r="AG25" s="740">
        <f t="shared" si="21"/>
        <v>13</v>
      </c>
      <c r="AH25" s="338">
        <f t="shared" si="14"/>
        <v>23118</v>
      </c>
      <c r="AI25" s="575">
        <v>23134</v>
      </c>
      <c r="AJ25" s="740">
        <f t="shared" si="22"/>
        <v>16</v>
      </c>
      <c r="AK25" s="454">
        <f t="shared" si="15"/>
        <v>15154</v>
      </c>
      <c r="AL25" s="574">
        <v>15154</v>
      </c>
      <c r="AM25" s="740">
        <f t="shared" si="26"/>
        <v>0</v>
      </c>
      <c r="AN25" s="590">
        <f t="shared" si="24"/>
        <v>168</v>
      </c>
    </row>
    <row r="26" spans="1:40" ht="23.1" customHeight="1">
      <c r="A26" s="59">
        <f>Gen!A31</f>
        <v>43790</v>
      </c>
      <c r="B26" s="4"/>
      <c r="C26" s="99">
        <f>D25</f>
        <v>218217</v>
      </c>
      <c r="D26" s="1">
        <v>218312</v>
      </c>
      <c r="E26" s="739">
        <f t="shared" si="25"/>
        <v>95</v>
      </c>
      <c r="F26" s="99">
        <f t="shared" si="2"/>
        <v>37201</v>
      </c>
      <c r="G26" s="581">
        <v>37216</v>
      </c>
      <c r="H26" s="739">
        <f t="shared" si="3"/>
        <v>15</v>
      </c>
      <c r="I26" s="99">
        <f t="shared" si="4"/>
        <v>7511</v>
      </c>
      <c r="J26" s="1">
        <v>7513</v>
      </c>
      <c r="K26" s="739">
        <f t="shared" si="5"/>
        <v>2</v>
      </c>
      <c r="L26" s="99">
        <f t="shared" si="16"/>
        <v>10940</v>
      </c>
      <c r="M26" s="1">
        <v>10952</v>
      </c>
      <c r="N26" s="739">
        <f t="shared" si="6"/>
        <v>12</v>
      </c>
      <c r="O26" s="99">
        <f t="shared" si="7"/>
        <v>19033</v>
      </c>
      <c r="P26" s="573">
        <v>19041</v>
      </c>
      <c r="Q26" s="739">
        <f t="shared" si="8"/>
        <v>8</v>
      </c>
      <c r="R26" s="344"/>
      <c r="S26" s="338">
        <f t="shared" si="9"/>
        <v>46558</v>
      </c>
      <c r="T26" s="574">
        <v>46587</v>
      </c>
      <c r="U26" s="740">
        <f t="shared" si="17"/>
        <v>29</v>
      </c>
      <c r="V26" s="338">
        <f t="shared" si="27"/>
        <v>65236</v>
      </c>
      <c r="W26" s="574">
        <v>65287</v>
      </c>
      <c r="X26" s="740">
        <f t="shared" si="18"/>
        <v>51</v>
      </c>
      <c r="Y26" s="338">
        <f t="shared" si="11"/>
        <v>74624</v>
      </c>
      <c r="Z26" s="574">
        <v>74677</v>
      </c>
      <c r="AA26" s="740">
        <f t="shared" si="19"/>
        <v>53</v>
      </c>
      <c r="AB26" s="338">
        <f t="shared" si="12"/>
        <v>11667</v>
      </c>
      <c r="AC26" s="339">
        <v>11674</v>
      </c>
      <c r="AD26" s="740">
        <f t="shared" si="20"/>
        <v>7</v>
      </c>
      <c r="AE26" s="338">
        <f t="shared" si="13"/>
        <v>14363</v>
      </c>
      <c r="AF26" s="575">
        <v>14377</v>
      </c>
      <c r="AG26" s="740">
        <f t="shared" si="21"/>
        <v>14</v>
      </c>
      <c r="AH26" s="338">
        <f t="shared" si="14"/>
        <v>23134</v>
      </c>
      <c r="AI26" s="575">
        <v>23152</v>
      </c>
      <c r="AJ26" s="740">
        <f t="shared" si="22"/>
        <v>18</v>
      </c>
      <c r="AK26" s="454">
        <f t="shared" si="15"/>
        <v>15154</v>
      </c>
      <c r="AL26" s="574">
        <v>15154</v>
      </c>
      <c r="AM26" s="740">
        <f t="shared" si="26"/>
        <v>0</v>
      </c>
      <c r="AN26" s="590">
        <f t="shared" si="24"/>
        <v>172</v>
      </c>
    </row>
    <row r="27" spans="1:40" ht="23.1" customHeight="1">
      <c r="A27" s="59">
        <f>Gen!A32</f>
        <v>43791</v>
      </c>
      <c r="B27" s="4"/>
      <c r="C27" s="99">
        <f>D26</f>
        <v>218312</v>
      </c>
      <c r="D27" s="1">
        <v>218407</v>
      </c>
      <c r="E27" s="739">
        <f t="shared" si="25"/>
        <v>95</v>
      </c>
      <c r="F27" s="99">
        <f t="shared" si="2"/>
        <v>37216</v>
      </c>
      <c r="G27" s="581">
        <v>37235</v>
      </c>
      <c r="H27" s="739">
        <f t="shared" si="3"/>
        <v>19</v>
      </c>
      <c r="I27" s="99">
        <f t="shared" si="4"/>
        <v>7513</v>
      </c>
      <c r="J27" s="1">
        <v>7516</v>
      </c>
      <c r="K27" s="739">
        <f t="shared" si="5"/>
        <v>3</v>
      </c>
      <c r="L27" s="99">
        <f t="shared" si="16"/>
        <v>10952</v>
      </c>
      <c r="M27" s="1"/>
      <c r="N27" s="739" t="str">
        <f t="shared" si="6"/>
        <v>0</v>
      </c>
      <c r="O27" s="99">
        <f t="shared" si="7"/>
        <v>19041</v>
      </c>
      <c r="P27" s="573">
        <v>19050</v>
      </c>
      <c r="Q27" s="739">
        <f t="shared" si="8"/>
        <v>9</v>
      </c>
      <c r="R27" s="344"/>
      <c r="S27" s="338">
        <f t="shared" si="9"/>
        <v>46587</v>
      </c>
      <c r="T27" s="574">
        <v>46617</v>
      </c>
      <c r="U27" s="740">
        <f t="shared" si="17"/>
        <v>30</v>
      </c>
      <c r="V27" s="338">
        <f t="shared" si="27"/>
        <v>65287</v>
      </c>
      <c r="W27" s="574">
        <v>65339</v>
      </c>
      <c r="X27" s="740">
        <f t="shared" si="18"/>
        <v>52</v>
      </c>
      <c r="Y27" s="338">
        <f t="shared" si="11"/>
        <v>74677</v>
      </c>
      <c r="Z27" s="574">
        <v>74730</v>
      </c>
      <c r="AA27" s="740">
        <f t="shared" si="19"/>
        <v>53</v>
      </c>
      <c r="AB27" s="338">
        <f t="shared" si="12"/>
        <v>11674</v>
      </c>
      <c r="AC27" s="339">
        <v>11680</v>
      </c>
      <c r="AD27" s="740">
        <f t="shared" si="20"/>
        <v>6</v>
      </c>
      <c r="AE27" s="338">
        <f t="shared" si="13"/>
        <v>14377</v>
      </c>
      <c r="AF27" s="575">
        <v>14391</v>
      </c>
      <c r="AG27" s="740">
        <f t="shared" si="21"/>
        <v>14</v>
      </c>
      <c r="AH27" s="338">
        <f t="shared" si="14"/>
        <v>23152</v>
      </c>
      <c r="AI27" s="575">
        <v>23171</v>
      </c>
      <c r="AJ27" s="740">
        <f t="shared" si="22"/>
        <v>19</v>
      </c>
      <c r="AK27" s="454">
        <f t="shared" si="15"/>
        <v>15154</v>
      </c>
      <c r="AL27" s="574">
        <v>15154</v>
      </c>
      <c r="AM27" s="740">
        <f t="shared" si="23"/>
        <v>0</v>
      </c>
      <c r="AN27" s="590">
        <f t="shared" si="24"/>
        <v>174</v>
      </c>
    </row>
    <row r="28" spans="1:40" ht="23.1" customHeight="1">
      <c r="A28" s="59">
        <f>Gen!A33</f>
        <v>43792</v>
      </c>
      <c r="B28" s="4"/>
      <c r="C28" s="99">
        <f t="shared" ref="C28:C37" si="28">D27</f>
        <v>218407</v>
      </c>
      <c r="D28" s="1"/>
      <c r="E28" s="739" t="str">
        <f t="shared" si="25"/>
        <v>0</v>
      </c>
      <c r="F28" s="99">
        <f t="shared" si="2"/>
        <v>37235</v>
      </c>
      <c r="G28" s="581"/>
      <c r="H28" s="739" t="str">
        <f t="shared" si="3"/>
        <v>0</v>
      </c>
      <c r="I28" s="99">
        <f t="shared" si="4"/>
        <v>7516</v>
      </c>
      <c r="J28" s="1"/>
      <c r="K28" s="739" t="str">
        <f t="shared" si="5"/>
        <v>0</v>
      </c>
      <c r="L28" s="99">
        <f t="shared" si="16"/>
        <v>0</v>
      </c>
      <c r="M28" s="1"/>
      <c r="N28" s="739">
        <f t="shared" si="6"/>
        <v>0</v>
      </c>
      <c r="O28" s="99">
        <f t="shared" si="7"/>
        <v>19050</v>
      </c>
      <c r="P28" s="573"/>
      <c r="Q28" s="739" t="str">
        <f t="shared" si="8"/>
        <v>0</v>
      </c>
      <c r="R28" s="344"/>
      <c r="S28" s="338">
        <f t="shared" si="9"/>
        <v>46617</v>
      </c>
      <c r="T28" s="574"/>
      <c r="U28" s="740" t="str">
        <f t="shared" si="17"/>
        <v>0</v>
      </c>
      <c r="V28" s="338">
        <f t="shared" si="27"/>
        <v>65339</v>
      </c>
      <c r="W28" s="574"/>
      <c r="X28" s="740" t="str">
        <f t="shared" si="18"/>
        <v>0</v>
      </c>
      <c r="Y28" s="338">
        <f t="shared" si="11"/>
        <v>74730</v>
      </c>
      <c r="Z28" s="574"/>
      <c r="AA28" s="740" t="str">
        <f t="shared" si="19"/>
        <v>0</v>
      </c>
      <c r="AB28" s="338">
        <f t="shared" si="12"/>
        <v>11680</v>
      </c>
      <c r="AC28" s="339"/>
      <c r="AD28" s="740" t="str">
        <f t="shared" si="20"/>
        <v>0</v>
      </c>
      <c r="AE28" s="338">
        <f t="shared" si="13"/>
        <v>14391</v>
      </c>
      <c r="AF28" s="575"/>
      <c r="AG28" s="740" t="str">
        <f t="shared" si="21"/>
        <v>0</v>
      </c>
      <c r="AH28" s="338">
        <f t="shared" si="14"/>
        <v>23171</v>
      </c>
      <c r="AI28" s="575"/>
      <c r="AJ28" s="740" t="str">
        <f t="shared" si="22"/>
        <v>0</v>
      </c>
      <c r="AK28" s="454">
        <f t="shared" si="15"/>
        <v>15154</v>
      </c>
      <c r="AL28" s="574"/>
      <c r="AM28" s="740" t="str">
        <f t="shared" si="23"/>
        <v>0</v>
      </c>
      <c r="AN28" s="590">
        <f t="shared" si="24"/>
        <v>0</v>
      </c>
    </row>
    <row r="29" spans="1:40" ht="23.1" customHeight="1">
      <c r="A29" s="59">
        <f>Gen!A34</f>
        <v>43793</v>
      </c>
      <c r="B29" s="4"/>
      <c r="C29" s="99">
        <f t="shared" si="28"/>
        <v>0</v>
      </c>
      <c r="D29" s="1"/>
      <c r="E29" s="739">
        <f t="shared" si="25"/>
        <v>0</v>
      </c>
      <c r="F29" s="99">
        <f t="shared" si="2"/>
        <v>0</v>
      </c>
      <c r="G29" s="581"/>
      <c r="H29" s="739">
        <f t="shared" si="3"/>
        <v>0</v>
      </c>
      <c r="I29" s="99">
        <f t="shared" si="4"/>
        <v>0</v>
      </c>
      <c r="J29" s="1"/>
      <c r="K29" s="739">
        <f t="shared" si="5"/>
        <v>0</v>
      </c>
      <c r="L29" s="99">
        <f t="shared" si="16"/>
        <v>0</v>
      </c>
      <c r="M29" s="1"/>
      <c r="N29" s="739">
        <f t="shared" si="6"/>
        <v>0</v>
      </c>
      <c r="O29" s="99">
        <f t="shared" si="7"/>
        <v>0</v>
      </c>
      <c r="P29" s="573"/>
      <c r="Q29" s="739">
        <f t="shared" si="8"/>
        <v>0</v>
      </c>
      <c r="R29" s="344"/>
      <c r="S29" s="338">
        <f t="shared" si="9"/>
        <v>0</v>
      </c>
      <c r="T29" s="574"/>
      <c r="U29" s="740">
        <f t="shared" si="17"/>
        <v>0</v>
      </c>
      <c r="V29" s="338">
        <f t="shared" si="27"/>
        <v>0</v>
      </c>
      <c r="W29" s="574"/>
      <c r="X29" s="740">
        <f t="shared" si="18"/>
        <v>0</v>
      </c>
      <c r="Y29" s="338">
        <f t="shared" si="11"/>
        <v>0</v>
      </c>
      <c r="Z29" s="574"/>
      <c r="AA29" s="740">
        <f t="shared" si="19"/>
        <v>0</v>
      </c>
      <c r="AB29" s="338">
        <f t="shared" si="12"/>
        <v>0</v>
      </c>
      <c r="AC29" s="339"/>
      <c r="AD29" s="740">
        <f t="shared" si="20"/>
        <v>0</v>
      </c>
      <c r="AE29" s="338">
        <f t="shared" si="13"/>
        <v>0</v>
      </c>
      <c r="AF29" s="575"/>
      <c r="AG29" s="740">
        <f t="shared" si="21"/>
        <v>0</v>
      </c>
      <c r="AH29" s="338">
        <f t="shared" si="14"/>
        <v>0</v>
      </c>
      <c r="AI29" s="575"/>
      <c r="AJ29" s="740">
        <f t="shared" si="22"/>
        <v>0</v>
      </c>
      <c r="AK29" s="454">
        <f t="shared" si="15"/>
        <v>0</v>
      </c>
      <c r="AL29" s="574"/>
      <c r="AM29" s="740">
        <f t="shared" si="23"/>
        <v>0</v>
      </c>
      <c r="AN29" s="590">
        <f t="shared" si="24"/>
        <v>0</v>
      </c>
    </row>
    <row r="30" spans="1:40" ht="23.1" customHeight="1">
      <c r="A30" s="59">
        <f>Gen!A35</f>
        <v>43794</v>
      </c>
      <c r="B30" s="4"/>
      <c r="C30" s="99">
        <f t="shared" si="28"/>
        <v>0</v>
      </c>
      <c r="D30" s="1"/>
      <c r="E30" s="739">
        <f t="shared" si="25"/>
        <v>0</v>
      </c>
      <c r="F30" s="99">
        <f t="shared" si="2"/>
        <v>0</v>
      </c>
      <c r="G30" s="581"/>
      <c r="H30" s="739">
        <f t="shared" si="3"/>
        <v>0</v>
      </c>
      <c r="I30" s="99">
        <f t="shared" si="4"/>
        <v>0</v>
      </c>
      <c r="J30" s="1"/>
      <c r="K30" s="739">
        <f t="shared" si="5"/>
        <v>0</v>
      </c>
      <c r="L30" s="99">
        <f t="shared" si="16"/>
        <v>0</v>
      </c>
      <c r="M30" s="1"/>
      <c r="N30" s="739">
        <f t="shared" si="6"/>
        <v>0</v>
      </c>
      <c r="O30" s="99">
        <f t="shared" si="7"/>
        <v>0</v>
      </c>
      <c r="P30" s="573"/>
      <c r="Q30" s="739">
        <f t="shared" si="8"/>
        <v>0</v>
      </c>
      <c r="R30" s="344"/>
      <c r="S30" s="338">
        <f t="shared" si="9"/>
        <v>0</v>
      </c>
      <c r="T30" s="574"/>
      <c r="U30" s="740">
        <f t="shared" si="17"/>
        <v>0</v>
      </c>
      <c r="V30" s="338">
        <f t="shared" si="27"/>
        <v>0</v>
      </c>
      <c r="W30" s="574"/>
      <c r="X30" s="740">
        <f t="shared" si="18"/>
        <v>0</v>
      </c>
      <c r="Y30" s="338">
        <f t="shared" si="11"/>
        <v>0</v>
      </c>
      <c r="Z30" s="574"/>
      <c r="AA30" s="740">
        <f t="shared" si="19"/>
        <v>0</v>
      </c>
      <c r="AB30" s="338">
        <f t="shared" si="12"/>
        <v>0</v>
      </c>
      <c r="AC30" s="339"/>
      <c r="AD30" s="740">
        <f t="shared" si="20"/>
        <v>0</v>
      </c>
      <c r="AE30" s="338">
        <f t="shared" si="13"/>
        <v>0</v>
      </c>
      <c r="AF30" s="575"/>
      <c r="AG30" s="740">
        <f t="shared" si="21"/>
        <v>0</v>
      </c>
      <c r="AH30" s="338">
        <f t="shared" si="14"/>
        <v>0</v>
      </c>
      <c r="AI30" s="575"/>
      <c r="AJ30" s="740">
        <f t="shared" si="22"/>
        <v>0</v>
      </c>
      <c r="AK30" s="454">
        <f t="shared" si="15"/>
        <v>0</v>
      </c>
      <c r="AL30" s="574"/>
      <c r="AM30" s="740">
        <f t="shared" si="23"/>
        <v>0</v>
      </c>
      <c r="AN30" s="590">
        <f t="shared" si="24"/>
        <v>0</v>
      </c>
    </row>
    <row r="31" spans="1:40" ht="23.1" customHeight="1">
      <c r="A31" s="59">
        <f>Gen!A36</f>
        <v>43795</v>
      </c>
      <c r="B31" s="4"/>
      <c r="C31" s="99">
        <f t="shared" si="28"/>
        <v>0</v>
      </c>
      <c r="D31" s="1"/>
      <c r="E31" s="739">
        <f t="shared" si="25"/>
        <v>0</v>
      </c>
      <c r="F31" s="99">
        <f t="shared" si="2"/>
        <v>0</v>
      </c>
      <c r="G31" s="581"/>
      <c r="H31" s="739">
        <f t="shared" si="3"/>
        <v>0</v>
      </c>
      <c r="I31" s="99">
        <f t="shared" si="4"/>
        <v>0</v>
      </c>
      <c r="J31" s="1"/>
      <c r="K31" s="739">
        <f t="shared" si="5"/>
        <v>0</v>
      </c>
      <c r="L31" s="99">
        <f t="shared" si="16"/>
        <v>0</v>
      </c>
      <c r="M31" s="1"/>
      <c r="N31" s="739">
        <f t="shared" si="6"/>
        <v>0</v>
      </c>
      <c r="O31" s="99">
        <f t="shared" si="7"/>
        <v>0</v>
      </c>
      <c r="P31" s="573"/>
      <c r="Q31" s="739">
        <f t="shared" si="8"/>
        <v>0</v>
      </c>
      <c r="R31" s="344"/>
      <c r="S31" s="338">
        <f t="shared" si="9"/>
        <v>0</v>
      </c>
      <c r="T31" s="574"/>
      <c r="U31" s="740">
        <f t="shared" si="17"/>
        <v>0</v>
      </c>
      <c r="V31" s="338">
        <f t="shared" si="27"/>
        <v>0</v>
      </c>
      <c r="W31" s="574"/>
      <c r="X31" s="740">
        <f t="shared" si="18"/>
        <v>0</v>
      </c>
      <c r="Y31" s="338">
        <f t="shared" si="11"/>
        <v>0</v>
      </c>
      <c r="Z31" s="574"/>
      <c r="AA31" s="740">
        <f t="shared" si="19"/>
        <v>0</v>
      </c>
      <c r="AB31" s="338">
        <f t="shared" si="12"/>
        <v>0</v>
      </c>
      <c r="AC31" s="339"/>
      <c r="AD31" s="740">
        <f t="shared" si="20"/>
        <v>0</v>
      </c>
      <c r="AE31" s="338">
        <f t="shared" si="13"/>
        <v>0</v>
      </c>
      <c r="AF31" s="575"/>
      <c r="AG31" s="740">
        <f t="shared" si="21"/>
        <v>0</v>
      </c>
      <c r="AH31" s="338">
        <f t="shared" si="14"/>
        <v>0</v>
      </c>
      <c r="AI31" s="575"/>
      <c r="AJ31" s="740">
        <f t="shared" si="22"/>
        <v>0</v>
      </c>
      <c r="AK31" s="454">
        <f t="shared" si="15"/>
        <v>0</v>
      </c>
      <c r="AL31" s="574"/>
      <c r="AM31" s="740">
        <f t="shared" si="23"/>
        <v>0</v>
      </c>
      <c r="AN31" s="590">
        <f t="shared" si="24"/>
        <v>0</v>
      </c>
    </row>
    <row r="32" spans="1:40" ht="23.1" customHeight="1">
      <c r="A32" s="59">
        <f>Gen!A37</f>
        <v>43796</v>
      </c>
      <c r="B32" s="4" t="s">
        <v>27</v>
      </c>
      <c r="C32" s="99">
        <f t="shared" si="28"/>
        <v>0</v>
      </c>
      <c r="D32" s="1"/>
      <c r="E32" s="739">
        <f t="shared" si="25"/>
        <v>0</v>
      </c>
      <c r="F32" s="99">
        <f t="shared" si="2"/>
        <v>0</v>
      </c>
      <c r="G32" s="581"/>
      <c r="H32" s="739">
        <f t="shared" si="3"/>
        <v>0</v>
      </c>
      <c r="I32" s="99">
        <f t="shared" si="4"/>
        <v>0</v>
      </c>
      <c r="J32" s="1"/>
      <c r="K32" s="739">
        <f t="shared" si="5"/>
        <v>0</v>
      </c>
      <c r="L32" s="99">
        <f t="shared" si="16"/>
        <v>0</v>
      </c>
      <c r="M32" s="1"/>
      <c r="N32" s="739">
        <f t="shared" si="6"/>
        <v>0</v>
      </c>
      <c r="O32" s="99">
        <f t="shared" si="7"/>
        <v>0</v>
      </c>
      <c r="P32" s="573"/>
      <c r="Q32" s="739">
        <f t="shared" si="8"/>
        <v>0</v>
      </c>
      <c r="R32" s="344"/>
      <c r="S32" s="338">
        <f t="shared" si="9"/>
        <v>0</v>
      </c>
      <c r="T32" s="574"/>
      <c r="U32" s="740">
        <f t="shared" si="17"/>
        <v>0</v>
      </c>
      <c r="V32" s="338">
        <f t="shared" si="27"/>
        <v>0</v>
      </c>
      <c r="W32" s="574"/>
      <c r="X32" s="740">
        <f t="shared" si="18"/>
        <v>0</v>
      </c>
      <c r="Y32" s="338">
        <f t="shared" si="11"/>
        <v>0</v>
      </c>
      <c r="Z32" s="574"/>
      <c r="AA32" s="740">
        <f t="shared" si="19"/>
        <v>0</v>
      </c>
      <c r="AB32" s="338">
        <f t="shared" si="12"/>
        <v>0</v>
      </c>
      <c r="AC32" s="339"/>
      <c r="AD32" s="740">
        <f t="shared" si="20"/>
        <v>0</v>
      </c>
      <c r="AE32" s="338">
        <f t="shared" si="13"/>
        <v>0</v>
      </c>
      <c r="AF32" s="575"/>
      <c r="AG32" s="740">
        <f t="shared" si="21"/>
        <v>0</v>
      </c>
      <c r="AH32" s="338">
        <f t="shared" si="14"/>
        <v>0</v>
      </c>
      <c r="AI32" s="575"/>
      <c r="AJ32" s="740">
        <f t="shared" si="22"/>
        <v>0</v>
      </c>
      <c r="AK32" s="454">
        <f t="shared" si="15"/>
        <v>0</v>
      </c>
      <c r="AL32" s="574"/>
      <c r="AM32" s="740">
        <f t="shared" si="23"/>
        <v>0</v>
      </c>
      <c r="AN32" s="590">
        <f t="shared" si="24"/>
        <v>0</v>
      </c>
    </row>
    <row r="33" spans="1:40" ht="23.1" customHeight="1">
      <c r="A33" s="59">
        <f>Gen!A38</f>
        <v>43797</v>
      </c>
      <c r="B33" s="4"/>
      <c r="C33" s="99">
        <f t="shared" si="28"/>
        <v>0</v>
      </c>
      <c r="D33" s="1"/>
      <c r="E33" s="739">
        <f t="shared" si="25"/>
        <v>0</v>
      </c>
      <c r="F33" s="99">
        <f t="shared" si="2"/>
        <v>0</v>
      </c>
      <c r="G33" s="581"/>
      <c r="H33" s="739">
        <f t="shared" si="3"/>
        <v>0</v>
      </c>
      <c r="I33" s="99">
        <f t="shared" si="4"/>
        <v>0</v>
      </c>
      <c r="J33" s="1"/>
      <c r="K33" s="739">
        <f t="shared" si="5"/>
        <v>0</v>
      </c>
      <c r="L33" s="99">
        <f t="shared" si="16"/>
        <v>0</v>
      </c>
      <c r="M33" s="1"/>
      <c r="N33" s="739">
        <f t="shared" si="6"/>
        <v>0</v>
      </c>
      <c r="O33" s="99">
        <f t="shared" si="7"/>
        <v>0</v>
      </c>
      <c r="P33" s="573"/>
      <c r="Q33" s="739">
        <f t="shared" si="8"/>
        <v>0</v>
      </c>
      <c r="R33" s="344"/>
      <c r="S33" s="338">
        <f t="shared" si="9"/>
        <v>0</v>
      </c>
      <c r="T33" s="574"/>
      <c r="U33" s="740">
        <f t="shared" si="17"/>
        <v>0</v>
      </c>
      <c r="V33" s="338">
        <f t="shared" si="27"/>
        <v>0</v>
      </c>
      <c r="W33" s="574"/>
      <c r="X33" s="740">
        <f t="shared" si="18"/>
        <v>0</v>
      </c>
      <c r="Y33" s="338">
        <f t="shared" si="11"/>
        <v>0</v>
      </c>
      <c r="Z33" s="574"/>
      <c r="AA33" s="740">
        <f t="shared" si="19"/>
        <v>0</v>
      </c>
      <c r="AB33" s="338">
        <f t="shared" si="12"/>
        <v>0</v>
      </c>
      <c r="AC33" s="339"/>
      <c r="AD33" s="740">
        <f t="shared" si="20"/>
        <v>0</v>
      </c>
      <c r="AE33" s="338">
        <f t="shared" si="13"/>
        <v>0</v>
      </c>
      <c r="AF33" s="575"/>
      <c r="AG33" s="740">
        <f t="shared" si="21"/>
        <v>0</v>
      </c>
      <c r="AH33" s="338">
        <f t="shared" si="14"/>
        <v>0</v>
      </c>
      <c r="AI33" s="575"/>
      <c r="AJ33" s="740">
        <f t="shared" si="22"/>
        <v>0</v>
      </c>
      <c r="AK33" s="454">
        <f t="shared" si="15"/>
        <v>0</v>
      </c>
      <c r="AL33" s="574"/>
      <c r="AM33" s="740">
        <f t="shared" si="23"/>
        <v>0</v>
      </c>
      <c r="AN33" s="590">
        <f t="shared" si="24"/>
        <v>0</v>
      </c>
    </row>
    <row r="34" spans="1:40" ht="23.1" customHeight="1">
      <c r="A34" s="59">
        <f>Gen!A39</f>
        <v>43798</v>
      </c>
      <c r="B34" s="174"/>
      <c r="C34" s="99">
        <f t="shared" si="28"/>
        <v>0</v>
      </c>
      <c r="D34" s="1"/>
      <c r="E34" s="739">
        <f t="shared" si="25"/>
        <v>0</v>
      </c>
      <c r="F34" s="99">
        <f t="shared" si="2"/>
        <v>0</v>
      </c>
      <c r="G34" s="581"/>
      <c r="H34" s="739">
        <f t="shared" si="3"/>
        <v>0</v>
      </c>
      <c r="I34" s="99">
        <f t="shared" si="4"/>
        <v>0</v>
      </c>
      <c r="J34" s="1"/>
      <c r="K34" s="739">
        <f t="shared" si="5"/>
        <v>0</v>
      </c>
      <c r="L34" s="99">
        <f t="shared" si="16"/>
        <v>0</v>
      </c>
      <c r="M34" s="1"/>
      <c r="N34" s="739">
        <f t="shared" si="6"/>
        <v>0</v>
      </c>
      <c r="O34" s="99">
        <f t="shared" si="7"/>
        <v>0</v>
      </c>
      <c r="P34" s="573"/>
      <c r="Q34" s="739">
        <f t="shared" si="8"/>
        <v>0</v>
      </c>
      <c r="R34" s="344"/>
      <c r="S34" s="338">
        <f t="shared" si="9"/>
        <v>0</v>
      </c>
      <c r="T34" s="574"/>
      <c r="U34" s="740">
        <f t="shared" si="17"/>
        <v>0</v>
      </c>
      <c r="V34" s="338">
        <f t="shared" si="27"/>
        <v>0</v>
      </c>
      <c r="W34" s="574"/>
      <c r="X34" s="740">
        <f t="shared" si="18"/>
        <v>0</v>
      </c>
      <c r="Y34" s="338">
        <f t="shared" si="11"/>
        <v>0</v>
      </c>
      <c r="Z34" s="574"/>
      <c r="AA34" s="740">
        <f t="shared" si="19"/>
        <v>0</v>
      </c>
      <c r="AB34" s="338">
        <f t="shared" si="12"/>
        <v>0</v>
      </c>
      <c r="AC34" s="339"/>
      <c r="AD34" s="740">
        <f t="shared" si="20"/>
        <v>0</v>
      </c>
      <c r="AE34" s="338">
        <f t="shared" si="13"/>
        <v>0</v>
      </c>
      <c r="AF34" s="575"/>
      <c r="AG34" s="740">
        <f t="shared" si="21"/>
        <v>0</v>
      </c>
      <c r="AH34" s="338">
        <f t="shared" si="14"/>
        <v>0</v>
      </c>
      <c r="AI34" s="575"/>
      <c r="AJ34" s="740">
        <f t="shared" si="22"/>
        <v>0</v>
      </c>
      <c r="AK34" s="454">
        <f t="shared" si="15"/>
        <v>0</v>
      </c>
      <c r="AL34" s="574"/>
      <c r="AM34" s="740">
        <f t="shared" si="23"/>
        <v>0</v>
      </c>
      <c r="AN34" s="590">
        <f t="shared" si="24"/>
        <v>0</v>
      </c>
    </row>
    <row r="35" spans="1:40" ht="23.1" customHeight="1">
      <c r="A35" s="59">
        <f>Gen!A40</f>
        <v>43799</v>
      </c>
      <c r="B35" s="174"/>
      <c r="C35" s="99">
        <f t="shared" si="28"/>
        <v>0</v>
      </c>
      <c r="D35" s="1"/>
      <c r="E35" s="739">
        <f t="shared" si="25"/>
        <v>0</v>
      </c>
      <c r="F35" s="99">
        <f t="shared" si="2"/>
        <v>0</v>
      </c>
      <c r="G35" s="581"/>
      <c r="H35" s="739">
        <f t="shared" si="3"/>
        <v>0</v>
      </c>
      <c r="I35" s="99">
        <f t="shared" si="4"/>
        <v>0</v>
      </c>
      <c r="J35" s="1"/>
      <c r="K35" s="739">
        <f t="shared" si="5"/>
        <v>0</v>
      </c>
      <c r="L35" s="99">
        <f t="shared" si="16"/>
        <v>0</v>
      </c>
      <c r="M35" s="1"/>
      <c r="N35" s="739">
        <f t="shared" si="6"/>
        <v>0</v>
      </c>
      <c r="O35" s="99">
        <f t="shared" si="7"/>
        <v>0</v>
      </c>
      <c r="P35" s="573"/>
      <c r="Q35" s="739">
        <f t="shared" si="8"/>
        <v>0</v>
      </c>
      <c r="R35" s="344"/>
      <c r="S35" s="338">
        <f t="shared" si="9"/>
        <v>0</v>
      </c>
      <c r="T35" s="574"/>
      <c r="U35" s="740">
        <f t="shared" si="17"/>
        <v>0</v>
      </c>
      <c r="V35" s="338">
        <f t="shared" si="27"/>
        <v>0</v>
      </c>
      <c r="W35" s="574"/>
      <c r="X35" s="740">
        <f t="shared" si="18"/>
        <v>0</v>
      </c>
      <c r="Y35" s="338">
        <f t="shared" si="11"/>
        <v>0</v>
      </c>
      <c r="Z35" s="574"/>
      <c r="AA35" s="740">
        <f t="shared" si="19"/>
        <v>0</v>
      </c>
      <c r="AB35" s="338">
        <f t="shared" si="12"/>
        <v>0</v>
      </c>
      <c r="AC35" s="339"/>
      <c r="AD35" s="740">
        <f t="shared" si="20"/>
        <v>0</v>
      </c>
      <c r="AE35" s="338">
        <f t="shared" si="13"/>
        <v>0</v>
      </c>
      <c r="AF35" s="575"/>
      <c r="AG35" s="740">
        <f t="shared" si="21"/>
        <v>0</v>
      </c>
      <c r="AH35" s="338">
        <f t="shared" si="14"/>
        <v>0</v>
      </c>
      <c r="AI35" s="575"/>
      <c r="AJ35" s="740">
        <f t="shared" si="22"/>
        <v>0</v>
      </c>
      <c r="AK35" s="454">
        <f t="shared" si="15"/>
        <v>0</v>
      </c>
      <c r="AL35" s="574"/>
      <c r="AM35" s="740">
        <f t="shared" si="23"/>
        <v>0</v>
      </c>
      <c r="AN35" s="590">
        <f t="shared" si="24"/>
        <v>0</v>
      </c>
    </row>
    <row r="36" spans="1:40" ht="23.1" customHeight="1">
      <c r="A36" s="59">
        <f>Gen!A41</f>
        <v>43800</v>
      </c>
      <c r="B36" s="175"/>
      <c r="C36" s="99">
        <f t="shared" si="28"/>
        <v>0</v>
      </c>
      <c r="D36" s="1"/>
      <c r="E36" s="739">
        <f t="shared" si="25"/>
        <v>0</v>
      </c>
      <c r="F36" s="99">
        <f t="shared" si="2"/>
        <v>0</v>
      </c>
      <c r="G36" s="581"/>
      <c r="H36" s="739">
        <f t="shared" si="3"/>
        <v>0</v>
      </c>
      <c r="I36" s="99">
        <f t="shared" si="4"/>
        <v>0</v>
      </c>
      <c r="J36" s="1"/>
      <c r="K36" s="739">
        <f t="shared" si="5"/>
        <v>0</v>
      </c>
      <c r="L36" s="99">
        <f t="shared" si="16"/>
        <v>0</v>
      </c>
      <c r="M36" s="1"/>
      <c r="N36" s="739">
        <f t="shared" si="6"/>
        <v>0</v>
      </c>
      <c r="O36" s="99">
        <f t="shared" si="7"/>
        <v>0</v>
      </c>
      <c r="P36" s="573"/>
      <c r="Q36" s="739">
        <f t="shared" si="8"/>
        <v>0</v>
      </c>
      <c r="R36" s="344"/>
      <c r="S36" s="338">
        <f t="shared" si="9"/>
        <v>0</v>
      </c>
      <c r="T36" s="574"/>
      <c r="U36" s="740">
        <f t="shared" si="17"/>
        <v>0</v>
      </c>
      <c r="V36" s="338">
        <f t="shared" si="27"/>
        <v>0</v>
      </c>
      <c r="W36" s="574"/>
      <c r="X36" s="740">
        <f t="shared" si="18"/>
        <v>0</v>
      </c>
      <c r="Y36" s="338">
        <f t="shared" si="11"/>
        <v>0</v>
      </c>
      <c r="Z36" s="574"/>
      <c r="AA36" s="740">
        <f t="shared" si="19"/>
        <v>0</v>
      </c>
      <c r="AB36" s="338">
        <f t="shared" si="12"/>
        <v>0</v>
      </c>
      <c r="AC36" s="339"/>
      <c r="AD36" s="740">
        <f t="shared" si="20"/>
        <v>0</v>
      </c>
      <c r="AE36" s="338">
        <f t="shared" si="13"/>
        <v>0</v>
      </c>
      <c r="AF36" s="575"/>
      <c r="AG36" s="740">
        <f t="shared" si="21"/>
        <v>0</v>
      </c>
      <c r="AH36" s="338">
        <f t="shared" si="14"/>
        <v>0</v>
      </c>
      <c r="AI36" s="575"/>
      <c r="AJ36" s="740">
        <f t="shared" si="22"/>
        <v>0</v>
      </c>
      <c r="AK36" s="454">
        <f t="shared" si="15"/>
        <v>0</v>
      </c>
      <c r="AL36" s="574"/>
      <c r="AM36" s="740">
        <f t="shared" si="23"/>
        <v>0</v>
      </c>
      <c r="AN36" s="590">
        <f t="shared" si="24"/>
        <v>0</v>
      </c>
    </row>
    <row r="37" spans="1:40" ht="24" customHeight="1">
      <c r="A37" s="59">
        <f>Gen!A42</f>
        <v>0</v>
      </c>
      <c r="B37" s="3"/>
      <c r="C37" s="99">
        <f t="shared" si="28"/>
        <v>0</v>
      </c>
      <c r="D37" s="1"/>
      <c r="E37" s="739">
        <f t="shared" si="25"/>
        <v>0</v>
      </c>
      <c r="F37" s="99">
        <f t="shared" si="2"/>
        <v>0</v>
      </c>
      <c r="G37" s="581"/>
      <c r="H37" s="739">
        <f t="shared" si="3"/>
        <v>0</v>
      </c>
      <c r="I37" s="99">
        <f t="shared" si="4"/>
        <v>0</v>
      </c>
      <c r="J37" s="1"/>
      <c r="K37" s="739">
        <f t="shared" si="5"/>
        <v>0</v>
      </c>
      <c r="L37" s="99">
        <f t="shared" si="16"/>
        <v>0</v>
      </c>
      <c r="M37" s="1"/>
      <c r="N37" s="739">
        <f t="shared" si="6"/>
        <v>0</v>
      </c>
      <c r="O37" s="99">
        <f t="shared" si="7"/>
        <v>0</v>
      </c>
      <c r="P37" s="573"/>
      <c r="Q37" s="739">
        <f t="shared" si="8"/>
        <v>0</v>
      </c>
      <c r="R37" s="344"/>
      <c r="S37" s="338">
        <f t="shared" si="9"/>
        <v>0</v>
      </c>
      <c r="T37" s="574"/>
      <c r="U37" s="740">
        <f t="shared" si="17"/>
        <v>0</v>
      </c>
      <c r="V37" s="338">
        <f t="shared" si="27"/>
        <v>0</v>
      </c>
      <c r="W37" s="574"/>
      <c r="X37" s="740">
        <f t="shared" si="18"/>
        <v>0</v>
      </c>
      <c r="Y37" s="338">
        <f t="shared" si="11"/>
        <v>0</v>
      </c>
      <c r="Z37" s="574"/>
      <c r="AA37" s="740">
        <f t="shared" si="19"/>
        <v>0</v>
      </c>
      <c r="AB37" s="338">
        <f t="shared" si="12"/>
        <v>0</v>
      </c>
      <c r="AC37" s="339"/>
      <c r="AD37" s="740">
        <f t="shared" si="20"/>
        <v>0</v>
      </c>
      <c r="AE37" s="338">
        <f t="shared" si="13"/>
        <v>0</v>
      </c>
      <c r="AF37" s="575"/>
      <c r="AG37" s="740">
        <f t="shared" si="21"/>
        <v>0</v>
      </c>
      <c r="AH37" s="338">
        <f t="shared" si="14"/>
        <v>0</v>
      </c>
      <c r="AI37" s="575"/>
      <c r="AJ37" s="740">
        <f t="shared" si="22"/>
        <v>0</v>
      </c>
      <c r="AK37" s="454">
        <f t="shared" si="15"/>
        <v>0</v>
      </c>
      <c r="AL37" s="574"/>
      <c r="AM37" s="740">
        <f t="shared" si="23"/>
        <v>0</v>
      </c>
      <c r="AN37" s="590">
        <f t="shared" ref="AN37" si="29">U38+X38+AA38+AD38+AG38+AJ38+AM38</f>
        <v>647</v>
      </c>
    </row>
    <row r="38" spans="1:40" ht="17.25">
      <c r="A38" s="59"/>
      <c r="B38" s="23"/>
      <c r="C38" s="881" t="s">
        <v>6</v>
      </c>
      <c r="D38" s="881"/>
      <c r="E38" s="24">
        <f>SUM(E6:E36)</f>
        <v>2493</v>
      </c>
      <c r="F38" s="25" t="s">
        <v>21</v>
      </c>
      <c r="G38" s="26"/>
      <c r="H38" s="27">
        <f>SUM(H6:H37)</f>
        <v>351</v>
      </c>
      <c r="I38" s="28"/>
      <c r="J38" s="25"/>
      <c r="K38" s="29">
        <f>SUM(K6:K37)</f>
        <v>72</v>
      </c>
      <c r="L38" s="173"/>
      <c r="M38" s="173"/>
      <c r="N38" s="30">
        <f t="shared" ref="N38" si="30">M38-M37</f>
        <v>0</v>
      </c>
      <c r="O38" s="28"/>
      <c r="P38" s="341"/>
      <c r="Q38" s="342">
        <f t="shared" ref="Q38" si="31">P38-O38</f>
        <v>0</v>
      </c>
      <c r="R38" s="343">
        <f>E38</f>
        <v>2493</v>
      </c>
      <c r="S38" s="341"/>
      <c r="T38" s="341"/>
      <c r="U38" s="355">
        <f>SUM(U6:U37)</f>
        <v>647</v>
      </c>
      <c r="V38" s="341"/>
      <c r="W38" s="341"/>
      <c r="X38" s="341"/>
      <c r="Y38" s="341"/>
      <c r="Z38" s="341"/>
      <c r="AA38" s="341"/>
      <c r="AB38" s="341"/>
      <c r="AC38" s="341"/>
      <c r="AD38" s="341"/>
      <c r="AE38" s="341"/>
      <c r="AF38" s="341"/>
      <c r="AG38" s="341"/>
      <c r="AH38" s="341"/>
      <c r="AI38" s="341"/>
      <c r="AJ38" s="341"/>
      <c r="AK38" s="341"/>
      <c r="AL38" s="341"/>
      <c r="AM38" s="341"/>
      <c r="AN38" s="351">
        <f t="shared" ref="AN38" si="32">U38+X38+AA38+AD38+AG38+AJ38+AM38</f>
        <v>647</v>
      </c>
    </row>
    <row r="40" spans="1:40">
      <c r="R40" s="21"/>
      <c r="AF40" t="s">
        <v>260</v>
      </c>
    </row>
    <row r="41" spans="1:40" ht="13.5" thickBot="1">
      <c r="R41" s="21"/>
    </row>
    <row r="42" spans="1:40" ht="18.75" thickBot="1">
      <c r="A42" s="850"/>
      <c r="B42" s="390"/>
      <c r="C42" s="847" t="s">
        <v>225</v>
      </c>
      <c r="D42" s="848"/>
      <c r="E42" s="848"/>
      <c r="F42" s="848"/>
      <c r="G42" s="848"/>
      <c r="H42" s="848"/>
      <c r="I42" s="848"/>
      <c r="J42" s="848"/>
      <c r="K42" s="849"/>
      <c r="R42" s="21"/>
    </row>
    <row r="43" spans="1:40" ht="24.75" customHeight="1">
      <c r="A43" s="851"/>
      <c r="B43" s="21"/>
      <c r="C43" s="853" t="s">
        <v>219</v>
      </c>
      <c r="D43" s="854"/>
      <c r="E43" s="855" t="s">
        <v>240</v>
      </c>
      <c r="F43" s="856"/>
      <c r="G43" s="857" t="s">
        <v>220</v>
      </c>
      <c r="H43" s="858"/>
      <c r="I43" s="857" t="s">
        <v>241</v>
      </c>
      <c r="J43" s="858"/>
      <c r="K43" s="845" t="s">
        <v>226</v>
      </c>
      <c r="R43" s="21"/>
    </row>
    <row r="44" spans="1:40" ht="21" thickBot="1">
      <c r="A44" s="851"/>
      <c r="B44" s="21"/>
      <c r="C44" s="859" t="s">
        <v>221</v>
      </c>
      <c r="D44" s="860"/>
      <c r="E44" s="859" t="s">
        <v>222</v>
      </c>
      <c r="F44" s="860"/>
      <c r="G44" s="859" t="s">
        <v>223</v>
      </c>
      <c r="H44" s="860"/>
      <c r="I44" s="859" t="s">
        <v>224</v>
      </c>
      <c r="J44" s="860"/>
      <c r="K44" s="846"/>
      <c r="R44" s="21"/>
      <c r="U44" s="340"/>
      <c r="V44" s="338"/>
      <c r="W44" s="574"/>
      <c r="X44" s="340"/>
      <c r="Y44" s="338"/>
      <c r="Z44" s="574"/>
      <c r="AA44" s="340"/>
      <c r="AB44" s="338"/>
      <c r="AC44" s="574"/>
      <c r="AD44" s="340"/>
      <c r="AE44" s="338"/>
      <c r="AF44" s="575"/>
      <c r="AG44" s="340"/>
      <c r="AH44" s="338"/>
      <c r="AI44" s="575"/>
      <c r="AJ44" s="340"/>
      <c r="AK44" s="448"/>
      <c r="AL44" s="574"/>
      <c r="AM44" s="340"/>
      <c r="AN44" s="351"/>
    </row>
    <row r="45" spans="1:40" ht="21" thickBot="1">
      <c r="A45" s="852"/>
      <c r="B45" s="21"/>
      <c r="C45" s="467" t="s">
        <v>228</v>
      </c>
      <c r="D45" s="468" t="s">
        <v>227</v>
      </c>
      <c r="E45" s="469" t="s">
        <v>228</v>
      </c>
      <c r="F45" s="470" t="s">
        <v>227</v>
      </c>
      <c r="G45" s="741"/>
      <c r="H45" s="470" t="s">
        <v>227</v>
      </c>
      <c r="I45" s="469" t="s">
        <v>228</v>
      </c>
      <c r="J45" s="470" t="s">
        <v>227</v>
      </c>
      <c r="K45" s="471" t="s">
        <v>227</v>
      </c>
      <c r="R45" s="21"/>
      <c r="U45" s="340"/>
      <c r="V45" s="338"/>
      <c r="W45" s="574"/>
      <c r="X45" s="340"/>
      <c r="Y45" s="338"/>
      <c r="Z45" s="574"/>
      <c r="AA45" s="340"/>
      <c r="AB45" s="338"/>
      <c r="AC45" s="574"/>
      <c r="AD45" s="340"/>
      <c r="AE45" s="338"/>
      <c r="AF45" s="575"/>
      <c r="AG45" s="340"/>
      <c r="AH45" s="338"/>
      <c r="AI45" s="575"/>
      <c r="AJ45" s="340"/>
      <c r="AK45" s="448"/>
      <c r="AL45" s="574"/>
      <c r="AM45" s="340"/>
      <c r="AN45" s="351"/>
    </row>
    <row r="46" spans="1:40" ht="20.25">
      <c r="A46" s="408">
        <f>[1]Gen!A11</f>
        <v>43739</v>
      </c>
      <c r="B46" s="21"/>
      <c r="C46" s="64">
        <v>165</v>
      </c>
      <c r="D46" s="466">
        <f t="shared" ref="D46:D77" si="33">C46*217/300</f>
        <v>119.35</v>
      </c>
      <c r="E46" s="6">
        <v>130</v>
      </c>
      <c r="F46" s="466">
        <f t="shared" ref="F46:F77" si="34">E46*92/305</f>
        <v>39.213114754098363</v>
      </c>
      <c r="G46" s="742">
        <v>185</v>
      </c>
      <c r="H46" s="466">
        <f>G46*146/383</f>
        <v>70.522193211488258</v>
      </c>
      <c r="I46" s="6">
        <v>280</v>
      </c>
      <c r="J46" s="466">
        <f>I46*213/308</f>
        <v>193.63636363636363</v>
      </c>
      <c r="K46" s="472">
        <f>D46+F46+H46+J46</f>
        <v>422.72167160195022</v>
      </c>
      <c r="U46" s="340"/>
      <c r="V46" s="338"/>
      <c r="W46" s="574"/>
      <c r="X46" s="340"/>
      <c r="Y46" s="338"/>
      <c r="Z46" s="574"/>
      <c r="AA46" s="340"/>
      <c r="AB46" s="338"/>
      <c r="AC46" s="574"/>
      <c r="AD46" s="340"/>
      <c r="AE46" s="338"/>
      <c r="AF46" s="575"/>
      <c r="AG46" s="340"/>
      <c r="AH46" s="338"/>
      <c r="AI46" s="575"/>
      <c r="AJ46" s="340"/>
      <c r="AK46" s="448"/>
      <c r="AL46" s="574"/>
      <c r="AM46" s="340"/>
      <c r="AN46" s="351"/>
    </row>
    <row r="47" spans="1:40" ht="13.5">
      <c r="A47" s="408">
        <f>[1]Gen!A12</f>
        <v>43740</v>
      </c>
      <c r="B47" s="21"/>
      <c r="C47" s="64">
        <v>135</v>
      </c>
      <c r="D47" s="466">
        <f t="shared" si="33"/>
        <v>97.65</v>
      </c>
      <c r="E47" s="6">
        <v>100</v>
      </c>
      <c r="F47" s="466">
        <f t="shared" si="34"/>
        <v>30.16393442622951</v>
      </c>
      <c r="G47" s="742">
        <v>165</v>
      </c>
      <c r="H47" s="466">
        <f t="shared" ref="H47:H77" si="35">G47*146/383</f>
        <v>62.898172323759788</v>
      </c>
      <c r="I47" s="6">
        <v>290</v>
      </c>
      <c r="J47" s="466">
        <f t="shared" ref="J47:J77" si="36">I47*213/308</f>
        <v>200.55194805194805</v>
      </c>
      <c r="K47" s="472">
        <f t="shared" ref="K47:K77" si="37">D47+F47+H47+J47</f>
        <v>391.26405480193733</v>
      </c>
    </row>
    <row r="48" spans="1:40" ht="13.5">
      <c r="A48" s="408">
        <f>[1]Gen!A13</f>
        <v>43741</v>
      </c>
      <c r="B48" s="21"/>
      <c r="C48" s="64">
        <v>95</v>
      </c>
      <c r="D48" s="466">
        <f t="shared" si="33"/>
        <v>68.716666666666669</v>
      </c>
      <c r="E48" s="6">
        <v>60</v>
      </c>
      <c r="F48" s="466">
        <f t="shared" si="34"/>
        <v>18.098360655737704</v>
      </c>
      <c r="G48" s="742">
        <v>150</v>
      </c>
      <c r="H48" s="466">
        <f t="shared" si="35"/>
        <v>57.180156657963444</v>
      </c>
      <c r="I48" s="6">
        <v>286</v>
      </c>
      <c r="J48" s="466">
        <f t="shared" si="36"/>
        <v>197.78571428571428</v>
      </c>
      <c r="K48" s="472">
        <f t="shared" si="37"/>
        <v>341.78089826608209</v>
      </c>
    </row>
    <row r="49" spans="1:15" ht="13.5">
      <c r="A49" s="408">
        <f>[1]Gen!A14</f>
        <v>43742</v>
      </c>
      <c r="B49" s="21"/>
      <c r="C49" s="64">
        <v>225</v>
      </c>
      <c r="D49" s="466">
        <f t="shared" si="33"/>
        <v>162.75</v>
      </c>
      <c r="E49" s="6">
        <v>190</v>
      </c>
      <c r="F49" s="466">
        <f t="shared" si="34"/>
        <v>57.311475409836063</v>
      </c>
      <c r="G49" s="742">
        <v>50</v>
      </c>
      <c r="H49" s="466">
        <f t="shared" si="35"/>
        <v>19.06005221932115</v>
      </c>
      <c r="I49" s="6">
        <v>285</v>
      </c>
      <c r="J49" s="466">
        <f t="shared" si="36"/>
        <v>197.09415584415584</v>
      </c>
      <c r="K49" s="472">
        <f t="shared" si="37"/>
        <v>436.21568347331311</v>
      </c>
    </row>
    <row r="50" spans="1:15" ht="13.5">
      <c r="A50" s="408">
        <f>[1]Gen!A15</f>
        <v>43743</v>
      </c>
      <c r="B50" s="21"/>
      <c r="C50" s="64">
        <v>270</v>
      </c>
      <c r="D50" s="466">
        <f t="shared" si="33"/>
        <v>195.3</v>
      </c>
      <c r="E50" s="6">
        <v>235</v>
      </c>
      <c r="F50" s="466">
        <f t="shared" si="34"/>
        <v>70.885245901639351</v>
      </c>
      <c r="G50" s="742">
        <v>10</v>
      </c>
      <c r="H50" s="466">
        <f t="shared" si="35"/>
        <v>3.8120104438642297</v>
      </c>
      <c r="I50" s="6">
        <v>265</v>
      </c>
      <c r="J50" s="466">
        <f t="shared" si="36"/>
        <v>183.26298701298703</v>
      </c>
      <c r="K50" s="472">
        <f t="shared" si="37"/>
        <v>453.26024335849058</v>
      </c>
    </row>
    <row r="51" spans="1:15" ht="13.5">
      <c r="A51" s="408">
        <f>[1]Gen!A16</f>
        <v>43744</v>
      </c>
      <c r="B51" s="21"/>
      <c r="C51" s="64">
        <v>180</v>
      </c>
      <c r="D51" s="466">
        <f t="shared" si="33"/>
        <v>130.19999999999999</v>
      </c>
      <c r="E51" s="6">
        <v>144</v>
      </c>
      <c r="F51" s="466">
        <f t="shared" si="34"/>
        <v>43.436065573770492</v>
      </c>
      <c r="G51" s="742">
        <v>210</v>
      </c>
      <c r="H51" s="466">
        <f t="shared" si="35"/>
        <v>80.052219321148826</v>
      </c>
      <c r="I51" s="6">
        <v>280</v>
      </c>
      <c r="J51" s="466">
        <f t="shared" si="36"/>
        <v>193.63636363636363</v>
      </c>
      <c r="K51" s="472">
        <f t="shared" si="37"/>
        <v>447.32464853128295</v>
      </c>
    </row>
    <row r="52" spans="1:15" ht="13.5">
      <c r="A52" s="408">
        <f>[1]Gen!A17</f>
        <v>43745</v>
      </c>
      <c r="B52" s="21"/>
      <c r="C52" s="64">
        <v>160</v>
      </c>
      <c r="D52" s="466">
        <f t="shared" si="33"/>
        <v>115.73333333333333</v>
      </c>
      <c r="E52" s="6">
        <v>124</v>
      </c>
      <c r="F52" s="466">
        <f t="shared" si="34"/>
        <v>37.403278688524587</v>
      </c>
      <c r="G52" s="742">
        <v>277</v>
      </c>
      <c r="H52" s="466">
        <f t="shared" si="35"/>
        <v>105.59268929503916</v>
      </c>
      <c r="I52" s="6">
        <v>285</v>
      </c>
      <c r="J52" s="466">
        <f t="shared" si="36"/>
        <v>197.09415584415584</v>
      </c>
      <c r="K52" s="472">
        <f t="shared" si="37"/>
        <v>455.82345716105294</v>
      </c>
    </row>
    <row r="53" spans="1:15" ht="13.5">
      <c r="A53" s="408">
        <f>[1]Gen!A18</f>
        <v>43746</v>
      </c>
      <c r="B53" s="21"/>
      <c r="C53" s="64">
        <v>146</v>
      </c>
      <c r="D53" s="466">
        <f t="shared" si="33"/>
        <v>105.60666666666667</v>
      </c>
      <c r="E53" s="6">
        <v>110</v>
      </c>
      <c r="F53" s="466">
        <f t="shared" si="34"/>
        <v>33.180327868852459</v>
      </c>
      <c r="G53" s="742">
        <v>255</v>
      </c>
      <c r="H53" s="466">
        <f t="shared" si="35"/>
        <v>97.206266318537857</v>
      </c>
      <c r="I53" s="6">
        <v>287</v>
      </c>
      <c r="J53" s="466">
        <f t="shared" si="36"/>
        <v>198.47727272727272</v>
      </c>
      <c r="K53" s="472">
        <f t="shared" si="37"/>
        <v>434.47053358132973</v>
      </c>
    </row>
    <row r="54" spans="1:15" ht="13.5">
      <c r="A54" s="408">
        <f>[1]Gen!A19</f>
        <v>43747</v>
      </c>
      <c r="B54" s="21"/>
      <c r="C54" s="64">
        <v>121</v>
      </c>
      <c r="D54" s="466">
        <f t="shared" si="33"/>
        <v>87.523333333333326</v>
      </c>
      <c r="E54" s="6">
        <v>85</v>
      </c>
      <c r="F54" s="466">
        <f t="shared" si="34"/>
        <v>25.639344262295083</v>
      </c>
      <c r="G54" s="742">
        <v>300</v>
      </c>
      <c r="H54" s="466">
        <f t="shared" si="35"/>
        <v>114.36031331592689</v>
      </c>
      <c r="I54" s="6">
        <v>290</v>
      </c>
      <c r="J54" s="466">
        <f t="shared" si="36"/>
        <v>200.55194805194805</v>
      </c>
      <c r="K54" s="472">
        <f t="shared" si="37"/>
        <v>428.07493896350331</v>
      </c>
    </row>
    <row r="55" spans="1:15" ht="13.5">
      <c r="A55" s="408">
        <f>[1]Gen!A20</f>
        <v>43748</v>
      </c>
      <c r="B55" s="21"/>
      <c r="C55" s="64">
        <v>156</v>
      </c>
      <c r="D55" s="466">
        <f t="shared" si="33"/>
        <v>112.84</v>
      </c>
      <c r="E55" s="6">
        <v>120</v>
      </c>
      <c r="F55" s="466">
        <f t="shared" si="34"/>
        <v>36.196721311475407</v>
      </c>
      <c r="G55" s="742">
        <v>202</v>
      </c>
      <c r="H55" s="466">
        <f t="shared" si="35"/>
        <v>77.002610966057446</v>
      </c>
      <c r="I55" s="6">
        <v>290</v>
      </c>
      <c r="J55" s="466">
        <f t="shared" si="36"/>
        <v>200.55194805194805</v>
      </c>
      <c r="K55" s="472">
        <f t="shared" si="37"/>
        <v>426.59128032948092</v>
      </c>
    </row>
    <row r="56" spans="1:15" ht="13.5">
      <c r="A56" s="408">
        <f>[1]Gen!A21</f>
        <v>43749</v>
      </c>
      <c r="B56" s="21"/>
      <c r="C56" s="64">
        <v>125</v>
      </c>
      <c r="D56" s="466">
        <f t="shared" si="33"/>
        <v>90.416666666666671</v>
      </c>
      <c r="E56" s="6">
        <v>90</v>
      </c>
      <c r="F56" s="466">
        <f t="shared" si="34"/>
        <v>27.147540983606557</v>
      </c>
      <c r="G56" s="742">
        <v>185</v>
      </c>
      <c r="H56" s="466">
        <f t="shared" si="35"/>
        <v>70.522193211488258</v>
      </c>
      <c r="I56" s="6">
        <v>288</v>
      </c>
      <c r="J56" s="466">
        <f t="shared" si="36"/>
        <v>199.16883116883116</v>
      </c>
      <c r="K56" s="472">
        <f t="shared" si="37"/>
        <v>387.25523203059265</v>
      </c>
    </row>
    <row r="57" spans="1:15" ht="13.5">
      <c r="A57" s="408">
        <f>[1]Gen!A22</f>
        <v>43750</v>
      </c>
      <c r="B57" s="21"/>
      <c r="C57" s="64">
        <v>135</v>
      </c>
      <c r="D57" s="466">
        <f t="shared" si="33"/>
        <v>97.65</v>
      </c>
      <c r="E57" s="6">
        <v>190</v>
      </c>
      <c r="F57" s="466">
        <f t="shared" si="34"/>
        <v>57.311475409836063</v>
      </c>
      <c r="G57" s="742">
        <v>90</v>
      </c>
      <c r="H57" s="466">
        <f t="shared" si="35"/>
        <v>34.308093994778069</v>
      </c>
      <c r="I57" s="6">
        <v>218</v>
      </c>
      <c r="J57" s="466">
        <f t="shared" si="36"/>
        <v>150.75974025974025</v>
      </c>
      <c r="K57" s="472">
        <f t="shared" si="37"/>
        <v>340.0293096643544</v>
      </c>
    </row>
    <row r="58" spans="1:15" ht="13.5">
      <c r="A58" s="408">
        <f>[1]Gen!A23</f>
        <v>43751</v>
      </c>
      <c r="B58" s="21"/>
      <c r="C58" s="64">
        <v>215</v>
      </c>
      <c r="D58" s="466">
        <f t="shared" si="33"/>
        <v>155.51666666666668</v>
      </c>
      <c r="E58" s="6">
        <v>170</v>
      </c>
      <c r="F58" s="466">
        <f t="shared" si="34"/>
        <v>51.278688524590166</v>
      </c>
      <c r="G58" s="742">
        <v>200</v>
      </c>
      <c r="H58" s="466">
        <f t="shared" si="35"/>
        <v>76.240208877284601</v>
      </c>
      <c r="I58" s="6">
        <v>189</v>
      </c>
      <c r="J58" s="466">
        <f t="shared" si="36"/>
        <v>130.70454545454547</v>
      </c>
      <c r="K58" s="472">
        <f t="shared" si="37"/>
        <v>413.74010952308697</v>
      </c>
    </row>
    <row r="59" spans="1:15" ht="13.5">
      <c r="A59" s="408">
        <f>[1]Gen!A24</f>
        <v>43752</v>
      </c>
      <c r="B59" s="21"/>
      <c r="C59" s="64">
        <v>190</v>
      </c>
      <c r="D59" s="466">
        <f t="shared" si="33"/>
        <v>137.43333333333334</v>
      </c>
      <c r="E59" s="6">
        <v>155</v>
      </c>
      <c r="F59" s="466">
        <f t="shared" si="34"/>
        <v>46.754098360655739</v>
      </c>
      <c r="G59" s="742">
        <v>115</v>
      </c>
      <c r="H59" s="466">
        <f t="shared" si="35"/>
        <v>43.838120104438644</v>
      </c>
      <c r="I59" s="6">
        <v>183</v>
      </c>
      <c r="J59" s="466">
        <f t="shared" si="36"/>
        <v>126.5551948051948</v>
      </c>
      <c r="K59" s="472">
        <f t="shared" si="37"/>
        <v>354.58074660362252</v>
      </c>
    </row>
    <row r="60" spans="1:15" ht="13.5">
      <c r="A60" s="408">
        <f>[1]Gen!A25</f>
        <v>43753</v>
      </c>
      <c r="B60" s="21"/>
      <c r="C60" s="64">
        <v>165</v>
      </c>
      <c r="D60" s="466">
        <f t="shared" si="33"/>
        <v>119.35</v>
      </c>
      <c r="E60" s="6">
        <v>129</v>
      </c>
      <c r="F60" s="466">
        <f t="shared" si="34"/>
        <v>38.911475409836065</v>
      </c>
      <c r="G60" s="742">
        <v>235</v>
      </c>
      <c r="H60" s="466">
        <f t="shared" si="35"/>
        <v>89.582245430809394</v>
      </c>
      <c r="I60" s="6">
        <v>186</v>
      </c>
      <c r="J60" s="466">
        <f t="shared" si="36"/>
        <v>128.62987012987014</v>
      </c>
      <c r="K60" s="472">
        <f t="shared" si="37"/>
        <v>376.4735909705156</v>
      </c>
      <c r="L60" t="s">
        <v>256</v>
      </c>
      <c r="O60" t="s">
        <v>257</v>
      </c>
    </row>
    <row r="61" spans="1:15" ht="13.5">
      <c r="A61" s="408">
        <f>[1]Gen!A26</f>
        <v>43754</v>
      </c>
      <c r="B61" s="21"/>
      <c r="C61" s="64">
        <v>140</v>
      </c>
      <c r="D61" s="466">
        <f t="shared" si="33"/>
        <v>101.26666666666667</v>
      </c>
      <c r="E61" s="6">
        <v>105</v>
      </c>
      <c r="F61" s="466">
        <f t="shared" si="34"/>
        <v>31.672131147540984</v>
      </c>
      <c r="G61" s="742">
        <v>90</v>
      </c>
      <c r="H61" s="466">
        <f t="shared" si="35"/>
        <v>34.308093994778069</v>
      </c>
      <c r="I61" s="6">
        <v>280</v>
      </c>
      <c r="J61" s="466">
        <f t="shared" si="36"/>
        <v>193.63636363636363</v>
      </c>
      <c r="K61" s="472">
        <f t="shared" si="37"/>
        <v>360.88325544534933</v>
      </c>
      <c r="L61" t="s">
        <v>259</v>
      </c>
      <c r="N61" t="s">
        <v>258</v>
      </c>
    </row>
    <row r="62" spans="1:15" ht="13.5">
      <c r="A62" s="408">
        <f>[1]Gen!A27</f>
        <v>43755</v>
      </c>
      <c r="B62" s="21"/>
      <c r="C62" s="64">
        <v>116</v>
      </c>
      <c r="D62" s="466">
        <f t="shared" si="33"/>
        <v>83.906666666666666</v>
      </c>
      <c r="E62" s="6">
        <v>81</v>
      </c>
      <c r="F62" s="466">
        <f t="shared" si="34"/>
        <v>24.432786885245903</v>
      </c>
      <c r="G62" s="742">
        <v>200</v>
      </c>
      <c r="H62" s="466">
        <f t="shared" si="35"/>
        <v>76.240208877284601</v>
      </c>
      <c r="I62" s="6">
        <v>190</v>
      </c>
      <c r="J62" s="466">
        <f t="shared" si="36"/>
        <v>131.39610389610391</v>
      </c>
      <c r="K62" s="472">
        <f t="shared" si="37"/>
        <v>315.97576632530109</v>
      </c>
    </row>
    <row r="63" spans="1:15" ht="13.5">
      <c r="A63" s="408">
        <f>[1]Gen!A28</f>
        <v>43756</v>
      </c>
      <c r="B63" s="21"/>
      <c r="C63" s="64">
        <v>161</v>
      </c>
      <c r="D63" s="466">
        <f t="shared" si="33"/>
        <v>116.45666666666666</v>
      </c>
      <c r="E63" s="6">
        <v>125</v>
      </c>
      <c r="F63" s="466">
        <f t="shared" si="34"/>
        <v>37.704918032786885</v>
      </c>
      <c r="G63" s="742">
        <v>142</v>
      </c>
      <c r="H63" s="466">
        <f t="shared" si="35"/>
        <v>54.130548302872064</v>
      </c>
      <c r="I63" s="6">
        <v>188</v>
      </c>
      <c r="J63" s="466">
        <f t="shared" si="36"/>
        <v>130.01298701298703</v>
      </c>
      <c r="K63" s="472">
        <f t="shared" si="37"/>
        <v>338.30512001531264</v>
      </c>
    </row>
    <row r="64" spans="1:15" ht="13.5">
      <c r="A64" s="408">
        <f>[1]Gen!A29</f>
        <v>43757</v>
      </c>
      <c r="B64" s="21"/>
      <c r="C64" s="64">
        <v>136</v>
      </c>
      <c r="D64" s="466">
        <f t="shared" si="33"/>
        <v>98.373333333333335</v>
      </c>
      <c r="E64" s="6">
        <v>100</v>
      </c>
      <c r="F64" s="466">
        <f t="shared" si="34"/>
        <v>30.16393442622951</v>
      </c>
      <c r="G64" s="742">
        <v>195</v>
      </c>
      <c r="H64" s="466">
        <f t="shared" si="35"/>
        <v>74.334203655352482</v>
      </c>
      <c r="I64" s="6">
        <v>155</v>
      </c>
      <c r="J64" s="466">
        <f t="shared" si="36"/>
        <v>107.19155844155844</v>
      </c>
      <c r="K64" s="472">
        <f t="shared" si="37"/>
        <v>310.0630298564738</v>
      </c>
    </row>
    <row r="65" spans="1:11" ht="13.5">
      <c r="A65" s="408">
        <f>[1]Gen!A30</f>
        <v>43758</v>
      </c>
      <c r="B65" s="21"/>
      <c r="C65" s="64">
        <v>198</v>
      </c>
      <c r="D65" s="466">
        <f t="shared" si="33"/>
        <v>143.22</v>
      </c>
      <c r="E65" s="6">
        <v>162</v>
      </c>
      <c r="F65" s="466">
        <f t="shared" si="34"/>
        <v>48.865573770491807</v>
      </c>
      <c r="G65" s="742">
        <v>5</v>
      </c>
      <c r="H65" s="466">
        <f t="shared" si="35"/>
        <v>1.9060052219321149</v>
      </c>
      <c r="I65" s="6">
        <v>203</v>
      </c>
      <c r="J65" s="466">
        <f t="shared" si="36"/>
        <v>140.38636363636363</v>
      </c>
      <c r="K65" s="472">
        <f t="shared" si="37"/>
        <v>334.37794262878754</v>
      </c>
    </row>
    <row r="66" spans="1:11" ht="13.5">
      <c r="A66" s="408">
        <f>[1]Gen!A31</f>
        <v>43759</v>
      </c>
      <c r="B66" s="21"/>
      <c r="C66" s="64">
        <v>183</v>
      </c>
      <c r="D66" s="466">
        <f t="shared" si="33"/>
        <v>132.37</v>
      </c>
      <c r="E66" s="6">
        <v>147</v>
      </c>
      <c r="F66" s="466">
        <f t="shared" si="34"/>
        <v>44.34098360655738</v>
      </c>
      <c r="G66" s="742">
        <v>105</v>
      </c>
      <c r="H66" s="466">
        <f t="shared" si="35"/>
        <v>40.026109660574413</v>
      </c>
      <c r="I66" s="6">
        <v>210</v>
      </c>
      <c r="J66" s="466">
        <f t="shared" si="36"/>
        <v>145.22727272727272</v>
      </c>
      <c r="K66" s="472">
        <f t="shared" si="37"/>
        <v>361.96436599440449</v>
      </c>
    </row>
    <row r="67" spans="1:11" ht="13.5">
      <c r="A67" s="408">
        <f>[1]Gen!A32</f>
        <v>43760</v>
      </c>
      <c r="B67" s="21"/>
      <c r="C67" s="64">
        <v>166</v>
      </c>
      <c r="D67" s="466">
        <f t="shared" si="33"/>
        <v>120.07333333333334</v>
      </c>
      <c r="E67" s="6">
        <v>130</v>
      </c>
      <c r="F67" s="466">
        <f t="shared" si="34"/>
        <v>39.213114754098363</v>
      </c>
      <c r="G67" s="742">
        <v>125</v>
      </c>
      <c r="H67" s="466">
        <f t="shared" si="35"/>
        <v>47.650130548302869</v>
      </c>
      <c r="I67" s="6">
        <v>214</v>
      </c>
      <c r="J67" s="466">
        <f t="shared" si="36"/>
        <v>147.99350649350649</v>
      </c>
      <c r="K67" s="472">
        <f t="shared" si="37"/>
        <v>354.93008512924109</v>
      </c>
    </row>
    <row r="68" spans="1:11" ht="13.5">
      <c r="A68" s="408">
        <f>[1]Gen!A33</f>
        <v>43761</v>
      </c>
      <c r="B68" s="21"/>
      <c r="C68" s="64"/>
      <c r="D68" s="466">
        <f t="shared" si="33"/>
        <v>0</v>
      </c>
      <c r="E68" s="6"/>
      <c r="F68" s="466">
        <f t="shared" si="34"/>
        <v>0</v>
      </c>
      <c r="G68" s="742"/>
      <c r="H68" s="466">
        <f t="shared" si="35"/>
        <v>0</v>
      </c>
      <c r="I68" s="6"/>
      <c r="J68" s="466">
        <f t="shared" si="36"/>
        <v>0</v>
      </c>
      <c r="K68" s="472">
        <f t="shared" si="37"/>
        <v>0</v>
      </c>
    </row>
    <row r="69" spans="1:11" ht="13.5">
      <c r="A69" s="408">
        <f>[1]Gen!A34</f>
        <v>43762</v>
      </c>
      <c r="B69" s="21"/>
      <c r="C69" s="64"/>
      <c r="D69" s="466">
        <f t="shared" si="33"/>
        <v>0</v>
      </c>
      <c r="E69" s="6"/>
      <c r="F69" s="466">
        <f t="shared" si="34"/>
        <v>0</v>
      </c>
      <c r="G69" s="742"/>
      <c r="H69" s="466">
        <f t="shared" si="35"/>
        <v>0</v>
      </c>
      <c r="I69" s="6"/>
      <c r="J69" s="466">
        <f t="shared" si="36"/>
        <v>0</v>
      </c>
      <c r="K69" s="472">
        <f t="shared" si="37"/>
        <v>0</v>
      </c>
    </row>
    <row r="70" spans="1:11" ht="13.5">
      <c r="A70" s="408">
        <f>[1]Gen!A35</f>
        <v>43763</v>
      </c>
      <c r="B70" s="21"/>
      <c r="C70" s="64"/>
      <c r="D70" s="466">
        <f t="shared" si="33"/>
        <v>0</v>
      </c>
      <c r="E70" s="6"/>
      <c r="F70" s="466">
        <f t="shared" si="34"/>
        <v>0</v>
      </c>
      <c r="G70" s="742"/>
      <c r="H70" s="466">
        <f t="shared" si="35"/>
        <v>0</v>
      </c>
      <c r="I70" s="6"/>
      <c r="J70" s="466">
        <f t="shared" si="36"/>
        <v>0</v>
      </c>
      <c r="K70" s="472">
        <f t="shared" si="37"/>
        <v>0</v>
      </c>
    </row>
    <row r="71" spans="1:11" ht="13.5">
      <c r="A71" s="408">
        <f>[1]Gen!A36</f>
        <v>43764</v>
      </c>
      <c r="B71" s="21"/>
      <c r="C71" s="64"/>
      <c r="D71" s="466">
        <f t="shared" si="33"/>
        <v>0</v>
      </c>
      <c r="E71" s="6"/>
      <c r="F71" s="466">
        <f t="shared" si="34"/>
        <v>0</v>
      </c>
      <c r="G71" s="742"/>
      <c r="H71" s="466">
        <f t="shared" si="35"/>
        <v>0</v>
      </c>
      <c r="I71" s="6"/>
      <c r="J71" s="466">
        <f t="shared" si="36"/>
        <v>0</v>
      </c>
      <c r="K71" s="472">
        <f t="shared" si="37"/>
        <v>0</v>
      </c>
    </row>
    <row r="72" spans="1:11" ht="13.5">
      <c r="A72" s="408">
        <f>[1]Gen!A37</f>
        <v>43765</v>
      </c>
      <c r="B72" s="21"/>
      <c r="C72" s="64"/>
      <c r="D72" s="466">
        <f t="shared" si="33"/>
        <v>0</v>
      </c>
      <c r="E72" s="6"/>
      <c r="F72" s="466">
        <f t="shared" si="34"/>
        <v>0</v>
      </c>
      <c r="G72" s="742"/>
      <c r="H72" s="466">
        <f t="shared" si="35"/>
        <v>0</v>
      </c>
      <c r="I72" s="6"/>
      <c r="J72" s="466">
        <f t="shared" si="36"/>
        <v>0</v>
      </c>
      <c r="K72" s="472">
        <f t="shared" si="37"/>
        <v>0</v>
      </c>
    </row>
    <row r="73" spans="1:11" ht="13.5">
      <c r="A73" s="408">
        <f>[1]Gen!A38</f>
        <v>43766</v>
      </c>
      <c r="B73" s="21"/>
      <c r="C73" s="64"/>
      <c r="D73" s="466">
        <f t="shared" si="33"/>
        <v>0</v>
      </c>
      <c r="E73" s="6"/>
      <c r="F73" s="466">
        <f t="shared" si="34"/>
        <v>0</v>
      </c>
      <c r="G73" s="742"/>
      <c r="H73" s="466">
        <f t="shared" si="35"/>
        <v>0</v>
      </c>
      <c r="I73" s="6"/>
      <c r="J73" s="466">
        <f t="shared" si="36"/>
        <v>0</v>
      </c>
      <c r="K73" s="472">
        <f t="shared" si="37"/>
        <v>0</v>
      </c>
    </row>
    <row r="74" spans="1:11" ht="13.5">
      <c r="A74" s="408">
        <f>[1]Gen!A39</f>
        <v>43767</v>
      </c>
      <c r="B74" s="21"/>
      <c r="C74" s="64"/>
      <c r="D74" s="466">
        <f t="shared" si="33"/>
        <v>0</v>
      </c>
      <c r="E74" s="6"/>
      <c r="F74" s="466">
        <f t="shared" si="34"/>
        <v>0</v>
      </c>
      <c r="G74" s="742"/>
      <c r="H74" s="466">
        <f t="shared" si="35"/>
        <v>0</v>
      </c>
      <c r="I74" s="6"/>
      <c r="J74" s="466">
        <f t="shared" si="36"/>
        <v>0</v>
      </c>
      <c r="K74" s="472">
        <f t="shared" si="37"/>
        <v>0</v>
      </c>
    </row>
    <row r="75" spans="1:11" ht="14.25" thickBot="1">
      <c r="A75" s="408">
        <f>[1]Gen!A40</f>
        <v>43768</v>
      </c>
      <c r="B75" s="348"/>
      <c r="C75" s="64"/>
      <c r="D75" s="466">
        <f t="shared" si="33"/>
        <v>0</v>
      </c>
      <c r="E75" s="6"/>
      <c r="F75" s="466">
        <f t="shared" si="34"/>
        <v>0</v>
      </c>
      <c r="G75" s="742"/>
      <c r="H75" s="466">
        <f t="shared" si="35"/>
        <v>0</v>
      </c>
      <c r="I75" s="6"/>
      <c r="J75" s="466">
        <f t="shared" si="36"/>
        <v>0</v>
      </c>
      <c r="K75" s="472">
        <f t="shared" si="37"/>
        <v>0</v>
      </c>
    </row>
    <row r="76" spans="1:11" ht="13.5">
      <c r="A76" s="408">
        <f>[1]Gen!A41</f>
        <v>43769</v>
      </c>
      <c r="C76" s="64"/>
      <c r="D76" s="466">
        <f t="shared" si="33"/>
        <v>0</v>
      </c>
      <c r="E76" s="6"/>
      <c r="F76" s="466">
        <f t="shared" si="34"/>
        <v>0</v>
      </c>
      <c r="G76" s="742"/>
      <c r="H76" s="466">
        <f t="shared" si="35"/>
        <v>0</v>
      </c>
      <c r="I76" s="6"/>
      <c r="J76" s="466">
        <f t="shared" si="36"/>
        <v>0</v>
      </c>
      <c r="K76" s="472">
        <f t="shared" si="37"/>
        <v>0</v>
      </c>
    </row>
    <row r="77" spans="1:11" ht="14.25" thickBot="1">
      <c r="A77" s="408" t="e">
        <f>[1]Gen!A42</f>
        <v>#REF!</v>
      </c>
      <c r="C77" s="64"/>
      <c r="D77" s="473">
        <f t="shared" si="33"/>
        <v>0</v>
      </c>
      <c r="E77" s="6"/>
      <c r="F77" s="473">
        <f t="shared" si="34"/>
        <v>0</v>
      </c>
      <c r="G77" s="742"/>
      <c r="H77" s="473">
        <f t="shared" si="35"/>
        <v>0</v>
      </c>
      <c r="I77" s="6"/>
      <c r="J77" s="466">
        <f t="shared" si="36"/>
        <v>0</v>
      </c>
      <c r="K77" s="474">
        <f t="shared" si="37"/>
        <v>0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3" bestFit="1" customWidth="1"/>
  </cols>
  <sheetData>
    <row r="1" spans="1:3" s="17" customFormat="1">
      <c r="A1" s="15" t="s">
        <v>0</v>
      </c>
      <c r="B1" s="15" t="s">
        <v>23</v>
      </c>
      <c r="C1" s="15" t="s">
        <v>24</v>
      </c>
    </row>
    <row r="2" spans="1:3">
      <c r="A2" s="97">
        <f>SUM([1]Gen!A11)</f>
        <v>43739</v>
      </c>
      <c r="B2" s="14" t="e">
        <f>SUM('[1]Water-Meter'!R10)</f>
        <v>#REF!</v>
      </c>
      <c r="C2" s="95">
        <f>SUM([1]Gen!B11)</f>
        <v>0.623</v>
      </c>
    </row>
    <row r="3" spans="1:3">
      <c r="A3" s="97">
        <f>SUM([1]Gen!A12)</f>
        <v>43740</v>
      </c>
      <c r="B3" s="14" t="e">
        <f>SUM('[1]Water-Meter'!R11)</f>
        <v>#REF!</v>
      </c>
      <c r="C3" s="95">
        <f>SUM([1]Gen!B12)</f>
        <v>0.77900000000000003</v>
      </c>
    </row>
    <row r="4" spans="1:3">
      <c r="A4" s="97">
        <f>SUM([1]Gen!A13)</f>
        <v>43741</v>
      </c>
      <c r="B4" s="14" t="e">
        <f>SUM('[1]Water-Meter'!R12)</f>
        <v>#REF!</v>
      </c>
      <c r="C4" s="95">
        <f>SUM([1]Gen!B13)</f>
        <v>0.53200000000000003</v>
      </c>
    </row>
    <row r="5" spans="1:3">
      <c r="A5" s="97">
        <f>SUM([1]Gen!A14)</f>
        <v>43742</v>
      </c>
      <c r="B5" s="14" t="e">
        <f>SUM('[1]Water-Meter'!R13)</f>
        <v>#REF!</v>
      </c>
      <c r="C5" s="95">
        <f>SUM([1]Gen!B14)</f>
        <v>0.61</v>
      </c>
    </row>
    <row r="6" spans="1:3">
      <c r="A6" s="97">
        <f>SUM([1]Gen!A15)</f>
        <v>43743</v>
      </c>
      <c r="B6" s="14" t="e">
        <f>SUM('[1]Water-Meter'!R14)</f>
        <v>#REF!</v>
      </c>
      <c r="C6" s="95">
        <f>SUM([1]Gen!B15)</f>
        <v>0.68799999999999994</v>
      </c>
    </row>
    <row r="7" spans="1:3">
      <c r="A7" s="97">
        <f>SUM([1]Gen!A16)</f>
        <v>43744</v>
      </c>
      <c r="B7" s="14" t="e">
        <f>SUM('[1]Water-Meter'!R15)</f>
        <v>#REF!</v>
      </c>
      <c r="C7" s="95">
        <f>SUM([1]Gen!B16)</f>
        <v>0.53200000000000003</v>
      </c>
    </row>
    <row r="8" spans="1:3">
      <c r="A8" s="97">
        <f>SUM([1]Gen!A17)</f>
        <v>43745</v>
      </c>
      <c r="B8" s="14" t="e">
        <f>SUM('[1]Water-Meter'!R16)</f>
        <v>#REF!</v>
      </c>
      <c r="C8" s="95">
        <f>SUM([1]Gen!B17)</f>
        <v>0.753</v>
      </c>
    </row>
    <row r="9" spans="1:3">
      <c r="A9" s="97">
        <f>SUM([1]Gen!A18)</f>
        <v>43746</v>
      </c>
      <c r="B9" s="14" t="e">
        <f>SUM('[1]Water-Meter'!R17)</f>
        <v>#REF!</v>
      </c>
      <c r="C9" s="95">
        <f>SUM([1]Gen!B18)</f>
        <v>0.156</v>
      </c>
    </row>
    <row r="10" spans="1:3">
      <c r="A10" s="97">
        <f>SUM([1]Gen!A19)</f>
        <v>43747</v>
      </c>
      <c r="B10" s="14" t="e">
        <f>SUM('[1]Water-Meter'!R18)</f>
        <v>#REF!</v>
      </c>
      <c r="C10" s="95">
        <f>SUM([1]Gen!B19)</f>
        <v>0.442</v>
      </c>
    </row>
    <row r="11" spans="1:3">
      <c r="A11" s="97">
        <f>SUM([1]Gen!A20)</f>
        <v>43748</v>
      </c>
      <c r="B11" s="14" t="e">
        <f>SUM('[1]Water-Meter'!R19)</f>
        <v>#REF!</v>
      </c>
      <c r="C11" s="95">
        <f>SUM([1]Gen!B20)</f>
        <v>0.32500000000000001</v>
      </c>
    </row>
    <row r="12" spans="1:3">
      <c r="A12" s="97">
        <f>SUM([1]Gen!A21)</f>
        <v>43749</v>
      </c>
      <c r="B12" s="14" t="e">
        <f>SUM('[1]Water-Meter'!R20)</f>
        <v>#REF!</v>
      </c>
      <c r="C12" s="95">
        <f>SUM([1]Gen!B21)</f>
        <v>0.45500000000000002</v>
      </c>
    </row>
    <row r="13" spans="1:3">
      <c r="A13" s="97">
        <f>SUM([1]Gen!A22)</f>
        <v>43750</v>
      </c>
      <c r="B13" s="14" t="e">
        <f>SUM('[1]Water-Meter'!R21)</f>
        <v>#REF!</v>
      </c>
      <c r="C13" s="95">
        <f>SUM([1]Gen!B22)</f>
        <v>0.41599999999999998</v>
      </c>
    </row>
    <row r="14" spans="1:3">
      <c r="A14" s="97">
        <f>SUM([1]Gen!A23)</f>
        <v>43751</v>
      </c>
      <c r="B14" s="14" t="e">
        <f>SUM('[1]Water-Meter'!R22)</f>
        <v>#REF!</v>
      </c>
      <c r="C14" s="95">
        <f>SUM([1]Gen!B23)</f>
        <v>0.39</v>
      </c>
    </row>
    <row r="15" spans="1:3">
      <c r="A15" s="97">
        <f>SUM([1]Gen!A24)</f>
        <v>43752</v>
      </c>
      <c r="B15" s="14" t="e">
        <f>SUM('[1]Water-Meter'!R23)</f>
        <v>#REF!</v>
      </c>
      <c r="C15" s="95">
        <f>SUM([1]Gen!B24)</f>
        <v>0.63600000000000001</v>
      </c>
    </row>
    <row r="16" spans="1:3">
      <c r="A16" s="97">
        <f>SUM([1]Gen!A25)</f>
        <v>43753</v>
      </c>
      <c r="B16" s="14" t="e">
        <f>SUM('[1]Water-Meter'!R24)</f>
        <v>#REF!</v>
      </c>
      <c r="C16" s="95">
        <f>SUM([1]Gen!B25)</f>
        <v>0.84399999999999997</v>
      </c>
    </row>
    <row r="17" spans="1:3">
      <c r="A17" s="97">
        <f>SUM([1]Gen!A26)</f>
        <v>43754</v>
      </c>
      <c r="B17" s="14" t="e">
        <f>SUM('[1]Water-Meter'!R25)</f>
        <v>#REF!</v>
      </c>
      <c r="C17" s="95">
        <f>SUM([1]Gen!B26)</f>
        <v>0.81799999999999995</v>
      </c>
    </row>
    <row r="18" spans="1:3">
      <c r="A18" s="97">
        <f>SUM([1]Gen!A27)</f>
        <v>43755</v>
      </c>
      <c r="B18" s="14" t="e">
        <f>SUM('[1]Water-Meter'!R26)</f>
        <v>#REF!</v>
      </c>
      <c r="C18" s="95">
        <f>SUM([1]Gen!B27)</f>
        <v>0.20799999999999999</v>
      </c>
    </row>
    <row r="19" spans="1:3">
      <c r="A19" s="97">
        <f>SUM([1]Gen!A28)</f>
        <v>43756</v>
      </c>
      <c r="B19" s="14" t="e">
        <f>SUM('[1]Water-Meter'!R27)</f>
        <v>#REF!</v>
      </c>
      <c r="C19" s="95">
        <f>SUM([1]Gen!B28)</f>
        <v>0.221</v>
      </c>
    </row>
    <row r="20" spans="1:3">
      <c r="A20" s="97">
        <f>SUM([1]Gen!A29)</f>
        <v>43757</v>
      </c>
      <c r="B20" s="14" t="e">
        <f>SUM('[1]Water-Meter'!R28)</f>
        <v>#REF!</v>
      </c>
      <c r="C20" s="95">
        <f>SUM([1]Gen!B29)</f>
        <v>0.11700000000000001</v>
      </c>
    </row>
    <row r="21" spans="1:3">
      <c r="A21" s="97">
        <f>SUM([1]Gen!A30)</f>
        <v>43758</v>
      </c>
      <c r="B21" s="14" t="e">
        <f>SUM('[1]Water-Meter'!R29)</f>
        <v>#REF!</v>
      </c>
      <c r="C21" s="95">
        <f>SUM([1]Gen!B30)</f>
        <v>0.57099999999999995</v>
      </c>
    </row>
    <row r="22" spans="1:3">
      <c r="A22" s="97">
        <f>SUM([1]Gen!A31)</f>
        <v>43759</v>
      </c>
      <c r="B22" s="14" t="e">
        <f>SUM('[1]Water-Meter'!R30)</f>
        <v>#REF!</v>
      </c>
      <c r="C22" s="95">
        <f>SUM([1]Gen!B31)</f>
        <v>0.55800000000000005</v>
      </c>
    </row>
    <row r="23" spans="1:3">
      <c r="A23" s="97">
        <f>SUM([1]Gen!A32)</f>
        <v>43760</v>
      </c>
      <c r="B23" s="14" t="e">
        <f>SUM('[1]Water-Meter'!R31)</f>
        <v>#REF!</v>
      </c>
      <c r="C23" s="95">
        <f>SUM([1]Gen!B32)</f>
        <v>0.40300000000000002</v>
      </c>
    </row>
    <row r="24" spans="1:3">
      <c r="A24" s="97">
        <f>SUM([1]Gen!A33)</f>
        <v>43761</v>
      </c>
      <c r="B24" s="14" t="e">
        <f>SUM('[1]Water-Meter'!R32)</f>
        <v>#REF!</v>
      </c>
      <c r="C24" s="95">
        <f>SUM([1]Gen!B33)</f>
        <v>0.24</v>
      </c>
    </row>
    <row r="25" spans="1:3">
      <c r="A25" s="97">
        <f>SUM([1]Gen!A34)</f>
        <v>43762</v>
      </c>
      <c r="B25" s="14" t="e">
        <f>SUM('[1]Water-Meter'!R33)</f>
        <v>#REF!</v>
      </c>
      <c r="C25" s="95">
        <f>SUM([1]Gen!B34)</f>
        <v>0.09</v>
      </c>
    </row>
    <row r="26" spans="1:3">
      <c r="A26" s="97">
        <f>SUM([1]Gen!A35)</f>
        <v>43763</v>
      </c>
      <c r="B26" s="14" t="e">
        <f>SUM('[1]Water-Meter'!R34)</f>
        <v>#REF!</v>
      </c>
      <c r="C26" s="95">
        <f>SUM([1]Gen!B35)</f>
        <v>0.28599999999999998</v>
      </c>
    </row>
    <row r="27" spans="1:3">
      <c r="A27" s="97">
        <f>SUM([1]Gen!A36)</f>
        <v>43764</v>
      </c>
      <c r="B27" s="14" t="e">
        <f>SUM('[1]Water-Meter'!R35)</f>
        <v>#REF!</v>
      </c>
      <c r="C27" s="95">
        <f>SUM([1]Gen!B36)</f>
        <v>0.54500000000000004</v>
      </c>
    </row>
    <row r="28" spans="1:3">
      <c r="A28" s="97">
        <f>SUM([1]Gen!A37)</f>
        <v>43765</v>
      </c>
      <c r="B28" s="14" t="e">
        <f>SUM('[1]Water-Meter'!R36)</f>
        <v>#REF!</v>
      </c>
      <c r="C28" s="95">
        <f>SUM([1]Gen!B37)</f>
        <v>0.67500000000000004</v>
      </c>
    </row>
    <row r="29" spans="1:3">
      <c r="A29" s="97">
        <f>SUM([1]Gen!A38)</f>
        <v>43766</v>
      </c>
      <c r="B29" s="14" t="e">
        <f>SUM('[1]Water-Meter'!R37)</f>
        <v>#REF!</v>
      </c>
      <c r="C29" s="95">
        <f>SUM([1]Gen!B38)</f>
        <v>0.27300000000000002</v>
      </c>
    </row>
    <row r="30" spans="1:3">
      <c r="A30" s="97">
        <f>SUM([1]Gen!A39)</f>
        <v>43767</v>
      </c>
      <c r="B30" s="14">
        <f>SUM('[1]Water-Meter'!R38)</f>
        <v>-212333</v>
      </c>
      <c r="C30" s="95" t="e">
        <f>SUM([1]Gen!B39)</f>
        <v>#REF!</v>
      </c>
    </row>
    <row r="31" spans="1:3">
      <c r="A31" s="97">
        <f>SUM([1]Gen!A40)</f>
        <v>43768</v>
      </c>
      <c r="B31" s="14" t="e">
        <f>SUM('[1]Water-Meter'!R39)</f>
        <v>#REF!</v>
      </c>
      <c r="C31" s="95" t="e">
        <f>SUM([1]Gen!B40)</f>
        <v>#REF!</v>
      </c>
    </row>
    <row r="32" spans="1:3">
      <c r="A32" s="97">
        <f>SUM([1]Gen!A41)</f>
        <v>43769</v>
      </c>
      <c r="B32" s="14" t="e">
        <f>SUM('[1]Water-Meter'!R40)</f>
        <v>#REF!</v>
      </c>
      <c r="C32" s="95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1" t="s">
        <v>183</v>
      </c>
      <c r="B2" s="629"/>
      <c r="C2" s="671"/>
      <c r="D2" s="671"/>
      <c r="E2" s="671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93">
        <v>2209.85</v>
      </c>
      <c r="R2" s="672" t="s">
        <v>70</v>
      </c>
      <c r="S2" s="672" t="s">
        <v>71</v>
      </c>
      <c r="T2" s="93">
        <v>1584</v>
      </c>
      <c r="U2" s="63"/>
      <c r="V2" s="67"/>
      <c r="W2" s="62"/>
    </row>
    <row r="3" spans="1:27" ht="38.25" customHeight="1">
      <c r="A3" s="64"/>
      <c r="B3" s="18"/>
      <c r="C3" s="6"/>
      <c r="D3" s="6"/>
      <c r="E3" s="6"/>
      <c r="F3" s="6"/>
      <c r="G3" s="6"/>
      <c r="H3" s="6"/>
      <c r="I3" s="6"/>
      <c r="J3" s="6"/>
      <c r="K3" s="6"/>
      <c r="L3" s="6"/>
      <c r="M3" s="124" t="s">
        <v>50</v>
      </c>
      <c r="N3" s="124"/>
      <c r="O3" s="124"/>
      <c r="P3" s="124" t="s">
        <v>45</v>
      </c>
      <c r="Q3" s="125" t="s">
        <v>57</v>
      </c>
      <c r="R3" s="125"/>
      <c r="S3" s="125"/>
      <c r="T3" s="673"/>
      <c r="U3" s="674"/>
      <c r="V3" s="69" t="s">
        <v>58</v>
      </c>
      <c r="W3" s="124" t="s">
        <v>80</v>
      </c>
      <c r="AA3" s="155" t="s">
        <v>81</v>
      </c>
    </row>
    <row r="4" spans="1:27" s="52" customFormat="1" ht="50.25" customHeight="1">
      <c r="A4" s="65" t="s">
        <v>0</v>
      </c>
      <c r="B4" s="83" t="s">
        <v>68</v>
      </c>
      <c r="C4" s="54" t="s">
        <v>52</v>
      </c>
      <c r="D4" s="54" t="s">
        <v>66</v>
      </c>
      <c r="E4" s="54" t="s">
        <v>67</v>
      </c>
      <c r="F4" s="75" t="s">
        <v>43</v>
      </c>
      <c r="G4" s="54" t="s">
        <v>46</v>
      </c>
      <c r="H4" s="54" t="s">
        <v>47</v>
      </c>
      <c r="I4" s="54" t="s">
        <v>48</v>
      </c>
      <c r="J4" s="54" t="s">
        <v>49</v>
      </c>
      <c r="K4" s="75" t="s">
        <v>53</v>
      </c>
      <c r="L4" s="75" t="s">
        <v>78</v>
      </c>
      <c r="M4" s="54">
        <v>3</v>
      </c>
      <c r="N4" s="54">
        <v>2</v>
      </c>
      <c r="O4" s="54">
        <v>1</v>
      </c>
      <c r="P4" s="58"/>
      <c r="Q4" s="61" t="s">
        <v>55</v>
      </c>
      <c r="R4" s="61" t="s">
        <v>65</v>
      </c>
      <c r="S4" s="61" t="s">
        <v>64</v>
      </c>
      <c r="T4" s="61" t="s">
        <v>20</v>
      </c>
      <c r="U4" s="66" t="s">
        <v>56</v>
      </c>
      <c r="V4" s="68"/>
      <c r="W4" s="57"/>
    </row>
    <row r="5" spans="1:27">
      <c r="A5" s="55">
        <f>SUM([1]Gen!A11)</f>
        <v>43739</v>
      </c>
      <c r="B5" s="85">
        <v>0</v>
      </c>
      <c r="C5" s="90">
        <f>SUM([1]Gen!B11)</f>
        <v>0.623</v>
      </c>
      <c r="D5" s="670">
        <f>SUM(77*C5)</f>
        <v>47.970999999999997</v>
      </c>
      <c r="E5" s="77"/>
      <c r="F5" s="73">
        <f>[1]Gen!T11</f>
        <v>5669</v>
      </c>
      <c r="G5" s="88">
        <f>[1]Gen!S11</f>
        <v>2179.4799999999996</v>
      </c>
      <c r="H5" s="88" t="e">
        <f>[1]Gen!#REF!</f>
        <v>#REF!</v>
      </c>
      <c r="I5" s="88" t="e">
        <f t="shared" ref="I5:I35" si="0">SUM(G5:H5)</f>
        <v>#REF!</v>
      </c>
      <c r="J5" s="88">
        <f>[1]Gen!AT11</f>
        <v>47806.650000000031</v>
      </c>
      <c r="K5" s="72">
        <f>'[1]Water-Meter'!E10</f>
        <v>114</v>
      </c>
      <c r="L5" s="70" t="e">
        <f>#REF!</f>
        <v>#REF!</v>
      </c>
      <c r="M5" s="91" t="e">
        <f>#REF!</f>
        <v>#REF!</v>
      </c>
      <c r="N5" s="91" t="e">
        <f>#REF!</f>
        <v>#REF!</v>
      </c>
      <c r="O5" s="91" t="e">
        <f>#REF!</f>
        <v>#REF!</v>
      </c>
      <c r="P5" s="92">
        <f t="shared" ref="P5:P35" si="1">J5/52000</f>
        <v>0.91935865384615445</v>
      </c>
      <c r="Q5" s="6" t="e">
        <f>I5*Q2</f>
        <v>#REF!</v>
      </c>
      <c r="R5" s="79" t="e">
        <f>SUM(Q5/D5)/X5</f>
        <v>#REF!</v>
      </c>
      <c r="S5" s="675" t="e">
        <f>SUM(Q5/E5)/X5</f>
        <v>#REF!</v>
      </c>
      <c r="T5" s="79">
        <f>(K5*102)/X5</f>
        <v>7.3409090909090908</v>
      </c>
      <c r="U5" s="127" t="e">
        <f>SUM(L5*1963)/X5</f>
        <v>#REF!</v>
      </c>
      <c r="V5" s="19" t="e">
        <f>SUM(Q5+T5+U5)</f>
        <v>#REF!</v>
      </c>
      <c r="W5" s="129" t="e">
        <f>SUM(V5/E5)/T2</f>
        <v>#REF!</v>
      </c>
      <c r="X5">
        <f>SUM(T2)</f>
        <v>1584</v>
      </c>
      <c r="Y5" s="676">
        <v>106</v>
      </c>
      <c r="Z5" s="82" t="e">
        <f>SUM(Y5-S5)</f>
        <v>#REF!</v>
      </c>
      <c r="AA5">
        <v>106</v>
      </c>
    </row>
    <row r="6" spans="1:27">
      <c r="A6" s="55">
        <f>SUM([1]Gen!A12)</f>
        <v>43740</v>
      </c>
      <c r="B6" s="85">
        <v>0</v>
      </c>
      <c r="C6" s="90">
        <f>SUM([1]Gen!B12)</f>
        <v>0.77900000000000003</v>
      </c>
      <c r="D6" s="670">
        <f t="shared" ref="D6:D35" si="2">SUM(77*C6)</f>
        <v>59.983000000000004</v>
      </c>
      <c r="E6" s="77"/>
      <c r="F6" s="73">
        <f>[1]Gen!T12</f>
        <v>6159</v>
      </c>
      <c r="G6" s="88">
        <f>[1]Gen!S12</f>
        <v>2472.85</v>
      </c>
      <c r="H6" s="88" t="e">
        <f>[1]Gen!#REF!</f>
        <v>#REF!</v>
      </c>
      <c r="I6" s="88" t="e">
        <f t="shared" si="0"/>
        <v>#REF!</v>
      </c>
      <c r="J6" s="88">
        <f>[1]Gen!AT12</f>
        <v>45423.890000000029</v>
      </c>
      <c r="K6" s="72">
        <f>'[1]Water-Meter'!E11</f>
        <v>126</v>
      </c>
      <c r="L6" s="70" t="e">
        <f>#REF!</f>
        <v>#REF!</v>
      </c>
      <c r="M6" s="91" t="e">
        <f>#REF!</f>
        <v>#REF!</v>
      </c>
      <c r="N6" s="91" t="e">
        <f>#REF!</f>
        <v>#REF!</v>
      </c>
      <c r="O6" s="91" t="e">
        <f>#REF!</f>
        <v>#REF!</v>
      </c>
      <c r="P6" s="92">
        <f t="shared" si="1"/>
        <v>0.87353634615384668</v>
      </c>
      <c r="Q6" s="6" t="e">
        <f>I6*Q2</f>
        <v>#REF!</v>
      </c>
      <c r="R6" s="79" t="e">
        <f t="shared" ref="R6:R35" si="3">SUM(Q6/D6)/X6</f>
        <v>#REF!</v>
      </c>
      <c r="S6" s="675" t="e">
        <f t="shared" ref="S6:S35" si="4">SUM(Q6/E6)/X6</f>
        <v>#REF!</v>
      </c>
      <c r="T6" s="79">
        <f t="shared" ref="T6:T35" si="5">(K6*102)/X6</f>
        <v>8.1136363636363633</v>
      </c>
      <c r="U6" s="127" t="e">
        <f t="shared" ref="U6:U35" si="6">SUM(L6*1963)/X6</f>
        <v>#REF!</v>
      </c>
      <c r="V6" s="19" t="e">
        <f t="shared" ref="V6:V36" si="7">SUM(Q6+T6+U6)</f>
        <v>#REF!</v>
      </c>
      <c r="W6" s="129" t="e">
        <f>SUM(V6/E6)/T2</f>
        <v>#REF!</v>
      </c>
      <c r="X6">
        <f>SUM(X5)</f>
        <v>1584</v>
      </c>
      <c r="Y6" s="676">
        <v>106</v>
      </c>
      <c r="Z6" s="82" t="e">
        <f t="shared" ref="Z6:Z35" si="8">SUM(Y6-S6)</f>
        <v>#REF!</v>
      </c>
    </row>
    <row r="7" spans="1:27">
      <c r="A7" s="55">
        <f>SUM([1]Gen!A13)</f>
        <v>43741</v>
      </c>
      <c r="B7" s="85">
        <v>0</v>
      </c>
      <c r="C7" s="90">
        <f>SUM([1]Gen!B13)</f>
        <v>0.53200000000000003</v>
      </c>
      <c r="D7" s="670">
        <f t="shared" si="2"/>
        <v>40.963999999999999</v>
      </c>
      <c r="E7" s="77"/>
      <c r="F7" s="73">
        <f>[1]Gen!T13</f>
        <v>6580</v>
      </c>
      <c r="G7" s="88">
        <f>[1]Gen!S13</f>
        <v>2554.3900000000003</v>
      </c>
      <c r="H7" s="88" t="e">
        <f>[1]Gen!#REF!</f>
        <v>#REF!</v>
      </c>
      <c r="I7" s="88" t="e">
        <f t="shared" si="0"/>
        <v>#REF!</v>
      </c>
      <c r="J7" s="88">
        <f>[1]Gen!AT13</f>
        <v>42919.590000000026</v>
      </c>
      <c r="K7" s="72">
        <f>'[1]Water-Meter'!E12</f>
        <v>116</v>
      </c>
      <c r="L7" s="70" t="e">
        <f>#REF!</f>
        <v>#REF!</v>
      </c>
      <c r="M7" s="91" t="e">
        <f>#REF!</f>
        <v>#REF!</v>
      </c>
      <c r="N7" s="91" t="e">
        <f>#REF!</f>
        <v>#REF!</v>
      </c>
      <c r="O7" s="91" t="e">
        <f>#REF!</f>
        <v>#REF!</v>
      </c>
      <c r="P7" s="92">
        <f t="shared" si="1"/>
        <v>0.82537673076923124</v>
      </c>
      <c r="Q7" s="6" t="e">
        <f>I7*Q2</f>
        <v>#REF!</v>
      </c>
      <c r="R7" s="79" t="e">
        <f t="shared" si="3"/>
        <v>#REF!</v>
      </c>
      <c r="S7" s="675" t="e">
        <f t="shared" si="4"/>
        <v>#REF!</v>
      </c>
      <c r="T7" s="79">
        <f t="shared" si="5"/>
        <v>7.4696969696969697</v>
      </c>
      <c r="U7" s="127" t="e">
        <f t="shared" si="6"/>
        <v>#REF!</v>
      </c>
      <c r="V7" s="19" t="e">
        <f t="shared" si="7"/>
        <v>#REF!</v>
      </c>
      <c r="W7" s="129" t="e">
        <f>SUM(V7/E7)/T2</f>
        <v>#REF!</v>
      </c>
      <c r="X7">
        <f t="shared" ref="X7:X35" si="9">SUM(X6)</f>
        <v>1584</v>
      </c>
      <c r="Y7" s="676">
        <v>106</v>
      </c>
      <c r="Z7" s="82" t="e">
        <f t="shared" si="8"/>
        <v>#REF!</v>
      </c>
    </row>
    <row r="8" spans="1:27">
      <c r="A8" s="55">
        <f>SUM([1]Gen!A14)</f>
        <v>43742</v>
      </c>
      <c r="B8" s="85">
        <v>0</v>
      </c>
      <c r="C8" s="90">
        <f>SUM([1]Gen!B14)</f>
        <v>0.61</v>
      </c>
      <c r="D8" s="670">
        <f t="shared" si="2"/>
        <v>46.97</v>
      </c>
      <c r="E8" s="77"/>
      <c r="F8" s="73">
        <f>[1]Gen!T14</f>
        <v>6223</v>
      </c>
      <c r="G8" s="88">
        <f>[1]Gen!S14</f>
        <v>2441.42</v>
      </c>
      <c r="H8" s="88" t="e">
        <f>[1]Gen!AJ9</f>
        <v>#REF!</v>
      </c>
      <c r="I8" s="88" t="e">
        <f t="shared" si="0"/>
        <v>#REF!</v>
      </c>
      <c r="J8" s="88">
        <f>[1]Gen!AT14</f>
        <v>40258.940000000024</v>
      </c>
      <c r="K8" s="72">
        <f>'[1]Water-Meter'!E13</f>
        <v>120</v>
      </c>
      <c r="L8" s="70" t="e">
        <f>#REF!</f>
        <v>#REF!</v>
      </c>
      <c r="M8" s="91" t="e">
        <f>#REF!</f>
        <v>#REF!</v>
      </c>
      <c r="N8" s="91" t="e">
        <f>#REF!</f>
        <v>#REF!</v>
      </c>
      <c r="O8" s="91" t="e">
        <f>#REF!</f>
        <v>#REF!</v>
      </c>
      <c r="P8" s="92">
        <f t="shared" si="1"/>
        <v>0.77421038461538505</v>
      </c>
      <c r="Q8" s="6" t="e">
        <f>I8*Q2</f>
        <v>#REF!</v>
      </c>
      <c r="R8" s="79" t="e">
        <f t="shared" si="3"/>
        <v>#REF!</v>
      </c>
      <c r="S8" s="675" t="e">
        <f t="shared" si="4"/>
        <v>#REF!</v>
      </c>
      <c r="T8" s="79">
        <f t="shared" si="5"/>
        <v>7.7272727272727275</v>
      </c>
      <c r="U8" s="127" t="e">
        <f t="shared" si="6"/>
        <v>#REF!</v>
      </c>
      <c r="V8" s="19" t="e">
        <f t="shared" si="7"/>
        <v>#REF!</v>
      </c>
      <c r="W8" s="129" t="e">
        <f>SUM(V8/E8)/T2</f>
        <v>#REF!</v>
      </c>
      <c r="X8">
        <f t="shared" si="9"/>
        <v>1584</v>
      </c>
      <c r="Y8" s="676">
        <v>106</v>
      </c>
      <c r="Z8" s="82" t="e">
        <f t="shared" si="8"/>
        <v>#REF!</v>
      </c>
    </row>
    <row r="9" spans="1:27">
      <c r="A9" s="55">
        <f>SUM([1]Gen!A15)</f>
        <v>43743</v>
      </c>
      <c r="B9" s="85">
        <v>0</v>
      </c>
      <c r="C9" s="90">
        <f>SUM([1]Gen!B15)</f>
        <v>0.68799999999999994</v>
      </c>
      <c r="D9" s="670">
        <f t="shared" si="2"/>
        <v>52.975999999999999</v>
      </c>
      <c r="E9" s="77"/>
      <c r="F9" s="73">
        <f>[1]Gen!T15</f>
        <v>5984</v>
      </c>
      <c r="G9" s="88">
        <f>[1]Gen!S15</f>
        <v>2338.3599999999997</v>
      </c>
      <c r="H9" s="88">
        <f>[1]Gen!AJ10</f>
        <v>0</v>
      </c>
      <c r="I9" s="88">
        <f t="shared" si="0"/>
        <v>2338.3599999999997</v>
      </c>
      <c r="J9" s="88">
        <f>[1]Gen!AT15</f>
        <v>37525.210000000021</v>
      </c>
      <c r="K9" s="72">
        <f>'[1]Water-Meter'!E14</f>
        <v>107</v>
      </c>
      <c r="L9" s="70" t="e">
        <f>#REF!</f>
        <v>#REF!</v>
      </c>
      <c r="M9" s="91" t="e">
        <f>#REF!</f>
        <v>#REF!</v>
      </c>
      <c r="N9" s="91" t="e">
        <f>#REF!</f>
        <v>#REF!</v>
      </c>
      <c r="O9" s="91" t="e">
        <f>#REF!</f>
        <v>#REF!</v>
      </c>
      <c r="P9" s="92">
        <f t="shared" si="1"/>
        <v>0.72163865384615422</v>
      </c>
      <c r="Q9" s="6">
        <f>I9*Q2</f>
        <v>5167424.845999999</v>
      </c>
      <c r="R9" s="79">
        <f t="shared" si="3"/>
        <v>61.580020393263645</v>
      </c>
      <c r="S9" s="675" t="e">
        <f t="shared" si="4"/>
        <v>#DIV/0!</v>
      </c>
      <c r="T9" s="79">
        <f t="shared" si="5"/>
        <v>6.8901515151515156</v>
      </c>
      <c r="U9" s="127" t="e">
        <f t="shared" si="6"/>
        <v>#REF!</v>
      </c>
      <c r="V9" s="19" t="e">
        <f t="shared" si="7"/>
        <v>#REF!</v>
      </c>
      <c r="W9" s="129" t="e">
        <f>SUM(V9/E9)/T2</f>
        <v>#REF!</v>
      </c>
      <c r="X9">
        <f t="shared" si="9"/>
        <v>1584</v>
      </c>
      <c r="Y9" s="676">
        <v>106</v>
      </c>
      <c r="Z9" s="82" t="e">
        <f t="shared" si="8"/>
        <v>#DIV/0!</v>
      </c>
    </row>
    <row r="10" spans="1:27">
      <c r="A10" s="55">
        <f>SUM([1]Gen!A16)</f>
        <v>43744</v>
      </c>
      <c r="B10" s="85">
        <v>0</v>
      </c>
      <c r="C10" s="90">
        <f>SUM([1]Gen!B16)</f>
        <v>0.53200000000000003</v>
      </c>
      <c r="D10" s="670">
        <f t="shared" si="2"/>
        <v>40.963999999999999</v>
      </c>
      <c r="E10" s="77"/>
      <c r="F10" s="73">
        <f>[1]Gen!T16</f>
        <v>6103</v>
      </c>
      <c r="G10" s="88">
        <f>[1]Gen!S16</f>
        <v>2478.9</v>
      </c>
      <c r="H10" s="88" t="e">
        <f>[1]Gen!#REF!</f>
        <v>#REF!</v>
      </c>
      <c r="I10" s="88" t="e">
        <f t="shared" si="0"/>
        <v>#REF!</v>
      </c>
      <c r="J10" s="88">
        <f>[1]Gen!AT16</f>
        <v>35107.690000000024</v>
      </c>
      <c r="K10" s="72">
        <f>'[1]Water-Meter'!E15</f>
        <v>123</v>
      </c>
      <c r="L10" s="70" t="e">
        <f>#REF!</f>
        <v>#REF!</v>
      </c>
      <c r="M10" s="91" t="e">
        <f>#REF!</f>
        <v>#REF!</v>
      </c>
      <c r="N10" s="91" t="e">
        <f>#REF!</f>
        <v>#REF!</v>
      </c>
      <c r="O10" s="91" t="e">
        <f>#REF!</f>
        <v>#REF!</v>
      </c>
      <c r="P10" s="92">
        <f t="shared" si="1"/>
        <v>0.67514788461538511</v>
      </c>
      <c r="Q10" s="6" t="e">
        <f>I10*Q2</f>
        <v>#REF!</v>
      </c>
      <c r="R10" s="79" t="e">
        <f t="shared" si="3"/>
        <v>#REF!</v>
      </c>
      <c r="S10" s="675" t="e">
        <f t="shared" si="4"/>
        <v>#REF!</v>
      </c>
      <c r="T10" s="79">
        <f t="shared" si="5"/>
        <v>7.9204545454545459</v>
      </c>
      <c r="U10" s="127" t="e">
        <f t="shared" si="6"/>
        <v>#REF!</v>
      </c>
      <c r="V10" s="19" t="e">
        <f t="shared" si="7"/>
        <v>#REF!</v>
      </c>
      <c r="W10" s="129" t="e">
        <f>SUM(V10/E10)/T2</f>
        <v>#REF!</v>
      </c>
      <c r="X10">
        <f t="shared" si="9"/>
        <v>1584</v>
      </c>
      <c r="Y10" s="676">
        <v>106</v>
      </c>
      <c r="Z10" s="82" t="e">
        <f t="shared" si="8"/>
        <v>#REF!</v>
      </c>
    </row>
    <row r="11" spans="1:27">
      <c r="A11" s="55">
        <f>SUM([1]Gen!A17)</f>
        <v>43745</v>
      </c>
      <c r="B11" s="85">
        <v>0</v>
      </c>
      <c r="C11" s="90">
        <f>SUM([1]Gen!B17)</f>
        <v>0.753</v>
      </c>
      <c r="D11" s="670">
        <f t="shared" si="2"/>
        <v>57.981000000000002</v>
      </c>
      <c r="E11" s="77"/>
      <c r="F11" s="73">
        <f>[1]Gen!T17</f>
        <v>5576</v>
      </c>
      <c r="G11" s="88">
        <f>[1]Gen!S17</f>
        <v>2276.44</v>
      </c>
      <c r="H11" s="88">
        <f>[1]Gen!AJ25</f>
        <v>80.56</v>
      </c>
      <c r="I11" s="88">
        <f t="shared" si="0"/>
        <v>2357</v>
      </c>
      <c r="J11" s="88">
        <f>[1]Gen!AT17</f>
        <v>47513.140000000029</v>
      </c>
      <c r="K11" s="72">
        <f>'[1]Water-Meter'!E16</f>
        <v>112</v>
      </c>
      <c r="L11" s="70" t="e">
        <f>#REF!</f>
        <v>#REF!</v>
      </c>
      <c r="M11" s="91" t="e">
        <f>#REF!</f>
        <v>#REF!</v>
      </c>
      <c r="N11" s="91" t="e">
        <f>#REF!</f>
        <v>#REF!</v>
      </c>
      <c r="O11" s="91" t="e">
        <f>#REF!</f>
        <v>#REF!</v>
      </c>
      <c r="P11" s="92">
        <f t="shared" si="1"/>
        <v>0.91371423076923131</v>
      </c>
      <c r="Q11" s="6">
        <f>I11*Q2</f>
        <v>5208616.45</v>
      </c>
      <c r="R11" s="79">
        <f t="shared" si="3"/>
        <v>56.712853535789066</v>
      </c>
      <c r="S11" s="675" t="e">
        <f t="shared" si="4"/>
        <v>#DIV/0!</v>
      </c>
      <c r="T11" s="79">
        <f t="shared" si="5"/>
        <v>7.2121212121212119</v>
      </c>
      <c r="U11" s="127" t="e">
        <f t="shared" si="6"/>
        <v>#REF!</v>
      </c>
      <c r="V11" s="19" t="e">
        <f t="shared" si="7"/>
        <v>#REF!</v>
      </c>
      <c r="W11" s="129" t="e">
        <f>SUM(V11/E11)/T2</f>
        <v>#REF!</v>
      </c>
      <c r="X11">
        <f t="shared" si="9"/>
        <v>1584</v>
      </c>
      <c r="Y11" s="676">
        <v>106</v>
      </c>
      <c r="Z11" s="82" t="e">
        <f t="shared" si="8"/>
        <v>#DIV/0!</v>
      </c>
    </row>
    <row r="12" spans="1:27">
      <c r="A12" s="55">
        <f>SUM([1]Gen!A18)</f>
        <v>43746</v>
      </c>
      <c r="B12" s="85">
        <v>0</v>
      </c>
      <c r="C12" s="90">
        <f>SUM([1]Gen!B18)</f>
        <v>0.156</v>
      </c>
      <c r="D12" s="670">
        <f t="shared" si="2"/>
        <v>12.012</v>
      </c>
      <c r="E12" s="77"/>
      <c r="F12" s="73">
        <f>[1]Gen!T18</f>
        <v>5532</v>
      </c>
      <c r="G12" s="88">
        <f>[1]Gen!S18</f>
        <v>2242.4</v>
      </c>
      <c r="H12" s="88" t="e">
        <f>[1]Gen!#REF!</f>
        <v>#REF!</v>
      </c>
      <c r="I12" s="88" t="e">
        <f t="shared" si="0"/>
        <v>#REF!</v>
      </c>
      <c r="J12" s="88">
        <f>[1]Gen!AT18</f>
        <v>45161.890000000029</v>
      </c>
      <c r="K12" s="72">
        <f>'[1]Water-Meter'!E17</f>
        <v>128</v>
      </c>
      <c r="L12" s="70" t="e">
        <f>#REF!</f>
        <v>#REF!</v>
      </c>
      <c r="M12" s="91" t="e">
        <f>#REF!</f>
        <v>#REF!</v>
      </c>
      <c r="N12" s="91" t="e">
        <f>#REF!</f>
        <v>#REF!</v>
      </c>
      <c r="O12" s="91" t="e">
        <f>#REF!</f>
        <v>#REF!</v>
      </c>
      <c r="P12" s="92">
        <f t="shared" si="1"/>
        <v>0.86849788461538513</v>
      </c>
      <c r="Q12" s="6" t="e">
        <f>I12*Q2</f>
        <v>#REF!</v>
      </c>
      <c r="R12" s="79" t="e">
        <f t="shared" si="3"/>
        <v>#REF!</v>
      </c>
      <c r="S12" s="675" t="e">
        <f t="shared" si="4"/>
        <v>#REF!</v>
      </c>
      <c r="T12" s="79">
        <f t="shared" si="5"/>
        <v>8.2424242424242422</v>
      </c>
      <c r="U12" s="127" t="e">
        <f t="shared" si="6"/>
        <v>#REF!</v>
      </c>
      <c r="V12" s="19" t="e">
        <f t="shared" si="7"/>
        <v>#REF!</v>
      </c>
      <c r="W12" s="129" t="e">
        <f>SUM(V12/E12)/T2</f>
        <v>#REF!</v>
      </c>
      <c r="X12">
        <f t="shared" si="9"/>
        <v>1584</v>
      </c>
      <c r="Y12" s="676">
        <v>106</v>
      </c>
      <c r="Z12" s="82" t="e">
        <f t="shared" si="8"/>
        <v>#REF!</v>
      </c>
    </row>
    <row r="13" spans="1:27">
      <c r="A13" s="55">
        <f>SUM([1]Gen!A19)</f>
        <v>43747</v>
      </c>
      <c r="B13" s="85">
        <v>0</v>
      </c>
      <c r="C13" s="90">
        <f>SUM([1]Gen!B19)</f>
        <v>0.442</v>
      </c>
      <c r="D13" s="670">
        <f t="shared" si="2"/>
        <v>34.033999999999999</v>
      </c>
      <c r="E13" s="77"/>
      <c r="F13" s="73">
        <f>[1]Gen!T19</f>
        <v>6233</v>
      </c>
      <c r="G13" s="88">
        <f>[1]Gen!S19</f>
        <v>2430.2700000000004</v>
      </c>
      <c r="H13" s="88" t="e">
        <f>[1]Gen!#REF!</f>
        <v>#REF!</v>
      </c>
      <c r="I13" s="88" t="e">
        <f t="shared" si="0"/>
        <v>#REF!</v>
      </c>
      <c r="J13" s="88">
        <f>[1]Gen!AT19</f>
        <v>42825.480000000025</v>
      </c>
      <c r="K13" s="72">
        <f>'[1]Water-Meter'!E18</f>
        <v>114</v>
      </c>
      <c r="L13" s="70" t="e">
        <f>#REF!</f>
        <v>#REF!</v>
      </c>
      <c r="M13" s="91" t="e">
        <f>#REF!</f>
        <v>#REF!</v>
      </c>
      <c r="N13" s="91" t="e">
        <f>#REF!</f>
        <v>#REF!</v>
      </c>
      <c r="O13" s="91" t="e">
        <f>#REF!</f>
        <v>#REF!</v>
      </c>
      <c r="P13" s="92">
        <f t="shared" si="1"/>
        <v>0.82356692307692358</v>
      </c>
      <c r="Q13" s="6" t="e">
        <f>I13*Q2</f>
        <v>#REF!</v>
      </c>
      <c r="R13" s="79" t="e">
        <f t="shared" si="3"/>
        <v>#REF!</v>
      </c>
      <c r="S13" s="675" t="e">
        <f t="shared" si="4"/>
        <v>#REF!</v>
      </c>
      <c r="T13" s="79">
        <f t="shared" si="5"/>
        <v>7.3409090909090908</v>
      </c>
      <c r="U13" s="127" t="e">
        <f t="shared" si="6"/>
        <v>#REF!</v>
      </c>
      <c r="V13" s="19" t="e">
        <f t="shared" si="7"/>
        <v>#REF!</v>
      </c>
      <c r="W13" s="129" t="e">
        <f>SUM(V13/E13)/T2</f>
        <v>#REF!</v>
      </c>
      <c r="X13">
        <f t="shared" si="9"/>
        <v>1584</v>
      </c>
      <c r="Y13" s="676">
        <v>106</v>
      </c>
      <c r="Z13" s="82" t="e">
        <f t="shared" si="8"/>
        <v>#REF!</v>
      </c>
    </row>
    <row r="14" spans="1:27">
      <c r="A14" s="55">
        <f>SUM([1]Gen!A20)</f>
        <v>43748</v>
      </c>
      <c r="B14" s="85">
        <v>0</v>
      </c>
      <c r="C14" s="90">
        <f>SUM([1]Gen!B20)</f>
        <v>0.32500000000000001</v>
      </c>
      <c r="D14" s="670">
        <f t="shared" si="2"/>
        <v>25.025000000000002</v>
      </c>
      <c r="E14" s="77"/>
      <c r="F14" s="73">
        <f>[1]Gen!T20</f>
        <v>6063</v>
      </c>
      <c r="G14" s="88">
        <f>[1]Gen!S20</f>
        <v>2463.77</v>
      </c>
      <c r="H14" s="88" t="e">
        <f>[1]Gen!#REF!</f>
        <v>#REF!</v>
      </c>
      <c r="I14" s="88" t="e">
        <f t="shared" si="0"/>
        <v>#REF!</v>
      </c>
      <c r="J14" s="88">
        <f>[1]Gen!AT20</f>
        <v>40110.380000000026</v>
      </c>
      <c r="K14" s="72">
        <f>'[1]Water-Meter'!E19</f>
        <v>119</v>
      </c>
      <c r="L14" s="70" t="e">
        <f>#REF!</f>
        <v>#REF!</v>
      </c>
      <c r="M14" s="91" t="e">
        <f>#REF!</f>
        <v>#REF!</v>
      </c>
      <c r="N14" s="91" t="e">
        <f>#REF!</f>
        <v>#REF!</v>
      </c>
      <c r="O14" s="91" t="e">
        <f>#REF!</f>
        <v>#REF!</v>
      </c>
      <c r="P14" s="92">
        <f t="shared" si="1"/>
        <v>0.77135346153846207</v>
      </c>
      <c r="Q14" s="6" t="e">
        <f>I14*Q2</f>
        <v>#REF!</v>
      </c>
      <c r="R14" s="79" t="e">
        <f t="shared" si="3"/>
        <v>#REF!</v>
      </c>
      <c r="S14" s="675" t="e">
        <f t="shared" si="4"/>
        <v>#REF!</v>
      </c>
      <c r="T14" s="79">
        <f t="shared" si="5"/>
        <v>7.6628787878787881</v>
      </c>
      <c r="U14" s="127" t="e">
        <f t="shared" si="6"/>
        <v>#REF!</v>
      </c>
      <c r="V14" s="19" t="e">
        <f t="shared" si="7"/>
        <v>#REF!</v>
      </c>
      <c r="W14" s="129" t="e">
        <f>SUM(V14/E14)/T2</f>
        <v>#REF!</v>
      </c>
      <c r="X14">
        <f t="shared" si="9"/>
        <v>1584</v>
      </c>
      <c r="Y14" s="676">
        <v>106</v>
      </c>
      <c r="Z14" s="82" t="e">
        <f t="shared" si="8"/>
        <v>#REF!</v>
      </c>
    </row>
    <row r="15" spans="1:27">
      <c r="A15" s="55">
        <f>SUM([1]Gen!A21)</f>
        <v>43749</v>
      </c>
      <c r="B15" s="85">
        <v>0</v>
      </c>
      <c r="C15" s="90">
        <f>SUM([1]Gen!B21)</f>
        <v>0.45500000000000002</v>
      </c>
      <c r="D15" s="670">
        <f t="shared" si="2"/>
        <v>35.035000000000004</v>
      </c>
      <c r="E15" s="77"/>
      <c r="F15" s="73">
        <f>[1]Gen!T21</f>
        <v>5967</v>
      </c>
      <c r="G15" s="88">
        <f>[1]Gen!S21</f>
        <v>2310.19</v>
      </c>
      <c r="H15" s="88" t="e">
        <f>[1]Gen!#REF!</f>
        <v>#REF!</v>
      </c>
      <c r="I15" s="88" t="e">
        <f t="shared" si="0"/>
        <v>#REF!</v>
      </c>
      <c r="J15" s="88">
        <f>[1]Gen!AT21</f>
        <v>37540.570000000029</v>
      </c>
      <c r="K15" s="72">
        <f>'[1]Water-Meter'!E20</f>
        <v>128</v>
      </c>
      <c r="L15" s="70" t="e">
        <f>#REF!</f>
        <v>#REF!</v>
      </c>
      <c r="M15" s="91" t="e">
        <f>#REF!</f>
        <v>#REF!</v>
      </c>
      <c r="N15" s="91" t="e">
        <f>#REF!</f>
        <v>#REF!</v>
      </c>
      <c r="O15" s="91" t="e">
        <f>#REF!</f>
        <v>#REF!</v>
      </c>
      <c r="P15" s="92">
        <f t="shared" si="1"/>
        <v>0.72193403846153903</v>
      </c>
      <c r="Q15" s="6" t="e">
        <f>I15*Q2</f>
        <v>#REF!</v>
      </c>
      <c r="R15" s="79" t="e">
        <f t="shared" si="3"/>
        <v>#REF!</v>
      </c>
      <c r="S15" s="675" t="e">
        <f t="shared" si="4"/>
        <v>#REF!</v>
      </c>
      <c r="T15" s="79">
        <f t="shared" si="5"/>
        <v>8.2424242424242422</v>
      </c>
      <c r="U15" s="127" t="e">
        <f t="shared" si="6"/>
        <v>#REF!</v>
      </c>
      <c r="V15" s="19" t="e">
        <f t="shared" si="7"/>
        <v>#REF!</v>
      </c>
      <c r="W15" s="129" t="e">
        <f>SUM(V15/E15)/T2</f>
        <v>#REF!</v>
      </c>
      <c r="X15">
        <f t="shared" si="9"/>
        <v>1584</v>
      </c>
      <c r="Y15" s="676">
        <v>106</v>
      </c>
      <c r="Z15" s="82" t="e">
        <f t="shared" si="8"/>
        <v>#REF!</v>
      </c>
    </row>
    <row r="16" spans="1:27">
      <c r="A16" s="55">
        <f>SUM([1]Gen!A22)</f>
        <v>43750</v>
      </c>
      <c r="B16" s="85">
        <v>0</v>
      </c>
      <c r="C16" s="90">
        <f>SUM([1]Gen!B22)</f>
        <v>0.41599999999999998</v>
      </c>
      <c r="D16" s="670">
        <f t="shared" si="2"/>
        <v>32.031999999999996</v>
      </c>
      <c r="E16" s="77"/>
      <c r="F16" s="73">
        <f>[1]Gen!T22</f>
        <v>5863</v>
      </c>
      <c r="G16" s="88">
        <f>[1]Gen!S22</f>
        <v>2429.17</v>
      </c>
      <c r="H16" s="88" t="e">
        <f>[1]Gen!#REF!</f>
        <v>#REF!</v>
      </c>
      <c r="I16" s="88" t="e">
        <f t="shared" si="0"/>
        <v>#REF!</v>
      </c>
      <c r="J16" s="88">
        <f>[1]Gen!AT22</f>
        <v>34967.29000000003</v>
      </c>
      <c r="K16" s="72">
        <f>'[1]Water-Meter'!E21</f>
        <v>127</v>
      </c>
      <c r="L16" s="70" t="e">
        <f>#REF!</f>
        <v>#REF!</v>
      </c>
      <c r="M16" s="91" t="e">
        <f>#REF!</f>
        <v>#REF!</v>
      </c>
      <c r="N16" s="91" t="e">
        <f>#REF!</f>
        <v>#REF!</v>
      </c>
      <c r="O16" s="91" t="e">
        <f>#REF!</f>
        <v>#REF!</v>
      </c>
      <c r="P16" s="92">
        <f t="shared" si="1"/>
        <v>0.67244788461538518</v>
      </c>
      <c r="Q16" s="6" t="e">
        <f>I16*Q2</f>
        <v>#REF!</v>
      </c>
      <c r="R16" s="79" t="e">
        <f t="shared" si="3"/>
        <v>#REF!</v>
      </c>
      <c r="S16" s="675" t="e">
        <f t="shared" si="4"/>
        <v>#REF!</v>
      </c>
      <c r="T16" s="79">
        <f t="shared" si="5"/>
        <v>8.1780303030303028</v>
      </c>
      <c r="U16" s="127" t="e">
        <f t="shared" si="6"/>
        <v>#REF!</v>
      </c>
      <c r="V16" s="19" t="e">
        <f t="shared" si="7"/>
        <v>#REF!</v>
      </c>
      <c r="W16" s="129" t="e">
        <f>SUM(V16/E16)/T2</f>
        <v>#REF!</v>
      </c>
      <c r="X16">
        <f t="shared" si="9"/>
        <v>1584</v>
      </c>
      <c r="Y16" s="676">
        <v>106</v>
      </c>
      <c r="Z16" s="82" t="e">
        <f t="shared" si="8"/>
        <v>#REF!</v>
      </c>
    </row>
    <row r="17" spans="1:26">
      <c r="A17" s="55">
        <f>SUM([1]Gen!A23)</f>
        <v>43751</v>
      </c>
      <c r="B17" s="85">
        <v>0</v>
      </c>
      <c r="C17" s="90">
        <f>SUM([1]Gen!B23)</f>
        <v>0.39</v>
      </c>
      <c r="D17" s="670">
        <f t="shared" si="2"/>
        <v>30.03</v>
      </c>
      <c r="E17" s="77"/>
      <c r="F17" s="73">
        <f>[1]Gen!T23</f>
        <v>5720</v>
      </c>
      <c r="G17" s="88">
        <f>[1]Gen!S23</f>
        <v>2249.5299999999997</v>
      </c>
      <c r="H17" s="88" t="e">
        <f>[1]Gen!#REF!</f>
        <v>#REF!</v>
      </c>
      <c r="I17" s="88" t="e">
        <f t="shared" si="0"/>
        <v>#REF!</v>
      </c>
      <c r="J17" s="88">
        <f>[1]Gen!AT23</f>
        <v>32228.760000000031</v>
      </c>
      <c r="K17" s="72">
        <f>'[1]Water-Meter'!E22</f>
        <v>122</v>
      </c>
      <c r="L17" s="70" t="e">
        <f>#REF!</f>
        <v>#REF!</v>
      </c>
      <c r="M17" s="91" t="e">
        <f>#REF!</f>
        <v>#REF!</v>
      </c>
      <c r="N17" s="91" t="e">
        <f>#REF!</f>
        <v>#REF!</v>
      </c>
      <c r="O17" s="91" t="e">
        <f>#REF!</f>
        <v>#REF!</v>
      </c>
      <c r="P17" s="92">
        <f t="shared" si="1"/>
        <v>0.61978384615384674</v>
      </c>
      <c r="Q17" s="6" t="e">
        <f>I17*Q2</f>
        <v>#REF!</v>
      </c>
      <c r="R17" s="79" t="e">
        <f t="shared" si="3"/>
        <v>#REF!</v>
      </c>
      <c r="S17" s="675" t="e">
        <f t="shared" si="4"/>
        <v>#REF!</v>
      </c>
      <c r="T17" s="79">
        <f t="shared" si="5"/>
        <v>7.8560606060606064</v>
      </c>
      <c r="U17" s="127" t="e">
        <f t="shared" si="6"/>
        <v>#REF!</v>
      </c>
      <c r="V17" s="19" t="e">
        <f t="shared" si="7"/>
        <v>#REF!</v>
      </c>
      <c r="W17" s="129" t="e">
        <f>SUM(V17/E17)/T2</f>
        <v>#REF!</v>
      </c>
      <c r="X17">
        <f t="shared" si="9"/>
        <v>1584</v>
      </c>
      <c r="Y17" s="676">
        <v>106</v>
      </c>
      <c r="Z17" s="82" t="e">
        <f t="shared" si="8"/>
        <v>#REF!</v>
      </c>
    </row>
    <row r="18" spans="1:26">
      <c r="A18" s="55">
        <f>SUM([1]Gen!A24)</f>
        <v>43752</v>
      </c>
      <c r="B18" s="85">
        <v>0</v>
      </c>
      <c r="C18" s="90">
        <f>SUM([1]Gen!B24)</f>
        <v>0.63600000000000001</v>
      </c>
      <c r="D18" s="670">
        <f t="shared" si="2"/>
        <v>48.972000000000001</v>
      </c>
      <c r="E18" s="77"/>
      <c r="F18" s="73">
        <f>[1]Gen!T24</f>
        <v>6195</v>
      </c>
      <c r="G18" s="88">
        <f>[1]Gen!S24</f>
        <v>2420.41</v>
      </c>
      <c r="H18" s="88">
        <f>[1]Gen!AJ27</f>
        <v>597.9</v>
      </c>
      <c r="I18" s="88">
        <f t="shared" si="0"/>
        <v>3018.31</v>
      </c>
      <c r="J18" s="88">
        <f>[1]Gen!AT24</f>
        <v>29915.45000000003</v>
      </c>
      <c r="K18" s="72">
        <v>0</v>
      </c>
      <c r="L18" s="70" t="e">
        <f>#REF!</f>
        <v>#REF!</v>
      </c>
      <c r="M18" s="91" t="e">
        <f>#REF!</f>
        <v>#REF!</v>
      </c>
      <c r="N18" s="91" t="e">
        <f>#REF!</f>
        <v>#REF!</v>
      </c>
      <c r="O18" s="91" t="e">
        <f>#REF!</f>
        <v>#REF!</v>
      </c>
      <c r="P18" s="92">
        <f t="shared" si="1"/>
        <v>0.57529711538461592</v>
      </c>
      <c r="Q18" s="6">
        <f>I18*Q2</f>
        <v>6670012.3534999993</v>
      </c>
      <c r="R18" s="79">
        <f t="shared" si="3"/>
        <v>85.985183059408499</v>
      </c>
      <c r="S18" s="675" t="e">
        <f t="shared" si="4"/>
        <v>#DIV/0!</v>
      </c>
      <c r="T18" s="79">
        <f t="shared" si="5"/>
        <v>0</v>
      </c>
      <c r="U18" s="127" t="e">
        <f t="shared" si="6"/>
        <v>#REF!</v>
      </c>
      <c r="V18" s="19" t="e">
        <f t="shared" si="7"/>
        <v>#REF!</v>
      </c>
      <c r="W18" s="129" t="e">
        <f>SUM(V18/E18)/T2</f>
        <v>#REF!</v>
      </c>
      <c r="X18">
        <f t="shared" si="9"/>
        <v>1584</v>
      </c>
      <c r="Y18" s="676">
        <v>106</v>
      </c>
      <c r="Z18" s="82" t="e">
        <f t="shared" si="8"/>
        <v>#DIV/0!</v>
      </c>
    </row>
    <row r="19" spans="1:26">
      <c r="A19" s="55">
        <f>SUM([1]Gen!A25)</f>
        <v>43753</v>
      </c>
      <c r="B19" s="85">
        <v>0</v>
      </c>
      <c r="C19" s="90">
        <f>SUM([1]Gen!B25)</f>
        <v>0.84399999999999997</v>
      </c>
      <c r="D19" s="670">
        <f t="shared" si="2"/>
        <v>64.988</v>
      </c>
      <c r="E19" s="77"/>
      <c r="F19" s="73">
        <f>[1]Gen!T25</f>
        <v>6450</v>
      </c>
      <c r="G19" s="88">
        <f>[1]Gen!S25</f>
        <v>2670.31</v>
      </c>
      <c r="H19" s="88">
        <f>[1]Gen!AJ28</f>
        <v>227.73000000000002</v>
      </c>
      <c r="I19" s="88">
        <f t="shared" si="0"/>
        <v>2898.04</v>
      </c>
      <c r="J19" s="88">
        <f>[1]Gen!AT25</f>
        <v>42248.240000000034</v>
      </c>
      <c r="K19" s="72">
        <f>'[1]Water-Meter'!E24</f>
        <v>104</v>
      </c>
      <c r="L19" s="70" t="e">
        <f>#REF!</f>
        <v>#REF!</v>
      </c>
      <c r="M19" s="91" t="e">
        <f>#REF!</f>
        <v>#REF!</v>
      </c>
      <c r="N19" s="91" t="e">
        <f>#REF!</f>
        <v>#REF!</v>
      </c>
      <c r="O19" s="91" t="e">
        <f>#REF!</f>
        <v>#REF!</v>
      </c>
      <c r="P19" s="92">
        <f t="shared" si="1"/>
        <v>0.8124661538461545</v>
      </c>
      <c r="Q19" s="6">
        <f>I19*Q2</f>
        <v>6404233.6939999992</v>
      </c>
      <c r="R19" s="79">
        <f t="shared" si="3"/>
        <v>62.212667369671344</v>
      </c>
      <c r="S19" s="675" t="e">
        <f t="shared" si="4"/>
        <v>#DIV/0!</v>
      </c>
      <c r="T19" s="79">
        <f t="shared" si="5"/>
        <v>6.6969696969696972</v>
      </c>
      <c r="U19" s="127" t="e">
        <f t="shared" si="6"/>
        <v>#REF!</v>
      </c>
      <c r="V19" s="19" t="e">
        <f t="shared" si="7"/>
        <v>#REF!</v>
      </c>
      <c r="W19" s="79" t="e">
        <f>SUM(V19/E19)/T2</f>
        <v>#REF!</v>
      </c>
      <c r="X19">
        <f t="shared" si="9"/>
        <v>1584</v>
      </c>
      <c r="Y19" s="676">
        <v>106</v>
      </c>
      <c r="Z19" s="82" t="e">
        <f t="shared" si="8"/>
        <v>#DIV/0!</v>
      </c>
    </row>
    <row r="20" spans="1:26">
      <c r="A20" s="55">
        <f>SUM([1]Gen!A26)</f>
        <v>43754</v>
      </c>
      <c r="B20" s="85">
        <v>0</v>
      </c>
      <c r="C20" s="90">
        <f>SUM([1]Gen!B26)</f>
        <v>0.81799999999999995</v>
      </c>
      <c r="D20" s="670">
        <f t="shared" si="2"/>
        <v>62.985999999999997</v>
      </c>
      <c r="E20" s="77"/>
      <c r="F20" s="73">
        <f>[1]Gen!T26</f>
        <v>6915</v>
      </c>
      <c r="G20" s="88">
        <f>[1]Gen!S26</f>
        <v>2741.7</v>
      </c>
      <c r="H20" s="88">
        <f>[1]Gen!AJ29</f>
        <v>88.289999999999992</v>
      </c>
      <c r="I20" s="88">
        <f t="shared" si="0"/>
        <v>2829.99</v>
      </c>
      <c r="J20" s="88">
        <f>[1]Gen!AT26</f>
        <v>39497.370000000032</v>
      </c>
      <c r="K20" s="72">
        <f>'[1]Water-Meter'!E25</f>
        <v>100</v>
      </c>
      <c r="L20" s="70" t="e">
        <f>#REF!</f>
        <v>#REF!</v>
      </c>
      <c r="M20" s="91" t="e">
        <f>#REF!</f>
        <v>#REF!</v>
      </c>
      <c r="N20" s="91" t="e">
        <f>#REF!</f>
        <v>#REF!</v>
      </c>
      <c r="O20" s="91" t="e">
        <f>#REF!</f>
        <v>#REF!</v>
      </c>
      <c r="P20" s="92">
        <f t="shared" si="1"/>
        <v>0.75956480769230827</v>
      </c>
      <c r="Q20" s="6">
        <f>I20*Q2</f>
        <v>6253853.4014999997</v>
      </c>
      <c r="R20" s="79">
        <f t="shared" si="3"/>
        <v>62.682814810818947</v>
      </c>
      <c r="S20" s="675" t="e">
        <f t="shared" si="4"/>
        <v>#DIV/0!</v>
      </c>
      <c r="T20" s="79">
        <f t="shared" si="5"/>
        <v>6.4393939393939394</v>
      </c>
      <c r="U20" s="127" t="e">
        <f t="shared" si="6"/>
        <v>#REF!</v>
      </c>
      <c r="V20" s="19" t="e">
        <f t="shared" si="7"/>
        <v>#REF!</v>
      </c>
      <c r="W20" s="79" t="e">
        <f>SUM(V20/E20)/T2</f>
        <v>#REF!</v>
      </c>
      <c r="X20">
        <f t="shared" si="9"/>
        <v>1584</v>
      </c>
      <c r="Y20" s="676">
        <v>106</v>
      </c>
      <c r="Z20" s="82" t="e">
        <f t="shared" si="8"/>
        <v>#DIV/0!</v>
      </c>
    </row>
    <row r="21" spans="1:26">
      <c r="A21" s="55">
        <f>SUM([1]Gen!A27)</f>
        <v>43755</v>
      </c>
      <c r="B21" s="85">
        <v>0</v>
      </c>
      <c r="C21" s="90">
        <f>SUM([1]Gen!B27)</f>
        <v>0.20799999999999999</v>
      </c>
      <c r="D21" s="670">
        <f t="shared" si="2"/>
        <v>16.015999999999998</v>
      </c>
      <c r="E21" s="77"/>
      <c r="F21" s="73">
        <f>[1]Gen!T27</f>
        <v>5962</v>
      </c>
      <c r="G21" s="88">
        <f>[1]Gen!S27</f>
        <v>2321.11</v>
      </c>
      <c r="H21" s="88">
        <f>[1]Gen!AJ30</f>
        <v>783.92</v>
      </c>
      <c r="I21" s="88">
        <f t="shared" si="0"/>
        <v>3105.03</v>
      </c>
      <c r="J21" s="88">
        <f>[1]Gen!AT27</f>
        <v>36688.350000000035</v>
      </c>
      <c r="K21" s="72">
        <f>'[1]Water-Meter'!E26</f>
        <v>116</v>
      </c>
      <c r="L21" s="70" t="e">
        <f>#REF!</f>
        <v>#REF!</v>
      </c>
      <c r="M21" s="91" t="e">
        <f>#REF!</f>
        <v>#REF!</v>
      </c>
      <c r="N21" s="91" t="e">
        <f>#REF!</f>
        <v>#REF!</v>
      </c>
      <c r="O21" s="91" t="e">
        <f>#REF!</f>
        <v>#REF!</v>
      </c>
      <c r="P21" s="92">
        <f t="shared" si="1"/>
        <v>0.70554519230769297</v>
      </c>
      <c r="Q21" s="6">
        <f>I21*Q2</f>
        <v>6861650.5455</v>
      </c>
      <c r="R21" s="79">
        <f t="shared" si="3"/>
        <v>270.4701605804234</v>
      </c>
      <c r="S21" s="675" t="e">
        <f t="shared" si="4"/>
        <v>#DIV/0!</v>
      </c>
      <c r="T21" s="79">
        <f t="shared" si="5"/>
        <v>7.4696969696969697</v>
      </c>
      <c r="U21" s="127" t="e">
        <f t="shared" si="6"/>
        <v>#REF!</v>
      </c>
      <c r="V21" s="19" t="e">
        <f t="shared" si="7"/>
        <v>#REF!</v>
      </c>
      <c r="W21" s="79" t="e">
        <f>SUM(V21/E21)/T2</f>
        <v>#REF!</v>
      </c>
      <c r="X21">
        <f t="shared" si="9"/>
        <v>1584</v>
      </c>
      <c r="Y21" s="676">
        <v>106</v>
      </c>
      <c r="Z21" s="82" t="e">
        <f t="shared" si="8"/>
        <v>#DIV/0!</v>
      </c>
    </row>
    <row r="22" spans="1:26">
      <c r="A22" s="55">
        <f>SUM([1]Gen!A28)</f>
        <v>43756</v>
      </c>
      <c r="B22" s="85">
        <v>0</v>
      </c>
      <c r="C22" s="90">
        <f>SUM([1]Gen!B28)</f>
        <v>0.221</v>
      </c>
      <c r="D22" s="670">
        <f t="shared" si="2"/>
        <v>17.016999999999999</v>
      </c>
      <c r="E22" s="77"/>
      <c r="F22" s="73">
        <f>[1]Gen!T28</f>
        <v>5257</v>
      </c>
      <c r="G22" s="88">
        <f>[1]Gen!S28</f>
        <v>2204.84</v>
      </c>
      <c r="H22" s="88" t="e">
        <f>[1]Gen!#REF!</f>
        <v>#REF!</v>
      </c>
      <c r="I22" s="88" t="e">
        <f t="shared" si="0"/>
        <v>#REF!</v>
      </c>
      <c r="J22" s="88">
        <f>[1]Gen!AT28</f>
        <v>33769.340000000033</v>
      </c>
      <c r="K22" s="72">
        <f>'[1]Water-Meter'!E27</f>
        <v>114</v>
      </c>
      <c r="L22" s="70" t="e">
        <f>#REF!</f>
        <v>#REF!</v>
      </c>
      <c r="M22" s="91" t="e">
        <f>#REF!</f>
        <v>#REF!</v>
      </c>
      <c r="N22" s="91" t="e">
        <f>#REF!</f>
        <v>#REF!</v>
      </c>
      <c r="O22" s="91" t="e">
        <f>#REF!</f>
        <v>#REF!</v>
      </c>
      <c r="P22" s="92">
        <f t="shared" si="1"/>
        <v>0.64941038461538525</v>
      </c>
      <c r="Q22" s="6" t="e">
        <f>I22*Q2</f>
        <v>#REF!</v>
      </c>
      <c r="R22" s="79" t="e">
        <f t="shared" si="3"/>
        <v>#REF!</v>
      </c>
      <c r="S22" s="675" t="e">
        <f t="shared" si="4"/>
        <v>#REF!</v>
      </c>
      <c r="T22" s="79">
        <f t="shared" si="5"/>
        <v>7.3409090909090908</v>
      </c>
      <c r="U22" s="127" t="e">
        <f t="shared" si="6"/>
        <v>#REF!</v>
      </c>
      <c r="V22" s="19" t="e">
        <f t="shared" si="7"/>
        <v>#REF!</v>
      </c>
      <c r="W22" s="79" t="e">
        <f>SUM(V22/E22)/T2</f>
        <v>#REF!</v>
      </c>
      <c r="X22">
        <f t="shared" si="9"/>
        <v>1584</v>
      </c>
      <c r="Y22" s="676">
        <v>106</v>
      </c>
      <c r="Z22" s="82" t="e">
        <f t="shared" si="8"/>
        <v>#REF!</v>
      </c>
    </row>
    <row r="23" spans="1:26">
      <c r="A23" s="55">
        <f>SUM([1]Gen!A29)</f>
        <v>43757</v>
      </c>
      <c r="B23" s="85">
        <v>0</v>
      </c>
      <c r="C23" s="90">
        <f>SUM([1]Gen!B29)</f>
        <v>0.11700000000000001</v>
      </c>
      <c r="D23" s="670">
        <f t="shared" si="2"/>
        <v>9.0090000000000003</v>
      </c>
      <c r="E23" s="77"/>
      <c r="F23" s="73">
        <f>[1]Gen!T29</f>
        <v>4691</v>
      </c>
      <c r="G23" s="88">
        <f>[1]Gen!S29</f>
        <v>1845.1800000000003</v>
      </c>
      <c r="H23" s="88" t="e">
        <f>[1]Gen!#REF!</f>
        <v>#REF!</v>
      </c>
      <c r="I23" s="88" t="e">
        <f t="shared" si="0"/>
        <v>#REF!</v>
      </c>
      <c r="J23" s="88">
        <f>[1]Gen!AT29</f>
        <v>31336.770000000033</v>
      </c>
      <c r="K23" s="72">
        <f>'[1]Water-Meter'!E28</f>
        <v>113</v>
      </c>
      <c r="L23" s="70" t="e">
        <f>#REF!</f>
        <v>#REF!</v>
      </c>
      <c r="M23" s="91" t="e">
        <f>#REF!</f>
        <v>#REF!</v>
      </c>
      <c r="N23" s="91" t="e">
        <f>#REF!</f>
        <v>#REF!</v>
      </c>
      <c r="O23" s="91" t="e">
        <f>#REF!</f>
        <v>#REF!</v>
      </c>
      <c r="P23" s="92">
        <f t="shared" si="1"/>
        <v>0.60263019230769299</v>
      </c>
      <c r="Q23" s="6" t="e">
        <f>I23*Q2</f>
        <v>#REF!</v>
      </c>
      <c r="R23" s="79" t="e">
        <f t="shared" si="3"/>
        <v>#REF!</v>
      </c>
      <c r="S23" s="675" t="e">
        <f t="shared" si="4"/>
        <v>#REF!</v>
      </c>
      <c r="T23" s="79">
        <f t="shared" si="5"/>
        <v>7.2765151515151514</v>
      </c>
      <c r="U23" s="127" t="e">
        <f t="shared" si="6"/>
        <v>#REF!</v>
      </c>
      <c r="V23" s="19" t="e">
        <f t="shared" si="7"/>
        <v>#REF!</v>
      </c>
      <c r="W23" s="79" t="e">
        <f>SUM(V23/E23)/T2</f>
        <v>#REF!</v>
      </c>
      <c r="X23">
        <f t="shared" si="9"/>
        <v>1584</v>
      </c>
      <c r="Y23" s="676">
        <v>106</v>
      </c>
      <c r="Z23" s="82" t="e">
        <f t="shared" si="8"/>
        <v>#REF!</v>
      </c>
    </row>
    <row r="24" spans="1:26">
      <c r="A24" s="55">
        <f>SUM([1]Gen!A30)</f>
        <v>43758</v>
      </c>
      <c r="B24" s="85">
        <v>0</v>
      </c>
      <c r="C24" s="90">
        <f>SUM([1]Gen!B30)</f>
        <v>0.57099999999999995</v>
      </c>
      <c r="D24" s="670">
        <f t="shared" si="2"/>
        <v>43.966999999999999</v>
      </c>
      <c r="E24" s="77"/>
      <c r="F24" s="73">
        <f>[1]Gen!T30</f>
        <v>5712</v>
      </c>
      <c r="G24" s="88">
        <f>[1]Gen!S30</f>
        <v>2197.0099999999998</v>
      </c>
      <c r="H24" s="88" t="e">
        <f>[1]Gen!#REF!</f>
        <v>#REF!</v>
      </c>
      <c r="I24" s="88" t="e">
        <f t="shared" si="0"/>
        <v>#REF!</v>
      </c>
      <c r="J24" s="88">
        <f>[1]Gen!AT30</f>
        <v>29403.300000000032</v>
      </c>
      <c r="K24" s="72">
        <f>'[1]Water-Meter'!E29</f>
        <v>99</v>
      </c>
      <c r="L24" s="70" t="e">
        <f>#REF!</f>
        <v>#REF!</v>
      </c>
      <c r="M24" s="91" t="e">
        <f>#REF!</f>
        <v>#REF!</v>
      </c>
      <c r="N24" s="91" t="e">
        <f>#REF!</f>
        <v>#REF!</v>
      </c>
      <c r="O24" s="91" t="e">
        <f>#REF!</f>
        <v>#REF!</v>
      </c>
      <c r="P24" s="92">
        <f t="shared" si="1"/>
        <v>0.56544807692307753</v>
      </c>
      <c r="Q24" s="6" t="e">
        <f>I24*Q2</f>
        <v>#REF!</v>
      </c>
      <c r="R24" s="79" t="e">
        <f t="shared" si="3"/>
        <v>#REF!</v>
      </c>
      <c r="S24" s="675" t="e">
        <f t="shared" si="4"/>
        <v>#REF!</v>
      </c>
      <c r="T24" s="79">
        <f t="shared" si="5"/>
        <v>6.375</v>
      </c>
      <c r="U24" s="127" t="e">
        <f t="shared" si="6"/>
        <v>#REF!</v>
      </c>
      <c r="V24" s="19" t="e">
        <f t="shared" si="7"/>
        <v>#REF!</v>
      </c>
      <c r="W24" s="79" t="e">
        <f>SUM(V24/E24)/T2</f>
        <v>#REF!</v>
      </c>
      <c r="X24">
        <f t="shared" si="9"/>
        <v>1584</v>
      </c>
      <c r="Y24" s="676">
        <v>106</v>
      </c>
      <c r="Z24" s="82" t="e">
        <f t="shared" si="8"/>
        <v>#REF!</v>
      </c>
    </row>
    <row r="25" spans="1:26">
      <c r="A25" s="55">
        <f>SUM([1]Gen!A31)</f>
        <v>43759</v>
      </c>
      <c r="B25" s="85">
        <v>0</v>
      </c>
      <c r="C25" s="90">
        <f>SUM([1]Gen!B31)</f>
        <v>0.55800000000000005</v>
      </c>
      <c r="D25" s="670">
        <f t="shared" si="2"/>
        <v>42.966000000000001</v>
      </c>
      <c r="E25" s="77"/>
      <c r="F25" s="73">
        <f>[1]Gen!T31</f>
        <v>5941</v>
      </c>
      <c r="G25" s="88">
        <f>[1]Gen!S31</f>
        <v>2262.16</v>
      </c>
      <c r="H25" s="88">
        <f>[1]Gen!AJ31</f>
        <v>172.05</v>
      </c>
      <c r="I25" s="88">
        <f t="shared" si="0"/>
        <v>2434.21</v>
      </c>
      <c r="J25" s="88">
        <f>[1]Gen!AT31</f>
        <v>41422.370000000032</v>
      </c>
      <c r="K25" s="72">
        <f>'[1]Water-Meter'!E30</f>
        <v>111</v>
      </c>
      <c r="L25" s="70" t="e">
        <f>#REF!</f>
        <v>#REF!</v>
      </c>
      <c r="M25" s="91" t="e">
        <f>#REF!</f>
        <v>#REF!</v>
      </c>
      <c r="N25" s="91" t="e">
        <f>#REF!</f>
        <v>#REF!</v>
      </c>
      <c r="O25" s="91" t="e">
        <f>#REF!</f>
        <v>#REF!</v>
      </c>
      <c r="P25" s="92">
        <f t="shared" si="1"/>
        <v>0.79658403846153902</v>
      </c>
      <c r="Q25" s="6">
        <f>I25*Q2</f>
        <v>5379238.9684999995</v>
      </c>
      <c r="R25" s="79">
        <f t="shared" si="3"/>
        <v>79.038872533755836</v>
      </c>
      <c r="S25" s="675" t="e">
        <f t="shared" si="4"/>
        <v>#DIV/0!</v>
      </c>
      <c r="T25" s="79">
        <f t="shared" si="5"/>
        <v>7.1477272727272725</v>
      </c>
      <c r="U25" s="127" t="e">
        <f t="shared" si="6"/>
        <v>#REF!</v>
      </c>
      <c r="V25" s="19" t="e">
        <f t="shared" si="7"/>
        <v>#REF!</v>
      </c>
      <c r="W25" s="79" t="e">
        <f>SUM(V25/E25)/T2</f>
        <v>#REF!</v>
      </c>
      <c r="X25">
        <f t="shared" si="9"/>
        <v>1584</v>
      </c>
      <c r="Y25" s="676">
        <v>106</v>
      </c>
      <c r="Z25" s="82" t="e">
        <f t="shared" si="8"/>
        <v>#DIV/0!</v>
      </c>
    </row>
    <row r="26" spans="1:26">
      <c r="A26" s="55">
        <f>SUM([1]Gen!A32)</f>
        <v>43760</v>
      </c>
      <c r="B26" s="85">
        <v>0</v>
      </c>
      <c r="C26" s="90">
        <f>SUM([1]Gen!B32)</f>
        <v>0.40300000000000002</v>
      </c>
      <c r="D26" s="670">
        <f t="shared" si="2"/>
        <v>31.031000000000002</v>
      </c>
      <c r="E26" s="77"/>
      <c r="F26" s="73">
        <f>[1]Gen!T32</f>
        <v>5400</v>
      </c>
      <c r="G26" s="88">
        <f>[1]Gen!S32</f>
        <v>2286.86</v>
      </c>
      <c r="H26" s="88">
        <f>[1]Gen!AJ32</f>
        <v>18.63</v>
      </c>
      <c r="I26" s="88">
        <f t="shared" si="0"/>
        <v>2305.4900000000002</v>
      </c>
      <c r="J26" s="88">
        <f>[1]Gen!AT32</f>
        <v>38988.160000000033</v>
      </c>
      <c r="K26" s="72">
        <f>'[1]Water-Meter'!E31</f>
        <v>130</v>
      </c>
      <c r="L26" s="70" t="e">
        <f>#REF!</f>
        <v>#REF!</v>
      </c>
      <c r="M26" s="91" t="e">
        <f>#REF!</f>
        <v>#REF!</v>
      </c>
      <c r="N26" s="91" t="e">
        <f>#REF!</f>
        <v>#REF!</v>
      </c>
      <c r="O26" s="91" t="e">
        <f>#REF!</f>
        <v>#REF!</v>
      </c>
      <c r="P26" s="92">
        <f t="shared" si="1"/>
        <v>0.74977230769230829</v>
      </c>
      <c r="Q26" s="6">
        <f>I26*Q2</f>
        <v>5094787.0765000004</v>
      </c>
      <c r="R26" s="79">
        <f t="shared" si="3"/>
        <v>103.65138031771097</v>
      </c>
      <c r="S26" s="675" t="e">
        <f t="shared" si="4"/>
        <v>#DIV/0!</v>
      </c>
      <c r="T26" s="79">
        <f t="shared" si="5"/>
        <v>8.3712121212121211</v>
      </c>
      <c r="U26" s="127" t="e">
        <f t="shared" si="6"/>
        <v>#REF!</v>
      </c>
      <c r="V26" s="19" t="e">
        <f t="shared" si="7"/>
        <v>#REF!</v>
      </c>
      <c r="W26" s="79" t="e">
        <f>SUM(V26/E26)/T2</f>
        <v>#REF!</v>
      </c>
      <c r="X26">
        <f t="shared" si="9"/>
        <v>1584</v>
      </c>
      <c r="Y26" s="676">
        <v>106</v>
      </c>
      <c r="Z26" s="82" t="e">
        <f t="shared" si="8"/>
        <v>#DIV/0!</v>
      </c>
    </row>
    <row r="27" spans="1:26">
      <c r="A27" s="55">
        <f>SUM([1]Gen!A33)</f>
        <v>43761</v>
      </c>
      <c r="B27" s="85">
        <v>0</v>
      </c>
      <c r="C27" s="90">
        <f>SUM([1]Gen!B33)</f>
        <v>0.24</v>
      </c>
      <c r="D27" s="670">
        <f t="shared" si="2"/>
        <v>18.48</v>
      </c>
      <c r="E27" s="77"/>
      <c r="F27" s="73">
        <f>[1]Gen!T33</f>
        <v>5371</v>
      </c>
      <c r="G27" s="88">
        <f>[1]Gen!S33</f>
        <v>2148.2999999999997</v>
      </c>
      <c r="H27" s="88">
        <f>[1]Gen!AJ33</f>
        <v>311.34000000000003</v>
      </c>
      <c r="I27" s="88">
        <f t="shared" si="0"/>
        <v>2459.64</v>
      </c>
      <c r="J27" s="88">
        <f>[1]Gen!AT33</f>
        <v>36682.670000000035</v>
      </c>
      <c r="K27" s="72">
        <f>'[1]Water-Meter'!E32</f>
        <v>114</v>
      </c>
      <c r="L27" s="70" t="e">
        <f>#REF!</f>
        <v>#REF!</v>
      </c>
      <c r="M27" s="91" t="e">
        <f>#REF!</f>
        <v>#REF!</v>
      </c>
      <c r="N27" s="91" t="e">
        <f>#REF!</f>
        <v>#REF!</v>
      </c>
      <c r="O27" s="91" t="e">
        <f>#REF!</f>
        <v>#REF!</v>
      </c>
      <c r="P27" s="92">
        <f t="shared" si="1"/>
        <v>0.70543596153846222</v>
      </c>
      <c r="Q27" s="6">
        <f>I27*Q2</f>
        <v>5435435.4539999999</v>
      </c>
      <c r="R27" s="79">
        <f t="shared" si="3"/>
        <v>185.6851610668372</v>
      </c>
      <c r="S27" s="675" t="e">
        <f t="shared" si="4"/>
        <v>#DIV/0!</v>
      </c>
      <c r="T27" s="79">
        <f t="shared" si="5"/>
        <v>7.3409090909090908</v>
      </c>
      <c r="U27" s="127" t="e">
        <f t="shared" si="6"/>
        <v>#REF!</v>
      </c>
      <c r="V27" s="19" t="e">
        <f t="shared" si="7"/>
        <v>#REF!</v>
      </c>
      <c r="W27" s="79" t="e">
        <f>SUM(V27/E27)/T2</f>
        <v>#REF!</v>
      </c>
      <c r="X27">
        <f t="shared" si="9"/>
        <v>1584</v>
      </c>
      <c r="Y27" s="676">
        <v>106</v>
      </c>
      <c r="Z27" s="82" t="e">
        <f t="shared" si="8"/>
        <v>#DIV/0!</v>
      </c>
    </row>
    <row r="28" spans="1:26">
      <c r="A28" s="55">
        <f>SUM([1]Gen!A34)</f>
        <v>43762</v>
      </c>
      <c r="B28" s="85">
        <v>0</v>
      </c>
      <c r="C28" s="90">
        <f>SUM([1]Gen!B34)</f>
        <v>0.09</v>
      </c>
      <c r="D28" s="670">
        <f t="shared" si="2"/>
        <v>6.93</v>
      </c>
      <c r="E28" s="77"/>
      <c r="F28" s="73">
        <f>[1]Gen!T34</f>
        <v>5296</v>
      </c>
      <c r="G28" s="88">
        <f>[1]Gen!S34</f>
        <v>2213.27</v>
      </c>
      <c r="H28" s="88">
        <f>[1]Gen!AJ34</f>
        <v>380.7</v>
      </c>
      <c r="I28" s="88">
        <f t="shared" si="0"/>
        <v>2593.9699999999998</v>
      </c>
      <c r="J28" s="88">
        <f>[1]Gen!AT34</f>
        <v>44223.030000000035</v>
      </c>
      <c r="K28" s="72">
        <f>'[1]Water-Meter'!E33</f>
        <v>-215493</v>
      </c>
      <c r="L28" s="70" t="e">
        <f>#REF!</f>
        <v>#REF!</v>
      </c>
      <c r="M28" s="91" t="e">
        <f>#REF!</f>
        <v>#REF!</v>
      </c>
      <c r="N28" s="91" t="e">
        <f>#REF!</f>
        <v>#REF!</v>
      </c>
      <c r="O28" s="91" t="e">
        <f>#REF!</f>
        <v>#REF!</v>
      </c>
      <c r="P28" s="92">
        <f t="shared" si="1"/>
        <v>0.85044288461538531</v>
      </c>
      <c r="Q28" s="6">
        <f>I28*Q2</f>
        <v>5732284.6044999994</v>
      </c>
      <c r="R28" s="79">
        <f t="shared" si="3"/>
        <v>522.20296439321055</v>
      </c>
      <c r="S28" s="675" t="e">
        <f t="shared" si="4"/>
        <v>#DIV/0!</v>
      </c>
      <c r="T28" s="79">
        <f t="shared" si="5"/>
        <v>-13876.443181818182</v>
      </c>
      <c r="U28" s="127" t="e">
        <f t="shared" si="6"/>
        <v>#REF!</v>
      </c>
      <c r="V28" s="19" t="e">
        <f t="shared" si="7"/>
        <v>#REF!</v>
      </c>
      <c r="W28" s="79" t="e">
        <f>SUM(V28/E28)/T2</f>
        <v>#REF!</v>
      </c>
      <c r="X28">
        <f t="shared" si="9"/>
        <v>1584</v>
      </c>
      <c r="Y28" s="676">
        <v>106</v>
      </c>
      <c r="Z28" s="82" t="e">
        <f t="shared" si="8"/>
        <v>#DIV/0!</v>
      </c>
    </row>
    <row r="29" spans="1:26">
      <c r="A29" s="55">
        <f>SUM([1]Gen!A35)</f>
        <v>43763</v>
      </c>
      <c r="B29" s="85">
        <v>0</v>
      </c>
      <c r="C29" s="90">
        <f>SUM([1]Gen!B35)</f>
        <v>0.28599999999999998</v>
      </c>
      <c r="D29" s="670">
        <f t="shared" si="2"/>
        <v>22.021999999999998</v>
      </c>
      <c r="E29" s="77"/>
      <c r="F29" s="73">
        <f>[1]Gen!T35</f>
        <v>5221</v>
      </c>
      <c r="G29" s="88">
        <f>[1]Gen!S35</f>
        <v>2104.5200000000004</v>
      </c>
      <c r="H29" s="88">
        <f>[1]Gen!AJ35</f>
        <v>273.37</v>
      </c>
      <c r="I29" s="88">
        <f t="shared" si="0"/>
        <v>2377.8900000000003</v>
      </c>
      <c r="J29" s="88">
        <f>[1]Gen!AT35</f>
        <v>41629.060000000034</v>
      </c>
      <c r="K29" s="72">
        <f>'[1]Water-Meter'!E34</f>
        <v>0</v>
      </c>
      <c r="L29" s="70" t="e">
        <f>#REF!</f>
        <v>#REF!</v>
      </c>
      <c r="M29" s="91" t="e">
        <f>#REF!</f>
        <v>#REF!</v>
      </c>
      <c r="N29" s="91" t="e">
        <f>#REF!</f>
        <v>#REF!</v>
      </c>
      <c r="O29" s="91" t="e">
        <f>#REF!</f>
        <v>#REF!</v>
      </c>
      <c r="P29" s="92">
        <f t="shared" si="1"/>
        <v>0.80055884615384676</v>
      </c>
      <c r="Q29" s="6">
        <f>I29*Q2</f>
        <v>5254780.2165000001</v>
      </c>
      <c r="R29" s="79">
        <f t="shared" si="3"/>
        <v>150.64080250844199</v>
      </c>
      <c r="S29" s="675" t="e">
        <f t="shared" si="4"/>
        <v>#DIV/0!</v>
      </c>
      <c r="T29" s="79">
        <f t="shared" si="5"/>
        <v>0</v>
      </c>
      <c r="U29" s="127" t="e">
        <f t="shared" si="6"/>
        <v>#REF!</v>
      </c>
      <c r="V29" s="19" t="e">
        <f t="shared" si="7"/>
        <v>#REF!</v>
      </c>
      <c r="W29" s="79" t="e">
        <f>SUM(V29/E29)/T2</f>
        <v>#REF!</v>
      </c>
      <c r="X29">
        <f t="shared" si="9"/>
        <v>1584</v>
      </c>
      <c r="Y29" s="676">
        <v>106</v>
      </c>
      <c r="Z29" s="82" t="e">
        <f t="shared" si="8"/>
        <v>#DIV/0!</v>
      </c>
    </row>
    <row r="30" spans="1:26">
      <c r="A30" s="55">
        <f>SUM([1]Gen!A36)</f>
        <v>43764</v>
      </c>
      <c r="B30" s="85">
        <v>0</v>
      </c>
      <c r="C30" s="90">
        <f>SUM([1]Gen!B36)</f>
        <v>0.54500000000000004</v>
      </c>
      <c r="D30" s="670">
        <f t="shared" si="2"/>
        <v>41.965000000000003</v>
      </c>
      <c r="E30" s="77"/>
      <c r="F30" s="73">
        <f>[1]Gen!T36</f>
        <v>5665</v>
      </c>
      <c r="G30" s="88">
        <f>[1]Gen!S36</f>
        <v>2470.2400000000002</v>
      </c>
      <c r="H30" s="88">
        <f>[1]Gen!AJ36</f>
        <v>396.56</v>
      </c>
      <c r="I30" s="88">
        <f t="shared" si="0"/>
        <v>2866.8</v>
      </c>
      <c r="J30" s="88">
        <f>[1]Gen!AT36</f>
        <v>39251.170000000035</v>
      </c>
      <c r="K30" s="72">
        <f>'[1]Water-Meter'!E35</f>
        <v>0</v>
      </c>
      <c r="L30" s="70" t="e">
        <f>#REF!</f>
        <v>#REF!</v>
      </c>
      <c r="M30" s="91" t="e">
        <f>#REF!</f>
        <v>#REF!</v>
      </c>
      <c r="N30" s="91" t="e">
        <f>#REF!</f>
        <v>#REF!</v>
      </c>
      <c r="O30" s="91" t="e">
        <f>#REF!</f>
        <v>#REF!</v>
      </c>
      <c r="P30" s="92">
        <f t="shared" si="1"/>
        <v>0.75483019230769299</v>
      </c>
      <c r="Q30" s="6">
        <f>I30*Q2</f>
        <v>6335197.9800000004</v>
      </c>
      <c r="R30" s="79">
        <f t="shared" si="3"/>
        <v>95.305461080481933</v>
      </c>
      <c r="S30" s="675" t="e">
        <f t="shared" si="4"/>
        <v>#DIV/0!</v>
      </c>
      <c r="T30" s="79">
        <f t="shared" si="5"/>
        <v>0</v>
      </c>
      <c r="U30" s="127" t="e">
        <f t="shared" si="6"/>
        <v>#REF!</v>
      </c>
      <c r="V30" s="19" t="e">
        <f t="shared" si="7"/>
        <v>#REF!</v>
      </c>
      <c r="W30" s="79" t="e">
        <f>SUM(V30/E30)/T2</f>
        <v>#REF!</v>
      </c>
      <c r="X30">
        <f t="shared" si="9"/>
        <v>1584</v>
      </c>
      <c r="Y30" s="676">
        <v>106</v>
      </c>
      <c r="Z30" s="82" t="e">
        <f t="shared" si="8"/>
        <v>#DIV/0!</v>
      </c>
    </row>
    <row r="31" spans="1:26">
      <c r="A31" s="55">
        <f>SUM([1]Gen!A37)</f>
        <v>43765</v>
      </c>
      <c r="B31" s="85">
        <v>0</v>
      </c>
      <c r="C31" s="90">
        <f>SUM([1]Gen!B37)</f>
        <v>0.67500000000000004</v>
      </c>
      <c r="D31" s="670">
        <f t="shared" si="2"/>
        <v>51.975000000000001</v>
      </c>
      <c r="E31" s="77"/>
      <c r="F31" s="73">
        <f>[1]Gen!T37</f>
        <v>6109</v>
      </c>
      <c r="G31" s="88">
        <f>[1]Gen!S37</f>
        <v>2323.7399999999998</v>
      </c>
      <c r="H31" s="88">
        <f>[1]Gen!AJ37</f>
        <v>280.63</v>
      </c>
      <c r="I31" s="88">
        <f t="shared" si="0"/>
        <v>2604.37</v>
      </c>
      <c r="J31" s="88">
        <f>[1]Gen!AT37</f>
        <v>36384.370000000032</v>
      </c>
      <c r="K31" s="72">
        <f>'[1]Water-Meter'!E36</f>
        <v>0</v>
      </c>
      <c r="L31" s="70" t="e">
        <f>#REF!</f>
        <v>#REF!</v>
      </c>
      <c r="M31" s="91" t="e">
        <f>#REF!</f>
        <v>#REF!</v>
      </c>
      <c r="N31" s="91" t="e">
        <f>#REF!</f>
        <v>#REF!</v>
      </c>
      <c r="O31" s="91" t="e">
        <f>#REF!</f>
        <v>#REF!</v>
      </c>
      <c r="P31" s="92">
        <f t="shared" si="1"/>
        <v>0.69969942307692368</v>
      </c>
      <c r="Q31" s="6">
        <f>I31*Q2</f>
        <v>5755267.0444999998</v>
      </c>
      <c r="R31" s="79">
        <f t="shared" si="3"/>
        <v>69.906217593199912</v>
      </c>
      <c r="S31" s="675" t="e">
        <f t="shared" si="4"/>
        <v>#DIV/0!</v>
      </c>
      <c r="T31" s="79">
        <f t="shared" si="5"/>
        <v>0</v>
      </c>
      <c r="U31" s="127" t="e">
        <f t="shared" si="6"/>
        <v>#REF!</v>
      </c>
      <c r="V31" s="19" t="e">
        <f t="shared" si="7"/>
        <v>#REF!</v>
      </c>
      <c r="W31" s="79" t="e">
        <f>SUM(V31/E31)/T2</f>
        <v>#REF!</v>
      </c>
      <c r="X31">
        <f t="shared" si="9"/>
        <v>1584</v>
      </c>
      <c r="Y31" s="676">
        <v>106</v>
      </c>
      <c r="Z31" s="82" t="e">
        <f t="shared" si="8"/>
        <v>#DIV/0!</v>
      </c>
    </row>
    <row r="32" spans="1:26">
      <c r="A32" s="55">
        <f>SUM([1]Gen!A38)</f>
        <v>43766</v>
      </c>
      <c r="B32" s="85">
        <v>0</v>
      </c>
      <c r="C32" s="90">
        <f>SUM([1]Gen!B38)</f>
        <v>0.27300000000000002</v>
      </c>
      <c r="D32" s="670">
        <f t="shared" si="2"/>
        <v>21.021000000000001</v>
      </c>
      <c r="E32" s="77"/>
      <c r="F32" s="73">
        <f>[1]Gen!T38</f>
        <v>0</v>
      </c>
      <c r="G32" s="88">
        <f>[1]Gen!S38</f>
        <v>0</v>
      </c>
      <c r="H32" s="88">
        <f>[1]Gen!AJ38</f>
        <v>0</v>
      </c>
      <c r="I32" s="88">
        <f t="shared" si="0"/>
        <v>0</v>
      </c>
      <c r="J32" s="88">
        <f>[1]Gen!AT38</f>
        <v>33780.000000000029</v>
      </c>
      <c r="K32" s="72">
        <f>'[1]Water-Meter'!E37</f>
        <v>0</v>
      </c>
      <c r="L32" s="70" t="e">
        <f>#REF!</f>
        <v>#REF!</v>
      </c>
      <c r="M32" s="91" t="e">
        <f>#REF!</f>
        <v>#REF!</v>
      </c>
      <c r="N32" s="91" t="e">
        <f>#REF!</f>
        <v>#REF!</v>
      </c>
      <c r="O32" s="91" t="e">
        <f>#REF!</f>
        <v>#REF!</v>
      </c>
      <c r="P32" s="92">
        <f t="shared" si="1"/>
        <v>0.64961538461538515</v>
      </c>
      <c r="Q32" s="6">
        <f>I32*Q2</f>
        <v>0</v>
      </c>
      <c r="R32" s="79">
        <f t="shared" si="3"/>
        <v>0</v>
      </c>
      <c r="S32" s="675" t="e">
        <f t="shared" si="4"/>
        <v>#DIV/0!</v>
      </c>
      <c r="T32" s="79">
        <f t="shared" si="5"/>
        <v>0</v>
      </c>
      <c r="U32" s="127" t="e">
        <f t="shared" si="6"/>
        <v>#REF!</v>
      </c>
      <c r="V32" s="19" t="e">
        <f t="shared" si="7"/>
        <v>#REF!</v>
      </c>
      <c r="W32" s="79" t="e">
        <f>SUM(V32/E32)/T2</f>
        <v>#REF!</v>
      </c>
      <c r="X32">
        <f t="shared" si="9"/>
        <v>1584</v>
      </c>
      <c r="Y32" s="676">
        <v>106</v>
      </c>
      <c r="Z32" s="82" t="e">
        <f t="shared" si="8"/>
        <v>#DIV/0!</v>
      </c>
    </row>
    <row r="33" spans="1:26">
      <c r="A33" s="55"/>
      <c r="B33" s="85">
        <v>0</v>
      </c>
      <c r="C33" s="90" t="e">
        <f>SUM([1]Gen!B39)</f>
        <v>#REF!</v>
      </c>
      <c r="D33" s="670" t="e">
        <f t="shared" si="2"/>
        <v>#REF!</v>
      </c>
      <c r="E33" s="77"/>
      <c r="F33" s="73">
        <f>[1]Gen!T39</f>
        <v>0</v>
      </c>
      <c r="G33" s="88">
        <f>[1]Gen!S39</f>
        <v>0</v>
      </c>
      <c r="H33" s="88">
        <f>[1]Gen!AJ39</f>
        <v>0</v>
      </c>
      <c r="I33" s="88">
        <f t="shared" si="0"/>
        <v>0</v>
      </c>
      <c r="J33" s="88">
        <f>[1]Gen!AT39</f>
        <v>33780.000000000029</v>
      </c>
      <c r="K33" s="72">
        <f>'[1]Water-Meter'!E38</f>
        <v>-212333</v>
      </c>
      <c r="L33" s="70" t="e">
        <f>#REF!</f>
        <v>#REF!</v>
      </c>
      <c r="M33" s="91" t="e">
        <f>#REF!</f>
        <v>#REF!</v>
      </c>
      <c r="N33" s="91" t="e">
        <f>#REF!</f>
        <v>#REF!</v>
      </c>
      <c r="O33" s="91" t="e">
        <f>#REF!</f>
        <v>#REF!</v>
      </c>
      <c r="P33" s="92">
        <f t="shared" si="1"/>
        <v>0.64961538461538515</v>
      </c>
      <c r="Q33" s="6">
        <f>I33*Q2</f>
        <v>0</v>
      </c>
      <c r="R33" s="79" t="e">
        <f t="shared" si="3"/>
        <v>#REF!</v>
      </c>
      <c r="S33" s="675" t="e">
        <f t="shared" si="4"/>
        <v>#DIV/0!</v>
      </c>
      <c r="T33" s="79">
        <f t="shared" si="5"/>
        <v>-13672.958333333334</v>
      </c>
      <c r="U33" s="127" t="e">
        <f t="shared" si="6"/>
        <v>#REF!</v>
      </c>
      <c r="V33" s="19" t="e">
        <f t="shared" si="7"/>
        <v>#REF!</v>
      </c>
      <c r="W33" s="79" t="e">
        <f>SUM(V33/E33)/T2</f>
        <v>#REF!</v>
      </c>
      <c r="X33">
        <f t="shared" si="9"/>
        <v>1584</v>
      </c>
      <c r="Y33" s="676">
        <v>106</v>
      </c>
      <c r="Z33" s="82" t="e">
        <f t="shared" si="8"/>
        <v>#DIV/0!</v>
      </c>
    </row>
    <row r="34" spans="1:26">
      <c r="A34" s="55"/>
      <c r="B34" s="85">
        <v>0</v>
      </c>
      <c r="C34" s="90" t="e">
        <f>SUM([1]Gen!B40)</f>
        <v>#REF!</v>
      </c>
      <c r="D34" s="670" t="e">
        <f t="shared" si="2"/>
        <v>#REF!</v>
      </c>
      <c r="E34" s="77"/>
      <c r="F34" s="73">
        <f>[1]Gen!T40</f>
        <v>0</v>
      </c>
      <c r="G34" s="88">
        <f>[1]Gen!S40</f>
        <v>0</v>
      </c>
      <c r="H34" s="88">
        <f>[1]Gen!AJ40</f>
        <v>0</v>
      </c>
      <c r="I34" s="88">
        <f t="shared" si="0"/>
        <v>0</v>
      </c>
      <c r="J34" s="88">
        <f>[1]Gen!AT40</f>
        <v>33780.000000000029</v>
      </c>
      <c r="K34" s="72" t="e">
        <f>'[1]Water-Meter'!E39</f>
        <v>#REF!</v>
      </c>
      <c r="L34" s="70" t="e">
        <f>#REF!</f>
        <v>#REF!</v>
      </c>
      <c r="M34" s="91" t="e">
        <f>#REF!</f>
        <v>#REF!</v>
      </c>
      <c r="N34" s="91" t="e">
        <f>#REF!</f>
        <v>#REF!</v>
      </c>
      <c r="O34" s="91" t="e">
        <f>#REF!</f>
        <v>#REF!</v>
      </c>
      <c r="P34" s="92">
        <f t="shared" si="1"/>
        <v>0.64961538461538515</v>
      </c>
      <c r="Q34" s="6">
        <f>I34*Q2</f>
        <v>0</v>
      </c>
      <c r="R34" s="79" t="e">
        <f t="shared" si="3"/>
        <v>#REF!</v>
      </c>
      <c r="S34" s="675" t="e">
        <f t="shared" si="4"/>
        <v>#DIV/0!</v>
      </c>
      <c r="T34" s="79" t="e">
        <f t="shared" si="5"/>
        <v>#REF!</v>
      </c>
      <c r="U34" s="127" t="e">
        <f t="shared" si="6"/>
        <v>#REF!</v>
      </c>
      <c r="V34" s="19" t="e">
        <f t="shared" si="7"/>
        <v>#REF!</v>
      </c>
      <c r="W34" s="79" t="e">
        <f>SUM(V34/E34)/T2</f>
        <v>#REF!</v>
      </c>
      <c r="X34">
        <f t="shared" si="9"/>
        <v>1584</v>
      </c>
      <c r="Y34" s="676">
        <v>106</v>
      </c>
      <c r="Z34" s="82" t="e">
        <f t="shared" si="8"/>
        <v>#DIV/0!</v>
      </c>
    </row>
    <row r="35" spans="1:26">
      <c r="A35" s="55"/>
      <c r="B35" s="85">
        <v>0</v>
      </c>
      <c r="C35" s="90" t="e">
        <f>SUM([1]Gen!B41)</f>
        <v>#REF!</v>
      </c>
      <c r="D35" s="670" t="e">
        <f t="shared" si="2"/>
        <v>#REF!</v>
      </c>
      <c r="E35" s="77"/>
      <c r="F35" s="73">
        <f>[1]Gen!T41</f>
        <v>0</v>
      </c>
      <c r="G35" s="88">
        <f>[1]Gen!S41</f>
        <v>0</v>
      </c>
      <c r="H35" s="88">
        <f>[1]Gen!AJ41</f>
        <v>0</v>
      </c>
      <c r="I35" s="88">
        <f t="shared" si="0"/>
        <v>0</v>
      </c>
      <c r="J35" s="88">
        <f>[1]Gen!AT41</f>
        <v>33780.000000000029</v>
      </c>
      <c r="K35" s="72" t="e">
        <f>'[1]Water-Meter'!E40</f>
        <v>#REF!</v>
      </c>
      <c r="L35" s="70" t="e">
        <f>#REF!</f>
        <v>#REF!</v>
      </c>
      <c r="M35" s="91" t="e">
        <f>#REF!</f>
        <v>#REF!</v>
      </c>
      <c r="N35" s="91" t="e">
        <f>#REF!</f>
        <v>#REF!</v>
      </c>
      <c r="O35" s="91" t="e">
        <f>#REF!</f>
        <v>#REF!</v>
      </c>
      <c r="P35" s="92">
        <f t="shared" si="1"/>
        <v>0.64961538461538515</v>
      </c>
      <c r="Q35" s="6">
        <f>I35*Q2</f>
        <v>0</v>
      </c>
      <c r="R35" s="79" t="e">
        <f t="shared" si="3"/>
        <v>#REF!</v>
      </c>
      <c r="S35" s="675" t="e">
        <f t="shared" si="4"/>
        <v>#DIV/0!</v>
      </c>
      <c r="T35" s="79" t="e">
        <f t="shared" si="5"/>
        <v>#REF!</v>
      </c>
      <c r="U35" s="127" t="e">
        <f t="shared" si="6"/>
        <v>#REF!</v>
      </c>
      <c r="V35" s="19" t="e">
        <f t="shared" si="7"/>
        <v>#REF!</v>
      </c>
      <c r="W35" s="79" t="e">
        <f>SUM(V35/E35)/T2</f>
        <v>#REF!</v>
      </c>
      <c r="X35">
        <f t="shared" si="9"/>
        <v>1584</v>
      </c>
      <c r="Y35" s="676">
        <v>106</v>
      </c>
      <c r="Z35" s="82" t="e">
        <f t="shared" si="8"/>
        <v>#DIV/0!</v>
      </c>
    </row>
    <row r="36" spans="1:26" ht="13.5" thickBot="1">
      <c r="A36" s="56"/>
      <c r="B36" s="84"/>
      <c r="C36" s="74"/>
      <c r="D36" s="87"/>
      <c r="E36" s="8"/>
      <c r="F36" s="74"/>
      <c r="G36" s="89"/>
      <c r="H36" s="89"/>
      <c r="I36" s="89"/>
      <c r="J36" s="89"/>
      <c r="K36" s="8" t="e">
        <f>'[1]Water-Meter'!E41</f>
        <v>#REF!</v>
      </c>
      <c r="L36" s="71"/>
      <c r="M36" s="89"/>
      <c r="N36" s="89"/>
      <c r="O36" s="89"/>
      <c r="P36" s="89"/>
      <c r="Q36" s="6">
        <f>I36*2057.79</f>
        <v>0</v>
      </c>
      <c r="R36" s="78"/>
      <c r="S36" s="78"/>
      <c r="T36" s="126"/>
      <c r="U36" s="128"/>
      <c r="V36" s="19">
        <f t="shared" si="7"/>
        <v>0</v>
      </c>
      <c r="W36" s="126"/>
    </row>
    <row r="37" spans="1:26">
      <c r="S37" s="82" t="e">
        <f>SUM(S5:S16)/[1]Gen!A47</f>
        <v>#REF!</v>
      </c>
    </row>
    <row r="38" spans="1:26">
      <c r="B38" s="86" t="e">
        <f>SUM(B5:B37)/[1]Gen!A47</f>
        <v>#REF!</v>
      </c>
      <c r="M38">
        <f>0.5*2057.79</f>
        <v>1028.895</v>
      </c>
    </row>
    <row r="39" spans="1:26">
      <c r="B39" s="86" t="e">
        <f>SUM(B38*[1]Gen!A47)</f>
        <v>#REF!</v>
      </c>
      <c r="C39" s="86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79</v>
      </c>
      <c r="S39" s="82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7"/>
  <sheetViews>
    <sheetView topLeftCell="A19" workbookViewId="0">
      <selection activeCell="I39" sqref="I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82" t="s">
        <v>182</v>
      </c>
      <c r="B1" s="883"/>
      <c r="C1" s="883"/>
      <c r="D1" s="883"/>
      <c r="E1" s="883"/>
      <c r="F1" s="883"/>
      <c r="G1" s="884"/>
    </row>
    <row r="2" spans="1:7" ht="13.5" thickBot="1">
      <c r="A2" s="421"/>
      <c r="B2" s="885" t="s">
        <v>177</v>
      </c>
      <c r="C2" s="886"/>
      <c r="D2" s="887"/>
      <c r="E2" s="885" t="s">
        <v>178</v>
      </c>
      <c r="F2" s="886"/>
      <c r="G2" s="887"/>
    </row>
    <row r="3" spans="1:7" ht="40.5" customHeight="1">
      <c r="A3" s="458" t="s">
        <v>7</v>
      </c>
      <c r="B3" s="459" t="s">
        <v>179</v>
      </c>
      <c r="C3" s="459" t="s">
        <v>180</v>
      </c>
      <c r="D3" s="459" t="s">
        <v>181</v>
      </c>
      <c r="E3" s="459" t="s">
        <v>179</v>
      </c>
      <c r="F3" s="459" t="s">
        <v>180</v>
      </c>
      <c r="G3" s="460" t="s">
        <v>181</v>
      </c>
    </row>
    <row r="4" spans="1:7">
      <c r="A4" s="423">
        <v>42095</v>
      </c>
      <c r="B4" s="461">
        <v>0</v>
      </c>
      <c r="C4" s="331">
        <v>193</v>
      </c>
      <c r="D4" s="462">
        <f>C4-B4</f>
        <v>193</v>
      </c>
      <c r="E4" s="463">
        <v>0</v>
      </c>
      <c r="F4" s="422">
        <v>0</v>
      </c>
      <c r="G4" s="367">
        <f>F4-E4</f>
        <v>0</v>
      </c>
    </row>
    <row r="5" spans="1:7" ht="12" customHeight="1">
      <c r="A5" s="423">
        <v>42125</v>
      </c>
      <c r="B5" s="461">
        <f>C4</f>
        <v>193</v>
      </c>
      <c r="C5" s="335">
        <v>1158</v>
      </c>
      <c r="D5" s="462">
        <f t="shared" ref="D5:D68" si="0">C5-B5</f>
        <v>965</v>
      </c>
      <c r="E5" s="463">
        <v>145572</v>
      </c>
      <c r="F5" s="422">
        <v>145572</v>
      </c>
      <c r="G5" s="367">
        <f t="shared" ref="G5:G68" si="1">F5-E5</f>
        <v>0</v>
      </c>
    </row>
    <row r="6" spans="1:7">
      <c r="A6" s="423">
        <v>42156</v>
      </c>
      <c r="B6" s="461">
        <f t="shared" ref="B6:B69" si="2">C5</f>
        <v>1158</v>
      </c>
      <c r="C6" s="335">
        <v>2084</v>
      </c>
      <c r="D6" s="462">
        <f t="shared" si="0"/>
        <v>926</v>
      </c>
      <c r="E6" s="463">
        <f>F5</f>
        <v>145572</v>
      </c>
      <c r="F6" s="422">
        <v>147984</v>
      </c>
      <c r="G6" s="367">
        <f t="shared" si="1"/>
        <v>2412</v>
      </c>
    </row>
    <row r="7" spans="1:7">
      <c r="A7" s="423">
        <v>42186</v>
      </c>
      <c r="B7" s="461">
        <f t="shared" si="2"/>
        <v>2084</v>
      </c>
      <c r="C7" s="335">
        <v>3073</v>
      </c>
      <c r="D7" s="462">
        <f t="shared" si="0"/>
        <v>989</v>
      </c>
      <c r="E7" s="463">
        <f>F6</f>
        <v>147984</v>
      </c>
      <c r="F7" s="380">
        <v>150507</v>
      </c>
      <c r="G7" s="367">
        <f t="shared" si="1"/>
        <v>2523</v>
      </c>
    </row>
    <row r="8" spans="1:7">
      <c r="A8" s="423">
        <v>42217</v>
      </c>
      <c r="B8" s="461">
        <f t="shared" si="2"/>
        <v>3073</v>
      </c>
      <c r="C8" s="335">
        <v>4063</v>
      </c>
      <c r="D8" s="462">
        <f t="shared" si="0"/>
        <v>990</v>
      </c>
      <c r="E8" s="463">
        <f t="shared" ref="E8:E71" si="3">F7</f>
        <v>150507</v>
      </c>
      <c r="F8" s="380">
        <v>152986</v>
      </c>
      <c r="G8" s="367">
        <f t="shared" si="1"/>
        <v>2479</v>
      </c>
    </row>
    <row r="9" spans="1:7">
      <c r="A9" s="423">
        <v>42248</v>
      </c>
      <c r="B9" s="461">
        <f t="shared" si="2"/>
        <v>4063</v>
      </c>
      <c r="C9" s="335">
        <v>5058</v>
      </c>
      <c r="D9" s="462">
        <f t="shared" si="0"/>
        <v>995</v>
      </c>
      <c r="E9" s="463">
        <f t="shared" si="3"/>
        <v>152986</v>
      </c>
      <c r="F9" s="380">
        <v>155468</v>
      </c>
      <c r="G9" s="367">
        <f t="shared" si="1"/>
        <v>2482</v>
      </c>
    </row>
    <row r="10" spans="1:7">
      <c r="A10" s="423">
        <v>42278</v>
      </c>
      <c r="B10" s="461">
        <f t="shared" si="2"/>
        <v>5058</v>
      </c>
      <c r="C10" s="335">
        <v>6049</v>
      </c>
      <c r="D10" s="462">
        <f t="shared" si="0"/>
        <v>991</v>
      </c>
      <c r="E10" s="463">
        <f t="shared" si="3"/>
        <v>155468</v>
      </c>
      <c r="F10" s="380">
        <v>157962</v>
      </c>
      <c r="G10" s="367">
        <f t="shared" si="1"/>
        <v>2494</v>
      </c>
    </row>
    <row r="11" spans="1:7">
      <c r="A11" s="423">
        <v>42309</v>
      </c>
      <c r="B11" s="461">
        <f t="shared" si="2"/>
        <v>6049</v>
      </c>
      <c r="C11" s="335">
        <v>7028</v>
      </c>
      <c r="D11" s="462">
        <f t="shared" si="0"/>
        <v>979</v>
      </c>
      <c r="E11" s="463">
        <f t="shared" si="3"/>
        <v>157962</v>
      </c>
      <c r="F11" s="380">
        <v>160323</v>
      </c>
      <c r="G11" s="367">
        <f t="shared" si="1"/>
        <v>2361</v>
      </c>
    </row>
    <row r="12" spans="1:7">
      <c r="A12" s="423">
        <v>42339</v>
      </c>
      <c r="B12" s="461">
        <f t="shared" si="2"/>
        <v>7028</v>
      </c>
      <c r="C12" s="335">
        <v>7985</v>
      </c>
      <c r="D12" s="462">
        <f t="shared" si="0"/>
        <v>957</v>
      </c>
      <c r="E12" s="463">
        <f t="shared" si="3"/>
        <v>160323</v>
      </c>
      <c r="F12" s="380">
        <v>162813</v>
      </c>
      <c r="G12" s="367">
        <f t="shared" si="1"/>
        <v>2490</v>
      </c>
    </row>
    <row r="13" spans="1:7">
      <c r="A13" s="423">
        <v>42370</v>
      </c>
      <c r="B13" s="461">
        <f t="shared" si="2"/>
        <v>7985</v>
      </c>
      <c r="C13" s="335">
        <v>8952</v>
      </c>
      <c r="D13" s="462">
        <f t="shared" si="0"/>
        <v>967</v>
      </c>
      <c r="E13" s="463">
        <f t="shared" si="3"/>
        <v>162813</v>
      </c>
      <c r="F13" s="380">
        <v>165317</v>
      </c>
      <c r="G13" s="367">
        <f t="shared" si="1"/>
        <v>2504</v>
      </c>
    </row>
    <row r="14" spans="1:7">
      <c r="A14" s="423">
        <v>42401</v>
      </c>
      <c r="B14" s="461">
        <f t="shared" si="2"/>
        <v>8952</v>
      </c>
      <c r="C14" s="335">
        <v>9898</v>
      </c>
      <c r="D14" s="462">
        <f t="shared" si="0"/>
        <v>946</v>
      </c>
      <c r="E14" s="463">
        <f t="shared" si="3"/>
        <v>165317</v>
      </c>
      <c r="F14" s="380">
        <v>167679</v>
      </c>
      <c r="G14" s="367">
        <f t="shared" si="1"/>
        <v>2362</v>
      </c>
    </row>
    <row r="15" spans="1:7">
      <c r="A15" s="423">
        <v>42430</v>
      </c>
      <c r="B15" s="461">
        <f t="shared" si="2"/>
        <v>9898</v>
      </c>
      <c r="C15" s="335">
        <v>10637</v>
      </c>
      <c r="D15" s="462">
        <f t="shared" si="0"/>
        <v>739</v>
      </c>
      <c r="E15" s="463">
        <f t="shared" si="3"/>
        <v>167679</v>
      </c>
      <c r="F15" s="380">
        <v>170134</v>
      </c>
      <c r="G15" s="367">
        <f t="shared" si="1"/>
        <v>2455</v>
      </c>
    </row>
    <row r="16" spans="1:7">
      <c r="A16" s="423">
        <v>42461</v>
      </c>
      <c r="B16" s="461">
        <f t="shared" si="2"/>
        <v>10637</v>
      </c>
      <c r="C16" s="335">
        <v>11352</v>
      </c>
      <c r="D16" s="462">
        <f t="shared" si="0"/>
        <v>715</v>
      </c>
      <c r="E16" s="463">
        <f t="shared" si="3"/>
        <v>170134</v>
      </c>
      <c r="F16" s="380">
        <v>172562</v>
      </c>
      <c r="G16" s="367">
        <f t="shared" si="1"/>
        <v>2428</v>
      </c>
    </row>
    <row r="17" spans="1:7">
      <c r="A17" s="423">
        <v>42491</v>
      </c>
      <c r="B17" s="461">
        <f t="shared" si="2"/>
        <v>11352</v>
      </c>
      <c r="C17" s="335">
        <v>12426</v>
      </c>
      <c r="D17" s="462">
        <f t="shared" si="0"/>
        <v>1074</v>
      </c>
      <c r="E17" s="463">
        <f t="shared" si="3"/>
        <v>172562</v>
      </c>
      <c r="F17" s="380">
        <v>175041</v>
      </c>
      <c r="G17" s="367">
        <f t="shared" si="1"/>
        <v>2479</v>
      </c>
    </row>
    <row r="18" spans="1:7">
      <c r="A18" s="423">
        <v>42522</v>
      </c>
      <c r="B18" s="461">
        <f t="shared" si="2"/>
        <v>12426</v>
      </c>
      <c r="C18" s="335">
        <v>14111</v>
      </c>
      <c r="D18" s="462">
        <f t="shared" si="0"/>
        <v>1685</v>
      </c>
      <c r="E18" s="463">
        <f t="shared" si="3"/>
        <v>175041</v>
      </c>
      <c r="F18" s="380">
        <v>177300</v>
      </c>
      <c r="G18" s="367">
        <f t="shared" si="1"/>
        <v>2259</v>
      </c>
    </row>
    <row r="19" spans="1:7">
      <c r="A19" s="423">
        <v>42552</v>
      </c>
      <c r="B19" s="461">
        <f t="shared" si="2"/>
        <v>14111</v>
      </c>
      <c r="C19" s="335">
        <v>15790</v>
      </c>
      <c r="D19" s="462">
        <f t="shared" si="0"/>
        <v>1679</v>
      </c>
      <c r="E19" s="463">
        <f t="shared" si="3"/>
        <v>177300</v>
      </c>
      <c r="F19" s="380">
        <v>179548</v>
      </c>
      <c r="G19" s="367">
        <f t="shared" si="1"/>
        <v>2248</v>
      </c>
    </row>
    <row r="20" spans="1:7">
      <c r="A20" s="423">
        <v>42583</v>
      </c>
      <c r="B20" s="461">
        <f t="shared" si="2"/>
        <v>15790</v>
      </c>
      <c r="C20" s="335">
        <v>17450</v>
      </c>
      <c r="D20" s="462">
        <f t="shared" si="0"/>
        <v>1660</v>
      </c>
      <c r="E20" s="463">
        <f t="shared" si="3"/>
        <v>179548</v>
      </c>
      <c r="F20" s="380">
        <v>181842</v>
      </c>
      <c r="G20" s="367">
        <f t="shared" si="1"/>
        <v>2294</v>
      </c>
    </row>
    <row r="21" spans="1:7">
      <c r="A21" s="423">
        <v>42614</v>
      </c>
      <c r="B21" s="461">
        <f t="shared" si="2"/>
        <v>17450</v>
      </c>
      <c r="C21" s="335">
        <v>19133</v>
      </c>
      <c r="D21" s="462">
        <f t="shared" si="0"/>
        <v>1683</v>
      </c>
      <c r="E21" s="463">
        <f t="shared" si="3"/>
        <v>181842</v>
      </c>
      <c r="F21" s="380">
        <v>184095</v>
      </c>
      <c r="G21" s="367">
        <f t="shared" si="1"/>
        <v>2253</v>
      </c>
    </row>
    <row r="22" spans="1:7">
      <c r="A22" s="423">
        <v>42644</v>
      </c>
      <c r="B22" s="461">
        <f t="shared" si="2"/>
        <v>19133</v>
      </c>
      <c r="C22" s="335">
        <v>20804</v>
      </c>
      <c r="D22" s="462">
        <f t="shared" si="0"/>
        <v>1671</v>
      </c>
      <c r="E22" s="463">
        <f t="shared" si="3"/>
        <v>184095</v>
      </c>
      <c r="F22" s="380">
        <v>186344</v>
      </c>
      <c r="G22" s="367">
        <f t="shared" si="1"/>
        <v>2249</v>
      </c>
    </row>
    <row r="23" spans="1:7">
      <c r="A23" s="423">
        <v>42675</v>
      </c>
      <c r="B23" s="461">
        <f t="shared" si="2"/>
        <v>20804</v>
      </c>
      <c r="C23" s="335">
        <v>22489</v>
      </c>
      <c r="D23" s="462">
        <f t="shared" si="0"/>
        <v>1685</v>
      </c>
      <c r="E23" s="463">
        <f t="shared" si="3"/>
        <v>186344</v>
      </c>
      <c r="F23" s="380">
        <v>188595</v>
      </c>
      <c r="G23" s="367">
        <f t="shared" si="1"/>
        <v>2251</v>
      </c>
    </row>
    <row r="24" spans="1:7">
      <c r="A24" s="423">
        <v>42705</v>
      </c>
      <c r="B24" s="461">
        <f t="shared" si="2"/>
        <v>22489</v>
      </c>
      <c r="C24" s="335">
        <v>24085</v>
      </c>
      <c r="D24" s="462">
        <f t="shared" si="0"/>
        <v>1596</v>
      </c>
      <c r="E24" s="463">
        <f t="shared" si="3"/>
        <v>188595</v>
      </c>
      <c r="F24" s="380">
        <v>190896</v>
      </c>
      <c r="G24" s="367">
        <f t="shared" si="1"/>
        <v>2301</v>
      </c>
    </row>
    <row r="25" spans="1:7">
      <c r="A25" s="423">
        <v>42736</v>
      </c>
      <c r="B25" s="461">
        <f t="shared" si="2"/>
        <v>24085</v>
      </c>
      <c r="C25" s="335">
        <v>25775</v>
      </c>
      <c r="D25" s="462">
        <f t="shared" si="0"/>
        <v>1690</v>
      </c>
      <c r="E25" s="463">
        <f t="shared" si="3"/>
        <v>190896</v>
      </c>
      <c r="F25" s="380">
        <v>193152</v>
      </c>
      <c r="G25" s="367">
        <f t="shared" si="1"/>
        <v>2256</v>
      </c>
    </row>
    <row r="26" spans="1:7">
      <c r="A26" s="423">
        <v>42767</v>
      </c>
      <c r="B26" s="461">
        <f t="shared" si="2"/>
        <v>25775</v>
      </c>
      <c r="C26" s="335">
        <v>27592</v>
      </c>
      <c r="D26" s="462">
        <f t="shared" si="0"/>
        <v>1817</v>
      </c>
      <c r="E26" s="463">
        <f t="shared" si="3"/>
        <v>193152</v>
      </c>
      <c r="F26" s="380">
        <v>195378</v>
      </c>
      <c r="G26" s="367">
        <f t="shared" si="1"/>
        <v>2226</v>
      </c>
    </row>
    <row r="27" spans="1:7">
      <c r="A27" s="423">
        <v>42795</v>
      </c>
      <c r="B27" s="461">
        <f t="shared" si="2"/>
        <v>27592</v>
      </c>
      <c r="C27" s="380">
        <v>29398</v>
      </c>
      <c r="D27" s="462">
        <f t="shared" si="0"/>
        <v>1806</v>
      </c>
      <c r="E27" s="463">
        <f t="shared" si="3"/>
        <v>195378</v>
      </c>
      <c r="F27" s="380">
        <v>197503</v>
      </c>
      <c r="G27" s="367">
        <f t="shared" si="1"/>
        <v>2125</v>
      </c>
    </row>
    <row r="28" spans="1:7">
      <c r="A28" s="423">
        <v>42826</v>
      </c>
      <c r="B28" s="461">
        <f t="shared" si="2"/>
        <v>29398</v>
      </c>
      <c r="C28" s="335">
        <v>31148</v>
      </c>
      <c r="D28" s="462">
        <f t="shared" si="0"/>
        <v>1750</v>
      </c>
      <c r="E28" s="463">
        <f t="shared" si="3"/>
        <v>197503</v>
      </c>
      <c r="F28" s="380">
        <v>199571</v>
      </c>
      <c r="G28" s="367">
        <f t="shared" si="1"/>
        <v>2068</v>
      </c>
    </row>
    <row r="29" spans="1:7">
      <c r="A29" s="423">
        <v>42856</v>
      </c>
      <c r="B29" s="461">
        <f t="shared" si="2"/>
        <v>31148</v>
      </c>
      <c r="C29" s="335">
        <v>32896</v>
      </c>
      <c r="D29" s="462">
        <f t="shared" si="0"/>
        <v>1748</v>
      </c>
      <c r="E29" s="463">
        <f t="shared" si="3"/>
        <v>199571</v>
      </c>
      <c r="F29" s="380">
        <v>201766</v>
      </c>
      <c r="G29" s="367">
        <f t="shared" si="1"/>
        <v>2195</v>
      </c>
    </row>
    <row r="30" spans="1:7">
      <c r="A30" s="423">
        <v>42887</v>
      </c>
      <c r="B30" s="461">
        <f t="shared" si="2"/>
        <v>32896</v>
      </c>
      <c r="C30" s="335">
        <v>34620</v>
      </c>
      <c r="D30" s="462">
        <f t="shared" si="0"/>
        <v>1724</v>
      </c>
      <c r="E30" s="463">
        <f t="shared" si="3"/>
        <v>201766</v>
      </c>
      <c r="F30" s="380">
        <v>203951</v>
      </c>
      <c r="G30" s="367">
        <f t="shared" si="1"/>
        <v>2185</v>
      </c>
    </row>
    <row r="31" spans="1:7">
      <c r="A31" s="423">
        <v>42917</v>
      </c>
      <c r="B31" s="461">
        <f t="shared" si="2"/>
        <v>34620</v>
      </c>
      <c r="C31" s="335">
        <v>36384</v>
      </c>
      <c r="D31" s="462">
        <f t="shared" si="0"/>
        <v>1764</v>
      </c>
      <c r="E31" s="463">
        <f t="shared" si="3"/>
        <v>203951</v>
      </c>
      <c r="F31" s="380">
        <v>206045</v>
      </c>
      <c r="G31" s="367">
        <f t="shared" si="1"/>
        <v>2094</v>
      </c>
    </row>
    <row r="32" spans="1:7">
      <c r="A32" s="423">
        <v>42948</v>
      </c>
      <c r="B32" s="461">
        <f t="shared" si="2"/>
        <v>36384</v>
      </c>
      <c r="C32" s="335">
        <v>38320</v>
      </c>
      <c r="D32" s="462">
        <f t="shared" si="0"/>
        <v>1936</v>
      </c>
      <c r="E32" s="463">
        <f t="shared" si="3"/>
        <v>206045</v>
      </c>
      <c r="F32" s="380">
        <v>208289</v>
      </c>
      <c r="G32" s="367">
        <f t="shared" si="1"/>
        <v>2244</v>
      </c>
    </row>
    <row r="33" spans="1:7">
      <c r="A33" s="423">
        <v>42979</v>
      </c>
      <c r="B33" s="461">
        <f t="shared" si="2"/>
        <v>38320</v>
      </c>
      <c r="C33" s="335">
        <v>40226</v>
      </c>
      <c r="D33" s="462">
        <f t="shared" si="0"/>
        <v>1906</v>
      </c>
      <c r="E33" s="463">
        <f t="shared" si="3"/>
        <v>208289</v>
      </c>
      <c r="F33" s="380">
        <v>210468</v>
      </c>
      <c r="G33" s="367">
        <f t="shared" si="1"/>
        <v>2179</v>
      </c>
    </row>
    <row r="34" spans="1:7">
      <c r="A34" s="423">
        <v>43009</v>
      </c>
      <c r="B34" s="461">
        <f t="shared" si="2"/>
        <v>40226</v>
      </c>
      <c r="C34" s="335">
        <v>41900</v>
      </c>
      <c r="D34" s="462">
        <f t="shared" si="0"/>
        <v>1674</v>
      </c>
      <c r="E34" s="463">
        <f t="shared" si="3"/>
        <v>210468</v>
      </c>
      <c r="F34" s="380">
        <v>212474</v>
      </c>
      <c r="G34" s="367">
        <f t="shared" si="1"/>
        <v>2006</v>
      </c>
    </row>
    <row r="35" spans="1:7">
      <c r="A35" s="423">
        <v>43040</v>
      </c>
      <c r="B35" s="461">
        <f t="shared" si="2"/>
        <v>41900</v>
      </c>
      <c r="C35" s="335">
        <v>43712</v>
      </c>
      <c r="D35" s="462">
        <f t="shared" si="0"/>
        <v>1812</v>
      </c>
      <c r="E35" s="463">
        <f t="shared" si="3"/>
        <v>212474</v>
      </c>
      <c r="F35" s="380">
        <v>214566</v>
      </c>
      <c r="G35" s="367">
        <f t="shared" si="1"/>
        <v>2092</v>
      </c>
    </row>
    <row r="36" spans="1:7">
      <c r="A36" s="423">
        <v>43070</v>
      </c>
      <c r="B36" s="461">
        <f t="shared" si="2"/>
        <v>43712</v>
      </c>
      <c r="C36" s="335">
        <v>46071</v>
      </c>
      <c r="D36" s="462">
        <f t="shared" si="0"/>
        <v>2359</v>
      </c>
      <c r="E36" s="463">
        <f t="shared" si="3"/>
        <v>214566</v>
      </c>
      <c r="F36" s="380">
        <v>216654</v>
      </c>
      <c r="G36" s="367">
        <f t="shared" si="1"/>
        <v>2088</v>
      </c>
    </row>
    <row r="37" spans="1:7">
      <c r="A37" s="423">
        <v>43101</v>
      </c>
      <c r="B37" s="461">
        <f t="shared" si="2"/>
        <v>46071</v>
      </c>
      <c r="C37" s="335">
        <v>48188</v>
      </c>
      <c r="D37" s="462">
        <f t="shared" si="0"/>
        <v>2117</v>
      </c>
      <c r="E37" s="463">
        <f t="shared" si="3"/>
        <v>216654</v>
      </c>
      <c r="F37" s="380">
        <v>218779</v>
      </c>
      <c r="G37" s="367">
        <f t="shared" si="1"/>
        <v>2125</v>
      </c>
    </row>
    <row r="38" spans="1:7">
      <c r="A38" s="423">
        <v>43132</v>
      </c>
      <c r="B38" s="461">
        <f t="shared" si="2"/>
        <v>48188</v>
      </c>
      <c r="C38" s="335">
        <v>50066</v>
      </c>
      <c r="D38" s="462">
        <f t="shared" si="0"/>
        <v>1878</v>
      </c>
      <c r="E38" s="463">
        <f t="shared" si="3"/>
        <v>218779</v>
      </c>
      <c r="F38" s="380">
        <v>220744</v>
      </c>
      <c r="G38" s="367">
        <f t="shared" si="1"/>
        <v>1965</v>
      </c>
    </row>
    <row r="39" spans="1:7">
      <c r="A39" s="423">
        <v>43160</v>
      </c>
      <c r="B39" s="461">
        <f t="shared" si="2"/>
        <v>50066</v>
      </c>
      <c r="C39" s="335">
        <v>51916</v>
      </c>
      <c r="D39" s="462">
        <f t="shared" si="0"/>
        <v>1850</v>
      </c>
      <c r="E39" s="463">
        <f t="shared" si="3"/>
        <v>220744</v>
      </c>
      <c r="F39" s="380">
        <v>222873</v>
      </c>
      <c r="G39" s="367">
        <f t="shared" si="1"/>
        <v>2129</v>
      </c>
    </row>
    <row r="40" spans="1:7">
      <c r="A40" s="423">
        <v>43191</v>
      </c>
      <c r="B40" s="461">
        <f t="shared" si="2"/>
        <v>51916</v>
      </c>
      <c r="C40" s="335">
        <v>53641</v>
      </c>
      <c r="D40" s="462">
        <f t="shared" si="0"/>
        <v>1725</v>
      </c>
      <c r="E40" s="463">
        <f t="shared" si="3"/>
        <v>222873</v>
      </c>
      <c r="F40" s="380">
        <v>224922</v>
      </c>
      <c r="G40" s="367">
        <f t="shared" si="1"/>
        <v>2049</v>
      </c>
    </row>
    <row r="41" spans="1:7">
      <c r="A41" s="423">
        <v>43221</v>
      </c>
      <c r="B41" s="461">
        <f t="shared" si="2"/>
        <v>53641</v>
      </c>
      <c r="C41" s="335">
        <v>55409</v>
      </c>
      <c r="D41" s="462">
        <f t="shared" si="0"/>
        <v>1768</v>
      </c>
      <c r="E41" s="463">
        <f t="shared" si="3"/>
        <v>224922</v>
      </c>
      <c r="F41" s="380">
        <v>227063</v>
      </c>
      <c r="G41" s="367">
        <f t="shared" si="1"/>
        <v>2141</v>
      </c>
    </row>
    <row r="42" spans="1:7">
      <c r="A42" s="423">
        <v>43252</v>
      </c>
      <c r="B42" s="461">
        <f t="shared" si="2"/>
        <v>55409</v>
      </c>
      <c r="C42" s="335">
        <v>57396</v>
      </c>
      <c r="D42" s="462">
        <f t="shared" si="0"/>
        <v>1987</v>
      </c>
      <c r="E42" s="463">
        <f t="shared" si="3"/>
        <v>227063</v>
      </c>
      <c r="F42" s="380">
        <v>229163</v>
      </c>
      <c r="G42" s="367">
        <f t="shared" si="1"/>
        <v>2100</v>
      </c>
    </row>
    <row r="43" spans="1:7">
      <c r="A43" s="423">
        <v>43282</v>
      </c>
      <c r="B43" s="461">
        <f t="shared" si="2"/>
        <v>57396</v>
      </c>
      <c r="C43" s="335">
        <v>59391</v>
      </c>
      <c r="D43" s="462">
        <f t="shared" si="0"/>
        <v>1995</v>
      </c>
      <c r="E43" s="463">
        <f t="shared" si="3"/>
        <v>229163</v>
      </c>
      <c r="F43" s="380">
        <v>231359</v>
      </c>
      <c r="G43" s="367">
        <f t="shared" si="1"/>
        <v>2196</v>
      </c>
    </row>
    <row r="44" spans="1:7">
      <c r="A44" s="423">
        <v>43313</v>
      </c>
      <c r="B44" s="461">
        <f t="shared" si="2"/>
        <v>59391</v>
      </c>
      <c r="C44" s="335">
        <v>61427</v>
      </c>
      <c r="D44" s="462">
        <f t="shared" si="0"/>
        <v>2036</v>
      </c>
      <c r="E44" s="463">
        <f t="shared" si="3"/>
        <v>231359</v>
      </c>
      <c r="F44" s="380">
        <v>233548</v>
      </c>
      <c r="G44" s="367">
        <f t="shared" si="1"/>
        <v>2189</v>
      </c>
    </row>
    <row r="45" spans="1:7">
      <c r="A45" s="423">
        <v>43344</v>
      </c>
      <c r="B45" s="461">
        <f t="shared" si="2"/>
        <v>61427</v>
      </c>
      <c r="C45" s="335">
        <v>63464</v>
      </c>
      <c r="D45" s="462">
        <f t="shared" si="0"/>
        <v>2037</v>
      </c>
      <c r="E45" s="463">
        <f t="shared" si="3"/>
        <v>233548</v>
      </c>
      <c r="F45" s="380">
        <v>235653</v>
      </c>
      <c r="G45" s="367">
        <f t="shared" si="1"/>
        <v>2105</v>
      </c>
    </row>
    <row r="46" spans="1:7">
      <c r="A46" s="423">
        <v>43374</v>
      </c>
      <c r="B46" s="461">
        <f t="shared" si="2"/>
        <v>63464</v>
      </c>
      <c r="C46" s="335"/>
      <c r="D46" s="462">
        <f t="shared" si="0"/>
        <v>-63464</v>
      </c>
      <c r="E46" s="463">
        <f t="shared" si="3"/>
        <v>235653</v>
      </c>
      <c r="F46" s="380"/>
      <c r="G46" s="367">
        <f t="shared" si="1"/>
        <v>-235653</v>
      </c>
    </row>
    <row r="47" spans="1:7">
      <c r="A47" s="593">
        <v>43739</v>
      </c>
      <c r="B47" s="461">
        <f t="shared" si="2"/>
        <v>0</v>
      </c>
      <c r="C47" s="335"/>
      <c r="D47" s="462">
        <f t="shared" si="0"/>
        <v>0</v>
      </c>
      <c r="E47" s="463">
        <f t="shared" si="3"/>
        <v>0</v>
      </c>
      <c r="F47" s="380"/>
      <c r="G47" s="594">
        <f t="shared" si="1"/>
        <v>0</v>
      </c>
    </row>
    <row r="48" spans="1:7">
      <c r="A48" s="593">
        <v>43740</v>
      </c>
      <c r="B48" s="461">
        <f t="shared" si="2"/>
        <v>0</v>
      </c>
      <c r="C48" s="335"/>
      <c r="D48" s="462">
        <f t="shared" si="0"/>
        <v>0</v>
      </c>
      <c r="E48" s="463">
        <f t="shared" si="3"/>
        <v>0</v>
      </c>
      <c r="F48" s="380"/>
      <c r="G48" s="594">
        <f t="shared" si="1"/>
        <v>0</v>
      </c>
    </row>
    <row r="49" spans="1:7">
      <c r="A49" s="593">
        <v>43741</v>
      </c>
      <c r="B49" s="461">
        <f t="shared" si="2"/>
        <v>0</v>
      </c>
      <c r="C49" s="335"/>
      <c r="D49" s="462">
        <f t="shared" si="0"/>
        <v>0</v>
      </c>
      <c r="E49" s="463">
        <f t="shared" si="3"/>
        <v>0</v>
      </c>
      <c r="F49" s="380"/>
      <c r="G49" s="594">
        <f t="shared" si="1"/>
        <v>0</v>
      </c>
    </row>
    <row r="50" spans="1:7">
      <c r="A50" s="593">
        <v>43742</v>
      </c>
      <c r="B50" s="461">
        <f t="shared" si="2"/>
        <v>0</v>
      </c>
      <c r="C50" s="335"/>
      <c r="D50" s="462">
        <f t="shared" si="0"/>
        <v>0</v>
      </c>
      <c r="E50" s="463">
        <f t="shared" si="3"/>
        <v>0</v>
      </c>
      <c r="F50" s="380"/>
      <c r="G50" s="594">
        <f t="shared" si="1"/>
        <v>0</v>
      </c>
    </row>
    <row r="51" spans="1:7">
      <c r="A51" s="593">
        <v>43743</v>
      </c>
      <c r="B51" s="461">
        <f t="shared" si="2"/>
        <v>0</v>
      </c>
      <c r="C51" s="335"/>
      <c r="D51" s="462">
        <f t="shared" si="0"/>
        <v>0</v>
      </c>
      <c r="E51" s="463">
        <f t="shared" si="3"/>
        <v>0</v>
      </c>
      <c r="F51" s="380"/>
      <c r="G51" s="594">
        <f t="shared" si="1"/>
        <v>0</v>
      </c>
    </row>
    <row r="52" spans="1:7">
      <c r="A52" s="593">
        <v>43744</v>
      </c>
      <c r="B52" s="461">
        <f t="shared" si="2"/>
        <v>0</v>
      </c>
      <c r="C52" s="335"/>
      <c r="D52" s="462">
        <f t="shared" si="0"/>
        <v>0</v>
      </c>
      <c r="E52" s="463">
        <f t="shared" si="3"/>
        <v>0</v>
      </c>
      <c r="F52" s="380"/>
      <c r="G52" s="594">
        <f t="shared" si="1"/>
        <v>0</v>
      </c>
    </row>
    <row r="53" spans="1:7">
      <c r="A53" s="593">
        <v>43745</v>
      </c>
      <c r="B53" s="461">
        <f t="shared" si="2"/>
        <v>0</v>
      </c>
      <c r="C53" s="335"/>
      <c r="D53" s="462">
        <f t="shared" si="0"/>
        <v>0</v>
      </c>
      <c r="E53" s="463">
        <f t="shared" si="3"/>
        <v>0</v>
      </c>
      <c r="F53" s="380"/>
      <c r="G53" s="594">
        <f t="shared" si="1"/>
        <v>0</v>
      </c>
    </row>
    <row r="54" spans="1:7">
      <c r="A54" s="593">
        <v>43746</v>
      </c>
      <c r="B54" s="461">
        <f t="shared" si="2"/>
        <v>0</v>
      </c>
      <c r="C54" s="335"/>
      <c r="D54" s="462">
        <f t="shared" si="0"/>
        <v>0</v>
      </c>
      <c r="E54" s="463">
        <f t="shared" si="3"/>
        <v>0</v>
      </c>
      <c r="F54" s="380"/>
      <c r="G54" s="594">
        <f t="shared" si="1"/>
        <v>0</v>
      </c>
    </row>
    <row r="55" spans="1:7">
      <c r="A55" s="593">
        <v>43747</v>
      </c>
      <c r="B55" s="461">
        <f t="shared" si="2"/>
        <v>0</v>
      </c>
      <c r="C55" s="6"/>
      <c r="D55" s="462">
        <f t="shared" si="0"/>
        <v>0</v>
      </c>
      <c r="E55" s="463">
        <f t="shared" si="3"/>
        <v>0</v>
      </c>
      <c r="F55" s="6"/>
      <c r="G55" s="594">
        <f t="shared" si="1"/>
        <v>0</v>
      </c>
    </row>
    <row r="56" spans="1:7">
      <c r="A56" s="593">
        <v>43748</v>
      </c>
      <c r="B56" s="461">
        <f t="shared" si="2"/>
        <v>0</v>
      </c>
      <c r="C56" s="6"/>
      <c r="D56" s="462">
        <f t="shared" si="0"/>
        <v>0</v>
      </c>
      <c r="E56" s="463">
        <f t="shared" si="3"/>
        <v>0</v>
      </c>
      <c r="F56" s="6"/>
      <c r="G56" s="594">
        <f t="shared" si="1"/>
        <v>0</v>
      </c>
    </row>
    <row r="57" spans="1:7">
      <c r="A57" s="593">
        <v>43749</v>
      </c>
      <c r="B57" s="461">
        <f t="shared" si="2"/>
        <v>0</v>
      </c>
      <c r="C57" s="6"/>
      <c r="D57" s="462">
        <f t="shared" si="0"/>
        <v>0</v>
      </c>
      <c r="E57" s="463">
        <f t="shared" si="3"/>
        <v>0</v>
      </c>
      <c r="F57" s="6"/>
      <c r="G57" s="594">
        <f t="shared" si="1"/>
        <v>0</v>
      </c>
    </row>
    <row r="58" spans="1:7">
      <c r="A58" s="593">
        <v>43750</v>
      </c>
      <c r="B58" s="461">
        <f t="shared" si="2"/>
        <v>0</v>
      </c>
      <c r="C58" s="6"/>
      <c r="D58" s="462">
        <f t="shared" si="0"/>
        <v>0</v>
      </c>
      <c r="E58" s="463">
        <f t="shared" si="3"/>
        <v>0</v>
      </c>
      <c r="F58" s="6"/>
      <c r="G58" s="594">
        <f t="shared" si="1"/>
        <v>0</v>
      </c>
    </row>
    <row r="59" spans="1:7">
      <c r="A59" s="593">
        <v>43751</v>
      </c>
      <c r="B59" s="461">
        <f t="shared" si="2"/>
        <v>0</v>
      </c>
      <c r="C59" s="6"/>
      <c r="D59" s="462">
        <f t="shared" si="0"/>
        <v>0</v>
      </c>
      <c r="E59" s="463">
        <f t="shared" si="3"/>
        <v>0</v>
      </c>
      <c r="F59" s="6"/>
      <c r="G59" s="594">
        <f t="shared" si="1"/>
        <v>0</v>
      </c>
    </row>
    <row r="60" spans="1:7">
      <c r="A60" s="593">
        <v>43752</v>
      </c>
      <c r="B60" s="461">
        <f t="shared" si="2"/>
        <v>0</v>
      </c>
      <c r="C60" s="6"/>
      <c r="D60" s="462">
        <f t="shared" si="0"/>
        <v>0</v>
      </c>
      <c r="E60" s="463">
        <f t="shared" si="3"/>
        <v>0</v>
      </c>
      <c r="F60" s="6"/>
      <c r="G60" s="594">
        <f t="shared" si="1"/>
        <v>0</v>
      </c>
    </row>
    <row r="61" spans="1:7">
      <c r="A61" s="593">
        <v>43753</v>
      </c>
      <c r="B61" s="461">
        <f t="shared" si="2"/>
        <v>0</v>
      </c>
      <c r="C61" s="6"/>
      <c r="D61" s="462">
        <f t="shared" si="0"/>
        <v>0</v>
      </c>
      <c r="E61" s="463">
        <f t="shared" si="3"/>
        <v>0</v>
      </c>
      <c r="F61" s="6"/>
      <c r="G61" s="594">
        <f t="shared" si="1"/>
        <v>0</v>
      </c>
    </row>
    <row r="62" spans="1:7">
      <c r="A62" s="593">
        <v>43754</v>
      </c>
      <c r="B62" s="461">
        <f t="shared" si="2"/>
        <v>0</v>
      </c>
      <c r="C62" s="6"/>
      <c r="D62" s="462">
        <f t="shared" si="0"/>
        <v>0</v>
      </c>
      <c r="E62" s="463">
        <f t="shared" si="3"/>
        <v>0</v>
      </c>
      <c r="F62" s="6"/>
      <c r="G62" s="594">
        <f t="shared" si="1"/>
        <v>0</v>
      </c>
    </row>
    <row r="63" spans="1:7">
      <c r="A63" s="593">
        <v>43755</v>
      </c>
      <c r="B63" s="461">
        <f t="shared" si="2"/>
        <v>0</v>
      </c>
      <c r="C63" s="6"/>
      <c r="D63" s="462">
        <f t="shared" si="0"/>
        <v>0</v>
      </c>
      <c r="E63" s="463">
        <f t="shared" si="3"/>
        <v>0</v>
      </c>
      <c r="F63" s="6"/>
      <c r="G63" s="594">
        <f t="shared" si="1"/>
        <v>0</v>
      </c>
    </row>
    <row r="64" spans="1:7">
      <c r="A64" s="593">
        <v>43756</v>
      </c>
      <c r="B64" s="461">
        <f t="shared" si="2"/>
        <v>0</v>
      </c>
      <c r="C64" s="6"/>
      <c r="D64" s="462">
        <f t="shared" si="0"/>
        <v>0</v>
      </c>
      <c r="E64" s="463">
        <f t="shared" si="3"/>
        <v>0</v>
      </c>
      <c r="F64" s="6"/>
      <c r="G64" s="594">
        <f t="shared" si="1"/>
        <v>0</v>
      </c>
    </row>
    <row r="65" spans="1:7">
      <c r="A65" s="593">
        <v>43757</v>
      </c>
      <c r="B65" s="461">
        <f t="shared" si="2"/>
        <v>0</v>
      </c>
      <c r="C65" s="6"/>
      <c r="D65" s="462">
        <f t="shared" si="0"/>
        <v>0</v>
      </c>
      <c r="E65" s="463">
        <f t="shared" si="3"/>
        <v>0</v>
      </c>
      <c r="F65" s="6"/>
      <c r="G65" s="594">
        <f t="shared" si="1"/>
        <v>0</v>
      </c>
    </row>
    <row r="66" spans="1:7">
      <c r="A66" s="593">
        <v>43758</v>
      </c>
      <c r="B66" s="461">
        <f t="shared" si="2"/>
        <v>0</v>
      </c>
      <c r="C66" s="6"/>
      <c r="D66" s="462">
        <f t="shared" si="0"/>
        <v>0</v>
      </c>
      <c r="E66" s="463">
        <f t="shared" si="3"/>
        <v>0</v>
      </c>
      <c r="F66" s="6"/>
      <c r="G66" s="594">
        <f t="shared" si="1"/>
        <v>0</v>
      </c>
    </row>
    <row r="67" spans="1:7">
      <c r="A67" s="593">
        <v>43759</v>
      </c>
      <c r="B67" s="461">
        <f t="shared" si="2"/>
        <v>0</v>
      </c>
      <c r="C67" s="6"/>
      <c r="D67" s="462">
        <f t="shared" si="0"/>
        <v>0</v>
      </c>
      <c r="E67" s="463">
        <f t="shared" si="3"/>
        <v>0</v>
      </c>
      <c r="F67" s="6"/>
      <c r="G67" s="594">
        <f t="shared" si="1"/>
        <v>0</v>
      </c>
    </row>
    <row r="68" spans="1:7">
      <c r="A68" s="593">
        <v>43760</v>
      </c>
      <c r="B68" s="461">
        <f t="shared" si="2"/>
        <v>0</v>
      </c>
      <c r="C68" s="6"/>
      <c r="D68" s="462">
        <f t="shared" si="0"/>
        <v>0</v>
      </c>
      <c r="E68" s="463">
        <f t="shared" si="3"/>
        <v>0</v>
      </c>
      <c r="F68" s="6"/>
      <c r="G68" s="594">
        <f t="shared" si="1"/>
        <v>0</v>
      </c>
    </row>
    <row r="69" spans="1:7">
      <c r="A69" s="593">
        <v>43761</v>
      </c>
      <c r="B69" s="461">
        <f t="shared" si="2"/>
        <v>0</v>
      </c>
      <c r="C69" s="6"/>
      <c r="D69" s="462">
        <f t="shared" ref="D69:D77" si="4">C69-B69</f>
        <v>0</v>
      </c>
      <c r="E69" s="463">
        <f t="shared" si="3"/>
        <v>0</v>
      </c>
      <c r="F69" s="6"/>
      <c r="G69" s="594">
        <f t="shared" ref="G69:G77" si="5">F69-E69</f>
        <v>0</v>
      </c>
    </row>
    <row r="70" spans="1:7">
      <c r="A70" s="593">
        <v>43762</v>
      </c>
      <c r="B70" s="461">
        <f t="shared" ref="B70:B77" si="6">C69</f>
        <v>0</v>
      </c>
      <c r="C70" s="6"/>
      <c r="D70" s="462">
        <f t="shared" si="4"/>
        <v>0</v>
      </c>
      <c r="E70" s="463">
        <f t="shared" si="3"/>
        <v>0</v>
      </c>
      <c r="F70" s="6"/>
      <c r="G70" s="594">
        <f t="shared" si="5"/>
        <v>0</v>
      </c>
    </row>
    <row r="71" spans="1:7">
      <c r="A71" s="593">
        <v>43763</v>
      </c>
      <c r="B71" s="461">
        <f t="shared" si="6"/>
        <v>0</v>
      </c>
      <c r="C71" s="6"/>
      <c r="D71" s="462">
        <f t="shared" si="4"/>
        <v>0</v>
      </c>
      <c r="E71" s="463">
        <f t="shared" si="3"/>
        <v>0</v>
      </c>
      <c r="F71" s="6"/>
      <c r="G71" s="594">
        <f t="shared" si="5"/>
        <v>0</v>
      </c>
    </row>
    <row r="72" spans="1:7">
      <c r="A72" s="593">
        <v>43764</v>
      </c>
      <c r="B72" s="461">
        <f t="shared" si="6"/>
        <v>0</v>
      </c>
      <c r="C72" s="6"/>
      <c r="D72" s="462">
        <f t="shared" si="4"/>
        <v>0</v>
      </c>
      <c r="E72" s="463">
        <f t="shared" ref="E72:E77" si="7">F71</f>
        <v>0</v>
      </c>
      <c r="F72" s="6"/>
      <c r="G72" s="594">
        <f t="shared" si="5"/>
        <v>0</v>
      </c>
    </row>
    <row r="73" spans="1:7">
      <c r="A73" s="593">
        <v>43765</v>
      </c>
      <c r="B73" s="461">
        <f t="shared" si="6"/>
        <v>0</v>
      </c>
      <c r="C73" s="6"/>
      <c r="D73" s="462">
        <f t="shared" si="4"/>
        <v>0</v>
      </c>
      <c r="E73" s="463">
        <f t="shared" si="7"/>
        <v>0</v>
      </c>
      <c r="F73" s="6"/>
      <c r="G73" s="594">
        <f t="shared" si="5"/>
        <v>0</v>
      </c>
    </row>
    <row r="74" spans="1:7">
      <c r="A74" s="593">
        <v>43766</v>
      </c>
      <c r="B74" s="461">
        <f t="shared" si="6"/>
        <v>0</v>
      </c>
      <c r="C74" s="6"/>
      <c r="D74" s="462">
        <f t="shared" si="4"/>
        <v>0</v>
      </c>
      <c r="E74" s="463">
        <f t="shared" si="7"/>
        <v>0</v>
      </c>
      <c r="F74" s="6"/>
      <c r="G74" s="594">
        <f t="shared" si="5"/>
        <v>0</v>
      </c>
    </row>
    <row r="75" spans="1:7">
      <c r="A75" s="593">
        <v>43767</v>
      </c>
      <c r="B75" s="461">
        <f t="shared" si="6"/>
        <v>0</v>
      </c>
      <c r="C75" s="6"/>
      <c r="D75" s="462">
        <f t="shared" si="4"/>
        <v>0</v>
      </c>
      <c r="E75" s="463">
        <f t="shared" si="7"/>
        <v>0</v>
      </c>
      <c r="F75" s="6"/>
      <c r="G75" s="594">
        <f t="shared" si="5"/>
        <v>0</v>
      </c>
    </row>
    <row r="76" spans="1:7">
      <c r="A76" s="593">
        <v>43768</v>
      </c>
      <c r="B76" s="461">
        <f t="shared" si="6"/>
        <v>0</v>
      </c>
      <c r="C76" s="6"/>
      <c r="D76" s="462">
        <f t="shared" si="4"/>
        <v>0</v>
      </c>
      <c r="E76" s="463">
        <f t="shared" si="7"/>
        <v>0</v>
      </c>
      <c r="F76" s="6"/>
      <c r="G76" s="594">
        <f t="shared" si="5"/>
        <v>0</v>
      </c>
    </row>
    <row r="77" spans="1:7">
      <c r="A77" s="593">
        <v>43769</v>
      </c>
      <c r="B77" s="461">
        <f t="shared" si="6"/>
        <v>0</v>
      </c>
      <c r="C77" s="6"/>
      <c r="D77" s="462">
        <f t="shared" si="4"/>
        <v>0</v>
      </c>
      <c r="E77" s="463">
        <f t="shared" si="7"/>
        <v>0</v>
      </c>
      <c r="F77" s="6"/>
      <c r="G77" s="594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69"/>
  <sheetViews>
    <sheetView topLeftCell="A16" workbookViewId="0">
      <selection activeCell="J48" sqref="J48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82" t="s">
        <v>233</v>
      </c>
      <c r="B1" s="883"/>
      <c r="C1" s="883"/>
      <c r="D1" s="883"/>
      <c r="G1" s="385"/>
      <c r="H1" s="386" t="s">
        <v>234</v>
      </c>
      <c r="I1" s="386"/>
      <c r="J1" s="385"/>
      <c r="K1" s="385"/>
    </row>
    <row r="2" spans="1:12" ht="39" thickBot="1">
      <c r="A2" s="361" t="s">
        <v>7</v>
      </c>
      <c r="B2" s="362" t="s">
        <v>179</v>
      </c>
      <c r="C2" s="363" t="s">
        <v>180</v>
      </c>
      <c r="D2" s="364" t="s">
        <v>197</v>
      </c>
      <c r="E2" s="364" t="s">
        <v>239</v>
      </c>
      <c r="F2" s="384" t="s">
        <v>217</v>
      </c>
      <c r="G2" s="387" t="s">
        <v>235</v>
      </c>
      <c r="H2" s="387" t="s">
        <v>236</v>
      </c>
      <c r="I2" s="409" t="s">
        <v>237</v>
      </c>
      <c r="J2" s="387" t="s">
        <v>238</v>
      </c>
      <c r="K2" s="387" t="s">
        <v>217</v>
      </c>
      <c r="L2" s="409" t="s">
        <v>198</v>
      </c>
    </row>
    <row r="3" spans="1:12">
      <c r="A3" s="365">
        <v>42430</v>
      </c>
      <c r="B3" s="491">
        <v>5000778</v>
      </c>
      <c r="C3" s="492">
        <v>5057715</v>
      </c>
      <c r="D3" s="493">
        <f>C3-B3</f>
        <v>56937</v>
      </c>
      <c r="E3" s="494"/>
      <c r="F3" s="449"/>
      <c r="G3" s="388">
        <f>H3</f>
        <v>0</v>
      </c>
      <c r="H3" s="6"/>
      <c r="I3" s="379">
        <f>H3-G3</f>
        <v>0</v>
      </c>
      <c r="J3" s="6"/>
      <c r="K3" s="389">
        <f>I3-J3</f>
        <v>0</v>
      </c>
      <c r="L3" s="450"/>
    </row>
    <row r="4" spans="1:12">
      <c r="A4" s="332">
        <v>42461</v>
      </c>
      <c r="B4" s="451">
        <f>C3</f>
        <v>5057715</v>
      </c>
      <c r="C4" s="335">
        <v>5111496</v>
      </c>
      <c r="D4" s="367">
        <f t="shared" ref="D4:D54" si="0">C4-B4</f>
        <v>53781</v>
      </c>
      <c r="E4" s="494"/>
      <c r="F4" s="449"/>
      <c r="G4" s="388">
        <f>H3</f>
        <v>0</v>
      </c>
      <c r="H4" s="6"/>
      <c r="I4" s="379">
        <f t="shared" ref="I4:I54" si="1">H4-G4</f>
        <v>0</v>
      </c>
      <c r="J4" s="6"/>
      <c r="K4" s="389">
        <f t="shared" ref="K4:K54" si="2">I4-J4</f>
        <v>0</v>
      </c>
      <c r="L4" s="450"/>
    </row>
    <row r="5" spans="1:12">
      <c r="A5" s="332">
        <v>42491</v>
      </c>
      <c r="B5" s="451">
        <f t="shared" ref="B5:B54" si="3">C4</f>
        <v>5111496</v>
      </c>
      <c r="C5" s="335">
        <v>5169409</v>
      </c>
      <c r="D5" s="367">
        <f t="shared" si="0"/>
        <v>57913</v>
      </c>
      <c r="E5" s="494"/>
      <c r="F5" s="449"/>
      <c r="G5" s="388">
        <f t="shared" ref="G5:G54" si="4">H4</f>
        <v>0</v>
      </c>
      <c r="H5" s="6"/>
      <c r="I5" s="379">
        <f t="shared" si="1"/>
        <v>0</v>
      </c>
      <c r="J5" s="6"/>
      <c r="K5" s="389">
        <f t="shared" si="2"/>
        <v>0</v>
      </c>
      <c r="L5" s="450"/>
    </row>
    <row r="6" spans="1:12">
      <c r="A6" s="332">
        <v>42522</v>
      </c>
      <c r="B6" s="451">
        <f t="shared" si="3"/>
        <v>5169409</v>
      </c>
      <c r="C6" s="335">
        <v>5232162</v>
      </c>
      <c r="D6" s="367">
        <f t="shared" si="0"/>
        <v>62753</v>
      </c>
      <c r="E6" s="494"/>
      <c r="F6" s="449"/>
      <c r="G6" s="388">
        <f t="shared" si="4"/>
        <v>0</v>
      </c>
      <c r="H6" s="6"/>
      <c r="I6" s="379">
        <f t="shared" si="1"/>
        <v>0</v>
      </c>
      <c r="J6" s="6"/>
      <c r="K6" s="389">
        <f t="shared" si="2"/>
        <v>0</v>
      </c>
      <c r="L6" s="450"/>
    </row>
    <row r="7" spans="1:12">
      <c r="A7" s="332">
        <v>42552</v>
      </c>
      <c r="B7" s="451">
        <f t="shared" si="3"/>
        <v>5232162</v>
      </c>
      <c r="C7" s="335">
        <v>5310037</v>
      </c>
      <c r="D7" s="367">
        <f t="shared" si="0"/>
        <v>77875</v>
      </c>
      <c r="E7" s="494"/>
      <c r="F7" s="449"/>
      <c r="G7" s="388">
        <f t="shared" si="4"/>
        <v>0</v>
      </c>
      <c r="H7" s="6"/>
      <c r="I7" s="379">
        <f t="shared" si="1"/>
        <v>0</v>
      </c>
      <c r="J7" s="6"/>
      <c r="K7" s="389">
        <f t="shared" si="2"/>
        <v>0</v>
      </c>
      <c r="L7" s="450"/>
    </row>
    <row r="8" spans="1:12">
      <c r="A8" s="332">
        <v>42583</v>
      </c>
      <c r="B8" s="451">
        <f t="shared" si="3"/>
        <v>5310037</v>
      </c>
      <c r="C8" s="335">
        <v>5382821</v>
      </c>
      <c r="D8" s="367">
        <f t="shared" si="0"/>
        <v>72784</v>
      </c>
      <c r="E8" s="494">
        <f>[6]Gen!AR45</f>
        <v>72766</v>
      </c>
      <c r="F8" s="449">
        <f t="shared" ref="F8:F54" si="5">D8-E8</f>
        <v>18</v>
      </c>
      <c r="G8" s="388">
        <f t="shared" si="4"/>
        <v>0</v>
      </c>
      <c r="H8" s="6"/>
      <c r="I8" s="379">
        <f t="shared" si="1"/>
        <v>0</v>
      </c>
      <c r="J8" s="6"/>
      <c r="K8" s="389">
        <f t="shared" si="2"/>
        <v>0</v>
      </c>
      <c r="L8" s="450"/>
    </row>
    <row r="9" spans="1:12">
      <c r="A9" s="332">
        <v>42614</v>
      </c>
      <c r="B9" s="451">
        <f t="shared" si="3"/>
        <v>5382821</v>
      </c>
      <c r="C9" s="335">
        <v>5446740</v>
      </c>
      <c r="D9" s="367">
        <f t="shared" si="0"/>
        <v>63919</v>
      </c>
      <c r="E9" s="494">
        <f>[7]Gen!AR45</f>
        <v>64036.499999999993</v>
      </c>
      <c r="F9" s="449">
        <f t="shared" si="5"/>
        <v>-117.49999999999272</v>
      </c>
      <c r="G9" s="388">
        <f t="shared" si="4"/>
        <v>0</v>
      </c>
      <c r="H9" s="6"/>
      <c r="I9" s="379">
        <f t="shared" si="1"/>
        <v>0</v>
      </c>
      <c r="J9" s="6"/>
      <c r="K9" s="389">
        <f t="shared" si="2"/>
        <v>0</v>
      </c>
      <c r="L9" s="450"/>
    </row>
    <row r="10" spans="1:12">
      <c r="A10" s="332">
        <v>42644</v>
      </c>
      <c r="B10" s="451">
        <f t="shared" si="3"/>
        <v>5446740</v>
      </c>
      <c r="C10" s="335">
        <v>5521440</v>
      </c>
      <c r="D10" s="367">
        <f t="shared" si="0"/>
        <v>74700</v>
      </c>
      <c r="E10" s="495">
        <v>76057.09</v>
      </c>
      <c r="F10" s="449">
        <f t="shared" si="5"/>
        <v>-1357.0899999999965</v>
      </c>
      <c r="G10" s="388">
        <f t="shared" si="4"/>
        <v>0</v>
      </c>
      <c r="H10" s="6"/>
      <c r="I10" s="379">
        <f t="shared" si="1"/>
        <v>0</v>
      </c>
      <c r="J10" s="6"/>
      <c r="K10" s="389">
        <f t="shared" si="2"/>
        <v>0</v>
      </c>
      <c r="L10" s="450"/>
    </row>
    <row r="11" spans="1:12">
      <c r="A11" s="332">
        <v>42675</v>
      </c>
      <c r="B11" s="451">
        <f t="shared" si="3"/>
        <v>5521440</v>
      </c>
      <c r="C11" s="335">
        <v>5594926</v>
      </c>
      <c r="D11" s="367">
        <f t="shared" si="0"/>
        <v>73486</v>
      </c>
      <c r="E11" s="495">
        <v>73462.489999999991</v>
      </c>
      <c r="F11" s="449">
        <f t="shared" si="5"/>
        <v>23.510000000009313</v>
      </c>
      <c r="G11" s="388">
        <f t="shared" si="4"/>
        <v>0</v>
      </c>
      <c r="H11" s="6"/>
      <c r="I11" s="379">
        <f t="shared" si="1"/>
        <v>0</v>
      </c>
      <c r="J11" s="6"/>
      <c r="K11" s="389">
        <f t="shared" si="2"/>
        <v>0</v>
      </c>
      <c r="L11" s="450"/>
    </row>
    <row r="12" spans="1:12">
      <c r="A12" s="332">
        <v>42705</v>
      </c>
      <c r="B12" s="451">
        <f t="shared" si="3"/>
        <v>5594926</v>
      </c>
      <c r="C12" s="335">
        <v>5670348</v>
      </c>
      <c r="D12" s="367">
        <f t="shared" si="0"/>
        <v>75422</v>
      </c>
      <c r="E12" s="494">
        <v>75421.2</v>
      </c>
      <c r="F12" s="449">
        <f t="shared" si="5"/>
        <v>0.80000000000291038</v>
      </c>
      <c r="G12" s="388">
        <f t="shared" si="4"/>
        <v>0</v>
      </c>
      <c r="H12" s="6"/>
      <c r="I12" s="379">
        <f t="shared" si="1"/>
        <v>0</v>
      </c>
      <c r="J12" s="6"/>
      <c r="K12" s="389">
        <f t="shared" si="2"/>
        <v>0</v>
      </c>
      <c r="L12" s="450"/>
    </row>
    <row r="13" spans="1:12">
      <c r="A13" s="332">
        <v>42736</v>
      </c>
      <c r="B13" s="451">
        <f t="shared" si="3"/>
        <v>5670348</v>
      </c>
      <c r="C13" s="335">
        <v>5735627</v>
      </c>
      <c r="D13" s="367">
        <f t="shared" si="0"/>
        <v>65279</v>
      </c>
      <c r="E13" s="494">
        <v>65276.07</v>
      </c>
      <c r="F13" s="449">
        <f t="shared" si="5"/>
        <v>2.930000000000291</v>
      </c>
      <c r="G13" s="388">
        <f t="shared" si="4"/>
        <v>0</v>
      </c>
      <c r="H13" s="6"/>
      <c r="I13" s="379">
        <f t="shared" si="1"/>
        <v>0</v>
      </c>
      <c r="J13" s="6"/>
      <c r="K13" s="389">
        <f t="shared" si="2"/>
        <v>0</v>
      </c>
      <c r="L13" s="450"/>
    </row>
    <row r="14" spans="1:12">
      <c r="A14" s="332">
        <v>42767</v>
      </c>
      <c r="B14" s="451">
        <f t="shared" si="3"/>
        <v>5735627</v>
      </c>
      <c r="C14" s="335">
        <v>5797781</v>
      </c>
      <c r="D14" s="367">
        <f t="shared" si="0"/>
        <v>62154</v>
      </c>
      <c r="E14" s="494">
        <v>62154.9</v>
      </c>
      <c r="F14" s="449">
        <f t="shared" si="5"/>
        <v>-0.90000000000145519</v>
      </c>
      <c r="G14" s="388">
        <f t="shared" si="4"/>
        <v>0</v>
      </c>
      <c r="H14" s="6"/>
      <c r="I14" s="379">
        <f t="shared" si="1"/>
        <v>0</v>
      </c>
      <c r="J14" s="6"/>
      <c r="K14" s="389">
        <f t="shared" si="2"/>
        <v>0</v>
      </c>
      <c r="L14" s="450"/>
    </row>
    <row r="15" spans="1:12">
      <c r="A15" s="332">
        <v>42795</v>
      </c>
      <c r="B15" s="451">
        <f t="shared" si="3"/>
        <v>5797781</v>
      </c>
      <c r="C15" s="335">
        <v>5864602</v>
      </c>
      <c r="D15" s="367">
        <f t="shared" si="0"/>
        <v>66821</v>
      </c>
      <c r="E15" s="496">
        <v>66820.89</v>
      </c>
      <c r="F15" s="449">
        <f t="shared" si="5"/>
        <v>0.11000000000058208</v>
      </c>
      <c r="G15" s="388">
        <f t="shared" si="4"/>
        <v>0</v>
      </c>
      <c r="H15" s="6"/>
      <c r="I15" s="379">
        <f t="shared" si="1"/>
        <v>0</v>
      </c>
      <c r="J15" s="6"/>
      <c r="K15" s="389">
        <f t="shared" si="2"/>
        <v>0</v>
      </c>
      <c r="L15" s="450"/>
    </row>
    <row r="16" spans="1:12">
      <c r="A16" s="332">
        <v>42826</v>
      </c>
      <c r="B16" s="451">
        <f t="shared" si="3"/>
        <v>5864602</v>
      </c>
      <c r="C16" s="380">
        <v>5927895</v>
      </c>
      <c r="D16" s="367">
        <f t="shared" si="0"/>
        <v>63293</v>
      </c>
      <c r="E16" s="494">
        <v>63292.38</v>
      </c>
      <c r="F16" s="449">
        <f t="shared" si="5"/>
        <v>0.62000000000261934</v>
      </c>
      <c r="G16" s="388">
        <f t="shared" si="4"/>
        <v>0</v>
      </c>
      <c r="H16" s="6"/>
      <c r="I16" s="379">
        <f t="shared" si="1"/>
        <v>0</v>
      </c>
      <c r="J16" s="6"/>
      <c r="K16" s="389">
        <f t="shared" si="2"/>
        <v>0</v>
      </c>
      <c r="L16" s="450"/>
    </row>
    <row r="17" spans="1:12">
      <c r="A17" s="332">
        <v>42856</v>
      </c>
      <c r="B17" s="451">
        <f t="shared" si="3"/>
        <v>5927895</v>
      </c>
      <c r="C17" s="335">
        <v>5995212</v>
      </c>
      <c r="D17" s="367">
        <f t="shared" si="0"/>
        <v>67317</v>
      </c>
      <c r="E17" s="494">
        <v>67313.47</v>
      </c>
      <c r="F17" s="449">
        <f t="shared" si="5"/>
        <v>3.5299999999988358</v>
      </c>
      <c r="G17" s="388">
        <f t="shared" si="4"/>
        <v>0</v>
      </c>
      <c r="H17" s="6"/>
      <c r="I17" s="379">
        <f t="shared" si="1"/>
        <v>0</v>
      </c>
      <c r="J17" s="6"/>
      <c r="K17" s="389">
        <f t="shared" si="2"/>
        <v>0</v>
      </c>
      <c r="L17" s="450"/>
    </row>
    <row r="18" spans="1:12">
      <c r="A18" s="332">
        <v>42887</v>
      </c>
      <c r="B18" s="451">
        <f t="shared" si="3"/>
        <v>5995212</v>
      </c>
      <c r="C18" s="335">
        <v>6065754</v>
      </c>
      <c r="D18" s="367">
        <f t="shared" si="0"/>
        <v>70542</v>
      </c>
      <c r="E18" s="494">
        <v>70542.600000000006</v>
      </c>
      <c r="F18" s="449">
        <f t="shared" si="5"/>
        <v>-0.60000000000582077</v>
      </c>
      <c r="G18" s="388">
        <f t="shared" si="4"/>
        <v>0</v>
      </c>
      <c r="H18" s="6"/>
      <c r="I18" s="379">
        <f t="shared" si="1"/>
        <v>0</v>
      </c>
      <c r="J18" s="335"/>
      <c r="K18" s="389">
        <f t="shared" si="2"/>
        <v>0</v>
      </c>
      <c r="L18" s="450"/>
    </row>
    <row r="19" spans="1:12">
      <c r="A19" s="332">
        <v>42917</v>
      </c>
      <c r="B19" s="451">
        <f t="shared" si="3"/>
        <v>6065754</v>
      </c>
      <c r="C19" s="335">
        <v>6141089</v>
      </c>
      <c r="D19" s="367">
        <f t="shared" si="0"/>
        <v>75335</v>
      </c>
      <c r="E19" s="494">
        <v>75335</v>
      </c>
      <c r="F19" s="452">
        <f t="shared" si="5"/>
        <v>0</v>
      </c>
      <c r="G19" s="388">
        <v>2442</v>
      </c>
      <c r="H19" s="335">
        <v>15003</v>
      </c>
      <c r="I19" s="379">
        <f t="shared" si="1"/>
        <v>12561</v>
      </c>
      <c r="J19" s="335"/>
      <c r="K19" s="389">
        <f t="shared" si="2"/>
        <v>12561</v>
      </c>
      <c r="L19" s="450"/>
    </row>
    <row r="20" spans="1:12">
      <c r="A20" s="332">
        <v>42948</v>
      </c>
      <c r="B20" s="451">
        <f t="shared" si="3"/>
        <v>6141089</v>
      </c>
      <c r="C20" s="335">
        <v>6212470</v>
      </c>
      <c r="D20" s="367">
        <f t="shared" si="0"/>
        <v>71381</v>
      </c>
      <c r="E20" s="494">
        <v>71379.899999999994</v>
      </c>
      <c r="F20" s="452">
        <f t="shared" si="5"/>
        <v>1.1000000000058208</v>
      </c>
      <c r="G20" s="388">
        <f t="shared" si="4"/>
        <v>15003</v>
      </c>
      <c r="H20" s="335">
        <v>25033</v>
      </c>
      <c r="I20" s="379">
        <f t="shared" si="1"/>
        <v>10030</v>
      </c>
      <c r="J20" s="335">
        <v>10029.74</v>
      </c>
      <c r="K20" s="389">
        <f t="shared" si="2"/>
        <v>0.26000000000021828</v>
      </c>
      <c r="L20" s="450">
        <f>I20+D20</f>
        <v>81411</v>
      </c>
    </row>
    <row r="21" spans="1:12">
      <c r="A21" s="332">
        <v>42979</v>
      </c>
      <c r="B21" s="451">
        <f t="shared" si="3"/>
        <v>6212470</v>
      </c>
      <c r="C21" s="380">
        <v>6276921</v>
      </c>
      <c r="D21" s="367">
        <f t="shared" si="0"/>
        <v>64451</v>
      </c>
      <c r="E21" s="497">
        <v>64450.62</v>
      </c>
      <c r="F21" s="452">
        <f t="shared" si="5"/>
        <v>0.37999999999738066</v>
      </c>
      <c r="G21" s="388">
        <f t="shared" si="4"/>
        <v>25033</v>
      </c>
      <c r="H21" s="380">
        <v>32815</v>
      </c>
      <c r="I21" s="379">
        <f t="shared" si="1"/>
        <v>7782</v>
      </c>
      <c r="J21" s="380">
        <v>7781.72</v>
      </c>
      <c r="K21" s="389">
        <f t="shared" si="2"/>
        <v>0.27999999999974534</v>
      </c>
      <c r="L21" s="450">
        <f t="shared" ref="L21:L54" si="6">I21+D21</f>
        <v>72233</v>
      </c>
    </row>
    <row r="22" spans="1:12">
      <c r="A22" s="332">
        <v>43009</v>
      </c>
      <c r="B22" s="451">
        <f t="shared" si="3"/>
        <v>6276921</v>
      </c>
      <c r="C22" s="380">
        <v>6352831</v>
      </c>
      <c r="D22" s="367">
        <f t="shared" si="0"/>
        <v>75910</v>
      </c>
      <c r="E22" s="497">
        <v>75906.789999999994</v>
      </c>
      <c r="F22" s="452">
        <f t="shared" si="5"/>
        <v>3.2100000000064028</v>
      </c>
      <c r="G22" s="388">
        <f t="shared" si="4"/>
        <v>32815</v>
      </c>
      <c r="H22" s="380">
        <v>39587</v>
      </c>
      <c r="I22" s="379">
        <f t="shared" si="1"/>
        <v>6772</v>
      </c>
      <c r="J22" s="380">
        <v>6772.04</v>
      </c>
      <c r="K22" s="389">
        <f t="shared" si="2"/>
        <v>-3.999999999996362E-2</v>
      </c>
      <c r="L22" s="450">
        <f t="shared" si="6"/>
        <v>82682</v>
      </c>
    </row>
    <row r="23" spans="1:12">
      <c r="A23" s="332">
        <v>43040</v>
      </c>
      <c r="B23" s="451">
        <f t="shared" si="3"/>
        <v>6352831</v>
      </c>
      <c r="C23" s="380">
        <v>6410003</v>
      </c>
      <c r="D23" s="367">
        <f t="shared" si="0"/>
        <v>57172</v>
      </c>
      <c r="E23" s="497">
        <v>57171.51</v>
      </c>
      <c r="F23" s="452">
        <f t="shared" si="5"/>
        <v>0.48999999999796273</v>
      </c>
      <c r="G23" s="388">
        <f t="shared" si="4"/>
        <v>39587</v>
      </c>
      <c r="H23" s="380">
        <v>45717</v>
      </c>
      <c r="I23" s="379">
        <f t="shared" si="1"/>
        <v>6130</v>
      </c>
      <c r="J23" s="380">
        <v>6129.55</v>
      </c>
      <c r="K23" s="389">
        <f t="shared" si="2"/>
        <v>0.4499999999998181</v>
      </c>
      <c r="L23" s="450">
        <f t="shared" si="6"/>
        <v>63302</v>
      </c>
    </row>
    <row r="24" spans="1:12">
      <c r="A24" s="332">
        <v>43070</v>
      </c>
      <c r="B24" s="451">
        <f t="shared" si="3"/>
        <v>6410003</v>
      </c>
      <c r="C24" s="335">
        <v>6476953</v>
      </c>
      <c r="D24" s="367">
        <f t="shared" si="0"/>
        <v>66950</v>
      </c>
      <c r="E24" s="494">
        <v>66951.14</v>
      </c>
      <c r="F24" s="452">
        <f t="shared" si="5"/>
        <v>-1.1399999999994179</v>
      </c>
      <c r="G24" s="388">
        <f t="shared" si="4"/>
        <v>45717</v>
      </c>
      <c r="H24" s="335">
        <v>52890</v>
      </c>
      <c r="I24" s="379">
        <f t="shared" si="1"/>
        <v>7173</v>
      </c>
      <c r="J24" s="335">
        <v>7173.94</v>
      </c>
      <c r="K24" s="389">
        <f t="shared" si="2"/>
        <v>-0.93999999999959982</v>
      </c>
      <c r="L24" s="450">
        <f t="shared" si="6"/>
        <v>74123</v>
      </c>
    </row>
    <row r="25" spans="1:12">
      <c r="A25" s="332">
        <v>43101</v>
      </c>
      <c r="B25" s="451">
        <f t="shared" si="3"/>
        <v>6476953</v>
      </c>
      <c r="C25" s="335">
        <v>6542879</v>
      </c>
      <c r="D25" s="367">
        <f t="shared" si="0"/>
        <v>65926</v>
      </c>
      <c r="E25" s="494">
        <v>65927.77</v>
      </c>
      <c r="F25" s="452">
        <f t="shared" si="5"/>
        <v>-1.7700000000040745</v>
      </c>
      <c r="G25" s="388">
        <f t="shared" si="4"/>
        <v>52890</v>
      </c>
      <c r="H25" s="335">
        <v>59763</v>
      </c>
      <c r="I25" s="379">
        <f t="shared" si="1"/>
        <v>6873</v>
      </c>
      <c r="J25" s="335">
        <v>6874.87</v>
      </c>
      <c r="K25" s="389">
        <f t="shared" si="2"/>
        <v>-1.8699999999998909</v>
      </c>
      <c r="L25" s="450">
        <f t="shared" si="6"/>
        <v>72799</v>
      </c>
    </row>
    <row r="26" spans="1:12">
      <c r="A26" s="332">
        <v>43132</v>
      </c>
      <c r="B26" s="451">
        <f t="shared" si="3"/>
        <v>6542879</v>
      </c>
      <c r="C26" s="335">
        <v>6604433</v>
      </c>
      <c r="D26" s="367">
        <f t="shared" si="0"/>
        <v>61554</v>
      </c>
      <c r="E26" s="498">
        <v>61553.03</v>
      </c>
      <c r="F26" s="452">
        <f t="shared" si="5"/>
        <v>0.97000000000116415</v>
      </c>
      <c r="G26" s="388">
        <f t="shared" si="4"/>
        <v>59763</v>
      </c>
      <c r="H26" s="335">
        <v>66652</v>
      </c>
      <c r="I26" s="379">
        <f t="shared" si="1"/>
        <v>6889</v>
      </c>
      <c r="J26" s="335">
        <v>6890.89</v>
      </c>
      <c r="K26" s="389">
        <f t="shared" si="2"/>
        <v>-1.8900000000003274</v>
      </c>
      <c r="L26" s="450">
        <f t="shared" si="6"/>
        <v>68443</v>
      </c>
    </row>
    <row r="27" spans="1:12">
      <c r="A27" s="332">
        <v>43160</v>
      </c>
      <c r="B27" s="451">
        <f t="shared" si="3"/>
        <v>6604433</v>
      </c>
      <c r="C27" s="380">
        <v>6660226</v>
      </c>
      <c r="D27" s="367">
        <f t="shared" si="0"/>
        <v>55793</v>
      </c>
      <c r="E27" s="497">
        <v>55792.75</v>
      </c>
      <c r="F27" s="452">
        <f t="shared" si="5"/>
        <v>0.25</v>
      </c>
      <c r="G27" s="388">
        <f t="shared" si="4"/>
        <v>66652</v>
      </c>
      <c r="H27" s="380">
        <v>77607</v>
      </c>
      <c r="I27" s="379">
        <f t="shared" si="1"/>
        <v>10955</v>
      </c>
      <c r="J27" s="380">
        <v>10955.45</v>
      </c>
      <c r="K27" s="389">
        <f t="shared" si="2"/>
        <v>-0.4500000000007276</v>
      </c>
      <c r="L27" s="450">
        <f t="shared" si="6"/>
        <v>66748</v>
      </c>
    </row>
    <row r="28" spans="1:12">
      <c r="A28" s="332">
        <v>43191</v>
      </c>
      <c r="B28" s="451">
        <f t="shared" si="3"/>
        <v>6660226</v>
      </c>
      <c r="C28" s="335">
        <v>6714539</v>
      </c>
      <c r="D28" s="367">
        <f t="shared" si="0"/>
        <v>54313</v>
      </c>
      <c r="E28" s="497">
        <v>54312.28</v>
      </c>
      <c r="F28" s="452">
        <f t="shared" si="5"/>
        <v>0.72000000000116415</v>
      </c>
      <c r="G28" s="388">
        <f t="shared" si="4"/>
        <v>77607</v>
      </c>
      <c r="H28" s="335">
        <v>82271</v>
      </c>
      <c r="I28" s="379">
        <f t="shared" si="1"/>
        <v>4664</v>
      </c>
      <c r="J28" s="380">
        <v>4665.22</v>
      </c>
      <c r="K28" s="389">
        <f t="shared" si="2"/>
        <v>-1.2200000000002547</v>
      </c>
      <c r="L28" s="450">
        <f t="shared" si="6"/>
        <v>58977</v>
      </c>
    </row>
    <row r="29" spans="1:12">
      <c r="A29" s="366">
        <v>43221</v>
      </c>
      <c r="B29" s="453">
        <f t="shared" si="3"/>
        <v>6714539</v>
      </c>
      <c r="C29" s="585">
        <v>6774547</v>
      </c>
      <c r="D29" s="499">
        <f t="shared" si="0"/>
        <v>60008</v>
      </c>
      <c r="E29" s="494">
        <v>60007.47</v>
      </c>
      <c r="F29" s="452">
        <f t="shared" si="5"/>
        <v>0.52999999999883585</v>
      </c>
      <c r="G29" s="388">
        <f t="shared" si="4"/>
        <v>82271</v>
      </c>
      <c r="H29" s="335">
        <v>88664</v>
      </c>
      <c r="I29" s="379">
        <f t="shared" si="1"/>
        <v>6393</v>
      </c>
      <c r="J29" s="335">
        <v>6392.14</v>
      </c>
      <c r="K29" s="389">
        <f t="shared" si="2"/>
        <v>0.85999999999967258</v>
      </c>
      <c r="L29" s="450">
        <f t="shared" si="6"/>
        <v>66401</v>
      </c>
    </row>
    <row r="30" spans="1:12">
      <c r="A30" s="332">
        <v>43252</v>
      </c>
      <c r="B30" s="453">
        <f t="shared" si="3"/>
        <v>6774547</v>
      </c>
      <c r="C30" s="335">
        <v>6845214</v>
      </c>
      <c r="D30" s="499">
        <f t="shared" si="0"/>
        <v>70667</v>
      </c>
      <c r="E30" s="494">
        <v>70666.289999999994</v>
      </c>
      <c r="F30" s="452">
        <f t="shared" si="5"/>
        <v>0.71000000000640284</v>
      </c>
      <c r="G30" s="388">
        <f t="shared" si="4"/>
        <v>88664</v>
      </c>
      <c r="H30" s="335">
        <v>99683</v>
      </c>
      <c r="I30" s="379">
        <f t="shared" si="1"/>
        <v>11019</v>
      </c>
      <c r="J30" s="380">
        <v>11020.51</v>
      </c>
      <c r="K30" s="389">
        <f t="shared" si="2"/>
        <v>-1.5100000000002183</v>
      </c>
      <c r="L30" s="450">
        <f t="shared" si="6"/>
        <v>81686</v>
      </c>
    </row>
    <row r="31" spans="1:12">
      <c r="A31" s="332">
        <v>43282</v>
      </c>
      <c r="B31" s="453">
        <f t="shared" si="3"/>
        <v>6845214</v>
      </c>
      <c r="C31" s="380">
        <v>6921964</v>
      </c>
      <c r="D31" s="499">
        <f t="shared" si="0"/>
        <v>76750</v>
      </c>
      <c r="E31" s="497">
        <v>76750.25</v>
      </c>
      <c r="F31" s="452">
        <f t="shared" si="5"/>
        <v>-0.25</v>
      </c>
      <c r="G31" s="388">
        <f t="shared" si="4"/>
        <v>99683</v>
      </c>
      <c r="H31" s="380">
        <v>107936</v>
      </c>
      <c r="I31" s="379">
        <f t="shared" si="1"/>
        <v>8253</v>
      </c>
      <c r="J31" s="380">
        <v>8252.24</v>
      </c>
      <c r="K31" s="389">
        <f t="shared" si="2"/>
        <v>0.76000000000021828</v>
      </c>
      <c r="L31" s="450">
        <f t="shared" si="6"/>
        <v>85003</v>
      </c>
    </row>
    <row r="32" spans="1:12">
      <c r="A32" s="332">
        <v>43313</v>
      </c>
      <c r="B32" s="453">
        <f t="shared" si="3"/>
        <v>6921964</v>
      </c>
      <c r="C32" s="380">
        <v>7001142</v>
      </c>
      <c r="D32" s="499">
        <f t="shared" si="0"/>
        <v>79178</v>
      </c>
      <c r="E32" s="497">
        <v>79179.56</v>
      </c>
      <c r="F32" s="452">
        <f t="shared" si="5"/>
        <v>-1.5599999999976717</v>
      </c>
      <c r="G32" s="388">
        <f t="shared" si="4"/>
        <v>107936</v>
      </c>
      <c r="H32" s="380">
        <v>116730</v>
      </c>
      <c r="I32" s="379">
        <f t="shared" si="1"/>
        <v>8794</v>
      </c>
      <c r="J32" s="380">
        <v>8793.1200000000008</v>
      </c>
      <c r="K32" s="389">
        <f t="shared" si="2"/>
        <v>0.87999999999919964</v>
      </c>
      <c r="L32" s="450">
        <f t="shared" si="6"/>
        <v>87972</v>
      </c>
    </row>
    <row r="33" spans="1:12">
      <c r="A33" s="332">
        <v>43344</v>
      </c>
      <c r="B33" s="453">
        <f t="shared" si="3"/>
        <v>7001142</v>
      </c>
      <c r="C33" s="380">
        <v>7074217</v>
      </c>
      <c r="D33" s="499">
        <f t="shared" si="0"/>
        <v>73075</v>
      </c>
      <c r="E33" s="497">
        <v>73076.960000000006</v>
      </c>
      <c r="F33" s="452">
        <f t="shared" si="5"/>
        <v>-1.9600000000064028</v>
      </c>
      <c r="G33" s="388">
        <f t="shared" si="4"/>
        <v>116730</v>
      </c>
      <c r="H33" s="380">
        <v>127346</v>
      </c>
      <c r="I33" s="379">
        <f t="shared" si="1"/>
        <v>10616</v>
      </c>
      <c r="J33" s="380">
        <v>10615.37</v>
      </c>
      <c r="K33" s="389">
        <f t="shared" si="2"/>
        <v>0.62999999999919964</v>
      </c>
      <c r="L33" s="450">
        <f t="shared" si="6"/>
        <v>83691</v>
      </c>
    </row>
    <row r="34" spans="1:12">
      <c r="A34" s="332">
        <v>43374</v>
      </c>
      <c r="B34" s="453">
        <f t="shared" si="3"/>
        <v>7074217</v>
      </c>
      <c r="C34" s="335">
        <v>7154506</v>
      </c>
      <c r="D34" s="499">
        <f t="shared" si="0"/>
        <v>80289</v>
      </c>
      <c r="E34" s="494">
        <v>80287.839999999997</v>
      </c>
      <c r="F34" s="452">
        <f t="shared" si="5"/>
        <v>1.1600000000034925</v>
      </c>
      <c r="G34" s="388">
        <f t="shared" si="4"/>
        <v>127346</v>
      </c>
      <c r="H34" s="335">
        <v>134840</v>
      </c>
      <c r="I34" s="379">
        <f t="shared" si="1"/>
        <v>7494</v>
      </c>
      <c r="J34" s="335">
        <v>7493.99</v>
      </c>
      <c r="K34" s="389">
        <f t="shared" si="2"/>
        <v>1.0000000000218279E-2</v>
      </c>
      <c r="L34" s="450">
        <f t="shared" si="6"/>
        <v>87783</v>
      </c>
    </row>
    <row r="35" spans="1:12">
      <c r="A35" s="332">
        <v>43405</v>
      </c>
      <c r="B35" s="453">
        <f t="shared" si="3"/>
        <v>7154506</v>
      </c>
      <c r="C35" s="335">
        <v>7225359</v>
      </c>
      <c r="D35" s="499">
        <f t="shared" si="0"/>
        <v>70853</v>
      </c>
      <c r="E35" s="494">
        <v>70852.88</v>
      </c>
      <c r="F35" s="452">
        <f t="shared" si="5"/>
        <v>0.11999999999534339</v>
      </c>
      <c r="G35" s="388">
        <f t="shared" si="4"/>
        <v>134840</v>
      </c>
      <c r="H35" s="335">
        <v>145302</v>
      </c>
      <c r="I35" s="379">
        <f t="shared" si="1"/>
        <v>10462</v>
      </c>
      <c r="J35" s="335">
        <v>10462.700000000001</v>
      </c>
      <c r="K35" s="389">
        <f t="shared" si="2"/>
        <v>-0.7000000000007276</v>
      </c>
      <c r="L35" s="450">
        <f t="shared" si="6"/>
        <v>81315</v>
      </c>
    </row>
    <row r="36" spans="1:12">
      <c r="A36" s="332">
        <v>43435</v>
      </c>
      <c r="B36" s="453">
        <f t="shared" si="3"/>
        <v>7225359</v>
      </c>
      <c r="C36" s="335">
        <v>7296581</v>
      </c>
      <c r="D36" s="499">
        <f t="shared" si="0"/>
        <v>71222</v>
      </c>
      <c r="E36" s="494">
        <v>71221.22</v>
      </c>
      <c r="F36" s="452">
        <f t="shared" si="5"/>
        <v>0.77999999999883585</v>
      </c>
      <c r="G36" s="388">
        <f t="shared" si="4"/>
        <v>145302</v>
      </c>
      <c r="H36" s="335">
        <v>154999</v>
      </c>
      <c r="I36" s="379">
        <f t="shared" si="1"/>
        <v>9697</v>
      </c>
      <c r="J36" s="335">
        <v>9696.7999999999993</v>
      </c>
      <c r="K36" s="389">
        <f t="shared" si="2"/>
        <v>0.2000000000007276</v>
      </c>
      <c r="L36" s="450">
        <f t="shared" si="6"/>
        <v>80919</v>
      </c>
    </row>
    <row r="37" spans="1:12">
      <c r="A37" s="332">
        <v>43466</v>
      </c>
      <c r="B37" s="453">
        <f t="shared" si="3"/>
        <v>7296581</v>
      </c>
      <c r="C37" s="335">
        <v>7366625</v>
      </c>
      <c r="D37" s="499">
        <f t="shared" si="0"/>
        <v>70044</v>
      </c>
      <c r="E37" s="494">
        <v>70042.86</v>
      </c>
      <c r="F37" s="452">
        <f t="shared" si="5"/>
        <v>1.1399999999994179</v>
      </c>
      <c r="G37" s="388">
        <f t="shared" si="4"/>
        <v>154999</v>
      </c>
      <c r="H37" s="335">
        <v>161103</v>
      </c>
      <c r="I37" s="379">
        <f t="shared" si="1"/>
        <v>6104</v>
      </c>
      <c r="J37" s="335">
        <v>6107.32</v>
      </c>
      <c r="K37" s="389">
        <f t="shared" si="2"/>
        <v>-3.319999999999709</v>
      </c>
      <c r="L37" s="450">
        <f t="shared" si="6"/>
        <v>76148</v>
      </c>
    </row>
    <row r="38" spans="1:12">
      <c r="A38" s="332">
        <v>43497</v>
      </c>
      <c r="B38" s="453">
        <f t="shared" si="3"/>
        <v>7366625</v>
      </c>
      <c r="C38" s="335">
        <v>7427612</v>
      </c>
      <c r="D38" s="499">
        <f t="shared" si="0"/>
        <v>60987</v>
      </c>
      <c r="E38" s="494">
        <v>60986.27</v>
      </c>
      <c r="F38" s="452">
        <f t="shared" si="5"/>
        <v>0.73000000000320142</v>
      </c>
      <c r="G38" s="388">
        <f t="shared" si="4"/>
        <v>161103</v>
      </c>
      <c r="H38" s="335">
        <v>167784</v>
      </c>
      <c r="I38" s="379">
        <f t="shared" si="1"/>
        <v>6681</v>
      </c>
      <c r="J38" s="335">
        <v>6681</v>
      </c>
      <c r="K38" s="389">
        <f t="shared" si="2"/>
        <v>0</v>
      </c>
      <c r="L38" s="450">
        <f t="shared" si="6"/>
        <v>67668</v>
      </c>
    </row>
    <row r="39" spans="1:12">
      <c r="A39" s="332">
        <v>43525</v>
      </c>
      <c r="B39" s="453">
        <f t="shared" si="3"/>
        <v>7427612</v>
      </c>
      <c r="C39" s="335">
        <v>7494502</v>
      </c>
      <c r="D39" s="499">
        <f t="shared" si="0"/>
        <v>66890</v>
      </c>
      <c r="E39" s="494">
        <v>66888.649999999994</v>
      </c>
      <c r="F39" s="452">
        <f t="shared" si="5"/>
        <v>1.3500000000058208</v>
      </c>
      <c r="G39" s="388">
        <f t="shared" si="4"/>
        <v>167784</v>
      </c>
      <c r="H39" s="335">
        <v>178453</v>
      </c>
      <c r="I39" s="379">
        <f t="shared" si="1"/>
        <v>10669</v>
      </c>
      <c r="J39" s="335">
        <v>10669.59</v>
      </c>
      <c r="K39" s="389">
        <f t="shared" si="2"/>
        <v>-0.59000000000014552</v>
      </c>
      <c r="L39" s="450">
        <f t="shared" si="6"/>
        <v>77559</v>
      </c>
    </row>
    <row r="40" spans="1:12">
      <c r="A40" s="332">
        <v>43556</v>
      </c>
      <c r="B40" s="453">
        <f t="shared" si="3"/>
        <v>7494502</v>
      </c>
      <c r="C40" s="335">
        <v>7567839</v>
      </c>
      <c r="D40" s="499">
        <f t="shared" si="0"/>
        <v>73337</v>
      </c>
      <c r="E40" s="494">
        <v>73336.570000000007</v>
      </c>
      <c r="F40" s="452">
        <f t="shared" si="5"/>
        <v>0.42999999999301508</v>
      </c>
      <c r="G40" s="388">
        <f t="shared" si="4"/>
        <v>178453</v>
      </c>
      <c r="H40" s="335">
        <v>185868</v>
      </c>
      <c r="I40" s="379">
        <f t="shared" si="1"/>
        <v>7415</v>
      </c>
      <c r="J40" s="335">
        <v>7415.91</v>
      </c>
      <c r="K40" s="389">
        <f t="shared" si="2"/>
        <v>-0.90999999999985448</v>
      </c>
      <c r="L40" s="450">
        <f t="shared" si="6"/>
        <v>80752</v>
      </c>
    </row>
    <row r="41" spans="1:12">
      <c r="A41" s="332">
        <v>43586</v>
      </c>
      <c r="B41" s="453">
        <f t="shared" si="3"/>
        <v>7567839</v>
      </c>
      <c r="C41" s="335">
        <v>7635177</v>
      </c>
      <c r="D41" s="499">
        <f t="shared" si="0"/>
        <v>67338</v>
      </c>
      <c r="E41" s="494">
        <v>67338.48</v>
      </c>
      <c r="F41" s="452">
        <f t="shared" si="5"/>
        <v>-0.47999999999592546</v>
      </c>
      <c r="G41" s="388">
        <f t="shared" si="4"/>
        <v>185868</v>
      </c>
      <c r="H41" s="335">
        <v>191580</v>
      </c>
      <c r="I41" s="379">
        <f t="shared" si="1"/>
        <v>5712</v>
      </c>
      <c r="J41" s="335">
        <v>5711.08</v>
      </c>
      <c r="K41" s="389">
        <f t="shared" si="2"/>
        <v>0.92000000000007276</v>
      </c>
      <c r="L41" s="450">
        <f t="shared" si="6"/>
        <v>73050</v>
      </c>
    </row>
    <row r="42" spans="1:12">
      <c r="A42" s="332">
        <v>43617</v>
      </c>
      <c r="B42" s="451">
        <f t="shared" si="3"/>
        <v>7635177</v>
      </c>
      <c r="C42" s="584">
        <v>7705814</v>
      </c>
      <c r="D42" s="367">
        <f t="shared" si="0"/>
        <v>70637</v>
      </c>
      <c r="E42" s="494">
        <v>70631.199999999997</v>
      </c>
      <c r="F42" s="452">
        <f>D42-E42</f>
        <v>5.8000000000029104</v>
      </c>
      <c r="G42" s="388">
        <f t="shared" si="4"/>
        <v>191580</v>
      </c>
      <c r="H42" s="335">
        <v>198910</v>
      </c>
      <c r="I42" s="379">
        <f t="shared" si="1"/>
        <v>7330</v>
      </c>
      <c r="J42" s="335">
        <v>7352.54</v>
      </c>
      <c r="K42" s="389">
        <f t="shared" si="2"/>
        <v>-22.539999999999964</v>
      </c>
      <c r="L42" s="450">
        <f t="shared" si="6"/>
        <v>77967</v>
      </c>
    </row>
    <row r="43" spans="1:12">
      <c r="A43" s="332">
        <v>43647</v>
      </c>
      <c r="B43" s="451">
        <f t="shared" si="3"/>
        <v>7705814</v>
      </c>
      <c r="C43" s="584">
        <v>7789265</v>
      </c>
      <c r="D43" s="367">
        <f t="shared" si="0"/>
        <v>83451</v>
      </c>
      <c r="E43" s="494">
        <v>83450.259999999995</v>
      </c>
      <c r="F43" s="452">
        <f t="shared" si="5"/>
        <v>0.74000000000523869</v>
      </c>
      <c r="G43" s="388">
        <f t="shared" si="4"/>
        <v>198910</v>
      </c>
      <c r="H43" s="335">
        <v>208208</v>
      </c>
      <c r="I43" s="379">
        <f t="shared" si="1"/>
        <v>9298</v>
      </c>
      <c r="J43" s="335">
        <v>8921.51</v>
      </c>
      <c r="K43" s="389">
        <f t="shared" si="2"/>
        <v>376.48999999999978</v>
      </c>
      <c r="L43" s="450">
        <f t="shared" si="6"/>
        <v>92749</v>
      </c>
    </row>
    <row r="44" spans="1:12">
      <c r="A44" s="332">
        <v>43678</v>
      </c>
      <c r="B44" s="451">
        <f t="shared" si="3"/>
        <v>7789265</v>
      </c>
      <c r="C44" s="584">
        <v>7867728</v>
      </c>
      <c r="D44" s="367">
        <f t="shared" si="0"/>
        <v>78463</v>
      </c>
      <c r="E44" s="494">
        <v>78463.600000000006</v>
      </c>
      <c r="F44" s="452">
        <f>D44-E44</f>
        <v>-0.60000000000582077</v>
      </c>
      <c r="G44" s="388">
        <f t="shared" si="4"/>
        <v>208208</v>
      </c>
      <c r="H44" s="335">
        <v>216205</v>
      </c>
      <c r="I44" s="379">
        <f t="shared" si="1"/>
        <v>7997</v>
      </c>
      <c r="J44" s="335">
        <v>7870.33</v>
      </c>
      <c r="K44" s="389">
        <f t="shared" si="2"/>
        <v>126.67000000000007</v>
      </c>
      <c r="L44" s="450">
        <f t="shared" si="6"/>
        <v>86460</v>
      </c>
    </row>
    <row r="45" spans="1:12">
      <c r="A45" s="332">
        <v>43709</v>
      </c>
      <c r="B45" s="451">
        <f t="shared" si="3"/>
        <v>7867728</v>
      </c>
      <c r="C45" s="584">
        <v>7937278</v>
      </c>
      <c r="D45" s="367">
        <f t="shared" si="0"/>
        <v>69550</v>
      </c>
      <c r="E45" s="494">
        <v>69549.31</v>
      </c>
      <c r="F45" s="452">
        <f t="shared" si="5"/>
        <v>0.69000000000232831</v>
      </c>
      <c r="G45" s="388">
        <f t="shared" si="4"/>
        <v>216205</v>
      </c>
      <c r="H45" s="335">
        <v>223195</v>
      </c>
      <c r="I45" s="379">
        <f t="shared" si="1"/>
        <v>6990</v>
      </c>
      <c r="J45" s="335">
        <v>6989.22</v>
      </c>
      <c r="K45" s="389">
        <f t="shared" si="2"/>
        <v>0.77999999999974534</v>
      </c>
      <c r="L45" s="450">
        <f t="shared" si="6"/>
        <v>76540</v>
      </c>
    </row>
    <row r="46" spans="1:12">
      <c r="A46" s="332">
        <v>43739</v>
      </c>
      <c r="B46" s="451">
        <f t="shared" si="3"/>
        <v>7937278</v>
      </c>
      <c r="C46" s="584">
        <v>8009185</v>
      </c>
      <c r="D46" s="367">
        <f t="shared" si="0"/>
        <v>71907</v>
      </c>
      <c r="E46" s="494">
        <v>71906.240000000005</v>
      </c>
      <c r="F46" s="452">
        <f t="shared" si="5"/>
        <v>0.75999999999476131</v>
      </c>
      <c r="G46" s="388">
        <f t="shared" si="4"/>
        <v>223195</v>
      </c>
      <c r="H46" s="335">
        <v>229902</v>
      </c>
      <c r="I46" s="379">
        <f t="shared" si="1"/>
        <v>6707</v>
      </c>
      <c r="J46" s="335">
        <v>6706</v>
      </c>
      <c r="K46" s="389">
        <f t="shared" si="2"/>
        <v>1</v>
      </c>
      <c r="L46" s="450">
        <f t="shared" si="6"/>
        <v>78614</v>
      </c>
    </row>
    <row r="47" spans="1:12">
      <c r="A47" s="332">
        <v>43770</v>
      </c>
      <c r="B47" s="451">
        <f t="shared" si="3"/>
        <v>8009185</v>
      </c>
      <c r="C47" s="584"/>
      <c r="D47" s="367">
        <f t="shared" si="0"/>
        <v>-8009185</v>
      </c>
      <c r="E47" s="494"/>
      <c r="F47" s="452">
        <f t="shared" si="5"/>
        <v>-8009185</v>
      </c>
      <c r="G47" s="388">
        <f t="shared" si="4"/>
        <v>229902</v>
      </c>
      <c r="H47" s="335"/>
      <c r="I47" s="379">
        <f t="shared" si="1"/>
        <v>-229902</v>
      </c>
      <c r="J47" s="335"/>
      <c r="K47" s="389">
        <f t="shared" si="2"/>
        <v>-229902</v>
      </c>
      <c r="L47" s="450">
        <f t="shared" si="6"/>
        <v>-8239087</v>
      </c>
    </row>
    <row r="48" spans="1:12">
      <c r="A48" s="332">
        <v>43800</v>
      </c>
      <c r="B48" s="451">
        <f t="shared" si="3"/>
        <v>0</v>
      </c>
      <c r="C48" s="584"/>
      <c r="D48" s="367">
        <f t="shared" si="0"/>
        <v>0</v>
      </c>
      <c r="E48" s="494"/>
      <c r="F48" s="452">
        <f t="shared" si="5"/>
        <v>0</v>
      </c>
      <c r="G48" s="388">
        <f t="shared" si="4"/>
        <v>0</v>
      </c>
      <c r="H48" s="335"/>
      <c r="I48" s="379">
        <f t="shared" si="1"/>
        <v>0</v>
      </c>
      <c r="J48" s="335"/>
      <c r="K48" s="389">
        <f t="shared" si="2"/>
        <v>0</v>
      </c>
      <c r="L48" s="450">
        <f t="shared" si="6"/>
        <v>0</v>
      </c>
    </row>
    <row r="49" spans="1:12">
      <c r="A49" s="332">
        <v>43831</v>
      </c>
      <c r="B49" s="451">
        <f t="shared" si="3"/>
        <v>0</v>
      </c>
      <c r="C49" s="584"/>
      <c r="D49" s="367">
        <f t="shared" si="0"/>
        <v>0</v>
      </c>
      <c r="E49" s="494"/>
      <c r="F49" s="452">
        <f t="shared" si="5"/>
        <v>0</v>
      </c>
      <c r="G49" s="388">
        <f t="shared" si="4"/>
        <v>0</v>
      </c>
      <c r="H49" s="335"/>
      <c r="I49" s="379">
        <f t="shared" si="1"/>
        <v>0</v>
      </c>
      <c r="J49" s="335"/>
      <c r="K49" s="389">
        <f t="shared" si="2"/>
        <v>0</v>
      </c>
      <c r="L49" s="450">
        <f t="shared" si="6"/>
        <v>0</v>
      </c>
    </row>
    <row r="50" spans="1:12">
      <c r="A50" s="332">
        <v>43862</v>
      </c>
      <c r="B50" s="451">
        <f t="shared" si="3"/>
        <v>0</v>
      </c>
      <c r="C50" s="584"/>
      <c r="D50" s="367">
        <f t="shared" si="0"/>
        <v>0</v>
      </c>
      <c r="E50" s="494"/>
      <c r="F50" s="452">
        <f t="shared" si="5"/>
        <v>0</v>
      </c>
      <c r="G50" s="388">
        <f t="shared" si="4"/>
        <v>0</v>
      </c>
      <c r="H50" s="335"/>
      <c r="I50" s="379">
        <f t="shared" si="1"/>
        <v>0</v>
      </c>
      <c r="J50" s="335"/>
      <c r="K50" s="389">
        <f t="shared" si="2"/>
        <v>0</v>
      </c>
      <c r="L50" s="450">
        <f t="shared" si="6"/>
        <v>0</v>
      </c>
    </row>
    <row r="51" spans="1:12">
      <c r="A51" s="332">
        <v>43891</v>
      </c>
      <c r="B51" s="451">
        <f t="shared" si="3"/>
        <v>0</v>
      </c>
      <c r="C51" s="584"/>
      <c r="D51" s="367">
        <f t="shared" si="0"/>
        <v>0</v>
      </c>
      <c r="E51" s="494"/>
      <c r="F51" s="452">
        <f t="shared" si="5"/>
        <v>0</v>
      </c>
      <c r="G51" s="388">
        <f t="shared" si="4"/>
        <v>0</v>
      </c>
      <c r="H51" s="335"/>
      <c r="I51" s="379">
        <f t="shared" si="1"/>
        <v>0</v>
      </c>
      <c r="J51" s="335"/>
      <c r="K51" s="389">
        <f t="shared" si="2"/>
        <v>0</v>
      </c>
      <c r="L51" s="450">
        <f t="shared" si="6"/>
        <v>0</v>
      </c>
    </row>
    <row r="52" spans="1:12">
      <c r="A52" s="332">
        <v>43922</v>
      </c>
      <c r="B52" s="451">
        <f t="shared" si="3"/>
        <v>0</v>
      </c>
      <c r="C52" s="584"/>
      <c r="D52" s="367">
        <f t="shared" si="0"/>
        <v>0</v>
      </c>
      <c r="E52" s="494"/>
      <c r="F52" s="452">
        <f t="shared" si="5"/>
        <v>0</v>
      </c>
      <c r="G52" s="388">
        <f t="shared" si="4"/>
        <v>0</v>
      </c>
      <c r="H52" s="335"/>
      <c r="I52" s="379">
        <f t="shared" si="1"/>
        <v>0</v>
      </c>
      <c r="J52" s="335"/>
      <c r="K52" s="389">
        <f t="shared" si="2"/>
        <v>0</v>
      </c>
      <c r="L52" s="450">
        <f t="shared" si="6"/>
        <v>0</v>
      </c>
    </row>
    <row r="53" spans="1:12">
      <c r="A53" s="332">
        <v>43586</v>
      </c>
      <c r="B53" s="451">
        <f t="shared" si="3"/>
        <v>0</v>
      </c>
      <c r="C53" s="584"/>
      <c r="D53" s="367">
        <f t="shared" si="0"/>
        <v>0</v>
      </c>
      <c r="E53" s="494"/>
      <c r="F53" s="452">
        <f t="shared" si="5"/>
        <v>0</v>
      </c>
      <c r="G53" s="388">
        <f t="shared" si="4"/>
        <v>0</v>
      </c>
      <c r="H53" s="335"/>
      <c r="I53" s="379">
        <f t="shared" si="1"/>
        <v>0</v>
      </c>
      <c r="J53" s="335"/>
      <c r="K53" s="389">
        <f t="shared" si="2"/>
        <v>0</v>
      </c>
      <c r="L53" s="450">
        <f t="shared" si="6"/>
        <v>0</v>
      </c>
    </row>
    <row r="54" spans="1:12" ht="13.5" thickBot="1">
      <c r="A54" s="332">
        <v>43983</v>
      </c>
      <c r="B54" s="500">
        <f t="shared" si="3"/>
        <v>0</v>
      </c>
      <c r="C54" s="583"/>
      <c r="D54" s="424">
        <f t="shared" si="0"/>
        <v>0</v>
      </c>
      <c r="E54" s="494"/>
      <c r="F54" s="452">
        <f t="shared" si="5"/>
        <v>0</v>
      </c>
      <c r="G54" s="388">
        <f t="shared" si="4"/>
        <v>0</v>
      </c>
      <c r="H54" s="335"/>
      <c r="I54" s="379">
        <f t="shared" si="1"/>
        <v>0</v>
      </c>
      <c r="J54" s="335"/>
      <c r="K54" s="389">
        <f t="shared" si="2"/>
        <v>0</v>
      </c>
      <c r="L54" s="450">
        <f t="shared" si="6"/>
        <v>0</v>
      </c>
    </row>
    <row r="56" spans="1:12">
      <c r="B56" s="21"/>
      <c r="C56" s="21"/>
      <c r="D56" s="21"/>
      <c r="G56" s="21"/>
      <c r="H56" s="21"/>
    </row>
    <row r="57" spans="1:12" ht="13.5" thickBot="1">
      <c r="B57" s="21"/>
      <c r="C57" s="21"/>
      <c r="D57" s="21"/>
      <c r="G57" s="21"/>
      <c r="H57" s="21"/>
    </row>
    <row r="58" spans="1:12">
      <c r="B58" s="10"/>
      <c r="C58" s="390"/>
      <c r="D58" s="390"/>
      <c r="E58" s="390"/>
      <c r="F58" s="586"/>
      <c r="G58" s="10"/>
      <c r="H58" s="390"/>
      <c r="I58" s="390"/>
      <c r="J58" s="390"/>
      <c r="K58" s="586"/>
    </row>
    <row r="59" spans="1:12">
      <c r="B59" s="345"/>
      <c r="C59" s="21"/>
      <c r="D59" s="21"/>
      <c r="E59" s="21"/>
      <c r="F59" s="346"/>
      <c r="G59" s="345"/>
      <c r="H59" s="21"/>
      <c r="I59" s="21"/>
      <c r="J59" s="21"/>
      <c r="K59" s="346"/>
    </row>
    <row r="60" spans="1:12">
      <c r="B60" s="345"/>
      <c r="C60" s="21"/>
      <c r="D60" s="21"/>
      <c r="E60" s="21"/>
      <c r="F60" s="346"/>
      <c r="G60" s="345"/>
      <c r="H60" s="21"/>
      <c r="I60" s="21"/>
      <c r="J60" s="21"/>
      <c r="K60" s="346"/>
    </row>
    <row r="61" spans="1:12">
      <c r="B61" s="345"/>
      <c r="C61" s="21"/>
      <c r="D61" s="21"/>
      <c r="E61" s="21"/>
      <c r="F61" s="346"/>
      <c r="G61" s="345"/>
      <c r="H61" s="21"/>
      <c r="I61" s="21"/>
      <c r="J61" s="21"/>
      <c r="K61" s="346"/>
    </row>
    <row r="62" spans="1:12">
      <c r="B62" s="345"/>
      <c r="C62" s="21"/>
      <c r="D62" s="21"/>
      <c r="E62" s="21"/>
      <c r="F62" s="346"/>
      <c r="G62" s="345"/>
      <c r="H62" s="21"/>
      <c r="I62" s="21"/>
      <c r="J62" s="21"/>
      <c r="K62" s="346"/>
    </row>
    <row r="63" spans="1:12">
      <c r="B63" s="345"/>
      <c r="C63" s="21"/>
      <c r="D63" s="21"/>
      <c r="E63" s="21"/>
      <c r="F63" s="346"/>
      <c r="G63" s="345"/>
      <c r="H63" s="21"/>
      <c r="I63" s="21"/>
      <c r="J63" s="21"/>
      <c r="K63" s="346"/>
    </row>
    <row r="64" spans="1:12">
      <c r="B64" s="345"/>
      <c r="C64" s="21"/>
      <c r="D64" s="21"/>
      <c r="E64" s="21"/>
      <c r="F64" s="346"/>
      <c r="G64" s="345"/>
      <c r="H64" s="21"/>
      <c r="I64" s="21"/>
      <c r="J64" s="21"/>
      <c r="K64" s="346"/>
    </row>
    <row r="65" spans="2:11" ht="13.5" thickBot="1">
      <c r="B65" s="345"/>
      <c r="C65" s="21"/>
      <c r="D65" s="21"/>
      <c r="E65" s="21"/>
      <c r="F65" s="346"/>
      <c r="G65" s="345"/>
      <c r="H65" s="21"/>
      <c r="I65" s="21"/>
      <c r="J65" s="21"/>
      <c r="K65" s="346"/>
    </row>
    <row r="66" spans="2:11" ht="15.75" thickBot="1">
      <c r="B66" s="345"/>
      <c r="C66" s="587" t="s">
        <v>254</v>
      </c>
      <c r="D66" s="222"/>
      <c r="E66" s="21"/>
      <c r="F66" s="346"/>
      <c r="G66" s="345"/>
      <c r="H66" s="588" t="s">
        <v>255</v>
      </c>
      <c r="I66" s="207"/>
      <c r="J66" s="222"/>
      <c r="K66" s="346"/>
    </row>
    <row r="67" spans="2:11" ht="13.5" thickBot="1">
      <c r="B67" s="347"/>
      <c r="C67" s="348"/>
      <c r="D67" s="348"/>
      <c r="E67" s="348"/>
      <c r="F67" s="349"/>
      <c r="G67" s="347"/>
      <c r="H67" s="348"/>
      <c r="I67" s="348"/>
      <c r="J67" s="348"/>
      <c r="K67" s="349"/>
    </row>
    <row r="69" spans="2:11" ht="15">
      <c r="B69" s="589"/>
      <c r="C69" s="21"/>
      <c r="G69" s="41"/>
      <c r="H69" s="21"/>
      <c r="I69" s="21"/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L30" sqref="L3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88" t="s">
        <v>263</v>
      </c>
      <c r="B1" s="888"/>
      <c r="C1" s="888"/>
      <c r="D1" s="888"/>
      <c r="E1" s="888"/>
      <c r="F1" s="888"/>
      <c r="G1" s="888"/>
      <c r="H1" s="888"/>
      <c r="I1" s="888"/>
      <c r="J1" s="888"/>
    </row>
    <row r="2" spans="1:10" ht="19.5" thickBot="1">
      <c r="A2" s="897">
        <v>43770</v>
      </c>
      <c r="B2" s="898"/>
      <c r="C2" s="898"/>
      <c r="D2" s="898"/>
      <c r="E2" s="898"/>
      <c r="F2" s="898"/>
      <c r="G2" s="898"/>
      <c r="H2" s="898"/>
      <c r="I2" s="898"/>
      <c r="J2" s="898"/>
    </row>
    <row r="3" spans="1:10" ht="15.75" thickBot="1">
      <c r="A3" s="889" t="s">
        <v>7</v>
      </c>
      <c r="B3" s="891" t="s">
        <v>264</v>
      </c>
      <c r="C3" s="678"/>
      <c r="D3" s="893" t="s">
        <v>265</v>
      </c>
      <c r="E3" s="894"/>
      <c r="F3" s="895" t="s">
        <v>266</v>
      </c>
      <c r="G3" s="896"/>
      <c r="H3" s="894"/>
      <c r="I3" s="895" t="s">
        <v>267</v>
      </c>
      <c r="J3" s="894"/>
    </row>
    <row r="4" spans="1:10" ht="30.75" thickBot="1">
      <c r="A4" s="890"/>
      <c r="B4" s="892"/>
      <c r="C4" s="692" t="s">
        <v>312</v>
      </c>
      <c r="D4" s="595" t="s">
        <v>268</v>
      </c>
      <c r="E4" s="602" t="s">
        <v>3</v>
      </c>
      <c r="F4" s="595" t="s">
        <v>268</v>
      </c>
      <c r="G4" s="595" t="s">
        <v>269</v>
      </c>
      <c r="H4" s="595" t="s">
        <v>270</v>
      </c>
      <c r="I4" s="595" t="s">
        <v>17</v>
      </c>
      <c r="J4" s="595" t="s">
        <v>271</v>
      </c>
    </row>
    <row r="5" spans="1:10" ht="17.100000000000001" customHeight="1">
      <c r="A5" s="295">
        <v>43770</v>
      </c>
      <c r="B5" s="604">
        <f>Gen!B11</f>
        <v>0.87</v>
      </c>
      <c r="C5" s="687">
        <f>Gen!AJ11</f>
        <v>69.050000000000011</v>
      </c>
      <c r="D5" s="689">
        <f>Gen!S11</f>
        <v>2398.12</v>
      </c>
      <c r="E5" s="597">
        <f>Gen!C11</f>
        <v>35194.410000000018</v>
      </c>
      <c r="F5" s="596">
        <f>'Water-Meter'!E6</f>
        <v>128</v>
      </c>
      <c r="G5" s="598">
        <f>'Water-Meter'!AN5</f>
        <v>0</v>
      </c>
      <c r="H5" s="597">
        <f>'Utility report '!AC6</f>
        <v>120</v>
      </c>
      <c r="I5" s="596">
        <f>'Kit report'!F4</f>
        <v>516.00000000002183</v>
      </c>
      <c r="J5" s="597">
        <f>'Kit report'!X4</f>
        <v>860.00000000003638</v>
      </c>
    </row>
    <row r="6" spans="1:10" ht="17.100000000000001" customHeight="1">
      <c r="A6" s="295">
        <v>43771</v>
      </c>
      <c r="B6" s="603">
        <f>Gen!B12</f>
        <v>0.76600000000000001</v>
      </c>
      <c r="C6" s="687">
        <f>Gen!AJ12</f>
        <v>659.55</v>
      </c>
      <c r="D6" s="690">
        <f>Gen!S12</f>
        <v>2502.5700000000002</v>
      </c>
      <c r="E6" s="597">
        <f>Gen!C12</f>
        <v>50727.24000000002</v>
      </c>
      <c r="F6" s="599">
        <f>'Water-Meter'!E7</f>
        <v>139</v>
      </c>
      <c r="G6" s="601">
        <f>'Water-Meter'!AN6</f>
        <v>185</v>
      </c>
      <c r="H6" s="600">
        <f>'Utility report '!AC7</f>
        <v>120</v>
      </c>
      <c r="I6" s="596">
        <f>'Kit report'!F5</f>
        <v>516.00000000002183</v>
      </c>
      <c r="J6" s="597">
        <f>'Kit report'!X5</f>
        <v>900</v>
      </c>
    </row>
    <row r="7" spans="1:10" ht="17.100000000000001" customHeight="1">
      <c r="A7" s="295">
        <v>43772</v>
      </c>
      <c r="B7" s="603">
        <f>Gen!B13</f>
        <v>0.11</v>
      </c>
      <c r="C7" s="687">
        <f>Gen!AJ13</f>
        <v>261.5</v>
      </c>
      <c r="D7" s="690">
        <f>Gen!S13</f>
        <v>2086.83</v>
      </c>
      <c r="E7" s="597">
        <f>Gen!C13</f>
        <v>47565.120000000017</v>
      </c>
      <c r="F7" s="599">
        <f>'Water-Meter'!E8</f>
        <v>132</v>
      </c>
      <c r="G7" s="601">
        <f>'Water-Meter'!AN7</f>
        <v>175</v>
      </c>
      <c r="H7" s="600">
        <f>'Utility report '!AC8</f>
        <v>125</v>
      </c>
      <c r="I7" s="596">
        <f>'Kit report'!F6</f>
        <v>491.99999999993452</v>
      </c>
      <c r="J7" s="597">
        <f>'Kit report'!X6</f>
        <v>819.99999999989086</v>
      </c>
    </row>
    <row r="8" spans="1:10" ht="17.100000000000001" customHeight="1">
      <c r="A8" s="295">
        <v>43773</v>
      </c>
      <c r="B8" s="603">
        <f>Gen!B14</f>
        <v>0.13</v>
      </c>
      <c r="C8" s="687">
        <f>Gen!AJ14</f>
        <v>17.39</v>
      </c>
      <c r="D8" s="690">
        <f>Gen!S14</f>
        <v>1834.21</v>
      </c>
      <c r="E8" s="597">
        <f>Gen!C14</f>
        <v>45216.790000000015</v>
      </c>
      <c r="F8" s="599">
        <f>'Water-Meter'!E9</f>
        <v>100</v>
      </c>
      <c r="G8" s="601">
        <f>'Water-Meter'!AN8</f>
        <v>176</v>
      </c>
      <c r="H8" s="600">
        <f>'Utility report '!AC9</f>
        <v>32</v>
      </c>
      <c r="I8" s="596">
        <f>'Kit report'!F7</f>
        <v>552.00000000004366</v>
      </c>
      <c r="J8" s="597">
        <f>'Kit report'!X7</f>
        <v>1060.0000000000364</v>
      </c>
    </row>
    <row r="9" spans="1:10" ht="17.100000000000001" customHeight="1">
      <c r="A9" s="295">
        <v>43774</v>
      </c>
      <c r="B9" s="603">
        <f>Gen!B15</f>
        <v>0.50600000000000001</v>
      </c>
      <c r="C9" s="687">
        <f>Gen!AJ15</f>
        <v>18.940000000000001</v>
      </c>
      <c r="D9" s="690">
        <f>Gen!S15</f>
        <v>2117.6999999999998</v>
      </c>
      <c r="E9" s="597">
        <f>Gen!C15</f>
        <v>43365.190000000017</v>
      </c>
      <c r="F9" s="599">
        <f>'Water-Meter'!E10</f>
        <v>119</v>
      </c>
      <c r="G9" s="601">
        <f>'Water-Meter'!AN9</f>
        <v>174</v>
      </c>
      <c r="H9" s="600">
        <f>'Utility report '!AC10</f>
        <v>0</v>
      </c>
      <c r="I9" s="596">
        <f>'Kit report'!F8</f>
        <v>563.99999999997817</v>
      </c>
      <c r="J9" s="597">
        <f>'Kit report'!X8</f>
        <v>860.00000000003638</v>
      </c>
    </row>
    <row r="10" spans="1:10" ht="17.100000000000001" customHeight="1">
      <c r="A10" s="295">
        <v>43775</v>
      </c>
      <c r="B10" s="603">
        <f>Gen!B16</f>
        <v>0.312</v>
      </c>
      <c r="C10" s="687">
        <f>Gen!AJ16</f>
        <v>142.32999999999998</v>
      </c>
      <c r="D10" s="690">
        <f>Gen!S16</f>
        <v>2435.73</v>
      </c>
      <c r="E10" s="597">
        <f>Gen!C16</f>
        <v>41228.550000000017</v>
      </c>
      <c r="F10" s="599">
        <f>'Water-Meter'!E11</f>
        <v>110</v>
      </c>
      <c r="G10" s="601">
        <f>'Water-Meter'!AN10</f>
        <v>174</v>
      </c>
      <c r="H10" s="600">
        <f>'Utility report '!AC11</f>
        <v>107</v>
      </c>
      <c r="I10" s="596">
        <f>'Kit report'!F9</f>
        <v>503.99999999997817</v>
      </c>
      <c r="J10" s="597">
        <f>'Kit report'!X9</f>
        <v>860.00000000003638</v>
      </c>
    </row>
    <row r="11" spans="1:10" ht="17.100000000000001" customHeight="1">
      <c r="A11" s="295">
        <v>43776</v>
      </c>
      <c r="B11" s="603">
        <f>Gen!B17</f>
        <v>0.19500000000000001</v>
      </c>
      <c r="C11" s="687">
        <f>Gen!AJ17</f>
        <v>241.32</v>
      </c>
      <c r="D11" s="690">
        <f>Gen!S17</f>
        <v>2229.96</v>
      </c>
      <c r="E11" s="597">
        <f>Gen!C17</f>
        <v>38650.49000000002</v>
      </c>
      <c r="F11" s="599">
        <f>'Water-Meter'!E12</f>
        <v>95</v>
      </c>
      <c r="G11" s="601">
        <f>'Water-Meter'!AN11</f>
        <v>175</v>
      </c>
      <c r="H11" s="600">
        <f>'Utility report '!AC12</f>
        <v>112</v>
      </c>
      <c r="I11" s="596">
        <f>'Kit report'!F10</f>
        <v>468.00000000006548</v>
      </c>
      <c r="J11" s="597">
        <f>'Kit report'!X10</f>
        <v>700</v>
      </c>
    </row>
    <row r="12" spans="1:10" ht="17.100000000000001" customHeight="1">
      <c r="A12" s="295">
        <v>43777</v>
      </c>
      <c r="B12" s="603">
        <f>Gen!B18</f>
        <v>0.16900000000000001</v>
      </c>
      <c r="C12" s="687">
        <f>Gen!AJ18</f>
        <v>159.05000000000001</v>
      </c>
      <c r="D12" s="690">
        <f>Gen!S18</f>
        <v>2100.4499999999998</v>
      </c>
      <c r="E12" s="597">
        <f>Gen!C18</f>
        <v>51179.210000000021</v>
      </c>
      <c r="F12" s="599">
        <f>'Water-Meter'!E13</f>
        <v>120</v>
      </c>
      <c r="G12" s="601">
        <f>'Water-Meter'!AN12</f>
        <v>176</v>
      </c>
      <c r="H12" s="600">
        <f>'Utility report '!AC13</f>
        <v>109</v>
      </c>
      <c r="I12" s="596">
        <f>'Kit report'!F11</f>
        <v>516.00000000002183</v>
      </c>
      <c r="J12" s="597">
        <f>'Kit report'!X11</f>
        <v>739.99999999996362</v>
      </c>
    </row>
    <row r="13" spans="1:10" ht="17.100000000000001" customHeight="1">
      <c r="A13" s="295">
        <v>43778</v>
      </c>
      <c r="B13" s="603">
        <f>Gen!B19</f>
        <v>0.16900000000000001</v>
      </c>
      <c r="C13" s="687">
        <f>Gen!AJ19</f>
        <v>122.96000000000001</v>
      </c>
      <c r="D13" s="690">
        <f>Gen!S19</f>
        <v>2130.17</v>
      </c>
      <c r="E13" s="597">
        <f>Gen!C19</f>
        <v>48919.710000000021</v>
      </c>
      <c r="F13" s="599">
        <f>'Water-Meter'!E14</f>
        <v>96</v>
      </c>
      <c r="G13" s="601">
        <f>'Water-Meter'!AN13</f>
        <v>172</v>
      </c>
      <c r="H13" s="600">
        <f>'Utility report '!AC14</f>
        <v>110</v>
      </c>
      <c r="I13" s="596">
        <f>'Kit report'!F12</f>
        <v>491.99999999993452</v>
      </c>
      <c r="J13" s="597">
        <f>'Kit report'!X12</f>
        <v>800</v>
      </c>
    </row>
    <row r="14" spans="1:10" ht="17.100000000000001" customHeight="1">
      <c r="A14" s="295">
        <v>43779</v>
      </c>
      <c r="B14" s="603">
        <f>Gen!B20</f>
        <v>0.46800000000000003</v>
      </c>
      <c r="C14" s="687">
        <f>Gen!AJ20</f>
        <v>231.5</v>
      </c>
      <c r="D14" s="690">
        <f>Gen!S20</f>
        <v>2241.8000000000002</v>
      </c>
      <c r="E14" s="597">
        <f>Gen!C20</f>
        <v>46666.580000000024</v>
      </c>
      <c r="F14" s="599">
        <f>'Water-Meter'!E15</f>
        <v>124</v>
      </c>
      <c r="G14" s="601">
        <f>'Water-Meter'!AN14</f>
        <v>176</v>
      </c>
      <c r="H14" s="600">
        <f>'Utility report '!AC15</f>
        <v>81</v>
      </c>
      <c r="I14" s="596">
        <f>'Kit report'!F13</f>
        <v>480</v>
      </c>
      <c r="J14" s="597">
        <f>'Kit report'!X13</f>
        <v>719.99999999989086</v>
      </c>
    </row>
    <row r="15" spans="1:10" ht="17.100000000000001" customHeight="1">
      <c r="A15" s="295">
        <v>43780</v>
      </c>
      <c r="B15" s="603">
        <f>Gen!B21</f>
        <v>0.94799999999999995</v>
      </c>
      <c r="C15" s="687">
        <f>Gen!AJ21</f>
        <v>0</v>
      </c>
      <c r="D15" s="690">
        <f>Gen!S21</f>
        <v>2652.4500000000003</v>
      </c>
      <c r="E15" s="597">
        <f>Gen!C21</f>
        <v>44193.280000000021</v>
      </c>
      <c r="F15" s="599">
        <f>'Water-Meter'!E16</f>
        <v>131</v>
      </c>
      <c r="G15" s="601">
        <f>'Water-Meter'!AN15</f>
        <v>175</v>
      </c>
      <c r="H15" s="600">
        <f>'Utility report '!AC16</f>
        <v>117</v>
      </c>
      <c r="I15" s="596">
        <f>'Kit report'!F14</f>
        <v>576.00000000002183</v>
      </c>
      <c r="J15" s="597">
        <f>'Kit report'!X14</f>
        <v>980.00000000010914</v>
      </c>
    </row>
    <row r="16" spans="1:10" ht="17.100000000000001" customHeight="1">
      <c r="A16" s="295">
        <v>43781</v>
      </c>
      <c r="B16" s="603">
        <f>Gen!B22</f>
        <v>0.93500000000000005</v>
      </c>
      <c r="C16" s="687">
        <f>Gen!AJ22</f>
        <v>187.81</v>
      </c>
      <c r="D16" s="690">
        <f>Gen!S22</f>
        <v>2587.46</v>
      </c>
      <c r="E16" s="597">
        <f>Gen!C22</f>
        <v>41540.830000000024</v>
      </c>
      <c r="F16" s="599">
        <f>'Water-Meter'!E17</f>
        <v>136</v>
      </c>
      <c r="G16" s="601">
        <f>'Water-Meter'!AN16</f>
        <v>174</v>
      </c>
      <c r="H16" s="600">
        <f>'Utility report '!AC17</f>
        <v>42</v>
      </c>
      <c r="I16" s="596">
        <f>'Kit report'!F15</f>
        <v>527.99999999995634</v>
      </c>
      <c r="J16" s="597">
        <f>'Kit report'!X15</f>
        <v>860.00000000003638</v>
      </c>
    </row>
    <row r="17" spans="1:10" ht="17.100000000000001" customHeight="1">
      <c r="A17" s="295">
        <v>43782</v>
      </c>
      <c r="B17" s="603">
        <f>Gen!B23</f>
        <v>0.48099999999999998</v>
      </c>
      <c r="C17" s="687">
        <f>Gen!AJ23</f>
        <v>450.31</v>
      </c>
      <c r="D17" s="690">
        <f>Gen!S23</f>
        <v>2229.48</v>
      </c>
      <c r="E17" s="597">
        <f>Gen!C23</f>
        <v>38765.560000000027</v>
      </c>
      <c r="F17" s="599">
        <f>'Water-Meter'!E18</f>
        <v>123</v>
      </c>
      <c r="G17" s="601">
        <f>'Water-Meter'!AN17</f>
        <v>169</v>
      </c>
      <c r="H17" s="600">
        <f>'Utility report '!AC18</f>
        <v>112</v>
      </c>
      <c r="I17" s="596">
        <f>'Kit report'!F16</f>
        <v>504.00000000008731</v>
      </c>
      <c r="J17" s="597">
        <f>'Kit report'!X16</f>
        <v>700</v>
      </c>
    </row>
    <row r="18" spans="1:10" ht="17.100000000000001" customHeight="1">
      <c r="A18" s="295">
        <v>43783</v>
      </c>
      <c r="B18" s="603">
        <f>Gen!B24</f>
        <v>0.52600000000000002</v>
      </c>
      <c r="C18" s="687">
        <f>Gen!AJ24</f>
        <v>283.61</v>
      </c>
      <c r="D18" s="690">
        <f>Gen!S24</f>
        <v>2368.3599999999997</v>
      </c>
      <c r="E18" s="597">
        <f>Gen!C24</f>
        <v>36085.770000000026</v>
      </c>
      <c r="F18" s="599">
        <f>'Water-Meter'!E19</f>
        <v>118</v>
      </c>
      <c r="G18" s="601">
        <f>'Water-Meter'!AN18</f>
        <v>170</v>
      </c>
      <c r="H18" s="600">
        <f>'Utility report '!AC19</f>
        <v>113</v>
      </c>
      <c r="I18" s="596">
        <f>'Kit report'!F17</f>
        <v>491.99999999993452</v>
      </c>
      <c r="J18" s="597">
        <f>'Kit report'!X17</f>
        <v>979.99999999992724</v>
      </c>
    </row>
    <row r="19" spans="1:10" ht="17.100000000000001" customHeight="1">
      <c r="A19" s="295">
        <v>43784</v>
      </c>
      <c r="B19" s="603">
        <f>Gen!B25</f>
        <v>0.221</v>
      </c>
      <c r="C19" s="687">
        <f>Gen!AJ25</f>
        <v>250.23000000000002</v>
      </c>
      <c r="D19" s="690">
        <f>Gen!S25</f>
        <v>2133.65</v>
      </c>
      <c r="E19" s="597">
        <f>Gen!C25</f>
        <v>33433.800000000025</v>
      </c>
      <c r="F19" s="599">
        <f>'Water-Meter'!E20</f>
        <v>107</v>
      </c>
      <c r="G19" s="601">
        <f>'Water-Meter'!AN19</f>
        <v>169</v>
      </c>
      <c r="H19" s="600">
        <f>'Utility report '!AC20</f>
        <v>110</v>
      </c>
      <c r="I19" s="596">
        <f>'Kit report'!F18</f>
        <v>492.00000000004366</v>
      </c>
      <c r="J19" s="597">
        <f>'Kit report'!X18</f>
        <v>879.99999999992724</v>
      </c>
    </row>
    <row r="20" spans="1:10" ht="17.100000000000001" customHeight="1">
      <c r="A20" s="295">
        <v>43785</v>
      </c>
      <c r="B20" s="603">
        <f>Gen!B26</f>
        <v>0.156</v>
      </c>
      <c r="C20" s="687">
        <f>Gen!AJ26</f>
        <v>182.65999999999997</v>
      </c>
      <c r="D20" s="690">
        <f>Gen!S26</f>
        <v>2099.12</v>
      </c>
      <c r="E20" s="597">
        <f>Gen!C26</f>
        <v>49049.920000000027</v>
      </c>
      <c r="F20" s="599">
        <f>'Water-Meter'!E21</f>
        <v>115</v>
      </c>
      <c r="G20" s="601">
        <f>'Water-Meter'!AN20</f>
        <v>170</v>
      </c>
      <c r="H20" s="600">
        <f>'Utility report '!AC21</f>
        <v>110</v>
      </c>
      <c r="I20" s="596">
        <f>'Kit report'!F19</f>
        <v>491.99999999993452</v>
      </c>
      <c r="J20" s="597">
        <f>'Kit report'!X19</f>
        <v>1200</v>
      </c>
    </row>
    <row r="21" spans="1:10" ht="15">
      <c r="A21" s="295">
        <v>43786</v>
      </c>
      <c r="B21" s="603">
        <f>Gen!B27</f>
        <v>0.623</v>
      </c>
      <c r="C21" s="687">
        <f>Gen!AJ27</f>
        <v>129.38</v>
      </c>
      <c r="D21" s="690">
        <f>Gen!S27</f>
        <v>2394.69</v>
      </c>
      <c r="E21" s="597">
        <f>Gen!C27</f>
        <v>46768.140000000029</v>
      </c>
      <c r="F21" s="599">
        <f>'Water-Meter'!E22</f>
        <v>127</v>
      </c>
      <c r="G21" s="601">
        <f>'Water-Meter'!AN21</f>
        <v>170</v>
      </c>
      <c r="H21" s="600">
        <f>'Utility report '!AC22</f>
        <v>110</v>
      </c>
      <c r="I21" s="596">
        <f>'Kit report'!F20</f>
        <v>516.00000000002183</v>
      </c>
      <c r="J21" s="597">
        <f>'Kit report'!X20</f>
        <v>800</v>
      </c>
    </row>
    <row r="22" spans="1:10" ht="15" customHeight="1">
      <c r="A22" s="295">
        <v>43787</v>
      </c>
      <c r="B22" s="603">
        <f>Gen!B28</f>
        <v>0.51900000000000002</v>
      </c>
      <c r="C22" s="687">
        <f>Gen!AJ28</f>
        <v>160.38999999999999</v>
      </c>
      <c r="D22" s="690">
        <f>Gen!S28</f>
        <v>2272.4</v>
      </c>
      <c r="E22" s="597">
        <f>Gen!C28</f>
        <v>44244.070000000029</v>
      </c>
      <c r="F22" s="599">
        <f>'Water-Meter'!E23</f>
        <v>106</v>
      </c>
      <c r="G22" s="601">
        <f>'Water-Meter'!AN22</f>
        <v>172</v>
      </c>
      <c r="H22" s="600">
        <f>'Utility report '!AC23</f>
        <v>77</v>
      </c>
      <c r="I22" s="596">
        <f>'Kit report'!F21</f>
        <v>516.00000000002183</v>
      </c>
      <c r="J22" s="597">
        <f>'Kit report'!X21</f>
        <v>820.00000000007276</v>
      </c>
    </row>
    <row r="23" spans="1:10" ht="15" customHeight="1">
      <c r="A23" s="295">
        <v>43788</v>
      </c>
      <c r="B23" s="603">
        <f>Gen!B29</f>
        <v>9.0999999999999998E-2</v>
      </c>
      <c r="C23" s="687">
        <f>Gen!AJ29</f>
        <v>107.72999999999999</v>
      </c>
      <c r="D23" s="690">
        <f>Gen!S29</f>
        <v>1853.3000000000002</v>
      </c>
      <c r="E23" s="597">
        <f>Gen!C29</f>
        <v>41811.280000000028</v>
      </c>
      <c r="F23" s="599">
        <f>'Water-Meter'!E24</f>
        <v>98</v>
      </c>
      <c r="G23" s="601">
        <f>'Water-Meter'!AN23</f>
        <v>174</v>
      </c>
      <c r="H23" s="600">
        <f>'Utility report '!AC24</f>
        <v>113</v>
      </c>
      <c r="I23" s="596">
        <f>'Kit report'!F22</f>
        <v>492.00000000004366</v>
      </c>
      <c r="J23" s="597">
        <f>'Kit report'!X22</f>
        <v>900</v>
      </c>
    </row>
    <row r="24" spans="1:10" ht="15" customHeight="1">
      <c r="A24" s="295">
        <v>43789</v>
      </c>
      <c r="B24" s="603">
        <f>Gen!B30</f>
        <v>0.11700000000000001</v>
      </c>
      <c r="C24" s="687">
        <f>Gen!AJ30</f>
        <v>84.19</v>
      </c>
      <c r="D24" s="690">
        <f>Gen!S30</f>
        <v>1844.6200000000001</v>
      </c>
      <c r="E24" s="597">
        <f>Gen!C30</f>
        <v>39850.250000000029</v>
      </c>
      <c r="F24" s="599">
        <f>'Water-Meter'!E25</f>
        <v>79</v>
      </c>
      <c r="G24" s="601">
        <f>'Water-Meter'!AN24</f>
        <v>173</v>
      </c>
      <c r="H24" s="600">
        <f>'Utility report '!AC25</f>
        <v>62</v>
      </c>
      <c r="I24" s="596">
        <f>'Kit report'!F23</f>
        <v>431.99999999993452</v>
      </c>
      <c r="J24" s="597">
        <f>'Kit report'!X23</f>
        <v>660.00000000003638</v>
      </c>
    </row>
    <row r="25" spans="1:10" ht="15" customHeight="1">
      <c r="A25" s="295">
        <v>43790</v>
      </c>
      <c r="B25" s="603">
        <f>Gen!B31</f>
        <v>0.13</v>
      </c>
      <c r="C25" s="687">
        <f>Gen!AJ31</f>
        <v>38.159999999999997</v>
      </c>
      <c r="D25" s="690">
        <f>Gen!S31</f>
        <v>1557.2</v>
      </c>
      <c r="E25" s="597">
        <f>Gen!C31</f>
        <v>37921.440000000031</v>
      </c>
      <c r="F25" s="599">
        <f>'Water-Meter'!E26</f>
        <v>95</v>
      </c>
      <c r="G25" s="601">
        <f>'Water-Meter'!AN25</f>
        <v>168</v>
      </c>
      <c r="H25" s="600">
        <f>'Utility report '!AC26</f>
        <v>108</v>
      </c>
      <c r="I25" s="596">
        <f>'Kit report'!F24</f>
        <v>443.99999999997817</v>
      </c>
      <c r="J25" s="597">
        <f>'Kit report'!X24</f>
        <v>500</v>
      </c>
    </row>
    <row r="26" spans="1:10" ht="15" customHeight="1">
      <c r="A26" s="295">
        <v>43791</v>
      </c>
      <c r="B26" s="603">
        <f>Gen!B32</f>
        <v>0.14299999999999999</v>
      </c>
      <c r="C26" s="687">
        <f>Gen!AJ32</f>
        <v>86.34</v>
      </c>
      <c r="D26" s="690">
        <f>Gen!S32</f>
        <v>1822.8899999999999</v>
      </c>
      <c r="E26" s="597">
        <f>Gen!C32</f>
        <v>36326.080000000031</v>
      </c>
      <c r="F26" s="599">
        <f>'Water-Meter'!E27</f>
        <v>95</v>
      </c>
      <c r="G26" s="601">
        <f>'Water-Meter'!AN26</f>
        <v>172</v>
      </c>
      <c r="H26" s="600">
        <f>'Utility report '!AC27</f>
        <v>108</v>
      </c>
      <c r="I26" s="596">
        <f>'Kit report'!F25</f>
        <v>468.00000000006548</v>
      </c>
      <c r="J26" s="597">
        <f>'Kit report'!X25</f>
        <v>419.99999999989086</v>
      </c>
    </row>
    <row r="27" spans="1:10" ht="15" customHeight="1">
      <c r="A27" s="295">
        <v>43792</v>
      </c>
      <c r="B27" s="603">
        <f>Gen!B33</f>
        <v>0.16900000000000001</v>
      </c>
      <c r="C27" s="687">
        <f>Gen!AJ33</f>
        <v>0</v>
      </c>
      <c r="D27" s="690">
        <f>Gen!S33</f>
        <v>0</v>
      </c>
      <c r="E27" s="597">
        <f>Gen!C33</f>
        <v>34416.850000000028</v>
      </c>
      <c r="F27" s="599" t="str">
        <f>'Water-Meter'!E28</f>
        <v>0</v>
      </c>
      <c r="G27" s="601">
        <f>'Water-Meter'!AN27</f>
        <v>174</v>
      </c>
      <c r="H27" s="600">
        <f>'Utility report '!AC28</f>
        <v>-17186</v>
      </c>
      <c r="I27" s="596">
        <f>'Kit report'!F26</f>
        <v>-976296</v>
      </c>
      <c r="J27" s="597">
        <f>'Kit report'!X26</f>
        <v>-1466880</v>
      </c>
    </row>
    <row r="28" spans="1:10" ht="15" customHeight="1">
      <c r="A28" s="295">
        <v>43793</v>
      </c>
      <c r="B28" s="603">
        <v>9.0999999999999998E-2</v>
      </c>
      <c r="C28" s="687">
        <f>Gen!AJ34</f>
        <v>0</v>
      </c>
      <c r="D28" s="690">
        <f>Gen!S34</f>
        <v>0</v>
      </c>
      <c r="E28" s="597">
        <f>Gen!C34</f>
        <v>34416.850000000028</v>
      </c>
      <c r="F28" s="599">
        <f>'Water-Meter'!E29</f>
        <v>0</v>
      </c>
      <c r="G28" s="601">
        <f>'Water-Meter'!AN28</f>
        <v>0</v>
      </c>
      <c r="H28" s="600">
        <f>'Utility report '!AC29</f>
        <v>0</v>
      </c>
      <c r="I28" s="596">
        <f>'Kit report'!F27</f>
        <v>0</v>
      </c>
      <c r="J28" s="597">
        <f>'Kit report'!X27</f>
        <v>0</v>
      </c>
    </row>
    <row r="29" spans="1:10" ht="15" customHeight="1">
      <c r="A29" s="295">
        <v>43794</v>
      </c>
      <c r="B29" s="603">
        <f>Gen!B35</f>
        <v>0</v>
      </c>
      <c r="C29" s="687">
        <f>Gen!AJ35</f>
        <v>0</v>
      </c>
      <c r="D29" s="690">
        <f>Gen!S35</f>
        <v>0</v>
      </c>
      <c r="E29" s="597">
        <f>Gen!C35</f>
        <v>34416.850000000028</v>
      </c>
      <c r="F29" s="599">
        <f>'Water-Meter'!E30</f>
        <v>0</v>
      </c>
      <c r="G29" s="601">
        <f>'Water-Meter'!AN29</f>
        <v>0</v>
      </c>
      <c r="H29" s="600">
        <f>'Utility report '!AC30</f>
        <v>0</v>
      </c>
      <c r="I29" s="596">
        <f>'Kit report'!F28</f>
        <v>0</v>
      </c>
      <c r="J29" s="597">
        <f>'Kit report'!X28</f>
        <v>0</v>
      </c>
    </row>
    <row r="30" spans="1:10" ht="15" customHeight="1">
      <c r="A30" s="295">
        <v>43795</v>
      </c>
      <c r="B30" s="603">
        <f>Gen!B36</f>
        <v>0</v>
      </c>
      <c r="C30" s="687">
        <f>Gen!AJ36</f>
        <v>0</v>
      </c>
      <c r="D30" s="690">
        <f>Gen!S36</f>
        <v>0</v>
      </c>
      <c r="E30" s="597">
        <f>Gen!C36</f>
        <v>34416.850000000028</v>
      </c>
      <c r="F30" s="599">
        <f>'Water-Meter'!E31</f>
        <v>0</v>
      </c>
      <c r="G30" s="601">
        <f>'Water-Meter'!AN30</f>
        <v>0</v>
      </c>
      <c r="H30" s="600">
        <f>'Utility report '!AC31</f>
        <v>0</v>
      </c>
      <c r="I30" s="596">
        <f>'Kit report'!F29</f>
        <v>0</v>
      </c>
      <c r="J30" s="597">
        <f>'Kit report'!X29</f>
        <v>0</v>
      </c>
    </row>
    <row r="31" spans="1:10" ht="15" customHeight="1">
      <c r="A31" s="295">
        <v>43796</v>
      </c>
      <c r="B31" s="603">
        <f>Gen!B37</f>
        <v>0</v>
      </c>
      <c r="C31" s="687">
        <f>Gen!AJ37</f>
        <v>0</v>
      </c>
      <c r="D31" s="690">
        <f>Gen!S37</f>
        <v>0</v>
      </c>
      <c r="E31" s="597">
        <f>Gen!C37</f>
        <v>34416.850000000028</v>
      </c>
      <c r="F31" s="599">
        <f>'Water-Meter'!E32</f>
        <v>0</v>
      </c>
      <c r="G31" s="601">
        <f>'Water-Meter'!AN31</f>
        <v>0</v>
      </c>
      <c r="H31" s="600">
        <f>'Utility report '!AC32</f>
        <v>0</v>
      </c>
      <c r="I31" s="596">
        <f>'Kit report'!F30</f>
        <v>0</v>
      </c>
      <c r="J31" s="597">
        <f>'Kit report'!X30</f>
        <v>0</v>
      </c>
    </row>
    <row r="32" spans="1:10" ht="15" customHeight="1">
      <c r="A32" s="295">
        <v>43797</v>
      </c>
      <c r="B32" s="603">
        <f>Gen!B38</f>
        <v>0</v>
      </c>
      <c r="C32" s="687">
        <f>Gen!AJ38</f>
        <v>0</v>
      </c>
      <c r="D32" s="690">
        <f>Gen!S38</f>
        <v>0</v>
      </c>
      <c r="E32" s="597">
        <f>Gen!C38</f>
        <v>34416.850000000028</v>
      </c>
      <c r="F32" s="599">
        <f>'Water-Meter'!E33</f>
        <v>0</v>
      </c>
      <c r="G32" s="601">
        <f>'Water-Meter'!AN32</f>
        <v>0</v>
      </c>
      <c r="H32" s="600">
        <f>'Utility report '!AC33</f>
        <v>0</v>
      </c>
      <c r="I32" s="596">
        <f>'Kit report'!F31</f>
        <v>0</v>
      </c>
      <c r="J32" s="597">
        <f>'Kit report'!X31</f>
        <v>0</v>
      </c>
    </row>
    <row r="33" spans="1:10" ht="15" customHeight="1">
      <c r="A33" s="295">
        <v>43798</v>
      </c>
      <c r="B33" s="603">
        <f>Gen!B39</f>
        <v>0</v>
      </c>
      <c r="C33" s="687">
        <f>Gen!AJ39</f>
        <v>0</v>
      </c>
      <c r="D33" s="690">
        <f>Gen!S39</f>
        <v>0</v>
      </c>
      <c r="E33" s="597">
        <f>Gen!C39</f>
        <v>34416.850000000028</v>
      </c>
      <c r="F33" s="599">
        <f>'Water-Meter'!E34</f>
        <v>0</v>
      </c>
      <c r="G33" s="601">
        <f>'Water-Meter'!AN33</f>
        <v>0</v>
      </c>
      <c r="H33" s="600">
        <f>'Utility report '!AC34</f>
        <v>0</v>
      </c>
      <c r="I33" s="596">
        <f>'Kit report'!F32</f>
        <v>0</v>
      </c>
      <c r="J33" s="597">
        <f>'Kit report'!X32</f>
        <v>0</v>
      </c>
    </row>
    <row r="34" spans="1:10" ht="15" customHeight="1">
      <c r="A34" s="295">
        <v>43799</v>
      </c>
      <c r="B34" s="681">
        <f>Gen!B40</f>
        <v>0</v>
      </c>
      <c r="C34" s="687">
        <f>Gen!AJ40</f>
        <v>0</v>
      </c>
      <c r="D34" s="691">
        <f>Gen!S40</f>
        <v>0</v>
      </c>
      <c r="E34" s="683">
        <f>Gen!C40</f>
        <v>34416.850000000028</v>
      </c>
      <c r="F34" s="682">
        <f>'Water-Meter'!E35</f>
        <v>0</v>
      </c>
      <c r="G34" s="684">
        <f>'Water-Meter'!AN34</f>
        <v>0</v>
      </c>
      <c r="H34" s="685">
        <f>'Utility report '!AC35</f>
        <v>0</v>
      </c>
      <c r="I34" s="686">
        <f>'Kit report'!F33</f>
        <v>0</v>
      </c>
      <c r="J34" s="683">
        <f>'Kit report'!X33</f>
        <v>0</v>
      </c>
    </row>
    <row r="35" spans="1:10" ht="15" customHeight="1">
      <c r="A35" s="295">
        <v>43800</v>
      </c>
      <c r="B35" s="603">
        <f>Gen!B41</f>
        <v>0</v>
      </c>
      <c r="C35" s="687">
        <f>Gen!AJ41</f>
        <v>0</v>
      </c>
      <c r="D35" s="690">
        <f>Gen!S41</f>
        <v>0</v>
      </c>
      <c r="E35" s="601">
        <f>Gen!C41</f>
        <v>34416.850000000028</v>
      </c>
      <c r="F35" s="601">
        <f>'Water-Meter'!E36</f>
        <v>0</v>
      </c>
      <c r="G35" s="601">
        <f>'Water-Meter'!AN35</f>
        <v>0</v>
      </c>
      <c r="H35" s="601">
        <f>'Utility report '!AC36</f>
        <v>0</v>
      </c>
      <c r="I35" s="601">
        <f>'Kit report'!F34</f>
        <v>0</v>
      </c>
      <c r="J35" s="601">
        <f>'Kit report'!X34</f>
        <v>0</v>
      </c>
    </row>
    <row r="36" spans="1:10" ht="13.5">
      <c r="A36" s="693">
        <v>43801</v>
      </c>
      <c r="B36" s="19"/>
      <c r="C36" s="6"/>
      <c r="D36" s="18"/>
      <c r="E36" s="601">
        <f>Gen!C42</f>
        <v>34416.850000000028</v>
      </c>
      <c r="F36" s="6"/>
      <c r="G36" s="6"/>
      <c r="H36" s="6"/>
      <c r="I36" s="6"/>
      <c r="J36" s="6"/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2019-11-22T06:01:53Z</cp:lastPrinted>
  <dcterms:created xsi:type="dcterms:W3CDTF">2009-01-25T09:02:38Z</dcterms:created>
  <dcterms:modified xsi:type="dcterms:W3CDTF">2019-11-23T10:49:29Z</dcterms:modified>
</cp:coreProperties>
</file>