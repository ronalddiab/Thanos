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32" i="7" l="1"/>
  <c r="AT32" i="7"/>
  <c r="T26" i="7" l="1"/>
  <c r="T27" i="7"/>
  <c r="T28" i="7"/>
  <c r="T29" i="7"/>
  <c r="T30" i="7"/>
  <c r="T31" i="7"/>
  <c r="T32" i="7"/>
  <c r="T33" i="7"/>
  <c r="T34" i="7"/>
  <c r="T22" i="7" l="1"/>
  <c r="T23" i="7"/>
  <c r="T24" i="7"/>
  <c r="T25" i="7"/>
  <c r="T21" i="7"/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<sst xmlns="http://schemas.openxmlformats.org/spreadsheetml/2006/main" count="313" uniqueCount="148">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</sst>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216.11699999999999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12510.000000000313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121</v>
      </c>
      <c r="J23" s="11">
        <f t="shared" si="3"/>
        <v>10.487297712684205</v>
      </c>
      <c r="K23" s="13">
        <f>'FS Desroches Daily'!CN25</f>
        <v>14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5769.9999999994416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43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8980.0000000010186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90</v>
      </c>
      <c r="J25" s="11">
        <f t="shared" si="3"/>
        <v>10.487297712684205</v>
      </c>
      <c r="K25" s="13">
        <f>'FS Desroches Daily'!CN27</f>
        <v>14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8079.9999999996708</v>
      </c>
      <c r="F26" s="11">
        <f t="shared" si="1"/>
        <v>0.58765030286592534</v>
      </c>
      <c r="G26" s="12">
        <f>(Submetering!AX26+Submetering!AY26+Submetering!AZ26+Submetering!BA26+Submetering!BB26)</f>
        <v>32.966999999999992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8260.000000000111</v>
      </c>
      <c r="F27" s="11">
        <f t="shared" si="1"/>
        <v>0.58765030286592534</v>
      </c>
      <c r="G27" s="12">
        <f>(Submetering!AX27+Submetering!AY27+Submetering!AZ27+Submetering!BA27+Submetering!BB27)</f>
        <v>38.461499999999994</v>
      </c>
      <c r="H27" s="11">
        <f t="shared" si="2"/>
        <v>0.99</v>
      </c>
      <c r="I27" s="12">
        <f>'FS Desroches Daily'!CM29</f>
        <v>75</v>
      </c>
      <c r="J27" s="11">
        <f t="shared" si="3"/>
        <v>10.487297712684205</v>
      </c>
      <c r="K27" s="13">
        <f>'FS Desroches Daily'!CN29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7270.0000000000227</v>
      </c>
      <c r="F28" s="11">
        <f t="shared" si="1"/>
        <v>0.58765030286592534</v>
      </c>
      <c r="G28" s="12">
        <f>(Submetering!AX28+Submetering!AY28+Submetering!AZ28+Submetering!BA28+Submetering!BB28)</f>
        <v>40.292999999999999</v>
      </c>
      <c r="H28" s="11">
        <f t="shared" si="2"/>
        <v>0.99</v>
      </c>
      <c r="I28" s="12">
        <f>'FS Desroches Daily'!CM30</f>
        <v>56</v>
      </c>
      <c r="J28" s="11">
        <f t="shared" si="3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6560.0000000001091</v>
      </c>
      <c r="F29" s="11">
        <f t="shared" si="1"/>
        <v>0.58765030286592534</v>
      </c>
      <c r="G29" s="12">
        <f>(Submetering!AX29+Submetering!AY29+Submetering!AZ29+Submetering!BA29+Submetering!BB29)</f>
        <v>42.124499999999998</v>
      </c>
      <c r="H29" s="11">
        <f t="shared" si="2"/>
        <v>0.99</v>
      </c>
      <c r="I29" s="12">
        <f>'FS Desroches Daily'!CM31</f>
        <v>61</v>
      </c>
      <c r="J29" s="11">
        <f t="shared" si="3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8429.9999999998927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66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8029.9999999996362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83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>0</v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899.99999999997726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IF(LPG!F27-LPG!F26&lt;0,"0",(LPG!F27-LPG!F26)*1.8315)</f>
        <v>9.1574999999999989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799.99999999995453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>
        <f>'FS Desroches Daily'!BF23</f>
        <v>20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1100.0000000000227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21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>
        <f>IF(LPG!F29-LPG!F28&lt;0,"0",(LPG!F29-LPG!F28)*1.8315)</f>
        <v>194.13899999999998</v>
      </c>
      <c r="AY22" s="31">
        <f>IF(LPG!H29-LPG!H28&lt;0,"0",(LPG!H29-LPG!H28)*1.8315)</f>
        <v>9.1574999999999989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10.988999999999999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3299.9999999998586</v>
      </c>
      <c r="F23" s="32">
        <f>'FS Desroches Daily'!F25</f>
        <v>3400.0000000000696</v>
      </c>
      <c r="G23" s="31">
        <f>'FS Desroches Daily'!H25</f>
        <v>3900.0000000002365</v>
      </c>
      <c r="H23" s="32">
        <f>'FS Desroches Daily'!J25</f>
        <v>1500.0000000000568</v>
      </c>
      <c r="I23" s="31">
        <f>'FS Desroches Daily'!L25</f>
        <v>2699.9999999999245</v>
      </c>
      <c r="J23" s="32">
        <f>'FS Desroches Daily'!N25</f>
        <v>1300.0000000000789</v>
      </c>
      <c r="K23" s="13">
        <f>'FS Desroches Daily'!P25</f>
        <v>8</v>
      </c>
      <c r="L23" s="31">
        <f>'FS Desroches Daily'!R25</f>
        <v>2</v>
      </c>
      <c r="M23" s="31">
        <f>'FS Desroches Daily'!T25</f>
        <v>1399.9999999999773</v>
      </c>
      <c r="N23" s="31">
        <f>'FS Desroches Daily'!V25</f>
        <v>484.59999999997672</v>
      </c>
      <c r="O23" s="31">
        <f>'FS Desroches Daily'!X25</f>
        <v>329.99999999998408</v>
      </c>
      <c r="P23" s="31">
        <f>'FS Desroches Daily'!Z25</f>
        <v>3099.9999999998809</v>
      </c>
      <c r="Q23" s="31">
        <f>'FS Desroches Daily'!AB25</f>
        <v>410.00000000002501</v>
      </c>
      <c r="R23" s="31">
        <f>'FS Desroches Daily'!AD25</f>
        <v>430.00000000000682</v>
      </c>
      <c r="S23" s="31">
        <f>'FS Desroches Daily'!AF25</f>
        <v>279.99999999997272</v>
      </c>
      <c r="T23" s="31">
        <f>'FS Desroches Daily'!AH25</f>
        <v>56</v>
      </c>
      <c r="U23" s="35">
        <f>'FS Desroches Daily'!AJ25</f>
        <v>850.00000000002274</v>
      </c>
      <c r="V23" s="35">
        <f>'FS Desroches Daily'!AL25</f>
        <v>120.00000000000455</v>
      </c>
      <c r="W23" s="35">
        <f>'FS Desroches Daily'!AN25</f>
        <v>250</v>
      </c>
      <c r="X23" s="35">
        <f>'FS Desroches Daily'!AP25</f>
        <v>120.00000000000455</v>
      </c>
      <c r="Y23" s="35">
        <f>'FS Desroches Daily'!AR25</f>
        <v>439.99999999999773</v>
      </c>
      <c r="Z23" s="35">
        <f>'FS Desroches Daily'!AT25</f>
        <v>430.00000000000682</v>
      </c>
      <c r="AA23" s="35">
        <f>'FS Desroches Daily'!AT25</f>
        <v>430.00000000000682</v>
      </c>
      <c r="AB23" s="35">
        <f>'FS Desroches Daily'!AV25</f>
        <v>349.99999999996589</v>
      </c>
      <c r="AC23" s="35">
        <f>'FS Desroches Daily'!AZ25</f>
        <v>80.000000000040927</v>
      </c>
      <c r="AD23" s="35">
        <f>'FS Desroches Daily'!BB25</f>
        <v>39.99999999996362</v>
      </c>
      <c r="AE23" s="35">
        <f>'FS Desroches Daily'!BD25</f>
        <v>189.99999999999773</v>
      </c>
      <c r="AF23" s="31">
        <f>'FS Desroches Daily'!BF25</f>
        <v>50</v>
      </c>
      <c r="AG23" s="32">
        <f>'FS Desroches Daily'!BH25</f>
        <v>20.000000000010232</v>
      </c>
      <c r="AH23" s="32">
        <f>'FS Desroches Daily'!BJ25</f>
        <v>29.999999999972715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34</v>
      </c>
      <c r="AM23" s="32">
        <f>'FS Desroches Daily'!BT25</f>
        <v>30.000000000001137</v>
      </c>
      <c r="AN23" s="32">
        <f>'FS Desroches Daily'!BV25</f>
        <v>49</v>
      </c>
      <c r="AO23" s="32">
        <f>'FS Desroches Daily'!BX25</f>
        <v>30.000000000001137</v>
      </c>
      <c r="AP23" s="32">
        <f>'FS Desroches Daily'!BZ25</f>
        <v>48</v>
      </c>
      <c r="AQ23" s="31">
        <f>'FS Desroches Daily'!CB25</f>
        <v>60.600000000002183</v>
      </c>
      <c r="AR23" s="31">
        <f>'FS Desroches Daily'!CD25</f>
        <v>13.5</v>
      </c>
      <c r="AS23" s="31">
        <f>'FS Desroches Daily'!CF25</f>
        <v>1.4000000000005457</v>
      </c>
      <c r="AT23" s="31">
        <f>'FS Desroches Daily'!CH25</f>
        <v>61.19999999999709</v>
      </c>
      <c r="AU23" s="31">
        <f>'FS Desroches Daily'!CJ25</f>
        <v>346</v>
      </c>
      <c r="AV23" s="31">
        <f>'FS Desroches Daily'!CL25</f>
        <v>889.99999999998636</v>
      </c>
      <c r="AW23" s="31">
        <f>'FS Desroches Daily'!CM25</f>
        <v>121</v>
      </c>
      <c r="AX23" s="31" t="str">
        <f>IF(LPG!F30-LPG!F29&lt;0,"0",(LPG!F30-LPG!F29)*1.8315)</f>
        <v>0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1.8314999999999999</v>
      </c>
      <c r="BC23" s="13">
        <f>'FS Desroches Daily'!CN25</f>
        <v>14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1500.0000000000568</v>
      </c>
      <c r="F24" s="32">
        <f>'FS Desroches Daily'!F26</f>
        <v>1700.0000000000348</v>
      </c>
      <c r="G24" s="31">
        <f>'FS Desroches Daily'!H26</f>
        <v>1499.9999999996128</v>
      </c>
      <c r="H24" s="32">
        <f>'FS Desroches Daily'!J26</f>
        <v>899.99999999990087</v>
      </c>
      <c r="I24" s="31">
        <f>'FS Desroches Daily'!L26</f>
        <v>1500.0000000000568</v>
      </c>
      <c r="J24" s="32">
        <f>'FS Desroches Daily'!N26</f>
        <v>699.99999999992292</v>
      </c>
      <c r="K24" s="13">
        <f>'FS Desroches Daily'!P26</f>
        <v>1</v>
      </c>
      <c r="L24" s="31">
        <f>'FS Desroches Daily'!R26</f>
        <v>1</v>
      </c>
      <c r="M24" s="31">
        <f>'FS Desroches Daily'!T26</f>
        <v>300.00000000006821</v>
      </c>
      <c r="N24" s="31">
        <f>'FS Desroches Daily'!V26</f>
        <v>138.60000000003492</v>
      </c>
      <c r="O24" s="31">
        <f>'FS Desroches Daily'!X26</f>
        <v>180.00000000000682</v>
      </c>
      <c r="P24" s="31">
        <f>'FS Desroches Daily'!Z26</f>
        <v>1400.0000000002899</v>
      </c>
      <c r="Q24" s="31">
        <f>'FS Desroches Daily'!AB26</f>
        <v>259.99999999999091</v>
      </c>
      <c r="R24" s="31">
        <f>'FS Desroches Daily'!AD26</f>
        <v>189.99999999999773</v>
      </c>
      <c r="S24" s="31">
        <f>'FS Desroches Daily'!AF26</f>
        <v>150.00000000009095</v>
      </c>
      <c r="T24" s="31">
        <f>'FS Desroches Daily'!AH26</f>
        <v>24</v>
      </c>
      <c r="U24" s="35">
        <f>'FS Desroches Daily'!AJ26</f>
        <v>259.99999999999091</v>
      </c>
      <c r="V24" s="35">
        <f>'FS Desroches Daily'!AL26</f>
        <v>60.000000000002274</v>
      </c>
      <c r="W24" s="35">
        <f>'FS Desroches Daily'!AN26</f>
        <v>90.000000000003411</v>
      </c>
      <c r="X24" s="35">
        <f>'FS Desroches Daily'!AP26</f>
        <v>50.000000000011369</v>
      </c>
      <c r="Y24" s="35">
        <f>'FS Desroches Daily'!AR26</f>
        <v>189.99999999999773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189.99999999999773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120.00000000000455</v>
      </c>
      <c r="AF24" s="31">
        <f>'FS Desroches Daily'!BF26</f>
        <v>42</v>
      </c>
      <c r="AG24" s="32">
        <f>'FS Desroches Daily'!BH26</f>
        <v>20.000000000010232</v>
      </c>
      <c r="AH24" s="32">
        <f>'FS Desroches Daily'!BJ26</f>
        <v>20.000000000038654</v>
      </c>
      <c r="AI24" s="32">
        <f>'FS Desroches Daily'!BL26</f>
        <v>20.000000000010232</v>
      </c>
      <c r="AJ24" s="32">
        <f>'FS Desroches Daily'!BN26</f>
        <v>20.000000000010232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30.000000000001137</v>
      </c>
      <c r="AN24" s="32">
        <f>'FS Desroches Daily'!BV26</f>
        <v>27</v>
      </c>
      <c r="AO24" s="32">
        <f>'FS Desroches Daily'!BX26</f>
        <v>10.000000000019327</v>
      </c>
      <c r="AP24" s="32">
        <f>'FS Desroches Daily'!BZ26</f>
        <v>29</v>
      </c>
      <c r="AQ24" s="31">
        <f>'FS Desroches Daily'!CB26</f>
        <v>25</v>
      </c>
      <c r="AR24" s="31">
        <f>'FS Desroches Daily'!CD26</f>
        <v>2.2000000000007276</v>
      </c>
      <c r="AS24" s="31">
        <f>'FS Desroches Daily'!CF26</f>
        <v>4.0999999999994543</v>
      </c>
      <c r="AT24" s="31">
        <f>'FS Desroches Daily'!CH26</f>
        <v>19.200000000004366</v>
      </c>
      <c r="AU24" s="31">
        <f>'FS Desroches Daily'!CJ26</f>
        <v>184</v>
      </c>
      <c r="AV24" s="31">
        <f>'FS Desroches Daily'!CL26</f>
        <v>530.0000000000864</v>
      </c>
      <c r="AW24" s="31">
        <f>'FS Desroches Daily'!CM26</f>
        <v>43</v>
      </c>
      <c r="AX24" s="31">
        <f>IF(LPG!F31-LPG!F30&lt;0,"0",(LPG!F31-LPG!F30)*1.8315)</f>
        <v>10.988999999999999</v>
      </c>
      <c r="AY24" s="31">
        <f>IF(LPG!H31-LPG!H30&lt;0,"0",(LPG!H31-LPG!H30)*1.8315)</f>
        <v>5.4944999999999995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2200.0000000002019</v>
      </c>
      <c r="F25" s="32">
        <f>'FS Desroches Daily'!F27</f>
        <v>2600.0000000001578</v>
      </c>
      <c r="G25" s="31">
        <f>'FS Desroches Daily'!H27</f>
        <v>2900.0000000003465</v>
      </c>
      <c r="H25" s="32">
        <f>'FS Desroches Daily'!J27</f>
        <v>1200.0000000000898</v>
      </c>
      <c r="I25" s="31">
        <f>'FS Desroches Daily'!L27</f>
        <v>2299.9999999999686</v>
      </c>
      <c r="J25" s="32">
        <f>'FS Desroches Daily'!N27</f>
        <v>800.00000000013392</v>
      </c>
      <c r="K25" s="13">
        <f>'FS Desroches Daily'!P27</f>
        <v>6</v>
      </c>
      <c r="L25" s="31">
        <f>'FS Desroches Daily'!R27</f>
        <v>2</v>
      </c>
      <c r="M25" s="31">
        <f>'FS Desroches Daily'!T27</f>
        <v>1000</v>
      </c>
      <c r="N25" s="31">
        <f>'FS Desroches Daily'!V27</f>
        <v>323.20000000001164</v>
      </c>
      <c r="O25" s="31">
        <f>'FS Desroches Daily'!X27</f>
        <v>270.00000000003865</v>
      </c>
      <c r="P25" s="31">
        <f>'FS Desroches Daily'!Z27</f>
        <v>2399.9999999997358</v>
      </c>
      <c r="Q25" s="31">
        <f>'FS Desroches Daily'!AB27</f>
        <v>300.00000000001137</v>
      </c>
      <c r="R25" s="31">
        <f>'FS Desroches Daily'!AD27</f>
        <v>209.99999999997954</v>
      </c>
      <c r="S25" s="31">
        <f>'FS Desroches Daily'!AF27</f>
        <v>199.99999999993179</v>
      </c>
      <c r="T25" s="31">
        <f>'FS Desroches Daily'!AH27</f>
        <v>35</v>
      </c>
      <c r="U25" s="35">
        <f>'FS Desroches Daily'!AJ27</f>
        <v>350.00000000002274</v>
      </c>
      <c r="V25" s="35">
        <f>'FS Desroches Daily'!AL27</f>
        <v>159.99999999999659</v>
      </c>
      <c r="W25" s="35">
        <f>'FS Desroches Daily'!AN27</f>
        <v>129.99999999999545</v>
      </c>
      <c r="X25" s="35">
        <f>'FS Desroches Daily'!AP27</f>
        <v>79.999999999984084</v>
      </c>
      <c r="Y25" s="35">
        <f>'FS Desroches Daily'!AR27</f>
        <v>310.00000000000227</v>
      </c>
      <c r="Z25" s="35">
        <f>'FS Desroches Daily'!AT27</f>
        <v>300.00000000001137</v>
      </c>
      <c r="AA25" s="35">
        <f>'FS Desroches Daily'!AT27</f>
        <v>300.00000000001137</v>
      </c>
      <c r="AB25" s="35">
        <f>'FS Desroches Daily'!AV27</f>
        <v>300.00000000001137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79.999999999984084</v>
      </c>
      <c r="AF25" s="31">
        <f>'FS Desroches Daily'!BF27</f>
        <v>28</v>
      </c>
      <c r="AG25" s="32">
        <f>'FS Desroches Daily'!BH27</f>
        <v>39.999999999992042</v>
      </c>
      <c r="AH25" s="32">
        <f>'FS Desroches Daily'!BJ27</f>
        <v>19.99999999998181</v>
      </c>
      <c r="AI25" s="32">
        <f>'FS Desroches Daily'!BL27</f>
        <v>19.99999999998181</v>
      </c>
      <c r="AJ25" s="32">
        <f>'FS Desroches Daily'!BN27</f>
        <v>30.000000000001137</v>
      </c>
      <c r="AK25" s="32">
        <f>'FS Desroches Daily'!BP27</f>
        <v>29.999999999972715</v>
      </c>
      <c r="AL25" s="32">
        <f>'FS Desroches Daily'!BR27</f>
        <v>30</v>
      </c>
      <c r="AM25" s="32">
        <f>'FS Desroches Daily'!BT27</f>
        <v>20.000000000010232</v>
      </c>
      <c r="AN25" s="32">
        <f>'FS Desroches Daily'!BV27</f>
        <v>34</v>
      </c>
      <c r="AO25" s="32">
        <f>'FS Desroches Daily'!BX27</f>
        <v>19.99999999998181</v>
      </c>
      <c r="AP25" s="32">
        <f>'FS Desroches Daily'!BZ27</f>
        <v>41</v>
      </c>
      <c r="AQ25" s="31">
        <f>'FS Desroches Daily'!CB27</f>
        <v>49.899999999994179</v>
      </c>
      <c r="AR25" s="31">
        <f>'FS Desroches Daily'!CD27</f>
        <v>7.3999999999996362</v>
      </c>
      <c r="AS25" s="31">
        <f>'FS Desroches Daily'!CF27</f>
        <v>3.9000000000005457</v>
      </c>
      <c r="AT25" s="31">
        <f>'FS Desroches Daily'!CH27</f>
        <v>33.399999999994179</v>
      </c>
      <c r="AU25" s="31">
        <f>'FS Desroches Daily'!CJ27</f>
        <v>259</v>
      </c>
      <c r="AV25" s="31">
        <f>'FS Desroches Daily'!CL27</f>
        <v>719.9999999999136</v>
      </c>
      <c r="AW25" s="31">
        <f>'FS Desroches Daily'!CM27</f>
        <v>90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14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1700.0000000000348</v>
      </c>
      <c r="F26" s="32">
        <f>'FS Desroches Daily'!F28</f>
        <v>2299.9999999999686</v>
      </c>
      <c r="G26" s="31">
        <f>'FS Desroches Daily'!H28</f>
        <v>2899.9999999999027</v>
      </c>
      <c r="H26" s="32">
        <f>'FS Desroches Daily'!J28</f>
        <v>1099.9999999998788</v>
      </c>
      <c r="I26" s="31">
        <f>'FS Desroches Daily'!L28</f>
        <v>2099.9999999999909</v>
      </c>
      <c r="J26" s="32">
        <f>'FS Desroches Daily'!N28</f>
        <v>799.99999999991189</v>
      </c>
      <c r="K26" s="13">
        <f>'FS Desroches Daily'!P28</f>
        <v>7</v>
      </c>
      <c r="L26" s="31">
        <f>'FS Desroches Daily'!R28</f>
        <v>1</v>
      </c>
      <c r="M26" s="31">
        <f>'FS Desroches Daily'!T28</f>
        <v>1100.0000000000227</v>
      </c>
      <c r="N26" s="31">
        <f>'FS Desroches Daily'!V28</f>
        <v>328.59999999997672</v>
      </c>
      <c r="O26" s="31">
        <f>'FS Desroches Daily'!X28</f>
        <v>219.99999999997044</v>
      </c>
      <c r="P26" s="31">
        <f>'FS Desroches Daily'!Z28</f>
        <v>2000.0000000002237</v>
      </c>
      <c r="Q26" s="31">
        <f>'FS Desroches Daily'!AB28</f>
        <v>379.99999999999545</v>
      </c>
      <c r="R26" s="31">
        <f>'FS Desroches Daily'!AD28</f>
        <v>220.00000000002728</v>
      </c>
      <c r="S26" s="31">
        <f>'FS Desroches Daily'!AF28</f>
        <v>180.00000000006366</v>
      </c>
      <c r="T26" s="31">
        <f>'FS Desroches Daily'!AH28</f>
        <v>32</v>
      </c>
      <c r="U26" s="35">
        <f>'FS Desroches Daily'!AJ28</f>
        <v>439.99999999994088</v>
      </c>
      <c r="V26" s="35">
        <f>'FS Desroches Daily'!AL28</f>
        <v>180.00000000000682</v>
      </c>
      <c r="W26" s="35">
        <f>'FS Desroches Daily'!AN28</f>
        <v>150.00000000000568</v>
      </c>
      <c r="X26" s="35">
        <f>'FS Desroches Daily'!AP28</f>
        <v>129.99999999999545</v>
      </c>
      <c r="Y26" s="35">
        <f>'FS Desroches Daily'!AR28</f>
        <v>159.99999999999659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180.00000000000682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39.999999999992042</v>
      </c>
      <c r="AF26" s="31">
        <f>'FS Desroches Daily'!BF28</f>
        <v>30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30.000000000029559</v>
      </c>
      <c r="AL26" s="32">
        <f>'FS Desroches Daily'!BR28</f>
        <v>31</v>
      </c>
      <c r="AM26" s="32">
        <f>'FS Desroches Daily'!BT28</f>
        <v>30.000000000001137</v>
      </c>
      <c r="AN26" s="32">
        <f>'FS Desroches Daily'!BV28</f>
        <v>29</v>
      </c>
      <c r="AO26" s="32">
        <f>'FS Desroches Daily'!BX28</f>
        <v>10.000000000019327</v>
      </c>
      <c r="AP26" s="32">
        <f>'FS Desroches Daily'!BZ28</f>
        <v>27</v>
      </c>
      <c r="AQ26" s="31">
        <f>'FS Desroches Daily'!CB28</f>
        <v>40</v>
      </c>
      <c r="AR26" s="31">
        <f>'FS Desroches Daily'!CD28</f>
        <v>8.3999999999996362</v>
      </c>
      <c r="AS26" s="31">
        <f>'FS Desroches Daily'!CF28</f>
        <v>3.8999999999996362</v>
      </c>
      <c r="AT26" s="31">
        <f>'FS Desroches Daily'!CH28</f>
        <v>39.400000000001455</v>
      </c>
      <c r="AU26" s="31">
        <f>'FS Desroches Daily'!CJ28</f>
        <v>262</v>
      </c>
      <c r="AV26" s="31">
        <f>'FS Desroches Daily'!CL28</f>
        <v>720.00000000002728</v>
      </c>
      <c r="AW26" s="31">
        <f>'FS Desroches Daily'!CM28</f>
        <v>70</v>
      </c>
      <c r="AX26" s="31">
        <f>IF(LPG!F33-LPG!F32&lt;0,"0",(LPG!F33-LPG!F32)*1.8315)</f>
        <v>10.988999999999999</v>
      </c>
      <c r="AY26" s="31">
        <f>IF(LPG!H33-LPG!H32&lt;0,"0",(LPG!H33-LPG!H32)*1.8315)</f>
        <v>9.1574999999999989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10.988999999999999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1700.0000000000348</v>
      </c>
      <c r="F27" s="32">
        <f>'FS Desroches Daily'!F29</f>
        <v>2499.9999999999468</v>
      </c>
      <c r="G27" s="31">
        <f>'FS Desroches Daily'!H29</f>
        <v>2800.0000000001355</v>
      </c>
      <c r="H27" s="32">
        <f>'FS Desroches Daily'!J29</f>
        <v>1200.0000000000898</v>
      </c>
      <c r="I27" s="31">
        <f>'FS Desroches Daily'!L29</f>
        <v>2399.9999999997358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1</v>
      </c>
      <c r="M27" s="31">
        <f>'FS Desroches Daily'!T29</f>
        <v>899.99999999997726</v>
      </c>
      <c r="N27" s="31">
        <f>'FS Desroches Daily'!V29</f>
        <v>321.70000000001164</v>
      </c>
      <c r="O27" s="31">
        <f>'FS Desroches Daily'!X29</f>
        <v>250</v>
      </c>
      <c r="P27" s="31">
        <f>'FS Desroches Daily'!Z29</f>
        <v>2399.9999999997358</v>
      </c>
      <c r="Q27" s="31">
        <f>'FS Desroches Daily'!AB29</f>
        <v>219.99999999997044</v>
      </c>
      <c r="R27" s="31">
        <f>'FS Desroches Daily'!AD29</f>
        <v>229.99999999996135</v>
      </c>
      <c r="S27" s="31">
        <f>'FS Desroches Daily'!AF29</f>
        <v>209.99999999992269</v>
      </c>
      <c r="T27" s="31">
        <f>'FS Desroches Daily'!AH29</f>
        <v>38</v>
      </c>
      <c r="U27" s="35">
        <f>'FS Desroches Daily'!AJ29</f>
        <v>210.00000000003638</v>
      </c>
      <c r="V27" s="35">
        <f>'FS Desroches Daily'!AL29</f>
        <v>179.9999999999784</v>
      </c>
      <c r="W27" s="35">
        <f>'FS Desroches Daily'!AN29</f>
        <v>150.00000000000568</v>
      </c>
      <c r="X27" s="35">
        <f>'FS Desroches Daily'!AP29</f>
        <v>140.00000000001478</v>
      </c>
      <c r="Y27" s="35">
        <f>'FS Desroches Daily'!AR29</f>
        <v>110.00000000001364</v>
      </c>
      <c r="Z27" s="35">
        <f>'FS Desroches Daily'!AT29</f>
        <v>149.99999999997726</v>
      </c>
      <c r="AA27" s="35">
        <f>'FS Desroches Daily'!AT29</f>
        <v>149.99999999997726</v>
      </c>
      <c r="AB27" s="35">
        <f>'FS Desroches Daily'!AV29</f>
        <v>100.00000000002274</v>
      </c>
      <c r="AC27" s="35">
        <f>'FS Desroches Daily'!AZ29</f>
        <v>60.000000000002274</v>
      </c>
      <c r="AD27" s="35">
        <f>'FS Desroches Daily'!BB29</f>
        <v>50.000000000011369</v>
      </c>
      <c r="AE27" s="35">
        <f>'FS Desroches Daily'!BD29</f>
        <v>60.000000000002274</v>
      </c>
      <c r="AF27" s="31">
        <f>'FS Desroches Daily'!BF29</f>
        <v>15</v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20.000000000010232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28</v>
      </c>
      <c r="AM27" s="32">
        <f>'FS Desroches Daily'!BT29</f>
        <v>19.99999999998181</v>
      </c>
      <c r="AN27" s="32">
        <f>'FS Desroches Daily'!BV29</f>
        <v>33</v>
      </c>
      <c r="AO27" s="32">
        <f>'FS Desroches Daily'!BX29</f>
        <v>9.9999999999909051</v>
      </c>
      <c r="AP27" s="32">
        <f>'FS Desroches Daily'!BZ29</f>
        <v>46</v>
      </c>
      <c r="AQ27" s="31">
        <f>'FS Desroches Daily'!CB29</f>
        <v>42.600000000005821</v>
      </c>
      <c r="AR27" s="31">
        <f>'FS Desroches Daily'!CD29</f>
        <v>18.200000000000728</v>
      </c>
      <c r="AS27" s="31">
        <f>'FS Desroches Daily'!CF29</f>
        <v>0.3999999999996362</v>
      </c>
      <c r="AT27" s="31">
        <f>'FS Desroches Daily'!CH29</f>
        <v>54.900000000001455</v>
      </c>
      <c r="AU27" s="31">
        <f>'FS Desroches Daily'!CJ29</f>
        <v>313</v>
      </c>
      <c r="AV27" s="31">
        <f>'FS Desroches Daily'!CL29</f>
        <v>740.00000000000909</v>
      </c>
      <c r="AW27" s="31">
        <f>'FS Desroches Daily'!CM29</f>
        <v>75</v>
      </c>
      <c r="AX27" s="31">
        <f>IF(LPG!F35-LPG!F33&lt;0,"0",(LPG!F35-LPG!F33)*1.8315)</f>
        <v>14.651999999999999</v>
      </c>
      <c r="AY27" s="31">
        <f>IF(LPG!H35-LPG!H33&lt;0,"0",(LPG!H35-LPG!H33)*1.8315)</f>
        <v>7.3259999999999996</v>
      </c>
      <c r="AZ27" s="31">
        <f>IF(LPG!J35-LPG!J33&lt;0,"0",(LPG!J35-LPG!J33)*1.8315)</f>
        <v>5.4944999999999995</v>
      </c>
      <c r="BA27" s="31">
        <f>IF(LPG!M35-LPG!M33&lt;0,"0",(LPG!M35-LPG!M33)*1.8315)</f>
        <v>3.6629999999999998</v>
      </c>
      <c r="BB27" s="31">
        <f>IF(LPG!Q34-LPG!Q33&lt;0,"0",(LPG!Q34-LPG!Q33)*1.8315)</f>
        <v>7.3259999999999996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1399.9999999998458</v>
      </c>
      <c r="F28" s="32">
        <f>'FS Desroches Daily'!F30</f>
        <v>2299.9999999999686</v>
      </c>
      <c r="G28" s="31">
        <f>'FS Desroches Daily'!H30</f>
        <v>2299.9999999999686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700.00000000014495</v>
      </c>
      <c r="K28" s="13">
        <f>'FS Desroches Daily'!P30</f>
        <v>2</v>
      </c>
      <c r="L28" s="31">
        <f>'FS Desroches Daily'!R30</f>
        <v>2</v>
      </c>
      <c r="M28" s="31">
        <f>'FS Desroches Daily'!T30</f>
        <v>600.00000000002274</v>
      </c>
      <c r="N28" s="31">
        <f>'FS Desroches Daily'!V30</f>
        <v>241.59999999997672</v>
      </c>
      <c r="O28" s="31">
        <f>'FS Desroches Daily'!X30</f>
        <v>209.99999999997954</v>
      </c>
      <c r="P28" s="31">
        <f>'FS Desroches Daily'!Z30</f>
        <v>1900.0000000000127</v>
      </c>
      <c r="Q28" s="31">
        <f>'FS Desroches Daily'!AB30</f>
        <v>180.00000000000682</v>
      </c>
      <c r="R28" s="31">
        <f>'FS Desroches Daily'!AD30</f>
        <v>180.00000000000682</v>
      </c>
      <c r="S28" s="31">
        <f>'FS Desroches Daily'!AF30</f>
        <v>170.00000000007276</v>
      </c>
      <c r="T28" s="31">
        <f>'FS Desroches Daily'!AH30</f>
        <v>33</v>
      </c>
      <c r="U28" s="35">
        <f>'FS Desroches Daily'!AJ30</f>
        <v>240.00000000000909</v>
      </c>
      <c r="V28" s="35">
        <f>'FS Desroches Daily'!AL30</f>
        <v>159.99999999999659</v>
      </c>
      <c r="W28" s="35">
        <f>'FS Desroches Daily'!AN30</f>
        <v>129.99999999999545</v>
      </c>
      <c r="X28" s="35">
        <f>'FS Desroches Daily'!AP30</f>
        <v>129.99999999999545</v>
      </c>
      <c r="Y28" s="35">
        <f>'FS Desroches Daily'!AR30</f>
        <v>90.000000000003411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79.999999999984084</v>
      </c>
      <c r="AC28" s="35">
        <f>'FS Desroches Daily'!AZ30</f>
        <v>29.999999999972715</v>
      </c>
      <c r="AD28" s="35">
        <f>'FS Desroches Daily'!BB30</f>
        <v>20.000000000038654</v>
      </c>
      <c r="AE28" s="35">
        <f>'FS Desroches Daily'!BD30</f>
        <v>60.000000000002274</v>
      </c>
      <c r="AF28" s="31">
        <f>'FS Desroches Daily'!BF30</f>
        <v>14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39.999999999992042</v>
      </c>
      <c r="AK28" s="32">
        <f>'FS Desroches Daily'!BP30</f>
        <v>30.000000000029559</v>
      </c>
      <c r="AL28" s="32">
        <f>'FS Desroches Daily'!BR30</f>
        <v>30</v>
      </c>
      <c r="AM28" s="32">
        <f>'FS Desroches Daily'!BT30</f>
        <v>30.000000000001137</v>
      </c>
      <c r="AN28" s="32">
        <f>'FS Desroches Daily'!BV30</f>
        <v>31</v>
      </c>
      <c r="AO28" s="32">
        <f>'FS Desroches Daily'!BX30</f>
        <v>20.000000000010232</v>
      </c>
      <c r="AP28" s="32">
        <f>'FS Desroches Daily'!BZ30</f>
        <v>37</v>
      </c>
      <c r="AQ28" s="31">
        <f>'FS Desroches Daily'!CB30</f>
        <v>25.19999999999709</v>
      </c>
      <c r="AR28" s="31">
        <f>'FS Desroches Daily'!CD30</f>
        <v>3.7999999999992724</v>
      </c>
      <c r="AS28" s="31">
        <f>'FS Desroches Daily'!CF30</f>
        <v>9.3000000000001819</v>
      </c>
      <c r="AT28" s="31">
        <f>'FS Desroches Daily'!CH30</f>
        <v>26.900000000001455</v>
      </c>
      <c r="AU28" s="31">
        <f>'FS Desroches Daily'!CJ30</f>
        <v>288</v>
      </c>
      <c r="AV28" s="31">
        <f>'FS Desroches Daily'!CL30</f>
        <v>629.99999999999545</v>
      </c>
      <c r="AW28" s="31">
        <f>'FS Desroches Daily'!CM30</f>
        <v>56</v>
      </c>
      <c r="AX28" s="31">
        <f>IF(LPG!F36-LPG!F34&lt;0,"0",(LPG!F36-LPG!F34)*1.8315)</f>
        <v>16.483499999999999</v>
      </c>
      <c r="AY28" s="31">
        <f>IF(LPG!H36-LPG!H34&lt;0,"0",(LPG!H36-LPG!H34)*1.8315)</f>
        <v>9.1574999999999989</v>
      </c>
      <c r="AZ28" s="31">
        <f>IF(LPG!J36-LPG!J34&lt;0,"0",(LPG!J36-LPG!J34)*1.8315)</f>
        <v>5.4944999999999995</v>
      </c>
      <c r="BA28" s="31">
        <f>IF(LPG!M36-LPG!M34&lt;0,"0",(LPG!M36-LPG!M34)*1.8315)</f>
        <v>3.6629999999999998</v>
      </c>
      <c r="BB28" s="31">
        <f>IF(LPG!Q35-LPG!Q34&lt;0,"0",(LPG!Q35-LPG!Q34)*1.8315)</f>
        <v>5.4944999999999995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1300.0000000000789</v>
      </c>
      <c r="F29" s="32">
        <f>'FS Desroches Daily'!F31</f>
        <v>2000.0000000002237</v>
      </c>
      <c r="G29" s="31">
        <f>'FS Desroches Daily'!H31</f>
        <v>2099.9999999999909</v>
      </c>
      <c r="H29" s="32">
        <f>'FS Desroches Daily'!J31</f>
        <v>999.99999999988984</v>
      </c>
      <c r="I29" s="31">
        <f>'FS Desroches Daily'!L31</f>
        <v>1799.9999999998017</v>
      </c>
      <c r="J29" s="32">
        <f>'FS Desroches Daily'!N31</f>
        <v>799.99999999991189</v>
      </c>
      <c r="K29" s="13">
        <f>'FS Desroches Daily'!P31</f>
        <v>4</v>
      </c>
      <c r="L29" s="31">
        <f>'FS Desroches Daily'!R31</f>
        <v>2</v>
      </c>
      <c r="M29" s="31">
        <f>'FS Desroches Daily'!T31</f>
        <v>399.99999999997726</v>
      </c>
      <c r="N29" s="31">
        <f>'FS Desroches Daily'!V31</f>
        <v>221.90000000002328</v>
      </c>
      <c r="O29" s="31">
        <f>'FS Desroches Daily'!X31</f>
        <v>189.99999999999773</v>
      </c>
      <c r="P29" s="31">
        <f>'FS Desroches Daily'!Z31</f>
        <v>1800.0000000002458</v>
      </c>
      <c r="Q29" s="31">
        <f>'FS Desroches Daily'!AB31</f>
        <v>300.00000000001137</v>
      </c>
      <c r="R29" s="31">
        <f>'FS Desroches Daily'!AD31</f>
        <v>170.00000000001592</v>
      </c>
      <c r="S29" s="31">
        <f>'FS Desroches Daily'!AF31</f>
        <v>189.99999999994088</v>
      </c>
      <c r="T29" s="31">
        <f>'FS Desroches Daily'!AH31</f>
        <v>28</v>
      </c>
      <c r="U29" s="35">
        <f>'FS Desroches Daily'!AJ31</f>
        <v>220.00000000002728</v>
      </c>
      <c r="V29" s="35">
        <f>'FS Desroches Daily'!AL31</f>
        <v>130.00000000002387</v>
      </c>
      <c r="W29" s="35">
        <f>'FS Desroches Daily'!AN31</f>
        <v>109.99999999998522</v>
      </c>
      <c r="X29" s="35">
        <f>'FS Desroches Daily'!AP31</f>
        <v>99.999999999994316</v>
      </c>
      <c r="Y29" s="35">
        <f>'FS Desroches Daily'!AR31</f>
        <v>39.999999999992042</v>
      </c>
      <c r="Z29" s="35">
        <f>'FS Desroches Daily'!AT31</f>
        <v>69.999999999993179</v>
      </c>
      <c r="AA29" s="35">
        <f>'FS Desroches Daily'!AT31</f>
        <v>69.999999999993179</v>
      </c>
      <c r="AB29" s="35">
        <f>'FS Desroches Daily'!AV31</f>
        <v>89.999999999974989</v>
      </c>
      <c r="AC29" s="35">
        <f>'FS Desroches Daily'!AZ31</f>
        <v>20.000000000038654</v>
      </c>
      <c r="AD29" s="35">
        <f>'FS Desroches Daily'!BB31</f>
        <v>9.9999999999909051</v>
      </c>
      <c r="AE29" s="35">
        <f>'FS Desroches Daily'!BD31</f>
        <v>60.000000000002274</v>
      </c>
      <c r="AF29" s="31">
        <f>'FS Desroches Daily'!BF31</f>
        <v>47</v>
      </c>
      <c r="AG29" s="32">
        <f>'FS Desroches Daily'!BH31</f>
        <v>20.000000000010232</v>
      </c>
      <c r="AH29" s="32">
        <f>'FS Desroches Daily'!BJ31</f>
        <v>30.000000000029559</v>
      </c>
      <c r="AI29" s="32">
        <f>'FS Desroches Daily'!BL31</f>
        <v>19.99999999998181</v>
      </c>
      <c r="AJ29" s="32">
        <f>'FS Desroches Daily'!BN31</f>
        <v>20.000000000010232</v>
      </c>
      <c r="AK29" s="32">
        <f>'FS Desroches Daily'!BP31</f>
        <v>29.999999999972715</v>
      </c>
      <c r="AL29" s="32">
        <f>'FS Desroches Daily'!BR31</f>
        <v>21</v>
      </c>
      <c r="AM29" s="32">
        <f>'FS Desroches Daily'!BT31</f>
        <v>39.999999999992042</v>
      </c>
      <c r="AN29" s="32">
        <f>'FS Desroches Daily'!BV31</f>
        <v>37</v>
      </c>
      <c r="AO29" s="32">
        <f>'FS Desroches Daily'!BX31</f>
        <v>19.99999999998181</v>
      </c>
      <c r="AP29" s="32">
        <f>'FS Desroches Daily'!BZ31</f>
        <v>35</v>
      </c>
      <c r="AQ29" s="31">
        <f>'FS Desroches Daily'!CB31</f>
        <v>24.80000000000291</v>
      </c>
      <c r="AR29" s="31">
        <f>'FS Desroches Daily'!CD31</f>
        <v>2.7000000000007276</v>
      </c>
      <c r="AS29" s="31">
        <f>'FS Desroches Daily'!CF31</f>
        <v>9.4000000000005457</v>
      </c>
      <c r="AT29" s="31">
        <f>'FS Desroches Daily'!CH31</f>
        <v>35.299999999995634</v>
      </c>
      <c r="AU29" s="31">
        <f>'FS Desroches Daily'!CJ31</f>
        <v>221</v>
      </c>
      <c r="AV29" s="31">
        <f>'FS Desroches Daily'!CL31</f>
        <v>639.99999999998636</v>
      </c>
      <c r="AW29" s="31">
        <f>'FS Desroches Daily'!CM31</f>
        <v>61</v>
      </c>
      <c r="AX29" s="31">
        <f>IF(LPG!F37-LPG!F35&lt;0,"0",(LPG!F37-LPG!F35)*1.8315)</f>
        <v>18.314999999999998</v>
      </c>
      <c r="AY29" s="31">
        <f>IF(LPG!H37-LPG!H35&lt;0,"0",(LPG!H37-LPG!H35)*1.8315)</f>
        <v>9.1574999999999989</v>
      </c>
      <c r="AZ29" s="31">
        <f>IF(LPG!J37-LPG!J35&lt;0,"0",(LPG!J37-LPG!J35)*1.8315)</f>
        <v>3.6629999999999998</v>
      </c>
      <c r="BA29" s="31">
        <f>IF(LPG!M37-LPG!M35&lt;0,"0",(LPG!M37-LPG!M35)*1.8315)</f>
        <v>3.6629999999999998</v>
      </c>
      <c r="BB29" s="31">
        <f>IF(LPG!Q36-LPG!Q35&lt;0,"0",(LPG!Q36-LPG!Q35)*1.8315)</f>
        <v>7.3259999999999996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1799.9999999998017</v>
      </c>
      <c r="F30" s="32">
        <f>'FS Desroches Daily'!F32</f>
        <v>2699.9999999999245</v>
      </c>
      <c r="G30" s="31">
        <f>'FS Desroches Daily'!H32</f>
        <v>2699.9999999999245</v>
      </c>
      <c r="H30" s="32">
        <f>'FS Desroches Daily'!J32</f>
        <v>1300.0000000000789</v>
      </c>
      <c r="I30" s="31">
        <f>'FS Desroches Daily'!L32</f>
        <v>2200.0000000002019</v>
      </c>
      <c r="J30" s="32">
        <f>'FS Desroches Daily'!N32</f>
        <v>700.00000000014495</v>
      </c>
      <c r="K30" s="13">
        <f>'FS Desroches Daily'!P32</f>
        <v>1</v>
      </c>
      <c r="L30" s="31">
        <f>'FS Desroches Daily'!R32</f>
        <v>2</v>
      </c>
      <c r="M30" s="31">
        <f>'FS Desroches Daily'!T32</f>
        <v>799.99999999995453</v>
      </c>
      <c r="N30" s="31">
        <f>'FS Desroches Daily'!V32</f>
        <v>322.89999999996508</v>
      </c>
      <c r="O30" s="31">
        <f>'FS Desroches Daily'!X32</f>
        <v>220.00000000002728</v>
      </c>
      <c r="P30" s="31">
        <f>'FS Desroches Daily'!Z32</f>
        <v>2499.9999999999468</v>
      </c>
      <c r="Q30" s="31">
        <f>'FS Desroches Daily'!AB32</f>
        <v>220.00000000002728</v>
      </c>
      <c r="R30" s="31">
        <f>'FS Desroches Daily'!AD32</f>
        <v>230.00000000001819</v>
      </c>
      <c r="S30" s="31">
        <f>'FS Desroches Daily'!AF32</f>
        <v>220.00000000002728</v>
      </c>
      <c r="T30" s="31">
        <f>'FS Desroches Daily'!AH32</f>
        <v>35</v>
      </c>
      <c r="U30" s="35">
        <f>'FS Desroches Daily'!AJ32</f>
        <v>279.99999999997272</v>
      </c>
      <c r="V30" s="35">
        <f>'FS Desroches Daily'!AL32</f>
        <v>199.99999999998863</v>
      </c>
      <c r="W30" s="35">
        <f>'FS Desroches Daily'!AN32</f>
        <v>180.00000000000682</v>
      </c>
      <c r="X30" s="35">
        <f>'FS Desroches Daily'!AP32</f>
        <v>140.00000000001478</v>
      </c>
      <c r="Y30" s="35">
        <f>'FS Desroches Daily'!AR32</f>
        <v>210.00000000000796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180.00000000000682</v>
      </c>
      <c r="AC30" s="35">
        <f>'FS Desroches Daily'!AZ32</f>
        <v>50.000000000011369</v>
      </c>
      <c r="AD30" s="35">
        <f>'FS Desroches Daily'!BB32</f>
        <v>29.999999999972715</v>
      </c>
      <c r="AE30" s="35">
        <f>'FS Desroches Daily'!BD32</f>
        <v>69.999999999993179</v>
      </c>
      <c r="AF30" s="31">
        <f>'FS Desroches Daily'!BF32</f>
        <v>23</v>
      </c>
      <c r="AG30" s="32">
        <f>'FS Desroches Daily'!BH32</f>
        <v>39.999999999992042</v>
      </c>
      <c r="AH30" s="32">
        <f>'FS Desroches Daily'!BJ32</f>
        <v>19.99999999998181</v>
      </c>
      <c r="AI30" s="32">
        <f>'FS Desroches Daily'!BL32</f>
        <v>30.000000000001137</v>
      </c>
      <c r="AJ30" s="32">
        <f>'FS Desroches Daily'!BN32</f>
        <v>50.000000000011369</v>
      </c>
      <c r="AK30" s="32">
        <f>'FS Desroches Daily'!BP32</f>
        <v>30.000000000029559</v>
      </c>
      <c r="AL30" s="32">
        <f>'FS Desroches Daily'!BR32</f>
        <v>25</v>
      </c>
      <c r="AM30" s="32">
        <f>'FS Desroches Daily'!BT32</f>
        <v>30.000000000001137</v>
      </c>
      <c r="AN30" s="32">
        <f>'FS Desroches Daily'!BV32</f>
        <v>41</v>
      </c>
      <c r="AO30" s="32">
        <f>'FS Desroches Daily'!BX32</f>
        <v>30.000000000001137</v>
      </c>
      <c r="AP30" s="32">
        <f>'FS Desroches Daily'!BZ32</f>
        <v>43</v>
      </c>
      <c r="AQ30" s="31">
        <f>'FS Desroches Daily'!CB32</f>
        <v>38.799999999995634</v>
      </c>
      <c r="AR30" s="31">
        <f>'FS Desroches Daily'!CD32</f>
        <v>8.5</v>
      </c>
      <c r="AS30" s="31">
        <f>'FS Desroches Daily'!CF32</f>
        <v>0.6999999999998181</v>
      </c>
      <c r="AT30" s="31">
        <f>'FS Desroches Daily'!CH32</f>
        <v>47.80000000000291</v>
      </c>
      <c r="AU30" s="31">
        <f>'FS Desroches Daily'!CJ32</f>
        <v>268</v>
      </c>
      <c r="AV30" s="31">
        <f>'FS Desroches Daily'!CL32</f>
        <v>769.99999999998181</v>
      </c>
      <c r="AW30" s="31">
        <f>'FS Desroches Daily'!CM32</f>
        <v>66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1800.0000000002458</v>
      </c>
      <c r="F31" s="32">
        <f>'FS Desroches Daily'!F33</f>
        <v>2399.9999999997358</v>
      </c>
      <c r="G31" s="31">
        <f>'FS Desroches Daily'!H33</f>
        <v>2499.9999999999468</v>
      </c>
      <c r="H31" s="32">
        <f>'FS Desroches Daily'!J33</f>
        <v>1099.9999999998788</v>
      </c>
      <c r="I31" s="31">
        <f>'FS Desroches Daily'!L33</f>
        <v>1900.0000000000127</v>
      </c>
      <c r="J31" s="32">
        <f>'FS Desroches Daily'!N33</f>
        <v>899.99999999990087</v>
      </c>
      <c r="K31" s="13">
        <f>'FS Desroches Daily'!P33</f>
        <v>1</v>
      </c>
      <c r="L31" s="31">
        <f>'FS Desroches Daily'!R33</f>
        <v>2</v>
      </c>
      <c r="M31" s="31">
        <f>'FS Desroches Daily'!T33</f>
        <v>800.00000000006821</v>
      </c>
      <c r="N31" s="31">
        <f>'FS Desroches Daily'!V33</f>
        <v>286.10000000003492</v>
      </c>
      <c r="O31" s="31">
        <f>'FS Desroches Daily'!X33</f>
        <v>220.00000000002728</v>
      </c>
      <c r="P31" s="31">
        <f>'FS Desroches Daily'!Z33</f>
        <v>2099.9999999999909</v>
      </c>
      <c r="Q31" s="31">
        <f>'FS Desroches Daily'!AB33</f>
        <v>109.9999999999568</v>
      </c>
      <c r="R31" s="31">
        <f>'FS Desroches Daily'!AD33</f>
        <v>209.99999999997954</v>
      </c>
      <c r="S31" s="31">
        <f>'FS Desroches Daily'!AF33</f>
        <v>230.00000000001819</v>
      </c>
      <c r="T31" s="31">
        <f>'FS Desroches Daily'!AH33</f>
        <v>31</v>
      </c>
      <c r="U31" s="35">
        <f>'FS Desroches Daily'!AJ33</f>
        <v>399.99999999997726</v>
      </c>
      <c r="V31" s="35">
        <f>'FS Desroches Daily'!AL33</f>
        <v>180.00000000000682</v>
      </c>
      <c r="W31" s="35">
        <f>'FS Desroches Daily'!AN33</f>
        <v>140.00000000001478</v>
      </c>
      <c r="X31" s="35">
        <f>'FS Desroches Daily'!AP33</f>
        <v>129.99999999999545</v>
      </c>
      <c r="Y31" s="35">
        <f>'FS Desroches Daily'!AR33</f>
        <v>139.99999999998636</v>
      </c>
      <c r="Z31" s="35">
        <f>'FS Desroches Daily'!AT33</f>
        <v>120.00000000000455</v>
      </c>
      <c r="AA31" s="35">
        <f>'FS Desroches Daily'!AT33</f>
        <v>120.00000000000455</v>
      </c>
      <c r="AB31" s="35">
        <f>'FS Desroches Daily'!AV33</f>
        <v>150.00000000003411</v>
      </c>
      <c r="AC31" s="35">
        <f>'FS Desroches Daily'!AZ33</f>
        <v>39.99999999996362</v>
      </c>
      <c r="AD31" s="35">
        <f>'FS Desroches Daily'!BB33</f>
        <v>19.99999999998181</v>
      </c>
      <c r="AE31" s="35">
        <f>'FS Desroches Daily'!BD33</f>
        <v>70.0000000000216</v>
      </c>
      <c r="AF31" s="31">
        <f>'FS Desroches Daily'!BF33</f>
        <v>30</v>
      </c>
      <c r="AG31" s="32">
        <f>'FS Desroches Daily'!BH33</f>
        <v>30.000000000001137</v>
      </c>
      <c r="AH31" s="32">
        <f>'FS Desroches Daily'!BJ33</f>
        <v>30.000000000029559</v>
      </c>
      <c r="AI31" s="32">
        <f>'FS Desroches Daily'!BL33</f>
        <v>20.000000000010232</v>
      </c>
      <c r="AJ31" s="32">
        <f>'FS Desroches Daily'!BN33</f>
        <v>39.999999999992042</v>
      </c>
      <c r="AK31" s="32">
        <f>'FS Desroches Daily'!BP33</f>
        <v>29.999999999972715</v>
      </c>
      <c r="AL31" s="32">
        <f>'FS Desroches Daily'!BR33</f>
        <v>18</v>
      </c>
      <c r="AM31" s="32">
        <f>'FS Desroches Daily'!BT33</f>
        <v>40.000000000020464</v>
      </c>
      <c r="AN31" s="32">
        <f>'FS Desroches Daily'!BV33</f>
        <v>37</v>
      </c>
      <c r="AO31" s="32">
        <f>'FS Desroches Daily'!BX33</f>
        <v>30.000000000001137</v>
      </c>
      <c r="AP31" s="32">
        <f>'FS Desroches Daily'!BZ33</f>
        <v>33</v>
      </c>
      <c r="AQ31" s="31">
        <f>'FS Desroches Daily'!CB33</f>
        <v>34.099999999998545</v>
      </c>
      <c r="AR31" s="31">
        <f>'FS Desroches Daily'!CD33</f>
        <v>5.7999999999992724</v>
      </c>
      <c r="AS31" s="31">
        <f>'FS Desroches Daily'!CF33</f>
        <v>13</v>
      </c>
      <c r="AT31" s="31">
        <f>'FS Desroches Daily'!CH33</f>
        <v>47.5</v>
      </c>
      <c r="AU31" s="31">
        <f>'FS Desroches Daily'!CJ33</f>
        <v>268</v>
      </c>
      <c r="AV31" s="31">
        <f>'FS Desroches Daily'!CL33</f>
        <v>670.00000000007276</v>
      </c>
      <c r="AW31" s="31">
        <f>'FS Desroches Daily'!CM33</f>
        <v>83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>0</v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58300.000000000036</v>
      </c>
      <c r="F33" s="17">
        <f t="shared" ref="F33:BC33" si="1">SUM(F2:F32)</f>
        <v>75599.999999999694</v>
      </c>
      <c r="G33" s="17">
        <f t="shared" si="1"/>
        <v>75200.00000000016</v>
      </c>
      <c r="H33" s="17">
        <f t="shared" si="1"/>
        <v>36200.000000000022</v>
      </c>
      <c r="I33" s="17">
        <f t="shared" si="1"/>
        <v>58800.000000000218</v>
      </c>
      <c r="J33" s="17">
        <f t="shared" si="1"/>
        <v>26699.999999999953</v>
      </c>
      <c r="K33" s="17">
        <f t="shared" si="1"/>
        <v>127</v>
      </c>
      <c r="L33" s="17">
        <f t="shared" si="1"/>
        <v>57</v>
      </c>
      <c r="M33" s="17">
        <f t="shared" si="1"/>
        <v>23064.600000000002</v>
      </c>
      <c r="N33" s="17">
        <f t="shared" si="1"/>
        <v>8920.6000000000349</v>
      </c>
      <c r="O33" s="17">
        <f t="shared" si="1"/>
        <v>7250.0000000000582</v>
      </c>
      <c r="P33" s="17">
        <f t="shared" si="1"/>
        <v>67600.000000000131</v>
      </c>
      <c r="Q33" s="17">
        <f t="shared" si="1"/>
        <v>7889.9999999999854</v>
      </c>
      <c r="R33" s="17">
        <f t="shared" si="1"/>
        <v>7149.99999999998</v>
      </c>
      <c r="S33" s="17">
        <f t="shared" si="1"/>
        <v>8139.9999999999864</v>
      </c>
      <c r="T33" s="17">
        <f t="shared" si="1"/>
        <v>1007</v>
      </c>
      <c r="U33" s="35">
        <f t="shared" si="1"/>
        <v>18039.999999999964</v>
      </c>
      <c r="V33" s="35">
        <f t="shared" si="1"/>
        <v>4670.0000000000164</v>
      </c>
      <c r="W33" s="35">
        <f t="shared" si="1"/>
        <v>4310.0000000000018</v>
      </c>
      <c r="X33" s="35">
        <f t="shared" si="1"/>
        <v>3230.0000000000182</v>
      </c>
      <c r="Y33" s="35">
        <f t="shared" si="1"/>
        <v>4710.0000000000091</v>
      </c>
      <c r="Z33" s="35">
        <f t="shared" si="1"/>
        <v>5316.8800000000301</v>
      </c>
      <c r="AA33" s="35">
        <f t="shared" si="1"/>
        <v>5316.8800000000301</v>
      </c>
      <c r="AB33" s="35">
        <f t="shared" si="1"/>
        <v>3140.0000000000432</v>
      </c>
      <c r="AC33" s="35">
        <f t="shared" si="1"/>
        <v>1289.9999999999636</v>
      </c>
      <c r="AD33" s="35">
        <f t="shared" si="1"/>
        <v>750</v>
      </c>
      <c r="AE33" s="35">
        <f t="shared" si="1"/>
        <v>2870.0000000000045</v>
      </c>
      <c r="AF33" s="17">
        <f t="shared" si="1"/>
        <v>867</v>
      </c>
      <c r="AG33" s="32">
        <f t="shared" si="1"/>
        <v>1030.0000000000011</v>
      </c>
      <c r="AH33" s="32">
        <f t="shared" si="1"/>
        <v>790.00000000002046</v>
      </c>
      <c r="AI33" s="32">
        <f t="shared" si="1"/>
        <v>800.00000000001137</v>
      </c>
      <c r="AJ33" s="32">
        <f t="shared" si="1"/>
        <v>1090.0000000000034</v>
      </c>
      <c r="AK33" s="32">
        <f t="shared" si="1"/>
        <v>1000</v>
      </c>
      <c r="AL33" s="32">
        <f t="shared" si="1"/>
        <v>832</v>
      </c>
      <c r="AM33" s="32">
        <f t="shared" si="1"/>
        <v>870.00000000000455</v>
      </c>
      <c r="AN33" s="32">
        <f t="shared" si="1"/>
        <v>1143</v>
      </c>
      <c r="AO33" s="32">
        <f t="shared" si="1"/>
        <v>680.00000000000682</v>
      </c>
      <c r="AP33" s="32">
        <f t="shared" si="1"/>
        <v>1261</v>
      </c>
      <c r="AQ33" s="17">
        <f t="shared" si="1"/>
        <v>1055.2999999999956</v>
      </c>
      <c r="AR33" s="17">
        <f t="shared" si="1"/>
        <v>258.29999999999927</v>
      </c>
      <c r="AS33" s="17">
        <f t="shared" si="1"/>
        <v>164.30000000000018</v>
      </c>
      <c r="AT33" s="17">
        <f t="shared" si="1"/>
        <v>1037.5999999999985</v>
      </c>
      <c r="AU33" s="17">
        <f t="shared" si="1"/>
        <v>8096</v>
      </c>
      <c r="AV33" s="17">
        <f t="shared" si="1"/>
        <v>19019.999999999982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212.45399999999995</v>
      </c>
      <c r="BC33" s="17">
        <f t="shared" si="1"/>
        <v>283</v>
      </c>
    </row>
    <row r="35" spans="5:55" x14ac:dyDescent="0.25">
      <c r="E35" s="38">
        <f>E33/E37</f>
        <v>0.22155674969027683</v>
      </c>
      <c r="G35" s="29">
        <f>G33-M36</f>
        <v>43214.800000000119</v>
      </c>
      <c r="AE35" s="35">
        <f>SUM(U33:AE33)</f>
        <v>53643.760000000082</v>
      </c>
      <c r="AG35" s="32">
        <f>SUM(AG33:AP33)</f>
        <v>9496.0000000000473</v>
      </c>
    </row>
    <row r="36" spans="5:55" x14ac:dyDescent="0.25">
      <c r="G36" s="29">
        <f>G35-633*14</f>
        <v>34352.800000000119</v>
      </c>
      <c r="M36" s="29">
        <f>M33+N33</f>
        <v>31985.200000000037</v>
      </c>
    </row>
    <row r="37" spans="5:55" x14ac:dyDescent="0.25">
      <c r="E37" s="17">
        <f>E33+F33+G33+H33+J33-633*14</f>
        <v>263137.99999999988</v>
      </c>
      <c r="G37" s="37">
        <f>M36/E37</f>
        <v>0.12155294940297506</v>
      </c>
      <c r="M37" s="35">
        <f>AE35</f>
        <v>53643.760000000082</v>
      </c>
    </row>
    <row r="38" spans="5:55" x14ac:dyDescent="0.25">
      <c r="L38" s="27">
        <f>M38/E37</f>
        <v>3.6087528217133409E-2</v>
      </c>
      <c r="M38" s="29">
        <f>AG35</f>
        <v>9496.0000000000473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H1" zoomScale="80" zoomScaleNormal="80" workbookViewId="0">
      <pane ySplit="1" topLeftCell="A17" activePane="bottomLeft" state="frozen"/>
      <selection pane="bottomLeft" activeCell="BF37" sqref="BF3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20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4" t="str">
        <f>IF((S21-S20&lt;0), "0",(S21-S20)*1000)</f>
        <v>0</v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4">
        <f t="shared" ref="T22:T34" si="45">IF((S22-S21&lt;0), "0",(S22-S21)*1000)</f>
        <v>899.99999999997726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4">
        <f t="shared" si="45"/>
        <v>799.99999999995453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>
        <v>41027</v>
      </c>
      <c r="BF23" s="67">
        <f t="shared" si="39"/>
        <v>20</v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4">
        <f t="shared" si="45"/>
        <v>1100.0000000000227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>
        <v>41048</v>
      </c>
      <c r="BF24" s="67">
        <f t="shared" si="39"/>
        <v>21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>
        <v>2.3420999999999998</v>
      </c>
      <c r="D25" s="64">
        <f t="shared" si="0"/>
        <v>3299.9999999998586</v>
      </c>
      <c r="E25" s="58">
        <v>3.3277999999999999</v>
      </c>
      <c r="F25" s="64">
        <f t="shared" si="1"/>
        <v>3400.0000000000696</v>
      </c>
      <c r="G25" s="58">
        <v>3.3833000000000002</v>
      </c>
      <c r="H25" s="64">
        <f t="shared" si="2"/>
        <v>3900.0000000002365</v>
      </c>
      <c r="I25" s="58">
        <v>1.6689000000000001</v>
      </c>
      <c r="J25" s="64">
        <f t="shared" si="3"/>
        <v>1500.0000000000568</v>
      </c>
      <c r="K25" s="58">
        <v>2.6943000000000001</v>
      </c>
      <c r="L25" s="64">
        <f t="shared" si="4"/>
        <v>2699.9999999999245</v>
      </c>
      <c r="M25" s="58">
        <v>1.4816</v>
      </c>
      <c r="N25" s="64">
        <f t="shared" si="5"/>
        <v>1300.0000000000789</v>
      </c>
      <c r="O25" s="58">
        <v>14514</v>
      </c>
      <c r="P25" s="67">
        <f t="shared" si="44"/>
        <v>8</v>
      </c>
      <c r="Q25" s="58">
        <v>1078</v>
      </c>
      <c r="R25" s="67">
        <f t="shared" si="6"/>
        <v>2</v>
      </c>
      <c r="S25" s="58">
        <v>1013.3</v>
      </c>
      <c r="T25" s="64">
        <f t="shared" si="45"/>
        <v>1399.9999999999773</v>
      </c>
      <c r="U25" s="58">
        <v>425170.1</v>
      </c>
      <c r="V25" s="67">
        <f t="shared" si="8"/>
        <v>484.59999999997672</v>
      </c>
      <c r="W25" s="58">
        <v>404.46</v>
      </c>
      <c r="X25" s="65">
        <f t="shared" si="9"/>
        <v>329.99999999998408</v>
      </c>
      <c r="Y25" s="58">
        <v>2.9098999999999999</v>
      </c>
      <c r="Z25" s="65">
        <f t="shared" si="10"/>
        <v>3099.9999999998809</v>
      </c>
      <c r="AA25" s="58">
        <v>402.93</v>
      </c>
      <c r="AB25" s="65">
        <f t="shared" si="11"/>
        <v>410.00000000002501</v>
      </c>
      <c r="AC25" s="58">
        <v>376.86</v>
      </c>
      <c r="AD25" s="65">
        <f t="shared" si="12"/>
        <v>430.00000000000682</v>
      </c>
      <c r="AE25" s="58">
        <v>574.05999999999995</v>
      </c>
      <c r="AF25" s="65">
        <f t="shared" si="13"/>
        <v>279.99999999997272</v>
      </c>
      <c r="AG25" s="58">
        <v>5332</v>
      </c>
      <c r="AH25" s="67">
        <f t="shared" si="14"/>
        <v>56</v>
      </c>
      <c r="AI25" s="58">
        <v>631.5</v>
      </c>
      <c r="AJ25" s="65">
        <f t="shared" si="15"/>
        <v>850.00000000002274</v>
      </c>
      <c r="AK25" s="58">
        <v>208.65</v>
      </c>
      <c r="AL25" s="65">
        <f t="shared" si="15"/>
        <v>120.00000000000455</v>
      </c>
      <c r="AM25" s="58">
        <v>198.75</v>
      </c>
      <c r="AN25" s="65">
        <f t="shared" si="15"/>
        <v>250</v>
      </c>
      <c r="AO25" s="58">
        <v>192.06</v>
      </c>
      <c r="AP25" s="65">
        <f t="shared" si="15"/>
        <v>120.00000000000455</v>
      </c>
      <c r="AQ25" s="58">
        <v>250.97</v>
      </c>
      <c r="AR25" s="65">
        <f t="shared" si="16"/>
        <v>439.99999999999773</v>
      </c>
      <c r="AS25" s="58">
        <v>377.13</v>
      </c>
      <c r="AT25" s="65">
        <f t="shared" si="17"/>
        <v>430.00000000000682</v>
      </c>
      <c r="AU25" s="58">
        <v>287.58</v>
      </c>
      <c r="AV25" s="65">
        <f t="shared" si="18"/>
        <v>349.99999999996589</v>
      </c>
      <c r="AW25" s="58">
        <v>322.20999999999998</v>
      </c>
      <c r="AX25" s="65">
        <f t="shared" si="19"/>
        <v>199.99999999998863</v>
      </c>
      <c r="AY25" s="58">
        <v>362.66</v>
      </c>
      <c r="AZ25" s="65">
        <f t="shared" si="20"/>
        <v>80.000000000040927</v>
      </c>
      <c r="BA25" s="58">
        <v>381.83</v>
      </c>
      <c r="BB25" s="65">
        <f t="shared" si="21"/>
        <v>39.99999999996362</v>
      </c>
      <c r="BC25" s="58">
        <v>244.24</v>
      </c>
      <c r="BD25" s="65">
        <f t="shared" si="22"/>
        <v>189.99999999999773</v>
      </c>
      <c r="BE25" s="59">
        <v>41098</v>
      </c>
      <c r="BF25" s="67">
        <f t="shared" si="39"/>
        <v>50</v>
      </c>
      <c r="BG25" s="60">
        <v>235.06</v>
      </c>
      <c r="BH25" s="65">
        <f t="shared" si="23"/>
        <v>20.000000000010232</v>
      </c>
      <c r="BI25" s="60">
        <v>293.83999999999997</v>
      </c>
      <c r="BJ25" s="65">
        <f t="shared" si="40"/>
        <v>29.999999999972715</v>
      </c>
      <c r="BK25" s="60">
        <v>237.66</v>
      </c>
      <c r="BL25" s="65">
        <f t="shared" si="24"/>
        <v>39.999999999992042</v>
      </c>
      <c r="BM25" s="60">
        <v>224.76</v>
      </c>
      <c r="BN25" s="65">
        <f t="shared" si="25"/>
        <v>39.999999999992042</v>
      </c>
      <c r="BO25" s="60">
        <v>288.51</v>
      </c>
      <c r="BP25" s="65">
        <f t="shared" si="26"/>
        <v>29.999999999972715</v>
      </c>
      <c r="BQ25" s="60">
        <v>45970</v>
      </c>
      <c r="BR25" s="65">
        <f t="shared" si="27"/>
        <v>34</v>
      </c>
      <c r="BS25" s="60">
        <v>201.47</v>
      </c>
      <c r="BT25" s="65">
        <f t="shared" si="42"/>
        <v>30.000000000001137</v>
      </c>
      <c r="BU25" s="60">
        <v>41672</v>
      </c>
      <c r="BV25" s="65">
        <f t="shared" si="29"/>
        <v>49</v>
      </c>
      <c r="BW25" s="60">
        <v>232.54</v>
      </c>
      <c r="BX25" s="65">
        <f t="shared" si="30"/>
        <v>30.000000000001137</v>
      </c>
      <c r="BY25" s="60">
        <v>61447</v>
      </c>
      <c r="BZ25" s="67">
        <f t="shared" si="31"/>
        <v>48</v>
      </c>
      <c r="CA25" s="60">
        <v>32815.300000000003</v>
      </c>
      <c r="CB25" s="67">
        <f t="shared" si="32"/>
        <v>60.600000000002183</v>
      </c>
      <c r="CC25" s="60">
        <v>12391.5</v>
      </c>
      <c r="CD25" s="67">
        <f t="shared" si="33"/>
        <v>13.5</v>
      </c>
      <c r="CE25" s="60">
        <v>6543.6</v>
      </c>
      <c r="CF25" s="67">
        <f t="shared" si="34"/>
        <v>1.4000000000005457</v>
      </c>
      <c r="CG25" s="60">
        <v>60385.599999999999</v>
      </c>
      <c r="CH25" s="67">
        <f t="shared" si="35"/>
        <v>61.19999999999709</v>
      </c>
      <c r="CI25" s="60">
        <v>955617</v>
      </c>
      <c r="CJ25" s="67">
        <f t="shared" si="36"/>
        <v>346</v>
      </c>
      <c r="CK25" s="60">
        <v>779.56</v>
      </c>
      <c r="CL25" s="64">
        <f t="shared" si="37"/>
        <v>889.99999999998636</v>
      </c>
      <c r="CM25" s="65">
        <f t="shared" si="41"/>
        <v>121</v>
      </c>
      <c r="CN25" s="62">
        <v>14</v>
      </c>
      <c r="CO25" s="62">
        <v>49</v>
      </c>
      <c r="CP25" s="68">
        <v>10815</v>
      </c>
      <c r="CQ25" s="67">
        <f t="shared" si="38"/>
        <v>88</v>
      </c>
      <c r="CR25" s="68">
        <v>14735</v>
      </c>
      <c r="CS25" s="67">
        <f t="shared" si="38"/>
        <v>33</v>
      </c>
      <c r="CT25" s="75">
        <v>6753</v>
      </c>
      <c r="CU25" s="67">
        <f t="shared" si="38"/>
        <v>14</v>
      </c>
      <c r="CV25" s="68">
        <v>16049</v>
      </c>
      <c r="CW25" s="67">
        <f t="shared" si="38"/>
        <v>38</v>
      </c>
    </row>
    <row r="26" spans="1:101" ht="25.5" customHeight="1" thickBot="1" x14ac:dyDescent="0.45">
      <c r="A26" s="63">
        <v>44400</v>
      </c>
      <c r="B26" s="44"/>
      <c r="C26" s="58">
        <v>2.3435999999999999</v>
      </c>
      <c r="D26" s="64">
        <f t="shared" si="0"/>
        <v>1500.0000000000568</v>
      </c>
      <c r="E26" s="58">
        <v>3.3294999999999999</v>
      </c>
      <c r="F26" s="64">
        <f t="shared" si="1"/>
        <v>1700.0000000000348</v>
      </c>
      <c r="G26" s="58">
        <v>3.3847999999999998</v>
      </c>
      <c r="H26" s="64">
        <f t="shared" si="2"/>
        <v>1499.9999999996128</v>
      </c>
      <c r="I26" s="58">
        <v>1.6698</v>
      </c>
      <c r="J26" s="64">
        <f t="shared" si="3"/>
        <v>899.99999999990087</v>
      </c>
      <c r="K26" s="58">
        <v>2.6958000000000002</v>
      </c>
      <c r="L26" s="64">
        <f t="shared" si="4"/>
        <v>1500.0000000000568</v>
      </c>
      <c r="M26" s="58">
        <v>1.4823</v>
      </c>
      <c r="N26" s="64">
        <f t="shared" si="5"/>
        <v>699.99999999992292</v>
      </c>
      <c r="O26" s="58">
        <v>14515</v>
      </c>
      <c r="P26" s="67">
        <f t="shared" si="44"/>
        <v>1</v>
      </c>
      <c r="Q26" s="58">
        <v>1079</v>
      </c>
      <c r="R26" s="67">
        <f t="shared" si="6"/>
        <v>1</v>
      </c>
      <c r="S26" s="58">
        <v>1013.6</v>
      </c>
      <c r="T26" s="64">
        <f t="shared" si="45"/>
        <v>300.00000000006821</v>
      </c>
      <c r="U26" s="58">
        <v>425308.7</v>
      </c>
      <c r="V26" s="67">
        <f t="shared" si="8"/>
        <v>138.60000000003492</v>
      </c>
      <c r="W26" s="58">
        <v>404.64</v>
      </c>
      <c r="X26" s="65">
        <f t="shared" si="9"/>
        <v>180.00000000000682</v>
      </c>
      <c r="Y26" s="58">
        <v>2.9113000000000002</v>
      </c>
      <c r="Z26" s="65">
        <f t="shared" si="10"/>
        <v>1400.0000000002899</v>
      </c>
      <c r="AA26" s="58">
        <v>403.19</v>
      </c>
      <c r="AB26" s="65">
        <f t="shared" si="11"/>
        <v>259.99999999999091</v>
      </c>
      <c r="AC26" s="58">
        <v>377.05</v>
      </c>
      <c r="AD26" s="65">
        <f t="shared" si="12"/>
        <v>189.99999999999773</v>
      </c>
      <c r="AE26" s="58">
        <v>574.21</v>
      </c>
      <c r="AF26" s="65">
        <f t="shared" si="13"/>
        <v>150.00000000009095</v>
      </c>
      <c r="AG26" s="58">
        <v>5356</v>
      </c>
      <c r="AH26" s="67">
        <f t="shared" si="14"/>
        <v>24</v>
      </c>
      <c r="AI26" s="58">
        <v>631.76</v>
      </c>
      <c r="AJ26" s="65">
        <f t="shared" si="15"/>
        <v>259.99999999999091</v>
      </c>
      <c r="AK26" s="58">
        <v>208.71</v>
      </c>
      <c r="AL26" s="65">
        <f t="shared" si="15"/>
        <v>60.000000000002274</v>
      </c>
      <c r="AM26" s="58">
        <v>198.84</v>
      </c>
      <c r="AN26" s="65">
        <f t="shared" si="15"/>
        <v>90.000000000003411</v>
      </c>
      <c r="AO26" s="58">
        <v>192.11</v>
      </c>
      <c r="AP26" s="65">
        <f t="shared" si="15"/>
        <v>50.000000000011369</v>
      </c>
      <c r="AQ26" s="58">
        <v>251.16</v>
      </c>
      <c r="AR26" s="65">
        <f t="shared" si="16"/>
        <v>189.99999999999773</v>
      </c>
      <c r="AS26" s="58">
        <v>377.33</v>
      </c>
      <c r="AT26" s="65">
        <f t="shared" si="17"/>
        <v>199.99999999998863</v>
      </c>
      <c r="AU26" s="58">
        <v>287.77</v>
      </c>
      <c r="AV26" s="65">
        <f t="shared" si="18"/>
        <v>189.99999999999773</v>
      </c>
      <c r="AW26" s="58">
        <v>322.29000000000002</v>
      </c>
      <c r="AX26" s="65">
        <f t="shared" si="19"/>
        <v>80.000000000040927</v>
      </c>
      <c r="AY26" s="58">
        <v>362.68</v>
      </c>
      <c r="AZ26" s="65">
        <f t="shared" si="20"/>
        <v>19.99999999998181</v>
      </c>
      <c r="BA26" s="58">
        <v>381.85</v>
      </c>
      <c r="BB26" s="65">
        <f t="shared" si="21"/>
        <v>20.000000000038654</v>
      </c>
      <c r="BC26" s="58">
        <v>244.36</v>
      </c>
      <c r="BD26" s="65">
        <f t="shared" si="22"/>
        <v>120.00000000000455</v>
      </c>
      <c r="BE26" s="59">
        <v>41140</v>
      </c>
      <c r="BF26" s="67">
        <f t="shared" si="39"/>
        <v>42</v>
      </c>
      <c r="BG26" s="60">
        <v>235.08</v>
      </c>
      <c r="BH26" s="65">
        <f t="shared" si="23"/>
        <v>20.000000000010232</v>
      </c>
      <c r="BI26" s="60">
        <v>293.86</v>
      </c>
      <c r="BJ26" s="65">
        <f t="shared" si="40"/>
        <v>20.000000000038654</v>
      </c>
      <c r="BK26" s="60">
        <v>237.68</v>
      </c>
      <c r="BL26" s="65">
        <f t="shared" si="24"/>
        <v>20.000000000010232</v>
      </c>
      <c r="BM26" s="60">
        <v>224.78</v>
      </c>
      <c r="BN26" s="65">
        <f t="shared" si="25"/>
        <v>20.000000000010232</v>
      </c>
      <c r="BO26" s="60">
        <v>288.54000000000002</v>
      </c>
      <c r="BP26" s="65">
        <f t="shared" si="26"/>
        <v>30.000000000029559</v>
      </c>
      <c r="BQ26" s="60">
        <v>45993</v>
      </c>
      <c r="BR26" s="65">
        <f t="shared" si="27"/>
        <v>23</v>
      </c>
      <c r="BS26" s="60">
        <v>201.5</v>
      </c>
      <c r="BT26" s="65">
        <f t="shared" si="42"/>
        <v>30.000000000001137</v>
      </c>
      <c r="BU26" s="60">
        <v>41699</v>
      </c>
      <c r="BV26" s="65">
        <f t="shared" si="29"/>
        <v>27</v>
      </c>
      <c r="BW26" s="60">
        <v>232.55</v>
      </c>
      <c r="BX26" s="65">
        <f t="shared" si="30"/>
        <v>10.000000000019327</v>
      </c>
      <c r="BY26" s="60">
        <v>61476</v>
      </c>
      <c r="BZ26" s="67">
        <f t="shared" si="31"/>
        <v>29</v>
      </c>
      <c r="CA26" s="60">
        <v>32840.300000000003</v>
      </c>
      <c r="CB26" s="67">
        <f t="shared" si="32"/>
        <v>25</v>
      </c>
      <c r="CC26" s="60">
        <v>12393.7</v>
      </c>
      <c r="CD26" s="67">
        <f t="shared" si="33"/>
        <v>2.2000000000007276</v>
      </c>
      <c r="CE26" s="60">
        <v>6547.7</v>
      </c>
      <c r="CF26" s="67">
        <f t="shared" si="34"/>
        <v>4.0999999999994543</v>
      </c>
      <c r="CG26" s="60">
        <v>60404.800000000003</v>
      </c>
      <c r="CH26" s="67">
        <f t="shared" si="35"/>
        <v>19.200000000004366</v>
      </c>
      <c r="CI26" s="60">
        <v>955801</v>
      </c>
      <c r="CJ26" s="67">
        <f t="shared" si="36"/>
        <v>184</v>
      </c>
      <c r="CK26" s="60">
        <v>780.09</v>
      </c>
      <c r="CL26" s="64">
        <f t="shared" si="37"/>
        <v>530.0000000000864</v>
      </c>
      <c r="CM26" s="65">
        <f t="shared" si="41"/>
        <v>43</v>
      </c>
      <c r="CN26" s="62">
        <v>14</v>
      </c>
      <c r="CO26" s="62">
        <v>49</v>
      </c>
      <c r="CP26" s="68">
        <v>10839</v>
      </c>
      <c r="CQ26" s="67">
        <f t="shared" si="38"/>
        <v>24</v>
      </c>
      <c r="CR26" s="68">
        <v>14754</v>
      </c>
      <c r="CS26" s="67">
        <f t="shared" si="38"/>
        <v>19</v>
      </c>
      <c r="CT26" s="75">
        <v>6762</v>
      </c>
      <c r="CU26" s="67">
        <f t="shared" si="38"/>
        <v>9</v>
      </c>
      <c r="CV26" s="68">
        <v>16071</v>
      </c>
      <c r="CW26" s="67">
        <f t="shared" si="38"/>
        <v>22</v>
      </c>
    </row>
    <row r="27" spans="1:101" ht="25.5" customHeight="1" thickBot="1" x14ac:dyDescent="0.45">
      <c r="A27" s="63">
        <v>44401</v>
      </c>
      <c r="B27" s="44"/>
      <c r="C27" s="58">
        <v>2.3458000000000001</v>
      </c>
      <c r="D27" s="64">
        <f t="shared" si="0"/>
        <v>2200.0000000002019</v>
      </c>
      <c r="E27" s="58">
        <v>3.3321000000000001</v>
      </c>
      <c r="F27" s="64">
        <f t="shared" si="1"/>
        <v>2600.0000000001578</v>
      </c>
      <c r="G27" s="58">
        <v>3.3877000000000002</v>
      </c>
      <c r="H27" s="64">
        <f t="shared" si="2"/>
        <v>2900.0000000003465</v>
      </c>
      <c r="I27" s="58">
        <v>1.671</v>
      </c>
      <c r="J27" s="64">
        <f t="shared" si="3"/>
        <v>1200.0000000000898</v>
      </c>
      <c r="K27" s="58">
        <v>2.6981000000000002</v>
      </c>
      <c r="L27" s="64">
        <f t="shared" si="4"/>
        <v>2299.9999999999686</v>
      </c>
      <c r="M27" s="58">
        <v>1.4831000000000001</v>
      </c>
      <c r="N27" s="64">
        <f t="shared" si="5"/>
        <v>800.00000000013392</v>
      </c>
      <c r="O27" s="58">
        <v>14521</v>
      </c>
      <c r="P27" s="67">
        <f t="shared" si="44"/>
        <v>6</v>
      </c>
      <c r="Q27" s="58">
        <v>1081</v>
      </c>
      <c r="R27" s="67">
        <f t="shared" si="6"/>
        <v>2</v>
      </c>
      <c r="S27" s="58">
        <v>1014.6</v>
      </c>
      <c r="T27" s="64">
        <f t="shared" si="45"/>
        <v>1000</v>
      </c>
      <c r="U27" s="58">
        <v>425631.9</v>
      </c>
      <c r="V27" s="67">
        <f t="shared" si="8"/>
        <v>323.20000000001164</v>
      </c>
      <c r="W27" s="58">
        <v>404.91</v>
      </c>
      <c r="X27" s="65">
        <f t="shared" si="9"/>
        <v>270.00000000003865</v>
      </c>
      <c r="Y27" s="58">
        <v>2.9137</v>
      </c>
      <c r="Z27" s="65">
        <f t="shared" si="10"/>
        <v>2399.9999999997358</v>
      </c>
      <c r="AA27" s="58">
        <v>403.49</v>
      </c>
      <c r="AB27" s="65">
        <f t="shared" si="11"/>
        <v>300.00000000001137</v>
      </c>
      <c r="AC27" s="58">
        <v>377.26</v>
      </c>
      <c r="AD27" s="65">
        <f t="shared" si="12"/>
        <v>209.99999999997954</v>
      </c>
      <c r="AE27" s="58">
        <v>574.41</v>
      </c>
      <c r="AF27" s="65">
        <f t="shared" si="13"/>
        <v>199.99999999993179</v>
      </c>
      <c r="AG27" s="58">
        <v>5391</v>
      </c>
      <c r="AH27" s="67">
        <f t="shared" si="14"/>
        <v>35</v>
      </c>
      <c r="AI27" s="58">
        <v>632.11</v>
      </c>
      <c r="AJ27" s="65">
        <f t="shared" si="15"/>
        <v>350.00000000002274</v>
      </c>
      <c r="AK27" s="58">
        <v>208.87</v>
      </c>
      <c r="AL27" s="65">
        <f t="shared" si="15"/>
        <v>159.99999999999659</v>
      </c>
      <c r="AM27" s="58">
        <v>198.97</v>
      </c>
      <c r="AN27" s="65">
        <f t="shared" si="15"/>
        <v>129.99999999999545</v>
      </c>
      <c r="AO27" s="58">
        <v>192.19</v>
      </c>
      <c r="AP27" s="65">
        <f t="shared" si="15"/>
        <v>79.999999999984084</v>
      </c>
      <c r="AQ27" s="58">
        <v>251.47</v>
      </c>
      <c r="AR27" s="65">
        <f t="shared" si="16"/>
        <v>310.00000000000227</v>
      </c>
      <c r="AS27" s="58">
        <v>377.63</v>
      </c>
      <c r="AT27" s="65">
        <f t="shared" si="17"/>
        <v>300.00000000001137</v>
      </c>
      <c r="AU27" s="58">
        <v>288.07</v>
      </c>
      <c r="AV27" s="65">
        <f t="shared" si="18"/>
        <v>300.00000000001137</v>
      </c>
      <c r="AW27" s="58">
        <v>322.41000000000003</v>
      </c>
      <c r="AX27" s="65">
        <f t="shared" si="19"/>
        <v>120.00000000000455</v>
      </c>
      <c r="AY27" s="58">
        <v>362.72</v>
      </c>
      <c r="AZ27" s="65">
        <f t="shared" si="20"/>
        <v>40.000000000020464</v>
      </c>
      <c r="BA27" s="58">
        <v>381.88</v>
      </c>
      <c r="BB27" s="65">
        <f t="shared" si="21"/>
        <v>29.999999999972715</v>
      </c>
      <c r="BC27" s="58">
        <v>244.44</v>
      </c>
      <c r="BD27" s="65">
        <f t="shared" si="22"/>
        <v>79.999999999984084</v>
      </c>
      <c r="BE27" s="59">
        <v>41168</v>
      </c>
      <c r="BF27" s="67">
        <f t="shared" si="39"/>
        <v>28</v>
      </c>
      <c r="BG27" s="60">
        <v>235.12</v>
      </c>
      <c r="BH27" s="65">
        <f t="shared" si="23"/>
        <v>39.999999999992042</v>
      </c>
      <c r="BI27" s="60">
        <v>293.88</v>
      </c>
      <c r="BJ27" s="65">
        <f t="shared" si="40"/>
        <v>19.99999999998181</v>
      </c>
      <c r="BK27" s="60">
        <v>237.7</v>
      </c>
      <c r="BL27" s="65">
        <f t="shared" si="24"/>
        <v>19.99999999998181</v>
      </c>
      <c r="BM27" s="60">
        <v>224.81</v>
      </c>
      <c r="BN27" s="65">
        <f t="shared" si="25"/>
        <v>30.000000000001137</v>
      </c>
      <c r="BO27" s="60">
        <v>288.57</v>
      </c>
      <c r="BP27" s="65">
        <f t="shared" si="26"/>
        <v>29.999999999972715</v>
      </c>
      <c r="BQ27" s="60">
        <v>46023</v>
      </c>
      <c r="BR27" s="65">
        <f t="shared" si="27"/>
        <v>30</v>
      </c>
      <c r="BS27" s="60">
        <v>201.52</v>
      </c>
      <c r="BT27" s="65">
        <f t="shared" si="42"/>
        <v>20.000000000010232</v>
      </c>
      <c r="BU27" s="60">
        <v>41733</v>
      </c>
      <c r="BV27" s="65">
        <f t="shared" si="29"/>
        <v>34</v>
      </c>
      <c r="BW27" s="60">
        <v>232.57</v>
      </c>
      <c r="BX27" s="65">
        <f t="shared" si="30"/>
        <v>19.99999999998181</v>
      </c>
      <c r="BY27" s="60">
        <v>61517</v>
      </c>
      <c r="BZ27" s="67">
        <f t="shared" si="31"/>
        <v>41</v>
      </c>
      <c r="CA27" s="60">
        <v>32890.199999999997</v>
      </c>
      <c r="CB27" s="67">
        <f t="shared" si="32"/>
        <v>49.899999999994179</v>
      </c>
      <c r="CC27" s="60">
        <v>12401.1</v>
      </c>
      <c r="CD27" s="67">
        <f t="shared" si="33"/>
        <v>7.3999999999996362</v>
      </c>
      <c r="CE27" s="60">
        <v>6551.6</v>
      </c>
      <c r="CF27" s="67">
        <f t="shared" si="34"/>
        <v>3.9000000000005457</v>
      </c>
      <c r="CG27" s="60">
        <v>60438.2</v>
      </c>
      <c r="CH27" s="67">
        <f t="shared" si="35"/>
        <v>33.399999999994179</v>
      </c>
      <c r="CI27" s="60">
        <v>956060</v>
      </c>
      <c r="CJ27" s="67">
        <f t="shared" si="36"/>
        <v>259</v>
      </c>
      <c r="CK27" s="60">
        <v>780.81</v>
      </c>
      <c r="CL27" s="64">
        <f t="shared" si="37"/>
        <v>719.9999999999136</v>
      </c>
      <c r="CM27" s="65">
        <f t="shared" si="41"/>
        <v>90</v>
      </c>
      <c r="CN27" s="62">
        <v>14</v>
      </c>
      <c r="CO27" s="62">
        <v>49</v>
      </c>
      <c r="CP27" s="68">
        <v>10888</v>
      </c>
      <c r="CQ27" s="67">
        <f t="shared" si="38"/>
        <v>49</v>
      </c>
      <c r="CR27" s="68">
        <v>14795</v>
      </c>
      <c r="CS27" s="67">
        <f t="shared" si="38"/>
        <v>41</v>
      </c>
      <c r="CT27" s="75">
        <v>6775</v>
      </c>
      <c r="CU27" s="67">
        <f t="shared" si="38"/>
        <v>13</v>
      </c>
      <c r="CV27" s="68">
        <v>16105</v>
      </c>
      <c r="CW27" s="67">
        <f t="shared" si="38"/>
        <v>34</v>
      </c>
    </row>
    <row r="28" spans="1:101" ht="25.5" customHeight="1" thickBot="1" x14ac:dyDescent="0.45">
      <c r="A28" s="63">
        <v>44402</v>
      </c>
      <c r="B28" s="44"/>
      <c r="C28" s="58">
        <v>2.3475000000000001</v>
      </c>
      <c r="D28" s="64">
        <f t="shared" si="0"/>
        <v>1700.0000000000348</v>
      </c>
      <c r="E28" s="58">
        <v>3.3344</v>
      </c>
      <c r="F28" s="64">
        <f t="shared" si="1"/>
        <v>2299.9999999999686</v>
      </c>
      <c r="G28" s="58">
        <v>3.3906000000000001</v>
      </c>
      <c r="H28" s="64">
        <f t="shared" si="2"/>
        <v>2899.9999999999027</v>
      </c>
      <c r="I28" s="58">
        <v>1.6720999999999999</v>
      </c>
      <c r="J28" s="64">
        <f t="shared" si="3"/>
        <v>1099.9999999998788</v>
      </c>
      <c r="K28" s="58">
        <v>2.7002000000000002</v>
      </c>
      <c r="L28" s="64">
        <f t="shared" si="4"/>
        <v>2099.9999999999909</v>
      </c>
      <c r="M28" s="58">
        <v>1.4839</v>
      </c>
      <c r="N28" s="64">
        <f t="shared" si="5"/>
        <v>799.99999999991189</v>
      </c>
      <c r="O28" s="58">
        <v>14528</v>
      </c>
      <c r="P28" s="67">
        <f t="shared" si="44"/>
        <v>7</v>
      </c>
      <c r="Q28" s="58">
        <v>1082</v>
      </c>
      <c r="R28" s="67">
        <f t="shared" si="6"/>
        <v>1</v>
      </c>
      <c r="S28" s="58">
        <v>1015.7</v>
      </c>
      <c r="T28" s="64">
        <f t="shared" si="45"/>
        <v>1100.0000000000227</v>
      </c>
      <c r="U28" s="58">
        <v>425960.5</v>
      </c>
      <c r="V28" s="67">
        <f t="shared" si="8"/>
        <v>328.59999999997672</v>
      </c>
      <c r="W28" s="58">
        <v>405.13</v>
      </c>
      <c r="X28" s="65">
        <f t="shared" si="9"/>
        <v>219.99999999997044</v>
      </c>
      <c r="Y28" s="58">
        <v>2.9157000000000002</v>
      </c>
      <c r="Z28" s="65">
        <f t="shared" si="10"/>
        <v>2000.0000000002237</v>
      </c>
      <c r="AA28" s="58">
        <v>403.87</v>
      </c>
      <c r="AB28" s="65">
        <f t="shared" si="11"/>
        <v>379.99999999999545</v>
      </c>
      <c r="AC28" s="58">
        <v>377.48</v>
      </c>
      <c r="AD28" s="65">
        <f t="shared" si="12"/>
        <v>220.00000000002728</v>
      </c>
      <c r="AE28" s="58">
        <v>574.59</v>
      </c>
      <c r="AF28" s="65">
        <f t="shared" si="13"/>
        <v>180.00000000006366</v>
      </c>
      <c r="AG28" s="58">
        <v>5423</v>
      </c>
      <c r="AH28" s="67">
        <f t="shared" si="14"/>
        <v>32</v>
      </c>
      <c r="AI28" s="58">
        <v>632.54999999999995</v>
      </c>
      <c r="AJ28" s="65">
        <f t="shared" si="15"/>
        <v>439.99999999994088</v>
      </c>
      <c r="AK28" s="58">
        <v>209.05</v>
      </c>
      <c r="AL28" s="65">
        <f t="shared" si="15"/>
        <v>180.00000000000682</v>
      </c>
      <c r="AM28" s="58">
        <v>199.12</v>
      </c>
      <c r="AN28" s="65">
        <f t="shared" si="15"/>
        <v>150.00000000000568</v>
      </c>
      <c r="AO28" s="58">
        <v>192.32</v>
      </c>
      <c r="AP28" s="65">
        <f t="shared" si="15"/>
        <v>129.99999999999545</v>
      </c>
      <c r="AQ28" s="58">
        <v>251.63</v>
      </c>
      <c r="AR28" s="65">
        <f t="shared" si="16"/>
        <v>159.99999999999659</v>
      </c>
      <c r="AS28" s="58">
        <v>377.81</v>
      </c>
      <c r="AT28" s="65">
        <f t="shared" si="17"/>
        <v>180.00000000000682</v>
      </c>
      <c r="AU28" s="58">
        <v>288.25</v>
      </c>
      <c r="AV28" s="65">
        <f t="shared" si="18"/>
        <v>180.00000000000682</v>
      </c>
      <c r="AW28" s="58">
        <v>322.51</v>
      </c>
      <c r="AX28" s="65">
        <f t="shared" si="19"/>
        <v>99.999999999965894</v>
      </c>
      <c r="AY28" s="58">
        <v>362.75</v>
      </c>
      <c r="AZ28" s="65">
        <f t="shared" si="20"/>
        <v>29.999999999972715</v>
      </c>
      <c r="BA28" s="58">
        <v>381.9</v>
      </c>
      <c r="BB28" s="65">
        <f t="shared" si="21"/>
        <v>19.99999999998181</v>
      </c>
      <c r="BC28" s="58">
        <v>244.48</v>
      </c>
      <c r="BD28" s="65">
        <f t="shared" si="22"/>
        <v>39.999999999992042</v>
      </c>
      <c r="BE28" s="59">
        <v>41198</v>
      </c>
      <c r="BF28" s="67">
        <f t="shared" si="39"/>
        <v>30</v>
      </c>
      <c r="BG28" s="60">
        <v>235.16</v>
      </c>
      <c r="BH28" s="65">
        <f t="shared" si="23"/>
        <v>39.999999999992042</v>
      </c>
      <c r="BI28" s="60">
        <v>293.91000000000003</v>
      </c>
      <c r="BJ28" s="65">
        <f t="shared" si="40"/>
        <v>30.000000000029559</v>
      </c>
      <c r="BK28" s="60">
        <v>237.73</v>
      </c>
      <c r="BL28" s="65">
        <f t="shared" si="24"/>
        <v>30.000000000001137</v>
      </c>
      <c r="BM28" s="60">
        <v>224.85</v>
      </c>
      <c r="BN28" s="65">
        <f t="shared" si="25"/>
        <v>39.999999999992042</v>
      </c>
      <c r="BO28" s="60">
        <v>288.60000000000002</v>
      </c>
      <c r="BP28" s="65">
        <f t="shared" si="26"/>
        <v>30.000000000029559</v>
      </c>
      <c r="BQ28" s="60">
        <v>46054</v>
      </c>
      <c r="BR28" s="65">
        <f t="shared" si="27"/>
        <v>31</v>
      </c>
      <c r="BS28" s="60">
        <v>201.55</v>
      </c>
      <c r="BT28" s="65">
        <f t="shared" si="42"/>
        <v>30.000000000001137</v>
      </c>
      <c r="BU28" s="60">
        <v>41762</v>
      </c>
      <c r="BV28" s="65">
        <f t="shared" si="29"/>
        <v>29</v>
      </c>
      <c r="BW28" s="60">
        <v>232.58</v>
      </c>
      <c r="BX28" s="65">
        <f t="shared" si="30"/>
        <v>10.000000000019327</v>
      </c>
      <c r="BY28" s="60">
        <v>61544</v>
      </c>
      <c r="BZ28" s="67">
        <f t="shared" si="31"/>
        <v>27</v>
      </c>
      <c r="CA28" s="60">
        <v>32930.199999999997</v>
      </c>
      <c r="CB28" s="67">
        <f t="shared" si="32"/>
        <v>40</v>
      </c>
      <c r="CC28" s="60">
        <v>12409.5</v>
      </c>
      <c r="CD28" s="67">
        <f t="shared" si="33"/>
        <v>8.3999999999996362</v>
      </c>
      <c r="CE28" s="60">
        <v>6555.5</v>
      </c>
      <c r="CF28" s="67">
        <f t="shared" si="34"/>
        <v>3.8999999999996362</v>
      </c>
      <c r="CG28" s="60">
        <v>60477.599999999999</v>
      </c>
      <c r="CH28" s="67">
        <f t="shared" si="35"/>
        <v>39.400000000001455</v>
      </c>
      <c r="CI28" s="60">
        <v>956322</v>
      </c>
      <c r="CJ28" s="67">
        <f t="shared" si="36"/>
        <v>262</v>
      </c>
      <c r="CK28" s="60">
        <v>781.53</v>
      </c>
      <c r="CL28" s="64">
        <f t="shared" si="37"/>
        <v>720.00000000002728</v>
      </c>
      <c r="CM28" s="65">
        <f t="shared" si="41"/>
        <v>70</v>
      </c>
      <c r="CN28" s="62">
        <v>9</v>
      </c>
      <c r="CO28" s="62">
        <v>27</v>
      </c>
      <c r="CP28" s="68">
        <v>10934</v>
      </c>
      <c r="CQ28" s="67">
        <f t="shared" si="38"/>
        <v>46</v>
      </c>
      <c r="CR28" s="68">
        <v>14819</v>
      </c>
      <c r="CS28" s="67">
        <f t="shared" si="38"/>
        <v>24</v>
      </c>
      <c r="CT28" s="75">
        <v>6781</v>
      </c>
      <c r="CU28" s="67">
        <f t="shared" si="38"/>
        <v>6</v>
      </c>
      <c r="CV28" s="68">
        <v>16145</v>
      </c>
      <c r="CW28" s="67">
        <f t="shared" si="38"/>
        <v>40</v>
      </c>
    </row>
    <row r="29" spans="1:101" ht="25.5" customHeight="1" thickBot="1" x14ac:dyDescent="0.45">
      <c r="A29" s="63">
        <v>44403</v>
      </c>
      <c r="B29" s="44"/>
      <c r="C29" s="58">
        <v>2.3492000000000002</v>
      </c>
      <c r="D29" s="64">
        <f t="shared" si="0"/>
        <v>1700.0000000000348</v>
      </c>
      <c r="E29" s="58">
        <v>3.3369</v>
      </c>
      <c r="F29" s="64">
        <f t="shared" si="1"/>
        <v>2499.9999999999468</v>
      </c>
      <c r="G29" s="58">
        <v>3.3934000000000002</v>
      </c>
      <c r="H29" s="64">
        <f t="shared" si="2"/>
        <v>2800.0000000001355</v>
      </c>
      <c r="I29" s="58">
        <v>1.6733</v>
      </c>
      <c r="J29" s="64">
        <f t="shared" si="3"/>
        <v>1200.0000000000898</v>
      </c>
      <c r="K29" s="58">
        <v>2.7025999999999999</v>
      </c>
      <c r="L29" s="64">
        <f t="shared" si="4"/>
        <v>2399.9999999997358</v>
      </c>
      <c r="M29" s="58">
        <v>1.4846999999999999</v>
      </c>
      <c r="N29" s="64">
        <f t="shared" si="5"/>
        <v>799.99999999991189</v>
      </c>
      <c r="O29" s="58">
        <v>14534</v>
      </c>
      <c r="P29" s="67">
        <f t="shared" si="44"/>
        <v>6</v>
      </c>
      <c r="Q29" s="58">
        <v>1083</v>
      </c>
      <c r="R29" s="67">
        <f t="shared" si="6"/>
        <v>1</v>
      </c>
      <c r="S29" s="58">
        <v>1016.6</v>
      </c>
      <c r="T29" s="64">
        <f t="shared" si="45"/>
        <v>899.99999999997726</v>
      </c>
      <c r="U29" s="58">
        <v>426282.2</v>
      </c>
      <c r="V29" s="67">
        <f t="shared" si="8"/>
        <v>321.70000000001164</v>
      </c>
      <c r="W29" s="58">
        <v>405.38</v>
      </c>
      <c r="X29" s="65">
        <f t="shared" si="9"/>
        <v>250</v>
      </c>
      <c r="Y29" s="58">
        <v>2.9180999999999999</v>
      </c>
      <c r="Z29" s="65">
        <f t="shared" si="10"/>
        <v>2399.9999999997358</v>
      </c>
      <c r="AA29" s="58">
        <v>404.09</v>
      </c>
      <c r="AB29" s="65">
        <f t="shared" si="11"/>
        <v>219.99999999997044</v>
      </c>
      <c r="AC29" s="58">
        <v>377.71</v>
      </c>
      <c r="AD29" s="65">
        <f t="shared" si="12"/>
        <v>229.99999999996135</v>
      </c>
      <c r="AE29" s="58">
        <v>574.79999999999995</v>
      </c>
      <c r="AF29" s="65">
        <f t="shared" si="13"/>
        <v>209.99999999992269</v>
      </c>
      <c r="AG29" s="58">
        <v>5461</v>
      </c>
      <c r="AH29" s="67">
        <f t="shared" si="14"/>
        <v>38</v>
      </c>
      <c r="AI29" s="58">
        <v>632.76</v>
      </c>
      <c r="AJ29" s="65">
        <f t="shared" si="15"/>
        <v>210.00000000003638</v>
      </c>
      <c r="AK29" s="58">
        <v>209.23</v>
      </c>
      <c r="AL29" s="65">
        <f t="shared" si="15"/>
        <v>179.9999999999784</v>
      </c>
      <c r="AM29" s="58">
        <v>199.27</v>
      </c>
      <c r="AN29" s="65">
        <f t="shared" si="15"/>
        <v>150.00000000000568</v>
      </c>
      <c r="AO29" s="58">
        <v>192.46</v>
      </c>
      <c r="AP29" s="65">
        <f t="shared" si="15"/>
        <v>140.00000000001478</v>
      </c>
      <c r="AQ29" s="58">
        <v>251.74</v>
      </c>
      <c r="AR29" s="65">
        <f t="shared" si="16"/>
        <v>110.00000000001364</v>
      </c>
      <c r="AS29" s="58">
        <v>377.96</v>
      </c>
      <c r="AT29" s="65">
        <f t="shared" si="17"/>
        <v>149.99999999997726</v>
      </c>
      <c r="AU29" s="58">
        <v>288.35000000000002</v>
      </c>
      <c r="AV29" s="65">
        <f t="shared" si="18"/>
        <v>100.00000000002274</v>
      </c>
      <c r="AW29" s="58">
        <v>322.66000000000003</v>
      </c>
      <c r="AX29" s="65">
        <f t="shared" si="19"/>
        <v>150.00000000003411</v>
      </c>
      <c r="AY29" s="58">
        <v>362.81</v>
      </c>
      <c r="AZ29" s="65">
        <f t="shared" si="20"/>
        <v>60.000000000002274</v>
      </c>
      <c r="BA29" s="58">
        <v>381.95</v>
      </c>
      <c r="BB29" s="65">
        <f t="shared" si="21"/>
        <v>50.000000000011369</v>
      </c>
      <c r="BC29" s="58">
        <v>244.54</v>
      </c>
      <c r="BD29" s="65">
        <f t="shared" si="22"/>
        <v>60.000000000002274</v>
      </c>
      <c r="BE29" s="59">
        <v>41213</v>
      </c>
      <c r="BF29" s="67">
        <f t="shared" si="39"/>
        <v>15</v>
      </c>
      <c r="BG29" s="60">
        <v>235.19</v>
      </c>
      <c r="BH29" s="65">
        <f t="shared" si="23"/>
        <v>30.000000000001137</v>
      </c>
      <c r="BI29" s="60">
        <v>293.94</v>
      </c>
      <c r="BJ29" s="65">
        <f t="shared" si="40"/>
        <v>29.999999999972715</v>
      </c>
      <c r="BK29" s="60">
        <v>237.75</v>
      </c>
      <c r="BL29" s="65">
        <f t="shared" si="24"/>
        <v>20.000000000010232</v>
      </c>
      <c r="BM29" s="60">
        <v>224.88</v>
      </c>
      <c r="BN29" s="65">
        <f t="shared" si="25"/>
        <v>30.000000000001137</v>
      </c>
      <c r="BO29" s="60">
        <v>288.63</v>
      </c>
      <c r="BP29" s="65">
        <f t="shared" si="26"/>
        <v>29.999999999972715</v>
      </c>
      <c r="BQ29" s="60">
        <v>46082</v>
      </c>
      <c r="BR29" s="65">
        <f t="shared" si="27"/>
        <v>28</v>
      </c>
      <c r="BS29" s="60">
        <v>201.57</v>
      </c>
      <c r="BT29" s="65">
        <f t="shared" si="42"/>
        <v>19.99999999998181</v>
      </c>
      <c r="BU29" s="60">
        <v>41795</v>
      </c>
      <c r="BV29" s="65">
        <f t="shared" si="29"/>
        <v>33</v>
      </c>
      <c r="BW29" s="60">
        <v>232.59</v>
      </c>
      <c r="BX29" s="65">
        <f t="shared" si="30"/>
        <v>9.9999999999909051</v>
      </c>
      <c r="BY29" s="60">
        <v>61590</v>
      </c>
      <c r="BZ29" s="67">
        <f t="shared" si="31"/>
        <v>46</v>
      </c>
      <c r="CA29" s="60">
        <v>32972.800000000003</v>
      </c>
      <c r="CB29" s="67">
        <f t="shared" si="32"/>
        <v>42.600000000005821</v>
      </c>
      <c r="CC29" s="60">
        <v>12427.7</v>
      </c>
      <c r="CD29" s="67">
        <f t="shared" si="33"/>
        <v>18.200000000000728</v>
      </c>
      <c r="CE29" s="60">
        <v>6555.9</v>
      </c>
      <c r="CF29" s="67">
        <f t="shared" si="34"/>
        <v>0.3999999999996362</v>
      </c>
      <c r="CG29" s="60">
        <v>60532.5</v>
      </c>
      <c r="CH29" s="67">
        <f t="shared" si="35"/>
        <v>54.900000000001455</v>
      </c>
      <c r="CI29" s="60">
        <v>956635</v>
      </c>
      <c r="CJ29" s="67">
        <f t="shared" si="36"/>
        <v>313</v>
      </c>
      <c r="CK29" s="60">
        <v>782.27</v>
      </c>
      <c r="CL29" s="64">
        <f t="shared" si="37"/>
        <v>740.00000000000909</v>
      </c>
      <c r="CM29" s="65">
        <f t="shared" si="41"/>
        <v>75</v>
      </c>
      <c r="CN29" s="62">
        <v>9</v>
      </c>
      <c r="CO29" s="62">
        <v>27</v>
      </c>
      <c r="CP29" s="68">
        <v>10982</v>
      </c>
      <c r="CQ29" s="67">
        <f t="shared" si="38"/>
        <v>48</v>
      </c>
      <c r="CR29" s="68">
        <v>14846</v>
      </c>
      <c r="CS29" s="67">
        <f t="shared" si="38"/>
        <v>27</v>
      </c>
      <c r="CT29" s="75">
        <v>6783</v>
      </c>
      <c r="CU29" s="67">
        <f t="shared" si="38"/>
        <v>2</v>
      </c>
      <c r="CV29" s="68">
        <v>16198</v>
      </c>
      <c r="CW29" s="67">
        <f t="shared" si="38"/>
        <v>53</v>
      </c>
    </row>
    <row r="30" spans="1:101" ht="25.5" customHeight="1" thickBot="1" x14ac:dyDescent="0.45">
      <c r="A30" s="63">
        <v>44404</v>
      </c>
      <c r="B30" s="44"/>
      <c r="C30" s="58">
        <v>2.3506</v>
      </c>
      <c r="D30" s="64">
        <f t="shared" si="0"/>
        <v>1399.9999999998458</v>
      </c>
      <c r="E30" s="58">
        <v>3.3391999999999999</v>
      </c>
      <c r="F30" s="64">
        <f t="shared" si="1"/>
        <v>2299.9999999999686</v>
      </c>
      <c r="G30" s="58">
        <v>3.3957000000000002</v>
      </c>
      <c r="H30" s="64">
        <f t="shared" si="2"/>
        <v>2299.9999999999686</v>
      </c>
      <c r="I30" s="58">
        <v>1.6745000000000001</v>
      </c>
      <c r="J30" s="64">
        <f t="shared" si="3"/>
        <v>1200.0000000000898</v>
      </c>
      <c r="K30" s="58">
        <v>2.7046000000000001</v>
      </c>
      <c r="L30" s="64">
        <f t="shared" si="4"/>
        <v>2000.0000000002237</v>
      </c>
      <c r="M30" s="58">
        <v>1.4854000000000001</v>
      </c>
      <c r="N30" s="64">
        <f t="shared" si="5"/>
        <v>700.00000000014495</v>
      </c>
      <c r="O30" s="58">
        <v>14536</v>
      </c>
      <c r="P30" s="67">
        <f t="shared" si="44"/>
        <v>2</v>
      </c>
      <c r="Q30" s="58">
        <v>1085</v>
      </c>
      <c r="R30" s="67">
        <f t="shared" si="6"/>
        <v>2</v>
      </c>
      <c r="S30" s="58">
        <v>1017.2</v>
      </c>
      <c r="T30" s="64">
        <f t="shared" si="45"/>
        <v>600.00000000002274</v>
      </c>
      <c r="U30" s="58">
        <v>426523.8</v>
      </c>
      <c r="V30" s="67">
        <f t="shared" si="8"/>
        <v>241.59999999997672</v>
      </c>
      <c r="W30" s="58">
        <v>405.59</v>
      </c>
      <c r="X30" s="65">
        <f t="shared" si="9"/>
        <v>209.99999999997954</v>
      </c>
      <c r="Y30" s="58">
        <v>2.92</v>
      </c>
      <c r="Z30" s="65">
        <f t="shared" si="10"/>
        <v>1900.0000000000127</v>
      </c>
      <c r="AA30" s="58">
        <v>404.27</v>
      </c>
      <c r="AB30" s="65">
        <f t="shared" si="11"/>
        <v>180.00000000000682</v>
      </c>
      <c r="AC30" s="58">
        <v>377.89</v>
      </c>
      <c r="AD30" s="65">
        <f t="shared" si="12"/>
        <v>180.00000000000682</v>
      </c>
      <c r="AE30" s="58">
        <v>574.97</v>
      </c>
      <c r="AF30" s="65">
        <f t="shared" si="13"/>
        <v>170.00000000007276</v>
      </c>
      <c r="AG30" s="58">
        <v>5494</v>
      </c>
      <c r="AH30" s="67">
        <f t="shared" si="14"/>
        <v>33</v>
      </c>
      <c r="AI30" s="58">
        <v>633</v>
      </c>
      <c r="AJ30" s="65">
        <f t="shared" si="15"/>
        <v>240.00000000000909</v>
      </c>
      <c r="AK30" s="58">
        <v>209.39</v>
      </c>
      <c r="AL30" s="65">
        <f t="shared" si="15"/>
        <v>159.99999999999659</v>
      </c>
      <c r="AM30" s="58">
        <v>199.4</v>
      </c>
      <c r="AN30" s="65">
        <f t="shared" si="15"/>
        <v>129.99999999999545</v>
      </c>
      <c r="AO30" s="58">
        <v>192.59</v>
      </c>
      <c r="AP30" s="65">
        <f t="shared" si="15"/>
        <v>129.99999999999545</v>
      </c>
      <c r="AQ30" s="58">
        <v>251.83</v>
      </c>
      <c r="AR30" s="65">
        <f t="shared" si="16"/>
        <v>90.000000000003411</v>
      </c>
      <c r="AS30" s="58">
        <v>378.05</v>
      </c>
      <c r="AT30" s="65">
        <f t="shared" si="17"/>
        <v>90.000000000031832</v>
      </c>
      <c r="AU30" s="58">
        <v>288.43</v>
      </c>
      <c r="AV30" s="65">
        <f t="shared" si="18"/>
        <v>79.999999999984084</v>
      </c>
      <c r="AW30" s="58">
        <v>322.77</v>
      </c>
      <c r="AX30" s="65">
        <f t="shared" si="19"/>
        <v>109.9999999999568</v>
      </c>
      <c r="AY30" s="58">
        <v>362.84</v>
      </c>
      <c r="AZ30" s="65">
        <f t="shared" si="20"/>
        <v>29.999999999972715</v>
      </c>
      <c r="BA30" s="58">
        <v>381.97</v>
      </c>
      <c r="BB30" s="65">
        <f t="shared" si="21"/>
        <v>20.000000000038654</v>
      </c>
      <c r="BC30" s="58">
        <v>244.6</v>
      </c>
      <c r="BD30" s="65">
        <f t="shared" si="22"/>
        <v>60.000000000002274</v>
      </c>
      <c r="BE30" s="59">
        <v>41227</v>
      </c>
      <c r="BF30" s="67">
        <f t="shared" si="39"/>
        <v>14</v>
      </c>
      <c r="BG30" s="60">
        <v>235.22</v>
      </c>
      <c r="BH30" s="65">
        <f t="shared" si="23"/>
        <v>30.000000000001137</v>
      </c>
      <c r="BI30" s="60">
        <v>293.95999999999998</v>
      </c>
      <c r="BJ30" s="65">
        <f t="shared" si="40"/>
        <v>19.99999999998181</v>
      </c>
      <c r="BK30" s="60">
        <v>237.77</v>
      </c>
      <c r="BL30" s="65">
        <f t="shared" si="24"/>
        <v>20.000000000010232</v>
      </c>
      <c r="BM30" s="60">
        <v>224.92</v>
      </c>
      <c r="BN30" s="65">
        <f t="shared" si="25"/>
        <v>39.999999999992042</v>
      </c>
      <c r="BO30" s="60">
        <v>288.66000000000003</v>
      </c>
      <c r="BP30" s="65">
        <f t="shared" si="26"/>
        <v>30.000000000029559</v>
      </c>
      <c r="BQ30" s="60">
        <v>46112</v>
      </c>
      <c r="BR30" s="65">
        <f t="shared" si="27"/>
        <v>30</v>
      </c>
      <c r="BS30" s="60">
        <v>201.6</v>
      </c>
      <c r="BT30" s="65">
        <f t="shared" si="42"/>
        <v>30.000000000001137</v>
      </c>
      <c r="BU30" s="60">
        <v>41826</v>
      </c>
      <c r="BV30" s="65">
        <f t="shared" si="29"/>
        <v>31</v>
      </c>
      <c r="BW30" s="60">
        <v>232.61</v>
      </c>
      <c r="BX30" s="65">
        <f t="shared" si="30"/>
        <v>20.000000000010232</v>
      </c>
      <c r="BY30" s="60">
        <v>61627</v>
      </c>
      <c r="BZ30" s="67">
        <f t="shared" si="31"/>
        <v>37</v>
      </c>
      <c r="CA30" s="60">
        <v>32998</v>
      </c>
      <c r="CB30" s="67">
        <f t="shared" si="32"/>
        <v>25.19999999999709</v>
      </c>
      <c r="CC30" s="60">
        <v>12431.5</v>
      </c>
      <c r="CD30" s="67">
        <f t="shared" si="33"/>
        <v>3.7999999999992724</v>
      </c>
      <c r="CE30" s="60">
        <v>6565.2</v>
      </c>
      <c r="CF30" s="67">
        <f t="shared" si="34"/>
        <v>9.3000000000001819</v>
      </c>
      <c r="CG30" s="60">
        <v>60559.4</v>
      </c>
      <c r="CH30" s="67">
        <f t="shared" si="35"/>
        <v>26.900000000001455</v>
      </c>
      <c r="CI30" s="60">
        <v>956923</v>
      </c>
      <c r="CJ30" s="67">
        <f t="shared" si="36"/>
        <v>288</v>
      </c>
      <c r="CK30" s="60">
        <v>782.9</v>
      </c>
      <c r="CL30" s="64">
        <f t="shared" si="37"/>
        <v>629.99999999999545</v>
      </c>
      <c r="CM30" s="65">
        <f t="shared" si="41"/>
        <v>56</v>
      </c>
      <c r="CN30" s="62">
        <v>9</v>
      </c>
      <c r="CO30" s="62">
        <v>27</v>
      </c>
      <c r="CP30" s="68">
        <v>11021</v>
      </c>
      <c r="CQ30" s="67">
        <f t="shared" si="38"/>
        <v>39</v>
      </c>
      <c r="CR30" s="68">
        <v>14863</v>
      </c>
      <c r="CS30" s="67">
        <f t="shared" si="38"/>
        <v>17</v>
      </c>
      <c r="CT30" s="75">
        <v>6784</v>
      </c>
      <c r="CU30" s="67">
        <f t="shared" si="38"/>
        <v>1</v>
      </c>
      <c r="CV30" s="68">
        <v>16232</v>
      </c>
      <c r="CW30" s="67">
        <f t="shared" si="38"/>
        <v>34</v>
      </c>
    </row>
    <row r="31" spans="1:101" ht="25.5" customHeight="1" thickBot="1" x14ac:dyDescent="0.45">
      <c r="A31" s="63">
        <v>44405</v>
      </c>
      <c r="B31" s="66"/>
      <c r="C31" s="58">
        <v>2.3519000000000001</v>
      </c>
      <c r="D31" s="64">
        <f t="shared" si="0"/>
        <v>1300.0000000000789</v>
      </c>
      <c r="E31" s="58">
        <v>3.3412000000000002</v>
      </c>
      <c r="F31" s="64">
        <f t="shared" si="1"/>
        <v>2000.0000000002237</v>
      </c>
      <c r="G31" s="58">
        <v>3.3978000000000002</v>
      </c>
      <c r="H31" s="64">
        <f t="shared" si="2"/>
        <v>2099.9999999999909</v>
      </c>
      <c r="I31" s="58">
        <v>1.6755</v>
      </c>
      <c r="J31" s="64">
        <f t="shared" si="3"/>
        <v>999.99999999988984</v>
      </c>
      <c r="K31" s="58">
        <v>2.7063999999999999</v>
      </c>
      <c r="L31" s="64">
        <f t="shared" si="4"/>
        <v>1799.9999999998017</v>
      </c>
      <c r="M31" s="58">
        <v>1.4862</v>
      </c>
      <c r="N31" s="64">
        <f t="shared" si="5"/>
        <v>799.99999999991189</v>
      </c>
      <c r="O31" s="58">
        <v>14540</v>
      </c>
      <c r="P31" s="67">
        <f t="shared" si="44"/>
        <v>4</v>
      </c>
      <c r="Q31" s="58">
        <v>1087</v>
      </c>
      <c r="R31" s="67">
        <f t="shared" si="6"/>
        <v>2</v>
      </c>
      <c r="S31" s="58">
        <v>1017.6</v>
      </c>
      <c r="T31" s="64">
        <f t="shared" si="45"/>
        <v>399.99999999997726</v>
      </c>
      <c r="U31" s="58">
        <v>426745.7</v>
      </c>
      <c r="V31" s="67">
        <f t="shared" si="8"/>
        <v>221.90000000002328</v>
      </c>
      <c r="W31" s="58">
        <v>405.78</v>
      </c>
      <c r="X31" s="65">
        <f t="shared" si="9"/>
        <v>189.99999999999773</v>
      </c>
      <c r="Y31" s="58">
        <v>2.9218000000000002</v>
      </c>
      <c r="Z31" s="65">
        <f t="shared" si="10"/>
        <v>1800.0000000002458</v>
      </c>
      <c r="AA31" s="58">
        <v>404.57</v>
      </c>
      <c r="AB31" s="65">
        <f t="shared" si="11"/>
        <v>300.00000000001137</v>
      </c>
      <c r="AC31" s="58">
        <v>378.06</v>
      </c>
      <c r="AD31" s="65">
        <f t="shared" si="12"/>
        <v>170.00000000001592</v>
      </c>
      <c r="AE31" s="58">
        <v>575.16</v>
      </c>
      <c r="AF31" s="65">
        <f t="shared" si="13"/>
        <v>189.99999999994088</v>
      </c>
      <c r="AG31" s="58">
        <v>5522</v>
      </c>
      <c r="AH31" s="67">
        <f t="shared" si="14"/>
        <v>28</v>
      </c>
      <c r="AI31" s="58">
        <v>633.22</v>
      </c>
      <c r="AJ31" s="65">
        <f t="shared" si="15"/>
        <v>220.00000000002728</v>
      </c>
      <c r="AK31" s="58">
        <v>209.52</v>
      </c>
      <c r="AL31" s="65">
        <f t="shared" si="15"/>
        <v>130.00000000002387</v>
      </c>
      <c r="AM31" s="58">
        <v>199.51</v>
      </c>
      <c r="AN31" s="65">
        <f t="shared" si="15"/>
        <v>109.99999999998522</v>
      </c>
      <c r="AO31" s="58">
        <v>192.69</v>
      </c>
      <c r="AP31" s="65">
        <f t="shared" si="15"/>
        <v>99.999999999994316</v>
      </c>
      <c r="AQ31" s="58">
        <v>251.87</v>
      </c>
      <c r="AR31" s="65">
        <f t="shared" si="16"/>
        <v>39.999999999992042</v>
      </c>
      <c r="AS31" s="58">
        <v>378.12</v>
      </c>
      <c r="AT31" s="65">
        <f t="shared" si="17"/>
        <v>69.999999999993179</v>
      </c>
      <c r="AU31" s="58">
        <v>288.52</v>
      </c>
      <c r="AV31" s="65">
        <f t="shared" si="18"/>
        <v>89.999999999974989</v>
      </c>
      <c r="AW31" s="58">
        <v>322.87</v>
      </c>
      <c r="AX31" s="65">
        <f t="shared" si="19"/>
        <v>100.00000000002274</v>
      </c>
      <c r="AY31" s="58">
        <v>362.86</v>
      </c>
      <c r="AZ31" s="65">
        <f t="shared" si="20"/>
        <v>20.000000000038654</v>
      </c>
      <c r="BA31" s="58">
        <v>381.98</v>
      </c>
      <c r="BB31" s="65">
        <f t="shared" si="21"/>
        <v>9.9999999999909051</v>
      </c>
      <c r="BC31" s="58">
        <v>244.66</v>
      </c>
      <c r="BD31" s="65">
        <f t="shared" si="22"/>
        <v>60.000000000002274</v>
      </c>
      <c r="BE31" s="59">
        <v>41274</v>
      </c>
      <c r="BF31" s="67">
        <f t="shared" si="39"/>
        <v>47</v>
      </c>
      <c r="BG31" s="60">
        <v>235.24</v>
      </c>
      <c r="BH31" s="65">
        <f t="shared" si="23"/>
        <v>20.000000000010232</v>
      </c>
      <c r="BI31" s="60">
        <v>293.99</v>
      </c>
      <c r="BJ31" s="65">
        <f t="shared" si="40"/>
        <v>30.000000000029559</v>
      </c>
      <c r="BK31" s="60">
        <v>237.79</v>
      </c>
      <c r="BL31" s="65">
        <f t="shared" si="24"/>
        <v>19.99999999998181</v>
      </c>
      <c r="BM31" s="60">
        <v>224.94</v>
      </c>
      <c r="BN31" s="65">
        <f t="shared" si="25"/>
        <v>20.000000000010232</v>
      </c>
      <c r="BO31" s="60">
        <v>288.69</v>
      </c>
      <c r="BP31" s="65">
        <f t="shared" si="26"/>
        <v>29.999999999972715</v>
      </c>
      <c r="BQ31" s="60">
        <v>46133</v>
      </c>
      <c r="BR31" s="65">
        <f t="shared" si="27"/>
        <v>21</v>
      </c>
      <c r="BS31" s="60">
        <v>201.64</v>
      </c>
      <c r="BT31" s="65">
        <f t="shared" si="42"/>
        <v>39.999999999992042</v>
      </c>
      <c r="BU31" s="60">
        <v>41863</v>
      </c>
      <c r="BV31" s="65">
        <f t="shared" si="29"/>
        <v>37</v>
      </c>
      <c r="BW31" s="60">
        <v>232.63</v>
      </c>
      <c r="BX31" s="65">
        <f t="shared" si="30"/>
        <v>19.99999999998181</v>
      </c>
      <c r="BY31" s="60">
        <v>61662</v>
      </c>
      <c r="BZ31" s="67">
        <f t="shared" si="31"/>
        <v>35</v>
      </c>
      <c r="CA31" s="60">
        <v>33022.800000000003</v>
      </c>
      <c r="CB31" s="67">
        <f t="shared" si="32"/>
        <v>24.80000000000291</v>
      </c>
      <c r="CC31" s="60">
        <v>12434.2</v>
      </c>
      <c r="CD31" s="67">
        <f t="shared" si="33"/>
        <v>2.7000000000007276</v>
      </c>
      <c r="CE31" s="60">
        <v>6574.6</v>
      </c>
      <c r="CF31" s="67">
        <f t="shared" si="34"/>
        <v>9.4000000000005457</v>
      </c>
      <c r="CG31" s="60">
        <v>60594.7</v>
      </c>
      <c r="CH31" s="67">
        <f t="shared" si="35"/>
        <v>35.299999999995634</v>
      </c>
      <c r="CI31" s="60">
        <v>957144</v>
      </c>
      <c r="CJ31" s="67">
        <f t="shared" si="36"/>
        <v>221</v>
      </c>
      <c r="CK31" s="60">
        <v>783.54</v>
      </c>
      <c r="CL31" s="64">
        <f t="shared" si="37"/>
        <v>639.99999999998636</v>
      </c>
      <c r="CM31" s="65">
        <f t="shared" si="41"/>
        <v>61</v>
      </c>
      <c r="CN31" s="62">
        <v>10</v>
      </c>
      <c r="CO31" s="62">
        <v>32</v>
      </c>
      <c r="CP31" s="68">
        <v>11052</v>
      </c>
      <c r="CQ31" s="67">
        <f t="shared" si="38"/>
        <v>31</v>
      </c>
      <c r="CR31" s="68">
        <v>14893</v>
      </c>
      <c r="CS31" s="67">
        <f t="shared" si="38"/>
        <v>30</v>
      </c>
      <c r="CT31" s="75">
        <v>6786</v>
      </c>
      <c r="CU31" s="67">
        <f t="shared" si="38"/>
        <v>2</v>
      </c>
      <c r="CV31" s="68">
        <v>16264</v>
      </c>
      <c r="CW31" s="67">
        <f t="shared" si="38"/>
        <v>32</v>
      </c>
    </row>
    <row r="32" spans="1:101" ht="25.5" customHeight="1" thickBot="1" x14ac:dyDescent="0.45">
      <c r="A32" s="63">
        <v>44406</v>
      </c>
      <c r="B32" s="68"/>
      <c r="C32" s="58">
        <v>2.3536999999999999</v>
      </c>
      <c r="D32" s="64">
        <f t="shared" si="0"/>
        <v>1799.9999999998017</v>
      </c>
      <c r="E32" s="58">
        <v>3.3439000000000001</v>
      </c>
      <c r="F32" s="64">
        <f t="shared" si="1"/>
        <v>2699.9999999999245</v>
      </c>
      <c r="G32" s="58">
        <v>3.4005000000000001</v>
      </c>
      <c r="H32" s="64">
        <f t="shared" si="2"/>
        <v>2699.9999999999245</v>
      </c>
      <c r="I32" s="58">
        <v>1.6768000000000001</v>
      </c>
      <c r="J32" s="64">
        <f t="shared" si="3"/>
        <v>1300.0000000000789</v>
      </c>
      <c r="K32" s="58">
        <v>2.7086000000000001</v>
      </c>
      <c r="L32" s="64">
        <f t="shared" si="4"/>
        <v>2200.0000000002019</v>
      </c>
      <c r="M32" s="58">
        <v>1.4869000000000001</v>
      </c>
      <c r="N32" s="64">
        <f t="shared" si="5"/>
        <v>700.00000000014495</v>
      </c>
      <c r="O32" s="58">
        <v>14541</v>
      </c>
      <c r="P32" s="67">
        <f t="shared" si="44"/>
        <v>1</v>
      </c>
      <c r="Q32" s="58">
        <v>1089</v>
      </c>
      <c r="R32" s="67">
        <f t="shared" si="6"/>
        <v>2</v>
      </c>
      <c r="S32" s="58">
        <v>1018.4</v>
      </c>
      <c r="T32" s="64">
        <f t="shared" si="45"/>
        <v>799.99999999995453</v>
      </c>
      <c r="U32" s="58">
        <v>427068.6</v>
      </c>
      <c r="V32" s="67">
        <f t="shared" si="8"/>
        <v>322.89999999996508</v>
      </c>
      <c r="W32" s="58">
        <v>406</v>
      </c>
      <c r="X32" s="65">
        <f t="shared" si="9"/>
        <v>220.00000000002728</v>
      </c>
      <c r="Y32" s="58">
        <v>2.9243000000000001</v>
      </c>
      <c r="Z32" s="65">
        <f t="shared" si="10"/>
        <v>2499.9999999999468</v>
      </c>
      <c r="AA32" s="58">
        <v>404.79</v>
      </c>
      <c r="AB32" s="65">
        <f t="shared" si="11"/>
        <v>220.00000000002728</v>
      </c>
      <c r="AC32" s="58">
        <v>378.29</v>
      </c>
      <c r="AD32" s="65">
        <f t="shared" si="12"/>
        <v>230.00000000001819</v>
      </c>
      <c r="AE32" s="58">
        <v>575.38</v>
      </c>
      <c r="AF32" s="65">
        <f t="shared" si="13"/>
        <v>220.00000000002728</v>
      </c>
      <c r="AG32" s="58">
        <v>5557</v>
      </c>
      <c r="AH32" s="67">
        <f t="shared" si="14"/>
        <v>35</v>
      </c>
      <c r="AI32" s="58">
        <v>633.5</v>
      </c>
      <c r="AJ32" s="65">
        <f t="shared" si="15"/>
        <v>279.99999999997272</v>
      </c>
      <c r="AK32" s="58">
        <v>209.72</v>
      </c>
      <c r="AL32" s="65">
        <f t="shared" si="15"/>
        <v>199.99999999998863</v>
      </c>
      <c r="AM32" s="58">
        <v>199.69</v>
      </c>
      <c r="AN32" s="65">
        <f t="shared" si="15"/>
        <v>180.00000000000682</v>
      </c>
      <c r="AO32" s="58">
        <v>192.83</v>
      </c>
      <c r="AP32" s="65">
        <f t="shared" si="15"/>
        <v>140.00000000001478</v>
      </c>
      <c r="AQ32" s="58">
        <v>252.08</v>
      </c>
      <c r="AR32" s="65">
        <f t="shared" si="16"/>
        <v>210.00000000000796</v>
      </c>
      <c r="AS32" s="58">
        <v>378.27</v>
      </c>
      <c r="AT32" s="65">
        <f t="shared" si="17"/>
        <v>149.99999999997726</v>
      </c>
      <c r="AU32" s="58">
        <v>288.7</v>
      </c>
      <c r="AV32" s="65">
        <f t="shared" si="18"/>
        <v>180.00000000000682</v>
      </c>
      <c r="AW32" s="58">
        <v>322.99</v>
      </c>
      <c r="AX32" s="65">
        <f t="shared" si="19"/>
        <v>120.00000000000455</v>
      </c>
      <c r="AY32" s="58">
        <v>362.91</v>
      </c>
      <c r="AZ32" s="65">
        <f t="shared" si="20"/>
        <v>50.000000000011369</v>
      </c>
      <c r="BA32" s="58">
        <v>382.01</v>
      </c>
      <c r="BB32" s="65">
        <f t="shared" si="21"/>
        <v>29.999999999972715</v>
      </c>
      <c r="BC32" s="58">
        <v>244.73</v>
      </c>
      <c r="BD32" s="65">
        <f t="shared" si="22"/>
        <v>69.999999999993179</v>
      </c>
      <c r="BE32" s="59">
        <v>41297</v>
      </c>
      <c r="BF32" s="67">
        <f t="shared" si="39"/>
        <v>23</v>
      </c>
      <c r="BG32" s="60">
        <v>235.28</v>
      </c>
      <c r="BH32" s="65">
        <f t="shared" si="23"/>
        <v>39.999999999992042</v>
      </c>
      <c r="BI32" s="60">
        <v>294.01</v>
      </c>
      <c r="BJ32" s="65">
        <f t="shared" si="40"/>
        <v>19.99999999998181</v>
      </c>
      <c r="BK32" s="60">
        <v>237.82</v>
      </c>
      <c r="BL32" s="65">
        <f t="shared" si="24"/>
        <v>30.000000000001137</v>
      </c>
      <c r="BM32" s="60">
        <v>224.99</v>
      </c>
      <c r="BN32" s="65">
        <f t="shared" si="25"/>
        <v>50.000000000011369</v>
      </c>
      <c r="BO32" s="60">
        <v>288.72000000000003</v>
      </c>
      <c r="BP32" s="65">
        <f t="shared" si="26"/>
        <v>30.000000000029559</v>
      </c>
      <c r="BQ32" s="60">
        <v>46158</v>
      </c>
      <c r="BR32" s="65">
        <f t="shared" si="27"/>
        <v>25</v>
      </c>
      <c r="BS32" s="60">
        <v>201.67</v>
      </c>
      <c r="BT32" s="65">
        <f t="shared" si="42"/>
        <v>30.000000000001137</v>
      </c>
      <c r="BU32" s="60">
        <v>41904</v>
      </c>
      <c r="BV32" s="65">
        <f t="shared" si="29"/>
        <v>41</v>
      </c>
      <c r="BW32" s="60">
        <v>232.66</v>
      </c>
      <c r="BX32" s="65">
        <f t="shared" si="30"/>
        <v>30.000000000001137</v>
      </c>
      <c r="BY32" s="60">
        <v>61705</v>
      </c>
      <c r="BZ32" s="67">
        <f t="shared" si="31"/>
        <v>43</v>
      </c>
      <c r="CA32" s="60">
        <v>33061.599999999999</v>
      </c>
      <c r="CB32" s="67">
        <f t="shared" si="32"/>
        <v>38.799999999995634</v>
      </c>
      <c r="CC32" s="60">
        <v>12442.7</v>
      </c>
      <c r="CD32" s="67">
        <f t="shared" si="33"/>
        <v>8.5</v>
      </c>
      <c r="CE32" s="60">
        <v>6575.3</v>
      </c>
      <c r="CF32" s="67">
        <f t="shared" si="34"/>
        <v>0.6999999999998181</v>
      </c>
      <c r="CG32" s="60">
        <v>60642.5</v>
      </c>
      <c r="CH32" s="67">
        <f t="shared" si="35"/>
        <v>47.80000000000291</v>
      </c>
      <c r="CI32" s="60">
        <v>957412</v>
      </c>
      <c r="CJ32" s="67">
        <f t="shared" si="36"/>
        <v>268</v>
      </c>
      <c r="CK32" s="60">
        <v>784.31</v>
      </c>
      <c r="CL32" s="64">
        <f t="shared" si="37"/>
        <v>769.99999999998181</v>
      </c>
      <c r="CM32" s="65">
        <f t="shared" si="41"/>
        <v>66</v>
      </c>
      <c r="CN32" s="62">
        <v>0</v>
      </c>
      <c r="CO32" s="62">
        <v>0</v>
      </c>
      <c r="CP32" s="68">
        <v>11096</v>
      </c>
      <c r="CQ32" s="67">
        <f t="shared" si="38"/>
        <v>44</v>
      </c>
      <c r="CR32" s="68">
        <v>14915</v>
      </c>
      <c r="CS32" s="67">
        <f t="shared" si="38"/>
        <v>22</v>
      </c>
      <c r="CT32" s="75">
        <v>6787</v>
      </c>
      <c r="CU32" s="67">
        <f t="shared" si="38"/>
        <v>1</v>
      </c>
      <c r="CV32" s="68">
        <v>16278</v>
      </c>
      <c r="CW32" s="67">
        <f t="shared" si="38"/>
        <v>14</v>
      </c>
    </row>
    <row r="33" spans="1:101" ht="25.5" customHeight="1" thickBot="1" x14ac:dyDescent="0.45">
      <c r="A33" s="63">
        <v>44407</v>
      </c>
      <c r="B33" s="68"/>
      <c r="C33" s="58">
        <v>2.3555000000000001</v>
      </c>
      <c r="D33" s="64">
        <f t="shared" si="0"/>
        <v>1800.0000000002458</v>
      </c>
      <c r="E33" s="58">
        <v>3.3462999999999998</v>
      </c>
      <c r="F33" s="64">
        <f t="shared" si="1"/>
        <v>2399.9999999997358</v>
      </c>
      <c r="G33" s="58">
        <v>3.403</v>
      </c>
      <c r="H33" s="64">
        <f t="shared" si="2"/>
        <v>2499.9999999999468</v>
      </c>
      <c r="I33" s="58">
        <v>1.6778999999999999</v>
      </c>
      <c r="J33" s="64">
        <f t="shared" si="3"/>
        <v>1099.9999999998788</v>
      </c>
      <c r="K33" s="58">
        <v>2.7105000000000001</v>
      </c>
      <c r="L33" s="64">
        <f t="shared" si="4"/>
        <v>1900.0000000000127</v>
      </c>
      <c r="M33" s="58">
        <v>1.4878</v>
      </c>
      <c r="N33" s="64">
        <f t="shared" si="5"/>
        <v>899.99999999990087</v>
      </c>
      <c r="O33" s="58">
        <v>14542</v>
      </c>
      <c r="P33" s="67">
        <f t="shared" si="44"/>
        <v>1</v>
      </c>
      <c r="Q33" s="58">
        <v>1091</v>
      </c>
      <c r="R33" s="67">
        <f t="shared" si="6"/>
        <v>2</v>
      </c>
      <c r="S33" s="58">
        <v>1019.2</v>
      </c>
      <c r="T33" s="64">
        <f t="shared" si="45"/>
        <v>800.00000000006821</v>
      </c>
      <c r="U33" s="58">
        <v>427354.7</v>
      </c>
      <c r="V33" s="67">
        <f t="shared" si="8"/>
        <v>286.10000000003492</v>
      </c>
      <c r="W33" s="58">
        <v>406.22</v>
      </c>
      <c r="X33" s="65">
        <f t="shared" si="9"/>
        <v>220.00000000002728</v>
      </c>
      <c r="Y33" s="58">
        <v>2.9264000000000001</v>
      </c>
      <c r="Z33" s="65">
        <f t="shared" si="10"/>
        <v>2099.9999999999909</v>
      </c>
      <c r="AA33" s="58">
        <v>404.9</v>
      </c>
      <c r="AB33" s="65">
        <f t="shared" si="11"/>
        <v>109.9999999999568</v>
      </c>
      <c r="AC33" s="58">
        <v>378.5</v>
      </c>
      <c r="AD33" s="65">
        <f t="shared" si="12"/>
        <v>209.99999999997954</v>
      </c>
      <c r="AE33" s="58">
        <v>575.61</v>
      </c>
      <c r="AF33" s="65">
        <f t="shared" si="13"/>
        <v>230.00000000001819</v>
      </c>
      <c r="AG33" s="58">
        <v>5588</v>
      </c>
      <c r="AH33" s="67">
        <f t="shared" si="14"/>
        <v>31</v>
      </c>
      <c r="AI33" s="58">
        <v>633.9</v>
      </c>
      <c r="AJ33" s="65">
        <f t="shared" si="15"/>
        <v>399.99999999997726</v>
      </c>
      <c r="AK33" s="58">
        <v>209.9</v>
      </c>
      <c r="AL33" s="65">
        <f t="shared" si="15"/>
        <v>180.00000000000682</v>
      </c>
      <c r="AM33" s="58">
        <v>199.83</v>
      </c>
      <c r="AN33" s="65">
        <f t="shared" si="15"/>
        <v>140.00000000001478</v>
      </c>
      <c r="AO33" s="58">
        <v>192.96</v>
      </c>
      <c r="AP33" s="65">
        <f t="shared" si="15"/>
        <v>129.99999999999545</v>
      </c>
      <c r="AQ33" s="58">
        <v>252.22</v>
      </c>
      <c r="AR33" s="65">
        <f t="shared" si="16"/>
        <v>139.99999999998636</v>
      </c>
      <c r="AS33" s="58">
        <v>378.39</v>
      </c>
      <c r="AT33" s="65">
        <f t="shared" si="17"/>
        <v>120.00000000000455</v>
      </c>
      <c r="AU33" s="58">
        <v>288.85000000000002</v>
      </c>
      <c r="AV33" s="65">
        <f t="shared" si="18"/>
        <v>150.00000000003411</v>
      </c>
      <c r="AW33" s="58">
        <v>323.13</v>
      </c>
      <c r="AX33" s="65">
        <f t="shared" si="19"/>
        <v>139.99999999998636</v>
      </c>
      <c r="AY33" s="58">
        <v>362.95</v>
      </c>
      <c r="AZ33" s="65">
        <f t="shared" si="20"/>
        <v>39.99999999996362</v>
      </c>
      <c r="BA33" s="58">
        <v>382.03</v>
      </c>
      <c r="BB33" s="65">
        <f t="shared" si="21"/>
        <v>19.99999999998181</v>
      </c>
      <c r="BC33" s="58">
        <v>244.8</v>
      </c>
      <c r="BD33" s="65">
        <f t="shared" si="22"/>
        <v>70.0000000000216</v>
      </c>
      <c r="BE33" s="59">
        <v>41327</v>
      </c>
      <c r="BF33" s="67">
        <f t="shared" si="39"/>
        <v>30</v>
      </c>
      <c r="BG33" s="60">
        <v>235.31</v>
      </c>
      <c r="BH33" s="65">
        <f t="shared" si="23"/>
        <v>30.000000000001137</v>
      </c>
      <c r="BI33" s="60">
        <v>294.04000000000002</v>
      </c>
      <c r="BJ33" s="65">
        <f t="shared" si="40"/>
        <v>30.000000000029559</v>
      </c>
      <c r="BK33" s="60">
        <v>237.84</v>
      </c>
      <c r="BL33" s="65">
        <f t="shared" si="24"/>
        <v>20.000000000010232</v>
      </c>
      <c r="BM33" s="60">
        <v>225.03</v>
      </c>
      <c r="BN33" s="65">
        <f t="shared" si="25"/>
        <v>39.999999999992042</v>
      </c>
      <c r="BO33" s="60">
        <v>288.75</v>
      </c>
      <c r="BP33" s="65">
        <f t="shared" si="26"/>
        <v>29.999999999972715</v>
      </c>
      <c r="BQ33" s="60">
        <v>46176</v>
      </c>
      <c r="BR33" s="65">
        <f t="shared" si="27"/>
        <v>18</v>
      </c>
      <c r="BS33" s="60">
        <v>201.71</v>
      </c>
      <c r="BT33" s="65">
        <f t="shared" si="42"/>
        <v>40.000000000020464</v>
      </c>
      <c r="BU33" s="60">
        <v>41941</v>
      </c>
      <c r="BV33" s="65">
        <f t="shared" si="29"/>
        <v>37</v>
      </c>
      <c r="BW33" s="60">
        <v>232.69</v>
      </c>
      <c r="BX33" s="65">
        <f t="shared" si="30"/>
        <v>30.000000000001137</v>
      </c>
      <c r="BY33" s="60">
        <v>61738</v>
      </c>
      <c r="BZ33" s="67">
        <f t="shared" si="31"/>
        <v>33</v>
      </c>
      <c r="CA33" s="60">
        <v>33095.699999999997</v>
      </c>
      <c r="CB33" s="67">
        <f t="shared" si="32"/>
        <v>34.099999999998545</v>
      </c>
      <c r="CC33" s="60">
        <v>12448.5</v>
      </c>
      <c r="CD33" s="67">
        <f t="shared" si="33"/>
        <v>5.7999999999992724</v>
      </c>
      <c r="CE33" s="60">
        <v>6588.3</v>
      </c>
      <c r="CF33" s="67">
        <f t="shared" si="34"/>
        <v>13</v>
      </c>
      <c r="CG33" s="60">
        <v>60690</v>
      </c>
      <c r="CH33" s="67">
        <f t="shared" si="35"/>
        <v>47.5</v>
      </c>
      <c r="CI33" s="60">
        <v>957680</v>
      </c>
      <c r="CJ33" s="67">
        <f t="shared" si="36"/>
        <v>268</v>
      </c>
      <c r="CK33" s="60">
        <v>784.98</v>
      </c>
      <c r="CL33" s="64">
        <f t="shared" si="37"/>
        <v>670.00000000007276</v>
      </c>
      <c r="CM33" s="65">
        <f t="shared" si="41"/>
        <v>83</v>
      </c>
      <c r="CN33" s="62">
        <v>0</v>
      </c>
      <c r="CO33" s="62">
        <v>0</v>
      </c>
      <c r="CP33" s="68">
        <v>11147</v>
      </c>
      <c r="CQ33" s="67">
        <f t="shared" si="38"/>
        <v>51</v>
      </c>
      <c r="CR33" s="68">
        <v>14947</v>
      </c>
      <c r="CS33" s="67">
        <f t="shared" si="38"/>
        <v>32</v>
      </c>
      <c r="CT33" s="75">
        <v>6789</v>
      </c>
      <c r="CU33" s="67">
        <f t="shared" si="38"/>
        <v>2</v>
      </c>
      <c r="CV33" s="68">
        <v>16295</v>
      </c>
      <c r="CW33" s="67">
        <f t="shared" si="38"/>
        <v>17</v>
      </c>
    </row>
    <row r="34" spans="1:101" ht="25.5" customHeight="1" thickBot="1" x14ac:dyDescent="0.45">
      <c r="A34" s="63">
        <v>44408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4" t="str">
        <f t="shared" si="45"/>
        <v>0</v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6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7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38" sqref="C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70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14</v>
      </c>
      <c r="D29" s="40">
        <v>49</v>
      </c>
      <c r="E29" s="41">
        <v>85</v>
      </c>
      <c r="F29" s="41">
        <v>5585</v>
      </c>
      <c r="G29" s="41">
        <v>70</v>
      </c>
      <c r="H29" s="41">
        <v>1604</v>
      </c>
      <c r="I29" s="41">
        <v>85</v>
      </c>
      <c r="J29" s="41">
        <v>376</v>
      </c>
      <c r="K29" s="42">
        <v>85</v>
      </c>
      <c r="L29" s="42">
        <v>50</v>
      </c>
      <c r="M29" s="42">
        <v>1370</v>
      </c>
      <c r="N29" s="39">
        <v>55</v>
      </c>
      <c r="O29" s="39">
        <v>0</v>
      </c>
      <c r="P29" s="39">
        <v>85</v>
      </c>
      <c r="Q29" s="39">
        <v>3969</v>
      </c>
      <c r="R29" s="78">
        <v>70</v>
      </c>
      <c r="S29" s="78">
        <v>200</v>
      </c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14</v>
      </c>
      <c r="D30" s="40">
        <v>49</v>
      </c>
      <c r="E30" s="41">
        <v>85</v>
      </c>
      <c r="F30" s="41">
        <v>5488</v>
      </c>
      <c r="G30" s="41">
        <v>60</v>
      </c>
      <c r="H30" s="41">
        <v>1605</v>
      </c>
      <c r="I30" s="41">
        <v>85</v>
      </c>
      <c r="J30" s="41">
        <v>377</v>
      </c>
      <c r="K30" s="42">
        <v>85</v>
      </c>
      <c r="L30" s="42">
        <v>50</v>
      </c>
      <c r="M30" s="42">
        <v>1372</v>
      </c>
      <c r="N30" s="39">
        <v>55</v>
      </c>
      <c r="O30" s="39">
        <v>0</v>
      </c>
      <c r="P30" s="39">
        <v>85</v>
      </c>
      <c r="Q30" s="39">
        <v>3970</v>
      </c>
      <c r="R30" s="78">
        <v>70</v>
      </c>
      <c r="S30" s="78">
        <v>200</v>
      </c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14</v>
      </c>
      <c r="D31" s="40">
        <v>49</v>
      </c>
      <c r="E31" s="41">
        <v>85</v>
      </c>
      <c r="F31" s="41">
        <v>5494</v>
      </c>
      <c r="G31" s="41">
        <v>50</v>
      </c>
      <c r="H31" s="41">
        <v>1608</v>
      </c>
      <c r="I31" s="41">
        <v>85</v>
      </c>
      <c r="J31" s="41">
        <v>378</v>
      </c>
      <c r="K31" s="42">
        <v>85</v>
      </c>
      <c r="L31" s="42">
        <v>50</v>
      </c>
      <c r="M31" s="42">
        <v>1374</v>
      </c>
      <c r="N31" s="39">
        <v>50</v>
      </c>
      <c r="O31" s="39">
        <v>0</v>
      </c>
      <c r="P31" s="39">
        <v>85</v>
      </c>
      <c r="Q31" s="39">
        <v>3974</v>
      </c>
      <c r="R31" s="78">
        <v>70</v>
      </c>
      <c r="S31" s="78">
        <v>200</v>
      </c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9</v>
      </c>
      <c r="D32" s="40">
        <v>27</v>
      </c>
      <c r="E32" s="41">
        <v>85</v>
      </c>
      <c r="F32" s="41">
        <v>5499</v>
      </c>
      <c r="G32" s="41">
        <v>45</v>
      </c>
      <c r="H32" s="41">
        <v>1610</v>
      </c>
      <c r="I32" s="41">
        <v>85</v>
      </c>
      <c r="J32" s="41">
        <v>379</v>
      </c>
      <c r="K32" s="42">
        <v>85</v>
      </c>
      <c r="L32" s="42">
        <v>45</v>
      </c>
      <c r="M32" s="42">
        <v>1374</v>
      </c>
      <c r="N32" s="39">
        <v>45</v>
      </c>
      <c r="O32" s="39">
        <v>0</v>
      </c>
      <c r="P32" s="39">
        <v>85</v>
      </c>
      <c r="Q32" s="39">
        <v>3977</v>
      </c>
      <c r="R32" s="78">
        <v>70</v>
      </c>
      <c r="S32" s="78">
        <v>200</v>
      </c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9</v>
      </c>
      <c r="D33" s="40">
        <v>27</v>
      </c>
      <c r="E33" s="41">
        <v>85</v>
      </c>
      <c r="F33" s="41">
        <v>5505</v>
      </c>
      <c r="G33" s="41">
        <v>25</v>
      </c>
      <c r="H33" s="41">
        <v>1615</v>
      </c>
      <c r="I33" s="41">
        <v>85</v>
      </c>
      <c r="J33" s="41">
        <v>379</v>
      </c>
      <c r="K33" s="42">
        <v>85</v>
      </c>
      <c r="L33" s="42">
        <v>40</v>
      </c>
      <c r="M33" s="42">
        <v>1375</v>
      </c>
      <c r="N33" s="39">
        <v>40</v>
      </c>
      <c r="O33" s="39">
        <v>0</v>
      </c>
      <c r="P33" s="39">
        <v>85</v>
      </c>
      <c r="Q33" s="39">
        <v>3983</v>
      </c>
      <c r="R33" s="78">
        <v>70</v>
      </c>
      <c r="S33" s="78">
        <v>200</v>
      </c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9</v>
      </c>
      <c r="D34" s="40">
        <v>27</v>
      </c>
      <c r="E34" s="41">
        <v>85</v>
      </c>
      <c r="F34" s="41">
        <v>5509</v>
      </c>
      <c r="G34" s="41">
        <v>20</v>
      </c>
      <c r="H34" s="41">
        <v>1617</v>
      </c>
      <c r="I34" s="41">
        <v>85</v>
      </c>
      <c r="J34" s="41">
        <v>380</v>
      </c>
      <c r="K34" s="42">
        <v>85</v>
      </c>
      <c r="L34" s="42">
        <v>40</v>
      </c>
      <c r="M34" s="42">
        <v>1375</v>
      </c>
      <c r="N34" s="39">
        <v>35</v>
      </c>
      <c r="O34" s="39">
        <v>0</v>
      </c>
      <c r="P34" s="39">
        <v>85</v>
      </c>
      <c r="Q34" s="39">
        <v>3987</v>
      </c>
      <c r="R34" s="78">
        <v>70</v>
      </c>
      <c r="S34" s="78">
        <v>200</v>
      </c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10</v>
      </c>
      <c r="D35" s="40">
        <v>32</v>
      </c>
      <c r="E35" s="41">
        <v>85</v>
      </c>
      <c r="F35" s="41">
        <v>5513</v>
      </c>
      <c r="G35" s="41">
        <v>10</v>
      </c>
      <c r="H35" s="41">
        <v>1619</v>
      </c>
      <c r="I35" s="41">
        <v>85</v>
      </c>
      <c r="J35" s="41">
        <v>382</v>
      </c>
      <c r="K35" s="42">
        <v>85</v>
      </c>
      <c r="L35" s="42">
        <v>40</v>
      </c>
      <c r="M35" s="42">
        <v>1377</v>
      </c>
      <c r="N35" s="39">
        <v>30</v>
      </c>
      <c r="O35" s="39">
        <v>0</v>
      </c>
      <c r="P35" s="39">
        <v>85</v>
      </c>
      <c r="Q35" s="39">
        <v>3990</v>
      </c>
      <c r="R35" s="78">
        <v>70</v>
      </c>
      <c r="S35" s="78">
        <v>200</v>
      </c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13</v>
      </c>
      <c r="D36" s="40">
        <v>46</v>
      </c>
      <c r="E36" s="41">
        <v>85</v>
      </c>
      <c r="F36" s="41">
        <v>5518</v>
      </c>
      <c r="G36" s="41">
        <v>0</v>
      </c>
      <c r="H36" s="41">
        <v>1622</v>
      </c>
      <c r="I36" s="41">
        <v>85</v>
      </c>
      <c r="J36" s="41">
        <v>383</v>
      </c>
      <c r="K36" s="42">
        <v>85</v>
      </c>
      <c r="L36" s="42">
        <v>40</v>
      </c>
      <c r="M36" s="42">
        <v>1377</v>
      </c>
      <c r="N36" s="39">
        <v>15</v>
      </c>
      <c r="O36" s="39">
        <v>0</v>
      </c>
      <c r="P36" s="39">
        <v>85</v>
      </c>
      <c r="Q36" s="39">
        <v>3994</v>
      </c>
      <c r="R36" s="78">
        <v>70</v>
      </c>
      <c r="S36" s="78">
        <v>200</v>
      </c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14</v>
      </c>
      <c r="D37" s="40">
        <v>48</v>
      </c>
      <c r="E37" s="41">
        <v>85</v>
      </c>
      <c r="F37" s="41">
        <v>5523</v>
      </c>
      <c r="G37" s="41">
        <v>0</v>
      </c>
      <c r="H37" s="41">
        <v>1624</v>
      </c>
      <c r="I37" s="41">
        <v>85</v>
      </c>
      <c r="J37" s="41">
        <v>384</v>
      </c>
      <c r="K37" s="42">
        <v>85</v>
      </c>
      <c r="L37" s="42">
        <v>35</v>
      </c>
      <c r="M37" s="42">
        <v>1379</v>
      </c>
      <c r="N37" s="39">
        <v>20</v>
      </c>
      <c r="O37" s="39">
        <v>0</v>
      </c>
      <c r="P37" s="39">
        <v>85</v>
      </c>
      <c r="Q37" s="39">
        <v>3999</v>
      </c>
      <c r="R37" s="78">
        <v>70</v>
      </c>
      <c r="S37" s="78">
        <v>200</v>
      </c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-200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2021-07-31T18:23:50Z</dcterms:modified>
</cp:coreProperties>
</file>