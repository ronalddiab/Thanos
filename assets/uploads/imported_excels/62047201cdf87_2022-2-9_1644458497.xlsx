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C66201DE-16CC-4561-B3CA-F6780015B8FC}" xr6:coauthVersionLast="36" xr6:coauthVersionMax="36" xr10:uidLastSave="{00000000-0000-0000-0000-000000000000}"/>
  <bookViews>
    <workbookView xWindow="0" yWindow="0" windowWidth="28800" windowHeight="12225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 l="1"/>
  <c r="O2" i="117"/>
  <c r="K35" i="119" l="1"/>
  <c r="K34" i="119"/>
  <c r="K33" i="119"/>
  <c r="K22" i="119"/>
  <c r="K32" i="119"/>
  <c r="K31" i="119"/>
  <c r="K30" i="119"/>
  <c r="K29" i="119"/>
  <c r="K28" i="119"/>
  <c r="K27" i="119"/>
  <c r="K26" i="119"/>
  <c r="K25" i="119"/>
  <c r="K24" i="119"/>
  <c r="K23" i="119"/>
  <c r="K21" i="119"/>
  <c r="K20" i="119"/>
  <c r="K19" i="119"/>
  <c r="K18" i="119"/>
  <c r="K17" i="119"/>
  <c r="K15" i="119"/>
  <c r="K16" i="119"/>
  <c r="K14" i="119"/>
  <c r="K13" i="119"/>
  <c r="K12" i="119"/>
  <c r="K11" i="119"/>
  <c r="K10" i="119"/>
  <c r="K9" i="119"/>
  <c r="K8" i="119"/>
  <c r="K7" i="119"/>
  <c r="K6" i="119"/>
  <c r="K5" i="119"/>
  <c r="I35" i="119"/>
  <c r="I34" i="119"/>
  <c r="I33" i="119"/>
  <c r="I32" i="119"/>
  <c r="I31" i="119"/>
  <c r="I30" i="119"/>
  <c r="I29" i="119"/>
  <c r="I28" i="119"/>
  <c r="I27" i="119"/>
  <c r="I26" i="119"/>
  <c r="I25" i="119"/>
  <c r="I24" i="119"/>
  <c r="I23" i="119"/>
  <c r="I22" i="119"/>
  <c r="I21" i="119"/>
  <c r="I20" i="119"/>
  <c r="I19" i="119"/>
  <c r="I18" i="119"/>
  <c r="I17" i="119"/>
  <c r="I16" i="119"/>
  <c r="I15" i="119"/>
  <c r="I14" i="119"/>
  <c r="I13" i="119"/>
  <c r="I12" i="119"/>
  <c r="I11" i="119"/>
  <c r="I10" i="119"/>
  <c r="I9" i="119"/>
  <c r="I8" i="119"/>
  <c r="I7" i="119"/>
  <c r="I6" i="119"/>
  <c r="I5" i="119"/>
  <c r="G6" i="119"/>
  <c r="G35" i="119"/>
  <c r="G34" i="119"/>
  <c r="G33" i="119"/>
  <c r="G32" i="119"/>
  <c r="G31" i="119"/>
  <c r="G30" i="119"/>
  <c r="G29" i="119"/>
  <c r="G28" i="119"/>
  <c r="G27" i="119"/>
  <c r="G26" i="119"/>
  <c r="G25" i="119"/>
  <c r="G24" i="119"/>
  <c r="G23" i="119"/>
  <c r="G22" i="119"/>
  <c r="G21" i="119"/>
  <c r="G20" i="119"/>
  <c r="G19" i="119"/>
  <c r="G18" i="119"/>
  <c r="G17" i="119"/>
  <c r="G16" i="119"/>
  <c r="G15" i="119"/>
  <c r="G14" i="119"/>
  <c r="G13" i="119"/>
  <c r="G12" i="119"/>
  <c r="G11" i="119"/>
  <c r="G10" i="119"/>
  <c r="G9" i="119"/>
  <c r="G8" i="119"/>
  <c r="G7" i="119"/>
  <c r="G5" i="119"/>
  <c r="E23" i="119"/>
  <c r="E35" i="119"/>
  <c r="E34" i="119"/>
  <c r="E33" i="119"/>
  <c r="E32" i="119"/>
  <c r="E31" i="119"/>
  <c r="E30" i="119"/>
  <c r="E29" i="119"/>
  <c r="E28" i="119"/>
  <c r="E27" i="119"/>
  <c r="E26" i="119"/>
  <c r="E25" i="119"/>
  <c r="E24" i="119"/>
  <c r="E22" i="119"/>
  <c r="E21" i="119"/>
  <c r="E20" i="119"/>
  <c r="E19" i="119"/>
  <c r="E18" i="119"/>
  <c r="E17" i="119"/>
  <c r="E16" i="119"/>
  <c r="E15" i="119"/>
  <c r="E14" i="119"/>
  <c r="E13" i="119"/>
  <c r="E12" i="119"/>
  <c r="E11" i="119"/>
  <c r="E10" i="119"/>
  <c r="E9" i="119"/>
  <c r="E8" i="119"/>
  <c r="E6" i="119"/>
  <c r="E7" i="119"/>
  <c r="E5" i="119"/>
  <c r="C35" i="119"/>
  <c r="C34" i="119"/>
  <c r="C33" i="119"/>
  <c r="C32" i="119"/>
  <c r="C31" i="119"/>
  <c r="C30" i="119"/>
  <c r="C29" i="119"/>
  <c r="C28" i="119"/>
  <c r="C27" i="119"/>
  <c r="C26" i="119"/>
  <c r="C25" i="119"/>
  <c r="C24" i="119"/>
  <c r="C23" i="119"/>
  <c r="C22" i="119"/>
  <c r="C21" i="119"/>
  <c r="C20" i="119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H4" i="117"/>
  <c r="H5" i="117"/>
  <c r="H6" i="117"/>
  <c r="H7" i="117"/>
  <c r="H8" i="117"/>
  <c r="H9" i="117"/>
  <c r="H10" i="117"/>
  <c r="H11" i="117"/>
  <c r="H12" i="117"/>
  <c r="H13" i="117"/>
  <c r="H14" i="117"/>
  <c r="H15" i="117"/>
  <c r="H16" i="117"/>
  <c r="H17" i="117"/>
  <c r="H18" i="117"/>
  <c r="H19" i="117"/>
  <c r="H20" i="117"/>
  <c r="H21" i="117"/>
  <c r="H22" i="117"/>
  <c r="H23" i="117"/>
  <c r="H24" i="117"/>
  <c r="H25" i="117"/>
  <c r="H26" i="117"/>
  <c r="H27" i="117"/>
  <c r="H28" i="117"/>
  <c r="H29" i="117"/>
  <c r="H30" i="117"/>
  <c r="H31" i="117"/>
  <c r="H32" i="117"/>
  <c r="H3" i="117"/>
  <c r="H2" i="117"/>
  <c r="F3" i="117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2" i="117"/>
  <c r="F23" i="117"/>
  <c r="F24" i="117"/>
  <c r="F25" i="117"/>
  <c r="F26" i="117"/>
  <c r="F27" i="117"/>
  <c r="F28" i="117"/>
  <c r="F29" i="117"/>
  <c r="F30" i="117"/>
  <c r="F31" i="117"/>
  <c r="F32" i="117"/>
  <c r="F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<sst xmlns="http://schemas.openxmlformats.org/spreadsheetml/2006/main" count="66" uniqueCount="32">
  <si>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</si>
  <si>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</si>
  <si>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</si>
  <si>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</si>
  <si>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</si>
  <si>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</si>
  <si>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</si>
  <si>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</si>
  <si>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</si>
  <si>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</si>
  <si>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</si>
  <si>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</si>
  <si>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</si>
  <si>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</si>
  <si>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</si>
  <si>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</si>
  <si>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</si>
  <si>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</si>
  <si>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</si>
  <si>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</si>
  <si>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</si>
  <si>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</si>
  <si>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</si>
  <si>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</si>
  <si>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</si>
  <si>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</si>
  <si>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</si>
  <si>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Total Guests</t>
  </si>
  <si>
    <t>Total Electricity Kwh</t>
    <phoneticPr fontId="14"/>
  </si>
  <si>
    <t>Natual Gas (m3)</t>
    <phoneticPr fontId="14"/>
  </si>
  <si>
    <t>District Energy Cooling Kwh</t>
    <phoneticPr fontId="14"/>
  </si>
  <si>
    <t>District Energy Heating $/Kwh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</si>
</sst>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5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190</v>
          </cell>
          <cell r="H23">
            <v>197</v>
          </cell>
          <cell r="I23">
            <v>210</v>
          </cell>
          <cell r="J23">
            <v>187</v>
          </cell>
          <cell r="K23">
            <v>179</v>
          </cell>
          <cell r="L23">
            <v>161</v>
          </cell>
          <cell r="M23">
            <v>162</v>
          </cell>
          <cell r="N23">
            <v>163.80000000000001</v>
          </cell>
          <cell r="O23">
            <v>161</v>
          </cell>
          <cell r="P23">
            <v>159</v>
          </cell>
          <cell r="Q23">
            <v>146</v>
          </cell>
          <cell r="R23">
            <v>141</v>
          </cell>
          <cell r="S23">
            <v>153</v>
          </cell>
          <cell r="T23">
            <v>167</v>
          </cell>
          <cell r="U23">
            <v>167</v>
          </cell>
          <cell r="V23">
            <v>169</v>
          </cell>
          <cell r="W23">
            <v>148</v>
          </cell>
          <cell r="X23">
            <v>135</v>
          </cell>
          <cell r="Y23">
            <v>139</v>
          </cell>
          <cell r="Z23">
            <v>168</v>
          </cell>
          <cell r="AA23">
            <v>171</v>
          </cell>
          <cell r="AB23">
            <v>165</v>
          </cell>
          <cell r="AC23">
            <v>170</v>
          </cell>
          <cell r="AD23">
            <v>144</v>
          </cell>
          <cell r="AE23">
            <v>146</v>
          </cell>
          <cell r="AF23">
            <v>134</v>
          </cell>
          <cell r="AG23">
            <v>154</v>
          </cell>
          <cell r="AH23">
            <v>176</v>
          </cell>
          <cell r="AI23">
            <v>182</v>
          </cell>
          <cell r="AJ23">
            <v>169</v>
          </cell>
          <cell r="AK23">
            <v>137</v>
          </cell>
        </row>
        <row r="41">
          <cell r="G41">
            <v>221</v>
          </cell>
          <cell r="H41">
            <v>237</v>
          </cell>
          <cell r="I41">
            <v>229</v>
          </cell>
          <cell r="J41">
            <v>218</v>
          </cell>
          <cell r="K41">
            <v>168</v>
          </cell>
          <cell r="L41">
            <v>119</v>
          </cell>
          <cell r="M41">
            <v>117</v>
          </cell>
          <cell r="N41">
            <v>138</v>
          </cell>
          <cell r="O41">
            <v>137</v>
          </cell>
          <cell r="P41">
            <v>102</v>
          </cell>
          <cell r="Q41">
            <v>86</v>
          </cell>
          <cell r="R41">
            <v>93</v>
          </cell>
          <cell r="S41">
            <v>110</v>
          </cell>
          <cell r="T41">
            <v>104</v>
          </cell>
          <cell r="U41">
            <v>143</v>
          </cell>
          <cell r="V41">
            <v>180</v>
          </cell>
          <cell r="W41">
            <v>130</v>
          </cell>
          <cell r="X41">
            <v>92</v>
          </cell>
          <cell r="Y41">
            <v>85</v>
          </cell>
          <cell r="Z41">
            <v>98</v>
          </cell>
          <cell r="AA41">
            <v>102</v>
          </cell>
          <cell r="AB41">
            <v>146</v>
          </cell>
          <cell r="AC41">
            <v>156</v>
          </cell>
          <cell r="AD41">
            <v>103</v>
          </cell>
          <cell r="AE41">
            <v>100</v>
          </cell>
          <cell r="AF41">
            <v>90</v>
          </cell>
          <cell r="AG41">
            <v>125</v>
          </cell>
          <cell r="AH41">
            <v>131</v>
          </cell>
          <cell r="AI41">
            <v>162</v>
          </cell>
          <cell r="AJ41">
            <v>160</v>
          </cell>
          <cell r="AK41">
            <v>122</v>
          </cell>
        </row>
        <row r="91">
          <cell r="G91">
            <v>3183.0324000000001</v>
          </cell>
          <cell r="H91">
            <v>4143.9426000000003</v>
          </cell>
          <cell r="I91">
            <v>4157.5547999999999</v>
          </cell>
          <cell r="J91">
            <v>2566.8719999999998</v>
          </cell>
          <cell r="K91">
            <v>2622.1541999999999</v>
          </cell>
          <cell r="L91">
            <v>2698.8269999999998</v>
          </cell>
          <cell r="M91">
            <v>2628.8213999999998</v>
          </cell>
          <cell r="N91">
            <v>2200.1759999999999</v>
          </cell>
          <cell r="O91">
            <v>1138.98</v>
          </cell>
          <cell r="P91">
            <v>1695.4133999999999</v>
          </cell>
          <cell r="Q91">
            <v>3000.24</v>
          </cell>
          <cell r="R91">
            <v>2778</v>
          </cell>
          <cell r="S91">
            <v>5015.4012000000002</v>
          </cell>
          <cell r="T91">
            <v>2487.9767999999999</v>
          </cell>
          <cell r="U91">
            <v>2172.1181999999999</v>
          </cell>
          <cell r="V91">
            <v>2106.5574000000001</v>
          </cell>
          <cell r="W91">
            <v>4261.1741999999995</v>
          </cell>
          <cell r="X91">
            <v>5820.7433999999994</v>
          </cell>
          <cell r="Y91">
            <v>5049.0149999999994</v>
          </cell>
          <cell r="Z91">
            <v>3267.2057999999997</v>
          </cell>
          <cell r="AA91">
            <v>4987.6211999999996</v>
          </cell>
          <cell r="AB91">
            <v>4818.4409999999998</v>
          </cell>
          <cell r="AC91">
            <v>3931.7033999999999</v>
          </cell>
          <cell r="AD91">
            <v>3148.3073999999997</v>
          </cell>
          <cell r="AE91">
            <v>2936.9015999999997</v>
          </cell>
          <cell r="AF91">
            <v>2365.1891999999998</v>
          </cell>
          <cell r="AG91">
            <v>5256.5316000000003</v>
          </cell>
          <cell r="AH91">
            <v>3696.6846</v>
          </cell>
          <cell r="AI91">
            <v>3278.5956000000001</v>
          </cell>
          <cell r="AJ91">
            <v>3500.2799999999997</v>
          </cell>
          <cell r="AK91">
            <v>2725.2179999999998</v>
          </cell>
        </row>
        <row r="115">
          <cell r="G115">
            <v>6989.7258000000002</v>
          </cell>
          <cell r="H115">
            <v>5647.674</v>
          </cell>
          <cell r="I115">
            <v>4954.0073999999995</v>
          </cell>
          <cell r="J115">
            <v>7521.7127999999993</v>
          </cell>
          <cell r="K115">
            <v>5418.7667999999994</v>
          </cell>
          <cell r="L115">
            <v>5987.9789999999994</v>
          </cell>
          <cell r="M115">
            <v>4689.5418</v>
          </cell>
          <cell r="N115">
            <v>7296.1391999999996</v>
          </cell>
          <cell r="O115">
            <v>9516.5946000000004</v>
          </cell>
          <cell r="P115">
            <v>5753.2379999999994</v>
          </cell>
          <cell r="Q115">
            <v>3378.6035999999999</v>
          </cell>
          <cell r="R115">
            <v>3798.3593999999998</v>
          </cell>
          <cell r="S115">
            <v>4625.9255999999996</v>
          </cell>
          <cell r="T115">
            <v>9186.8459999999995</v>
          </cell>
          <cell r="U115">
            <v>10492.2282</v>
          </cell>
          <cell r="V115">
            <v>8629.3014000000003</v>
          </cell>
          <cell r="W115">
            <v>20407.743599999998</v>
          </cell>
          <cell r="X115">
            <v>19438.499400000001</v>
          </cell>
          <cell r="Y115">
            <v>8243.4372000000003</v>
          </cell>
          <cell r="Z115">
            <v>9841.6206000000002</v>
          </cell>
          <cell r="AA115">
            <v>24858.377399999998</v>
          </cell>
          <cell r="AB115">
            <v>14946.751199999999</v>
          </cell>
          <cell r="AC115">
            <v>13451.075999999999</v>
          </cell>
          <cell r="AD115">
            <v>14343.9252</v>
          </cell>
          <cell r="AE115">
            <v>14957.0298</v>
          </cell>
          <cell r="AF115">
            <v>10928.0964</v>
          </cell>
          <cell r="AG115">
            <v>10061.638199999999</v>
          </cell>
          <cell r="AH115">
            <v>13793.6034</v>
          </cell>
          <cell r="AI115">
            <v>18432.03</v>
          </cell>
          <cell r="AJ115">
            <v>15406.232399999999</v>
          </cell>
          <cell r="AK115">
            <v>11982.347399999999</v>
          </cell>
        </row>
        <row r="147">
          <cell r="G147">
            <v>14740</v>
          </cell>
          <cell r="H147">
            <v>14327</v>
          </cell>
          <cell r="I147">
            <v>14368</v>
          </cell>
          <cell r="J147">
            <v>14535</v>
          </cell>
          <cell r="K147">
            <v>13712</v>
          </cell>
          <cell r="L147">
            <v>13049</v>
          </cell>
          <cell r="M147">
            <v>13023</v>
          </cell>
          <cell r="N147">
            <v>13343</v>
          </cell>
          <cell r="O147">
            <v>13240</v>
          </cell>
          <cell r="P147">
            <v>12295</v>
          </cell>
          <cell r="Q147">
            <v>12063</v>
          </cell>
          <cell r="R147">
            <v>12096</v>
          </cell>
          <cell r="S147">
            <v>12644</v>
          </cell>
          <cell r="T147">
            <v>12856</v>
          </cell>
          <cell r="U147">
            <v>13730</v>
          </cell>
          <cell r="V147">
            <v>14050</v>
          </cell>
          <cell r="W147">
            <v>13437</v>
          </cell>
          <cell r="X147">
            <v>13007</v>
          </cell>
          <cell r="Y147">
            <v>12468</v>
          </cell>
          <cell r="Z147">
            <v>13142</v>
          </cell>
          <cell r="AA147">
            <v>13069</v>
          </cell>
          <cell r="AB147">
            <v>13319</v>
          </cell>
          <cell r="AC147">
            <v>13773</v>
          </cell>
          <cell r="AD147">
            <v>12620</v>
          </cell>
          <cell r="AE147">
            <v>12740</v>
          </cell>
          <cell r="AF147">
            <v>12488</v>
          </cell>
          <cell r="AG147">
            <v>12671</v>
          </cell>
          <cell r="AH147">
            <v>12928</v>
          </cell>
          <cell r="AI147">
            <v>14057</v>
          </cell>
          <cell r="AJ147">
            <v>13488</v>
          </cell>
          <cell r="AK147">
            <v>12398</v>
          </cell>
        </row>
      </sheetData>
      <sheetData sheetId="8">
        <row r="3">
          <cell r="G3">
            <v>23.13</v>
          </cell>
        </row>
        <row r="23">
          <cell r="M23">
            <v>107.4717186980281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2" workbookViewId="0">
      <selection activeCell="J2" sqref="J2:J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28</v>
      </c>
      <c r="F1" s="4" t="s">
        <v>4</v>
      </c>
      <c r="G1" s="3" t="s">
        <v>29</v>
      </c>
      <c r="H1" s="4" t="s">
        <v>23</v>
      </c>
      <c r="I1" s="33" t="s">
        <v>30</v>
      </c>
      <c r="J1" s="34" t="s">
        <v>21</v>
      </c>
      <c r="K1" s="33" t="s">
        <v>26</v>
      </c>
      <c r="L1" s="34" t="s">
        <v>31</v>
      </c>
      <c r="M1" s="3" t="s">
        <v>5</v>
      </c>
      <c r="N1" s="5" t="s">
        <v>6</v>
      </c>
      <c r="O1" s="3" t="s">
        <v>7</v>
      </c>
      <c r="P1" s="3" t="s">
        <v>27</v>
      </c>
    </row>
    <row r="2" spans="1:16" ht="15">
      <c r="A2" s="6" t="s">
        <v>24</v>
      </c>
      <c r="B2" s="7">
        <v>1</v>
      </c>
      <c r="C2" s="8">
        <v>5</v>
      </c>
      <c r="D2" s="7">
        <v>2021</v>
      </c>
      <c r="E2" s="9">
        <f>'Otemachi Daily'!D5</f>
        <v>14740</v>
      </c>
      <c r="F2" s="35">
        <f>[1]見込!$G$3</f>
        <v>23.13</v>
      </c>
      <c r="G2" s="9">
        <f>'Otemachi Daily'!F5</f>
        <v>190</v>
      </c>
      <c r="H2" s="35">
        <f>[1]見込!$M$23</f>
        <v>107.4717186980281</v>
      </c>
      <c r="I2" s="9">
        <f>'Otemachi Daily'!H5</f>
        <v>6989.7258000000002</v>
      </c>
      <c r="J2" s="35">
        <v>10.79</v>
      </c>
      <c r="K2" s="9">
        <f>'Otemachi Daily'!J5</f>
        <v>3183.0324000000001</v>
      </c>
      <c r="L2" s="35">
        <v>7.22</v>
      </c>
      <c r="M2" s="9">
        <f>'Otemachi Daily'!L5</f>
        <v>221</v>
      </c>
      <c r="N2" s="35">
        <v>741</v>
      </c>
      <c r="O2" s="9">
        <f>'Otemachi Daily'!M5</f>
        <v>128</v>
      </c>
      <c r="P2" s="9">
        <f>'Otemachi Daily'!N5</f>
        <v>249</v>
      </c>
    </row>
    <row r="3" spans="1:16" ht="15">
      <c r="A3" s="6" t="s">
        <v>24</v>
      </c>
      <c r="B3" s="7">
        <f>B2+1</f>
        <v>2</v>
      </c>
      <c r="C3" s="8">
        <v>5</v>
      </c>
      <c r="D3" s="7">
        <v>2021</v>
      </c>
      <c r="E3" s="9">
        <f>'Otemachi Daily'!D6</f>
        <v>14327</v>
      </c>
      <c r="F3" s="35">
        <f>[1]見込!$G$3</f>
        <v>23.13</v>
      </c>
      <c r="G3" s="9">
        <f>'Otemachi Daily'!F6</f>
        <v>197</v>
      </c>
      <c r="H3" s="35">
        <f>[1]見込!$M$23</f>
        <v>107.4717186980281</v>
      </c>
      <c r="I3" s="9">
        <f>'Otemachi Daily'!H6</f>
        <v>5647.674</v>
      </c>
      <c r="J3" s="35">
        <v>10.79</v>
      </c>
      <c r="K3" s="9">
        <f>'Otemachi Daily'!J6</f>
        <v>4143.9426000000003</v>
      </c>
      <c r="L3" s="35">
        <v>7.22</v>
      </c>
      <c r="M3" s="9">
        <f>'Otemachi Daily'!L6</f>
        <v>237</v>
      </c>
      <c r="N3" s="35">
        <v>741</v>
      </c>
      <c r="O3" s="9">
        <f>'Otemachi Daily'!M6</f>
        <v>123</v>
      </c>
      <c r="P3" s="9">
        <f>'Otemachi Daily'!N6</f>
        <v>245</v>
      </c>
    </row>
    <row r="4" spans="1:16" ht="15">
      <c r="A4" s="6" t="s">
        <v>24</v>
      </c>
      <c r="B4" s="7">
        <f t="shared" ref="B4:B32" si="0">B3+1</f>
        <v>3</v>
      </c>
      <c r="C4" s="8">
        <v>5</v>
      </c>
      <c r="D4" s="7">
        <v>2021</v>
      </c>
      <c r="E4" s="9">
        <f>'Otemachi Daily'!D7</f>
        <v>14368</v>
      </c>
      <c r="F4" s="35">
        <f>[1]見込!$G$3</f>
        <v>23.13</v>
      </c>
      <c r="G4" s="9">
        <f>'Otemachi Daily'!F7</f>
        <v>210</v>
      </c>
      <c r="H4" s="35">
        <f>[1]見込!$M$23</f>
        <v>107.4717186980281</v>
      </c>
      <c r="I4" s="9">
        <f>'Otemachi Daily'!H7</f>
        <v>4954.0073999999995</v>
      </c>
      <c r="J4" s="35">
        <v>10.79</v>
      </c>
      <c r="K4" s="9">
        <f>'Otemachi Daily'!J7</f>
        <v>4157.5547999999999</v>
      </c>
      <c r="L4" s="35">
        <v>7.22</v>
      </c>
      <c r="M4" s="9">
        <f>'Otemachi Daily'!L7</f>
        <v>229</v>
      </c>
      <c r="N4" s="35">
        <v>741</v>
      </c>
      <c r="O4" s="9">
        <f>'Otemachi Daily'!M7</f>
        <v>148</v>
      </c>
      <c r="P4" s="9">
        <f>'Otemachi Daily'!N7</f>
        <v>288</v>
      </c>
    </row>
    <row r="5" spans="1:16" ht="15">
      <c r="A5" s="6" t="s">
        <v>24</v>
      </c>
      <c r="B5" s="7">
        <f t="shared" si="0"/>
        <v>4</v>
      </c>
      <c r="C5" s="8">
        <v>5</v>
      </c>
      <c r="D5" s="7">
        <v>2021</v>
      </c>
      <c r="E5" s="9">
        <f>'Otemachi Daily'!D8</f>
        <v>14535</v>
      </c>
      <c r="F5" s="35">
        <f>[1]見込!$G$3</f>
        <v>23.13</v>
      </c>
      <c r="G5" s="9">
        <f>'Otemachi Daily'!F8</f>
        <v>187</v>
      </c>
      <c r="H5" s="35">
        <f>[1]見込!$M$23</f>
        <v>107.4717186980281</v>
      </c>
      <c r="I5" s="9">
        <f>'Otemachi Daily'!H8</f>
        <v>7521.7127999999993</v>
      </c>
      <c r="J5" s="35">
        <v>10.79</v>
      </c>
      <c r="K5" s="9">
        <f>'Otemachi Daily'!J8</f>
        <v>2566.8719999999998</v>
      </c>
      <c r="L5" s="35">
        <v>7.22</v>
      </c>
      <c r="M5" s="9">
        <f>'Otemachi Daily'!L8</f>
        <v>218</v>
      </c>
      <c r="N5" s="35">
        <v>741</v>
      </c>
      <c r="O5" s="9">
        <f>'Otemachi Daily'!M8</f>
        <v>134</v>
      </c>
      <c r="P5" s="9">
        <f>'Otemachi Daily'!N8</f>
        <v>312</v>
      </c>
    </row>
    <row r="6" spans="1:16" ht="15">
      <c r="A6" s="6" t="s">
        <v>24</v>
      </c>
      <c r="B6" s="7">
        <f t="shared" si="0"/>
        <v>5</v>
      </c>
      <c r="C6" s="8">
        <v>5</v>
      </c>
      <c r="D6" s="7">
        <v>2021</v>
      </c>
      <c r="E6" s="9">
        <f>'Otemachi Daily'!D9</f>
        <v>13712</v>
      </c>
      <c r="F6" s="35">
        <f>[1]見込!$G$3</f>
        <v>23.13</v>
      </c>
      <c r="G6" s="9">
        <f>'Otemachi Daily'!F9</f>
        <v>179</v>
      </c>
      <c r="H6" s="35">
        <f>[1]見込!$M$23</f>
        <v>107.4717186980281</v>
      </c>
      <c r="I6" s="9">
        <f>'Otemachi Daily'!H9</f>
        <v>5418.7667999999994</v>
      </c>
      <c r="J6" s="35">
        <v>10.79</v>
      </c>
      <c r="K6" s="9">
        <f>'Otemachi Daily'!J9</f>
        <v>2622.1541999999999</v>
      </c>
      <c r="L6" s="35">
        <v>7.22</v>
      </c>
      <c r="M6" s="9">
        <f>'Otemachi Daily'!L9</f>
        <v>168</v>
      </c>
      <c r="N6" s="35">
        <v>741</v>
      </c>
      <c r="O6" s="9">
        <f>'Otemachi Daily'!M9</f>
        <v>52</v>
      </c>
      <c r="P6" s="9">
        <f>'Otemachi Daily'!N9</f>
        <v>100</v>
      </c>
    </row>
    <row r="7" spans="1:16" ht="15">
      <c r="A7" s="6" t="s">
        <v>24</v>
      </c>
      <c r="B7" s="7">
        <f t="shared" si="0"/>
        <v>6</v>
      </c>
      <c r="C7" s="8">
        <v>5</v>
      </c>
      <c r="D7" s="7">
        <v>2021</v>
      </c>
      <c r="E7" s="9">
        <f>'Otemachi Daily'!D10</f>
        <v>13049</v>
      </c>
      <c r="F7" s="35">
        <f>[1]見込!$G$3</f>
        <v>23.13</v>
      </c>
      <c r="G7" s="9">
        <f>'Otemachi Daily'!F10</f>
        <v>161</v>
      </c>
      <c r="H7" s="35">
        <f>[1]見込!$M$23</f>
        <v>107.4717186980281</v>
      </c>
      <c r="I7" s="9">
        <f>'Otemachi Daily'!H10</f>
        <v>5987.9789999999994</v>
      </c>
      <c r="J7" s="35">
        <v>10.79</v>
      </c>
      <c r="K7" s="9">
        <f>'Otemachi Daily'!J10</f>
        <v>2698.8269999999998</v>
      </c>
      <c r="L7" s="35">
        <v>7.22</v>
      </c>
      <c r="M7" s="9">
        <f>'Otemachi Daily'!L10</f>
        <v>119</v>
      </c>
      <c r="N7" s="35">
        <v>741</v>
      </c>
      <c r="O7" s="9">
        <f>'Otemachi Daily'!M10</f>
        <v>50</v>
      </c>
      <c r="P7" s="9">
        <f>'Otemachi Daily'!N10</f>
        <v>95</v>
      </c>
    </row>
    <row r="8" spans="1:16" ht="15">
      <c r="A8" s="6" t="s">
        <v>24</v>
      </c>
      <c r="B8" s="7">
        <f t="shared" si="0"/>
        <v>7</v>
      </c>
      <c r="C8" s="8">
        <v>5</v>
      </c>
      <c r="D8" s="7">
        <v>2021</v>
      </c>
      <c r="E8" s="9">
        <f>'Otemachi Daily'!D11</f>
        <v>13023</v>
      </c>
      <c r="F8" s="35">
        <f>[1]見込!$G$3</f>
        <v>23.13</v>
      </c>
      <c r="G8" s="9">
        <f>'Otemachi Daily'!F11</f>
        <v>162</v>
      </c>
      <c r="H8" s="35">
        <f>[1]見込!$M$23</f>
        <v>107.4717186980281</v>
      </c>
      <c r="I8" s="9">
        <f>'Otemachi Daily'!H11</f>
        <v>4689.5418</v>
      </c>
      <c r="J8" s="35">
        <v>10.79</v>
      </c>
      <c r="K8" s="9">
        <f>'Otemachi Daily'!J11</f>
        <v>2628.8213999999998</v>
      </c>
      <c r="L8" s="35">
        <v>7.22</v>
      </c>
      <c r="M8" s="9">
        <f>'Otemachi Daily'!L11</f>
        <v>117</v>
      </c>
      <c r="N8" s="35">
        <v>741</v>
      </c>
      <c r="O8" s="9">
        <f>'Otemachi Daily'!M11</f>
        <v>57</v>
      </c>
      <c r="P8" s="9">
        <f>'Otemachi Daily'!N11</f>
        <v>120</v>
      </c>
    </row>
    <row r="9" spans="1:16" ht="15">
      <c r="A9" s="6" t="s">
        <v>24</v>
      </c>
      <c r="B9" s="7">
        <f t="shared" si="0"/>
        <v>8</v>
      </c>
      <c r="C9" s="8">
        <v>5</v>
      </c>
      <c r="D9" s="7">
        <v>2021</v>
      </c>
      <c r="E9" s="9">
        <f>'Otemachi Daily'!D12</f>
        <v>13343</v>
      </c>
      <c r="F9" s="35">
        <f>[1]見込!$G$3</f>
        <v>23.13</v>
      </c>
      <c r="G9" s="9">
        <f>'Otemachi Daily'!F12</f>
        <v>163.80000000000001</v>
      </c>
      <c r="H9" s="35">
        <f>[1]見込!$M$23</f>
        <v>107.4717186980281</v>
      </c>
      <c r="I9" s="9">
        <f>'Otemachi Daily'!H12</f>
        <v>7296.1391999999996</v>
      </c>
      <c r="J9" s="35">
        <v>10.79</v>
      </c>
      <c r="K9" s="9">
        <f>'Otemachi Daily'!J12</f>
        <v>2200.1759999999999</v>
      </c>
      <c r="L9" s="35">
        <v>7.22</v>
      </c>
      <c r="M9" s="9">
        <f>'Otemachi Daily'!L12</f>
        <v>138</v>
      </c>
      <c r="N9" s="35">
        <v>741</v>
      </c>
      <c r="O9" s="9">
        <f>'Otemachi Daily'!M12</f>
        <v>81</v>
      </c>
      <c r="P9" s="9">
        <f>'Otemachi Daily'!N12</f>
        <v>169</v>
      </c>
    </row>
    <row r="10" spans="1:16" ht="15">
      <c r="A10" s="6" t="s">
        <v>24</v>
      </c>
      <c r="B10" s="7">
        <f t="shared" si="0"/>
        <v>9</v>
      </c>
      <c r="C10" s="8">
        <v>5</v>
      </c>
      <c r="D10" s="7">
        <v>2021</v>
      </c>
      <c r="E10" s="9">
        <f>'Otemachi Daily'!D13</f>
        <v>13240</v>
      </c>
      <c r="F10" s="35">
        <f>[1]見込!$G$3</f>
        <v>23.13</v>
      </c>
      <c r="G10" s="9">
        <f>'Otemachi Daily'!F13</f>
        <v>161</v>
      </c>
      <c r="H10" s="35">
        <f>[1]見込!$M$23</f>
        <v>107.4717186980281</v>
      </c>
      <c r="I10" s="9">
        <f>'Otemachi Daily'!H13</f>
        <v>9516.5946000000004</v>
      </c>
      <c r="J10" s="35">
        <v>10.79</v>
      </c>
      <c r="K10" s="9">
        <f>'Otemachi Daily'!J13</f>
        <v>1138.98</v>
      </c>
      <c r="L10" s="35">
        <v>7.22</v>
      </c>
      <c r="M10" s="9">
        <f>'Otemachi Daily'!L13</f>
        <v>137</v>
      </c>
      <c r="N10" s="35">
        <v>741</v>
      </c>
      <c r="O10" s="9">
        <f>'Otemachi Daily'!M13</f>
        <v>31</v>
      </c>
      <c r="P10" s="9">
        <f>'Otemachi Daily'!N13</f>
        <v>57</v>
      </c>
    </row>
    <row r="11" spans="1:16" ht="15">
      <c r="A11" s="6" t="s">
        <v>24</v>
      </c>
      <c r="B11" s="7">
        <f t="shared" si="0"/>
        <v>10</v>
      </c>
      <c r="C11" s="8">
        <v>5</v>
      </c>
      <c r="D11" s="7">
        <v>2021</v>
      </c>
      <c r="E11" s="9">
        <f>'Otemachi Daily'!D14</f>
        <v>12295</v>
      </c>
      <c r="F11" s="35">
        <f>[1]見込!$G$3</f>
        <v>23.13</v>
      </c>
      <c r="G11" s="9">
        <f>'Otemachi Daily'!F14</f>
        <v>159</v>
      </c>
      <c r="H11" s="35">
        <f>[1]見込!$M$23</f>
        <v>107.4717186980281</v>
      </c>
      <c r="I11" s="9">
        <f>'Otemachi Daily'!H14</f>
        <v>5753.2379999999994</v>
      </c>
      <c r="J11" s="35">
        <v>10.79</v>
      </c>
      <c r="K11" s="9">
        <f>'Otemachi Daily'!J14</f>
        <v>1695.4133999999999</v>
      </c>
      <c r="L11" s="35">
        <v>7.22</v>
      </c>
      <c r="M11" s="9">
        <f>'Otemachi Daily'!L14</f>
        <v>102</v>
      </c>
      <c r="N11" s="35">
        <v>741</v>
      </c>
      <c r="O11" s="9">
        <f>'Otemachi Daily'!M14</f>
        <v>19</v>
      </c>
      <c r="P11" s="9">
        <f>'Otemachi Daily'!N14</f>
        <v>34</v>
      </c>
    </row>
    <row r="12" spans="1:16" ht="15">
      <c r="A12" s="6" t="s">
        <v>24</v>
      </c>
      <c r="B12" s="7">
        <f t="shared" si="0"/>
        <v>11</v>
      </c>
      <c r="C12" s="8">
        <v>5</v>
      </c>
      <c r="D12" s="7">
        <v>2021</v>
      </c>
      <c r="E12" s="9">
        <f>'Otemachi Daily'!D15</f>
        <v>12063</v>
      </c>
      <c r="F12" s="35">
        <f>[1]見込!$G$3</f>
        <v>23.13</v>
      </c>
      <c r="G12" s="9">
        <f>'Otemachi Daily'!F15</f>
        <v>146</v>
      </c>
      <c r="H12" s="35">
        <f>[1]見込!$M$23</f>
        <v>107.4717186980281</v>
      </c>
      <c r="I12" s="9">
        <f>'Otemachi Daily'!H15</f>
        <v>3378.6035999999999</v>
      </c>
      <c r="J12" s="35">
        <v>10.79</v>
      </c>
      <c r="K12" s="9">
        <f>'Otemachi Daily'!J15</f>
        <v>3000.24</v>
      </c>
      <c r="L12" s="35">
        <v>7.22</v>
      </c>
      <c r="M12" s="9">
        <f>'Otemachi Daily'!L15</f>
        <v>86</v>
      </c>
      <c r="N12" s="35">
        <v>741</v>
      </c>
      <c r="O12" s="9">
        <f>'Otemachi Daily'!M15</f>
        <v>28</v>
      </c>
      <c r="P12" s="9">
        <f>'Otemachi Daily'!N15</f>
        <v>47</v>
      </c>
    </row>
    <row r="13" spans="1:16" ht="15">
      <c r="A13" s="6" t="s">
        <v>24</v>
      </c>
      <c r="B13" s="7">
        <f t="shared" si="0"/>
        <v>12</v>
      </c>
      <c r="C13" s="8">
        <v>5</v>
      </c>
      <c r="D13" s="7">
        <v>2021</v>
      </c>
      <c r="E13" s="9">
        <f>'Otemachi Daily'!D16</f>
        <v>12096</v>
      </c>
      <c r="F13" s="35">
        <f>[1]見込!$G$3</f>
        <v>23.13</v>
      </c>
      <c r="G13" s="9">
        <f>'Otemachi Daily'!F16</f>
        <v>141</v>
      </c>
      <c r="H13" s="35">
        <f>[1]見込!$M$23</f>
        <v>107.4717186980281</v>
      </c>
      <c r="I13" s="9">
        <f>'Otemachi Daily'!H16</f>
        <v>3798.3593999999998</v>
      </c>
      <c r="J13" s="35">
        <v>10.79</v>
      </c>
      <c r="K13" s="9">
        <f>'Otemachi Daily'!J16</f>
        <v>2778</v>
      </c>
      <c r="L13" s="35">
        <v>7.22</v>
      </c>
      <c r="M13" s="9">
        <f>'Otemachi Daily'!L16</f>
        <v>93</v>
      </c>
      <c r="N13" s="35">
        <v>741</v>
      </c>
      <c r="O13" s="9">
        <f>'Otemachi Daily'!M16</f>
        <v>38</v>
      </c>
      <c r="P13" s="9">
        <f>'Otemachi Daily'!N16</f>
        <v>70</v>
      </c>
    </row>
    <row r="14" spans="1:16" ht="15">
      <c r="A14" s="6" t="s">
        <v>24</v>
      </c>
      <c r="B14" s="7">
        <f t="shared" si="0"/>
        <v>13</v>
      </c>
      <c r="C14" s="8">
        <v>5</v>
      </c>
      <c r="D14" s="7">
        <v>2021</v>
      </c>
      <c r="E14" s="9">
        <f>'Otemachi Daily'!D17</f>
        <v>12644</v>
      </c>
      <c r="F14" s="35">
        <f>[1]見込!$G$3</f>
        <v>23.13</v>
      </c>
      <c r="G14" s="9">
        <f>'Otemachi Daily'!F17</f>
        <v>153</v>
      </c>
      <c r="H14" s="35">
        <f>[1]見込!$M$23</f>
        <v>107.4717186980281</v>
      </c>
      <c r="I14" s="9">
        <f>'Otemachi Daily'!H17</f>
        <v>4625.9255999999996</v>
      </c>
      <c r="J14" s="35">
        <v>10.79</v>
      </c>
      <c r="K14" s="9">
        <f>'Otemachi Daily'!J17</f>
        <v>5015.4012000000002</v>
      </c>
      <c r="L14" s="35">
        <v>7.22</v>
      </c>
      <c r="M14" s="9">
        <f>'Otemachi Daily'!L17</f>
        <v>110</v>
      </c>
      <c r="N14" s="35">
        <v>741</v>
      </c>
      <c r="O14" s="9">
        <f>'Otemachi Daily'!M17</f>
        <v>25</v>
      </c>
      <c r="P14" s="9">
        <f>'Otemachi Daily'!N17</f>
        <v>44</v>
      </c>
    </row>
    <row r="15" spans="1:16" ht="15">
      <c r="A15" s="6" t="s">
        <v>24</v>
      </c>
      <c r="B15" s="7">
        <f t="shared" si="0"/>
        <v>14</v>
      </c>
      <c r="C15" s="8">
        <v>5</v>
      </c>
      <c r="D15" s="7">
        <v>2021</v>
      </c>
      <c r="E15" s="9">
        <f>'Otemachi Daily'!D18</f>
        <v>12856</v>
      </c>
      <c r="F15" s="35">
        <f>[1]見込!$G$3</f>
        <v>23.13</v>
      </c>
      <c r="G15" s="9">
        <f>'Otemachi Daily'!F18</f>
        <v>167</v>
      </c>
      <c r="H15" s="35">
        <f>[1]見込!$M$23</f>
        <v>107.4717186980281</v>
      </c>
      <c r="I15" s="9">
        <f>'Otemachi Daily'!H18</f>
        <v>9186.8459999999995</v>
      </c>
      <c r="J15" s="35">
        <v>10.79</v>
      </c>
      <c r="K15" s="9">
        <f>'Otemachi Daily'!J18</f>
        <v>2487.9767999999999</v>
      </c>
      <c r="L15" s="35">
        <v>7.22</v>
      </c>
      <c r="M15" s="9">
        <f>'Otemachi Daily'!L18</f>
        <v>104</v>
      </c>
      <c r="N15" s="35">
        <v>741</v>
      </c>
      <c r="O15" s="9">
        <f>'Otemachi Daily'!M18</f>
        <v>53</v>
      </c>
      <c r="P15" s="9">
        <f>'Otemachi Daily'!N18</f>
        <v>101</v>
      </c>
    </row>
    <row r="16" spans="1:16" ht="15">
      <c r="A16" s="6" t="s">
        <v>24</v>
      </c>
      <c r="B16" s="7">
        <f t="shared" si="0"/>
        <v>15</v>
      </c>
      <c r="C16" s="8">
        <v>5</v>
      </c>
      <c r="D16" s="7">
        <v>2021</v>
      </c>
      <c r="E16" s="9">
        <f>'Otemachi Daily'!D19</f>
        <v>13730</v>
      </c>
      <c r="F16" s="35">
        <f>[1]見込!$G$3</f>
        <v>23.13</v>
      </c>
      <c r="G16" s="9">
        <f>'Otemachi Daily'!F19</f>
        <v>167</v>
      </c>
      <c r="H16" s="35">
        <f>[1]見込!$M$23</f>
        <v>107.4717186980281</v>
      </c>
      <c r="I16" s="9">
        <f>'Otemachi Daily'!H19</f>
        <v>10492.2282</v>
      </c>
      <c r="J16" s="35">
        <v>10.79</v>
      </c>
      <c r="K16" s="9">
        <f>'Otemachi Daily'!J19</f>
        <v>2172.1181999999999</v>
      </c>
      <c r="L16" s="35">
        <v>7.22</v>
      </c>
      <c r="M16" s="9">
        <f>'Otemachi Daily'!L19</f>
        <v>143</v>
      </c>
      <c r="N16" s="35">
        <v>741</v>
      </c>
      <c r="O16" s="9">
        <f>'Otemachi Daily'!M19</f>
        <v>110</v>
      </c>
      <c r="P16" s="9">
        <f>'Otemachi Daily'!N19</f>
        <v>210</v>
      </c>
    </row>
    <row r="17" spans="1:16" ht="15">
      <c r="A17" s="6" t="s">
        <v>24</v>
      </c>
      <c r="B17" s="7">
        <f t="shared" si="0"/>
        <v>16</v>
      </c>
      <c r="C17" s="8">
        <v>5</v>
      </c>
      <c r="D17" s="7">
        <v>2021</v>
      </c>
      <c r="E17" s="9">
        <f>'Otemachi Daily'!D20</f>
        <v>14050</v>
      </c>
      <c r="F17" s="35">
        <f>[1]見込!$G$3</f>
        <v>23.13</v>
      </c>
      <c r="G17" s="9">
        <f>'Otemachi Daily'!F20</f>
        <v>169</v>
      </c>
      <c r="H17" s="35">
        <f>[1]見込!$M$23</f>
        <v>107.4717186980281</v>
      </c>
      <c r="I17" s="9">
        <f>'Otemachi Daily'!H20</f>
        <v>8629.3014000000003</v>
      </c>
      <c r="J17" s="35">
        <v>10.79</v>
      </c>
      <c r="K17" s="9">
        <f>'Otemachi Daily'!J20</f>
        <v>2106.5574000000001</v>
      </c>
      <c r="L17" s="35">
        <v>7.22</v>
      </c>
      <c r="M17" s="9">
        <f>'Otemachi Daily'!L20</f>
        <v>180</v>
      </c>
      <c r="N17" s="35">
        <v>741</v>
      </c>
      <c r="O17" s="9">
        <f>'Otemachi Daily'!M20</f>
        <v>39</v>
      </c>
      <c r="P17" s="9">
        <f>'Otemachi Daily'!N20</f>
        <v>72</v>
      </c>
    </row>
    <row r="18" spans="1:16" ht="15">
      <c r="A18" s="6" t="s">
        <v>24</v>
      </c>
      <c r="B18" s="7">
        <f t="shared" si="0"/>
        <v>17</v>
      </c>
      <c r="C18" s="8">
        <v>5</v>
      </c>
      <c r="D18" s="7">
        <v>2021</v>
      </c>
      <c r="E18" s="9">
        <f>'Otemachi Daily'!D21</f>
        <v>13437</v>
      </c>
      <c r="F18" s="35">
        <f>[1]見込!$G$3</f>
        <v>23.13</v>
      </c>
      <c r="G18" s="9">
        <f>'Otemachi Daily'!F21</f>
        <v>148</v>
      </c>
      <c r="H18" s="35">
        <f>[1]見込!$M$23</f>
        <v>107.4717186980281</v>
      </c>
      <c r="I18" s="9">
        <f>'Otemachi Daily'!H21</f>
        <v>20407.743599999998</v>
      </c>
      <c r="J18" s="35">
        <v>10.79</v>
      </c>
      <c r="K18" s="9">
        <f>'Otemachi Daily'!J21</f>
        <v>4261.1741999999995</v>
      </c>
      <c r="L18" s="35">
        <v>7.22</v>
      </c>
      <c r="M18" s="9">
        <f>'Otemachi Daily'!L21</f>
        <v>130</v>
      </c>
      <c r="N18" s="35">
        <v>741</v>
      </c>
      <c r="O18" s="9">
        <f>'Otemachi Daily'!M21</f>
        <v>41</v>
      </c>
      <c r="P18" s="9">
        <f>'Otemachi Daily'!N21</f>
        <v>76</v>
      </c>
    </row>
    <row r="19" spans="1:16" ht="15">
      <c r="A19" s="6" t="s">
        <v>24</v>
      </c>
      <c r="B19" s="7">
        <f t="shared" si="0"/>
        <v>18</v>
      </c>
      <c r="C19" s="8">
        <v>5</v>
      </c>
      <c r="D19" s="7">
        <v>2021</v>
      </c>
      <c r="E19" s="9">
        <f>'Otemachi Daily'!D22</f>
        <v>13007</v>
      </c>
      <c r="F19" s="35">
        <f>[1]見込!$G$3</f>
        <v>23.13</v>
      </c>
      <c r="G19" s="9">
        <f>'Otemachi Daily'!F22</f>
        <v>135</v>
      </c>
      <c r="H19" s="35">
        <f>[1]見込!$M$23</f>
        <v>107.4717186980281</v>
      </c>
      <c r="I19" s="9">
        <f>'Otemachi Daily'!H22</f>
        <v>19438.499400000001</v>
      </c>
      <c r="J19" s="35">
        <v>10.79</v>
      </c>
      <c r="K19" s="9">
        <f>'Otemachi Daily'!J22</f>
        <v>5820.7433999999994</v>
      </c>
      <c r="L19" s="35">
        <v>7.22</v>
      </c>
      <c r="M19" s="9">
        <f>'Otemachi Daily'!L22</f>
        <v>92</v>
      </c>
      <c r="N19" s="35">
        <v>741</v>
      </c>
      <c r="O19" s="9">
        <f>'Otemachi Daily'!M22</f>
        <v>23</v>
      </c>
      <c r="P19" s="9">
        <f>'Otemachi Daily'!N22</f>
        <v>40</v>
      </c>
    </row>
    <row r="20" spans="1:16" ht="15">
      <c r="A20" s="6" t="s">
        <v>24</v>
      </c>
      <c r="B20" s="7">
        <f t="shared" si="0"/>
        <v>19</v>
      </c>
      <c r="C20" s="8">
        <v>5</v>
      </c>
      <c r="D20" s="7">
        <v>2021</v>
      </c>
      <c r="E20" s="9">
        <f>'Otemachi Daily'!D23</f>
        <v>12468</v>
      </c>
      <c r="F20" s="35">
        <f>[1]見込!$G$3</f>
        <v>23.13</v>
      </c>
      <c r="G20" s="9">
        <f>'Otemachi Daily'!F23</f>
        <v>139</v>
      </c>
      <c r="H20" s="35">
        <f>[1]見込!$M$23</f>
        <v>107.4717186980281</v>
      </c>
      <c r="I20" s="9">
        <f>'Otemachi Daily'!H23</f>
        <v>8243.4372000000003</v>
      </c>
      <c r="J20" s="35">
        <v>10.79</v>
      </c>
      <c r="K20" s="9">
        <f>'Otemachi Daily'!J23</f>
        <v>5049.0149999999994</v>
      </c>
      <c r="L20" s="35">
        <v>7.22</v>
      </c>
      <c r="M20" s="9">
        <f>'Otemachi Daily'!L23</f>
        <v>85</v>
      </c>
      <c r="N20" s="35">
        <v>741</v>
      </c>
      <c r="O20" s="9">
        <f>'Otemachi Daily'!M23</f>
        <v>38</v>
      </c>
      <c r="P20" s="9">
        <f>'Otemachi Daily'!N23</f>
        <v>64</v>
      </c>
    </row>
    <row r="21" spans="1:16" ht="15">
      <c r="A21" s="6" t="s">
        <v>24</v>
      </c>
      <c r="B21" s="7">
        <f t="shared" si="0"/>
        <v>20</v>
      </c>
      <c r="C21" s="8">
        <v>5</v>
      </c>
      <c r="D21" s="7">
        <v>2021</v>
      </c>
      <c r="E21" s="9">
        <f>'Otemachi Daily'!D24</f>
        <v>13142</v>
      </c>
      <c r="F21" s="35">
        <f>[1]見込!$G$3</f>
        <v>23.13</v>
      </c>
      <c r="G21" s="9">
        <f>'Otemachi Daily'!F24</f>
        <v>168</v>
      </c>
      <c r="H21" s="35">
        <f>[1]見込!$M$23</f>
        <v>107.4717186980281</v>
      </c>
      <c r="I21" s="9">
        <f>'Otemachi Daily'!H24</f>
        <v>9841.6206000000002</v>
      </c>
      <c r="J21" s="35">
        <v>10.79</v>
      </c>
      <c r="K21" s="9">
        <f>'Otemachi Daily'!J24</f>
        <v>3267.2057999999997</v>
      </c>
      <c r="L21" s="35">
        <v>7.22</v>
      </c>
      <c r="M21" s="9">
        <f>'Otemachi Daily'!L24</f>
        <v>98</v>
      </c>
      <c r="N21" s="35">
        <v>741</v>
      </c>
      <c r="O21" s="9">
        <f>'Otemachi Daily'!M24</f>
        <v>34</v>
      </c>
      <c r="P21" s="9">
        <f>'Otemachi Daily'!N24</f>
        <v>56</v>
      </c>
    </row>
    <row r="22" spans="1:16" ht="15">
      <c r="A22" s="6" t="s">
        <v>24</v>
      </c>
      <c r="B22" s="7">
        <f t="shared" si="0"/>
        <v>21</v>
      </c>
      <c r="C22" s="8">
        <v>5</v>
      </c>
      <c r="D22" s="7">
        <v>2021</v>
      </c>
      <c r="E22" s="9">
        <f>'Otemachi Daily'!D25</f>
        <v>13069</v>
      </c>
      <c r="F22" s="35">
        <f>[1]見込!$G$3</f>
        <v>23.13</v>
      </c>
      <c r="G22" s="9">
        <f>'Otemachi Daily'!F25</f>
        <v>171</v>
      </c>
      <c r="H22" s="35">
        <f>[1]見込!$M$23</f>
        <v>107.4717186980281</v>
      </c>
      <c r="I22" s="9">
        <f>'Otemachi Daily'!H25</f>
        <v>24858.377399999998</v>
      </c>
      <c r="J22" s="35">
        <v>10.79</v>
      </c>
      <c r="K22" s="9">
        <f>'Otemachi Daily'!J25</f>
        <v>4987.6211999999996</v>
      </c>
      <c r="L22" s="35">
        <v>7.22</v>
      </c>
      <c r="M22" s="9">
        <f>'Otemachi Daily'!L25</f>
        <v>102</v>
      </c>
      <c r="N22" s="35">
        <v>741</v>
      </c>
      <c r="O22" s="9">
        <f>'Otemachi Daily'!M25</f>
        <v>56</v>
      </c>
      <c r="P22" s="9">
        <f>'Otemachi Daily'!N25</f>
        <v>99</v>
      </c>
    </row>
    <row r="23" spans="1:16" ht="15">
      <c r="A23" s="6" t="s">
        <v>24</v>
      </c>
      <c r="B23" s="7">
        <f t="shared" si="0"/>
        <v>22</v>
      </c>
      <c r="C23" s="8">
        <v>5</v>
      </c>
      <c r="D23" s="7">
        <v>2021</v>
      </c>
      <c r="E23" s="9">
        <f>'Otemachi Daily'!D26</f>
        <v>13319</v>
      </c>
      <c r="F23" s="35">
        <f>[1]見込!$G$3</f>
        <v>23.13</v>
      </c>
      <c r="G23" s="9">
        <f>'Otemachi Daily'!F26</f>
        <v>165</v>
      </c>
      <c r="H23" s="35">
        <f>[1]見込!$M$23</f>
        <v>107.4717186980281</v>
      </c>
      <c r="I23" s="9">
        <f>'Otemachi Daily'!H26</f>
        <v>14946.751199999999</v>
      </c>
      <c r="J23" s="35">
        <v>10.79</v>
      </c>
      <c r="K23" s="9">
        <f>'Otemachi Daily'!J26</f>
        <v>4818.4409999999998</v>
      </c>
      <c r="L23" s="35">
        <v>7.22</v>
      </c>
      <c r="M23" s="9">
        <f>'Otemachi Daily'!L26</f>
        <v>146</v>
      </c>
      <c r="N23" s="35">
        <v>741</v>
      </c>
      <c r="O23" s="9">
        <f>'Otemachi Daily'!M26</f>
        <v>104</v>
      </c>
      <c r="P23" s="9">
        <f>'Otemachi Daily'!N26</f>
        <v>203</v>
      </c>
    </row>
    <row r="24" spans="1:16" ht="15">
      <c r="A24" s="6" t="s">
        <v>24</v>
      </c>
      <c r="B24" s="7">
        <f t="shared" si="0"/>
        <v>23</v>
      </c>
      <c r="C24" s="8">
        <v>5</v>
      </c>
      <c r="D24" s="7">
        <v>2021</v>
      </c>
      <c r="E24" s="9">
        <f>'Otemachi Daily'!D27</f>
        <v>13773</v>
      </c>
      <c r="F24" s="35">
        <f>[1]見込!$G$3</f>
        <v>23.13</v>
      </c>
      <c r="G24" s="9">
        <f>'Otemachi Daily'!F27</f>
        <v>170</v>
      </c>
      <c r="H24" s="35">
        <f>[1]見込!$M$23</f>
        <v>107.4717186980281</v>
      </c>
      <c r="I24" s="9">
        <f>'Otemachi Daily'!H27</f>
        <v>13451.075999999999</v>
      </c>
      <c r="J24" s="35">
        <v>10.79</v>
      </c>
      <c r="K24" s="9">
        <f>'Otemachi Daily'!J27</f>
        <v>3931.7033999999999</v>
      </c>
      <c r="L24" s="35">
        <v>7.22</v>
      </c>
      <c r="M24" s="9">
        <f>'Otemachi Daily'!L27</f>
        <v>156</v>
      </c>
      <c r="N24" s="35">
        <v>741</v>
      </c>
      <c r="O24" s="9">
        <f>'Otemachi Daily'!M27</f>
        <v>47</v>
      </c>
      <c r="P24" s="9">
        <f>'Otemachi Daily'!N27</f>
        <v>81</v>
      </c>
    </row>
    <row r="25" spans="1:16" ht="15">
      <c r="A25" s="6" t="s">
        <v>24</v>
      </c>
      <c r="B25" s="7">
        <f t="shared" si="0"/>
        <v>24</v>
      </c>
      <c r="C25" s="8">
        <v>5</v>
      </c>
      <c r="D25" s="7">
        <v>2021</v>
      </c>
      <c r="E25" s="9">
        <f>'Otemachi Daily'!D28</f>
        <v>12620</v>
      </c>
      <c r="F25" s="35">
        <f>[1]見込!$G$3</f>
        <v>23.13</v>
      </c>
      <c r="G25" s="9">
        <f>'Otemachi Daily'!F28</f>
        <v>144</v>
      </c>
      <c r="H25" s="35">
        <f>[1]見込!$M$23</f>
        <v>107.4717186980281</v>
      </c>
      <c r="I25" s="9">
        <f>'Otemachi Daily'!H28</f>
        <v>14343.9252</v>
      </c>
      <c r="J25" s="35">
        <v>10.79</v>
      </c>
      <c r="K25" s="9">
        <f>'Otemachi Daily'!J28</f>
        <v>3148.3073999999997</v>
      </c>
      <c r="L25" s="35">
        <v>7.22</v>
      </c>
      <c r="M25" s="9">
        <f>'Otemachi Daily'!L28</f>
        <v>103</v>
      </c>
      <c r="N25" s="35">
        <v>741</v>
      </c>
      <c r="O25" s="9">
        <f>'Otemachi Daily'!M28</f>
        <v>40</v>
      </c>
      <c r="P25" s="9">
        <f>'Otemachi Daily'!N28</f>
        <v>68</v>
      </c>
    </row>
    <row r="26" spans="1:16" ht="15">
      <c r="A26" s="6" t="s">
        <v>24</v>
      </c>
      <c r="B26" s="7">
        <f>B25+1</f>
        <v>25</v>
      </c>
      <c r="C26" s="8">
        <v>5</v>
      </c>
      <c r="D26" s="7">
        <v>2021</v>
      </c>
      <c r="E26" s="9">
        <f>'Otemachi Daily'!D29</f>
        <v>12740</v>
      </c>
      <c r="F26" s="35">
        <f>[1]見込!$G$3</f>
        <v>23.13</v>
      </c>
      <c r="G26" s="9">
        <f>'Otemachi Daily'!F29</f>
        <v>146</v>
      </c>
      <c r="H26" s="35">
        <f>[1]見込!$M$23</f>
        <v>107.4717186980281</v>
      </c>
      <c r="I26" s="9">
        <f>'Otemachi Daily'!H29</f>
        <v>14957.0298</v>
      </c>
      <c r="J26" s="35">
        <v>10.79</v>
      </c>
      <c r="K26" s="9">
        <f>'Otemachi Daily'!J29</f>
        <v>2936.9015999999997</v>
      </c>
      <c r="L26" s="35">
        <v>7.22</v>
      </c>
      <c r="M26" s="9">
        <f>'Otemachi Daily'!L29</f>
        <v>100</v>
      </c>
      <c r="N26" s="35">
        <v>741</v>
      </c>
      <c r="O26" s="9">
        <f>'Otemachi Daily'!M29</f>
        <v>30</v>
      </c>
      <c r="P26" s="9">
        <f>'Otemachi Daily'!N29</f>
        <v>53</v>
      </c>
    </row>
    <row r="27" spans="1:16" ht="15">
      <c r="A27" s="6" t="s">
        <v>24</v>
      </c>
      <c r="B27" s="7">
        <f t="shared" si="0"/>
        <v>26</v>
      </c>
      <c r="C27" s="8">
        <v>5</v>
      </c>
      <c r="D27" s="7">
        <v>2021</v>
      </c>
      <c r="E27" s="9">
        <f>'Otemachi Daily'!D30</f>
        <v>12488</v>
      </c>
      <c r="F27" s="35">
        <f>[1]見込!$G$3</f>
        <v>23.13</v>
      </c>
      <c r="G27" s="9">
        <f>'Otemachi Daily'!F30</f>
        <v>134</v>
      </c>
      <c r="H27" s="35">
        <f>[1]見込!$M$23</f>
        <v>107.4717186980281</v>
      </c>
      <c r="I27" s="9">
        <f>'Otemachi Daily'!H30</f>
        <v>10928.0964</v>
      </c>
      <c r="J27" s="35">
        <v>10.79</v>
      </c>
      <c r="K27" s="9">
        <f>'Otemachi Daily'!J30</f>
        <v>2365.1891999999998</v>
      </c>
      <c r="L27" s="35">
        <v>7.22</v>
      </c>
      <c r="M27" s="9">
        <f>'Otemachi Daily'!L30</f>
        <v>90</v>
      </c>
      <c r="N27" s="35">
        <v>741</v>
      </c>
      <c r="O27" s="9">
        <f>'Otemachi Daily'!M30</f>
        <v>41</v>
      </c>
      <c r="P27" s="9">
        <f>'Otemachi Daily'!N30</f>
        <v>71</v>
      </c>
    </row>
    <row r="28" spans="1:16" ht="15">
      <c r="A28" s="6" t="s">
        <v>24</v>
      </c>
      <c r="B28" s="7">
        <f t="shared" si="0"/>
        <v>27</v>
      </c>
      <c r="C28" s="8">
        <v>5</v>
      </c>
      <c r="D28" s="7">
        <v>2021</v>
      </c>
      <c r="E28" s="9">
        <f>'Otemachi Daily'!D31</f>
        <v>12671</v>
      </c>
      <c r="F28" s="35">
        <f>[1]見込!$G$3</f>
        <v>23.13</v>
      </c>
      <c r="G28" s="9">
        <f>'Otemachi Daily'!F31</f>
        <v>154</v>
      </c>
      <c r="H28" s="35">
        <f>[1]見込!$M$23</f>
        <v>107.4717186980281</v>
      </c>
      <c r="I28" s="9">
        <f>'Otemachi Daily'!H31</f>
        <v>10061.638199999999</v>
      </c>
      <c r="J28" s="35">
        <v>10.79</v>
      </c>
      <c r="K28" s="9">
        <f>'Otemachi Daily'!J31</f>
        <v>5256.5316000000003</v>
      </c>
      <c r="L28" s="35">
        <v>7.22</v>
      </c>
      <c r="M28" s="9">
        <f>'Otemachi Daily'!L31</f>
        <v>125</v>
      </c>
      <c r="N28" s="35">
        <v>741</v>
      </c>
      <c r="O28" s="9">
        <f>'Otemachi Daily'!M31</f>
        <v>48</v>
      </c>
      <c r="P28" s="9">
        <f>'Otemachi Daily'!N31</f>
        <v>84</v>
      </c>
    </row>
    <row r="29" spans="1:16" ht="15">
      <c r="A29" s="6" t="s">
        <v>24</v>
      </c>
      <c r="B29" s="7">
        <f t="shared" si="0"/>
        <v>28</v>
      </c>
      <c r="C29" s="8">
        <v>5</v>
      </c>
      <c r="D29" s="7">
        <v>2021</v>
      </c>
      <c r="E29" s="9">
        <f>'Otemachi Daily'!D32</f>
        <v>12928</v>
      </c>
      <c r="F29" s="35">
        <f>[1]見込!$G$3</f>
        <v>23.13</v>
      </c>
      <c r="G29" s="9">
        <f>'Otemachi Daily'!F32</f>
        <v>176</v>
      </c>
      <c r="H29" s="35">
        <f>[1]見込!$M$23</f>
        <v>107.4717186980281</v>
      </c>
      <c r="I29" s="9">
        <f>'Otemachi Daily'!H32</f>
        <v>13793.6034</v>
      </c>
      <c r="J29" s="35">
        <v>10.79</v>
      </c>
      <c r="K29" s="9">
        <f>'Otemachi Daily'!J32</f>
        <v>3696.6846</v>
      </c>
      <c r="L29" s="35">
        <v>7.22</v>
      </c>
      <c r="M29" s="9">
        <f>'Otemachi Daily'!L32</f>
        <v>131</v>
      </c>
      <c r="N29" s="35">
        <v>741</v>
      </c>
      <c r="O29" s="9">
        <f>'Otemachi Daily'!M32</f>
        <v>66</v>
      </c>
      <c r="P29" s="9">
        <f>'Otemachi Daily'!N32</f>
        <v>128</v>
      </c>
    </row>
    <row r="30" spans="1:16" ht="15">
      <c r="A30" s="6" t="s">
        <v>24</v>
      </c>
      <c r="B30" s="7">
        <f t="shared" si="0"/>
        <v>29</v>
      </c>
      <c r="C30" s="8">
        <v>5</v>
      </c>
      <c r="D30" s="7">
        <v>2021</v>
      </c>
      <c r="E30" s="9">
        <f>'Otemachi Daily'!D33</f>
        <v>14057</v>
      </c>
      <c r="F30" s="35">
        <f>[1]見込!$G$3</f>
        <v>23.13</v>
      </c>
      <c r="G30" s="9">
        <f>'Otemachi Daily'!F33</f>
        <v>182</v>
      </c>
      <c r="H30" s="35">
        <f>[1]見込!$M$23</f>
        <v>107.4717186980281</v>
      </c>
      <c r="I30" s="9">
        <f>'Otemachi Daily'!H33</f>
        <v>18432.03</v>
      </c>
      <c r="J30" s="35">
        <v>10.79</v>
      </c>
      <c r="K30" s="9">
        <f>'Otemachi Daily'!J33</f>
        <v>3278.5956000000001</v>
      </c>
      <c r="L30" s="35">
        <v>7.22</v>
      </c>
      <c r="M30" s="9">
        <f>'Otemachi Daily'!L33</f>
        <v>162</v>
      </c>
      <c r="N30" s="35">
        <v>741</v>
      </c>
      <c r="O30" s="9">
        <f>'Otemachi Daily'!M33</f>
        <v>113</v>
      </c>
      <c r="P30" s="9">
        <f>'Otemachi Daily'!N33</f>
        <v>237</v>
      </c>
    </row>
    <row r="31" spans="1:16" ht="15">
      <c r="A31" s="6" t="s">
        <v>24</v>
      </c>
      <c r="B31" s="7">
        <f t="shared" si="0"/>
        <v>30</v>
      </c>
      <c r="C31" s="8">
        <v>5</v>
      </c>
      <c r="D31" s="7">
        <v>2021</v>
      </c>
      <c r="E31" s="9">
        <f>'Otemachi Daily'!D34</f>
        <v>13488</v>
      </c>
      <c r="F31" s="35">
        <f>[1]見込!$G$3</f>
        <v>23.13</v>
      </c>
      <c r="G31" s="9">
        <f>'Otemachi Daily'!F34</f>
        <v>169</v>
      </c>
      <c r="H31" s="35">
        <f>[1]見込!$M$23</f>
        <v>107.4717186980281</v>
      </c>
      <c r="I31" s="9">
        <f>'Otemachi Daily'!H34</f>
        <v>15406.232399999999</v>
      </c>
      <c r="J31" s="35">
        <v>10.79</v>
      </c>
      <c r="K31" s="9">
        <f>'Otemachi Daily'!J34</f>
        <v>3500.2799999999997</v>
      </c>
      <c r="L31" s="35">
        <v>7.22</v>
      </c>
      <c r="M31" s="9">
        <f>'Otemachi Daily'!L34</f>
        <v>160</v>
      </c>
      <c r="N31" s="35">
        <v>741</v>
      </c>
      <c r="O31" s="9">
        <f>'Otemachi Daily'!M34</f>
        <v>51</v>
      </c>
      <c r="P31" s="9">
        <f>'Otemachi Daily'!N34</f>
        <v>96</v>
      </c>
    </row>
    <row r="32" spans="1:16" ht="15">
      <c r="A32" s="6" t="s">
        <v>24</v>
      </c>
      <c r="B32" s="7">
        <f t="shared" si="0"/>
        <v>31</v>
      </c>
      <c r="C32" s="8">
        <v>5</v>
      </c>
      <c r="D32" s="7">
        <v>2021</v>
      </c>
      <c r="E32" s="9">
        <f>'Otemachi Daily'!D35</f>
        <v>12398</v>
      </c>
      <c r="F32" s="35">
        <f>[1]見込!$G$3</f>
        <v>23.13</v>
      </c>
      <c r="G32" s="9">
        <f>'Otemachi Daily'!F35</f>
        <v>137</v>
      </c>
      <c r="H32" s="35">
        <f>[1]見込!$M$23</f>
        <v>107.4717186980281</v>
      </c>
      <c r="I32" s="9">
        <f>'Otemachi Daily'!H35</f>
        <v>11982.347399999999</v>
      </c>
      <c r="J32" s="35">
        <v>10.79</v>
      </c>
      <c r="K32" s="9">
        <f>'Otemachi Daily'!J35</f>
        <v>2725.2179999999998</v>
      </c>
      <c r="L32" s="35">
        <v>7.22</v>
      </c>
      <c r="M32" s="9">
        <f>'Otemachi Daily'!L35</f>
        <v>122</v>
      </c>
      <c r="N32" s="35">
        <v>741</v>
      </c>
      <c r="O32" s="9">
        <f>'Otemachi Daily'!M35</f>
        <v>39</v>
      </c>
      <c r="P32" s="9">
        <f>'Otemachi Daily'!N35</f>
        <v>71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4" zoomScale="60" zoomScaleNormal="60" workbookViewId="0">
      <pane xSplit="1" topLeftCell="B1" activePane="topRight" state="frozen"/>
      <selection pane="topRight" activeCell="U32" sqref="U32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4" ht="35.25" customHeight="1" thickBot="1">
      <c r="A2" s="14" t="s">
        <v>8</v>
      </c>
      <c r="B2" s="38"/>
      <c r="C2" s="40" t="s">
        <v>18</v>
      </c>
      <c r="D2" s="41"/>
      <c r="E2" s="42" t="s">
        <v>22</v>
      </c>
      <c r="F2" s="42"/>
      <c r="G2" s="45" t="s">
        <v>19</v>
      </c>
      <c r="H2" s="46"/>
      <c r="I2" s="45" t="s">
        <v>25</v>
      </c>
      <c r="J2" s="46"/>
      <c r="K2" s="43" t="s">
        <v>9</v>
      </c>
      <c r="L2" s="44"/>
      <c r="M2" s="15"/>
      <c r="N2" s="15"/>
    </row>
    <row r="3" spans="1:14" ht="44.25" customHeight="1">
      <c r="A3" s="16" t="s">
        <v>10</v>
      </c>
      <c r="B3" s="38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20</v>
      </c>
      <c r="H3" s="19" t="s">
        <v>12</v>
      </c>
      <c r="I3" s="19" t="s">
        <v>20</v>
      </c>
      <c r="J3" s="19" t="s">
        <v>12</v>
      </c>
      <c r="K3" s="19" t="s">
        <v>14</v>
      </c>
      <c r="L3" s="20" t="s">
        <v>15</v>
      </c>
      <c r="M3" s="21" t="s">
        <v>16</v>
      </c>
      <c r="N3" s="21" t="s">
        <v>17</v>
      </c>
    </row>
    <row r="4" spans="1:14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4" ht="33" customHeight="1">
      <c r="A5" s="28">
        <v>44317</v>
      </c>
      <c r="B5" s="38"/>
      <c r="C5" s="36">
        <f>[1]コスト!$G$147</f>
        <v>14740</v>
      </c>
      <c r="D5" s="36">
        <f>C5</f>
        <v>14740</v>
      </c>
      <c r="E5" s="36">
        <f>[1]コスト!$G$23</f>
        <v>190</v>
      </c>
      <c r="F5" s="36">
        <f>E5</f>
        <v>190</v>
      </c>
      <c r="G5" s="36">
        <f>[1]コスト!$G$115</f>
        <v>6989.7258000000002</v>
      </c>
      <c r="H5" s="36">
        <f>G5</f>
        <v>6989.7258000000002</v>
      </c>
      <c r="I5" s="36">
        <f>[1]コスト!$G$91</f>
        <v>3183.0324000000001</v>
      </c>
      <c r="J5" s="36">
        <f>I5</f>
        <v>3183.0324000000001</v>
      </c>
      <c r="K5" s="36">
        <f>[1]コスト!$G$41</f>
        <v>221</v>
      </c>
      <c r="L5" s="36">
        <f>K5</f>
        <v>221</v>
      </c>
      <c r="M5" s="29">
        <v>128</v>
      </c>
      <c r="N5" s="29">
        <v>249</v>
      </c>
    </row>
    <row r="6" spans="1:14" ht="45" customHeight="1">
      <c r="A6" s="28">
        <v>44318</v>
      </c>
      <c r="B6" s="38"/>
      <c r="C6" s="36">
        <f>[1]コスト!$H$147</f>
        <v>14327</v>
      </c>
      <c r="D6" s="36">
        <f t="shared" ref="D6:F35" si="0">C6</f>
        <v>14327</v>
      </c>
      <c r="E6" s="36">
        <f>[1]コスト!$H$23</f>
        <v>197</v>
      </c>
      <c r="F6" s="36">
        <f t="shared" si="0"/>
        <v>197</v>
      </c>
      <c r="G6" s="36">
        <f>[1]コスト!$H$115</f>
        <v>5647.674</v>
      </c>
      <c r="H6" s="36">
        <f t="shared" ref="H6" si="1">G6</f>
        <v>5647.674</v>
      </c>
      <c r="I6" s="36">
        <f>[1]コスト!$H$91</f>
        <v>4143.9426000000003</v>
      </c>
      <c r="J6" s="36">
        <f t="shared" ref="J6" si="2">I6</f>
        <v>4143.9426000000003</v>
      </c>
      <c r="K6" s="36">
        <f>[1]コスト!$H$41</f>
        <v>237</v>
      </c>
      <c r="L6" s="36">
        <f t="shared" ref="L6" si="3">K6</f>
        <v>237</v>
      </c>
      <c r="M6" s="12">
        <v>123</v>
      </c>
      <c r="N6" s="12">
        <v>245</v>
      </c>
    </row>
    <row r="7" spans="1:14" ht="45" customHeight="1">
      <c r="A7" s="28">
        <v>44319</v>
      </c>
      <c r="B7" s="38"/>
      <c r="C7" s="36">
        <f>[1]コスト!$I$147</f>
        <v>14368</v>
      </c>
      <c r="D7" s="36">
        <f t="shared" si="0"/>
        <v>14368</v>
      </c>
      <c r="E7" s="36">
        <f>[1]コスト!$I$23</f>
        <v>210</v>
      </c>
      <c r="F7" s="36">
        <f t="shared" si="0"/>
        <v>210</v>
      </c>
      <c r="G7" s="36">
        <f>[1]コスト!$I$115</f>
        <v>4954.0073999999995</v>
      </c>
      <c r="H7" s="36">
        <f t="shared" ref="H7" si="4">G7</f>
        <v>4954.0073999999995</v>
      </c>
      <c r="I7" s="36">
        <f>[1]コスト!$I$91</f>
        <v>4157.5547999999999</v>
      </c>
      <c r="J7" s="36">
        <f t="shared" ref="J7" si="5">I7</f>
        <v>4157.5547999999999</v>
      </c>
      <c r="K7" s="36">
        <f>[1]コスト!$I$41</f>
        <v>229</v>
      </c>
      <c r="L7" s="36">
        <f t="shared" ref="L7" si="6">K7</f>
        <v>229</v>
      </c>
      <c r="M7" s="12">
        <v>148</v>
      </c>
      <c r="N7" s="12">
        <v>288</v>
      </c>
    </row>
    <row r="8" spans="1:14" ht="45" customHeight="1">
      <c r="A8" s="28">
        <v>44320</v>
      </c>
      <c r="B8" s="38"/>
      <c r="C8" s="36">
        <f>[1]コスト!$J$147</f>
        <v>14535</v>
      </c>
      <c r="D8" s="36">
        <f t="shared" si="0"/>
        <v>14535</v>
      </c>
      <c r="E8" s="36">
        <f>[1]コスト!$J$23</f>
        <v>187</v>
      </c>
      <c r="F8" s="36">
        <f t="shared" si="0"/>
        <v>187</v>
      </c>
      <c r="G8" s="36">
        <f>[1]コスト!$J$115</f>
        <v>7521.7127999999993</v>
      </c>
      <c r="H8" s="36">
        <f t="shared" ref="H8" si="7">G8</f>
        <v>7521.7127999999993</v>
      </c>
      <c r="I8" s="36">
        <f>[1]コスト!$J$91</f>
        <v>2566.8719999999998</v>
      </c>
      <c r="J8" s="36">
        <f t="shared" ref="J8" si="8">I8</f>
        <v>2566.8719999999998</v>
      </c>
      <c r="K8" s="36">
        <f>[1]コスト!$J$41</f>
        <v>218</v>
      </c>
      <c r="L8" s="36">
        <f t="shared" ref="L8" si="9">K8</f>
        <v>218</v>
      </c>
      <c r="M8" s="12">
        <v>134</v>
      </c>
      <c r="N8" s="12">
        <v>312</v>
      </c>
    </row>
    <row r="9" spans="1:14" ht="45" customHeight="1">
      <c r="A9" s="28">
        <v>44321</v>
      </c>
      <c r="B9" s="38"/>
      <c r="C9" s="36">
        <f>[1]コスト!$K$147</f>
        <v>13712</v>
      </c>
      <c r="D9" s="36">
        <f t="shared" si="0"/>
        <v>13712</v>
      </c>
      <c r="E9" s="36">
        <f>[1]コスト!$K$23</f>
        <v>179</v>
      </c>
      <c r="F9" s="36">
        <f t="shared" si="0"/>
        <v>179</v>
      </c>
      <c r="G9" s="36">
        <f>[1]コスト!$K$115</f>
        <v>5418.7667999999994</v>
      </c>
      <c r="H9" s="36">
        <f t="shared" ref="H9" si="10">G9</f>
        <v>5418.7667999999994</v>
      </c>
      <c r="I9" s="36">
        <f>[1]コスト!$K$91</f>
        <v>2622.1541999999999</v>
      </c>
      <c r="J9" s="36">
        <f t="shared" ref="J9" si="11">I9</f>
        <v>2622.1541999999999</v>
      </c>
      <c r="K9" s="36">
        <f>[1]コスト!$K$41</f>
        <v>168</v>
      </c>
      <c r="L9" s="36">
        <f t="shared" ref="L9" si="12">K9</f>
        <v>168</v>
      </c>
      <c r="M9" s="12">
        <v>52</v>
      </c>
      <c r="N9" s="12">
        <v>100</v>
      </c>
    </row>
    <row r="10" spans="1:14" ht="45" customHeight="1">
      <c r="A10" s="28">
        <v>44322</v>
      </c>
      <c r="B10" s="38"/>
      <c r="C10" s="36">
        <f>[1]コスト!$L$147</f>
        <v>13049</v>
      </c>
      <c r="D10" s="36">
        <f t="shared" si="0"/>
        <v>13049</v>
      </c>
      <c r="E10" s="36">
        <f>[1]コスト!$L$23</f>
        <v>161</v>
      </c>
      <c r="F10" s="36">
        <f t="shared" si="0"/>
        <v>161</v>
      </c>
      <c r="G10" s="36">
        <f>[1]コスト!$L$115</f>
        <v>5987.9789999999994</v>
      </c>
      <c r="H10" s="36">
        <f t="shared" ref="H10" si="13">G10</f>
        <v>5987.9789999999994</v>
      </c>
      <c r="I10" s="36">
        <f>[1]コスト!$L$91</f>
        <v>2698.8269999999998</v>
      </c>
      <c r="J10" s="36">
        <f t="shared" ref="J10" si="14">I10</f>
        <v>2698.8269999999998</v>
      </c>
      <c r="K10" s="36">
        <f>[1]コスト!$L$41</f>
        <v>119</v>
      </c>
      <c r="L10" s="36">
        <f t="shared" ref="L10" si="15">K10</f>
        <v>119</v>
      </c>
      <c r="M10" s="12">
        <v>50</v>
      </c>
      <c r="N10" s="12">
        <v>95</v>
      </c>
    </row>
    <row r="11" spans="1:14" ht="45" customHeight="1">
      <c r="A11" s="28">
        <v>44323</v>
      </c>
      <c r="B11" s="38"/>
      <c r="C11" s="36">
        <f>[1]コスト!$M$147</f>
        <v>13023</v>
      </c>
      <c r="D11" s="36">
        <f t="shared" si="0"/>
        <v>13023</v>
      </c>
      <c r="E11" s="36">
        <f>[1]コスト!$M$23</f>
        <v>162</v>
      </c>
      <c r="F11" s="36">
        <f t="shared" si="0"/>
        <v>162</v>
      </c>
      <c r="G11" s="36">
        <f>[1]コスト!$M$115</f>
        <v>4689.5418</v>
      </c>
      <c r="H11" s="36">
        <f t="shared" ref="H11" si="16">G11</f>
        <v>4689.5418</v>
      </c>
      <c r="I11" s="36">
        <f>[1]コスト!$M$91</f>
        <v>2628.8213999999998</v>
      </c>
      <c r="J11" s="36">
        <f t="shared" ref="J11" si="17">I11</f>
        <v>2628.8213999999998</v>
      </c>
      <c r="K11" s="36">
        <f>[1]コスト!$M$41</f>
        <v>117</v>
      </c>
      <c r="L11" s="36">
        <f t="shared" ref="L11" si="18">K11</f>
        <v>117</v>
      </c>
      <c r="M11" s="12">
        <v>57</v>
      </c>
      <c r="N11" s="12">
        <v>120</v>
      </c>
    </row>
    <row r="12" spans="1:14" ht="45" customHeight="1">
      <c r="A12" s="28">
        <v>44324</v>
      </c>
      <c r="B12" s="38"/>
      <c r="C12" s="36">
        <f>[1]コスト!$N$147</f>
        <v>13343</v>
      </c>
      <c r="D12" s="36">
        <f t="shared" si="0"/>
        <v>13343</v>
      </c>
      <c r="E12" s="36">
        <f>[1]コスト!$N$23</f>
        <v>163.80000000000001</v>
      </c>
      <c r="F12" s="36">
        <f t="shared" si="0"/>
        <v>163.80000000000001</v>
      </c>
      <c r="G12" s="36">
        <f>[1]コスト!$N$115</f>
        <v>7296.1391999999996</v>
      </c>
      <c r="H12" s="36">
        <f t="shared" ref="H12" si="19">G12</f>
        <v>7296.1391999999996</v>
      </c>
      <c r="I12" s="36">
        <f>[1]コスト!$N$91</f>
        <v>2200.1759999999999</v>
      </c>
      <c r="J12" s="36">
        <f t="shared" ref="J12" si="20">I12</f>
        <v>2200.1759999999999</v>
      </c>
      <c r="K12" s="36">
        <f>[1]コスト!$N$41</f>
        <v>138</v>
      </c>
      <c r="L12" s="36">
        <f t="shared" ref="L12" si="21">K12</f>
        <v>138</v>
      </c>
      <c r="M12" s="12">
        <v>81</v>
      </c>
      <c r="N12" s="12">
        <v>169</v>
      </c>
    </row>
    <row r="13" spans="1:14" ht="45" customHeight="1">
      <c r="A13" s="28">
        <v>44325</v>
      </c>
      <c r="B13" s="38"/>
      <c r="C13" s="36">
        <f>[1]コスト!$O$147</f>
        <v>13240</v>
      </c>
      <c r="D13" s="36">
        <f t="shared" si="0"/>
        <v>13240</v>
      </c>
      <c r="E13" s="36">
        <f>[1]コスト!$O$23</f>
        <v>161</v>
      </c>
      <c r="F13" s="36">
        <f t="shared" si="0"/>
        <v>161</v>
      </c>
      <c r="G13" s="36">
        <f>[1]コスト!$O$115</f>
        <v>9516.5946000000004</v>
      </c>
      <c r="H13" s="36">
        <f t="shared" ref="H13" si="22">G13</f>
        <v>9516.5946000000004</v>
      </c>
      <c r="I13" s="36">
        <f>[1]コスト!$O$91</f>
        <v>1138.98</v>
      </c>
      <c r="J13" s="36">
        <f t="shared" ref="J13" si="23">I13</f>
        <v>1138.98</v>
      </c>
      <c r="K13" s="36">
        <f>[1]コスト!$O$41</f>
        <v>137</v>
      </c>
      <c r="L13" s="36">
        <f t="shared" ref="L13" si="24">K13</f>
        <v>137</v>
      </c>
      <c r="M13" s="12">
        <v>31</v>
      </c>
      <c r="N13" s="12">
        <v>57</v>
      </c>
    </row>
    <row r="14" spans="1:14" ht="45" customHeight="1">
      <c r="A14" s="28">
        <v>44326</v>
      </c>
      <c r="B14" s="38"/>
      <c r="C14" s="36">
        <f>[1]コスト!$P$147</f>
        <v>12295</v>
      </c>
      <c r="D14" s="36">
        <f t="shared" si="0"/>
        <v>12295</v>
      </c>
      <c r="E14" s="36">
        <f>[1]コスト!$P$23</f>
        <v>159</v>
      </c>
      <c r="F14" s="36">
        <f t="shared" si="0"/>
        <v>159</v>
      </c>
      <c r="G14" s="36">
        <f>[1]コスト!$P$115</f>
        <v>5753.2379999999994</v>
      </c>
      <c r="H14" s="36">
        <f t="shared" ref="H14" si="25">G14</f>
        <v>5753.2379999999994</v>
      </c>
      <c r="I14" s="36">
        <f>[1]コスト!$P$91</f>
        <v>1695.4133999999999</v>
      </c>
      <c r="J14" s="36">
        <f t="shared" ref="J14" si="26">I14</f>
        <v>1695.4133999999999</v>
      </c>
      <c r="K14" s="36">
        <f>[1]コスト!$P$41</f>
        <v>102</v>
      </c>
      <c r="L14" s="36">
        <f t="shared" ref="L14" si="27">K14</f>
        <v>102</v>
      </c>
      <c r="M14" s="12">
        <v>19</v>
      </c>
      <c r="N14" s="12">
        <v>34</v>
      </c>
    </row>
    <row r="15" spans="1:14" ht="45" customHeight="1">
      <c r="A15" s="28">
        <v>44327</v>
      </c>
      <c r="B15" s="38"/>
      <c r="C15" s="36">
        <f>[1]コスト!$Q$147</f>
        <v>12063</v>
      </c>
      <c r="D15" s="36">
        <f t="shared" si="0"/>
        <v>12063</v>
      </c>
      <c r="E15" s="36">
        <f>[1]コスト!$Q$23</f>
        <v>146</v>
      </c>
      <c r="F15" s="36">
        <f t="shared" si="0"/>
        <v>146</v>
      </c>
      <c r="G15" s="36">
        <f>[1]コスト!$Q$115</f>
        <v>3378.6035999999999</v>
      </c>
      <c r="H15" s="36">
        <f t="shared" ref="H15" si="28">G15</f>
        <v>3378.6035999999999</v>
      </c>
      <c r="I15" s="36">
        <f>[1]コスト!$Q$91</f>
        <v>3000.24</v>
      </c>
      <c r="J15" s="36">
        <f t="shared" ref="J15" si="29">I15</f>
        <v>3000.24</v>
      </c>
      <c r="K15" s="36">
        <f>[1]コスト!$Q$41</f>
        <v>86</v>
      </c>
      <c r="L15" s="36">
        <f t="shared" ref="L15" si="30">K15</f>
        <v>86</v>
      </c>
      <c r="M15" s="12">
        <v>28</v>
      </c>
      <c r="N15" s="12">
        <v>47</v>
      </c>
    </row>
    <row r="16" spans="1:14" ht="45" customHeight="1">
      <c r="A16" s="28">
        <v>44328</v>
      </c>
      <c r="B16" s="38"/>
      <c r="C16" s="36">
        <f>[1]コスト!$R$147</f>
        <v>12096</v>
      </c>
      <c r="D16" s="36">
        <f t="shared" si="0"/>
        <v>12096</v>
      </c>
      <c r="E16" s="36">
        <f>[1]コスト!$R$23</f>
        <v>141</v>
      </c>
      <c r="F16" s="36">
        <f t="shared" si="0"/>
        <v>141</v>
      </c>
      <c r="G16" s="36">
        <f>[1]コスト!$R$115</f>
        <v>3798.3593999999998</v>
      </c>
      <c r="H16" s="36">
        <f t="shared" ref="H16" si="31">G16</f>
        <v>3798.3593999999998</v>
      </c>
      <c r="I16" s="36">
        <f>[1]コスト!$R$91</f>
        <v>2778</v>
      </c>
      <c r="J16" s="36">
        <f t="shared" ref="J16" si="32">I16</f>
        <v>2778</v>
      </c>
      <c r="K16" s="36">
        <f>[1]コスト!$R$41</f>
        <v>93</v>
      </c>
      <c r="L16" s="36">
        <f t="shared" ref="L16" si="33">K16</f>
        <v>93</v>
      </c>
      <c r="M16" s="12">
        <v>38</v>
      </c>
      <c r="N16" s="12">
        <v>70</v>
      </c>
    </row>
    <row r="17" spans="1:26" ht="45" customHeight="1">
      <c r="A17" s="28">
        <v>44329</v>
      </c>
      <c r="B17" s="38"/>
      <c r="C17" s="36">
        <f>[1]コスト!$S$147</f>
        <v>12644</v>
      </c>
      <c r="D17" s="36">
        <f t="shared" si="0"/>
        <v>12644</v>
      </c>
      <c r="E17" s="36">
        <f>[1]コスト!$S$23</f>
        <v>153</v>
      </c>
      <c r="F17" s="36">
        <f t="shared" si="0"/>
        <v>153</v>
      </c>
      <c r="G17" s="36">
        <f>[1]コスト!$S$115</f>
        <v>4625.9255999999996</v>
      </c>
      <c r="H17" s="36">
        <f t="shared" ref="H17" si="34">G17</f>
        <v>4625.9255999999996</v>
      </c>
      <c r="I17" s="36">
        <f>[1]コスト!$S$91</f>
        <v>5015.4012000000002</v>
      </c>
      <c r="J17" s="36">
        <f t="shared" ref="J17" si="35">I17</f>
        <v>5015.4012000000002</v>
      </c>
      <c r="K17" s="36">
        <f>[1]コスト!$S$41</f>
        <v>110</v>
      </c>
      <c r="L17" s="36">
        <f t="shared" ref="L17" si="36">K17</f>
        <v>110</v>
      </c>
      <c r="M17" s="12">
        <v>25</v>
      </c>
      <c r="N17" s="12">
        <v>44</v>
      </c>
    </row>
    <row r="18" spans="1:26" ht="45" customHeight="1">
      <c r="A18" s="28">
        <v>44330</v>
      </c>
      <c r="B18" s="38"/>
      <c r="C18" s="36">
        <f>[1]コスト!$T$147</f>
        <v>12856</v>
      </c>
      <c r="D18" s="36">
        <f t="shared" si="0"/>
        <v>12856</v>
      </c>
      <c r="E18" s="36">
        <f>[1]コスト!$T$23</f>
        <v>167</v>
      </c>
      <c r="F18" s="36">
        <f t="shared" si="0"/>
        <v>167</v>
      </c>
      <c r="G18" s="36">
        <f>[1]コスト!$T$115</f>
        <v>9186.8459999999995</v>
      </c>
      <c r="H18" s="36">
        <f t="shared" ref="H18" si="37">G18</f>
        <v>9186.8459999999995</v>
      </c>
      <c r="I18" s="36">
        <f>[1]コスト!$T$91</f>
        <v>2487.9767999999999</v>
      </c>
      <c r="J18" s="36">
        <f t="shared" ref="J18" si="38">I18</f>
        <v>2487.9767999999999</v>
      </c>
      <c r="K18" s="36">
        <f>[1]コスト!$T$41</f>
        <v>104</v>
      </c>
      <c r="L18" s="36">
        <f t="shared" ref="L18" si="39">K18</f>
        <v>104</v>
      </c>
      <c r="M18" s="12">
        <v>53</v>
      </c>
      <c r="N18" s="12">
        <v>101</v>
      </c>
      <c r="Z18" s="37"/>
    </row>
    <row r="19" spans="1:26" ht="45" customHeight="1">
      <c r="A19" s="28">
        <v>44331</v>
      </c>
      <c r="B19" s="38"/>
      <c r="C19" s="36">
        <f>[1]コスト!$U$147</f>
        <v>13730</v>
      </c>
      <c r="D19" s="36">
        <f t="shared" si="0"/>
        <v>13730</v>
      </c>
      <c r="E19" s="36">
        <f>[1]コスト!$U$23</f>
        <v>167</v>
      </c>
      <c r="F19" s="36">
        <f t="shared" si="0"/>
        <v>167</v>
      </c>
      <c r="G19" s="36">
        <f>[1]コスト!$U$115</f>
        <v>10492.2282</v>
      </c>
      <c r="H19" s="36">
        <f t="shared" ref="H19" si="40">G19</f>
        <v>10492.2282</v>
      </c>
      <c r="I19" s="36">
        <f>[1]コスト!$U$91</f>
        <v>2172.1181999999999</v>
      </c>
      <c r="J19" s="36">
        <f t="shared" ref="J19" si="41">I19</f>
        <v>2172.1181999999999</v>
      </c>
      <c r="K19" s="36">
        <f>[1]コスト!$U$41</f>
        <v>143</v>
      </c>
      <c r="L19" s="36">
        <f t="shared" ref="L19" si="42">K19</f>
        <v>143</v>
      </c>
      <c r="M19" s="12">
        <v>110</v>
      </c>
      <c r="N19" s="12">
        <v>210</v>
      </c>
    </row>
    <row r="20" spans="1:26" ht="45" customHeight="1">
      <c r="A20" s="28">
        <v>44332</v>
      </c>
      <c r="B20" s="38"/>
      <c r="C20" s="36">
        <f>[1]コスト!$V$147</f>
        <v>14050</v>
      </c>
      <c r="D20" s="36">
        <f t="shared" si="0"/>
        <v>14050</v>
      </c>
      <c r="E20" s="36">
        <f>[1]コスト!$V$23</f>
        <v>169</v>
      </c>
      <c r="F20" s="36">
        <f t="shared" si="0"/>
        <v>169</v>
      </c>
      <c r="G20" s="36">
        <f>[1]コスト!$V$115</f>
        <v>8629.3014000000003</v>
      </c>
      <c r="H20" s="36">
        <f t="shared" ref="H20" si="43">G20</f>
        <v>8629.3014000000003</v>
      </c>
      <c r="I20" s="36">
        <f>[1]コスト!$V$91</f>
        <v>2106.5574000000001</v>
      </c>
      <c r="J20" s="36">
        <f t="shared" ref="J20" si="44">I20</f>
        <v>2106.5574000000001</v>
      </c>
      <c r="K20" s="36">
        <f>[1]コスト!$V$41</f>
        <v>180</v>
      </c>
      <c r="L20" s="36">
        <f t="shared" ref="L20" si="45">K20</f>
        <v>180</v>
      </c>
      <c r="M20" s="12">
        <v>39</v>
      </c>
      <c r="N20" s="12">
        <v>72</v>
      </c>
    </row>
    <row r="21" spans="1:26" ht="45" customHeight="1">
      <c r="A21" s="28">
        <v>44333</v>
      </c>
      <c r="B21" s="38"/>
      <c r="C21" s="36">
        <f>[1]コスト!$W$147</f>
        <v>13437</v>
      </c>
      <c r="D21" s="36">
        <f t="shared" si="0"/>
        <v>13437</v>
      </c>
      <c r="E21" s="36">
        <f>[1]コスト!$W$23</f>
        <v>148</v>
      </c>
      <c r="F21" s="36">
        <f t="shared" si="0"/>
        <v>148</v>
      </c>
      <c r="G21" s="36">
        <f>[1]コスト!$W$115</f>
        <v>20407.743599999998</v>
      </c>
      <c r="H21" s="36">
        <f t="shared" ref="H21" si="46">G21</f>
        <v>20407.743599999998</v>
      </c>
      <c r="I21" s="36">
        <f>[1]コスト!$W$91</f>
        <v>4261.1741999999995</v>
      </c>
      <c r="J21" s="36">
        <f t="shared" ref="J21" si="47">I21</f>
        <v>4261.1741999999995</v>
      </c>
      <c r="K21" s="36">
        <f>[1]コスト!$W$41</f>
        <v>130</v>
      </c>
      <c r="L21" s="36">
        <f t="shared" ref="L21" si="48">K21</f>
        <v>130</v>
      </c>
      <c r="M21" s="9">
        <v>41</v>
      </c>
      <c r="N21" s="9">
        <v>76</v>
      </c>
    </row>
    <row r="22" spans="1:26" ht="45" customHeight="1">
      <c r="A22" s="28">
        <v>44334</v>
      </c>
      <c r="B22" s="38"/>
      <c r="C22" s="36">
        <f>[1]コスト!$X$147</f>
        <v>13007</v>
      </c>
      <c r="D22" s="36">
        <f t="shared" si="0"/>
        <v>13007</v>
      </c>
      <c r="E22" s="36">
        <f>[1]コスト!$X$23</f>
        <v>135</v>
      </c>
      <c r="F22" s="36">
        <f t="shared" si="0"/>
        <v>135</v>
      </c>
      <c r="G22" s="36">
        <f>[1]コスト!$X$115</f>
        <v>19438.499400000001</v>
      </c>
      <c r="H22" s="36">
        <f t="shared" ref="H22" si="49">G22</f>
        <v>19438.499400000001</v>
      </c>
      <c r="I22" s="36">
        <f>[1]コスト!$X$91</f>
        <v>5820.7433999999994</v>
      </c>
      <c r="J22" s="36">
        <f t="shared" ref="J22" si="50">I22</f>
        <v>5820.7433999999994</v>
      </c>
      <c r="K22" s="36">
        <f>[1]コスト!$X$41</f>
        <v>92</v>
      </c>
      <c r="L22" s="36">
        <f t="shared" ref="L22" si="51">K22</f>
        <v>92</v>
      </c>
      <c r="M22" s="9">
        <v>23</v>
      </c>
      <c r="N22" s="9">
        <v>40</v>
      </c>
    </row>
    <row r="23" spans="1:26" ht="45" customHeight="1">
      <c r="A23" s="28">
        <v>44335</v>
      </c>
      <c r="B23" s="38"/>
      <c r="C23" s="36">
        <f>[1]コスト!$Y$147</f>
        <v>12468</v>
      </c>
      <c r="D23" s="36">
        <f t="shared" si="0"/>
        <v>12468</v>
      </c>
      <c r="E23" s="36">
        <f>[1]コスト!$Y$23</f>
        <v>139</v>
      </c>
      <c r="F23" s="36">
        <f t="shared" si="0"/>
        <v>139</v>
      </c>
      <c r="G23" s="36">
        <f>[1]コスト!$Y$115</f>
        <v>8243.4372000000003</v>
      </c>
      <c r="H23" s="36">
        <f t="shared" ref="H23" si="52">G23</f>
        <v>8243.4372000000003</v>
      </c>
      <c r="I23" s="36">
        <f>[1]コスト!$Y$91</f>
        <v>5049.0149999999994</v>
      </c>
      <c r="J23" s="36">
        <f t="shared" ref="J23" si="53">I23</f>
        <v>5049.0149999999994</v>
      </c>
      <c r="K23" s="36">
        <f>[1]コスト!$Y$41</f>
        <v>85</v>
      </c>
      <c r="L23" s="36">
        <f t="shared" ref="L23" si="54">K23</f>
        <v>85</v>
      </c>
      <c r="M23" s="9">
        <v>38</v>
      </c>
      <c r="N23" s="9">
        <v>64</v>
      </c>
    </row>
    <row r="24" spans="1:26" ht="45" customHeight="1">
      <c r="A24" s="28">
        <v>44336</v>
      </c>
      <c r="B24" s="38"/>
      <c r="C24" s="36">
        <f>[1]コスト!$Z$147</f>
        <v>13142</v>
      </c>
      <c r="D24" s="36">
        <f t="shared" si="0"/>
        <v>13142</v>
      </c>
      <c r="E24" s="36">
        <f>[1]コスト!$Z$23</f>
        <v>168</v>
      </c>
      <c r="F24" s="36">
        <f t="shared" si="0"/>
        <v>168</v>
      </c>
      <c r="G24" s="36">
        <f>[1]コスト!$Z$115</f>
        <v>9841.6206000000002</v>
      </c>
      <c r="H24" s="36">
        <f t="shared" ref="H24" si="55">G24</f>
        <v>9841.6206000000002</v>
      </c>
      <c r="I24" s="36">
        <f>[1]コスト!$Z$91</f>
        <v>3267.2057999999997</v>
      </c>
      <c r="J24" s="36">
        <f t="shared" ref="J24" si="56">I24</f>
        <v>3267.2057999999997</v>
      </c>
      <c r="K24" s="36">
        <f>[1]コスト!$Z$41</f>
        <v>98</v>
      </c>
      <c r="L24" s="36">
        <f t="shared" ref="L24" si="57">K24</f>
        <v>98</v>
      </c>
      <c r="M24" s="9">
        <v>34</v>
      </c>
      <c r="N24" s="9">
        <v>56</v>
      </c>
    </row>
    <row r="25" spans="1:26" ht="45" customHeight="1">
      <c r="A25" s="28">
        <v>44337</v>
      </c>
      <c r="B25" s="38"/>
      <c r="C25" s="36">
        <f>[1]コスト!$AA$147</f>
        <v>13069</v>
      </c>
      <c r="D25" s="36">
        <f t="shared" si="0"/>
        <v>13069</v>
      </c>
      <c r="E25" s="36">
        <f>[1]コスト!$AA$23</f>
        <v>171</v>
      </c>
      <c r="F25" s="36">
        <f t="shared" si="0"/>
        <v>171</v>
      </c>
      <c r="G25" s="36">
        <f>[1]コスト!$AA$115</f>
        <v>24858.377399999998</v>
      </c>
      <c r="H25" s="36">
        <f t="shared" ref="H25" si="58">G25</f>
        <v>24858.377399999998</v>
      </c>
      <c r="I25" s="36">
        <f>[1]コスト!$AA$91</f>
        <v>4987.6211999999996</v>
      </c>
      <c r="J25" s="36">
        <f t="shared" ref="J25" si="59">I25</f>
        <v>4987.6211999999996</v>
      </c>
      <c r="K25" s="36">
        <f>[1]コスト!$AA$41</f>
        <v>102</v>
      </c>
      <c r="L25" s="36">
        <f t="shared" ref="L25" si="60">K25</f>
        <v>102</v>
      </c>
      <c r="M25" s="9">
        <v>56</v>
      </c>
      <c r="N25" s="9">
        <v>99</v>
      </c>
    </row>
    <row r="26" spans="1:26" ht="45" customHeight="1">
      <c r="A26" s="28">
        <v>44338</v>
      </c>
      <c r="B26" s="38"/>
      <c r="C26" s="36">
        <f>[1]コスト!$AB$147</f>
        <v>13319</v>
      </c>
      <c r="D26" s="36">
        <f t="shared" si="0"/>
        <v>13319</v>
      </c>
      <c r="E26" s="36">
        <f>[1]コスト!$AB$23</f>
        <v>165</v>
      </c>
      <c r="F26" s="36">
        <f t="shared" si="0"/>
        <v>165</v>
      </c>
      <c r="G26" s="36">
        <f>[1]コスト!$AB$115</f>
        <v>14946.751199999999</v>
      </c>
      <c r="H26" s="36">
        <f t="shared" ref="H26" si="61">G26</f>
        <v>14946.751199999999</v>
      </c>
      <c r="I26" s="36">
        <f>[1]コスト!$AB$91</f>
        <v>4818.4409999999998</v>
      </c>
      <c r="J26" s="36">
        <f t="shared" ref="J26" si="62">I26</f>
        <v>4818.4409999999998</v>
      </c>
      <c r="K26" s="36">
        <f>[1]コスト!$AB$41</f>
        <v>146</v>
      </c>
      <c r="L26" s="36">
        <f t="shared" ref="L26" si="63">K26</f>
        <v>146</v>
      </c>
      <c r="M26" s="9">
        <v>104</v>
      </c>
      <c r="N26" s="9">
        <v>203</v>
      </c>
    </row>
    <row r="27" spans="1:26" ht="45" customHeight="1">
      <c r="A27" s="28">
        <v>44339</v>
      </c>
      <c r="B27" s="38"/>
      <c r="C27" s="36">
        <f>[1]コスト!$AC$147</f>
        <v>13773</v>
      </c>
      <c r="D27" s="36">
        <f t="shared" si="0"/>
        <v>13773</v>
      </c>
      <c r="E27" s="36">
        <f>[1]コスト!$AC$23</f>
        <v>170</v>
      </c>
      <c r="F27" s="36">
        <f t="shared" si="0"/>
        <v>170</v>
      </c>
      <c r="G27" s="36">
        <f>[1]コスト!$AC$115</f>
        <v>13451.075999999999</v>
      </c>
      <c r="H27" s="36">
        <f t="shared" ref="H27" si="64">G27</f>
        <v>13451.075999999999</v>
      </c>
      <c r="I27" s="36">
        <f>[1]コスト!$AC$91</f>
        <v>3931.7033999999999</v>
      </c>
      <c r="J27" s="36">
        <f t="shared" ref="J27" si="65">I27</f>
        <v>3931.7033999999999</v>
      </c>
      <c r="K27" s="36">
        <f>[1]コスト!$AC$41</f>
        <v>156</v>
      </c>
      <c r="L27" s="36">
        <f t="shared" ref="L27" si="66">K27</f>
        <v>156</v>
      </c>
      <c r="M27" s="9">
        <v>47</v>
      </c>
      <c r="N27" s="9">
        <v>81</v>
      </c>
    </row>
    <row r="28" spans="1:26" ht="45" customHeight="1">
      <c r="A28" s="28">
        <v>44340</v>
      </c>
      <c r="B28" s="38"/>
      <c r="C28" s="36">
        <f>[1]コスト!$AD$147</f>
        <v>12620</v>
      </c>
      <c r="D28" s="36">
        <f t="shared" si="0"/>
        <v>12620</v>
      </c>
      <c r="E28" s="36">
        <f>[1]コスト!$AD$23</f>
        <v>144</v>
      </c>
      <c r="F28" s="36">
        <f t="shared" si="0"/>
        <v>144</v>
      </c>
      <c r="G28" s="36">
        <f>[1]コスト!$AD$115</f>
        <v>14343.9252</v>
      </c>
      <c r="H28" s="36">
        <f t="shared" ref="H28" si="67">G28</f>
        <v>14343.9252</v>
      </c>
      <c r="I28" s="36">
        <f>[1]コスト!$AD$91</f>
        <v>3148.3073999999997</v>
      </c>
      <c r="J28" s="36">
        <f t="shared" ref="J28" si="68">I28</f>
        <v>3148.3073999999997</v>
      </c>
      <c r="K28" s="36">
        <f>[1]コスト!$AD$41</f>
        <v>103</v>
      </c>
      <c r="L28" s="36">
        <f t="shared" ref="L28" si="69">K28</f>
        <v>103</v>
      </c>
      <c r="M28" s="9">
        <v>40</v>
      </c>
      <c r="N28" s="9">
        <v>68</v>
      </c>
    </row>
    <row r="29" spans="1:26" ht="45" customHeight="1">
      <c r="A29" s="28">
        <v>44341</v>
      </c>
      <c r="B29" s="38"/>
      <c r="C29" s="36">
        <f>[1]コスト!$AE$147</f>
        <v>12740</v>
      </c>
      <c r="D29" s="36">
        <f t="shared" si="0"/>
        <v>12740</v>
      </c>
      <c r="E29" s="36">
        <f>[1]コスト!$AE$23</f>
        <v>146</v>
      </c>
      <c r="F29" s="36">
        <f t="shared" si="0"/>
        <v>146</v>
      </c>
      <c r="G29" s="36">
        <f>[1]コスト!$AE$115</f>
        <v>14957.0298</v>
      </c>
      <c r="H29" s="36">
        <f t="shared" ref="H29" si="70">G29</f>
        <v>14957.0298</v>
      </c>
      <c r="I29" s="36">
        <f>[1]コスト!$AE$91</f>
        <v>2936.9015999999997</v>
      </c>
      <c r="J29" s="36">
        <f t="shared" ref="J29" si="71">I29</f>
        <v>2936.9015999999997</v>
      </c>
      <c r="K29" s="36">
        <f>[1]コスト!$AE$41</f>
        <v>100</v>
      </c>
      <c r="L29" s="36">
        <f t="shared" ref="L29" si="72">K29</f>
        <v>100</v>
      </c>
      <c r="M29" s="9">
        <v>30</v>
      </c>
      <c r="N29" s="9">
        <v>53</v>
      </c>
    </row>
    <row r="30" spans="1:26" ht="45" customHeight="1">
      <c r="A30" s="28">
        <v>44342</v>
      </c>
      <c r="B30" s="38"/>
      <c r="C30" s="36">
        <f>[1]コスト!$AF$147</f>
        <v>12488</v>
      </c>
      <c r="D30" s="36">
        <f t="shared" si="0"/>
        <v>12488</v>
      </c>
      <c r="E30" s="36">
        <f>[1]コスト!$AF$23</f>
        <v>134</v>
      </c>
      <c r="F30" s="36">
        <f t="shared" si="0"/>
        <v>134</v>
      </c>
      <c r="G30" s="36">
        <f>[1]コスト!$AF$115</f>
        <v>10928.0964</v>
      </c>
      <c r="H30" s="36">
        <f t="shared" ref="H30" si="73">G30</f>
        <v>10928.0964</v>
      </c>
      <c r="I30" s="36">
        <f>[1]コスト!$AF$91</f>
        <v>2365.1891999999998</v>
      </c>
      <c r="J30" s="36">
        <f t="shared" ref="J30" si="74">I30</f>
        <v>2365.1891999999998</v>
      </c>
      <c r="K30" s="36">
        <f>[1]コスト!$AF$41</f>
        <v>90</v>
      </c>
      <c r="L30" s="36">
        <f t="shared" ref="L30" si="75">K30</f>
        <v>90</v>
      </c>
      <c r="M30" s="9">
        <v>41</v>
      </c>
      <c r="N30" s="9">
        <v>71</v>
      </c>
    </row>
    <row r="31" spans="1:26" ht="45" customHeight="1">
      <c r="A31" s="28">
        <v>44343</v>
      </c>
      <c r="B31" s="38"/>
      <c r="C31" s="36">
        <f>[1]コスト!$AG$147</f>
        <v>12671</v>
      </c>
      <c r="D31" s="36">
        <f t="shared" si="0"/>
        <v>12671</v>
      </c>
      <c r="E31" s="36">
        <f>[1]コスト!$AG$23</f>
        <v>154</v>
      </c>
      <c r="F31" s="36">
        <f t="shared" si="0"/>
        <v>154</v>
      </c>
      <c r="G31" s="36">
        <f>[1]コスト!$AG$115</f>
        <v>10061.638199999999</v>
      </c>
      <c r="H31" s="36">
        <f t="shared" ref="H31" si="76">G31</f>
        <v>10061.638199999999</v>
      </c>
      <c r="I31" s="36">
        <f>[1]コスト!$AG$91</f>
        <v>5256.5316000000003</v>
      </c>
      <c r="J31" s="36">
        <f t="shared" ref="J31" si="77">I31</f>
        <v>5256.5316000000003</v>
      </c>
      <c r="K31" s="36">
        <f>[1]コスト!$AG$41</f>
        <v>125</v>
      </c>
      <c r="L31" s="36">
        <f t="shared" ref="L31" si="78">K31</f>
        <v>125</v>
      </c>
      <c r="M31" s="9">
        <v>48</v>
      </c>
      <c r="N31" s="9">
        <v>84</v>
      </c>
    </row>
    <row r="32" spans="1:26" ht="45" customHeight="1">
      <c r="A32" s="28">
        <v>44344</v>
      </c>
      <c r="B32" s="38"/>
      <c r="C32" s="36">
        <f>[1]コスト!$AH$147</f>
        <v>12928</v>
      </c>
      <c r="D32" s="36">
        <f t="shared" si="0"/>
        <v>12928</v>
      </c>
      <c r="E32" s="36">
        <f>[1]コスト!$AH$23</f>
        <v>176</v>
      </c>
      <c r="F32" s="36">
        <f t="shared" si="0"/>
        <v>176</v>
      </c>
      <c r="G32" s="36">
        <f>[1]コスト!$AH$115</f>
        <v>13793.6034</v>
      </c>
      <c r="H32" s="36">
        <f t="shared" ref="H32" si="79">G32</f>
        <v>13793.6034</v>
      </c>
      <c r="I32" s="36">
        <f>[1]コスト!$AH$91</f>
        <v>3696.6846</v>
      </c>
      <c r="J32" s="36">
        <f t="shared" ref="J32" si="80">I32</f>
        <v>3696.6846</v>
      </c>
      <c r="K32" s="36">
        <f>[1]コスト!$AH$41</f>
        <v>131</v>
      </c>
      <c r="L32" s="36">
        <f t="shared" ref="L32" si="81">K32</f>
        <v>131</v>
      </c>
      <c r="M32" s="9">
        <v>66</v>
      </c>
      <c r="N32" s="9">
        <v>128</v>
      </c>
    </row>
    <row r="33" spans="1:14" ht="36" customHeight="1">
      <c r="A33" s="28">
        <v>44345</v>
      </c>
      <c r="C33" s="36">
        <f>[1]コスト!$AI$147</f>
        <v>14057</v>
      </c>
      <c r="D33" s="36">
        <f t="shared" si="0"/>
        <v>14057</v>
      </c>
      <c r="E33" s="36">
        <f>[1]コスト!$AI$23</f>
        <v>182</v>
      </c>
      <c r="F33" s="36">
        <f t="shared" si="0"/>
        <v>182</v>
      </c>
      <c r="G33" s="36">
        <f>[1]コスト!$AI$115</f>
        <v>18432.03</v>
      </c>
      <c r="H33" s="36">
        <f t="shared" ref="H33" si="82">G33</f>
        <v>18432.03</v>
      </c>
      <c r="I33" s="36">
        <f>[1]コスト!$AI$91</f>
        <v>3278.5956000000001</v>
      </c>
      <c r="J33" s="36">
        <f t="shared" ref="J33" si="83">I33</f>
        <v>3278.5956000000001</v>
      </c>
      <c r="K33" s="36">
        <f>[1]コスト!$AI$41</f>
        <v>162</v>
      </c>
      <c r="L33" s="36">
        <f t="shared" ref="L33" si="84">K33</f>
        <v>162</v>
      </c>
      <c r="M33" s="9">
        <v>113</v>
      </c>
      <c r="N33" s="9">
        <v>237</v>
      </c>
    </row>
    <row r="34" spans="1:14" ht="45.6" customHeight="1">
      <c r="A34" s="28">
        <v>44346</v>
      </c>
      <c r="C34" s="36">
        <f>[1]コスト!$AJ$147</f>
        <v>13488</v>
      </c>
      <c r="D34" s="36">
        <f t="shared" si="0"/>
        <v>13488</v>
      </c>
      <c r="E34" s="36">
        <f>[1]コスト!$AJ$23</f>
        <v>169</v>
      </c>
      <c r="F34" s="36">
        <f t="shared" si="0"/>
        <v>169</v>
      </c>
      <c r="G34" s="36">
        <f>[1]コスト!$AJ$115</f>
        <v>15406.232399999999</v>
      </c>
      <c r="H34" s="36">
        <f t="shared" ref="H34" si="85">G34</f>
        <v>15406.232399999999</v>
      </c>
      <c r="I34" s="36">
        <f>[1]コスト!$AJ$91</f>
        <v>3500.2799999999997</v>
      </c>
      <c r="J34" s="36">
        <f t="shared" ref="J34" si="86">I34</f>
        <v>3500.2799999999997</v>
      </c>
      <c r="K34" s="36">
        <f>[1]コスト!$AJ$41</f>
        <v>160</v>
      </c>
      <c r="L34" s="36">
        <f t="shared" ref="L34" si="87">K34</f>
        <v>160</v>
      </c>
      <c r="M34" s="9">
        <v>51</v>
      </c>
      <c r="N34" s="9">
        <v>96</v>
      </c>
    </row>
    <row r="35" spans="1:14" ht="47.45" customHeight="1">
      <c r="A35" s="28">
        <v>44347</v>
      </c>
      <c r="C35" s="36">
        <f>[1]コスト!$AK$147</f>
        <v>12398</v>
      </c>
      <c r="D35" s="36">
        <f t="shared" si="0"/>
        <v>12398</v>
      </c>
      <c r="E35" s="36">
        <f>[1]コスト!$AK$23</f>
        <v>137</v>
      </c>
      <c r="F35" s="36">
        <f t="shared" si="0"/>
        <v>137</v>
      </c>
      <c r="G35" s="36">
        <f>[1]コスト!$AK$115</f>
        <v>11982.347399999999</v>
      </c>
      <c r="H35" s="36">
        <f t="shared" ref="H35" si="88">G35</f>
        <v>11982.347399999999</v>
      </c>
      <c r="I35" s="36">
        <f>[1]コスト!$AK$91</f>
        <v>2725.2179999999998</v>
      </c>
      <c r="J35" s="36">
        <f t="shared" ref="J35" si="89">I35</f>
        <v>2725.2179999999998</v>
      </c>
      <c r="K35" s="36">
        <f>[1]コスト!$AK$41</f>
        <v>122</v>
      </c>
      <c r="L35" s="36">
        <f t="shared" ref="L35" si="90">K35</f>
        <v>122</v>
      </c>
      <c r="M35" s="9">
        <v>39</v>
      </c>
      <c r="N35" s="9">
        <v>71</v>
      </c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2022-02-10T01:57:48Z</dcterms:modified>
</cp:coreProperties>
</file>