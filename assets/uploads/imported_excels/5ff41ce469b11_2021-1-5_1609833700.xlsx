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3" l="1"/>
  <c r="H9" i="3" l="1"/>
  <c r="H10" i="3"/>
  <c r="H11" i="3"/>
  <c r="Z39" i="3" l="1"/>
  <c r="K32" i="1" l="1"/>
  <c r="B32" i="1"/>
  <c r="K31" i="2"/>
  <c r="K32" i="2"/>
  <c r="B31" i="2"/>
  <c r="B32" i="2"/>
  <c r="K6" i="1" l="1"/>
  <c r="K10" i="1"/>
  <c r="K14" i="1"/>
  <c r="K22" i="1"/>
  <c r="K3" i="2"/>
  <c r="K3" i="1" s="1"/>
  <c r="K4" i="2"/>
  <c r="K4" i="1" s="1"/>
  <c r="K5" i="2"/>
  <c r="K5" i="1" s="1"/>
  <c r="K6" i="2"/>
  <c r="K7" i="2"/>
  <c r="K7" i="1" s="1"/>
  <c r="K8" i="2"/>
  <c r="K8" i="1" s="1"/>
  <c r="K9" i="2"/>
  <c r="K9" i="1" s="1"/>
  <c r="K10" i="2"/>
  <c r="K11" i="2"/>
  <c r="K11" i="1" s="1"/>
  <c r="K12" i="2"/>
  <c r="K12" i="1" s="1"/>
  <c r="K13" i="2"/>
  <c r="K13" i="1" s="1"/>
  <c r="K14" i="2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30" i="2"/>
  <c r="K30" i="1" s="1"/>
  <c r="K31" i="1"/>
  <c r="K2" i="2"/>
  <c r="K2" i="1" s="1"/>
  <c r="Y40" i="3" l="1"/>
  <c r="U39" i="3"/>
  <c r="P39" i="3"/>
  <c r="I32" i="2" s="1"/>
  <c r="N39" i="3"/>
  <c r="H32" i="2" s="1"/>
  <c r="G32" i="1" s="1"/>
  <c r="H39" i="3"/>
  <c r="G32" i="2" s="1"/>
  <c r="F39" i="3"/>
  <c r="F32" i="2" s="1"/>
  <c r="D39" i="3"/>
  <c r="E32" i="2" s="1"/>
  <c r="V39" i="3" l="1"/>
  <c r="J32" i="2"/>
  <c r="I32" i="1" s="1"/>
  <c r="E32" i="1"/>
  <c r="R39" i="3"/>
  <c r="I39" i="3"/>
  <c r="K39" i="3" s="1"/>
  <c r="Q39" i="3"/>
  <c r="X39" i="3" l="1"/>
  <c r="U38" i="3"/>
  <c r="J31" i="2" s="1"/>
  <c r="P38" i="3"/>
  <c r="I31" i="2" s="1"/>
  <c r="N38" i="3"/>
  <c r="H38" i="3"/>
  <c r="G31" i="2" s="1"/>
  <c r="F38" i="3"/>
  <c r="F31" i="2" s="1"/>
  <c r="D38" i="3"/>
  <c r="E31" i="2" s="1"/>
  <c r="U37" i="3"/>
  <c r="J30" i="2" s="1"/>
  <c r="I30" i="1" s="1"/>
  <c r="P37" i="3"/>
  <c r="I30" i="2" s="1"/>
  <c r="N37" i="3"/>
  <c r="H30" i="2" s="1"/>
  <c r="G30" i="1" s="1"/>
  <c r="H37" i="3"/>
  <c r="G30" i="2" s="1"/>
  <c r="F37" i="3"/>
  <c r="F30" i="2" s="1"/>
  <c r="D37" i="3"/>
  <c r="E30" i="2" s="1"/>
  <c r="U36" i="3"/>
  <c r="J29" i="2" s="1"/>
  <c r="I29" i="1" s="1"/>
  <c r="P36" i="3"/>
  <c r="I29" i="2" s="1"/>
  <c r="N36" i="3"/>
  <c r="H29" i="2" s="1"/>
  <c r="G29" i="1" s="1"/>
  <c r="H36" i="3"/>
  <c r="G29" i="2" s="1"/>
  <c r="F36" i="3"/>
  <c r="F29" i="2" s="1"/>
  <c r="D36" i="3"/>
  <c r="E29" i="2" s="1"/>
  <c r="U35" i="3"/>
  <c r="J28" i="2" s="1"/>
  <c r="I28" i="1" s="1"/>
  <c r="P35" i="3"/>
  <c r="I28" i="2" s="1"/>
  <c r="N35" i="3"/>
  <c r="H28" i="2" s="1"/>
  <c r="G28" i="1" s="1"/>
  <c r="H35" i="3"/>
  <c r="G28" i="2" s="1"/>
  <c r="F35" i="3"/>
  <c r="F28" i="2" s="1"/>
  <c r="D35" i="3"/>
  <c r="E28" i="2" s="1"/>
  <c r="U34" i="3"/>
  <c r="P34" i="3"/>
  <c r="I27" i="2" s="1"/>
  <c r="N34" i="3"/>
  <c r="H27" i="2" s="1"/>
  <c r="G27" i="1" s="1"/>
  <c r="H34" i="3"/>
  <c r="G27" i="2" s="1"/>
  <c r="F34" i="3"/>
  <c r="F27" i="2" s="1"/>
  <c r="D34" i="3"/>
  <c r="E27" i="2" s="1"/>
  <c r="U33" i="3"/>
  <c r="J26" i="2" s="1"/>
  <c r="I26" i="1" s="1"/>
  <c r="P33" i="3"/>
  <c r="I26" i="2" s="1"/>
  <c r="N33" i="3"/>
  <c r="H26" i="2" s="1"/>
  <c r="G26" i="1" s="1"/>
  <c r="H33" i="3"/>
  <c r="G26" i="2" s="1"/>
  <c r="F33" i="3"/>
  <c r="F26" i="2" s="1"/>
  <c r="D33" i="3"/>
  <c r="E26" i="2" s="1"/>
  <c r="U32" i="3"/>
  <c r="P32" i="3"/>
  <c r="I25" i="2" s="1"/>
  <c r="N32" i="3"/>
  <c r="H25" i="2" s="1"/>
  <c r="G25" i="1" s="1"/>
  <c r="H32" i="3"/>
  <c r="G25" i="2" s="1"/>
  <c r="F32" i="3"/>
  <c r="F25" i="2" s="1"/>
  <c r="D32" i="3"/>
  <c r="E25" i="2" s="1"/>
  <c r="U31" i="3"/>
  <c r="P31" i="3"/>
  <c r="I24" i="2" s="1"/>
  <c r="N31" i="3"/>
  <c r="H24" i="2" s="1"/>
  <c r="G24" i="1" s="1"/>
  <c r="H31" i="3"/>
  <c r="G24" i="2" s="1"/>
  <c r="F31" i="3"/>
  <c r="F24" i="2" s="1"/>
  <c r="D31" i="3"/>
  <c r="E24" i="2" s="1"/>
  <c r="U30" i="3"/>
  <c r="J23" i="2" s="1"/>
  <c r="I23" i="1" s="1"/>
  <c r="P30" i="3"/>
  <c r="I23" i="2" s="1"/>
  <c r="N30" i="3"/>
  <c r="H23" i="2" s="1"/>
  <c r="G23" i="1" s="1"/>
  <c r="H30" i="3"/>
  <c r="G23" i="2" s="1"/>
  <c r="F30" i="3"/>
  <c r="F23" i="2" s="1"/>
  <c r="D30" i="3"/>
  <c r="E23" i="2" s="1"/>
  <c r="U29" i="3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G21" i="1" s="1"/>
  <c r="H28" i="3"/>
  <c r="G21" i="2" s="1"/>
  <c r="F28" i="3"/>
  <c r="F21" i="2" s="1"/>
  <c r="D28" i="3"/>
  <c r="E21" i="2" s="1"/>
  <c r="U27" i="3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G19" i="1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G18" i="1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G17" i="1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G16" i="1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G15" i="1" s="1"/>
  <c r="H22" i="3"/>
  <c r="G15" i="2" s="1"/>
  <c r="F22" i="3"/>
  <c r="F15" i="2" s="1"/>
  <c r="D22" i="3"/>
  <c r="E15" i="2" s="1"/>
  <c r="U21" i="3"/>
  <c r="P21" i="3"/>
  <c r="I14" i="2" s="1"/>
  <c r="N21" i="3"/>
  <c r="H14" i="2" s="1"/>
  <c r="G14" i="1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G13" i="1" s="1"/>
  <c r="H20" i="3"/>
  <c r="G13" i="2" s="1"/>
  <c r="F20" i="3"/>
  <c r="F13" i="2" s="1"/>
  <c r="D20" i="3"/>
  <c r="E13" i="2" s="1"/>
  <c r="U19" i="3"/>
  <c r="J12" i="2" s="1"/>
  <c r="I12" i="1" s="1"/>
  <c r="P19" i="3"/>
  <c r="I12" i="2" s="1"/>
  <c r="N19" i="3"/>
  <c r="H12" i="2" s="1"/>
  <c r="G12" i="1" s="1"/>
  <c r="H19" i="3"/>
  <c r="G12" i="2" s="1"/>
  <c r="F19" i="3"/>
  <c r="F12" i="2" s="1"/>
  <c r="D19" i="3"/>
  <c r="E12" i="2" s="1"/>
  <c r="U18" i="3"/>
  <c r="J11" i="2" s="1"/>
  <c r="I11" i="1" s="1"/>
  <c r="P18" i="3"/>
  <c r="I11" i="2" s="1"/>
  <c r="N18" i="3"/>
  <c r="H11" i="2" s="1"/>
  <c r="G11" i="1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J10" i="2" s="1"/>
  <c r="I10" i="1" s="1"/>
  <c r="P17" i="3"/>
  <c r="I10" i="2" s="1"/>
  <c r="N17" i="3"/>
  <c r="H10" i="2" s="1"/>
  <c r="H17" i="3"/>
  <c r="G10" i="2" s="1"/>
  <c r="F17" i="3"/>
  <c r="F10" i="2" s="1"/>
  <c r="D17" i="3"/>
  <c r="E10" i="2" s="1"/>
  <c r="U16" i="3"/>
  <c r="J9" i="2" s="1"/>
  <c r="I9" i="1" s="1"/>
  <c r="P16" i="3"/>
  <c r="I9" i="2" s="1"/>
  <c r="N16" i="3"/>
  <c r="H9" i="2" s="1"/>
  <c r="H16" i="3"/>
  <c r="G9" i="2" s="1"/>
  <c r="F16" i="3"/>
  <c r="F9" i="2" s="1"/>
  <c r="D16" i="3"/>
  <c r="E9" i="2" s="1"/>
  <c r="U15" i="3"/>
  <c r="J8" i="2" s="1"/>
  <c r="I8" i="1" s="1"/>
  <c r="P15" i="3"/>
  <c r="I8" i="2" s="1"/>
  <c r="N15" i="3"/>
  <c r="H8" i="2" s="1"/>
  <c r="H15" i="3"/>
  <c r="G8" i="2" s="1"/>
  <c r="F15" i="3"/>
  <c r="F8" i="2" s="1"/>
  <c r="D15" i="3"/>
  <c r="E8" i="2" s="1"/>
  <c r="U14" i="3"/>
  <c r="J7" i="2" s="1"/>
  <c r="I7" i="1" s="1"/>
  <c r="P14" i="3"/>
  <c r="I7" i="2" s="1"/>
  <c r="N14" i="3"/>
  <c r="H7" i="2" s="1"/>
  <c r="H14" i="3"/>
  <c r="G7" i="2" s="1"/>
  <c r="F14" i="3"/>
  <c r="F7" i="2" s="1"/>
  <c r="D14" i="3"/>
  <c r="E7" i="2" s="1"/>
  <c r="U13" i="3"/>
  <c r="J6" i="2" s="1"/>
  <c r="I6" i="1" s="1"/>
  <c r="P13" i="3"/>
  <c r="I6" i="2" s="1"/>
  <c r="N13" i="3"/>
  <c r="H6" i="2" s="1"/>
  <c r="H13" i="3"/>
  <c r="G6" i="2" s="1"/>
  <c r="F13" i="3"/>
  <c r="F6" i="2" s="1"/>
  <c r="D13" i="3"/>
  <c r="E6" i="2" s="1"/>
  <c r="U12" i="3"/>
  <c r="J5" i="2" s="1"/>
  <c r="I5" i="1" s="1"/>
  <c r="P12" i="3"/>
  <c r="I5" i="2" s="1"/>
  <c r="N12" i="3"/>
  <c r="H5" i="2" s="1"/>
  <c r="H12" i="3"/>
  <c r="G5" i="2" s="1"/>
  <c r="F12" i="3"/>
  <c r="F5" i="2" s="1"/>
  <c r="D12" i="3"/>
  <c r="E5" i="2" s="1"/>
  <c r="U11" i="3"/>
  <c r="J4" i="2" s="1"/>
  <c r="I4" i="1" s="1"/>
  <c r="P11" i="3"/>
  <c r="I4" i="2" s="1"/>
  <c r="N11" i="3"/>
  <c r="H4" i="2" s="1"/>
  <c r="G4" i="2"/>
  <c r="F11" i="3"/>
  <c r="F4" i="2" s="1"/>
  <c r="D11" i="3"/>
  <c r="E4" i="2" s="1"/>
  <c r="U10" i="3"/>
  <c r="J3" i="2" s="1"/>
  <c r="I3" i="1" s="1"/>
  <c r="P10" i="3"/>
  <c r="I3" i="2" s="1"/>
  <c r="N10" i="3"/>
  <c r="H3" i="2" s="1"/>
  <c r="G3" i="2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G2" i="2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1" i="2" l="1"/>
  <c r="G31" i="1" s="1"/>
  <c r="E3" i="1"/>
  <c r="E5" i="1"/>
  <c r="E7" i="1"/>
  <c r="E9" i="1"/>
  <c r="V21" i="3"/>
  <c r="J14" i="2"/>
  <c r="I14" i="1" s="1"/>
  <c r="E2" i="1"/>
  <c r="G4" i="1"/>
  <c r="G6" i="1"/>
  <c r="G8" i="1"/>
  <c r="G10" i="1"/>
  <c r="E11" i="1"/>
  <c r="E13" i="1"/>
  <c r="E15" i="1"/>
  <c r="E17" i="1"/>
  <c r="E19" i="1"/>
  <c r="E21" i="1"/>
  <c r="E4" i="1"/>
  <c r="E6" i="1"/>
  <c r="E8" i="1"/>
  <c r="E10" i="1"/>
  <c r="V27" i="3"/>
  <c r="J20" i="2"/>
  <c r="I20" i="1" s="1"/>
  <c r="G3" i="1"/>
  <c r="G5" i="1"/>
  <c r="G7" i="1"/>
  <c r="G9" i="1"/>
  <c r="E12" i="1"/>
  <c r="E14" i="1"/>
  <c r="E16" i="1"/>
  <c r="E18" i="1"/>
  <c r="E20" i="1"/>
  <c r="G2" i="1"/>
  <c r="V32" i="3"/>
  <c r="J25" i="2"/>
  <c r="I25" i="1" s="1"/>
  <c r="V34" i="3"/>
  <c r="J27" i="2"/>
  <c r="I27" i="1" s="1"/>
  <c r="V38" i="3"/>
  <c r="I31" i="1"/>
  <c r="V29" i="3"/>
  <c r="J22" i="2"/>
  <c r="I22" i="1" s="1"/>
  <c r="V31" i="3"/>
  <c r="J24" i="2"/>
  <c r="I24" i="1" s="1"/>
  <c r="E23" i="1"/>
  <c r="E25" i="1"/>
  <c r="E27" i="1"/>
  <c r="E29" i="1"/>
  <c r="E31" i="1"/>
  <c r="E22" i="1"/>
  <c r="E24" i="1"/>
  <c r="E26" i="1"/>
  <c r="E28" i="1"/>
  <c r="E30" i="1"/>
  <c r="C40" i="3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I10" i="3"/>
  <c r="K10" i="3" s="1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I35" i="3"/>
  <c r="K35" i="3" s="1"/>
  <c r="I34" i="3"/>
  <c r="K34" i="3" s="1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I27" i="3"/>
  <c r="K27" i="3" s="1"/>
  <c r="Q10" i="3"/>
  <c r="Q12" i="3"/>
  <c r="Q14" i="3"/>
  <c r="R19" i="3"/>
  <c r="I11" i="3"/>
  <c r="K11" i="3" s="1"/>
  <c r="I15" i="3"/>
  <c r="K15" i="3" s="1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J6" i="3"/>
  <c r="M40" i="3"/>
  <c r="Q9" i="3"/>
  <c r="Q17" i="3"/>
  <c r="I20" i="3"/>
  <c r="K20" i="3" s="1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<sst xmlns="http://schemas.openxmlformats.org/spreadsheetml/2006/main" count="310" uniqueCount="123">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</sst>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2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31" sqref="M31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12</v>
      </c>
      <c r="D2" s="7">
        <v>2020</v>
      </c>
      <c r="E2" s="9">
        <f>submetering!E2+submetering!F2+submetering!G2</f>
        <v>7626</v>
      </c>
      <c r="F2" s="7">
        <v>0.251</v>
      </c>
      <c r="G2" s="9">
        <f>submetering!H2+submetering!I2</f>
        <v>1289</v>
      </c>
      <c r="H2" s="7">
        <v>0.57181599999999999</v>
      </c>
      <c r="I2" s="9">
        <f>submetering!J2</f>
        <v>130</v>
      </c>
      <c r="J2" s="7">
        <v>2.855</v>
      </c>
      <c r="K2" s="9">
        <f>submetering!K2</f>
        <v>36</v>
      </c>
    </row>
    <row r="3" spans="1:11" s="12" customFormat="1" x14ac:dyDescent="0.25">
      <c r="A3" s="7" t="s">
        <v>11</v>
      </c>
      <c r="B3" s="11">
        <f>B2+1</f>
        <v>2</v>
      </c>
      <c r="C3" s="8">
        <v>12</v>
      </c>
      <c r="D3" s="7">
        <v>2020</v>
      </c>
      <c r="E3" s="9">
        <f>submetering!E3+submetering!F3+submetering!G3</f>
        <v>6726</v>
      </c>
      <c r="F3" s="7">
        <v>0.251</v>
      </c>
      <c r="G3" s="9">
        <f>submetering!H3+submetering!I3</f>
        <v>1281</v>
      </c>
      <c r="H3" s="7">
        <v>0.57181599999999999</v>
      </c>
      <c r="I3" s="9">
        <f>submetering!J3</f>
        <v>124</v>
      </c>
      <c r="J3" s="7">
        <v>2.855</v>
      </c>
      <c r="K3" s="9">
        <f>submetering!K3</f>
        <v>27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12</v>
      </c>
      <c r="D4" s="7">
        <v>2020</v>
      </c>
      <c r="E4" s="9">
        <f>submetering!E4+submetering!F4+submetering!G4</f>
        <v>6159</v>
      </c>
      <c r="F4" s="7">
        <v>0.251</v>
      </c>
      <c r="G4" s="9">
        <f>submetering!H4+submetering!I4</f>
        <v>1268</v>
      </c>
      <c r="H4" s="7">
        <v>0.57181599999999999</v>
      </c>
      <c r="I4" s="9">
        <f>submetering!J4</f>
        <v>125</v>
      </c>
      <c r="J4" s="7">
        <v>2.855</v>
      </c>
      <c r="K4" s="9">
        <f>submetering!K4</f>
        <v>28</v>
      </c>
    </row>
    <row r="5" spans="1:11" s="12" customFormat="1" x14ac:dyDescent="0.25">
      <c r="A5" s="7" t="s">
        <v>11</v>
      </c>
      <c r="B5" s="11">
        <f t="shared" si="0"/>
        <v>4</v>
      </c>
      <c r="C5" s="8">
        <v>12</v>
      </c>
      <c r="D5" s="7">
        <v>2020</v>
      </c>
      <c r="E5" s="9">
        <f>submetering!E5+submetering!F5+submetering!G5</f>
        <v>6358</v>
      </c>
      <c r="F5" s="7">
        <v>0.251</v>
      </c>
      <c r="G5" s="9">
        <f>submetering!H5+submetering!I5</f>
        <v>1551</v>
      </c>
      <c r="H5" s="7">
        <v>0.57181599999999999</v>
      </c>
      <c r="I5" s="9">
        <f>submetering!J5</f>
        <v>241</v>
      </c>
      <c r="J5" s="7">
        <v>2.855</v>
      </c>
      <c r="K5" s="9">
        <f>submetering!K5</f>
        <v>30</v>
      </c>
    </row>
    <row r="6" spans="1:11" s="12" customFormat="1" x14ac:dyDescent="0.25">
      <c r="A6" s="7" t="s">
        <v>11</v>
      </c>
      <c r="B6" s="11">
        <f t="shared" si="0"/>
        <v>5</v>
      </c>
      <c r="C6" s="8">
        <v>12</v>
      </c>
      <c r="D6" s="7">
        <v>2020</v>
      </c>
      <c r="E6" s="9">
        <f>submetering!E6+submetering!F6+submetering!G6</f>
        <v>5968</v>
      </c>
      <c r="F6" s="7">
        <v>0.251</v>
      </c>
      <c r="G6" s="9">
        <f>submetering!H6+submetering!I6</f>
        <v>1531</v>
      </c>
      <c r="H6" s="7">
        <v>0.57181599999999999</v>
      </c>
      <c r="I6" s="9">
        <f>submetering!J6</f>
        <v>217</v>
      </c>
      <c r="J6" s="7">
        <v>2.855</v>
      </c>
      <c r="K6" s="9">
        <f>submetering!K6</f>
        <v>29</v>
      </c>
    </row>
    <row r="7" spans="1:11" s="12" customFormat="1" x14ac:dyDescent="0.25">
      <c r="A7" s="7" t="s">
        <v>11</v>
      </c>
      <c r="B7" s="11">
        <f t="shared" si="0"/>
        <v>6</v>
      </c>
      <c r="C7" s="8">
        <v>12</v>
      </c>
      <c r="D7" s="7">
        <v>2020</v>
      </c>
      <c r="E7" s="9">
        <f>submetering!E7+submetering!F7+submetering!G7</f>
        <v>6003</v>
      </c>
      <c r="F7" s="7">
        <v>0.251</v>
      </c>
      <c r="G7" s="9">
        <f>submetering!H7+submetering!I7</f>
        <v>1533</v>
      </c>
      <c r="H7" s="7">
        <v>0.57181599999999999</v>
      </c>
      <c r="I7" s="9">
        <f>submetering!J7</f>
        <v>137</v>
      </c>
      <c r="J7" s="7">
        <v>2.855</v>
      </c>
      <c r="K7" s="9">
        <f>submetering!K7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12</v>
      </c>
      <c r="D8" s="7">
        <v>2020</v>
      </c>
      <c r="E8" s="9">
        <f>submetering!E8+submetering!F8+submetering!G8</f>
        <v>5969</v>
      </c>
      <c r="F8" s="7">
        <v>0.251</v>
      </c>
      <c r="G8" s="9">
        <f>submetering!H8+submetering!I8</f>
        <v>1489</v>
      </c>
      <c r="H8" s="7">
        <v>0.57181599999999999</v>
      </c>
      <c r="I8" s="9">
        <f>submetering!J8</f>
        <v>115</v>
      </c>
      <c r="J8" s="7">
        <v>2.855</v>
      </c>
      <c r="K8" s="9">
        <f>submetering!K8</f>
        <v>24</v>
      </c>
    </row>
    <row r="9" spans="1:11" s="12" customFormat="1" x14ac:dyDescent="0.25">
      <c r="A9" s="7" t="s">
        <v>11</v>
      </c>
      <c r="B9" s="11">
        <f t="shared" si="0"/>
        <v>8</v>
      </c>
      <c r="C9" s="8">
        <v>12</v>
      </c>
      <c r="D9" s="7">
        <v>2020</v>
      </c>
      <c r="E9" s="9">
        <f>submetering!E9+submetering!F9+submetering!G9</f>
        <v>6515</v>
      </c>
      <c r="F9" s="7">
        <v>0.251</v>
      </c>
      <c r="G9" s="9">
        <f>submetering!H9+submetering!I9</f>
        <v>1599</v>
      </c>
      <c r="H9" s="7">
        <v>0.57181599999999999</v>
      </c>
      <c r="I9" s="9">
        <f>submetering!J9</f>
        <v>142</v>
      </c>
      <c r="J9" s="7">
        <v>2.855</v>
      </c>
      <c r="K9" s="9">
        <f>submetering!K9</f>
        <v>32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12</v>
      </c>
      <c r="D10" s="7">
        <v>2020</v>
      </c>
      <c r="E10" s="9">
        <f>submetering!E10+submetering!F10+submetering!G10</f>
        <v>6580</v>
      </c>
      <c r="F10" s="7">
        <v>0.251</v>
      </c>
      <c r="G10" s="9">
        <f>submetering!H10+submetering!I10</f>
        <v>1588</v>
      </c>
      <c r="H10" s="7">
        <v>0.57181599999999999</v>
      </c>
      <c r="I10" s="9">
        <f>submetering!J10</f>
        <v>113</v>
      </c>
      <c r="J10" s="7">
        <v>2.855</v>
      </c>
      <c r="K10" s="9">
        <f>submetering!K10</f>
        <v>27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12</v>
      </c>
      <c r="D11" s="7">
        <v>2020</v>
      </c>
      <c r="E11" s="9">
        <f>submetering!E11+submetering!F11+submetering!G11</f>
        <v>6719</v>
      </c>
      <c r="F11" s="7">
        <v>0.251</v>
      </c>
      <c r="G11" s="9">
        <f>submetering!H11+submetering!I11</f>
        <v>1580</v>
      </c>
      <c r="H11" s="7">
        <v>0.57181599999999999</v>
      </c>
      <c r="I11" s="9">
        <f>submetering!J11</f>
        <v>134</v>
      </c>
      <c r="J11" s="7">
        <v>2.855</v>
      </c>
      <c r="K11" s="9">
        <f>submetering!K11</f>
        <v>23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12</v>
      </c>
      <c r="D12" s="7">
        <v>2020</v>
      </c>
      <c r="E12" s="9">
        <f>submetering!E12+submetering!F12+submetering!G12</f>
        <v>6163</v>
      </c>
      <c r="F12" s="7">
        <v>0.251</v>
      </c>
      <c r="G12" s="9">
        <f>submetering!H12+submetering!I12</f>
        <v>1679</v>
      </c>
      <c r="H12" s="7">
        <v>0.57181599999999999</v>
      </c>
      <c r="I12" s="9">
        <f>submetering!J12</f>
        <v>162</v>
      </c>
      <c r="J12" s="7">
        <v>2.855</v>
      </c>
      <c r="K12" s="9">
        <f>submetering!K12</f>
        <v>25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12</v>
      </c>
      <c r="D13" s="7">
        <v>2020</v>
      </c>
      <c r="E13" s="9">
        <f>submetering!E13+submetering!F13+submetering!G13</f>
        <v>6101</v>
      </c>
      <c r="F13" s="7">
        <v>0.251</v>
      </c>
      <c r="G13" s="9">
        <f>submetering!H13+submetering!I13</f>
        <v>1539</v>
      </c>
      <c r="H13" s="7">
        <v>0.57181599999999999</v>
      </c>
      <c r="I13" s="9">
        <f>submetering!J13</f>
        <v>106</v>
      </c>
      <c r="J13" s="7">
        <v>2.855</v>
      </c>
      <c r="K13" s="9">
        <f>submetering!K13</f>
        <v>26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12</v>
      </c>
      <c r="D14" s="7">
        <v>2020</v>
      </c>
      <c r="E14" s="9">
        <f>submetering!E14+submetering!F14+submetering!G14</f>
        <v>6428</v>
      </c>
      <c r="F14" s="7">
        <v>0.251</v>
      </c>
      <c r="G14" s="9">
        <f>submetering!H14+submetering!I14</f>
        <v>1678</v>
      </c>
      <c r="H14" s="7">
        <v>0.57181599999999999</v>
      </c>
      <c r="I14" s="9">
        <f>submetering!J14</f>
        <v>148</v>
      </c>
      <c r="J14" s="7">
        <v>2.855</v>
      </c>
      <c r="K14" s="9">
        <f>submetering!K14</f>
        <v>51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12</v>
      </c>
      <c r="D15" s="7">
        <v>2020</v>
      </c>
      <c r="E15" s="9">
        <f>submetering!E15+submetering!F15+submetering!G15</f>
        <v>6239</v>
      </c>
      <c r="F15" s="7">
        <v>0.251</v>
      </c>
      <c r="G15" s="9">
        <f>submetering!H15+submetering!I15</f>
        <v>1588</v>
      </c>
      <c r="H15" s="7">
        <v>0.57181599999999999</v>
      </c>
      <c r="I15" s="9">
        <f>submetering!J15</f>
        <v>111</v>
      </c>
      <c r="J15" s="7">
        <v>2.855</v>
      </c>
      <c r="K15" s="9">
        <f>submetering!K15</f>
        <v>15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12</v>
      </c>
      <c r="D16" s="7">
        <v>2020</v>
      </c>
      <c r="E16" s="9">
        <f>submetering!E16+submetering!F16+submetering!G16</f>
        <v>6443</v>
      </c>
      <c r="F16" s="7">
        <v>0.251</v>
      </c>
      <c r="G16" s="9">
        <f>submetering!H16+submetering!I16</f>
        <v>1612</v>
      </c>
      <c r="H16" s="7">
        <v>0.57181599999999999</v>
      </c>
      <c r="I16" s="9">
        <f>submetering!J16</f>
        <v>150</v>
      </c>
      <c r="J16" s="7">
        <v>2.855</v>
      </c>
      <c r="K16" s="9">
        <f>submetering!K16</f>
        <v>21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12</v>
      </c>
      <c r="D17" s="7">
        <v>2020</v>
      </c>
      <c r="E17" s="9">
        <f>submetering!E17+submetering!F17+submetering!G17</f>
        <v>6446</v>
      </c>
      <c r="F17" s="7">
        <v>0.251</v>
      </c>
      <c r="G17" s="9">
        <f>submetering!H17+submetering!I17</f>
        <v>2172</v>
      </c>
      <c r="H17" s="7">
        <v>0.57181599999999999</v>
      </c>
      <c r="I17" s="9">
        <f>submetering!J17</f>
        <v>110</v>
      </c>
      <c r="J17" s="7">
        <v>2.855</v>
      </c>
      <c r="K17" s="9">
        <f>submetering!K17</f>
        <v>23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12</v>
      </c>
      <c r="D18" s="7">
        <v>2020</v>
      </c>
      <c r="E18" s="9">
        <f>submetering!E18+submetering!F18+submetering!G18</f>
        <v>6822</v>
      </c>
      <c r="F18" s="7">
        <v>0.251</v>
      </c>
      <c r="G18" s="9">
        <f>submetering!H18+submetering!I18</f>
        <v>2070</v>
      </c>
      <c r="H18" s="7">
        <v>0.57181599999999999</v>
      </c>
      <c r="I18" s="9">
        <f>submetering!J18</f>
        <v>99</v>
      </c>
      <c r="J18" s="7">
        <v>2.855</v>
      </c>
      <c r="K18" s="9">
        <f>submetering!K18</f>
        <v>29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12</v>
      </c>
      <c r="D19" s="7">
        <v>2020</v>
      </c>
      <c r="E19" s="9">
        <f>submetering!E19+submetering!F19+submetering!G19</f>
        <v>6610</v>
      </c>
      <c r="F19" s="7">
        <v>0.251</v>
      </c>
      <c r="G19" s="9">
        <f>submetering!H19+submetering!I19</f>
        <v>1854</v>
      </c>
      <c r="H19" s="7">
        <v>0.57181599999999999</v>
      </c>
      <c r="I19" s="9">
        <f>submetering!J19</f>
        <v>124</v>
      </c>
      <c r="J19" s="7">
        <v>2.855</v>
      </c>
      <c r="K19" s="9">
        <f>submetering!K19</f>
        <v>34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12</v>
      </c>
      <c r="D20" s="7">
        <v>2020</v>
      </c>
      <c r="E20" s="9">
        <f>submetering!E20+submetering!F20+submetering!G20</f>
        <v>7433</v>
      </c>
      <c r="F20" s="7">
        <v>0.251</v>
      </c>
      <c r="G20" s="9">
        <f>submetering!H20+submetering!I20</f>
        <v>2013</v>
      </c>
      <c r="H20" s="7">
        <v>0.57181599999999999</v>
      </c>
      <c r="I20" s="9">
        <f>submetering!J20</f>
        <v>137</v>
      </c>
      <c r="J20" s="7">
        <v>2.855</v>
      </c>
      <c r="K20" s="9">
        <f>submetering!K20</f>
        <v>58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12</v>
      </c>
      <c r="D21" s="7">
        <v>2020</v>
      </c>
      <c r="E21" s="9">
        <f>submetering!E21+submetering!F21+submetering!G21</f>
        <v>6504</v>
      </c>
      <c r="F21" s="7">
        <v>0.251</v>
      </c>
      <c r="G21" s="9">
        <f>submetering!H21+submetering!I21</f>
        <v>1997</v>
      </c>
      <c r="H21" s="7">
        <v>0.57181599999999999</v>
      </c>
      <c r="I21" s="9">
        <f>submetering!J21</f>
        <v>144</v>
      </c>
      <c r="J21" s="7">
        <v>2.855</v>
      </c>
      <c r="K21" s="9">
        <f>submetering!K21</f>
        <v>36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12</v>
      </c>
      <c r="D22" s="7">
        <v>2020</v>
      </c>
      <c r="E22" s="9">
        <f>submetering!E22+submetering!F22+submetering!G22</f>
        <v>6233</v>
      </c>
      <c r="F22" s="7">
        <v>0.251</v>
      </c>
      <c r="G22" s="9">
        <f>submetering!H22+submetering!I22</f>
        <v>1833</v>
      </c>
      <c r="H22" s="7">
        <v>0.57181599999999999</v>
      </c>
      <c r="I22" s="9">
        <f>submetering!J22</f>
        <v>193</v>
      </c>
      <c r="J22" s="7">
        <v>2.855</v>
      </c>
      <c r="K22" s="9">
        <f>submetering!K22</f>
        <v>25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12</v>
      </c>
      <c r="D23" s="7">
        <v>2020</v>
      </c>
      <c r="E23" s="9">
        <f>submetering!E23+submetering!F23+submetering!G23</f>
        <v>6484</v>
      </c>
      <c r="F23" s="7">
        <v>0.251</v>
      </c>
      <c r="G23" s="9">
        <f>submetering!H23+submetering!I23</f>
        <v>1808</v>
      </c>
      <c r="H23" s="7">
        <v>0.57181599999999999</v>
      </c>
      <c r="I23" s="9">
        <f>submetering!J23</f>
        <v>156</v>
      </c>
      <c r="J23" s="7">
        <v>2.855</v>
      </c>
      <c r="K23" s="9">
        <f>submetering!K23</f>
        <v>27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12</v>
      </c>
      <c r="D24" s="7">
        <v>2020</v>
      </c>
      <c r="E24" s="9">
        <f>submetering!E24+submetering!F24+submetering!G24</f>
        <v>7611</v>
      </c>
      <c r="F24" s="7">
        <v>0.251</v>
      </c>
      <c r="G24" s="9">
        <f>submetering!H24+submetering!I24</f>
        <v>1790</v>
      </c>
      <c r="H24" s="7">
        <v>0.57181599999999999</v>
      </c>
      <c r="I24" s="9">
        <f>submetering!J24</f>
        <v>141</v>
      </c>
      <c r="J24" s="7">
        <v>2.855</v>
      </c>
      <c r="K24" s="9">
        <f>submetering!K24</f>
        <v>27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12</v>
      </c>
      <c r="D25" s="7">
        <v>2020</v>
      </c>
      <c r="E25" s="9">
        <f>submetering!E25+submetering!F25+submetering!G25</f>
        <v>8772</v>
      </c>
      <c r="F25" s="7">
        <v>0.251</v>
      </c>
      <c r="G25" s="9">
        <f>submetering!H25+submetering!I25</f>
        <v>1717</v>
      </c>
      <c r="H25" s="7">
        <v>0.57181599999999999</v>
      </c>
      <c r="I25" s="9">
        <f>submetering!J25</f>
        <v>153</v>
      </c>
      <c r="J25" s="7">
        <v>2.855</v>
      </c>
      <c r="K25" s="9">
        <f>submetering!K25</f>
        <v>28</v>
      </c>
    </row>
    <row r="26" spans="1:11" s="12" customFormat="1" x14ac:dyDescent="0.25">
      <c r="A26" s="7" t="s">
        <v>11</v>
      </c>
      <c r="B26" s="11">
        <f>B25+1</f>
        <v>25</v>
      </c>
      <c r="C26" s="8">
        <v>12</v>
      </c>
      <c r="D26" s="7">
        <v>2020</v>
      </c>
      <c r="E26" s="9">
        <f>submetering!E26+submetering!F26+submetering!G26</f>
        <v>9108</v>
      </c>
      <c r="F26" s="7">
        <v>0.251</v>
      </c>
      <c r="G26" s="9">
        <f>submetering!H26+submetering!I26</f>
        <v>2739</v>
      </c>
      <c r="H26" s="7">
        <v>0.57181599999999999</v>
      </c>
      <c r="I26" s="9">
        <f>submetering!J26</f>
        <v>202</v>
      </c>
      <c r="J26" s="7">
        <v>2.855</v>
      </c>
      <c r="K26" s="9">
        <f>submetering!K26</f>
        <v>42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12</v>
      </c>
      <c r="D27" s="7">
        <v>2020</v>
      </c>
      <c r="E27" s="9">
        <f>submetering!E27+submetering!F27+submetering!G27</f>
        <v>9928</v>
      </c>
      <c r="F27" s="7">
        <v>0.251</v>
      </c>
      <c r="G27" s="9">
        <f>submetering!H27+submetering!I27</f>
        <v>2602</v>
      </c>
      <c r="H27" s="7">
        <v>0.57181599999999999</v>
      </c>
      <c r="I27" s="9">
        <f>submetering!J27</f>
        <v>187</v>
      </c>
      <c r="J27" s="7">
        <v>2.855</v>
      </c>
      <c r="K27" s="9">
        <f>submetering!K27</f>
        <v>73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12</v>
      </c>
      <c r="D28" s="7">
        <v>2020</v>
      </c>
      <c r="E28" s="9">
        <f>submetering!E28+submetering!F28+submetering!G28</f>
        <v>9787</v>
      </c>
      <c r="F28" s="7">
        <v>0.251</v>
      </c>
      <c r="G28" s="9">
        <f>submetering!H28+submetering!I28</f>
        <v>2819</v>
      </c>
      <c r="H28" s="7">
        <v>0.57181599999999999</v>
      </c>
      <c r="I28" s="9">
        <f>submetering!J28</f>
        <v>197</v>
      </c>
      <c r="J28" s="7">
        <v>2.855</v>
      </c>
      <c r="K28" s="9">
        <f>submetering!K28</f>
        <v>121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12</v>
      </c>
      <c r="D29" s="7">
        <v>2020</v>
      </c>
      <c r="E29" s="9">
        <f>submetering!E29+submetering!F29+submetering!G29</f>
        <v>9405</v>
      </c>
      <c r="F29" s="7">
        <v>0.251</v>
      </c>
      <c r="G29" s="9">
        <f>submetering!H29+submetering!I29</f>
        <v>2948</v>
      </c>
      <c r="H29" s="7">
        <v>0.57181599999999999</v>
      </c>
      <c r="I29" s="9">
        <f>submetering!J29</f>
        <v>203</v>
      </c>
      <c r="J29" s="7">
        <v>2.855</v>
      </c>
      <c r="K29" s="9">
        <f>submetering!K29</f>
        <v>44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12</v>
      </c>
      <c r="D30" s="7">
        <v>2020</v>
      </c>
      <c r="E30" s="9">
        <f>submetering!E30+submetering!F30+submetering!G30</f>
        <v>9842</v>
      </c>
      <c r="F30" s="7">
        <v>0.251</v>
      </c>
      <c r="G30" s="9">
        <f>submetering!H30+submetering!I30</f>
        <v>2695</v>
      </c>
      <c r="H30" s="7">
        <v>0.57181599999999999</v>
      </c>
      <c r="I30" s="9">
        <f>submetering!J30</f>
        <v>204</v>
      </c>
      <c r="J30" s="7">
        <v>2.855</v>
      </c>
      <c r="K30" s="9">
        <f>submetering!K30</f>
        <v>43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12</v>
      </c>
      <c r="D31" s="7">
        <v>2020</v>
      </c>
      <c r="E31" s="9">
        <f>submetering!E31+submetering!F31+submetering!G31</f>
        <v>9741</v>
      </c>
      <c r="F31" s="7">
        <v>0.251</v>
      </c>
      <c r="G31" s="9">
        <f>submetering!H31+submetering!I31</f>
        <v>2989</v>
      </c>
      <c r="H31" s="7">
        <v>0.57181599999999999</v>
      </c>
      <c r="I31" s="9">
        <f>submetering!J31</f>
        <v>197</v>
      </c>
      <c r="J31" s="7">
        <v>2.855</v>
      </c>
      <c r="K31" s="9">
        <f>submetering!K31</f>
        <v>55</v>
      </c>
    </row>
    <row r="32" spans="1:11" x14ac:dyDescent="0.25">
      <c r="A32" s="7" t="s">
        <v>11</v>
      </c>
      <c r="B32" s="11">
        <f t="shared" si="0"/>
        <v>31</v>
      </c>
      <c r="C32" s="8">
        <v>12</v>
      </c>
      <c r="D32" s="7">
        <v>2020</v>
      </c>
      <c r="E32" s="9">
        <f>submetering!E32+submetering!F32+submetering!G32</f>
        <v>8998</v>
      </c>
      <c r="F32" s="7">
        <v>0.251</v>
      </c>
      <c r="G32" s="9">
        <f>submetering!H32+submetering!I32</f>
        <v>2766</v>
      </c>
      <c r="H32" s="7">
        <v>0.57181599999999999</v>
      </c>
      <c r="I32" s="9">
        <f>submetering!J32</f>
        <v>176</v>
      </c>
      <c r="J32" s="7">
        <v>2.855</v>
      </c>
      <c r="K32" s="9">
        <f>submetering!K32</f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M28" sqref="M28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12</v>
      </c>
      <c r="D2" s="13">
        <v>2020</v>
      </c>
      <c r="E2" s="16">
        <f>HOTEL!D9</f>
        <v>2612</v>
      </c>
      <c r="F2" s="16">
        <f>HOTEL!F9</f>
        <v>2580</v>
      </c>
      <c r="G2" s="16">
        <f>HOTEL!H9</f>
        <v>2434</v>
      </c>
      <c r="H2" s="16">
        <f>HOTEL!N9</f>
        <v>112</v>
      </c>
      <c r="I2" s="16">
        <f>HOTEL!P9</f>
        <v>1177</v>
      </c>
      <c r="J2" s="16">
        <f>HOTEL!U9</f>
        <v>130</v>
      </c>
      <c r="K2" s="16">
        <f>HOTEL!Y9</f>
        <v>36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12</v>
      </c>
      <c r="D3" s="13">
        <v>2020</v>
      </c>
      <c r="E3" s="16">
        <f>HOTEL!D10</f>
        <v>2318</v>
      </c>
      <c r="F3" s="16">
        <f>HOTEL!F10</f>
        <v>2282</v>
      </c>
      <c r="G3" s="16">
        <f>HOTEL!H10</f>
        <v>2126</v>
      </c>
      <c r="H3" s="16">
        <f>HOTEL!N10</f>
        <v>112</v>
      </c>
      <c r="I3" s="16">
        <f>HOTEL!P10</f>
        <v>1169</v>
      </c>
      <c r="J3" s="16">
        <f>HOTEL!U10</f>
        <v>124</v>
      </c>
      <c r="K3" s="16">
        <f>HOTEL!Y10</f>
        <v>27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12</v>
      </c>
      <c r="D4" s="13">
        <v>2020</v>
      </c>
      <c r="E4" s="16">
        <f>HOTEL!D11</f>
        <v>2127</v>
      </c>
      <c r="F4" s="16">
        <f>HOTEL!F11</f>
        <v>2086</v>
      </c>
      <c r="G4" s="16">
        <f>HOTEL!H11</f>
        <v>1946</v>
      </c>
      <c r="H4" s="16">
        <f>HOTEL!N11</f>
        <v>128</v>
      </c>
      <c r="I4" s="16">
        <f>HOTEL!P11</f>
        <v>1140</v>
      </c>
      <c r="J4" s="16">
        <f>HOTEL!U11</f>
        <v>125</v>
      </c>
      <c r="K4" s="16">
        <f>HOTEL!Y11</f>
        <v>28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12</v>
      </c>
      <c r="D5" s="13">
        <v>2020</v>
      </c>
      <c r="E5" s="16">
        <f>HOTEL!D12</f>
        <v>2412</v>
      </c>
      <c r="F5" s="16">
        <f>HOTEL!F12</f>
        <v>2073</v>
      </c>
      <c r="G5" s="16">
        <f>HOTEL!H12</f>
        <v>1873</v>
      </c>
      <c r="H5" s="16">
        <f>HOTEL!N12</f>
        <v>129</v>
      </c>
      <c r="I5" s="16">
        <f>HOTEL!P12</f>
        <v>1422</v>
      </c>
      <c r="J5" s="16">
        <f>HOTEL!U12</f>
        <v>241</v>
      </c>
      <c r="K5" s="16">
        <f>HOTEL!Y12</f>
        <v>30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12</v>
      </c>
      <c r="D6" s="13">
        <v>2020</v>
      </c>
      <c r="E6" s="16">
        <f>HOTEL!D13</f>
        <v>1837</v>
      </c>
      <c r="F6" s="16">
        <f>HOTEL!F13</f>
        <v>2097</v>
      </c>
      <c r="G6" s="16">
        <f>HOTEL!H13</f>
        <v>2034</v>
      </c>
      <c r="H6" s="16">
        <f>HOTEL!N13</f>
        <v>110</v>
      </c>
      <c r="I6" s="16">
        <f>HOTEL!P13</f>
        <v>1421</v>
      </c>
      <c r="J6" s="16">
        <f>HOTEL!U13</f>
        <v>217</v>
      </c>
      <c r="K6" s="16">
        <f>HOTEL!Y13</f>
        <v>29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12</v>
      </c>
      <c r="D7" s="13">
        <v>2020</v>
      </c>
      <c r="E7" s="16">
        <f>HOTEL!D14</f>
        <v>2052</v>
      </c>
      <c r="F7" s="16">
        <f>HOTEL!F14</f>
        <v>2040</v>
      </c>
      <c r="G7" s="16">
        <f>HOTEL!H14</f>
        <v>1911</v>
      </c>
      <c r="H7" s="16">
        <f>HOTEL!N14</f>
        <v>134</v>
      </c>
      <c r="I7" s="16">
        <f>HOTEL!P14</f>
        <v>1399</v>
      </c>
      <c r="J7" s="16">
        <f>HOTEL!U14</f>
        <v>137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12</v>
      </c>
      <c r="D8" s="13">
        <v>2020</v>
      </c>
      <c r="E8" s="16">
        <f>HOTEL!D15</f>
        <v>2044</v>
      </c>
      <c r="F8" s="16">
        <f>HOTEL!F15</f>
        <v>2034</v>
      </c>
      <c r="G8" s="16">
        <f>HOTEL!H15</f>
        <v>1891</v>
      </c>
      <c r="H8" s="16">
        <f>HOTEL!N15</f>
        <v>133</v>
      </c>
      <c r="I8" s="16">
        <f>HOTEL!P15</f>
        <v>1356</v>
      </c>
      <c r="J8" s="16">
        <f>HOTEL!U15</f>
        <v>115</v>
      </c>
      <c r="K8" s="16">
        <f>HOTEL!Y15</f>
        <v>24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12</v>
      </c>
      <c r="D9" s="13">
        <v>2020</v>
      </c>
      <c r="E9" s="16">
        <f>HOTEL!D16</f>
        <v>2216</v>
      </c>
      <c r="F9" s="16">
        <f>HOTEL!F16</f>
        <v>2222</v>
      </c>
      <c r="G9" s="16">
        <f>HOTEL!H16</f>
        <v>2077</v>
      </c>
      <c r="H9" s="16">
        <f>HOTEL!N16</f>
        <v>119</v>
      </c>
      <c r="I9" s="16">
        <f>HOTEL!P16</f>
        <v>1480</v>
      </c>
      <c r="J9" s="16">
        <f>HOTEL!U16</f>
        <v>142</v>
      </c>
      <c r="K9" s="16">
        <f>HOTEL!Y16</f>
        <v>32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12</v>
      </c>
      <c r="D10" s="13">
        <v>2020</v>
      </c>
      <c r="E10" s="16">
        <f>HOTEL!D17</f>
        <v>2253</v>
      </c>
      <c r="F10" s="16">
        <f>HOTEL!F17</f>
        <v>2239</v>
      </c>
      <c r="G10" s="16">
        <f>HOTEL!H17</f>
        <v>2088</v>
      </c>
      <c r="H10" s="16">
        <f>HOTEL!N17</f>
        <v>144</v>
      </c>
      <c r="I10" s="16">
        <f>HOTEL!P17</f>
        <v>1444</v>
      </c>
      <c r="J10" s="16">
        <f>HOTEL!U17</f>
        <v>113</v>
      </c>
      <c r="K10" s="16">
        <f>HOTEL!Y17</f>
        <v>27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12</v>
      </c>
      <c r="D11" s="13">
        <v>2020</v>
      </c>
      <c r="E11" s="16">
        <f>HOTEL!D18</f>
        <v>2371</v>
      </c>
      <c r="F11" s="16">
        <f>HOTEL!F18</f>
        <v>2235</v>
      </c>
      <c r="G11" s="16">
        <f>HOTEL!H18</f>
        <v>2113</v>
      </c>
      <c r="H11" s="16">
        <f>HOTEL!N18</f>
        <v>130</v>
      </c>
      <c r="I11" s="16">
        <f>HOTEL!P18</f>
        <v>1450</v>
      </c>
      <c r="J11" s="16">
        <f>HOTEL!U18</f>
        <v>134</v>
      </c>
      <c r="K11" s="16">
        <f>HOTEL!Y18</f>
        <v>23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12</v>
      </c>
      <c r="D12" s="13">
        <v>2020</v>
      </c>
      <c r="E12" s="16">
        <f>HOTEL!D19</f>
        <v>2014</v>
      </c>
      <c r="F12" s="16">
        <f>HOTEL!F19</f>
        <v>2157</v>
      </c>
      <c r="G12" s="16">
        <f>HOTEL!H19</f>
        <v>1992</v>
      </c>
      <c r="H12" s="16">
        <f>HOTEL!N19</f>
        <v>149</v>
      </c>
      <c r="I12" s="16">
        <f>HOTEL!P19</f>
        <v>1530</v>
      </c>
      <c r="J12" s="16">
        <f>HOTEL!U19</f>
        <v>162</v>
      </c>
      <c r="K12" s="16">
        <f>HOTEL!Y19</f>
        <v>25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12</v>
      </c>
      <c r="D13" s="13">
        <v>2020</v>
      </c>
      <c r="E13" s="16">
        <f>HOTEL!D20</f>
        <v>2081</v>
      </c>
      <c r="F13" s="16">
        <f>HOTEL!F20</f>
        <v>2076</v>
      </c>
      <c r="G13" s="16">
        <f>HOTEL!H20</f>
        <v>1944</v>
      </c>
      <c r="H13" s="16">
        <f>HOTEL!N20</f>
        <v>125</v>
      </c>
      <c r="I13" s="16">
        <f>HOTEL!P20</f>
        <v>1414</v>
      </c>
      <c r="J13" s="16">
        <f>HOTEL!U20</f>
        <v>106</v>
      </c>
      <c r="K13" s="16">
        <f>HOTEL!Y20</f>
        <v>26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12</v>
      </c>
      <c r="D14" s="13">
        <v>2020</v>
      </c>
      <c r="E14" s="16">
        <f>HOTEL!D21</f>
        <v>2193</v>
      </c>
      <c r="F14" s="16">
        <f>HOTEL!F21</f>
        <v>2202</v>
      </c>
      <c r="G14" s="16">
        <f>HOTEL!H21</f>
        <v>2033</v>
      </c>
      <c r="H14" s="16">
        <f>HOTEL!N21</f>
        <v>139</v>
      </c>
      <c r="I14" s="16">
        <f>HOTEL!P21</f>
        <v>1539</v>
      </c>
      <c r="J14" s="16">
        <f>HOTEL!U21</f>
        <v>148</v>
      </c>
      <c r="K14" s="16">
        <f>HOTEL!Y21</f>
        <v>51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12</v>
      </c>
      <c r="D15" s="13">
        <v>2020</v>
      </c>
      <c r="E15" s="16">
        <f>HOTEL!D22</f>
        <v>2144</v>
      </c>
      <c r="F15" s="16">
        <f>HOTEL!F22</f>
        <v>2130</v>
      </c>
      <c r="G15" s="16">
        <f>HOTEL!H22</f>
        <v>1965</v>
      </c>
      <c r="H15" s="16">
        <f>HOTEL!N22</f>
        <v>117</v>
      </c>
      <c r="I15" s="16">
        <f>HOTEL!P22</f>
        <v>1471</v>
      </c>
      <c r="J15" s="16">
        <f>HOTEL!U22</f>
        <v>111</v>
      </c>
      <c r="K15" s="16">
        <f>HOTEL!Y22</f>
        <v>15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12</v>
      </c>
      <c r="D16" s="13">
        <v>2020</v>
      </c>
      <c r="E16" s="16">
        <f>HOTEL!D23</f>
        <v>2213</v>
      </c>
      <c r="F16" s="16">
        <f>HOTEL!F23</f>
        <v>2197</v>
      </c>
      <c r="G16" s="16">
        <f>HOTEL!H23</f>
        <v>2033</v>
      </c>
      <c r="H16" s="16">
        <f>HOTEL!N23</f>
        <v>118</v>
      </c>
      <c r="I16" s="16">
        <f>HOTEL!P23</f>
        <v>1494</v>
      </c>
      <c r="J16" s="16">
        <f>HOTEL!U23</f>
        <v>150</v>
      </c>
      <c r="K16" s="16">
        <f>HOTEL!Y23</f>
        <v>21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12</v>
      </c>
      <c r="D17" s="13">
        <v>2020</v>
      </c>
      <c r="E17" s="16">
        <f>HOTEL!D24</f>
        <v>2215</v>
      </c>
      <c r="F17" s="16">
        <f>HOTEL!F24</f>
        <v>2202</v>
      </c>
      <c r="G17" s="16">
        <f>HOTEL!H24</f>
        <v>2029</v>
      </c>
      <c r="H17" s="16">
        <f>HOTEL!N24</f>
        <v>114</v>
      </c>
      <c r="I17" s="16">
        <f>HOTEL!P24</f>
        <v>2058</v>
      </c>
      <c r="J17" s="16">
        <f>HOTEL!U24</f>
        <v>110</v>
      </c>
      <c r="K17" s="16">
        <f>HOTEL!Y24</f>
        <v>23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12</v>
      </c>
      <c r="D18" s="13">
        <v>2020</v>
      </c>
      <c r="E18" s="16">
        <f>HOTEL!D25</f>
        <v>2325</v>
      </c>
      <c r="F18" s="16">
        <f>HOTEL!F25</f>
        <v>2340</v>
      </c>
      <c r="G18" s="16">
        <f>HOTEL!H25</f>
        <v>2157</v>
      </c>
      <c r="H18" s="16">
        <f>HOTEL!N25</f>
        <v>108</v>
      </c>
      <c r="I18" s="16">
        <f>HOTEL!P25</f>
        <v>1962</v>
      </c>
      <c r="J18" s="16">
        <f>HOTEL!U25</f>
        <v>99</v>
      </c>
      <c r="K18" s="16">
        <f>HOTEL!Y25</f>
        <v>29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12</v>
      </c>
      <c r="D19" s="13">
        <v>2020</v>
      </c>
      <c r="E19" s="16">
        <f>HOTEL!D26</f>
        <v>2263</v>
      </c>
      <c r="F19" s="16">
        <f>HOTEL!F26</f>
        <v>2271</v>
      </c>
      <c r="G19" s="16">
        <f>HOTEL!H26</f>
        <v>2076</v>
      </c>
      <c r="H19" s="16">
        <f>HOTEL!N26</f>
        <v>119</v>
      </c>
      <c r="I19" s="16">
        <f>HOTEL!P26</f>
        <v>1735</v>
      </c>
      <c r="J19" s="16">
        <f>HOTEL!U26</f>
        <v>124</v>
      </c>
      <c r="K19" s="16">
        <f>HOTEL!Y26</f>
        <v>34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12</v>
      </c>
      <c r="D20" s="13">
        <v>2020</v>
      </c>
      <c r="E20" s="16">
        <f>HOTEL!D27</f>
        <v>2557</v>
      </c>
      <c r="F20" s="16">
        <f>HOTEL!F27</f>
        <v>2534</v>
      </c>
      <c r="G20" s="16">
        <f>HOTEL!H27</f>
        <v>2342</v>
      </c>
      <c r="H20" s="16">
        <f>HOTEL!N27</f>
        <v>130</v>
      </c>
      <c r="I20" s="16">
        <f>HOTEL!P27</f>
        <v>1883</v>
      </c>
      <c r="J20" s="16">
        <f>HOTEL!U27</f>
        <v>137</v>
      </c>
      <c r="K20" s="16">
        <f>HOTEL!Y27</f>
        <v>58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12</v>
      </c>
      <c r="D21" s="13">
        <v>2020</v>
      </c>
      <c r="E21" s="16">
        <f>HOTEL!D28</f>
        <v>2226</v>
      </c>
      <c r="F21" s="16">
        <f>HOTEL!F28</f>
        <v>2236</v>
      </c>
      <c r="G21" s="16">
        <f>HOTEL!H28</f>
        <v>2042</v>
      </c>
      <c r="H21" s="16">
        <f>HOTEL!N28</f>
        <v>125</v>
      </c>
      <c r="I21" s="16">
        <f>HOTEL!P28</f>
        <v>1872</v>
      </c>
      <c r="J21" s="16">
        <f>HOTEL!U28</f>
        <v>144</v>
      </c>
      <c r="K21" s="16">
        <f>HOTEL!Y28</f>
        <v>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12</v>
      </c>
      <c r="D22" s="13">
        <v>2020</v>
      </c>
      <c r="E22" s="16">
        <f>HOTEL!D29</f>
        <v>2140</v>
      </c>
      <c r="F22" s="16">
        <f>HOTEL!F29</f>
        <v>2134</v>
      </c>
      <c r="G22" s="16">
        <f>HOTEL!H29</f>
        <v>1959</v>
      </c>
      <c r="H22" s="16">
        <f>HOTEL!N29</f>
        <v>113</v>
      </c>
      <c r="I22" s="16">
        <f>HOTEL!P29</f>
        <v>1720</v>
      </c>
      <c r="J22" s="16">
        <f>HOTEL!U29</f>
        <v>193</v>
      </c>
      <c r="K22" s="16">
        <f>HOTEL!Y29</f>
        <v>25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12</v>
      </c>
      <c r="D23" s="13">
        <v>2020</v>
      </c>
      <c r="E23" s="16">
        <f>HOTEL!D30</f>
        <v>2117</v>
      </c>
      <c r="F23" s="16">
        <f>HOTEL!F30</f>
        <v>2124</v>
      </c>
      <c r="G23" s="16">
        <f>HOTEL!H30</f>
        <v>2243</v>
      </c>
      <c r="H23" s="16">
        <f>HOTEL!N30</f>
        <v>106</v>
      </c>
      <c r="I23" s="16">
        <f>HOTEL!P30</f>
        <v>1702</v>
      </c>
      <c r="J23" s="16">
        <f>HOTEL!U30</f>
        <v>156</v>
      </c>
      <c r="K23" s="16">
        <f>HOTEL!Y30</f>
        <v>27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12</v>
      </c>
      <c r="D24" s="13">
        <v>2020</v>
      </c>
      <c r="E24" s="16">
        <f>HOTEL!D31</f>
        <v>2832</v>
      </c>
      <c r="F24" s="16">
        <f>HOTEL!F31</f>
        <v>2606</v>
      </c>
      <c r="G24" s="16">
        <f>HOTEL!H31</f>
        <v>2173</v>
      </c>
      <c r="H24" s="16">
        <f>HOTEL!N31</f>
        <v>127</v>
      </c>
      <c r="I24" s="16">
        <f>HOTEL!P31</f>
        <v>1663</v>
      </c>
      <c r="J24" s="16">
        <f>HOTEL!U31</f>
        <v>141</v>
      </c>
      <c r="K24" s="16">
        <f>HOTEL!Y31</f>
        <v>27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12</v>
      </c>
      <c r="D25" s="13">
        <v>2020</v>
      </c>
      <c r="E25" s="16">
        <f>HOTEL!D32</f>
        <v>2906</v>
      </c>
      <c r="F25" s="16">
        <f>HOTEL!F32</f>
        <v>3101</v>
      </c>
      <c r="G25" s="16">
        <f>HOTEL!H32</f>
        <v>2765</v>
      </c>
      <c r="H25" s="16">
        <f>HOTEL!N32</f>
        <v>117</v>
      </c>
      <c r="I25" s="16">
        <f>HOTEL!P32</f>
        <v>1600</v>
      </c>
      <c r="J25" s="16">
        <f>HOTEL!U32</f>
        <v>153</v>
      </c>
      <c r="K25" s="16">
        <f>HOTEL!Y32</f>
        <v>28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12</v>
      </c>
      <c r="D26" s="13">
        <v>2020</v>
      </c>
      <c r="E26" s="16">
        <f>HOTEL!D33</f>
        <v>3043</v>
      </c>
      <c r="F26" s="16">
        <f>HOTEL!F33</f>
        <v>3052</v>
      </c>
      <c r="G26" s="16">
        <f>HOTEL!H33</f>
        <v>3013</v>
      </c>
      <c r="H26" s="16">
        <f>HOTEL!N33</f>
        <v>188</v>
      </c>
      <c r="I26" s="16">
        <f>HOTEL!P33</f>
        <v>2551</v>
      </c>
      <c r="J26" s="16">
        <f>HOTEL!U33</f>
        <v>202</v>
      </c>
      <c r="K26" s="16">
        <f>HOTEL!Y33</f>
        <v>42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12</v>
      </c>
      <c r="D27" s="13">
        <v>2020</v>
      </c>
      <c r="E27" s="16">
        <f>HOTEL!D34</f>
        <v>3360</v>
      </c>
      <c r="F27" s="16">
        <f>HOTEL!F34</f>
        <v>3365</v>
      </c>
      <c r="G27" s="16">
        <f>HOTEL!H34</f>
        <v>3203</v>
      </c>
      <c r="H27" s="16">
        <f>HOTEL!N34</f>
        <v>161</v>
      </c>
      <c r="I27" s="16">
        <f>HOTEL!P34</f>
        <v>2441</v>
      </c>
      <c r="J27" s="16">
        <f>HOTEL!U34</f>
        <v>187</v>
      </c>
      <c r="K27" s="16">
        <f>HOTEL!Y34</f>
        <v>73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12</v>
      </c>
      <c r="D28" s="13">
        <v>2020</v>
      </c>
      <c r="E28" s="16">
        <f>HOTEL!D35</f>
        <v>3322</v>
      </c>
      <c r="F28" s="16">
        <f>HOTEL!F35</f>
        <v>3325</v>
      </c>
      <c r="G28" s="16">
        <f>HOTEL!H35</f>
        <v>3140</v>
      </c>
      <c r="H28" s="16">
        <f>HOTEL!N35</f>
        <v>137</v>
      </c>
      <c r="I28" s="16">
        <f>HOTEL!P35</f>
        <v>2682</v>
      </c>
      <c r="J28" s="16">
        <f>HOTEL!U35</f>
        <v>197</v>
      </c>
      <c r="K28" s="16">
        <f>HOTEL!Y35</f>
        <v>121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12</v>
      </c>
      <c r="D29" s="13">
        <v>2020</v>
      </c>
      <c r="E29" s="16">
        <f>HOTEL!D36</f>
        <v>3160</v>
      </c>
      <c r="F29" s="16">
        <f>HOTEL!F36</f>
        <v>3157</v>
      </c>
      <c r="G29" s="16">
        <f>HOTEL!H36</f>
        <v>3088</v>
      </c>
      <c r="H29" s="16">
        <f>HOTEL!N36</f>
        <v>125</v>
      </c>
      <c r="I29" s="16">
        <f>HOTEL!P36</f>
        <v>2823</v>
      </c>
      <c r="J29" s="16">
        <f>HOTEL!U36</f>
        <v>203</v>
      </c>
      <c r="K29" s="16">
        <f>HOTEL!Y36</f>
        <v>44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12</v>
      </c>
      <c r="D30" s="13">
        <v>2020</v>
      </c>
      <c r="E30" s="16">
        <f>HOTEL!D37</f>
        <v>3187</v>
      </c>
      <c r="F30" s="16">
        <f>HOTEL!F37</f>
        <v>3211</v>
      </c>
      <c r="G30" s="16">
        <f>HOTEL!H37</f>
        <v>3444</v>
      </c>
      <c r="H30" s="16">
        <f>HOTEL!N37</f>
        <v>147</v>
      </c>
      <c r="I30" s="16">
        <f>HOTEL!P37</f>
        <v>2548</v>
      </c>
      <c r="J30" s="16">
        <f>HOTEL!U37</f>
        <v>204</v>
      </c>
      <c r="K30" s="16">
        <f>HOTEL!Y37</f>
        <v>43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12</v>
      </c>
      <c r="D31" s="13">
        <v>2020</v>
      </c>
      <c r="E31" s="16">
        <f>HOTEL!D38</f>
        <v>3292</v>
      </c>
      <c r="F31" s="16">
        <f>HOTEL!F38</f>
        <v>3470</v>
      </c>
      <c r="G31" s="16">
        <f>HOTEL!H38</f>
        <v>2979</v>
      </c>
      <c r="H31" s="16">
        <f>HOTEL!N38</f>
        <v>167</v>
      </c>
      <c r="I31" s="16">
        <f>HOTEL!P38</f>
        <v>2822</v>
      </c>
      <c r="J31" s="16">
        <f>HOTEL!U38</f>
        <v>197</v>
      </c>
      <c r="K31" s="16">
        <f>HOTEL!Y38</f>
        <v>55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12</v>
      </c>
      <c r="D32" s="13">
        <v>2020</v>
      </c>
      <c r="E32" s="16">
        <f>HOTEL!D39</f>
        <v>3205</v>
      </c>
      <c r="F32" s="16">
        <f>HOTEL!F39</f>
        <v>3066</v>
      </c>
      <c r="G32" s="16">
        <f>HOTEL!H39</f>
        <v>2727</v>
      </c>
      <c r="H32" s="16">
        <f>HOTEL!N39</f>
        <v>134</v>
      </c>
      <c r="I32" s="16">
        <f>HOTEL!P39</f>
        <v>2632</v>
      </c>
      <c r="J32" s="16">
        <f>HOTEL!U39</f>
        <v>176</v>
      </c>
      <c r="K32" s="16">
        <f>HOTEL!Y39</f>
        <v>52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topLeftCell="A4" workbookViewId="0">
      <selection activeCell="D45" sqref="D4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4"/>
      <c r="C1" s="144"/>
      <c r="D1" s="144"/>
      <c r="E1" s="144"/>
      <c r="F1" s="145" t="s">
        <v>95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5" t="s">
        <v>122</v>
      </c>
      <c r="X1" s="146"/>
      <c r="Y1" s="146"/>
      <c r="Z1" s="147"/>
    </row>
    <row r="2" spans="1:27" x14ac:dyDescent="0.25">
      <c r="A2" s="13"/>
      <c r="B2" s="144"/>
      <c r="C2" s="144"/>
      <c r="D2" s="144"/>
      <c r="E2" s="144"/>
      <c r="F2" s="148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48"/>
      <c r="X2" s="149"/>
      <c r="Y2" s="149"/>
      <c r="Z2" s="150"/>
    </row>
    <row r="3" spans="1:27" x14ac:dyDescent="0.25">
      <c r="A3" s="13"/>
      <c r="B3" s="144"/>
      <c r="C3" s="144"/>
      <c r="D3" s="144"/>
      <c r="E3" s="144"/>
      <c r="F3" s="148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48">
        <v>2020</v>
      </c>
      <c r="X3" s="149"/>
      <c r="Y3" s="149"/>
      <c r="Z3" s="150"/>
    </row>
    <row r="4" spans="1:27" x14ac:dyDescent="0.25">
      <c r="A4" s="13"/>
      <c r="B4" s="144"/>
      <c r="C4" s="144"/>
      <c r="D4" s="144"/>
      <c r="E4" s="144"/>
      <c r="F4" s="151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51"/>
      <c r="X4" s="152"/>
      <c r="Y4" s="152"/>
      <c r="Z4" s="153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4941979</v>
      </c>
      <c r="D6" s="36"/>
      <c r="E6" s="37">
        <v>4893424</v>
      </c>
      <c r="F6" s="38"/>
      <c r="G6" s="35">
        <v>4631508</v>
      </c>
      <c r="H6" s="39">
        <f>G6-G5</f>
        <v>4631508</v>
      </c>
      <c r="I6" s="40"/>
      <c r="J6" s="41">
        <f>D6+F6+H6</f>
        <v>4631508</v>
      </c>
      <c r="K6" s="41" t="e">
        <f>D6*0.152+F6*0.238+H6*0.115+#REF!*0.218</f>
        <v>#REF!</v>
      </c>
      <c r="L6" s="42"/>
      <c r="M6" s="43">
        <v>118100</v>
      </c>
      <c r="N6" s="39" t="e">
        <f>M6-#REF!</f>
        <v>#REF!</v>
      </c>
      <c r="O6" s="44">
        <v>1955443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228482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4" t="s">
        <v>97</v>
      </c>
      <c r="D7" s="155"/>
      <c r="E7" s="155"/>
      <c r="F7" s="155"/>
      <c r="G7" s="155"/>
      <c r="H7" s="155"/>
      <c r="I7" s="155"/>
      <c r="J7" s="155"/>
      <c r="K7" s="156"/>
      <c r="L7" s="49"/>
      <c r="M7" s="154" t="s">
        <v>98</v>
      </c>
      <c r="N7" s="155"/>
      <c r="O7" s="155"/>
      <c r="P7" s="155"/>
      <c r="Q7" s="155"/>
      <c r="R7" s="156"/>
      <c r="S7" s="49"/>
      <c r="T7" s="157" t="s">
        <v>99</v>
      </c>
      <c r="U7" s="157"/>
      <c r="V7" s="158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4">
        <v>4944591</v>
      </c>
      <c r="D9" s="69">
        <f>IF((C9-C6&lt;0), "0",C9-C6)</f>
        <v>2612</v>
      </c>
      <c r="E9" s="105">
        <v>4896004</v>
      </c>
      <c r="F9" s="69">
        <f>IF((E9-E6&lt;0), "0",E9-E6)</f>
        <v>2580</v>
      </c>
      <c r="G9" s="88">
        <v>4633942</v>
      </c>
      <c r="H9" s="69">
        <f>IF((G9-G6&lt;0), "0",G9-G6)</f>
        <v>2434</v>
      </c>
      <c r="I9" s="71">
        <f>SUM(H9,F9,D9)</f>
        <v>7626</v>
      </c>
      <c r="J9" s="72">
        <v>0.99</v>
      </c>
      <c r="K9" s="73">
        <f>I9*0.251</f>
        <v>1914.126</v>
      </c>
      <c r="L9" s="74"/>
      <c r="M9" s="104">
        <v>118212</v>
      </c>
      <c r="N9" s="69">
        <f>IF((M9-M6&lt;0), "0",M9-M6)</f>
        <v>112</v>
      </c>
      <c r="O9" s="104">
        <v>1956620</v>
      </c>
      <c r="P9" s="69">
        <f>IF((O9-O6&lt;0), "0",O9-O6)</f>
        <v>1177</v>
      </c>
      <c r="Q9" s="75">
        <f t="shared" ref="Q9:Q39" si="0">N9+P9</f>
        <v>1289</v>
      </c>
      <c r="R9" s="76">
        <f>(P9+N9)*0.056*10.211</f>
        <v>737.07082400000002</v>
      </c>
      <c r="S9" s="77"/>
      <c r="T9" s="106">
        <v>228612</v>
      </c>
      <c r="U9" s="69">
        <f>IF((T9-T6&lt;0), "0",T9-T6)</f>
        <v>130</v>
      </c>
      <c r="V9" s="79">
        <f>U9*(1.315+1.54)</f>
        <v>371.15</v>
      </c>
      <c r="W9" s="80"/>
      <c r="X9" s="81">
        <f t="shared" ref="X9:X39" si="1">K9+R9+V9</f>
        <v>3022.3468240000002</v>
      </c>
      <c r="Y9" s="82">
        <v>36</v>
      </c>
      <c r="Z9" s="83">
        <f>X9/Y9</f>
        <v>83.954078444444448</v>
      </c>
    </row>
    <row r="10" spans="1:27" x14ac:dyDescent="0.25">
      <c r="A10" s="13" t="s">
        <v>117</v>
      </c>
      <c r="B10" s="67">
        <f>B9+1</f>
        <v>2</v>
      </c>
      <c r="C10" s="68">
        <v>4946909</v>
      </c>
      <c r="D10" s="69">
        <f t="shared" ref="D10:D19" si="2">IF((C10-C9&lt;0), "0",C10-C9)</f>
        <v>2318</v>
      </c>
      <c r="E10" s="70">
        <v>4898286</v>
      </c>
      <c r="F10" s="69">
        <f>IF((E10-E9&lt;0), "0",E10-E9)</f>
        <v>2282</v>
      </c>
      <c r="G10" s="70">
        <v>4636068</v>
      </c>
      <c r="H10" s="69">
        <f t="shared" ref="H10:H39" si="3">IF((G10-G9&lt;0), "0",G10-G9)</f>
        <v>2126</v>
      </c>
      <c r="I10" s="71">
        <f t="shared" ref="I10:I39" si="4">SUM(H10,F10,D10)</f>
        <v>6726</v>
      </c>
      <c r="J10" s="72">
        <v>0.99</v>
      </c>
      <c r="K10" s="73">
        <f t="shared" ref="K10:K39" si="5">I10*0.251</f>
        <v>1688.2260000000001</v>
      </c>
      <c r="L10" s="74"/>
      <c r="M10" s="70">
        <v>118324</v>
      </c>
      <c r="N10" s="69">
        <f>IF((M10-M9&lt;0), "0",M10-M9)</f>
        <v>112</v>
      </c>
      <c r="O10" s="70">
        <v>1957789</v>
      </c>
      <c r="P10" s="69">
        <f>IF((O10-O9&lt;0), "0",O10-O9)</f>
        <v>1169</v>
      </c>
      <c r="Q10" s="75">
        <f t="shared" si="0"/>
        <v>1281</v>
      </c>
      <c r="R10" s="76">
        <f t="shared" ref="R10:R39" si="6">(P10+N10)*0.056*10.211</f>
        <v>732.49629600000003</v>
      </c>
      <c r="S10" s="77"/>
      <c r="T10" s="78">
        <v>228736</v>
      </c>
      <c r="U10" s="69">
        <f>IF((T10-T9&lt;0), "0",T10-T9)</f>
        <v>124</v>
      </c>
      <c r="V10" s="79">
        <f t="shared" ref="V10:V39" si="7">U10*(1.315+1.54)</f>
        <v>354.02</v>
      </c>
      <c r="W10" s="80"/>
      <c r="X10" s="84">
        <f t="shared" si="1"/>
        <v>2774.7422959999999</v>
      </c>
      <c r="Y10" s="85">
        <v>27</v>
      </c>
      <c r="Z10" s="86">
        <f t="shared" ref="Z10:Z39" si="8">X10/Y10</f>
        <v>102.76823318518518</v>
      </c>
    </row>
    <row r="11" spans="1:27" x14ac:dyDescent="0.25">
      <c r="A11" s="13" t="s">
        <v>118</v>
      </c>
      <c r="B11" s="67">
        <f t="shared" ref="B11:B39" si="9">B10+1</f>
        <v>3</v>
      </c>
      <c r="C11" s="68">
        <v>4949036</v>
      </c>
      <c r="D11" s="69">
        <f t="shared" si="2"/>
        <v>2127</v>
      </c>
      <c r="E11" s="68">
        <v>4900372</v>
      </c>
      <c r="F11" s="69">
        <f t="shared" ref="F11:F39" si="10">IF((E11-E10&lt;0), "0",E11-E10)</f>
        <v>2086</v>
      </c>
      <c r="G11" s="70">
        <v>4638014</v>
      </c>
      <c r="H11" s="69">
        <f t="shared" si="3"/>
        <v>1946</v>
      </c>
      <c r="I11" s="71">
        <f t="shared" si="4"/>
        <v>6159</v>
      </c>
      <c r="J11" s="72">
        <v>0.99</v>
      </c>
      <c r="K11" s="73">
        <f t="shared" si="5"/>
        <v>1545.9090000000001</v>
      </c>
      <c r="L11" s="74"/>
      <c r="M11" s="70">
        <v>118452</v>
      </c>
      <c r="N11" s="69">
        <f t="shared" ref="N11:N39" si="11">IF((M11-M10&lt;0), "0",M11-M10)</f>
        <v>128</v>
      </c>
      <c r="O11" s="70">
        <v>1958929</v>
      </c>
      <c r="P11" s="69">
        <f t="shared" ref="P11:P39" si="12">IF((O11-O10&lt;0), "0",O11-O10)</f>
        <v>1140</v>
      </c>
      <c r="Q11" s="75">
        <f t="shared" si="0"/>
        <v>1268</v>
      </c>
      <c r="R11" s="76">
        <f t="shared" si="6"/>
        <v>725.06268799999998</v>
      </c>
      <c r="S11" s="77"/>
      <c r="T11" s="87">
        <v>228861</v>
      </c>
      <c r="U11" s="69">
        <f t="shared" ref="U11:U39" si="13">IF((T11-T10&lt;0), "0",T11-T10)</f>
        <v>125</v>
      </c>
      <c r="V11" s="79">
        <f t="shared" si="7"/>
        <v>356.875</v>
      </c>
      <c r="W11" s="80"/>
      <c r="X11" s="84">
        <f t="shared" si="1"/>
        <v>2627.8466880000001</v>
      </c>
      <c r="Y11" s="85">
        <v>28</v>
      </c>
      <c r="Z11" s="86">
        <f t="shared" si="8"/>
        <v>93.851667428571432</v>
      </c>
    </row>
    <row r="12" spans="1:27" x14ac:dyDescent="0.25">
      <c r="A12" s="13" t="s">
        <v>119</v>
      </c>
      <c r="B12" s="67">
        <f t="shared" si="9"/>
        <v>4</v>
      </c>
      <c r="C12" s="68">
        <v>4951448</v>
      </c>
      <c r="D12" s="69">
        <f t="shared" si="2"/>
        <v>2412</v>
      </c>
      <c r="E12" s="68">
        <v>4902445</v>
      </c>
      <c r="F12" s="69">
        <f t="shared" si="10"/>
        <v>2073</v>
      </c>
      <c r="G12" s="70">
        <v>4639887</v>
      </c>
      <c r="H12" s="69">
        <f t="shared" si="3"/>
        <v>1873</v>
      </c>
      <c r="I12" s="71">
        <f t="shared" si="4"/>
        <v>6358</v>
      </c>
      <c r="J12" s="72">
        <v>0.99</v>
      </c>
      <c r="K12" s="73">
        <f t="shared" si="5"/>
        <v>1595.8579999999999</v>
      </c>
      <c r="L12" s="74"/>
      <c r="M12" s="70">
        <v>118581</v>
      </c>
      <c r="N12" s="69">
        <f t="shared" si="11"/>
        <v>129</v>
      </c>
      <c r="O12" s="70">
        <v>1960351</v>
      </c>
      <c r="P12" s="69">
        <f t="shared" si="12"/>
        <v>1422</v>
      </c>
      <c r="Q12" s="75">
        <f t="shared" si="0"/>
        <v>1551</v>
      </c>
      <c r="R12" s="76">
        <f t="shared" si="6"/>
        <v>886.88661600000012</v>
      </c>
      <c r="S12" s="77"/>
      <c r="T12" s="78">
        <v>229102</v>
      </c>
      <c r="U12" s="69">
        <f t="shared" si="13"/>
        <v>241</v>
      </c>
      <c r="V12" s="79">
        <f t="shared" si="7"/>
        <v>688.05499999999995</v>
      </c>
      <c r="W12" s="80"/>
      <c r="X12" s="84">
        <f t="shared" si="1"/>
        <v>3170.7996159999998</v>
      </c>
      <c r="Y12" s="85">
        <v>30</v>
      </c>
      <c r="Z12" s="86">
        <f t="shared" si="8"/>
        <v>105.69332053333332</v>
      </c>
    </row>
    <row r="13" spans="1:27" x14ac:dyDescent="0.25">
      <c r="A13" s="13" t="s">
        <v>120</v>
      </c>
      <c r="B13" s="67">
        <f t="shared" si="9"/>
        <v>5</v>
      </c>
      <c r="C13" s="88">
        <v>4953285</v>
      </c>
      <c r="D13" s="69">
        <f t="shared" si="2"/>
        <v>1837</v>
      </c>
      <c r="E13" s="68">
        <v>4904542</v>
      </c>
      <c r="F13" s="69">
        <f t="shared" si="10"/>
        <v>2097</v>
      </c>
      <c r="G13" s="88">
        <v>4641921</v>
      </c>
      <c r="H13" s="69">
        <f t="shared" si="3"/>
        <v>2034</v>
      </c>
      <c r="I13" s="71">
        <f t="shared" si="4"/>
        <v>5968</v>
      </c>
      <c r="J13" s="72">
        <v>0.99</v>
      </c>
      <c r="K13" s="73">
        <f t="shared" si="5"/>
        <v>1497.9680000000001</v>
      </c>
      <c r="L13" s="74"/>
      <c r="M13" s="70">
        <v>118691</v>
      </c>
      <c r="N13" s="69">
        <f t="shared" si="11"/>
        <v>110</v>
      </c>
      <c r="O13" s="68">
        <v>1961772</v>
      </c>
      <c r="P13" s="69">
        <f t="shared" si="12"/>
        <v>1421</v>
      </c>
      <c r="Q13" s="75">
        <f t="shared" si="0"/>
        <v>1531</v>
      </c>
      <c r="R13" s="76">
        <f t="shared" si="6"/>
        <v>875.45029600000009</v>
      </c>
      <c r="S13" s="77"/>
      <c r="T13" s="89">
        <v>229319</v>
      </c>
      <c r="U13" s="69">
        <f t="shared" si="13"/>
        <v>217</v>
      </c>
      <c r="V13" s="79">
        <f t="shared" si="7"/>
        <v>619.53499999999997</v>
      </c>
      <c r="W13" s="80"/>
      <c r="X13" s="84">
        <f t="shared" si="1"/>
        <v>2992.9532960000001</v>
      </c>
      <c r="Y13" s="85">
        <v>29</v>
      </c>
      <c r="Z13" s="86">
        <f t="shared" si="8"/>
        <v>103.20528606896552</v>
      </c>
    </row>
    <row r="14" spans="1:27" x14ac:dyDescent="0.25">
      <c r="A14" s="13" t="s">
        <v>96</v>
      </c>
      <c r="B14" s="67">
        <f t="shared" si="9"/>
        <v>6</v>
      </c>
      <c r="C14" s="68">
        <v>4955337</v>
      </c>
      <c r="D14" s="69">
        <f t="shared" si="2"/>
        <v>2052</v>
      </c>
      <c r="E14" s="68">
        <v>4906582</v>
      </c>
      <c r="F14" s="69">
        <f t="shared" si="10"/>
        <v>2040</v>
      </c>
      <c r="G14" s="88">
        <v>4643832</v>
      </c>
      <c r="H14" s="69">
        <f t="shared" si="3"/>
        <v>1911</v>
      </c>
      <c r="I14" s="71">
        <f t="shared" si="4"/>
        <v>6003</v>
      </c>
      <c r="J14" s="72">
        <v>0.99</v>
      </c>
      <c r="K14" s="73">
        <f t="shared" si="5"/>
        <v>1506.7529999999999</v>
      </c>
      <c r="L14" s="74"/>
      <c r="M14" s="70">
        <v>118825</v>
      </c>
      <c r="N14" s="69">
        <f t="shared" si="11"/>
        <v>134</v>
      </c>
      <c r="O14" s="68">
        <v>1963171</v>
      </c>
      <c r="P14" s="69">
        <f t="shared" si="12"/>
        <v>1399</v>
      </c>
      <c r="Q14" s="75">
        <f t="shared" si="0"/>
        <v>1533</v>
      </c>
      <c r="R14" s="76">
        <f t="shared" si="6"/>
        <v>876.59392800000001</v>
      </c>
      <c r="S14" s="77"/>
      <c r="T14" s="89">
        <v>229456</v>
      </c>
      <c r="U14" s="69">
        <f t="shared" si="13"/>
        <v>137</v>
      </c>
      <c r="V14" s="79">
        <f t="shared" si="7"/>
        <v>391.13499999999999</v>
      </c>
      <c r="W14" s="80"/>
      <c r="X14" s="84">
        <f t="shared" si="1"/>
        <v>2774.4819280000002</v>
      </c>
      <c r="Y14" s="85">
        <v>38</v>
      </c>
      <c r="Z14" s="86">
        <f t="shared" si="8"/>
        <v>73.012682315789476</v>
      </c>
    </row>
    <row r="15" spans="1:27" x14ac:dyDescent="0.25">
      <c r="A15" s="13" t="s">
        <v>121</v>
      </c>
      <c r="B15" s="67">
        <f t="shared" si="9"/>
        <v>7</v>
      </c>
      <c r="C15" s="68">
        <v>4957381</v>
      </c>
      <c r="D15" s="69">
        <f t="shared" si="2"/>
        <v>2044</v>
      </c>
      <c r="E15" s="68">
        <v>4908616</v>
      </c>
      <c r="F15" s="69">
        <f t="shared" si="10"/>
        <v>2034</v>
      </c>
      <c r="G15" s="68">
        <v>4645723</v>
      </c>
      <c r="H15" s="69">
        <f t="shared" si="3"/>
        <v>1891</v>
      </c>
      <c r="I15" s="71">
        <f t="shared" si="4"/>
        <v>5969</v>
      </c>
      <c r="J15" s="72">
        <v>0.99</v>
      </c>
      <c r="K15" s="73">
        <f t="shared" si="5"/>
        <v>1498.2190000000001</v>
      </c>
      <c r="L15" s="74"/>
      <c r="M15" s="70">
        <v>118958</v>
      </c>
      <c r="N15" s="69">
        <f t="shared" si="11"/>
        <v>133</v>
      </c>
      <c r="O15" s="68">
        <v>1964527</v>
      </c>
      <c r="P15" s="69">
        <f t="shared" si="12"/>
        <v>1356</v>
      </c>
      <c r="Q15" s="75">
        <f t="shared" si="0"/>
        <v>1489</v>
      </c>
      <c r="R15" s="76">
        <f t="shared" si="6"/>
        <v>851.43402400000002</v>
      </c>
      <c r="S15" s="77"/>
      <c r="T15" s="89">
        <v>229571</v>
      </c>
      <c r="U15" s="69">
        <f t="shared" si="13"/>
        <v>115</v>
      </c>
      <c r="V15" s="79">
        <f t="shared" si="7"/>
        <v>328.32499999999999</v>
      </c>
      <c r="W15" s="80"/>
      <c r="X15" s="84">
        <f t="shared" si="1"/>
        <v>2677.978024</v>
      </c>
      <c r="Y15" s="85">
        <v>24</v>
      </c>
      <c r="Z15" s="86">
        <f t="shared" si="8"/>
        <v>111.58241766666667</v>
      </c>
    </row>
    <row r="16" spans="1:27" x14ac:dyDescent="0.25">
      <c r="A16" s="13" t="s">
        <v>116</v>
      </c>
      <c r="B16" s="67">
        <f t="shared" si="9"/>
        <v>8</v>
      </c>
      <c r="C16" s="68">
        <v>4959597</v>
      </c>
      <c r="D16" s="69">
        <f t="shared" si="2"/>
        <v>2216</v>
      </c>
      <c r="E16" s="68">
        <v>4910838</v>
      </c>
      <c r="F16" s="69">
        <f t="shared" si="10"/>
        <v>2222</v>
      </c>
      <c r="G16" s="68">
        <v>4647800</v>
      </c>
      <c r="H16" s="69">
        <f t="shared" si="3"/>
        <v>2077</v>
      </c>
      <c r="I16" s="71">
        <f t="shared" si="4"/>
        <v>6515</v>
      </c>
      <c r="J16" s="72">
        <v>0.99</v>
      </c>
      <c r="K16" s="73">
        <f t="shared" si="5"/>
        <v>1635.2650000000001</v>
      </c>
      <c r="L16" s="74"/>
      <c r="M16" s="70">
        <v>119077</v>
      </c>
      <c r="N16" s="69">
        <f t="shared" si="11"/>
        <v>119</v>
      </c>
      <c r="O16" s="68">
        <v>1966007</v>
      </c>
      <c r="P16" s="69">
        <f t="shared" si="12"/>
        <v>1480</v>
      </c>
      <c r="Q16" s="75">
        <f t="shared" si="0"/>
        <v>1599</v>
      </c>
      <c r="R16" s="76">
        <f t="shared" si="6"/>
        <v>914.33378400000004</v>
      </c>
      <c r="S16" s="77"/>
      <c r="T16" s="89">
        <v>229713</v>
      </c>
      <c r="U16" s="69">
        <f t="shared" si="13"/>
        <v>142</v>
      </c>
      <c r="V16" s="79">
        <f t="shared" si="7"/>
        <v>405.41</v>
      </c>
      <c r="W16" s="80"/>
      <c r="X16" s="84">
        <f t="shared" si="1"/>
        <v>2955.0087840000001</v>
      </c>
      <c r="Y16" s="85">
        <v>32</v>
      </c>
      <c r="Z16" s="86">
        <f t="shared" si="8"/>
        <v>92.344024500000003</v>
      </c>
    </row>
    <row r="17" spans="1:26" x14ac:dyDescent="0.25">
      <c r="A17" s="13" t="s">
        <v>117</v>
      </c>
      <c r="B17" s="67">
        <v>9</v>
      </c>
      <c r="C17" s="90">
        <v>4961850</v>
      </c>
      <c r="D17" s="69">
        <f t="shared" si="2"/>
        <v>2253</v>
      </c>
      <c r="E17" s="90">
        <v>4913077</v>
      </c>
      <c r="F17" s="69">
        <f t="shared" si="10"/>
        <v>2239</v>
      </c>
      <c r="G17" s="90">
        <v>4649888</v>
      </c>
      <c r="H17" s="69">
        <f t="shared" si="3"/>
        <v>2088</v>
      </c>
      <c r="I17" s="71">
        <f t="shared" si="4"/>
        <v>6580</v>
      </c>
      <c r="J17" s="72">
        <v>0.99</v>
      </c>
      <c r="K17" s="73">
        <f t="shared" si="5"/>
        <v>1651.58</v>
      </c>
      <c r="L17" s="74"/>
      <c r="M17" s="90">
        <v>119221</v>
      </c>
      <c r="N17" s="69">
        <f t="shared" si="11"/>
        <v>144</v>
      </c>
      <c r="O17" s="90">
        <v>1967451</v>
      </c>
      <c r="P17" s="69">
        <f t="shared" si="12"/>
        <v>1444</v>
      </c>
      <c r="Q17" s="75">
        <f t="shared" si="0"/>
        <v>1588</v>
      </c>
      <c r="R17" s="76">
        <f t="shared" si="6"/>
        <v>908.04380800000001</v>
      </c>
      <c r="S17" s="77"/>
      <c r="T17" s="91">
        <v>229826</v>
      </c>
      <c r="U17" s="69">
        <f t="shared" si="13"/>
        <v>113</v>
      </c>
      <c r="V17" s="79">
        <f t="shared" si="7"/>
        <v>322.61500000000001</v>
      </c>
      <c r="W17" s="80"/>
      <c r="X17" s="84">
        <f t="shared" si="1"/>
        <v>2882.2388080000001</v>
      </c>
      <c r="Y17" s="85">
        <v>27</v>
      </c>
      <c r="Z17" s="86">
        <f t="shared" si="8"/>
        <v>106.74958548148149</v>
      </c>
    </row>
    <row r="18" spans="1:26" x14ac:dyDescent="0.25">
      <c r="A18" s="13" t="s">
        <v>118</v>
      </c>
      <c r="B18" s="92">
        <f t="shared" si="9"/>
        <v>10</v>
      </c>
      <c r="C18" s="90">
        <v>4964221</v>
      </c>
      <c r="D18" s="69">
        <f t="shared" si="2"/>
        <v>2371</v>
      </c>
      <c r="E18" s="68">
        <v>4915312</v>
      </c>
      <c r="F18" s="69">
        <f t="shared" si="10"/>
        <v>2235</v>
      </c>
      <c r="G18" s="68">
        <v>4652001</v>
      </c>
      <c r="H18" s="69">
        <f t="shared" si="3"/>
        <v>2113</v>
      </c>
      <c r="I18" s="71">
        <f t="shared" si="4"/>
        <v>6719</v>
      </c>
      <c r="J18" s="72">
        <v>0.99</v>
      </c>
      <c r="K18" s="73">
        <f t="shared" si="5"/>
        <v>1686.4690000000001</v>
      </c>
      <c r="L18" s="93"/>
      <c r="M18" s="70">
        <v>119351</v>
      </c>
      <c r="N18" s="69">
        <f t="shared" si="11"/>
        <v>130</v>
      </c>
      <c r="O18" s="68">
        <v>1968901</v>
      </c>
      <c r="P18" s="69">
        <f t="shared" si="12"/>
        <v>1450</v>
      </c>
      <c r="Q18" s="75">
        <f t="shared" si="0"/>
        <v>1580</v>
      </c>
      <c r="R18" s="76">
        <f t="shared" si="6"/>
        <v>903.46928000000003</v>
      </c>
      <c r="S18" s="94"/>
      <c r="T18" s="89">
        <v>229960</v>
      </c>
      <c r="U18" s="69">
        <f t="shared" si="13"/>
        <v>134</v>
      </c>
      <c r="V18" s="79">
        <f t="shared" si="7"/>
        <v>382.57</v>
      </c>
      <c r="W18" s="80"/>
      <c r="X18" s="84">
        <f t="shared" si="1"/>
        <v>2972.5082800000005</v>
      </c>
      <c r="Y18" s="85">
        <v>23</v>
      </c>
      <c r="Z18" s="95">
        <f t="shared" si="8"/>
        <v>129.23949043478262</v>
      </c>
    </row>
    <row r="19" spans="1:26" x14ac:dyDescent="0.25">
      <c r="A19" s="13" t="s">
        <v>119</v>
      </c>
      <c r="B19" s="96">
        <f t="shared" si="9"/>
        <v>11</v>
      </c>
      <c r="C19" s="68">
        <v>4966235</v>
      </c>
      <c r="D19" s="69">
        <f t="shared" si="2"/>
        <v>2014</v>
      </c>
      <c r="E19" s="68">
        <v>4917469</v>
      </c>
      <c r="F19" s="69">
        <f t="shared" si="10"/>
        <v>2157</v>
      </c>
      <c r="G19" s="68">
        <v>4653993</v>
      </c>
      <c r="H19" s="69">
        <f t="shared" si="3"/>
        <v>1992</v>
      </c>
      <c r="I19" s="71">
        <f t="shared" si="4"/>
        <v>6163</v>
      </c>
      <c r="J19" s="72">
        <v>0.99</v>
      </c>
      <c r="K19" s="73">
        <f t="shared" si="5"/>
        <v>1546.913</v>
      </c>
      <c r="L19" s="74"/>
      <c r="M19" s="70">
        <v>119500</v>
      </c>
      <c r="N19" s="69">
        <f t="shared" si="11"/>
        <v>149</v>
      </c>
      <c r="O19" s="97">
        <v>1970431</v>
      </c>
      <c r="P19" s="69">
        <f t="shared" si="12"/>
        <v>1530</v>
      </c>
      <c r="Q19" s="75">
        <f t="shared" si="0"/>
        <v>1679</v>
      </c>
      <c r="R19" s="76">
        <f t="shared" si="6"/>
        <v>960.07906400000002</v>
      </c>
      <c r="S19" s="77"/>
      <c r="T19" s="98">
        <v>230122</v>
      </c>
      <c r="U19" s="69">
        <f t="shared" si="13"/>
        <v>162</v>
      </c>
      <c r="V19" s="79">
        <f t="shared" si="7"/>
        <v>462.51</v>
      </c>
      <c r="W19" s="80"/>
      <c r="X19" s="84">
        <f t="shared" si="1"/>
        <v>2969.5020640000002</v>
      </c>
      <c r="Y19" s="85">
        <v>25</v>
      </c>
      <c r="Z19" s="83">
        <f t="shared" si="8"/>
        <v>118.78008256000001</v>
      </c>
    </row>
    <row r="20" spans="1:26" x14ac:dyDescent="0.25">
      <c r="A20" s="13" t="s">
        <v>120</v>
      </c>
      <c r="B20" s="67">
        <f t="shared" si="9"/>
        <v>12</v>
      </c>
      <c r="C20" s="68">
        <v>4968316</v>
      </c>
      <c r="D20" s="69">
        <f t="shared" ref="D20:D39" si="14">IF((C20-C19&lt;0), "0",C20-C19)</f>
        <v>2081</v>
      </c>
      <c r="E20" s="68">
        <v>4919545</v>
      </c>
      <c r="F20" s="69">
        <f t="shared" si="10"/>
        <v>2076</v>
      </c>
      <c r="G20" s="68">
        <v>4655937</v>
      </c>
      <c r="H20" s="69">
        <f t="shared" si="3"/>
        <v>1944</v>
      </c>
      <c r="I20" s="71">
        <f t="shared" si="4"/>
        <v>6101</v>
      </c>
      <c r="J20" s="72">
        <v>0.99</v>
      </c>
      <c r="K20" s="73">
        <f t="shared" si="5"/>
        <v>1531.3510000000001</v>
      </c>
      <c r="L20" s="74"/>
      <c r="M20" s="70">
        <v>119625</v>
      </c>
      <c r="N20" s="69">
        <f t="shared" si="11"/>
        <v>125</v>
      </c>
      <c r="O20" s="68">
        <v>1971845</v>
      </c>
      <c r="P20" s="69">
        <f t="shared" si="12"/>
        <v>1414</v>
      </c>
      <c r="Q20" s="75">
        <f t="shared" si="0"/>
        <v>1539</v>
      </c>
      <c r="R20" s="76">
        <f t="shared" si="6"/>
        <v>880.02482399999997</v>
      </c>
      <c r="S20" s="77"/>
      <c r="T20" s="89">
        <v>230228</v>
      </c>
      <c r="U20" s="69">
        <f t="shared" si="13"/>
        <v>106</v>
      </c>
      <c r="V20" s="79">
        <f t="shared" si="7"/>
        <v>302.63</v>
      </c>
      <c r="W20" s="80"/>
      <c r="X20" s="84">
        <f t="shared" si="1"/>
        <v>2714.0058240000003</v>
      </c>
      <c r="Y20" s="85">
        <v>26</v>
      </c>
      <c r="Z20" s="86">
        <f t="shared" si="8"/>
        <v>104.38483938461539</v>
      </c>
    </row>
    <row r="21" spans="1:26" x14ac:dyDescent="0.25">
      <c r="A21" s="13" t="s">
        <v>96</v>
      </c>
      <c r="B21" s="67">
        <f t="shared" si="9"/>
        <v>13</v>
      </c>
      <c r="C21" s="90">
        <v>4970509</v>
      </c>
      <c r="D21" s="69">
        <f t="shared" si="14"/>
        <v>2193</v>
      </c>
      <c r="E21" s="68">
        <v>4921747</v>
      </c>
      <c r="F21" s="69">
        <f t="shared" si="10"/>
        <v>2202</v>
      </c>
      <c r="G21" s="68">
        <v>4657970</v>
      </c>
      <c r="H21" s="69">
        <f t="shared" si="3"/>
        <v>2033</v>
      </c>
      <c r="I21" s="71">
        <f t="shared" si="4"/>
        <v>6428</v>
      </c>
      <c r="J21" s="72">
        <v>0.99</v>
      </c>
      <c r="K21" s="73">
        <f t="shared" si="5"/>
        <v>1613.4280000000001</v>
      </c>
      <c r="L21" s="74"/>
      <c r="M21" s="70">
        <v>119764</v>
      </c>
      <c r="N21" s="69">
        <f t="shared" si="11"/>
        <v>139</v>
      </c>
      <c r="O21" s="68">
        <v>1973384</v>
      </c>
      <c r="P21" s="69">
        <f t="shared" si="12"/>
        <v>1539</v>
      </c>
      <c r="Q21" s="75">
        <f t="shared" si="0"/>
        <v>1678</v>
      </c>
      <c r="R21" s="76">
        <f t="shared" si="6"/>
        <v>959.50724800000012</v>
      </c>
      <c r="S21" s="77"/>
      <c r="T21" s="89">
        <v>230376</v>
      </c>
      <c r="U21" s="69">
        <f t="shared" si="13"/>
        <v>148</v>
      </c>
      <c r="V21" s="79">
        <f t="shared" si="7"/>
        <v>422.54</v>
      </c>
      <c r="W21" s="80"/>
      <c r="X21" s="84">
        <f t="shared" si="1"/>
        <v>2995.4752480000002</v>
      </c>
      <c r="Y21" s="85">
        <v>51</v>
      </c>
      <c r="Z21" s="86">
        <f t="shared" si="8"/>
        <v>58.734808784313728</v>
      </c>
    </row>
    <row r="22" spans="1:26" x14ac:dyDescent="0.25">
      <c r="A22" s="13" t="s">
        <v>121</v>
      </c>
      <c r="B22" s="67">
        <f t="shared" si="9"/>
        <v>14</v>
      </c>
      <c r="C22" s="90">
        <v>4972653</v>
      </c>
      <c r="D22" s="69">
        <f t="shared" si="14"/>
        <v>2144</v>
      </c>
      <c r="E22" s="68">
        <v>4923877</v>
      </c>
      <c r="F22" s="69">
        <f t="shared" si="10"/>
        <v>2130</v>
      </c>
      <c r="G22" s="68">
        <v>4659935</v>
      </c>
      <c r="H22" s="69">
        <f t="shared" si="3"/>
        <v>1965</v>
      </c>
      <c r="I22" s="71">
        <f t="shared" si="4"/>
        <v>6239</v>
      </c>
      <c r="J22" s="72">
        <v>0.99</v>
      </c>
      <c r="K22" s="73">
        <f t="shared" si="5"/>
        <v>1565.989</v>
      </c>
      <c r="L22" s="74"/>
      <c r="M22" s="70">
        <v>119881</v>
      </c>
      <c r="N22" s="69">
        <f t="shared" si="11"/>
        <v>117</v>
      </c>
      <c r="O22" s="68">
        <v>1974855</v>
      </c>
      <c r="P22" s="69">
        <f t="shared" si="12"/>
        <v>1471</v>
      </c>
      <c r="Q22" s="75">
        <f t="shared" si="0"/>
        <v>1588</v>
      </c>
      <c r="R22" s="76">
        <f t="shared" si="6"/>
        <v>908.04380800000001</v>
      </c>
      <c r="S22" s="77"/>
      <c r="T22" s="89">
        <v>230487</v>
      </c>
      <c r="U22" s="69">
        <f t="shared" si="13"/>
        <v>111</v>
      </c>
      <c r="V22" s="79">
        <f t="shared" si="7"/>
        <v>316.90499999999997</v>
      </c>
      <c r="W22" s="80"/>
      <c r="X22" s="84">
        <f t="shared" si="1"/>
        <v>2790.9378079999997</v>
      </c>
      <c r="Y22" s="85">
        <v>15</v>
      </c>
      <c r="Z22" s="86">
        <f t="shared" si="8"/>
        <v>186.0625205333333</v>
      </c>
    </row>
    <row r="23" spans="1:26" x14ac:dyDescent="0.25">
      <c r="A23" s="13" t="s">
        <v>116</v>
      </c>
      <c r="B23" s="67">
        <f t="shared" si="9"/>
        <v>15</v>
      </c>
      <c r="C23" s="68">
        <v>4974866</v>
      </c>
      <c r="D23" s="69">
        <f t="shared" si="14"/>
        <v>2213</v>
      </c>
      <c r="E23" s="68">
        <v>4926074</v>
      </c>
      <c r="F23" s="69">
        <f t="shared" si="10"/>
        <v>2197</v>
      </c>
      <c r="G23" s="68">
        <v>4661968</v>
      </c>
      <c r="H23" s="69">
        <f t="shared" si="3"/>
        <v>2033</v>
      </c>
      <c r="I23" s="71">
        <f t="shared" si="4"/>
        <v>6443</v>
      </c>
      <c r="J23" s="72">
        <v>0.99</v>
      </c>
      <c r="K23" s="73">
        <f t="shared" si="5"/>
        <v>1617.193</v>
      </c>
      <c r="L23" s="74"/>
      <c r="M23" s="70">
        <v>119999</v>
      </c>
      <c r="N23" s="69">
        <f t="shared" si="11"/>
        <v>118</v>
      </c>
      <c r="O23" s="68">
        <v>1976349</v>
      </c>
      <c r="P23" s="69">
        <f t="shared" si="12"/>
        <v>1494</v>
      </c>
      <c r="Q23" s="75">
        <f t="shared" si="0"/>
        <v>1612</v>
      </c>
      <c r="R23" s="76">
        <f t="shared" si="6"/>
        <v>921.76739200000009</v>
      </c>
      <c r="S23" s="77"/>
      <c r="T23" s="89">
        <v>230637</v>
      </c>
      <c r="U23" s="69">
        <f t="shared" si="13"/>
        <v>150</v>
      </c>
      <c r="V23" s="79">
        <f t="shared" si="7"/>
        <v>428.25</v>
      </c>
      <c r="W23" s="80"/>
      <c r="X23" s="84">
        <f t="shared" si="1"/>
        <v>2967.210392</v>
      </c>
      <c r="Y23" s="85">
        <v>21</v>
      </c>
      <c r="Z23" s="86">
        <f t="shared" si="8"/>
        <v>141.29573295238094</v>
      </c>
    </row>
    <row r="24" spans="1:26" x14ac:dyDescent="0.25">
      <c r="A24" s="13" t="s">
        <v>117</v>
      </c>
      <c r="B24" s="67">
        <f t="shared" si="9"/>
        <v>16</v>
      </c>
      <c r="C24" s="68">
        <v>4977081</v>
      </c>
      <c r="D24" s="69">
        <f t="shared" si="14"/>
        <v>2215</v>
      </c>
      <c r="E24" s="68">
        <v>4928276</v>
      </c>
      <c r="F24" s="69">
        <f t="shared" si="10"/>
        <v>2202</v>
      </c>
      <c r="G24" s="68">
        <v>4663997</v>
      </c>
      <c r="H24" s="69">
        <f t="shared" si="3"/>
        <v>2029</v>
      </c>
      <c r="I24" s="71">
        <f t="shared" si="4"/>
        <v>6446</v>
      </c>
      <c r="J24" s="72">
        <v>0.99</v>
      </c>
      <c r="K24" s="73">
        <f t="shared" si="5"/>
        <v>1617.9459999999999</v>
      </c>
      <c r="L24" s="74"/>
      <c r="M24" s="70">
        <v>120113</v>
      </c>
      <c r="N24" s="69">
        <f t="shared" si="11"/>
        <v>114</v>
      </c>
      <c r="O24" s="68">
        <v>1978407</v>
      </c>
      <c r="P24" s="69">
        <f t="shared" si="12"/>
        <v>2058</v>
      </c>
      <c r="Q24" s="75">
        <f t="shared" si="0"/>
        <v>2172</v>
      </c>
      <c r="R24" s="76">
        <f t="shared" si="6"/>
        <v>1241.9843520000002</v>
      </c>
      <c r="S24" s="77"/>
      <c r="T24" s="89">
        <v>230747</v>
      </c>
      <c r="U24" s="69">
        <f t="shared" si="13"/>
        <v>110</v>
      </c>
      <c r="V24" s="79">
        <f t="shared" si="7"/>
        <v>314.05</v>
      </c>
      <c r="W24" s="80"/>
      <c r="X24" s="84">
        <f t="shared" si="1"/>
        <v>3173.9803520000005</v>
      </c>
      <c r="Y24" s="85">
        <v>23</v>
      </c>
      <c r="Z24" s="86">
        <f t="shared" si="8"/>
        <v>137.99914573913046</v>
      </c>
    </row>
    <row r="25" spans="1:26" x14ac:dyDescent="0.25">
      <c r="A25" s="13" t="s">
        <v>118</v>
      </c>
      <c r="B25" s="67">
        <f t="shared" si="9"/>
        <v>17</v>
      </c>
      <c r="C25" s="68">
        <v>4979406</v>
      </c>
      <c r="D25" s="69">
        <f t="shared" si="14"/>
        <v>2325</v>
      </c>
      <c r="E25" s="68">
        <v>4930616</v>
      </c>
      <c r="F25" s="69">
        <f t="shared" si="10"/>
        <v>2340</v>
      </c>
      <c r="G25" s="68">
        <v>4666154</v>
      </c>
      <c r="H25" s="69">
        <f t="shared" si="3"/>
        <v>2157</v>
      </c>
      <c r="I25" s="71">
        <f t="shared" si="4"/>
        <v>6822</v>
      </c>
      <c r="J25" s="72">
        <v>0.99</v>
      </c>
      <c r="K25" s="73">
        <f t="shared" si="5"/>
        <v>1712.3220000000001</v>
      </c>
      <c r="L25" s="74"/>
      <c r="M25" s="70">
        <v>120221</v>
      </c>
      <c r="N25" s="69">
        <f t="shared" si="11"/>
        <v>108</v>
      </c>
      <c r="O25" s="68">
        <v>1980369</v>
      </c>
      <c r="P25" s="69">
        <f t="shared" si="12"/>
        <v>1962</v>
      </c>
      <c r="Q25" s="75">
        <f t="shared" si="0"/>
        <v>2070</v>
      </c>
      <c r="R25" s="76">
        <f t="shared" si="6"/>
        <v>1183.65912</v>
      </c>
      <c r="S25" s="77"/>
      <c r="T25" s="89">
        <v>230846</v>
      </c>
      <c r="U25" s="69">
        <f t="shared" si="13"/>
        <v>99</v>
      </c>
      <c r="V25" s="79">
        <f t="shared" si="7"/>
        <v>282.64499999999998</v>
      </c>
      <c r="W25" s="80"/>
      <c r="X25" s="84">
        <f t="shared" si="1"/>
        <v>3178.6261200000004</v>
      </c>
      <c r="Y25" s="85">
        <v>29</v>
      </c>
      <c r="Z25" s="86">
        <f t="shared" si="8"/>
        <v>109.60779724137932</v>
      </c>
    </row>
    <row r="26" spans="1:26" x14ac:dyDescent="0.25">
      <c r="A26" s="13" t="s">
        <v>119</v>
      </c>
      <c r="B26" s="67">
        <f t="shared" si="9"/>
        <v>18</v>
      </c>
      <c r="C26" s="68">
        <v>4981669</v>
      </c>
      <c r="D26" s="69">
        <f t="shared" si="14"/>
        <v>2263</v>
      </c>
      <c r="E26" s="68">
        <v>4932887</v>
      </c>
      <c r="F26" s="69">
        <f t="shared" si="10"/>
        <v>2271</v>
      </c>
      <c r="G26" s="68">
        <v>4668230</v>
      </c>
      <c r="H26" s="69">
        <f t="shared" si="3"/>
        <v>2076</v>
      </c>
      <c r="I26" s="71">
        <f t="shared" si="4"/>
        <v>6610</v>
      </c>
      <c r="J26" s="72">
        <v>0.99</v>
      </c>
      <c r="K26" s="73">
        <f t="shared" si="5"/>
        <v>1659.11</v>
      </c>
      <c r="L26" s="74"/>
      <c r="M26" s="70">
        <v>120340</v>
      </c>
      <c r="N26" s="69">
        <f t="shared" si="11"/>
        <v>119</v>
      </c>
      <c r="O26" s="68">
        <v>1982104</v>
      </c>
      <c r="P26" s="69">
        <f t="shared" si="12"/>
        <v>1735</v>
      </c>
      <c r="Q26" s="75">
        <f t="shared" si="0"/>
        <v>1854</v>
      </c>
      <c r="R26" s="76">
        <f t="shared" si="6"/>
        <v>1060.1468640000001</v>
      </c>
      <c r="S26" s="77"/>
      <c r="T26" s="89">
        <v>230970</v>
      </c>
      <c r="U26" s="69">
        <f t="shared" si="13"/>
        <v>124</v>
      </c>
      <c r="V26" s="79">
        <f t="shared" si="7"/>
        <v>354.02</v>
      </c>
      <c r="W26" s="80"/>
      <c r="X26" s="84">
        <f t="shared" si="1"/>
        <v>3073.2768639999999</v>
      </c>
      <c r="Y26" s="85">
        <v>34</v>
      </c>
      <c r="Z26" s="86">
        <f t="shared" si="8"/>
        <v>90.390495999999999</v>
      </c>
    </row>
    <row r="27" spans="1:26" x14ac:dyDescent="0.25">
      <c r="A27" s="13" t="s">
        <v>120</v>
      </c>
      <c r="B27" s="67">
        <f t="shared" si="9"/>
        <v>19</v>
      </c>
      <c r="C27" s="68">
        <v>4984226</v>
      </c>
      <c r="D27" s="69">
        <f t="shared" si="14"/>
        <v>2557</v>
      </c>
      <c r="E27" s="68">
        <v>4935421</v>
      </c>
      <c r="F27" s="69">
        <f t="shared" si="10"/>
        <v>2534</v>
      </c>
      <c r="G27" s="68">
        <v>4670572</v>
      </c>
      <c r="H27" s="69">
        <f t="shared" si="3"/>
        <v>2342</v>
      </c>
      <c r="I27" s="71">
        <f t="shared" si="4"/>
        <v>7433</v>
      </c>
      <c r="J27" s="72">
        <v>0.99</v>
      </c>
      <c r="K27" s="73">
        <f t="shared" si="5"/>
        <v>1865.683</v>
      </c>
      <c r="L27" s="99"/>
      <c r="M27" s="70">
        <v>120470</v>
      </c>
      <c r="N27" s="69">
        <f t="shared" si="11"/>
        <v>130</v>
      </c>
      <c r="O27" s="68">
        <v>1983987</v>
      </c>
      <c r="P27" s="69">
        <f t="shared" si="12"/>
        <v>1883</v>
      </c>
      <c r="Q27" s="75">
        <f t="shared" si="0"/>
        <v>2013</v>
      </c>
      <c r="R27" s="76">
        <f t="shared" si="6"/>
        <v>1151.0656080000001</v>
      </c>
      <c r="S27" s="77"/>
      <c r="T27" s="89">
        <v>231107</v>
      </c>
      <c r="U27" s="69">
        <f t="shared" si="13"/>
        <v>137</v>
      </c>
      <c r="V27" s="79">
        <f t="shared" si="7"/>
        <v>391.13499999999999</v>
      </c>
      <c r="W27" s="80"/>
      <c r="X27" s="84">
        <f t="shared" si="1"/>
        <v>3407.8836080000001</v>
      </c>
      <c r="Y27" s="85">
        <v>58</v>
      </c>
      <c r="Z27" s="86">
        <f t="shared" si="8"/>
        <v>58.756613931034487</v>
      </c>
    </row>
    <row r="28" spans="1:26" x14ac:dyDescent="0.25">
      <c r="A28" s="13" t="s">
        <v>96</v>
      </c>
      <c r="B28" s="92">
        <f t="shared" si="9"/>
        <v>20</v>
      </c>
      <c r="C28" s="90">
        <v>4986452</v>
      </c>
      <c r="D28" s="69">
        <f t="shared" si="14"/>
        <v>2226</v>
      </c>
      <c r="E28" s="90">
        <v>4937657</v>
      </c>
      <c r="F28" s="69">
        <f t="shared" si="10"/>
        <v>2236</v>
      </c>
      <c r="G28" s="90">
        <v>4672614</v>
      </c>
      <c r="H28" s="69">
        <f t="shared" si="3"/>
        <v>2042</v>
      </c>
      <c r="I28" s="71">
        <f t="shared" si="4"/>
        <v>6504</v>
      </c>
      <c r="J28" s="72">
        <v>0.99</v>
      </c>
      <c r="K28" s="73">
        <f t="shared" si="5"/>
        <v>1632.5039999999999</v>
      </c>
      <c r="L28" s="100"/>
      <c r="M28" s="70">
        <v>120595</v>
      </c>
      <c r="N28" s="69">
        <f t="shared" si="11"/>
        <v>125</v>
      </c>
      <c r="O28" s="68">
        <v>1985859</v>
      </c>
      <c r="P28" s="69">
        <f t="shared" si="12"/>
        <v>1872</v>
      </c>
      <c r="Q28" s="75">
        <f t="shared" si="0"/>
        <v>1997</v>
      </c>
      <c r="R28" s="76">
        <f t="shared" si="6"/>
        <v>1141.9165520000001</v>
      </c>
      <c r="S28" s="68"/>
      <c r="T28" s="89">
        <v>231251</v>
      </c>
      <c r="U28" s="69">
        <f t="shared" si="13"/>
        <v>144</v>
      </c>
      <c r="V28" s="79">
        <f t="shared" si="7"/>
        <v>411.12</v>
      </c>
      <c r="W28" s="80"/>
      <c r="X28" s="101">
        <f t="shared" si="1"/>
        <v>3185.5405519999999</v>
      </c>
      <c r="Y28" s="85">
        <v>36</v>
      </c>
      <c r="Z28" s="95">
        <f t="shared" si="8"/>
        <v>88.487237555555552</v>
      </c>
    </row>
    <row r="29" spans="1:26" x14ac:dyDescent="0.25">
      <c r="A29" s="13" t="s">
        <v>121</v>
      </c>
      <c r="B29" s="96">
        <f t="shared" si="9"/>
        <v>21</v>
      </c>
      <c r="C29" s="68">
        <v>4988592</v>
      </c>
      <c r="D29" s="69">
        <f t="shared" si="14"/>
        <v>2140</v>
      </c>
      <c r="E29" s="68">
        <v>4939791</v>
      </c>
      <c r="F29" s="69">
        <f t="shared" si="10"/>
        <v>2134</v>
      </c>
      <c r="G29" s="68">
        <v>4674573</v>
      </c>
      <c r="H29" s="69">
        <f t="shared" si="3"/>
        <v>1959</v>
      </c>
      <c r="I29" s="71">
        <f t="shared" si="4"/>
        <v>6233</v>
      </c>
      <c r="J29" s="72">
        <v>0.99</v>
      </c>
      <c r="K29" s="73">
        <f t="shared" si="5"/>
        <v>1564.4829999999999</v>
      </c>
      <c r="L29" s="74"/>
      <c r="M29" s="70">
        <v>120708</v>
      </c>
      <c r="N29" s="69">
        <f t="shared" si="11"/>
        <v>113</v>
      </c>
      <c r="O29" s="68">
        <v>1987579</v>
      </c>
      <c r="P29" s="69">
        <f t="shared" si="12"/>
        <v>1720</v>
      </c>
      <c r="Q29" s="75">
        <f t="shared" si="0"/>
        <v>1833</v>
      </c>
      <c r="R29" s="76">
        <f t="shared" si="6"/>
        <v>1048.1387279999999</v>
      </c>
      <c r="S29" s="77"/>
      <c r="T29" s="89">
        <v>231444</v>
      </c>
      <c r="U29" s="69">
        <f t="shared" si="13"/>
        <v>193</v>
      </c>
      <c r="V29" s="79">
        <f t="shared" si="7"/>
        <v>551.01499999999999</v>
      </c>
      <c r="W29" s="80"/>
      <c r="X29" s="81">
        <f t="shared" si="1"/>
        <v>3163.6367279999999</v>
      </c>
      <c r="Y29" s="85">
        <v>25</v>
      </c>
      <c r="Z29" s="83">
        <f t="shared" si="8"/>
        <v>126.54546911999999</v>
      </c>
    </row>
    <row r="30" spans="1:26" x14ac:dyDescent="0.25">
      <c r="A30" s="13" t="s">
        <v>116</v>
      </c>
      <c r="B30" s="67">
        <f t="shared" si="9"/>
        <v>22</v>
      </c>
      <c r="C30" s="68">
        <v>4990709</v>
      </c>
      <c r="D30" s="69">
        <f t="shared" si="14"/>
        <v>2117</v>
      </c>
      <c r="E30" s="68">
        <v>4941915</v>
      </c>
      <c r="F30" s="69">
        <f t="shared" si="10"/>
        <v>2124</v>
      </c>
      <c r="G30" s="68">
        <v>4676816</v>
      </c>
      <c r="H30" s="69">
        <f t="shared" si="3"/>
        <v>2243</v>
      </c>
      <c r="I30" s="71">
        <f t="shared" si="4"/>
        <v>6484</v>
      </c>
      <c r="J30" s="72">
        <v>0.99</v>
      </c>
      <c r="K30" s="73">
        <f t="shared" si="5"/>
        <v>1627.4839999999999</v>
      </c>
      <c r="L30" s="74"/>
      <c r="M30" s="70">
        <v>120814</v>
      </c>
      <c r="N30" s="69">
        <f t="shared" si="11"/>
        <v>106</v>
      </c>
      <c r="O30" s="68">
        <v>1989281</v>
      </c>
      <c r="P30" s="69">
        <f t="shared" si="12"/>
        <v>1702</v>
      </c>
      <c r="Q30" s="75">
        <f t="shared" si="0"/>
        <v>1808</v>
      </c>
      <c r="R30" s="76">
        <f t="shared" si="6"/>
        <v>1033.8433280000002</v>
      </c>
      <c r="S30" s="77"/>
      <c r="T30" s="89">
        <v>231600</v>
      </c>
      <c r="U30" s="69">
        <f t="shared" si="13"/>
        <v>156</v>
      </c>
      <c r="V30" s="79">
        <f t="shared" si="7"/>
        <v>445.38</v>
      </c>
      <c r="W30" s="80"/>
      <c r="X30" s="84">
        <f t="shared" si="1"/>
        <v>3106.7073280000004</v>
      </c>
      <c r="Y30" s="85">
        <v>27</v>
      </c>
      <c r="Z30" s="86">
        <f t="shared" si="8"/>
        <v>115.06323437037038</v>
      </c>
    </row>
    <row r="31" spans="1:26" x14ac:dyDescent="0.25">
      <c r="A31" s="13" t="s">
        <v>117</v>
      </c>
      <c r="B31" s="67">
        <f t="shared" si="9"/>
        <v>23</v>
      </c>
      <c r="C31" s="68">
        <v>4993541</v>
      </c>
      <c r="D31" s="69">
        <f t="shared" si="14"/>
        <v>2832</v>
      </c>
      <c r="E31" s="68">
        <v>4944521</v>
      </c>
      <c r="F31" s="69">
        <f t="shared" si="10"/>
        <v>2606</v>
      </c>
      <c r="G31" s="68">
        <v>4678989</v>
      </c>
      <c r="H31" s="69">
        <f t="shared" si="3"/>
        <v>2173</v>
      </c>
      <c r="I31" s="71">
        <f t="shared" si="4"/>
        <v>7611</v>
      </c>
      <c r="J31" s="72">
        <v>0.99</v>
      </c>
      <c r="K31" s="73">
        <f t="shared" si="5"/>
        <v>1910.3610000000001</v>
      </c>
      <c r="L31" s="74"/>
      <c r="M31" s="70">
        <v>120941</v>
      </c>
      <c r="N31" s="69">
        <f t="shared" si="11"/>
        <v>127</v>
      </c>
      <c r="O31" s="68">
        <v>1990944</v>
      </c>
      <c r="P31" s="69">
        <f t="shared" si="12"/>
        <v>1663</v>
      </c>
      <c r="Q31" s="75">
        <f t="shared" si="0"/>
        <v>1790</v>
      </c>
      <c r="R31" s="76">
        <f t="shared" si="6"/>
        <v>1023.5506400000002</v>
      </c>
      <c r="S31" s="77"/>
      <c r="T31" s="89">
        <v>231741</v>
      </c>
      <c r="U31" s="69">
        <f t="shared" si="13"/>
        <v>141</v>
      </c>
      <c r="V31" s="79">
        <f t="shared" si="7"/>
        <v>402.55500000000001</v>
      </c>
      <c r="W31" s="80"/>
      <c r="X31" s="102">
        <f t="shared" si="1"/>
        <v>3336.4666400000001</v>
      </c>
      <c r="Y31" s="85">
        <v>27</v>
      </c>
      <c r="Z31" s="86">
        <f t="shared" si="8"/>
        <v>123.57283851851852</v>
      </c>
    </row>
    <row r="32" spans="1:26" x14ac:dyDescent="0.25">
      <c r="A32" s="13" t="s">
        <v>118</v>
      </c>
      <c r="B32" s="67">
        <f t="shared" si="9"/>
        <v>24</v>
      </c>
      <c r="C32" s="68">
        <v>4996447</v>
      </c>
      <c r="D32" s="69">
        <f t="shared" si="14"/>
        <v>2906</v>
      </c>
      <c r="E32" s="68">
        <v>4947622</v>
      </c>
      <c r="F32" s="69">
        <f t="shared" si="10"/>
        <v>3101</v>
      </c>
      <c r="G32" s="68">
        <v>4681754</v>
      </c>
      <c r="H32" s="69">
        <f t="shared" si="3"/>
        <v>2765</v>
      </c>
      <c r="I32" s="71">
        <f t="shared" si="4"/>
        <v>8772</v>
      </c>
      <c r="J32" s="72">
        <v>0.99</v>
      </c>
      <c r="K32" s="73">
        <f t="shared" si="5"/>
        <v>2201.7719999999999</v>
      </c>
      <c r="L32" s="74"/>
      <c r="M32" s="70">
        <v>121058</v>
      </c>
      <c r="N32" s="69">
        <f t="shared" si="11"/>
        <v>117</v>
      </c>
      <c r="O32" s="68">
        <v>1992544</v>
      </c>
      <c r="P32" s="69">
        <f t="shared" si="12"/>
        <v>1600</v>
      </c>
      <c r="Q32" s="75">
        <f t="shared" si="0"/>
        <v>1717</v>
      </c>
      <c r="R32" s="76">
        <f t="shared" si="6"/>
        <v>981.80807200000004</v>
      </c>
      <c r="S32" s="77"/>
      <c r="T32" s="89">
        <v>231894</v>
      </c>
      <c r="U32" s="69">
        <f t="shared" si="13"/>
        <v>153</v>
      </c>
      <c r="V32" s="79">
        <f t="shared" si="7"/>
        <v>436.815</v>
      </c>
      <c r="W32" s="80"/>
      <c r="X32" s="102">
        <f t="shared" si="1"/>
        <v>3620.3950719999998</v>
      </c>
      <c r="Y32" s="85">
        <v>28</v>
      </c>
      <c r="Z32" s="86">
        <f t="shared" si="8"/>
        <v>129.299824</v>
      </c>
    </row>
    <row r="33" spans="1:26" x14ac:dyDescent="0.25">
      <c r="A33" s="13" t="s">
        <v>119</v>
      </c>
      <c r="B33" s="67">
        <f t="shared" si="9"/>
        <v>25</v>
      </c>
      <c r="C33" s="68">
        <v>4999490</v>
      </c>
      <c r="D33" s="69">
        <f t="shared" si="14"/>
        <v>3043</v>
      </c>
      <c r="E33" s="68">
        <v>4950674</v>
      </c>
      <c r="F33" s="69">
        <f t="shared" si="10"/>
        <v>3052</v>
      </c>
      <c r="G33" s="68">
        <v>4684767</v>
      </c>
      <c r="H33" s="69">
        <f t="shared" si="3"/>
        <v>3013</v>
      </c>
      <c r="I33" s="71">
        <f t="shared" si="4"/>
        <v>9108</v>
      </c>
      <c r="J33" s="72">
        <v>0.99</v>
      </c>
      <c r="K33" s="73">
        <f t="shared" si="5"/>
        <v>2286.1080000000002</v>
      </c>
      <c r="L33" s="74"/>
      <c r="M33" s="70">
        <v>121246</v>
      </c>
      <c r="N33" s="69">
        <f t="shared" si="11"/>
        <v>188</v>
      </c>
      <c r="O33" s="68">
        <v>1995095</v>
      </c>
      <c r="P33" s="69">
        <f t="shared" si="12"/>
        <v>2551</v>
      </c>
      <c r="Q33" s="75">
        <f t="shared" si="0"/>
        <v>2739</v>
      </c>
      <c r="R33" s="76">
        <f t="shared" si="6"/>
        <v>1566.2040240000001</v>
      </c>
      <c r="S33" s="77"/>
      <c r="T33" s="89">
        <v>232096</v>
      </c>
      <c r="U33" s="69">
        <f t="shared" si="13"/>
        <v>202</v>
      </c>
      <c r="V33" s="79">
        <f t="shared" si="7"/>
        <v>576.71</v>
      </c>
      <c r="W33" s="80"/>
      <c r="X33" s="102">
        <f t="shared" si="1"/>
        <v>4429.0220239999999</v>
      </c>
      <c r="Y33" s="85">
        <v>42</v>
      </c>
      <c r="Z33" s="86">
        <f t="shared" si="8"/>
        <v>105.45290533333333</v>
      </c>
    </row>
    <row r="34" spans="1:26" x14ac:dyDescent="0.25">
      <c r="A34" s="13" t="s">
        <v>120</v>
      </c>
      <c r="B34" s="67">
        <f t="shared" si="9"/>
        <v>26</v>
      </c>
      <c r="C34" s="90">
        <v>5002850</v>
      </c>
      <c r="D34" s="69">
        <f t="shared" si="14"/>
        <v>3360</v>
      </c>
      <c r="E34" s="68">
        <v>4954039</v>
      </c>
      <c r="F34" s="69">
        <f t="shared" si="10"/>
        <v>3365</v>
      </c>
      <c r="G34" s="68">
        <v>4687970</v>
      </c>
      <c r="H34" s="69">
        <f t="shared" si="3"/>
        <v>3203</v>
      </c>
      <c r="I34" s="71">
        <f t="shared" si="4"/>
        <v>9928</v>
      </c>
      <c r="J34" s="72">
        <v>0.99</v>
      </c>
      <c r="K34" s="73">
        <f t="shared" si="5"/>
        <v>2491.9279999999999</v>
      </c>
      <c r="L34" s="74"/>
      <c r="M34" s="70">
        <v>121407</v>
      </c>
      <c r="N34" s="69">
        <f t="shared" si="11"/>
        <v>161</v>
      </c>
      <c r="O34" s="68">
        <v>1997536</v>
      </c>
      <c r="P34" s="69">
        <f t="shared" si="12"/>
        <v>2441</v>
      </c>
      <c r="Q34" s="75">
        <f t="shared" si="0"/>
        <v>2602</v>
      </c>
      <c r="R34" s="76">
        <f t="shared" si="6"/>
        <v>1487.8652319999999</v>
      </c>
      <c r="S34" s="77"/>
      <c r="T34" s="89">
        <v>232283</v>
      </c>
      <c r="U34" s="69">
        <f t="shared" si="13"/>
        <v>187</v>
      </c>
      <c r="V34" s="79">
        <f t="shared" si="7"/>
        <v>533.88499999999999</v>
      </c>
      <c r="W34" s="80"/>
      <c r="X34" s="102">
        <f t="shared" si="1"/>
        <v>4513.6782320000002</v>
      </c>
      <c r="Y34" s="85">
        <v>73</v>
      </c>
      <c r="Z34" s="86">
        <f t="shared" si="8"/>
        <v>61.831208657534248</v>
      </c>
    </row>
    <row r="35" spans="1:26" x14ac:dyDescent="0.25">
      <c r="A35" s="13" t="s">
        <v>96</v>
      </c>
      <c r="B35" s="67">
        <f t="shared" si="9"/>
        <v>27</v>
      </c>
      <c r="C35" s="90">
        <v>5006172</v>
      </c>
      <c r="D35" s="69">
        <f t="shared" si="14"/>
        <v>3322</v>
      </c>
      <c r="E35" s="68">
        <v>4957364</v>
      </c>
      <c r="F35" s="69">
        <f t="shared" si="10"/>
        <v>3325</v>
      </c>
      <c r="G35" s="68">
        <v>4691110</v>
      </c>
      <c r="H35" s="69">
        <f t="shared" si="3"/>
        <v>3140</v>
      </c>
      <c r="I35" s="71">
        <f t="shared" si="4"/>
        <v>9787</v>
      </c>
      <c r="J35" s="72">
        <v>0.99</v>
      </c>
      <c r="K35" s="73">
        <f t="shared" si="5"/>
        <v>2456.5369999999998</v>
      </c>
      <c r="L35" s="74"/>
      <c r="M35" s="70">
        <v>121544</v>
      </c>
      <c r="N35" s="69">
        <f t="shared" si="11"/>
        <v>137</v>
      </c>
      <c r="O35" s="68">
        <v>2000218</v>
      </c>
      <c r="P35" s="69">
        <f t="shared" si="12"/>
        <v>2682</v>
      </c>
      <c r="Q35" s="75">
        <f t="shared" si="0"/>
        <v>2819</v>
      </c>
      <c r="R35" s="76">
        <f t="shared" si="6"/>
        <v>1611.949304</v>
      </c>
      <c r="S35" s="77"/>
      <c r="T35" s="89">
        <v>232480</v>
      </c>
      <c r="U35" s="69">
        <f t="shared" si="13"/>
        <v>197</v>
      </c>
      <c r="V35" s="79">
        <f t="shared" si="7"/>
        <v>562.43499999999995</v>
      </c>
      <c r="W35" s="80"/>
      <c r="X35" s="102">
        <f t="shared" si="1"/>
        <v>4630.9213039999995</v>
      </c>
      <c r="Y35" s="85">
        <v>121</v>
      </c>
      <c r="Z35" s="86">
        <f t="shared" si="8"/>
        <v>38.272076892561977</v>
      </c>
    </row>
    <row r="36" spans="1:26" x14ac:dyDescent="0.25">
      <c r="A36" s="13" t="s">
        <v>121</v>
      </c>
      <c r="B36" s="67">
        <f>B35+1</f>
        <v>28</v>
      </c>
      <c r="C36" s="90">
        <v>5009332</v>
      </c>
      <c r="D36" s="69">
        <f t="shared" si="14"/>
        <v>3160</v>
      </c>
      <c r="E36" s="68">
        <v>4960521</v>
      </c>
      <c r="F36" s="69">
        <f t="shared" si="10"/>
        <v>3157</v>
      </c>
      <c r="G36" s="68">
        <v>4694198</v>
      </c>
      <c r="H36" s="69">
        <f t="shared" si="3"/>
        <v>3088</v>
      </c>
      <c r="I36" s="71">
        <f t="shared" si="4"/>
        <v>9405</v>
      </c>
      <c r="J36" s="72">
        <v>0.99</v>
      </c>
      <c r="K36" s="73">
        <f t="shared" si="5"/>
        <v>2360.6550000000002</v>
      </c>
      <c r="L36" s="74"/>
      <c r="M36" s="70">
        <v>121669</v>
      </c>
      <c r="N36" s="69">
        <f t="shared" si="11"/>
        <v>125</v>
      </c>
      <c r="O36" s="68">
        <v>2003041</v>
      </c>
      <c r="P36" s="69">
        <f t="shared" si="12"/>
        <v>2823</v>
      </c>
      <c r="Q36" s="75">
        <f t="shared" si="0"/>
        <v>2948</v>
      </c>
      <c r="R36" s="76">
        <f t="shared" si="6"/>
        <v>1685.7135679999999</v>
      </c>
      <c r="S36" s="77"/>
      <c r="T36" s="89">
        <v>232683</v>
      </c>
      <c r="U36" s="69">
        <f t="shared" si="13"/>
        <v>203</v>
      </c>
      <c r="V36" s="79">
        <f t="shared" si="7"/>
        <v>579.56499999999994</v>
      </c>
      <c r="W36" s="80"/>
      <c r="X36" s="102">
        <f t="shared" si="1"/>
        <v>4625.9335679999995</v>
      </c>
      <c r="Y36" s="85">
        <v>44</v>
      </c>
      <c r="Z36" s="86">
        <f t="shared" si="8"/>
        <v>105.13485381818181</v>
      </c>
    </row>
    <row r="37" spans="1:26" x14ac:dyDescent="0.25">
      <c r="A37" s="13" t="s">
        <v>116</v>
      </c>
      <c r="B37" s="67">
        <f t="shared" si="9"/>
        <v>29</v>
      </c>
      <c r="C37" s="90">
        <v>5012519</v>
      </c>
      <c r="D37" s="69">
        <f t="shared" si="14"/>
        <v>3187</v>
      </c>
      <c r="E37" s="103">
        <v>4963732</v>
      </c>
      <c r="F37" s="69">
        <f t="shared" si="10"/>
        <v>3211</v>
      </c>
      <c r="G37" s="103">
        <v>4697642</v>
      </c>
      <c r="H37" s="69">
        <f t="shared" si="3"/>
        <v>3444</v>
      </c>
      <c r="I37" s="71">
        <f t="shared" si="4"/>
        <v>9842</v>
      </c>
      <c r="J37" s="72">
        <v>0.99</v>
      </c>
      <c r="K37" s="73">
        <f t="shared" si="5"/>
        <v>2470.3420000000001</v>
      </c>
      <c r="L37" s="74"/>
      <c r="M37" s="70">
        <v>121816</v>
      </c>
      <c r="N37" s="69">
        <f t="shared" si="11"/>
        <v>147</v>
      </c>
      <c r="O37" s="68">
        <v>2005589</v>
      </c>
      <c r="P37" s="69">
        <f t="shared" si="12"/>
        <v>2548</v>
      </c>
      <c r="Q37" s="75">
        <f t="shared" si="0"/>
        <v>2695</v>
      </c>
      <c r="R37" s="76">
        <f t="shared" si="6"/>
        <v>1541.0441200000002</v>
      </c>
      <c r="S37" s="77"/>
      <c r="T37" s="89">
        <v>232887</v>
      </c>
      <c r="U37" s="69">
        <f t="shared" si="13"/>
        <v>204</v>
      </c>
      <c r="V37" s="79">
        <f t="shared" si="7"/>
        <v>582.41999999999996</v>
      </c>
      <c r="W37" s="80"/>
      <c r="X37" s="102">
        <f t="shared" si="1"/>
        <v>4593.8061200000002</v>
      </c>
      <c r="Y37" s="80">
        <v>43</v>
      </c>
      <c r="Z37" s="86">
        <f t="shared" si="8"/>
        <v>106.83270046511629</v>
      </c>
    </row>
    <row r="38" spans="1:26" x14ac:dyDescent="0.25">
      <c r="A38" s="13" t="s">
        <v>117</v>
      </c>
      <c r="B38" s="67">
        <f t="shared" si="9"/>
        <v>30</v>
      </c>
      <c r="C38" s="68">
        <v>5015811</v>
      </c>
      <c r="D38" s="69">
        <f t="shared" si="14"/>
        <v>3292</v>
      </c>
      <c r="E38" s="90">
        <v>4967202</v>
      </c>
      <c r="F38" s="69">
        <f t="shared" si="10"/>
        <v>3470</v>
      </c>
      <c r="G38" s="90">
        <v>4700621</v>
      </c>
      <c r="H38" s="69">
        <f t="shared" si="3"/>
        <v>2979</v>
      </c>
      <c r="I38" s="71">
        <f t="shared" si="4"/>
        <v>9741</v>
      </c>
      <c r="J38" s="72">
        <v>0.99</v>
      </c>
      <c r="K38" s="73">
        <f t="shared" si="5"/>
        <v>2444.991</v>
      </c>
      <c r="L38" s="74"/>
      <c r="M38" s="70">
        <v>121983</v>
      </c>
      <c r="N38" s="69">
        <f t="shared" si="11"/>
        <v>167</v>
      </c>
      <c r="O38" s="68">
        <v>2008411</v>
      </c>
      <c r="P38" s="69">
        <f t="shared" si="12"/>
        <v>2822</v>
      </c>
      <c r="Q38" s="75">
        <f t="shared" si="0"/>
        <v>2989</v>
      </c>
      <c r="R38" s="76">
        <f t="shared" si="6"/>
        <v>1709.1580240000003</v>
      </c>
      <c r="S38" s="77"/>
      <c r="T38" s="89">
        <v>233084</v>
      </c>
      <c r="U38" s="69">
        <f t="shared" si="13"/>
        <v>197</v>
      </c>
      <c r="V38" s="79">
        <f t="shared" si="7"/>
        <v>562.43499999999995</v>
      </c>
      <c r="W38" s="80"/>
      <c r="X38" s="102">
        <f t="shared" si="1"/>
        <v>4716.5840239999998</v>
      </c>
      <c r="Y38" s="80">
        <v>55</v>
      </c>
      <c r="Z38" s="86">
        <f t="shared" si="8"/>
        <v>85.756073163636358</v>
      </c>
    </row>
    <row r="39" spans="1:26" x14ac:dyDescent="0.25">
      <c r="A39" s="13" t="s">
        <v>118</v>
      </c>
      <c r="B39" s="67">
        <f t="shared" si="9"/>
        <v>31</v>
      </c>
      <c r="C39" s="104">
        <v>5019016</v>
      </c>
      <c r="D39" s="69">
        <f t="shared" si="14"/>
        <v>3205</v>
      </c>
      <c r="E39" s="105">
        <v>4970268</v>
      </c>
      <c r="F39" s="69">
        <f t="shared" si="10"/>
        <v>3066</v>
      </c>
      <c r="G39" s="88">
        <v>4703348</v>
      </c>
      <c r="H39" s="69">
        <f t="shared" si="3"/>
        <v>2727</v>
      </c>
      <c r="I39" s="71">
        <f t="shared" si="4"/>
        <v>8998</v>
      </c>
      <c r="J39" s="72">
        <v>0.99</v>
      </c>
      <c r="K39" s="73">
        <f t="shared" si="5"/>
        <v>2258.498</v>
      </c>
      <c r="L39" s="74"/>
      <c r="M39" s="104">
        <v>122117</v>
      </c>
      <c r="N39" s="69">
        <f t="shared" si="11"/>
        <v>134</v>
      </c>
      <c r="O39" s="104">
        <v>2011043</v>
      </c>
      <c r="P39" s="69">
        <f t="shared" si="12"/>
        <v>2632</v>
      </c>
      <c r="Q39" s="75">
        <f t="shared" si="0"/>
        <v>2766</v>
      </c>
      <c r="R39" s="76">
        <f t="shared" si="6"/>
        <v>1581.6430560000001</v>
      </c>
      <c r="S39" s="77"/>
      <c r="T39" s="106">
        <v>233260</v>
      </c>
      <c r="U39" s="69">
        <f t="shared" si="13"/>
        <v>176</v>
      </c>
      <c r="V39" s="79">
        <f t="shared" si="7"/>
        <v>502.48</v>
      </c>
      <c r="W39" s="80"/>
      <c r="X39" s="102">
        <f t="shared" si="1"/>
        <v>4342.621056</v>
      </c>
      <c r="Y39" s="80">
        <v>52</v>
      </c>
      <c r="Z39" s="134">
        <f t="shared" si="8"/>
        <v>83.511943384615378</v>
      </c>
    </row>
    <row r="40" spans="1:26" x14ac:dyDescent="0.25">
      <c r="A40" s="13"/>
      <c r="B40" s="107"/>
      <c r="C40" s="132">
        <f>SUMIF(D9:D38,"&gt;0")</f>
        <v>73832</v>
      </c>
      <c r="D40" s="133"/>
      <c r="E40" s="159">
        <f>SUMIF(F9:F38,"&gt;0")</f>
        <v>73778</v>
      </c>
      <c r="F40" s="160"/>
      <c r="G40" s="161">
        <f>SUMIF(H9:H38,"&gt;0")</f>
        <v>69113</v>
      </c>
      <c r="H40" s="160"/>
      <c r="I40" s="108">
        <f>SUMIF(I9:I38,"&gt;0")</f>
        <v>216723</v>
      </c>
      <c r="J40" s="109"/>
      <c r="K40" s="110">
        <f>SUMIF(K9:K38,"&gt;0")</f>
        <v>54397.472999999984</v>
      </c>
      <c r="L40" s="108"/>
      <c r="M40" s="161">
        <f>SUMIF(N9:N38,"&gt;0")</f>
        <v>3883</v>
      </c>
      <c r="N40" s="160"/>
      <c r="O40" s="161">
        <f>SUMIF(P9:P38,"&gt;0")</f>
        <v>52968</v>
      </c>
      <c r="P40" s="160"/>
      <c r="Q40" s="109">
        <f>SUMIF(Q9:Q38,"&gt;0")</f>
        <v>56851</v>
      </c>
      <c r="R40" s="110">
        <f>SUMIF(R9:R38,"&gt;0")</f>
        <v>32508.311416</v>
      </c>
      <c r="S40" s="111"/>
      <c r="T40" s="143">
        <f>SUMIF(U9:U38,"&gt;0")</f>
        <v>4602</v>
      </c>
      <c r="U40" s="143"/>
      <c r="V40" s="112">
        <f>SUMIF(V9:V38,"&gt;0")</f>
        <v>13138.710000000001</v>
      </c>
      <c r="W40" s="113"/>
      <c r="X40" s="114">
        <f>SUMIF(X9:X38,"&gt;0")</f>
        <v>100044.494416</v>
      </c>
      <c r="Y40" s="115">
        <f>SUM(Y9:Y39)</f>
        <v>1149</v>
      </c>
      <c r="Z40" s="116">
        <f>(SUMIF(Z9:Z36,"&gt;0")/31)</f>
        <v>93.615241014563352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75" zoomScaleNormal="75" workbookViewId="0">
      <selection activeCell="Y43" sqref="Y43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ht="15.75" thickBot="1" x14ac:dyDescent="0.3">
      <c r="A8">
        <v>1</v>
      </c>
      <c r="B8" s="136">
        <v>62001</v>
      </c>
      <c r="C8" s="137">
        <v>97219</v>
      </c>
      <c r="D8" s="137">
        <v>17493</v>
      </c>
      <c r="E8" s="137">
        <v>15876</v>
      </c>
      <c r="F8" s="137">
        <v>222266</v>
      </c>
      <c r="G8" s="137">
        <v>4168</v>
      </c>
      <c r="H8" s="137">
        <v>3630</v>
      </c>
      <c r="I8" s="137">
        <v>440804</v>
      </c>
      <c r="J8" s="137">
        <v>80511</v>
      </c>
      <c r="K8" s="137">
        <v>7959</v>
      </c>
      <c r="L8" s="137">
        <v>33471</v>
      </c>
      <c r="M8" s="137">
        <v>57142</v>
      </c>
      <c r="N8" s="137">
        <v>45232</v>
      </c>
      <c r="O8" s="137">
        <v>218919</v>
      </c>
      <c r="P8" s="137">
        <v>472057</v>
      </c>
      <c r="Q8" s="137">
        <v>3755</v>
      </c>
      <c r="R8" s="137">
        <v>22056</v>
      </c>
      <c r="S8" s="137">
        <v>25503</v>
      </c>
      <c r="T8" s="137">
        <v>319009</v>
      </c>
      <c r="U8" s="137">
        <v>442842</v>
      </c>
      <c r="V8" s="137">
        <v>48498</v>
      </c>
      <c r="W8" s="137">
        <v>6127</v>
      </c>
      <c r="X8" s="137">
        <v>16854</v>
      </c>
      <c r="Y8" s="137">
        <v>104420</v>
      </c>
      <c r="Z8" s="137">
        <v>723</v>
      </c>
      <c r="AA8" s="137">
        <v>197565</v>
      </c>
      <c r="AB8" s="137">
        <v>10192</v>
      </c>
      <c r="AC8" s="137">
        <v>2277</v>
      </c>
      <c r="AD8" s="137">
        <v>20893</v>
      </c>
      <c r="AE8" s="137">
        <v>95437</v>
      </c>
      <c r="AF8" s="137">
        <v>244340</v>
      </c>
      <c r="AG8" s="137">
        <v>1276303</v>
      </c>
      <c r="AH8" s="137">
        <v>12644</v>
      </c>
      <c r="AI8" s="137">
        <v>487603</v>
      </c>
      <c r="AJ8" s="137">
        <v>735836</v>
      </c>
      <c r="AK8" s="137">
        <v>11480</v>
      </c>
      <c r="AL8" s="138">
        <v>40362</v>
      </c>
      <c r="AM8" s="137">
        <v>37429</v>
      </c>
      <c r="AN8" s="139">
        <v>695330</v>
      </c>
      <c r="AO8" s="139">
        <v>5454</v>
      </c>
      <c r="AP8" s="139">
        <v>0</v>
      </c>
      <c r="AQ8" s="137">
        <v>122581</v>
      </c>
      <c r="AR8" s="137">
        <v>246849</v>
      </c>
      <c r="AS8" s="137">
        <v>70771</v>
      </c>
      <c r="AT8" s="137">
        <v>693</v>
      </c>
      <c r="AU8" s="137">
        <v>125763</v>
      </c>
      <c r="AV8" s="137">
        <v>48946</v>
      </c>
      <c r="AW8" s="137">
        <v>42107</v>
      </c>
      <c r="AX8" s="137">
        <v>207110</v>
      </c>
      <c r="AY8" s="140">
        <v>573571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62122</v>
      </c>
      <c r="C9" s="128">
        <v>97219</v>
      </c>
      <c r="D9" s="128">
        <v>17503</v>
      </c>
      <c r="E9" s="128">
        <v>15920</v>
      </c>
      <c r="F9" s="128">
        <v>222636</v>
      </c>
      <c r="G9" s="128">
        <v>4173</v>
      </c>
      <c r="H9" s="128">
        <v>3698</v>
      </c>
      <c r="I9" s="128">
        <v>441542</v>
      </c>
      <c r="J9" s="128">
        <v>80638</v>
      </c>
      <c r="K9" s="128">
        <v>7959</v>
      </c>
      <c r="L9" s="128">
        <v>33518</v>
      </c>
      <c r="M9" s="128">
        <v>57157</v>
      </c>
      <c r="N9" s="128">
        <v>45307</v>
      </c>
      <c r="O9" s="128">
        <v>219288</v>
      </c>
      <c r="P9" s="128">
        <v>472875</v>
      </c>
      <c r="Q9" s="128">
        <v>3764</v>
      </c>
      <c r="R9" s="128">
        <v>22085</v>
      </c>
      <c r="S9" s="128">
        <v>25503</v>
      </c>
      <c r="T9" s="128">
        <v>319340</v>
      </c>
      <c r="U9" s="128">
        <v>443496</v>
      </c>
      <c r="V9" s="128">
        <v>48578</v>
      </c>
      <c r="W9" s="128">
        <v>6131</v>
      </c>
      <c r="X9" s="128">
        <v>16887</v>
      </c>
      <c r="Y9" s="128">
        <v>104564</v>
      </c>
      <c r="Z9" s="128">
        <v>727</v>
      </c>
      <c r="AA9" s="128">
        <v>197836</v>
      </c>
      <c r="AB9" s="128">
        <v>10217</v>
      </c>
      <c r="AC9" s="128">
        <v>2280</v>
      </c>
      <c r="AD9" s="128">
        <v>20918</v>
      </c>
      <c r="AE9" s="128">
        <v>95600</v>
      </c>
      <c r="AF9" s="128">
        <v>244843</v>
      </c>
      <c r="AG9" s="128">
        <v>1277606</v>
      </c>
      <c r="AH9" s="128">
        <v>12645</v>
      </c>
      <c r="AI9" s="128">
        <v>487640</v>
      </c>
      <c r="AJ9" s="128">
        <v>736905</v>
      </c>
      <c r="AK9" s="128">
        <v>11496</v>
      </c>
      <c r="AL9" s="131">
        <v>40394</v>
      </c>
      <c r="AM9" s="128">
        <v>37519</v>
      </c>
      <c r="AN9" s="130">
        <v>696042</v>
      </c>
      <c r="AO9" s="130">
        <v>5457</v>
      </c>
      <c r="AP9" s="130">
        <v>0</v>
      </c>
      <c r="AQ9" s="128">
        <v>122759</v>
      </c>
      <c r="AR9" s="128">
        <v>247154</v>
      </c>
      <c r="AS9" s="128">
        <v>70828</v>
      </c>
      <c r="AT9" s="128">
        <v>694</v>
      </c>
      <c r="AU9" s="128">
        <v>125962</v>
      </c>
      <c r="AV9" s="128">
        <v>49008</v>
      </c>
      <c r="AW9" s="128">
        <v>42162</v>
      </c>
      <c r="AX9" s="128">
        <v>207461</v>
      </c>
      <c r="AY9" s="128">
        <v>574475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62198</v>
      </c>
      <c r="C10" s="128">
        <v>97219</v>
      </c>
      <c r="D10" s="128">
        <v>17504</v>
      </c>
      <c r="E10" s="128">
        <v>15949</v>
      </c>
      <c r="F10" s="128">
        <v>222827</v>
      </c>
      <c r="G10" s="128">
        <v>4176</v>
      </c>
      <c r="H10" s="128">
        <v>3732</v>
      </c>
      <c r="I10" s="128">
        <v>441901</v>
      </c>
      <c r="J10" s="128">
        <v>80692</v>
      </c>
      <c r="K10" s="128">
        <v>7959</v>
      </c>
      <c r="L10" s="128">
        <v>33540</v>
      </c>
      <c r="M10" s="128">
        <v>57157</v>
      </c>
      <c r="N10" s="128">
        <v>45349</v>
      </c>
      <c r="O10" s="128">
        <v>219464</v>
      </c>
      <c r="P10" s="128">
        <v>473163</v>
      </c>
      <c r="Q10" s="128">
        <v>3768</v>
      </c>
      <c r="R10" s="128">
        <v>22100</v>
      </c>
      <c r="S10" s="128">
        <v>25503</v>
      </c>
      <c r="T10" s="128">
        <v>319496</v>
      </c>
      <c r="U10" s="128">
        <v>443827</v>
      </c>
      <c r="V10" s="128">
        <v>48617</v>
      </c>
      <c r="W10" s="128">
        <v>6133</v>
      </c>
      <c r="X10" s="128">
        <v>16902</v>
      </c>
      <c r="Y10" s="128">
        <v>104639</v>
      </c>
      <c r="Z10" s="128">
        <v>728</v>
      </c>
      <c r="AA10" s="128">
        <v>197973</v>
      </c>
      <c r="AB10" s="128">
        <v>10220</v>
      </c>
      <c r="AC10" s="128">
        <v>2282</v>
      </c>
      <c r="AD10" s="128">
        <v>20930</v>
      </c>
      <c r="AE10" s="128">
        <v>95679</v>
      </c>
      <c r="AF10" s="128">
        <v>245085</v>
      </c>
      <c r="AG10" s="128">
        <v>1278288</v>
      </c>
      <c r="AH10" s="128">
        <v>12646</v>
      </c>
      <c r="AI10" s="128">
        <v>487657</v>
      </c>
      <c r="AJ10" s="128">
        <v>737558</v>
      </c>
      <c r="AK10" s="128">
        <v>11504</v>
      </c>
      <c r="AL10" s="131">
        <v>40409</v>
      </c>
      <c r="AM10" s="128">
        <v>37559</v>
      </c>
      <c r="AN10" s="130">
        <v>696542</v>
      </c>
      <c r="AO10" s="130">
        <v>5458</v>
      </c>
      <c r="AP10" s="130">
        <v>0</v>
      </c>
      <c r="AQ10" s="128">
        <v>122853</v>
      </c>
      <c r="AR10" s="128">
        <v>247320</v>
      </c>
      <c r="AS10" s="128">
        <v>70862</v>
      </c>
      <c r="AT10" s="128">
        <v>695</v>
      </c>
      <c r="AU10" s="128">
        <v>126054</v>
      </c>
      <c r="AV10" s="128">
        <v>49024</v>
      </c>
      <c r="AW10" s="128">
        <v>42175</v>
      </c>
      <c r="AX10" s="128">
        <v>207636</v>
      </c>
      <c r="AY10" s="128">
        <v>574920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62274</v>
      </c>
      <c r="C11" s="128">
        <v>97219</v>
      </c>
      <c r="D11" s="128">
        <v>17512</v>
      </c>
      <c r="E11" s="128">
        <v>15959</v>
      </c>
      <c r="F11" s="128">
        <v>223025</v>
      </c>
      <c r="G11" s="128">
        <v>4179</v>
      </c>
      <c r="H11" s="128">
        <v>3761</v>
      </c>
      <c r="I11" s="128">
        <v>442311</v>
      </c>
      <c r="J11" s="128">
        <v>80755</v>
      </c>
      <c r="K11" s="128">
        <v>7960</v>
      </c>
      <c r="L11" s="128">
        <v>33566</v>
      </c>
      <c r="M11" s="128">
        <v>57165</v>
      </c>
      <c r="N11" s="128">
        <v>45394</v>
      </c>
      <c r="O11" s="128">
        <v>219657</v>
      </c>
      <c r="P11" s="128">
        <v>473475</v>
      </c>
      <c r="Q11" s="128">
        <v>3774</v>
      </c>
      <c r="R11" s="128">
        <v>22112</v>
      </c>
      <c r="S11" s="128">
        <v>25503</v>
      </c>
      <c r="T11" s="128">
        <v>319779</v>
      </c>
      <c r="U11" s="128">
        <v>444167</v>
      </c>
      <c r="V11" s="128">
        <v>48660</v>
      </c>
      <c r="W11" s="128">
        <v>6133</v>
      </c>
      <c r="X11" s="128">
        <v>16924</v>
      </c>
      <c r="Y11" s="128">
        <v>104724</v>
      </c>
      <c r="Z11" s="128">
        <v>723</v>
      </c>
      <c r="AA11" s="128">
        <v>198117</v>
      </c>
      <c r="AB11" s="128">
        <v>10230</v>
      </c>
      <c r="AC11" s="128">
        <v>2284</v>
      </c>
      <c r="AD11" s="128">
        <v>20945</v>
      </c>
      <c r="AE11" s="128">
        <v>95762</v>
      </c>
      <c r="AF11" s="128">
        <v>245351</v>
      </c>
      <c r="AG11" s="128">
        <v>1279977</v>
      </c>
      <c r="AH11" s="128">
        <v>12648</v>
      </c>
      <c r="AI11" s="128">
        <v>487676</v>
      </c>
      <c r="AJ11" s="128">
        <v>738260</v>
      </c>
      <c r="AK11" s="128">
        <v>11516</v>
      </c>
      <c r="AL11" s="131">
        <v>40425</v>
      </c>
      <c r="AM11" s="128">
        <v>37604</v>
      </c>
      <c r="AN11" s="130">
        <v>697109</v>
      </c>
      <c r="AO11" s="130">
        <v>5459</v>
      </c>
      <c r="AP11" s="130">
        <v>0</v>
      </c>
      <c r="AQ11" s="128">
        <v>122980</v>
      </c>
      <c r="AR11" s="128">
        <v>247555</v>
      </c>
      <c r="AS11" s="128">
        <v>70908</v>
      </c>
      <c r="AT11" s="128">
        <v>696</v>
      </c>
      <c r="AU11" s="128">
        <v>126136</v>
      </c>
      <c r="AV11" s="128">
        <v>49038</v>
      </c>
      <c r="AW11" s="128">
        <v>42187</v>
      </c>
      <c r="AX11" s="128">
        <v>207812</v>
      </c>
      <c r="AY11" s="128">
        <v>575404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62345</v>
      </c>
      <c r="C12" s="128">
        <v>97219</v>
      </c>
      <c r="D12" s="128">
        <v>17525</v>
      </c>
      <c r="E12" s="128">
        <v>15965</v>
      </c>
      <c r="F12" s="128">
        <v>223230</v>
      </c>
      <c r="G12" s="128">
        <v>4182</v>
      </c>
      <c r="H12" s="128">
        <v>3801</v>
      </c>
      <c r="I12" s="128">
        <v>442706</v>
      </c>
      <c r="J12" s="128">
        <v>80820</v>
      </c>
      <c r="K12" s="128">
        <v>7960</v>
      </c>
      <c r="L12" s="128">
        <v>33593</v>
      </c>
      <c r="M12" s="128">
        <v>57166</v>
      </c>
      <c r="N12" s="128">
        <v>45438</v>
      </c>
      <c r="O12" s="128">
        <v>219840</v>
      </c>
      <c r="P12" s="128">
        <v>473806</v>
      </c>
      <c r="Q12" s="128">
        <v>3779</v>
      </c>
      <c r="R12" s="128">
        <v>22126</v>
      </c>
      <c r="S12" s="128">
        <v>25503</v>
      </c>
      <c r="T12" s="128">
        <v>320062</v>
      </c>
      <c r="U12" s="128">
        <v>444508</v>
      </c>
      <c r="V12" s="128">
        <v>48703</v>
      </c>
      <c r="W12" s="128">
        <v>6137</v>
      </c>
      <c r="X12" s="128">
        <v>16948</v>
      </c>
      <c r="Y12" s="128">
        <v>104803</v>
      </c>
      <c r="Z12" s="128">
        <v>730</v>
      </c>
      <c r="AA12" s="128">
        <v>198255</v>
      </c>
      <c r="AB12" s="128">
        <v>10241</v>
      </c>
      <c r="AC12" s="128">
        <v>2285</v>
      </c>
      <c r="AD12" s="128">
        <v>20956</v>
      </c>
      <c r="AE12" s="128">
        <v>95842</v>
      </c>
      <c r="AF12" s="128">
        <v>245589</v>
      </c>
      <c r="AG12" s="128">
        <v>1281841</v>
      </c>
      <c r="AH12" s="128">
        <v>12650</v>
      </c>
      <c r="AI12" s="128">
        <v>487694</v>
      </c>
      <c r="AJ12" s="128">
        <v>738760</v>
      </c>
      <c r="AK12" s="128">
        <v>11526</v>
      </c>
      <c r="AL12" s="128">
        <v>40440</v>
      </c>
      <c r="AM12" s="128">
        <v>37645</v>
      </c>
      <c r="AN12" s="128">
        <v>697464</v>
      </c>
      <c r="AO12" s="128">
        <v>5461</v>
      </c>
      <c r="AP12" s="128">
        <v>0</v>
      </c>
      <c r="AQ12" s="128">
        <v>123111</v>
      </c>
      <c r="AR12" s="128">
        <v>247805</v>
      </c>
      <c r="AS12" s="128">
        <v>70947</v>
      </c>
      <c r="AT12" s="128">
        <v>696</v>
      </c>
      <c r="AU12" s="128">
        <v>126215</v>
      </c>
      <c r="AV12" s="128">
        <v>49060</v>
      </c>
      <c r="AW12" s="128">
        <v>42210</v>
      </c>
      <c r="AX12" s="128">
        <v>207977</v>
      </c>
      <c r="AY12" s="128">
        <v>575908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62381</v>
      </c>
      <c r="C13" s="128">
        <v>97219</v>
      </c>
      <c r="D13">
        <v>17529</v>
      </c>
      <c r="E13" s="128">
        <v>15968</v>
      </c>
      <c r="F13" s="128">
        <v>223335</v>
      </c>
      <c r="G13" s="128">
        <v>4183</v>
      </c>
      <c r="H13" s="128">
        <v>3817</v>
      </c>
      <c r="I13" s="128">
        <v>442920</v>
      </c>
      <c r="J13" s="128">
        <v>80857</v>
      </c>
      <c r="K13" s="128">
        <v>7961</v>
      </c>
      <c r="L13" s="128">
        <v>33612</v>
      </c>
      <c r="M13" s="128">
        <v>57166</v>
      </c>
      <c r="N13" s="128">
        <v>45460</v>
      </c>
      <c r="O13" s="128">
        <v>219965</v>
      </c>
      <c r="P13" s="128">
        <v>474045</v>
      </c>
      <c r="Q13" s="128">
        <v>3782</v>
      </c>
      <c r="R13" s="128">
        <v>22132</v>
      </c>
      <c r="S13" s="128">
        <v>25503</v>
      </c>
      <c r="T13" s="128">
        <v>320206</v>
      </c>
      <c r="U13" s="128">
        <v>445053</v>
      </c>
      <c r="V13" s="128">
        <v>48771</v>
      </c>
      <c r="W13" s="128">
        <v>6140</v>
      </c>
      <c r="X13" s="128">
        <v>16960</v>
      </c>
      <c r="Y13" s="128">
        <v>104843</v>
      </c>
      <c r="Z13" s="128">
        <v>731</v>
      </c>
      <c r="AA13" s="128">
        <v>198325</v>
      </c>
      <c r="AB13" s="128">
        <v>10242</v>
      </c>
      <c r="AC13" s="128">
        <v>2286</v>
      </c>
      <c r="AD13" s="128">
        <v>20961</v>
      </c>
      <c r="AE13" s="128">
        <v>95883</v>
      </c>
      <c r="AF13" s="128">
        <v>245714</v>
      </c>
      <c r="AG13" s="128">
        <v>1282819</v>
      </c>
      <c r="AH13" s="128">
        <v>12652</v>
      </c>
      <c r="AI13" s="128">
        <v>487723</v>
      </c>
      <c r="AJ13" s="128">
        <v>739054</v>
      </c>
      <c r="AK13" s="128">
        <v>11532</v>
      </c>
      <c r="AL13" s="131">
        <v>40447</v>
      </c>
      <c r="AM13" s="128">
        <v>37667</v>
      </c>
      <c r="AN13" s="130">
        <v>697657</v>
      </c>
      <c r="AO13" s="130">
        <v>5461</v>
      </c>
      <c r="AP13" s="130">
        <v>0</v>
      </c>
      <c r="AQ13" s="128">
        <v>123183</v>
      </c>
      <c r="AR13" s="128">
        <v>247935</v>
      </c>
      <c r="AS13" s="128">
        <v>70991</v>
      </c>
      <c r="AT13" s="128">
        <v>696</v>
      </c>
      <c r="AU13" s="128">
        <v>126259</v>
      </c>
      <c r="AV13" s="128">
        <v>49076</v>
      </c>
      <c r="AW13" s="128">
        <v>42220</v>
      </c>
      <c r="AX13" s="128">
        <v>208059</v>
      </c>
      <c r="AY13" s="128">
        <v>576178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62416</v>
      </c>
      <c r="C14" s="128">
        <v>97219</v>
      </c>
      <c r="D14" s="128">
        <v>17533</v>
      </c>
      <c r="E14" s="128">
        <v>15971</v>
      </c>
      <c r="F14" s="128">
        <v>223442</v>
      </c>
      <c r="G14" s="128">
        <v>4185</v>
      </c>
      <c r="H14" s="128">
        <v>3836</v>
      </c>
      <c r="I14" s="128">
        <v>443134</v>
      </c>
      <c r="J14" s="128">
        <v>80894</v>
      </c>
      <c r="K14" s="128">
        <v>7961</v>
      </c>
      <c r="L14" s="128">
        <v>33625</v>
      </c>
      <c r="M14" s="128">
        <v>57167</v>
      </c>
      <c r="N14" s="128">
        <v>45485</v>
      </c>
      <c r="O14" s="128">
        <v>220030</v>
      </c>
      <c r="P14" s="128">
        <v>474283</v>
      </c>
      <c r="Q14" s="128">
        <v>3785</v>
      </c>
      <c r="R14" s="128">
        <v>22140</v>
      </c>
      <c r="S14" s="128">
        <v>25503</v>
      </c>
      <c r="T14" s="128">
        <v>320351</v>
      </c>
      <c r="U14" s="128">
        <v>445864</v>
      </c>
      <c r="V14" s="128">
        <v>48790</v>
      </c>
      <c r="W14" s="128">
        <v>6143</v>
      </c>
      <c r="X14" s="128">
        <v>16971</v>
      </c>
      <c r="Y14" s="128">
        <v>104884</v>
      </c>
      <c r="Z14" s="128">
        <v>731</v>
      </c>
      <c r="AA14" s="128">
        <v>198396</v>
      </c>
      <c r="AB14" s="128">
        <v>10242</v>
      </c>
      <c r="AC14" s="128">
        <v>2287</v>
      </c>
      <c r="AD14" s="128">
        <v>20968</v>
      </c>
      <c r="AE14" s="128">
        <v>95924</v>
      </c>
      <c r="AF14" s="128">
        <v>245839</v>
      </c>
      <c r="AG14" s="128">
        <v>1283798</v>
      </c>
      <c r="AH14" s="128">
        <v>12654</v>
      </c>
      <c r="AI14" s="128">
        <v>487747</v>
      </c>
      <c r="AJ14" s="128">
        <v>739349</v>
      </c>
      <c r="AK14" s="128">
        <v>11538</v>
      </c>
      <c r="AL14" s="131">
        <v>40456</v>
      </c>
      <c r="AM14" s="128">
        <v>37689</v>
      </c>
      <c r="AN14" s="130">
        <v>697838</v>
      </c>
      <c r="AO14" s="130">
        <v>5462</v>
      </c>
      <c r="AP14" s="130">
        <v>0</v>
      </c>
      <c r="AQ14" s="128">
        <v>123254</v>
      </c>
      <c r="AR14" s="128">
        <v>248064</v>
      </c>
      <c r="AS14" s="128">
        <v>71031</v>
      </c>
      <c r="AT14" s="128">
        <v>697</v>
      </c>
      <c r="AU14" s="128">
        <v>126303</v>
      </c>
      <c r="AV14" s="128">
        <v>49093</v>
      </c>
      <c r="AW14" s="128">
        <v>42231</v>
      </c>
      <c r="AX14" s="128">
        <v>208141</v>
      </c>
      <c r="AY14" s="128">
        <v>576448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>
        <v>62491</v>
      </c>
      <c r="C15" s="128">
        <v>97233</v>
      </c>
      <c r="D15" s="128">
        <v>17535</v>
      </c>
      <c r="E15" s="128">
        <v>15979</v>
      </c>
      <c r="F15" s="128">
        <v>223636</v>
      </c>
      <c r="G15" s="128">
        <v>4188</v>
      </c>
      <c r="H15" s="128">
        <v>3872</v>
      </c>
      <c r="I15" s="128">
        <v>443518</v>
      </c>
      <c r="J15" s="128">
        <v>80958</v>
      </c>
      <c r="K15" s="128">
        <v>7962</v>
      </c>
      <c r="L15" s="128">
        <v>33651</v>
      </c>
      <c r="M15" s="128">
        <v>57168</v>
      </c>
      <c r="N15" s="128">
        <v>45528</v>
      </c>
      <c r="O15" s="128">
        <v>220219</v>
      </c>
      <c r="P15" s="128">
        <v>474661</v>
      </c>
      <c r="Q15" s="128">
        <v>3791</v>
      </c>
      <c r="R15" s="128">
        <v>22156</v>
      </c>
      <c r="S15" s="128">
        <v>25503</v>
      </c>
      <c r="T15" s="128">
        <v>320631</v>
      </c>
      <c r="U15" s="128">
        <v>445882</v>
      </c>
      <c r="V15" s="128">
        <v>48816</v>
      </c>
      <c r="W15" s="128">
        <v>6149</v>
      </c>
      <c r="X15" s="128">
        <v>16992</v>
      </c>
      <c r="Y15" s="128">
        <v>104953</v>
      </c>
      <c r="Z15" s="128">
        <v>733</v>
      </c>
      <c r="AA15" s="128">
        <v>198529</v>
      </c>
      <c r="AB15" s="128">
        <v>10243</v>
      </c>
      <c r="AC15" s="128">
        <v>2289</v>
      </c>
      <c r="AD15" s="128">
        <v>20982</v>
      </c>
      <c r="AE15" s="128">
        <v>96004</v>
      </c>
      <c r="AF15" s="128">
        <v>246085</v>
      </c>
      <c r="AG15" s="128">
        <v>1285657</v>
      </c>
      <c r="AH15" s="128">
        <v>12659</v>
      </c>
      <c r="AI15" s="128">
        <v>487750</v>
      </c>
      <c r="AJ15" s="128">
        <v>740057</v>
      </c>
      <c r="AK15" s="128">
        <v>11552</v>
      </c>
      <c r="AL15" s="131">
        <v>40471</v>
      </c>
      <c r="AM15" s="128">
        <v>37741</v>
      </c>
      <c r="AN15" s="130">
        <v>698316</v>
      </c>
      <c r="AO15" s="130">
        <v>5464</v>
      </c>
      <c r="AP15" s="130">
        <v>0</v>
      </c>
      <c r="AQ15" s="128">
        <v>123385</v>
      </c>
      <c r="AR15" s="128">
        <v>248310</v>
      </c>
      <c r="AS15" s="128">
        <v>71114</v>
      </c>
      <c r="AT15" s="128">
        <v>698</v>
      </c>
      <c r="AU15" s="128">
        <v>126383</v>
      </c>
      <c r="AV15" s="128">
        <v>49117</v>
      </c>
      <c r="AW15" s="128">
        <v>42258</v>
      </c>
      <c r="AX15" s="128">
        <v>208320</v>
      </c>
      <c r="AY15" s="128">
        <v>576971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64360</v>
      </c>
      <c r="C16" s="128">
        <v>97248</v>
      </c>
      <c r="D16" s="128">
        <v>17822</v>
      </c>
      <c r="E16" s="128">
        <v>16346</v>
      </c>
      <c r="F16" s="128">
        <v>229984</v>
      </c>
      <c r="G16" s="128">
        <v>4279</v>
      </c>
      <c r="H16" s="128">
        <v>4359</v>
      </c>
      <c r="I16" s="128">
        <v>452825</v>
      </c>
      <c r="J16" s="128">
        <v>82458</v>
      </c>
      <c r="K16" s="128">
        <v>7970</v>
      </c>
      <c r="L16" s="128">
        <v>34469</v>
      </c>
      <c r="M16" s="128">
        <v>57337</v>
      </c>
      <c r="N16" s="128">
        <v>46789</v>
      </c>
      <c r="O16" s="128">
        <v>225969</v>
      </c>
      <c r="P16" s="128">
        <v>484439</v>
      </c>
      <c r="Q16" s="128">
        <v>3943</v>
      </c>
      <c r="R16" s="128">
        <v>22718</v>
      </c>
      <c r="S16" s="128">
        <v>25503</v>
      </c>
      <c r="T16" s="128">
        <v>328784</v>
      </c>
      <c r="U16" s="128">
        <v>455782</v>
      </c>
      <c r="V16" s="128">
        <v>50114</v>
      </c>
      <c r="W16" s="128">
        <v>6271</v>
      </c>
      <c r="X16" s="128">
        <v>17657</v>
      </c>
      <c r="Y16" s="128">
        <v>106846</v>
      </c>
      <c r="Z16" s="128">
        <v>824</v>
      </c>
      <c r="AA16" s="128">
        <v>202805</v>
      </c>
      <c r="AB16" s="128">
        <v>10406</v>
      </c>
      <c r="AC16" s="128">
        <v>2334</v>
      </c>
      <c r="AD16" s="128">
        <v>21411</v>
      </c>
      <c r="AE16" s="128">
        <v>98792</v>
      </c>
      <c r="AF16" s="128">
        <v>253742</v>
      </c>
      <c r="AG16" s="128">
        <v>1316670</v>
      </c>
      <c r="AH16" s="128">
        <v>12712</v>
      </c>
      <c r="AI16" s="128">
        <v>488335</v>
      </c>
      <c r="AJ16" s="128">
        <v>758258</v>
      </c>
      <c r="AK16" s="128">
        <v>11923</v>
      </c>
      <c r="AL16" s="131">
        <v>41001</v>
      </c>
      <c r="AM16" s="128">
        <v>38733</v>
      </c>
      <c r="AN16" s="130">
        <v>713499</v>
      </c>
      <c r="AO16" s="130">
        <v>5498</v>
      </c>
      <c r="AP16" s="130">
        <v>0</v>
      </c>
      <c r="AQ16" s="128">
        <v>126413</v>
      </c>
      <c r="AR16" s="128">
        <v>252951</v>
      </c>
      <c r="AS16" s="128">
        <v>73103</v>
      </c>
      <c r="AT16" s="128">
        <v>718</v>
      </c>
      <c r="AU16" s="128">
        <v>129684</v>
      </c>
      <c r="AV16" s="128">
        <v>50181</v>
      </c>
      <c r="AW16" s="128">
        <v>43232</v>
      </c>
      <c r="AX16" s="128">
        <v>214084</v>
      </c>
      <c r="AY16" s="128">
        <v>59221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62632</v>
      </c>
      <c r="C17" s="128">
        <v>97242</v>
      </c>
      <c r="D17" s="128">
        <v>17550</v>
      </c>
      <c r="E17" s="128">
        <v>15995</v>
      </c>
      <c r="F17" s="128">
        <v>224021</v>
      </c>
      <c r="G17" s="128">
        <v>4195</v>
      </c>
      <c r="H17" s="128">
        <v>3944</v>
      </c>
      <c r="I17" s="128">
        <v>444263</v>
      </c>
      <c r="J17" s="128">
        <v>81067</v>
      </c>
      <c r="K17" s="128">
        <v>7962</v>
      </c>
      <c r="L17" s="128">
        <v>33702</v>
      </c>
      <c r="M17" s="128">
        <v>57169</v>
      </c>
      <c r="N17" s="128">
        <v>45617</v>
      </c>
      <c r="O17" s="128">
        <v>220587</v>
      </c>
      <c r="P17" s="128">
        <v>475327</v>
      </c>
      <c r="Q17" s="128">
        <v>3803</v>
      </c>
      <c r="R17" s="128">
        <v>22185</v>
      </c>
      <c r="S17" s="128">
        <v>25503</v>
      </c>
      <c r="T17" s="128">
        <v>321172</v>
      </c>
      <c r="U17" s="128">
        <v>445942</v>
      </c>
      <c r="V17" s="128">
        <v>48881</v>
      </c>
      <c r="W17" s="128">
        <v>6157</v>
      </c>
      <c r="X17" s="128">
        <v>17037</v>
      </c>
      <c r="Y17" s="128">
        <v>105101</v>
      </c>
      <c r="Z17" s="128">
        <v>737</v>
      </c>
      <c r="AA17" s="128">
        <v>198805</v>
      </c>
      <c r="AB17" s="128">
        <v>10252</v>
      </c>
      <c r="AC17" s="128">
        <v>2292</v>
      </c>
      <c r="AD17" s="128">
        <v>21009</v>
      </c>
      <c r="AE17" s="128">
        <v>96165</v>
      </c>
      <c r="AF17" s="128">
        <v>246571</v>
      </c>
      <c r="AG17" s="128">
        <v>1289740</v>
      </c>
      <c r="AH17" s="128">
        <v>12669</v>
      </c>
      <c r="AI17" s="128">
        <v>487765</v>
      </c>
      <c r="AJ17" s="128">
        <v>741488</v>
      </c>
      <c r="AK17" s="128">
        <v>11575</v>
      </c>
      <c r="AL17" s="131">
        <v>40501</v>
      </c>
      <c r="AM17" s="128">
        <v>37854</v>
      </c>
      <c r="AN17" s="130">
        <v>699187</v>
      </c>
      <c r="AO17" s="130">
        <v>5466</v>
      </c>
      <c r="AP17" s="130">
        <v>0</v>
      </c>
      <c r="AQ17" s="128">
        <v>123639</v>
      </c>
      <c r="AR17" s="128">
        <v>248790</v>
      </c>
      <c r="AS17" s="128">
        <v>71277</v>
      </c>
      <c r="AT17" s="128">
        <v>699</v>
      </c>
      <c r="AU17" s="128">
        <v>126536</v>
      </c>
      <c r="AV17" s="128">
        <v>49164</v>
      </c>
      <c r="AW17" s="128">
        <v>42312</v>
      </c>
      <c r="AX17" s="128">
        <v>208682</v>
      </c>
      <c r="AY17" s="128">
        <v>577991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>
        <v>64453</v>
      </c>
      <c r="C18" s="128">
        <v>97251</v>
      </c>
      <c r="D18" s="128">
        <v>17836</v>
      </c>
      <c r="E18" s="128">
        <v>16394</v>
      </c>
      <c r="F18" s="128">
        <v>230377</v>
      </c>
      <c r="G18" s="128">
        <v>4284</v>
      </c>
      <c r="H18" s="128">
        <v>4366</v>
      </c>
      <c r="I18" s="128">
        <v>453284</v>
      </c>
      <c r="J18" s="128">
        <v>82354</v>
      </c>
      <c r="K18" s="128">
        <v>7970</v>
      </c>
      <c r="L18" s="128">
        <v>34519</v>
      </c>
      <c r="M18" s="128">
        <v>57365</v>
      </c>
      <c r="N18" s="128">
        <v>46865</v>
      </c>
      <c r="O18" s="128">
        <v>226322</v>
      </c>
      <c r="P18" s="128">
        <v>484859</v>
      </c>
      <c r="Q18" s="128">
        <v>3953</v>
      </c>
      <c r="R18" s="128">
        <v>22748</v>
      </c>
      <c r="S18" s="128">
        <v>25503</v>
      </c>
      <c r="T18" s="128">
        <v>329369</v>
      </c>
      <c r="U18" s="128">
        <v>456429</v>
      </c>
      <c r="V18" s="128">
        <v>50197</v>
      </c>
      <c r="W18" s="128">
        <v>6273</v>
      </c>
      <c r="X18" s="128">
        <v>17696</v>
      </c>
      <c r="Y18" s="128">
        <v>106918</v>
      </c>
      <c r="Z18" s="128">
        <v>832</v>
      </c>
      <c r="AA18" s="128">
        <v>203074</v>
      </c>
      <c r="AB18" s="128">
        <v>10414</v>
      </c>
      <c r="AC18" s="128">
        <v>2336</v>
      </c>
      <c r="AD18" s="128">
        <v>21437</v>
      </c>
      <c r="AE18" s="128">
        <v>98980</v>
      </c>
      <c r="AF18" s="128">
        <v>254202</v>
      </c>
      <c r="AG18" s="128">
        <v>1318326</v>
      </c>
      <c r="AH18" s="128">
        <v>12719</v>
      </c>
      <c r="AI18" s="128">
        <v>488369</v>
      </c>
      <c r="AJ18" s="128">
        <v>759303</v>
      </c>
      <c r="AK18" s="128">
        <v>11940</v>
      </c>
      <c r="AL18" s="131">
        <v>41032</v>
      </c>
      <c r="AM18" s="128">
        <v>38765</v>
      </c>
      <c r="AN18" s="130">
        <v>714549</v>
      </c>
      <c r="AO18" s="130">
        <v>5500</v>
      </c>
      <c r="AP18" s="130">
        <v>0</v>
      </c>
      <c r="AQ18" s="128">
        <v>126575</v>
      </c>
      <c r="AR18" s="128">
        <v>253164</v>
      </c>
      <c r="AS18" s="128">
        <v>73152</v>
      </c>
      <c r="AT18" s="128">
        <v>719</v>
      </c>
      <c r="AU18" s="128">
        <v>130002</v>
      </c>
      <c r="AV18" s="128">
        <v>50270</v>
      </c>
      <c r="AW18" s="128">
        <v>43311</v>
      </c>
      <c r="AX18" s="128">
        <v>214378</v>
      </c>
      <c r="AY18" s="128">
        <v>59317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>
        <v>64506</v>
      </c>
      <c r="C19" s="128">
        <v>97251</v>
      </c>
      <c r="D19" s="128">
        <v>17838</v>
      </c>
      <c r="E19" s="128">
        <v>16427</v>
      </c>
      <c r="F19" s="128">
        <v>230599</v>
      </c>
      <c r="G19" s="128">
        <v>4287</v>
      </c>
      <c r="H19" s="128">
        <v>4372</v>
      </c>
      <c r="I19" s="128">
        <v>453527</v>
      </c>
      <c r="J19" s="128">
        <v>82502</v>
      </c>
      <c r="K19" s="128">
        <v>7970</v>
      </c>
      <c r="L19" s="128">
        <v>34545</v>
      </c>
      <c r="M19" s="128">
        <v>57379</v>
      </c>
      <c r="N19" s="128">
        <v>46907</v>
      </c>
      <c r="O19" s="128">
        <v>226500</v>
      </c>
      <c r="P19" s="128">
        <v>485070</v>
      </c>
      <c r="Q19" s="128">
        <v>3959</v>
      </c>
      <c r="R19" s="128">
        <v>22769</v>
      </c>
      <c r="S19" s="128">
        <v>25503</v>
      </c>
      <c r="T19" s="128">
        <v>329664</v>
      </c>
      <c r="U19" s="128">
        <v>456776</v>
      </c>
      <c r="V19" s="128">
        <v>50239</v>
      </c>
      <c r="W19" s="128">
        <v>6274</v>
      </c>
      <c r="X19" s="128">
        <v>17716</v>
      </c>
      <c r="Y19" s="128">
        <v>106938</v>
      </c>
      <c r="Z19" s="128">
        <v>832</v>
      </c>
      <c r="AA19" s="128">
        <v>203212</v>
      </c>
      <c r="AB19" s="128">
        <v>10536</v>
      </c>
      <c r="AC19" s="128">
        <v>2338</v>
      </c>
      <c r="AD19" s="128">
        <v>21451</v>
      </c>
      <c r="AE19" s="128">
        <v>99076</v>
      </c>
      <c r="AF19" s="128">
        <v>254437</v>
      </c>
      <c r="AG19" s="128">
        <v>1319002</v>
      </c>
      <c r="AH19" s="128">
        <v>12723</v>
      </c>
      <c r="AI19" s="128">
        <v>488387</v>
      </c>
      <c r="AJ19" s="128">
        <v>759930</v>
      </c>
      <c r="AK19" s="128">
        <v>11949</v>
      </c>
      <c r="AL19" s="131">
        <v>41048</v>
      </c>
      <c r="AM19" s="128">
        <v>38782</v>
      </c>
      <c r="AN19" s="130">
        <v>715101</v>
      </c>
      <c r="AO19" s="130">
        <v>5501</v>
      </c>
      <c r="AP19" s="130">
        <v>0</v>
      </c>
      <c r="AQ19" s="128">
        <v>126658</v>
      </c>
      <c r="AR19" s="128">
        <v>253274</v>
      </c>
      <c r="AS19" s="128">
        <v>73172</v>
      </c>
      <c r="AT19" s="128">
        <v>720</v>
      </c>
      <c r="AU19" s="128">
        <v>130161</v>
      </c>
      <c r="AV19" s="128">
        <v>50317</v>
      </c>
      <c r="AW19" s="128">
        <v>43352</v>
      </c>
      <c r="AX19" s="128">
        <v>214542</v>
      </c>
      <c r="AY19" s="128">
        <v>59365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>
        <v>64558</v>
      </c>
      <c r="C20" s="128">
        <v>97251</v>
      </c>
      <c r="D20" s="128">
        <v>17839</v>
      </c>
      <c r="E20" s="128">
        <v>16460</v>
      </c>
      <c r="F20" s="128">
        <v>230820</v>
      </c>
      <c r="G20" s="128">
        <v>4290</v>
      </c>
      <c r="H20" s="128">
        <v>4378</v>
      </c>
      <c r="I20" s="128">
        <v>453770</v>
      </c>
      <c r="J20" s="128">
        <v>82649</v>
      </c>
      <c r="K20" s="128">
        <v>7970</v>
      </c>
      <c r="L20" s="128">
        <v>34570</v>
      </c>
      <c r="M20" s="128">
        <v>57393</v>
      </c>
      <c r="N20" s="128">
        <v>46949</v>
      </c>
      <c r="O20" s="128">
        <v>226677</v>
      </c>
      <c r="P20" s="128">
        <v>485280</v>
      </c>
      <c r="Q20" s="128">
        <v>3965</v>
      </c>
      <c r="R20" s="128">
        <v>22790</v>
      </c>
      <c r="S20" s="128">
        <v>25503</v>
      </c>
      <c r="T20" s="128">
        <v>329958</v>
      </c>
      <c r="U20" s="128">
        <v>457123</v>
      </c>
      <c r="V20" s="128">
        <v>50281</v>
      </c>
      <c r="W20" s="128">
        <v>6274</v>
      </c>
      <c r="X20" s="128">
        <v>17735</v>
      </c>
      <c r="Y20" s="128">
        <v>106958</v>
      </c>
      <c r="Z20" s="128">
        <v>832</v>
      </c>
      <c r="AA20" s="128">
        <v>203350</v>
      </c>
      <c r="AB20" s="128">
        <v>10437</v>
      </c>
      <c r="AC20" s="128">
        <v>2339</v>
      </c>
      <c r="AD20" s="128">
        <v>21465</v>
      </c>
      <c r="AE20" s="128">
        <v>99172</v>
      </c>
      <c r="AF20" s="128">
        <v>254671</v>
      </c>
      <c r="AG20" s="128">
        <v>1319678</v>
      </c>
      <c r="AH20" s="128">
        <v>12727</v>
      </c>
      <c r="AI20" s="128">
        <v>488404</v>
      </c>
      <c r="AJ20" s="130">
        <v>760557</v>
      </c>
      <c r="AK20" s="130">
        <v>11958</v>
      </c>
      <c r="AL20" s="131">
        <v>41063</v>
      </c>
      <c r="AM20" s="130">
        <v>38799</v>
      </c>
      <c r="AN20" s="130">
        <v>715652</v>
      </c>
      <c r="AO20" s="130">
        <v>5502</v>
      </c>
      <c r="AP20" s="130">
        <v>0</v>
      </c>
      <c r="AQ20" s="130">
        <v>126740</v>
      </c>
      <c r="AR20" s="130">
        <v>253383</v>
      </c>
      <c r="AS20" s="130">
        <v>73192</v>
      </c>
      <c r="AT20" s="130">
        <v>720</v>
      </c>
      <c r="AU20" s="130">
        <v>130320</v>
      </c>
      <c r="AV20" s="130">
        <v>50364</v>
      </c>
      <c r="AW20" s="130">
        <v>43393</v>
      </c>
      <c r="AX20" s="130">
        <v>214705</v>
      </c>
      <c r="AY20" s="142">
        <v>59412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>
        <v>64602</v>
      </c>
      <c r="C21" s="128">
        <v>97251</v>
      </c>
      <c r="D21" s="128">
        <v>17843</v>
      </c>
      <c r="E21" s="128">
        <v>16490</v>
      </c>
      <c r="F21" s="128">
        <v>230975</v>
      </c>
      <c r="G21" s="128">
        <v>4293</v>
      </c>
      <c r="H21" s="128">
        <v>4381</v>
      </c>
      <c r="I21" s="128">
        <v>454012</v>
      </c>
      <c r="J21" s="128">
        <v>82690</v>
      </c>
      <c r="K21" s="128">
        <v>7970</v>
      </c>
      <c r="L21" s="128">
        <v>34592</v>
      </c>
      <c r="M21" s="128">
        <v>57407</v>
      </c>
      <c r="N21" s="128">
        <v>46987</v>
      </c>
      <c r="O21" s="128">
        <v>226855</v>
      </c>
      <c r="P21" s="128">
        <v>485522</v>
      </c>
      <c r="Q21" s="128">
        <v>3970</v>
      </c>
      <c r="R21" s="128">
        <v>22814</v>
      </c>
      <c r="S21" s="128">
        <v>25503</v>
      </c>
      <c r="T21" s="128">
        <v>330255</v>
      </c>
      <c r="U21" s="128">
        <v>457468</v>
      </c>
      <c r="V21" s="128">
        <v>50326</v>
      </c>
      <c r="W21" s="128">
        <v>6275</v>
      </c>
      <c r="X21" s="128">
        <v>17748</v>
      </c>
      <c r="Y21" s="128">
        <v>106988</v>
      </c>
      <c r="Z21" s="128">
        <v>832</v>
      </c>
      <c r="AA21" s="128">
        <v>203496</v>
      </c>
      <c r="AB21" s="128">
        <v>10445</v>
      </c>
      <c r="AC21" s="128">
        <v>2341</v>
      </c>
      <c r="AD21" s="128">
        <v>21480</v>
      </c>
      <c r="AE21" s="128">
        <v>99262</v>
      </c>
      <c r="AF21" s="128">
        <v>254905</v>
      </c>
      <c r="AG21" s="128">
        <v>1320415</v>
      </c>
      <c r="AH21" s="128">
        <v>12733</v>
      </c>
      <c r="AI21" s="128">
        <v>488421</v>
      </c>
      <c r="AJ21" s="130">
        <v>761085</v>
      </c>
      <c r="AK21" s="130">
        <v>11966</v>
      </c>
      <c r="AL21" s="131">
        <v>41078</v>
      </c>
      <c r="AM21" s="130">
        <v>38816</v>
      </c>
      <c r="AN21" s="130">
        <v>716215</v>
      </c>
      <c r="AO21" s="130">
        <v>5503</v>
      </c>
      <c r="AP21" s="130">
        <v>0</v>
      </c>
      <c r="AQ21" s="130">
        <v>126819</v>
      </c>
      <c r="AR21" s="130">
        <v>253383</v>
      </c>
      <c r="AS21" s="130">
        <v>73212</v>
      </c>
      <c r="AT21" s="130">
        <v>720</v>
      </c>
      <c r="AU21" s="130">
        <v>130465</v>
      </c>
      <c r="AV21" s="130">
        <v>50410</v>
      </c>
      <c r="AW21" s="130">
        <v>43428</v>
      </c>
      <c r="AX21" s="130">
        <v>214895</v>
      </c>
      <c r="AY21" s="130">
        <v>59458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>
        <v>64660</v>
      </c>
      <c r="C22" s="128">
        <v>97251</v>
      </c>
      <c r="D22" s="128">
        <v>17853</v>
      </c>
      <c r="E22" s="128">
        <v>16519</v>
      </c>
      <c r="F22" s="128">
        <v>231220</v>
      </c>
      <c r="G22" s="128">
        <v>4295</v>
      </c>
      <c r="H22" s="128">
        <v>4384</v>
      </c>
      <c r="I22" s="128">
        <v>454253</v>
      </c>
      <c r="J22" s="128">
        <v>82728</v>
      </c>
      <c r="K22" s="128">
        <v>7970</v>
      </c>
      <c r="L22" s="128">
        <v>34614</v>
      </c>
      <c r="M22" s="128">
        <v>57425</v>
      </c>
      <c r="N22" s="128">
        <v>47024</v>
      </c>
      <c r="O22" s="128">
        <v>227032</v>
      </c>
      <c r="P22" s="128">
        <v>485764</v>
      </c>
      <c r="Q22" s="128">
        <v>3975</v>
      </c>
      <c r="R22" s="128">
        <v>22839</v>
      </c>
      <c r="S22" s="128">
        <v>25503</v>
      </c>
      <c r="T22" s="128">
        <v>330553</v>
      </c>
      <c r="U22" s="128">
        <v>457812</v>
      </c>
      <c r="V22" s="128">
        <v>50362</v>
      </c>
      <c r="W22" s="128">
        <v>6276</v>
      </c>
      <c r="X22" s="128">
        <v>17779</v>
      </c>
      <c r="Y22" s="128">
        <v>107017</v>
      </c>
      <c r="Z22" s="128">
        <v>832</v>
      </c>
      <c r="AA22" s="128">
        <v>203642</v>
      </c>
      <c r="AB22" s="128">
        <v>10454</v>
      </c>
      <c r="AC22" s="128">
        <v>2342</v>
      </c>
      <c r="AD22" s="128">
        <v>21492</v>
      </c>
      <c r="AE22" s="128">
        <v>99352</v>
      </c>
      <c r="AF22" s="128">
        <v>255138</v>
      </c>
      <c r="AG22" s="128">
        <v>1321147</v>
      </c>
      <c r="AH22" s="128">
        <v>12739</v>
      </c>
      <c r="AI22" s="128">
        <v>488439</v>
      </c>
      <c r="AJ22" s="130">
        <v>761614</v>
      </c>
      <c r="AK22" s="130">
        <v>11974</v>
      </c>
      <c r="AL22" s="131">
        <v>41094</v>
      </c>
      <c r="AM22" s="130">
        <v>38833</v>
      </c>
      <c r="AN22" s="130">
        <v>716778</v>
      </c>
      <c r="AO22" s="130">
        <v>5504</v>
      </c>
      <c r="AP22" s="130">
        <v>0</v>
      </c>
      <c r="AQ22" s="130">
        <v>126899</v>
      </c>
      <c r="AR22" s="130">
        <v>253597</v>
      </c>
      <c r="AS22" s="130">
        <v>73231</v>
      </c>
      <c r="AT22" s="130">
        <v>721</v>
      </c>
      <c r="AU22" s="130">
        <v>130609</v>
      </c>
      <c r="AV22" s="130">
        <v>50455</v>
      </c>
      <c r="AW22" s="130">
        <v>43464</v>
      </c>
      <c r="AX22" s="130">
        <v>215084</v>
      </c>
      <c r="AY22" s="130">
        <v>59504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>
        <v>64707</v>
      </c>
      <c r="C23" s="128">
        <v>97251</v>
      </c>
      <c r="D23" s="128">
        <v>17861</v>
      </c>
      <c r="E23" s="128">
        <v>16563</v>
      </c>
      <c r="F23" s="128">
        <v>231390</v>
      </c>
      <c r="G23" s="128">
        <v>4298</v>
      </c>
      <c r="H23" s="128">
        <v>4370</v>
      </c>
      <c r="I23" s="128">
        <v>454444</v>
      </c>
      <c r="J23" s="128">
        <v>82770</v>
      </c>
      <c r="K23" s="128">
        <v>7970</v>
      </c>
      <c r="L23" s="128">
        <v>34637</v>
      </c>
      <c r="M23" s="128">
        <v>57439</v>
      </c>
      <c r="N23" s="128">
        <v>47060</v>
      </c>
      <c r="O23" s="128">
        <v>227185</v>
      </c>
      <c r="P23" s="128">
        <v>485954</v>
      </c>
      <c r="Q23" s="128">
        <v>3980</v>
      </c>
      <c r="R23" s="128">
        <v>22859</v>
      </c>
      <c r="S23" s="128">
        <v>25503</v>
      </c>
      <c r="T23" s="128">
        <v>330787</v>
      </c>
      <c r="U23" s="128">
        <v>458128</v>
      </c>
      <c r="V23" s="128">
        <v>50398</v>
      </c>
      <c r="W23" s="128">
        <v>6276</v>
      </c>
      <c r="X23" s="128">
        <v>17795</v>
      </c>
      <c r="Y23" s="128">
        <v>107052</v>
      </c>
      <c r="Z23" s="128">
        <v>832</v>
      </c>
      <c r="AA23" s="128">
        <v>203790</v>
      </c>
      <c r="AB23" s="128">
        <v>10463</v>
      </c>
      <c r="AC23" s="128">
        <v>2343</v>
      </c>
      <c r="AD23" s="128">
        <v>21502</v>
      </c>
      <c r="AE23" s="128">
        <v>99421</v>
      </c>
      <c r="AF23" s="128">
        <v>255360</v>
      </c>
      <c r="AG23" s="128">
        <v>1321746</v>
      </c>
      <c r="AH23" s="128">
        <v>12745</v>
      </c>
      <c r="AI23" s="128">
        <v>488454</v>
      </c>
      <c r="AJ23" s="128">
        <v>762082</v>
      </c>
      <c r="AK23" s="128">
        <v>11982</v>
      </c>
      <c r="AL23" s="131">
        <v>41107</v>
      </c>
      <c r="AM23" s="128">
        <v>38847</v>
      </c>
      <c r="AN23" s="130">
        <v>717238</v>
      </c>
      <c r="AO23" s="130">
        <v>5505</v>
      </c>
      <c r="AP23" s="130">
        <v>0</v>
      </c>
      <c r="AQ23" s="128">
        <v>126970</v>
      </c>
      <c r="AR23" s="128">
        <v>253681</v>
      </c>
      <c r="AS23" s="128">
        <v>73245</v>
      </c>
      <c r="AT23" s="128">
        <v>722</v>
      </c>
      <c r="AU23" s="128">
        <v>130757</v>
      </c>
      <c r="AV23" s="128">
        <v>50492</v>
      </c>
      <c r="AW23" s="128">
        <v>43499</v>
      </c>
      <c r="AX23" s="128">
        <v>215241</v>
      </c>
      <c r="AY23" s="128">
        <v>59546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>
        <v>64770</v>
      </c>
      <c r="C24" s="128">
        <v>97251</v>
      </c>
      <c r="D24" s="128">
        <v>17868</v>
      </c>
      <c r="E24" s="128">
        <v>16596</v>
      </c>
      <c r="F24" s="128">
        <v>231593</v>
      </c>
      <c r="G24" s="128">
        <v>4300</v>
      </c>
      <c r="H24" s="128">
        <v>4380</v>
      </c>
      <c r="I24" s="128">
        <v>454661</v>
      </c>
      <c r="J24" s="128">
        <v>82816</v>
      </c>
      <c r="K24" s="128">
        <v>7971</v>
      </c>
      <c r="L24" s="128">
        <v>34660</v>
      </c>
      <c r="M24" s="128">
        <v>57453</v>
      </c>
      <c r="N24" s="128">
        <v>47099</v>
      </c>
      <c r="O24" s="128">
        <v>227355</v>
      </c>
      <c r="P24" s="128">
        <v>486201</v>
      </c>
      <c r="Q24" s="128">
        <v>3986</v>
      </c>
      <c r="R24" s="128">
        <v>22887</v>
      </c>
      <c r="S24" s="128">
        <v>25503</v>
      </c>
      <c r="T24" s="128">
        <v>331005</v>
      </c>
      <c r="U24" s="128">
        <v>458450</v>
      </c>
      <c r="V24" s="128">
        <v>50438</v>
      </c>
      <c r="W24" s="128">
        <v>6276</v>
      </c>
      <c r="X24" s="128">
        <v>17816</v>
      </c>
      <c r="Y24" s="128">
        <v>107083</v>
      </c>
      <c r="Z24" s="128">
        <v>832</v>
      </c>
      <c r="AA24" s="128">
        <v>203950</v>
      </c>
      <c r="AB24" s="128">
        <v>10469</v>
      </c>
      <c r="AC24" s="128">
        <v>2345</v>
      </c>
      <c r="AD24" s="128">
        <v>21516</v>
      </c>
      <c r="AE24" s="128">
        <v>99520</v>
      </c>
      <c r="AF24" s="128">
        <v>255459</v>
      </c>
      <c r="AG24" s="128">
        <v>1322586</v>
      </c>
      <c r="AH24" s="128">
        <v>12754</v>
      </c>
      <c r="AI24" s="128">
        <v>488471</v>
      </c>
      <c r="AJ24" s="128">
        <v>762630</v>
      </c>
      <c r="AK24" s="128">
        <v>11988</v>
      </c>
      <c r="AL24" s="131">
        <v>41121</v>
      </c>
      <c r="AM24" s="128">
        <v>38868</v>
      </c>
      <c r="AN24" s="130">
        <v>717800</v>
      </c>
      <c r="AO24" s="130">
        <v>5506</v>
      </c>
      <c r="AP24" s="130">
        <v>0</v>
      </c>
      <c r="AQ24" s="128">
        <v>127050</v>
      </c>
      <c r="AR24" s="128">
        <v>253780</v>
      </c>
      <c r="AS24" s="128">
        <v>73251</v>
      </c>
      <c r="AT24" s="128">
        <v>723</v>
      </c>
      <c r="AU24" s="128">
        <v>130940</v>
      </c>
      <c r="AV24" s="128">
        <v>50515</v>
      </c>
      <c r="AW24" s="128">
        <v>43526</v>
      </c>
      <c r="AX24" s="128">
        <v>215475</v>
      </c>
      <c r="AY24" s="128">
        <v>59596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>
        <v>64826</v>
      </c>
      <c r="C25" s="128">
        <v>97251</v>
      </c>
      <c r="D25" s="128">
        <v>17874</v>
      </c>
      <c r="E25" s="128">
        <v>16636</v>
      </c>
      <c r="F25" s="128">
        <v>231799</v>
      </c>
      <c r="G25" s="128">
        <v>4303</v>
      </c>
      <c r="H25" s="128">
        <v>4389</v>
      </c>
      <c r="I25" s="128">
        <v>454911</v>
      </c>
      <c r="J25" s="128">
        <v>82866</v>
      </c>
      <c r="K25" s="128">
        <v>7971</v>
      </c>
      <c r="L25" s="128">
        <v>34680</v>
      </c>
      <c r="M25" s="128">
        <v>57479</v>
      </c>
      <c r="N25" s="128">
        <v>47138</v>
      </c>
      <c r="O25" s="128">
        <v>227536</v>
      </c>
      <c r="P25" s="128">
        <v>486425</v>
      </c>
      <c r="Q25" s="128">
        <v>3991</v>
      </c>
      <c r="R25" s="128">
        <v>22907</v>
      </c>
      <c r="S25" s="128">
        <v>25503</v>
      </c>
      <c r="T25" s="128">
        <v>331370</v>
      </c>
      <c r="U25" s="128">
        <v>458862</v>
      </c>
      <c r="V25" s="128">
        <v>50486</v>
      </c>
      <c r="W25" s="128">
        <v>6277</v>
      </c>
      <c r="X25" s="128">
        <v>17833</v>
      </c>
      <c r="Y25" s="128">
        <v>107115</v>
      </c>
      <c r="Z25" s="128">
        <v>832</v>
      </c>
      <c r="AA25" s="128">
        <v>204106</v>
      </c>
      <c r="AB25" s="128">
        <v>10475</v>
      </c>
      <c r="AC25" s="128">
        <v>2346</v>
      </c>
      <c r="AD25" s="128">
        <v>21529</v>
      </c>
      <c r="AE25" s="128">
        <v>99611</v>
      </c>
      <c r="AF25" s="128">
        <v>255854</v>
      </c>
      <c r="AG25" s="128">
        <v>1323428</v>
      </c>
      <c r="AH25" s="128">
        <v>12760</v>
      </c>
      <c r="AI25" s="128">
        <v>488490</v>
      </c>
      <c r="AJ25" s="128">
        <v>763183</v>
      </c>
      <c r="AK25" s="128">
        <v>11995</v>
      </c>
      <c r="AL25" s="131">
        <v>41139</v>
      </c>
      <c r="AM25" s="128">
        <v>38896</v>
      </c>
      <c r="AN25" s="130">
        <v>718358</v>
      </c>
      <c r="AO25" s="130">
        <v>5507</v>
      </c>
      <c r="AP25" s="130">
        <v>0</v>
      </c>
      <c r="AQ25" s="128">
        <v>127130</v>
      </c>
      <c r="AR25" s="128">
        <v>253878</v>
      </c>
      <c r="AS25" s="128">
        <v>73282</v>
      </c>
      <c r="AT25" s="128">
        <v>723</v>
      </c>
      <c r="AU25" s="128">
        <v>131099</v>
      </c>
      <c r="AV25" s="128">
        <v>50549</v>
      </c>
      <c r="AW25" s="128">
        <v>43554</v>
      </c>
      <c r="AX25" s="128">
        <v>215684</v>
      </c>
      <c r="AY25" s="128">
        <v>59645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>
        <v>64895</v>
      </c>
      <c r="C26" s="128">
        <v>97251</v>
      </c>
      <c r="D26" s="128">
        <v>17875</v>
      </c>
      <c r="E26" s="128">
        <v>16653</v>
      </c>
      <c r="F26" s="128">
        <v>232028</v>
      </c>
      <c r="G26" s="128">
        <v>4307</v>
      </c>
      <c r="H26" s="128">
        <v>4392</v>
      </c>
      <c r="I26" s="128">
        <v>455177</v>
      </c>
      <c r="J26" s="128">
        <v>82928</v>
      </c>
      <c r="K26" s="128">
        <v>7971</v>
      </c>
      <c r="L26" s="128">
        <v>34705</v>
      </c>
      <c r="M26" s="128">
        <v>57497</v>
      </c>
      <c r="N26" s="128">
        <v>47183</v>
      </c>
      <c r="O26" s="128">
        <v>227740</v>
      </c>
      <c r="P26" s="128">
        <v>486742</v>
      </c>
      <c r="Q26" s="128">
        <v>3997</v>
      </c>
      <c r="R26" s="128">
        <v>22932</v>
      </c>
      <c r="S26" s="128">
        <v>25503</v>
      </c>
      <c r="T26" s="128">
        <v>331692</v>
      </c>
      <c r="U26" s="128">
        <v>459265</v>
      </c>
      <c r="V26" s="128">
        <v>50536</v>
      </c>
      <c r="W26" s="128">
        <v>6277</v>
      </c>
      <c r="X26" s="128">
        <v>17856</v>
      </c>
      <c r="Y26" s="128">
        <v>107141</v>
      </c>
      <c r="Z26" s="128">
        <v>832</v>
      </c>
      <c r="AA26" s="128">
        <v>204280</v>
      </c>
      <c r="AB26" s="128">
        <v>10484</v>
      </c>
      <c r="AC26" s="128">
        <v>2347</v>
      </c>
      <c r="AD26" s="128">
        <v>21546</v>
      </c>
      <c r="AE26" s="128">
        <v>99726</v>
      </c>
      <c r="AF26" s="128">
        <v>256113</v>
      </c>
      <c r="AG26" s="128">
        <v>1324635</v>
      </c>
      <c r="AH26" s="128">
        <v>12768</v>
      </c>
      <c r="AI26" s="128">
        <v>488510</v>
      </c>
      <c r="AJ26" s="128">
        <v>763795</v>
      </c>
      <c r="AK26" s="128">
        <v>12005</v>
      </c>
      <c r="AL26" s="131">
        <v>41156</v>
      </c>
      <c r="AM26" s="128">
        <v>38921</v>
      </c>
      <c r="AN26" s="130">
        <v>718960</v>
      </c>
      <c r="AO26" s="130">
        <v>5508</v>
      </c>
      <c r="AP26" s="130">
        <v>0</v>
      </c>
      <c r="AQ26" s="128">
        <v>127218</v>
      </c>
      <c r="AR26" s="128">
        <v>253992</v>
      </c>
      <c r="AS26" s="128">
        <v>73303</v>
      </c>
      <c r="AT26" s="128">
        <v>724</v>
      </c>
      <c r="AU26" s="128">
        <v>131276</v>
      </c>
      <c r="AV26" s="128">
        <v>50576</v>
      </c>
      <c r="AW26" s="128">
        <v>43577</v>
      </c>
      <c r="AX26" s="128">
        <v>215919</v>
      </c>
      <c r="AY26" s="128">
        <v>59707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>
        <v>64959</v>
      </c>
      <c r="C27" s="128">
        <v>97251</v>
      </c>
      <c r="D27" s="128">
        <v>17879</v>
      </c>
      <c r="E27" s="128">
        <v>16674</v>
      </c>
      <c r="F27" s="128">
        <v>232238</v>
      </c>
      <c r="G27" s="128">
        <v>4310</v>
      </c>
      <c r="H27" s="128">
        <v>4394</v>
      </c>
      <c r="I27" s="128">
        <v>455398</v>
      </c>
      <c r="J27" s="128">
        <v>82991</v>
      </c>
      <c r="K27" s="128">
        <v>7971</v>
      </c>
      <c r="L27" s="128">
        <v>34725</v>
      </c>
      <c r="M27" s="128">
        <v>57519</v>
      </c>
      <c r="N27" s="128">
        <v>47221</v>
      </c>
      <c r="O27" s="128">
        <v>227914</v>
      </c>
      <c r="P27" s="128">
        <v>487140</v>
      </c>
      <c r="Q27" s="128">
        <v>4003</v>
      </c>
      <c r="R27" s="128">
        <v>22958</v>
      </c>
      <c r="S27" s="128">
        <v>25503</v>
      </c>
      <c r="T27" s="128">
        <v>331973</v>
      </c>
      <c r="U27" s="128">
        <v>459654</v>
      </c>
      <c r="V27" s="128">
        <v>50579</v>
      </c>
      <c r="W27" s="128">
        <v>6277</v>
      </c>
      <c r="X27" s="128">
        <v>17876</v>
      </c>
      <c r="Y27" s="128">
        <v>107163</v>
      </c>
      <c r="Z27" s="128">
        <v>832</v>
      </c>
      <c r="AA27" s="128">
        <v>204438</v>
      </c>
      <c r="AB27" s="128">
        <v>10490</v>
      </c>
      <c r="AC27" s="128">
        <v>2349</v>
      </c>
      <c r="AD27" s="128">
        <v>21559</v>
      </c>
      <c r="AE27" s="128">
        <v>99832</v>
      </c>
      <c r="AF27" s="128">
        <v>256340</v>
      </c>
      <c r="AG27" s="128">
        <v>1325288</v>
      </c>
      <c r="AH27" s="128">
        <v>12775</v>
      </c>
      <c r="AI27" s="128">
        <v>488528</v>
      </c>
      <c r="AJ27" s="128">
        <v>764420</v>
      </c>
      <c r="AK27" s="128">
        <v>12010</v>
      </c>
      <c r="AL27" s="131">
        <v>41171</v>
      </c>
      <c r="AM27" s="128">
        <v>38937</v>
      </c>
      <c r="AN27" s="130">
        <v>719494</v>
      </c>
      <c r="AO27" s="130">
        <v>9501</v>
      </c>
      <c r="AP27" s="130">
        <v>0</v>
      </c>
      <c r="AQ27" s="128">
        <v>127293</v>
      </c>
      <c r="AR27" s="128">
        <v>254086</v>
      </c>
      <c r="AS27" s="128">
        <v>73322</v>
      </c>
      <c r="AT27" s="128">
        <v>724</v>
      </c>
      <c r="AU27" s="128">
        <v>131420</v>
      </c>
      <c r="AV27" s="128">
        <v>50598</v>
      </c>
      <c r="AW27" s="128">
        <v>43595</v>
      </c>
      <c r="AX27" s="128">
        <v>216150</v>
      </c>
      <c r="AY27" s="128">
        <v>59755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>
        <v>65010</v>
      </c>
      <c r="C28" s="128">
        <v>97251</v>
      </c>
      <c r="D28" s="128">
        <v>17881</v>
      </c>
      <c r="E28" s="128">
        <v>16685</v>
      </c>
      <c r="F28" s="128">
        <v>232418</v>
      </c>
      <c r="G28" s="128">
        <v>4313</v>
      </c>
      <c r="H28" s="128">
        <v>4394</v>
      </c>
      <c r="I28" s="128">
        <v>455614</v>
      </c>
      <c r="J28" s="128">
        <v>83043</v>
      </c>
      <c r="K28" s="128">
        <v>7971</v>
      </c>
      <c r="L28" s="128">
        <v>34746</v>
      </c>
      <c r="M28" s="128">
        <v>57531</v>
      </c>
      <c r="N28" s="128">
        <v>47257</v>
      </c>
      <c r="O28" s="128">
        <v>228078</v>
      </c>
      <c r="P28" s="128">
        <v>487487</v>
      </c>
      <c r="Q28" s="128">
        <v>4007</v>
      </c>
      <c r="R28" s="128">
        <v>22980</v>
      </c>
      <c r="S28" s="128">
        <v>25503</v>
      </c>
      <c r="T28" s="128">
        <v>332240</v>
      </c>
      <c r="U28" s="128">
        <v>460005</v>
      </c>
      <c r="V28" s="128">
        <v>50617</v>
      </c>
      <c r="W28" s="128">
        <v>6277</v>
      </c>
      <c r="X28" s="128">
        <v>17899</v>
      </c>
      <c r="Y28" s="128">
        <v>107201</v>
      </c>
      <c r="Z28" s="128">
        <v>832</v>
      </c>
      <c r="AA28" s="128">
        <v>204597</v>
      </c>
      <c r="AB28" s="128">
        <v>10498</v>
      </c>
      <c r="AC28" s="128">
        <v>2350</v>
      </c>
      <c r="AD28" s="128">
        <v>21571</v>
      </c>
      <c r="AE28" s="128">
        <v>99927</v>
      </c>
      <c r="AF28" s="128">
        <v>256557</v>
      </c>
      <c r="AG28" s="128">
        <v>1325923</v>
      </c>
      <c r="AH28" s="128">
        <v>12781</v>
      </c>
      <c r="AI28" s="128">
        <v>488544</v>
      </c>
      <c r="AJ28" s="128">
        <v>764878</v>
      </c>
      <c r="AK28" s="128">
        <v>12017</v>
      </c>
      <c r="AL28" s="131">
        <v>41186</v>
      </c>
      <c r="AM28" s="128">
        <v>38953</v>
      </c>
      <c r="AN28" s="130">
        <v>719862</v>
      </c>
      <c r="AO28" s="130">
        <v>5510</v>
      </c>
      <c r="AP28" s="130">
        <v>0</v>
      </c>
      <c r="AQ28" s="128">
        <v>127362</v>
      </c>
      <c r="AR28" s="128">
        <v>254173</v>
      </c>
      <c r="AS28" s="128">
        <v>73340</v>
      </c>
      <c r="AT28" s="128">
        <v>725</v>
      </c>
      <c r="AU28" s="128">
        <v>131572</v>
      </c>
      <c r="AV28" s="128">
        <v>50620</v>
      </c>
      <c r="AW28" s="128">
        <v>43618</v>
      </c>
      <c r="AX28" s="128">
        <v>216351</v>
      </c>
      <c r="AY28" s="128">
        <v>59804</v>
      </c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>
        <v>65070</v>
      </c>
      <c r="C29" s="128">
        <v>97251</v>
      </c>
      <c r="D29" s="128">
        <v>17888</v>
      </c>
      <c r="E29" s="128">
        <v>16722</v>
      </c>
      <c r="F29" s="128">
        <v>232636</v>
      </c>
      <c r="G29" s="128">
        <v>4316</v>
      </c>
      <c r="H29" s="128">
        <v>4394</v>
      </c>
      <c r="I29" s="128">
        <v>455910</v>
      </c>
      <c r="J29" s="128">
        <v>83103</v>
      </c>
      <c r="K29" s="128">
        <v>7971</v>
      </c>
      <c r="L29" s="128">
        <v>34768</v>
      </c>
      <c r="M29" s="128">
        <v>57545</v>
      </c>
      <c r="N29" s="128">
        <v>47289</v>
      </c>
      <c r="O29" s="128">
        <v>228264</v>
      </c>
      <c r="P29" s="128">
        <v>487865</v>
      </c>
      <c r="Q29" s="128">
        <v>4012</v>
      </c>
      <c r="R29" s="128">
        <v>22998</v>
      </c>
      <c r="S29" s="128">
        <v>25503</v>
      </c>
      <c r="T29" s="128">
        <v>332544</v>
      </c>
      <c r="U29" s="128">
        <v>460379</v>
      </c>
      <c r="V29" s="128">
        <v>50661</v>
      </c>
      <c r="W29" s="128">
        <v>6277</v>
      </c>
      <c r="X29" s="128">
        <v>17923</v>
      </c>
      <c r="Y29" s="128">
        <v>107233</v>
      </c>
      <c r="Z29" s="128">
        <v>832</v>
      </c>
      <c r="AA29" s="128">
        <v>204765</v>
      </c>
      <c r="AB29" s="128">
        <v>10500</v>
      </c>
      <c r="AC29" s="128">
        <v>2353</v>
      </c>
      <c r="AD29" s="128">
        <v>21596</v>
      </c>
      <c r="AE29" s="128">
        <v>100039</v>
      </c>
      <c r="AF29" s="128">
        <v>256789</v>
      </c>
      <c r="AG29" s="128">
        <v>1326624</v>
      </c>
      <c r="AH29" s="128">
        <v>12788</v>
      </c>
      <c r="AI29" s="128">
        <v>488563</v>
      </c>
      <c r="AJ29" s="128">
        <v>765450</v>
      </c>
      <c r="AK29" s="128">
        <v>12025</v>
      </c>
      <c r="AL29" s="131">
        <v>41202</v>
      </c>
      <c r="AM29" s="128">
        <v>39012</v>
      </c>
      <c r="AN29" s="130">
        <v>720427</v>
      </c>
      <c r="AO29" s="130">
        <v>5511</v>
      </c>
      <c r="AP29" s="130">
        <v>0</v>
      </c>
      <c r="AQ29" s="128">
        <v>127436</v>
      </c>
      <c r="AR29" s="128">
        <v>254291</v>
      </c>
      <c r="AS29" s="128">
        <v>73359</v>
      </c>
      <c r="AT29" s="128">
        <v>726</v>
      </c>
      <c r="AU29" s="128">
        <v>131751</v>
      </c>
      <c r="AV29" s="128">
        <v>50648</v>
      </c>
      <c r="AW29" s="128">
        <v>43642</v>
      </c>
      <c r="AX29" s="128">
        <v>216576</v>
      </c>
      <c r="AY29" s="128">
        <v>59848</v>
      </c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>
        <v>65128</v>
      </c>
      <c r="C30" s="128">
        <v>97251</v>
      </c>
      <c r="D30" s="128">
        <v>17899</v>
      </c>
      <c r="E30" s="128">
        <v>16761</v>
      </c>
      <c r="F30" s="128">
        <v>232821</v>
      </c>
      <c r="G30" s="128">
        <v>4318</v>
      </c>
      <c r="H30" s="128">
        <v>4396</v>
      </c>
      <c r="I30" s="128">
        <v>456169</v>
      </c>
      <c r="J30" s="128">
        <v>83159</v>
      </c>
      <c r="K30" s="128">
        <v>7971</v>
      </c>
      <c r="L30" s="128">
        <v>34787</v>
      </c>
      <c r="M30" s="128">
        <v>57562</v>
      </c>
      <c r="N30" s="142">
        <v>47325</v>
      </c>
      <c r="O30" s="128">
        <v>228432</v>
      </c>
      <c r="P30" s="128">
        <v>488159</v>
      </c>
      <c r="Q30" s="128">
        <v>4018</v>
      </c>
      <c r="R30" s="128">
        <v>23015</v>
      </c>
      <c r="S30" s="128">
        <v>25503</v>
      </c>
      <c r="T30" s="128">
        <v>332820</v>
      </c>
      <c r="U30" s="128">
        <v>460705</v>
      </c>
      <c r="V30" s="128">
        <v>50702</v>
      </c>
      <c r="W30" s="128">
        <v>6277</v>
      </c>
      <c r="X30" s="128">
        <v>17945</v>
      </c>
      <c r="Y30" s="128">
        <v>107269</v>
      </c>
      <c r="Z30" s="128">
        <v>832</v>
      </c>
      <c r="AA30" s="128">
        <v>204927</v>
      </c>
      <c r="AB30" s="128">
        <v>10511</v>
      </c>
      <c r="AC30" s="128">
        <v>2353</v>
      </c>
      <c r="AD30" s="128">
        <v>21599</v>
      </c>
      <c r="AE30" s="128">
        <v>100132</v>
      </c>
      <c r="AF30" s="128">
        <v>256998</v>
      </c>
      <c r="AG30" s="128">
        <v>1327705</v>
      </c>
      <c r="AH30" s="128">
        <v>12798</v>
      </c>
      <c r="AI30" s="128">
        <v>488580</v>
      </c>
      <c r="AJ30" s="128">
        <v>766008</v>
      </c>
      <c r="AK30" s="128">
        <v>12029</v>
      </c>
      <c r="AL30" s="131">
        <v>41217</v>
      </c>
      <c r="AM30" s="128">
        <v>39063</v>
      </c>
      <c r="AN30" s="130">
        <v>720987</v>
      </c>
      <c r="AO30" s="130">
        <v>5512</v>
      </c>
      <c r="AP30" s="130">
        <v>0</v>
      </c>
      <c r="AQ30" s="128">
        <v>127502</v>
      </c>
      <c r="AR30" s="130">
        <v>254410</v>
      </c>
      <c r="AS30" s="128">
        <v>73378</v>
      </c>
      <c r="AT30" s="128">
        <v>726</v>
      </c>
      <c r="AU30" s="128">
        <v>131924</v>
      </c>
      <c r="AV30" s="128">
        <v>50680</v>
      </c>
      <c r="AW30" s="128">
        <v>43664</v>
      </c>
      <c r="AX30" s="128">
        <v>216781</v>
      </c>
      <c r="AY30" s="128">
        <v>59893</v>
      </c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>
        <v>65186</v>
      </c>
      <c r="C31" s="128">
        <v>97251</v>
      </c>
      <c r="D31" s="128">
        <v>17910</v>
      </c>
      <c r="E31" s="128">
        <v>16804</v>
      </c>
      <c r="F31" s="128">
        <v>233052</v>
      </c>
      <c r="G31" s="128">
        <v>4322</v>
      </c>
      <c r="H31" s="128">
        <v>4399</v>
      </c>
      <c r="I31" s="128">
        <v>456481</v>
      </c>
      <c r="J31" s="128">
        <v>83215</v>
      </c>
      <c r="K31" s="128">
        <v>7971</v>
      </c>
      <c r="L31" s="128">
        <v>34808</v>
      </c>
      <c r="M31" s="128">
        <v>57572</v>
      </c>
      <c r="N31" s="128">
        <v>47377</v>
      </c>
      <c r="O31" s="128">
        <v>228608</v>
      </c>
      <c r="P31" s="128">
        <v>488379</v>
      </c>
      <c r="Q31" s="128">
        <v>4024</v>
      </c>
      <c r="R31" s="128">
        <v>23032</v>
      </c>
      <c r="S31" s="128">
        <v>25503</v>
      </c>
      <c r="T31" s="128">
        <v>333211</v>
      </c>
      <c r="U31" s="128">
        <v>461058</v>
      </c>
      <c r="V31" s="128">
        <v>50748</v>
      </c>
      <c r="W31" s="128">
        <v>6277</v>
      </c>
      <c r="X31" s="128">
        <v>17967</v>
      </c>
      <c r="Y31" s="128">
        <v>107307</v>
      </c>
      <c r="Z31" s="128">
        <v>832</v>
      </c>
      <c r="AA31" s="128">
        <v>205091</v>
      </c>
      <c r="AB31" s="128">
        <v>10511</v>
      </c>
      <c r="AC31" s="128">
        <v>2354</v>
      </c>
      <c r="AD31" s="128">
        <v>21613</v>
      </c>
      <c r="AE31" s="128">
        <v>100246</v>
      </c>
      <c r="AF31" s="128">
        <v>257239</v>
      </c>
      <c r="AG31" s="128">
        <v>1328618</v>
      </c>
      <c r="AH31" s="128">
        <v>12807</v>
      </c>
      <c r="AI31" s="128">
        <v>488598</v>
      </c>
      <c r="AJ31" s="128">
        <v>766678</v>
      </c>
      <c r="AK31" s="128">
        <v>12033</v>
      </c>
      <c r="AL31" s="131">
        <v>41233</v>
      </c>
      <c r="AM31" s="128">
        <v>39121</v>
      </c>
      <c r="AN31" s="130">
        <v>721517</v>
      </c>
      <c r="AO31" s="130">
        <v>5513</v>
      </c>
      <c r="AP31" s="130">
        <v>0</v>
      </c>
      <c r="AQ31" s="128">
        <v>127585</v>
      </c>
      <c r="AR31" s="128">
        <v>254557</v>
      </c>
      <c r="AS31" s="128">
        <v>73399</v>
      </c>
      <c r="AT31" s="128">
        <v>727</v>
      </c>
      <c r="AU31" s="128">
        <v>132106</v>
      </c>
      <c r="AV31" s="128">
        <v>50718</v>
      </c>
      <c r="AW31" s="128">
        <v>43688</v>
      </c>
      <c r="AX31" s="128">
        <v>217005</v>
      </c>
      <c r="AY31" s="128">
        <v>59942</v>
      </c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>
        <v>65246</v>
      </c>
      <c r="C32" s="128">
        <v>97251</v>
      </c>
      <c r="D32" s="128">
        <v>17920</v>
      </c>
      <c r="E32" s="128">
        <v>16853</v>
      </c>
      <c r="F32" s="128">
        <v>233274</v>
      </c>
      <c r="G32" s="128">
        <v>4325</v>
      </c>
      <c r="H32" s="128">
        <v>4408</v>
      </c>
      <c r="I32" s="128">
        <v>456832</v>
      </c>
      <c r="J32" s="128">
        <v>83267</v>
      </c>
      <c r="K32" s="128">
        <v>7972</v>
      </c>
      <c r="L32" s="128">
        <v>34834</v>
      </c>
      <c r="M32" s="128">
        <v>57583</v>
      </c>
      <c r="N32" s="128">
        <v>47422</v>
      </c>
      <c r="O32" s="128">
        <v>228787</v>
      </c>
      <c r="P32" s="128">
        <v>488691</v>
      </c>
      <c r="Q32" s="128">
        <v>4030</v>
      </c>
      <c r="R32" s="128">
        <v>23049</v>
      </c>
      <c r="S32" s="128">
        <v>25503</v>
      </c>
      <c r="T32" s="128">
        <v>333455</v>
      </c>
      <c r="U32" s="128">
        <v>461450</v>
      </c>
      <c r="V32" s="128">
        <v>50793</v>
      </c>
      <c r="W32" s="128">
        <v>6278</v>
      </c>
      <c r="X32" s="128">
        <v>17988</v>
      </c>
      <c r="Y32" s="128">
        <v>107339</v>
      </c>
      <c r="Z32" s="128">
        <v>832</v>
      </c>
      <c r="AA32" s="128">
        <v>205258</v>
      </c>
      <c r="AB32" s="128">
        <v>10512</v>
      </c>
      <c r="AC32" s="128">
        <v>2356</v>
      </c>
      <c r="AD32" s="128">
        <v>21619</v>
      </c>
      <c r="AE32" s="128">
        <v>100351</v>
      </c>
      <c r="AF32" s="128">
        <v>257482</v>
      </c>
      <c r="AG32" s="128">
        <v>1329802</v>
      </c>
      <c r="AH32" s="128">
        <v>12817</v>
      </c>
      <c r="AI32" s="128">
        <v>488616</v>
      </c>
      <c r="AJ32" s="128">
        <v>767426</v>
      </c>
      <c r="AK32" s="128">
        <v>12040</v>
      </c>
      <c r="AL32" s="131">
        <v>41248</v>
      </c>
      <c r="AM32" s="128">
        <v>39182</v>
      </c>
      <c r="AN32" s="130">
        <v>722079</v>
      </c>
      <c r="AO32" s="130">
        <v>5514</v>
      </c>
      <c r="AP32" s="130">
        <v>0</v>
      </c>
      <c r="AQ32" s="128">
        <v>127694</v>
      </c>
      <c r="AR32" s="128">
        <v>254737</v>
      </c>
      <c r="AS32" s="128">
        <v>73420</v>
      </c>
      <c r="AT32" s="128">
        <v>728</v>
      </c>
      <c r="AU32" s="128">
        <v>132292</v>
      </c>
      <c r="AV32" s="128">
        <v>50786</v>
      </c>
      <c r="AW32" s="128">
        <v>43712</v>
      </c>
      <c r="AX32" s="128">
        <v>217224</v>
      </c>
      <c r="AY32" s="128">
        <v>59992</v>
      </c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>
        <v>65298</v>
      </c>
      <c r="C33" s="128">
        <v>97251</v>
      </c>
      <c r="D33" s="128">
        <v>17920</v>
      </c>
      <c r="E33" s="128">
        <v>16903</v>
      </c>
      <c r="F33" s="128">
        <v>233500</v>
      </c>
      <c r="G33" s="128">
        <v>4328</v>
      </c>
      <c r="H33" s="128">
        <v>4433</v>
      </c>
      <c r="I33" s="128">
        <v>457189</v>
      </c>
      <c r="J33" s="128">
        <v>83329</v>
      </c>
      <c r="K33" s="128">
        <v>7972</v>
      </c>
      <c r="L33" s="128">
        <v>34854</v>
      </c>
      <c r="M33" s="128">
        <v>57598</v>
      </c>
      <c r="N33" s="128">
        <v>47468</v>
      </c>
      <c r="O33" s="128">
        <v>228962</v>
      </c>
      <c r="P33" s="128">
        <v>488894</v>
      </c>
      <c r="Q33" s="128">
        <v>4037</v>
      </c>
      <c r="R33" s="128">
        <v>23064</v>
      </c>
      <c r="S33" s="128">
        <v>25503</v>
      </c>
      <c r="T33" s="128">
        <v>333766</v>
      </c>
      <c r="U33" s="128">
        <v>461861</v>
      </c>
      <c r="V33" s="128">
        <v>50844</v>
      </c>
      <c r="W33" s="128">
        <v>6278</v>
      </c>
      <c r="X33" s="128">
        <v>18007</v>
      </c>
      <c r="Y33" s="128">
        <v>107375</v>
      </c>
      <c r="Z33" s="128">
        <v>832</v>
      </c>
      <c r="AA33" s="128">
        <v>205420</v>
      </c>
      <c r="AB33" s="128">
        <v>10513</v>
      </c>
      <c r="AC33" s="128">
        <v>2356</v>
      </c>
      <c r="AD33" s="128">
        <v>21641</v>
      </c>
      <c r="AE33" s="128">
        <v>100457</v>
      </c>
      <c r="AF33" s="128">
        <v>257717</v>
      </c>
      <c r="AG33" s="128">
        <v>1331230</v>
      </c>
      <c r="AH33" s="128">
        <v>12827</v>
      </c>
      <c r="AI33" s="128">
        <v>488633</v>
      </c>
      <c r="AJ33" s="128">
        <v>768218</v>
      </c>
      <c r="AK33" s="128">
        <v>12048</v>
      </c>
      <c r="AL33" s="131">
        <v>41263</v>
      </c>
      <c r="AM33" s="128">
        <v>39239</v>
      </c>
      <c r="AN33" s="130">
        <v>722620</v>
      </c>
      <c r="AO33" s="130">
        <v>5515</v>
      </c>
      <c r="AP33" s="130">
        <v>0</v>
      </c>
      <c r="AQ33" s="128">
        <v>127817</v>
      </c>
      <c r="AR33" s="128">
        <v>254942</v>
      </c>
      <c r="AS33" s="128">
        <v>73442</v>
      </c>
      <c r="AT33" s="128">
        <v>728</v>
      </c>
      <c r="AU33" s="128">
        <v>132467</v>
      </c>
      <c r="AV33" s="128">
        <v>50839</v>
      </c>
      <c r="AW33" s="128">
        <v>43737</v>
      </c>
      <c r="AX33" s="128">
        <v>217429</v>
      </c>
      <c r="AY33" s="128">
        <v>60045</v>
      </c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>
        <v>65345</v>
      </c>
      <c r="C34" s="128">
        <v>97251</v>
      </c>
      <c r="D34" s="128">
        <v>17920</v>
      </c>
      <c r="E34" s="128">
        <v>16943</v>
      </c>
      <c r="F34" s="128">
        <v>233717</v>
      </c>
      <c r="G34" s="128">
        <v>4331</v>
      </c>
      <c r="H34" s="128">
        <v>4457</v>
      </c>
      <c r="I34" s="128">
        <v>457502</v>
      </c>
      <c r="J34" s="128">
        <v>83382</v>
      </c>
      <c r="K34" s="128">
        <v>7973</v>
      </c>
      <c r="L34" s="128">
        <v>34871</v>
      </c>
      <c r="M34" s="128">
        <v>57614</v>
      </c>
      <c r="N34" s="128">
        <v>47506</v>
      </c>
      <c r="O34" s="128">
        <v>229122</v>
      </c>
      <c r="P34" s="128">
        <v>489063</v>
      </c>
      <c r="Q34" s="128">
        <v>4042</v>
      </c>
      <c r="R34" s="128">
        <v>23079</v>
      </c>
      <c r="S34" s="128">
        <v>25503</v>
      </c>
      <c r="T34" s="128">
        <v>334048</v>
      </c>
      <c r="U34" s="128">
        <v>462207</v>
      </c>
      <c r="V34" s="128">
        <v>50888</v>
      </c>
      <c r="W34" s="128">
        <v>6278</v>
      </c>
      <c r="X34" s="128">
        <v>18029</v>
      </c>
      <c r="Y34" s="128">
        <v>107400</v>
      </c>
      <c r="Z34" s="128">
        <v>832</v>
      </c>
      <c r="AA34" s="128">
        <v>205577</v>
      </c>
      <c r="AB34" s="128">
        <v>10514</v>
      </c>
      <c r="AC34" s="128">
        <v>2356</v>
      </c>
      <c r="AD34" s="128">
        <v>21652</v>
      </c>
      <c r="AE34" s="128">
        <v>100546</v>
      </c>
      <c r="AF34" s="128">
        <v>257932</v>
      </c>
      <c r="AG34" s="128">
        <v>1331819</v>
      </c>
      <c r="AH34" s="128">
        <v>12841</v>
      </c>
      <c r="AI34" s="128">
        <v>488648</v>
      </c>
      <c r="AJ34" s="128">
        <v>768924</v>
      </c>
      <c r="AK34" s="128">
        <v>12052</v>
      </c>
      <c r="AL34" s="131">
        <v>41277</v>
      </c>
      <c r="AM34" s="128">
        <v>39285</v>
      </c>
      <c r="AN34" s="130">
        <v>723110</v>
      </c>
      <c r="AO34" s="130">
        <v>5516</v>
      </c>
      <c r="AP34" s="130">
        <v>0</v>
      </c>
      <c r="AQ34" s="128">
        <v>127917</v>
      </c>
      <c r="AR34" s="128">
        <v>255115</v>
      </c>
      <c r="AS34" s="128">
        <v>73461</v>
      </c>
      <c r="AT34" s="128">
        <v>729</v>
      </c>
      <c r="AU34" s="128">
        <v>132634</v>
      </c>
      <c r="AV34" s="128">
        <v>50899</v>
      </c>
      <c r="AW34" s="128">
        <v>43759</v>
      </c>
      <c r="AX34" s="128">
        <v>217620</v>
      </c>
      <c r="AY34" s="128">
        <v>60094</v>
      </c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>
        <v>65391</v>
      </c>
      <c r="C35" s="128">
        <v>97251</v>
      </c>
      <c r="D35" s="128">
        <v>17930</v>
      </c>
      <c r="E35" s="128">
        <v>16976</v>
      </c>
      <c r="F35" s="128">
        <v>233927</v>
      </c>
      <c r="G35" s="128">
        <v>4334</v>
      </c>
      <c r="H35" s="128">
        <v>4486</v>
      </c>
      <c r="I35" s="128">
        <v>457854</v>
      </c>
      <c r="J35" s="128">
        <v>83436</v>
      </c>
      <c r="K35" s="128">
        <v>7973</v>
      </c>
      <c r="L35" s="128">
        <v>34890</v>
      </c>
      <c r="M35" s="128">
        <v>57632</v>
      </c>
      <c r="N35" s="128">
        <v>47544</v>
      </c>
      <c r="O35" s="128">
        <v>229295</v>
      </c>
      <c r="P35" s="128">
        <v>489306</v>
      </c>
      <c r="Q35" s="128">
        <v>4048</v>
      </c>
      <c r="R35" s="128">
        <v>23093</v>
      </c>
      <c r="S35" s="128">
        <v>25503</v>
      </c>
      <c r="T35" s="128">
        <v>334368</v>
      </c>
      <c r="U35" s="128">
        <v>462560</v>
      </c>
      <c r="V35" s="128">
        <v>50932</v>
      </c>
      <c r="W35" s="128">
        <v>6278</v>
      </c>
      <c r="X35" s="128">
        <v>18052</v>
      </c>
      <c r="Y35" s="128">
        <v>107436</v>
      </c>
      <c r="Z35" s="128">
        <v>832</v>
      </c>
      <c r="AA35" s="128">
        <v>205739</v>
      </c>
      <c r="AB35" s="128">
        <v>10524</v>
      </c>
      <c r="AC35" s="128">
        <v>2358</v>
      </c>
      <c r="AD35" s="128">
        <v>21666</v>
      </c>
      <c r="AE35" s="128">
        <v>100641</v>
      </c>
      <c r="AF35" s="128">
        <v>258160</v>
      </c>
      <c r="AG35" s="128">
        <v>1332460</v>
      </c>
      <c r="AH35" s="128">
        <v>12855</v>
      </c>
      <c r="AI35" s="128">
        <v>488665</v>
      </c>
      <c r="AJ35" s="128">
        <v>769600</v>
      </c>
      <c r="AK35" s="128">
        <v>12058</v>
      </c>
      <c r="AL35" s="131">
        <v>41292</v>
      </c>
      <c r="AM35" s="128">
        <v>39338</v>
      </c>
      <c r="AN35" s="130">
        <v>723670</v>
      </c>
      <c r="AO35" s="130">
        <v>5517</v>
      </c>
      <c r="AP35" s="130">
        <v>0</v>
      </c>
      <c r="AQ35" s="128">
        <v>128030</v>
      </c>
      <c r="AR35" s="128">
        <v>255309</v>
      </c>
      <c r="AS35" s="128">
        <v>73481</v>
      </c>
      <c r="AT35" s="128">
        <v>729</v>
      </c>
      <c r="AU35" s="128">
        <v>132801</v>
      </c>
      <c r="AV35" s="128">
        <v>50958</v>
      </c>
      <c r="AW35" s="128">
        <v>43794</v>
      </c>
      <c r="AX35" s="128">
        <v>217829</v>
      </c>
      <c r="AY35" s="128">
        <v>60145</v>
      </c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>
        <v>65448</v>
      </c>
      <c r="C36" s="128">
        <v>97251</v>
      </c>
      <c r="D36" s="128">
        <v>17942</v>
      </c>
      <c r="E36" s="128">
        <v>16992</v>
      </c>
      <c r="F36" s="128">
        <v>234151</v>
      </c>
      <c r="G36" s="128">
        <v>4336</v>
      </c>
      <c r="H36" s="128">
        <v>4514</v>
      </c>
      <c r="I36" s="128">
        <v>458239</v>
      </c>
      <c r="J36" s="128">
        <v>83491</v>
      </c>
      <c r="K36" s="128">
        <v>7973</v>
      </c>
      <c r="L36" s="128">
        <v>34911</v>
      </c>
      <c r="M36" s="128">
        <v>57648</v>
      </c>
      <c r="N36" s="128">
        <v>47584</v>
      </c>
      <c r="O36" s="128">
        <v>229478</v>
      </c>
      <c r="P36" s="128">
        <v>489520</v>
      </c>
      <c r="Q36" s="128">
        <v>4055</v>
      </c>
      <c r="R36" s="128">
        <v>23109</v>
      </c>
      <c r="S36" s="128">
        <v>25503</v>
      </c>
      <c r="T36" s="128">
        <v>334717</v>
      </c>
      <c r="U36" s="128">
        <v>462942</v>
      </c>
      <c r="V36" s="128">
        <v>50977</v>
      </c>
      <c r="W36" s="128">
        <v>6279</v>
      </c>
      <c r="X36" s="128">
        <v>18077</v>
      </c>
      <c r="Y36" s="128">
        <v>107504</v>
      </c>
      <c r="Z36" s="128">
        <v>832</v>
      </c>
      <c r="AA36" s="128">
        <v>205900</v>
      </c>
      <c r="AB36" s="128">
        <v>10535</v>
      </c>
      <c r="AC36" s="128">
        <v>2359</v>
      </c>
      <c r="AD36" s="128">
        <v>21681</v>
      </c>
      <c r="AE36" s="128">
        <v>100747</v>
      </c>
      <c r="AF36" s="128">
        <v>258393</v>
      </c>
      <c r="AG36" s="128">
        <v>1333223</v>
      </c>
      <c r="AH36" s="128">
        <v>12868</v>
      </c>
      <c r="AI36" s="128">
        <v>488684</v>
      </c>
      <c r="AJ36" s="128">
        <v>770348</v>
      </c>
      <c r="AK36" s="128">
        <v>12066</v>
      </c>
      <c r="AL36" s="131">
        <v>41308</v>
      </c>
      <c r="AM36" s="128">
        <v>39395</v>
      </c>
      <c r="AN36" s="130">
        <v>724268</v>
      </c>
      <c r="AO36" s="130">
        <v>5518</v>
      </c>
      <c r="AP36" s="130">
        <v>0</v>
      </c>
      <c r="AQ36" s="128">
        <v>128144</v>
      </c>
      <c r="AR36" s="128">
        <v>255504</v>
      </c>
      <c r="AS36" s="128">
        <v>73503</v>
      </c>
      <c r="AT36" s="128">
        <v>730</v>
      </c>
      <c r="AU36" s="128">
        <v>132962</v>
      </c>
      <c r="AV36" s="128">
        <v>51027</v>
      </c>
      <c r="AW36" s="128">
        <v>43840</v>
      </c>
      <c r="AX36" s="128">
        <v>218051</v>
      </c>
      <c r="AY36" s="128">
        <v>60197</v>
      </c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>
        <v>65509</v>
      </c>
      <c r="C37" s="128">
        <v>97251</v>
      </c>
      <c r="D37" s="128">
        <v>17952</v>
      </c>
      <c r="E37" s="128">
        <v>17018</v>
      </c>
      <c r="F37" s="128">
        <v>234383</v>
      </c>
      <c r="G37" s="128">
        <v>4339</v>
      </c>
      <c r="H37" s="128">
        <v>4552</v>
      </c>
      <c r="I37" s="128">
        <v>458649</v>
      </c>
      <c r="J37" s="128">
        <v>83548</v>
      </c>
      <c r="K37" s="128">
        <v>7973</v>
      </c>
      <c r="L37" s="128">
        <v>34932</v>
      </c>
      <c r="M37" s="128">
        <v>57668</v>
      </c>
      <c r="N37" s="128">
        <v>47628</v>
      </c>
      <c r="O37" s="128">
        <v>229668</v>
      </c>
      <c r="P37" s="128">
        <v>489739</v>
      </c>
      <c r="Q37" s="128">
        <v>4063</v>
      </c>
      <c r="R37" s="128">
        <v>23127</v>
      </c>
      <c r="S37" s="128">
        <v>25503</v>
      </c>
      <c r="T37" s="128">
        <v>335043</v>
      </c>
      <c r="U37" s="128">
        <v>463358</v>
      </c>
      <c r="V37" s="128">
        <v>51028</v>
      </c>
      <c r="W37" s="128">
        <v>6281</v>
      </c>
      <c r="X37" s="128">
        <v>18098</v>
      </c>
      <c r="Y37" s="128">
        <v>107582</v>
      </c>
      <c r="Z37" s="128">
        <v>832</v>
      </c>
      <c r="AA37" s="128">
        <v>206071</v>
      </c>
      <c r="AB37" s="128">
        <v>10545</v>
      </c>
      <c r="AC37" s="128">
        <v>2361</v>
      </c>
      <c r="AD37" s="128">
        <v>21694</v>
      </c>
      <c r="AE37" s="128">
        <v>100861</v>
      </c>
      <c r="AF37" s="128">
        <v>258624</v>
      </c>
      <c r="AG37" s="128">
        <v>1334144</v>
      </c>
      <c r="AH37" s="128">
        <v>12881</v>
      </c>
      <c r="AI37" s="128">
        <v>488703</v>
      </c>
      <c r="AJ37" s="128">
        <v>771135</v>
      </c>
      <c r="AK37" s="128">
        <v>12078</v>
      </c>
      <c r="AL37" s="131">
        <v>41325</v>
      </c>
      <c r="AM37" s="128">
        <v>39456</v>
      </c>
      <c r="AN37" s="130">
        <v>724873</v>
      </c>
      <c r="AO37" s="130">
        <v>5519</v>
      </c>
      <c r="AP37" s="130">
        <v>0</v>
      </c>
      <c r="AQ37" s="128">
        <v>128278</v>
      </c>
      <c r="AR37" s="128">
        <v>255724</v>
      </c>
      <c r="AS37" s="128">
        <v>73540</v>
      </c>
      <c r="AT37" s="128">
        <v>731</v>
      </c>
      <c r="AU37" s="128">
        <v>133139</v>
      </c>
      <c r="AV37" s="128">
        <v>51094</v>
      </c>
      <c r="AW37" s="128">
        <v>43892</v>
      </c>
      <c r="AX37" s="128">
        <v>218284</v>
      </c>
      <c r="AY37" s="141">
        <v>60251</v>
      </c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A38">
        <v>31</v>
      </c>
      <c r="B38" s="117">
        <v>65567</v>
      </c>
      <c r="C38" s="128">
        <v>97251</v>
      </c>
      <c r="D38" s="119">
        <v>17959</v>
      </c>
      <c r="E38" s="119">
        <v>17045</v>
      </c>
      <c r="F38" s="119">
        <v>234610</v>
      </c>
      <c r="G38" s="119">
        <v>4341</v>
      </c>
      <c r="H38" s="128">
        <v>4589</v>
      </c>
      <c r="I38" s="119">
        <v>459038</v>
      </c>
      <c r="J38" s="119">
        <v>83609</v>
      </c>
      <c r="K38" s="119">
        <v>7974</v>
      </c>
      <c r="L38" s="119">
        <v>34952</v>
      </c>
      <c r="M38" s="119">
        <v>57683</v>
      </c>
      <c r="N38" s="119">
        <v>47688</v>
      </c>
      <c r="O38" s="119">
        <v>229847</v>
      </c>
      <c r="P38" s="119">
        <v>489943</v>
      </c>
      <c r="Q38" s="119">
        <v>4071</v>
      </c>
      <c r="R38" s="119">
        <v>23143</v>
      </c>
      <c r="S38" s="119">
        <v>25503</v>
      </c>
      <c r="T38" s="119">
        <v>335284</v>
      </c>
      <c r="U38" s="119">
        <v>463789</v>
      </c>
      <c r="V38" s="119">
        <v>51082</v>
      </c>
      <c r="W38" s="119">
        <v>6285</v>
      </c>
      <c r="X38" s="119">
        <v>18116</v>
      </c>
      <c r="Y38" s="119">
        <v>107665</v>
      </c>
      <c r="Z38" s="128">
        <v>834</v>
      </c>
      <c r="AA38" s="119">
        <v>206236</v>
      </c>
      <c r="AB38" s="119">
        <v>10553</v>
      </c>
      <c r="AC38" s="119">
        <v>2362</v>
      </c>
      <c r="AD38" s="119">
        <v>21711</v>
      </c>
      <c r="AE38" s="119">
        <v>100971</v>
      </c>
      <c r="AF38" s="119">
        <v>258855</v>
      </c>
      <c r="AG38" s="119">
        <v>1335281</v>
      </c>
      <c r="AH38" s="119">
        <v>12899</v>
      </c>
      <c r="AI38" s="119">
        <v>488721</v>
      </c>
      <c r="AJ38" s="119">
        <v>772041</v>
      </c>
      <c r="AK38" s="119">
        <v>12095</v>
      </c>
      <c r="AL38" s="120">
        <v>41340</v>
      </c>
      <c r="AM38" s="119">
        <v>39509</v>
      </c>
      <c r="AN38" s="121">
        <v>725385</v>
      </c>
      <c r="AO38" s="121">
        <v>5521</v>
      </c>
      <c r="AP38" s="130">
        <v>0</v>
      </c>
      <c r="AQ38" s="119">
        <v>128416</v>
      </c>
      <c r="AR38" s="119">
        <v>255960</v>
      </c>
      <c r="AS38" s="119">
        <v>73590</v>
      </c>
      <c r="AT38" s="119">
        <v>731</v>
      </c>
      <c r="AU38" s="119">
        <v>133325</v>
      </c>
      <c r="AV38" s="119">
        <v>51173</v>
      </c>
      <c r="AW38" s="119">
        <v>43936</v>
      </c>
      <c r="AX38" s="119">
        <v>218500</v>
      </c>
      <c r="AY38" s="123">
        <v>60311</v>
      </c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2021-01-05T07:58:31Z</dcterms:modified>
</cp:coreProperties>
</file>