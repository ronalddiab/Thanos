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398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5" l="1"/>
  <c r="C4" i="5" l="1"/>
  <c r="B9" i="5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C4" i="3" l="1"/>
  <c r="C6" i="3"/>
  <c r="K33" i="9" l="1"/>
  <c r="K34" i="9"/>
  <c r="K18" i="9"/>
  <c r="K19" i="9"/>
  <c r="K35" i="9"/>
  <c r="K36" i="9"/>
  <c r="K37" i="9"/>
  <c r="I31" i="9"/>
  <c r="I32" i="9"/>
  <c r="I33" i="9"/>
  <c r="I34" i="9"/>
  <c r="I35" i="9"/>
  <c r="I36" i="9"/>
  <c r="I37" i="9"/>
  <c r="G33" i="9"/>
  <c r="G34" i="9"/>
  <c r="G35" i="9"/>
  <c r="G36" i="9"/>
  <c r="G37" i="9"/>
  <c r="E33" i="9"/>
  <c r="E34" i="9"/>
  <c r="E35" i="9"/>
  <c r="E36" i="9"/>
  <c r="E37" i="9"/>
  <c r="B36" i="9"/>
  <c r="B37" i="9"/>
  <c r="B33" i="9"/>
  <c r="B34" i="9"/>
  <c r="B35" i="9"/>
  <c r="T9" i="2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R5" i="2"/>
  <c r="P9" i="2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N9" i="2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L9" i="2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J9" i="2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9" i="2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F9" i="2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D9" i="2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B9" i="2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S33" i="2"/>
  <c r="AF9" i="1"/>
  <c r="AF10" i="1" s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D9" i="1"/>
  <c r="AD10" i="1" s="1"/>
  <c r="AD11" i="1" s="1"/>
  <c r="AD12" i="1" s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B5" i="1"/>
  <c r="AB7" i="1" s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" i="1"/>
  <c r="Z9" i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X9" i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Q9" i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N9" i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K9" i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H9" i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E9" i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B9" i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S2" i="1"/>
  <c r="P2" i="1"/>
  <c r="M2" i="1"/>
  <c r="J2" i="1"/>
  <c r="G2" i="1"/>
  <c r="D2" i="1"/>
  <c r="C6" i="5"/>
  <c r="C10" i="5"/>
  <c r="J2" i="3"/>
  <c r="K2" i="3" s="1"/>
  <c r="U33" i="4"/>
  <c r="T33" i="4"/>
  <c r="B33" i="4"/>
  <c r="W13" i="4"/>
  <c r="W14" i="4"/>
  <c r="Z2" i="4"/>
  <c r="X2" i="4"/>
  <c r="I2" i="4"/>
  <c r="T2" i="1" l="1"/>
  <c r="Y2" i="4"/>
  <c r="E17" i="2"/>
  <c r="I17" i="2"/>
  <c r="K17" i="2"/>
  <c r="M17" i="2"/>
  <c r="C17" i="2"/>
  <c r="G17" i="2"/>
  <c r="O17" i="2"/>
  <c r="Q17" i="2"/>
  <c r="R17" i="2"/>
  <c r="S17" i="2"/>
  <c r="R6" i="2" l="1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8" i="2" s="1"/>
  <c r="R19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2" i="2" s="1"/>
  <c r="C3" i="2" l="1"/>
  <c r="E3" i="2"/>
  <c r="S28" i="4" l="1"/>
  <c r="H19" i="4" l="1"/>
  <c r="H20" i="4"/>
  <c r="C8" i="2" l="1"/>
  <c r="C9" i="2"/>
  <c r="C10" i="2"/>
  <c r="C11" i="2"/>
  <c r="C12" i="2"/>
  <c r="C13" i="2"/>
  <c r="C14" i="2"/>
  <c r="C15" i="2"/>
  <c r="C16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Q6" i="2"/>
  <c r="Q7" i="2"/>
  <c r="Q8" i="2"/>
  <c r="Q9" i="2"/>
  <c r="Q10" i="2"/>
  <c r="Q11" i="2"/>
  <c r="Q12" i="2"/>
  <c r="Q13" i="2"/>
  <c r="Q14" i="2"/>
  <c r="Q15" i="2"/>
  <c r="Q16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C6" i="2"/>
  <c r="C7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C33" i="2" l="1"/>
  <c r="E11" i="2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H24" i="4" l="1"/>
  <c r="E16" i="2"/>
  <c r="U64" i="10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H33" i="4" l="1"/>
  <c r="E33" i="3"/>
  <c r="E18" i="2"/>
  <c r="D3" i="4"/>
  <c r="F3" i="4"/>
  <c r="H3" i="4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S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7" i="5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C33" i="5" l="1"/>
  <c r="K33" i="4"/>
  <c r="W33" i="4"/>
  <c r="S33" i="4"/>
  <c r="Q33" i="4"/>
  <c r="O33" i="4"/>
  <c r="M33" i="4"/>
  <c r="F33" i="4"/>
  <c r="I33" i="4" s="1"/>
  <c r="D33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Z33" i="4" l="1"/>
  <c r="X33" i="4"/>
  <c r="AA25" i="4"/>
  <c r="Y14" i="4"/>
  <c r="E20" i="2"/>
  <c r="AA5" i="4"/>
  <c r="AA4" i="4"/>
  <c r="Y4" i="4"/>
  <c r="Y33" i="4" s="1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AA33" i="4" l="1"/>
  <c r="E21" i="2"/>
  <c r="AE7" i="1"/>
  <c r="E22" i="2" l="1"/>
  <c r="AE8" i="1"/>
  <c r="AC6" i="8"/>
  <c r="E23" i="2" l="1"/>
  <c r="M3" i="2"/>
  <c r="M33" i="2" s="1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3" i="2" s="1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N94" i="10"/>
  <c r="N93" i="10"/>
  <c r="M94" i="10"/>
  <c r="M93" i="10"/>
  <c r="E29" i="2" l="1"/>
  <c r="AE22" i="1"/>
  <c r="AC13" i="8"/>
  <c r="AA12" i="8"/>
  <c r="N9" i="10"/>
  <c r="E30" i="2" l="1"/>
  <c r="AE23" i="1"/>
  <c r="AC14" i="8"/>
  <c r="AA13" i="8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E31" i="2" l="1"/>
  <c r="AE24" i="1"/>
  <c r="AA14" i="8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3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3" i="2" s="1"/>
  <c r="AE28" i="1" l="1"/>
  <c r="AA18" i="8"/>
  <c r="AE30" i="8" l="1"/>
  <c r="I30" i="9" s="1"/>
  <c r="AE31" i="8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33" i="1" s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G33" i="1" l="1"/>
  <c r="AA33" i="1"/>
  <c r="AE32" i="1"/>
  <c r="AE31" i="1"/>
  <c r="AA21" i="8"/>
  <c r="F3" i="8"/>
  <c r="E3" i="3"/>
  <c r="Y3" i="1"/>
  <c r="Y33" i="1" s="1"/>
  <c r="G29" i="9"/>
  <c r="AE33" i="1" l="1"/>
  <c r="J22" i="11"/>
  <c r="AA22" i="8"/>
  <c r="O71" i="10"/>
  <c r="AA23" i="8" l="1"/>
  <c r="AA24" i="8" l="1"/>
  <c r="M71" i="10"/>
  <c r="AA25" i="8" l="1"/>
  <c r="AA26" i="8" l="1"/>
  <c r="AA27" i="8" l="1"/>
  <c r="AA28" i="8" l="1"/>
  <c r="AC30" i="8" l="1"/>
  <c r="AC31" i="8"/>
  <c r="AA29" i="8"/>
  <c r="AA30" i="8" l="1"/>
  <c r="G3" i="2"/>
  <c r="G33" i="2" s="1"/>
  <c r="I3" i="2"/>
  <c r="I33" i="2" s="1"/>
  <c r="O3" i="2"/>
  <c r="O33" i="2" s="1"/>
  <c r="U3" i="2"/>
  <c r="U33" i="2" s="1"/>
  <c r="AC3" i="8" l="1"/>
  <c r="AA31" i="8"/>
  <c r="AB4" i="8"/>
  <c r="S5" i="2"/>
  <c r="AC4" i="8" l="1"/>
  <c r="AB3" i="8"/>
  <c r="Z4" i="8"/>
  <c r="E4" i="9" l="1"/>
  <c r="Z3" i="8"/>
  <c r="E3" i="9" s="1"/>
  <c r="Z30" i="8"/>
  <c r="E30" i="9" s="1"/>
  <c r="AB19" i="8"/>
  <c r="S20" i="2"/>
  <c r="AC19" i="8" s="1"/>
  <c r="Z31" i="8" l="1"/>
  <c r="E31" i="9" s="1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Z13" i="8"/>
  <c r="E13" i="9" s="1"/>
  <c r="Z14" i="8"/>
  <c r="E14" i="9" s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W4" i="8" s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U4" i="8" l="1"/>
  <c r="O33" i="1"/>
  <c r="V4" i="8"/>
  <c r="L33" i="1"/>
  <c r="T4" i="8"/>
  <c r="I33" i="1"/>
  <c r="S4" i="8"/>
  <c r="F33" i="1"/>
  <c r="R4" i="8"/>
  <c r="C33" i="1"/>
  <c r="G6" i="1"/>
  <c r="S5" i="8"/>
  <c r="J6" i="1"/>
  <c r="T5" i="8"/>
  <c r="M6" i="1"/>
  <c r="V5" i="8"/>
  <c r="P6" i="1"/>
  <c r="U5" i="8"/>
  <c r="S6" i="1"/>
  <c r="W5" i="8"/>
  <c r="D6" i="1"/>
  <c r="R5" i="8"/>
  <c r="S5" i="1"/>
  <c r="S33" i="1" s="1"/>
  <c r="P5" i="1"/>
  <c r="P33" i="1" s="1"/>
  <c r="M5" i="1"/>
  <c r="J5" i="1"/>
  <c r="G5" i="1"/>
  <c r="D5" i="1"/>
  <c r="G16" i="3"/>
  <c r="G17" i="3"/>
  <c r="G16" i="8" s="1"/>
  <c r="G18" i="3"/>
  <c r="G17" i="8" s="1"/>
  <c r="J33" i="1" l="1"/>
  <c r="D33" i="1"/>
  <c r="M33" i="1"/>
  <c r="G33" i="1"/>
  <c r="G15" i="8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AB7" i="8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5" i="3" l="1"/>
  <c r="E4" i="8" s="1"/>
  <c r="E5" i="8"/>
  <c r="C7" i="3"/>
  <c r="E6" i="8" s="1"/>
  <c r="J4" i="3" l="1"/>
  <c r="E3" i="8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C33" i="3" l="1"/>
  <c r="I33" i="3"/>
  <c r="G33" i="3"/>
  <c r="G4" i="8"/>
  <c r="AC22" i="8"/>
  <c r="G18" i="8"/>
  <c r="H15" i="8"/>
  <c r="Z22" i="8"/>
  <c r="Z26" i="8"/>
  <c r="E26" i="9" s="1"/>
  <c r="Z6" i="8"/>
  <c r="E6" i="9" s="1"/>
  <c r="Z20" i="8"/>
  <c r="E20" i="9" s="1"/>
  <c r="Z8" i="8"/>
  <c r="AD9" i="8"/>
  <c r="AC8" i="8"/>
  <c r="AB5" i="8"/>
  <c r="H4" i="8"/>
  <c r="AD4" i="8" s="1"/>
  <c r="AD8" i="8"/>
  <c r="AC5" i="8"/>
  <c r="AC16" i="8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Z17" i="8"/>
  <c r="T11" i="1"/>
  <c r="U11" i="1" s="1"/>
  <c r="AB17" i="8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E22" i="9" l="1"/>
  <c r="E8" i="9"/>
  <c r="E5" i="9"/>
  <c r="E16" i="9"/>
  <c r="E15" i="9"/>
  <c r="E17" i="9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Z10" i="8" l="1"/>
  <c r="E10" i="9" s="1"/>
  <c r="AE4" i="8"/>
  <c r="I4" i="9"/>
  <c r="Z11" i="8"/>
  <c r="E11" i="9" s="1"/>
  <c r="Z12" i="8"/>
  <c r="E12" i="9" s="1"/>
  <c r="T30" i="1" l="1"/>
  <c r="U30" i="1" s="1"/>
  <c r="E32" i="9" l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3" i="1" s="1"/>
  <c r="K26" i="11" l="1"/>
  <c r="C7" i="11" s="1"/>
  <c r="D7" i="11" l="1"/>
  <c r="C5" i="11"/>
  <c r="D5" i="11" s="1"/>
  <c r="C6" i="11"/>
  <c r="D6" i="11" s="1"/>
  <c r="K4" i="3" l="1"/>
  <c r="K33" i="3" s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J29" i="3"/>
  <c r="K29" i="3" s="1"/>
  <c r="E29" i="8" l="1"/>
  <c r="AD29" i="8" s="1"/>
  <c r="AE27" i="8"/>
  <c r="I27" i="9" s="1"/>
  <c r="J30" i="3"/>
  <c r="AE28" i="8" l="1"/>
  <c r="I28" i="9" s="1"/>
  <c r="K30" i="3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<sst xmlns="http://schemas.openxmlformats.org/spreadsheetml/2006/main" count="518" uniqueCount="151">
  <si>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</si>
  <si>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</si>
  <si>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</si>
  <si>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</si>
  <si>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</si>
  <si>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</si>
  <si>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</si>
  <si>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</si>
  <si>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</si>
  <si>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</si>
  <si>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</si>
  <si>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</si>
  <si>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</si>
  <si>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</si>
  <si>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</si>
  <si>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</si>
  <si>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</si>
  <si>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</si>
  <si>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</si>
  <si>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</si>
  <si>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</si>
  <si>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</si>
  <si>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</si>
  <si>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</si>
  <si>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</si>
  <si>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</si>
  <si>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</si>
  <si>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</si>
  <si>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</si>
  <si>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</si>
  <si>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</si>
  <si>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</si>
  <si>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</si>
  <si>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</si>
  <si>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</si>
  <si>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</si>
  <si>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</si>
  <si>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</si>
  <si>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</si>
  <si>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</si>
  <si>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</si>
  <si>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</si>
  <si>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</si>
  <si>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</si>
  <si>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</si>
  <si>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</si>
  <si>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</si>
  <si>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</si>
  <si>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</si>
  <si>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</si>
  <si>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</si>
  <si>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</si>
  <si>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</si>
  <si>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</si>
  <si>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</si>
  <si>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</si>
  <si>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</si>
  <si>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</si>
  <si>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</si>
  <si>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</si>
  <si>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</si>
  <si>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</si>
  <si>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</si>
  <si>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</si>
  <si>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</si>
  <si>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</si>
  <si>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</si>
  <si>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</si>
  <si>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</si>
  <si>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</si>
  <si>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</si>
  <si>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</si>
  <si>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</si>
  <si>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</si>
  <si>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</si>
  <si>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</si>
  <si>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</si>
  <si>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</si>
  <si>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</si>
  <si>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</si>
  <si>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</si>
  <si>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</si>
  <si>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</si>
  <si>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</si>
  <si>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</si>
  <si>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</si>
  <si>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</si>
  <si>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</si>
  <si>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</si>
  <si>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</si>
  <si>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</si>
  <si>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</si>
  <si>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</si>
  <si>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</si>
  <si>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</si>
  <si>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</si>
  <si>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</si>
  <si>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</si>
  <si>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</si>
  <si>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</si>
  <si>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</si>
  <si>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</si>
  <si>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</si>
  <si>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</si>
  <si>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</si>
  <si>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</si>
  <si>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</si>
  <si>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</si>
  <si>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</si>
  <si>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</si>
  <si>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</si>
  <si>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</si>
  <si>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</si>
  <si>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</si>
  <si>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</si>
  <si>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</si>
  <si>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</si>
  <si>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</si>
  <si>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</si>
  <si>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</si>
  <si>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</si>
  <si>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</si>
  <si>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</si>
  <si>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</si>
  <si>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</si>
  <si>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</si>
  <si>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</si>
  <si>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</si>
  <si>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</si>
  <si>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</si>
  <si>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</si>
  <si>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</si>
  <si>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</si>
  <si>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</si>
  <si>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</si>
  <si>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</si>
  <si>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</si>
  <si>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</si>
  <si>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</si>
  <si>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</si>
  <si>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</si>
  <si>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</si>
  <si>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</si>
  <si>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</si>
  <si>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</si>
  <si>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</si>
  <si>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</si>
  <si>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Acutal till Apr. 2022</t>
  </si>
  <si>
    <t>Acutal till May. 2022</t>
  </si>
  <si>
    <t>Acutal till    Jun. 2022</t>
  </si>
  <si>
    <t>Energy Monthly Statement Saptember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</si>
</sst>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  <numFmt numFmtId="169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1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9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7"/>
  <sheetViews>
    <sheetView zoomScale="85" zoomScaleNormal="85" workbookViewId="0">
      <pane ySplit="1" topLeftCell="A8" activePane="bottomLeft" state="frozen"/>
      <selection pane="bottomLeft" activeCell="K34" sqref="K34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7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87851.236915999994</v>
      </c>
      <c r="F2" s="138">
        <v>1.27</v>
      </c>
      <c r="G2" s="36">
        <f>Gas!C3*0.9147</f>
        <v>1906.2348</v>
      </c>
      <c r="H2" s="139">
        <v>3.65</v>
      </c>
      <c r="I2" s="140">
        <f>Submetering!H2+Submetering!AD2+Submetering!AE2</f>
        <v>906</v>
      </c>
      <c r="J2" s="141">
        <v>10.029999999999999</v>
      </c>
      <c r="K2" s="36">
        <f>ELECT.!B3</f>
        <v>238</v>
      </c>
    </row>
    <row r="3" spans="1:14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77284.35796400001</v>
      </c>
      <c r="F3" s="138">
        <v>1.27</v>
      </c>
      <c r="G3" s="36">
        <f>Gas!C4*0.9147</f>
        <v>1607.1279</v>
      </c>
      <c r="H3" s="139">
        <v>3.65</v>
      </c>
      <c r="I3" s="141">
        <f>Submetering!H3+Submetering!AD3+Submetering!AE3</f>
        <v>946</v>
      </c>
      <c r="J3" s="141">
        <v>10.029999999999999</v>
      </c>
      <c r="K3" s="36">
        <f>ELECT.!B4</f>
        <v>207</v>
      </c>
    </row>
    <row r="4" spans="1:14" x14ac:dyDescent="0.2">
      <c r="A4" s="47" t="s">
        <v>53</v>
      </c>
      <c r="B4" s="52">
        <f t="shared" ref="B4:B37" si="0">B3+1</f>
        <v>3</v>
      </c>
      <c r="C4" s="52">
        <v>7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58531.036028000002</v>
      </c>
      <c r="F4" s="138">
        <v>1.27</v>
      </c>
      <c r="G4" s="36">
        <f>Gas!C5*0.9147</f>
        <v>1646.46</v>
      </c>
      <c r="H4" s="139">
        <v>3.65</v>
      </c>
      <c r="I4" s="141">
        <f>Submetering!H4+Submetering!AD4+Submetering!AE4</f>
        <v>666</v>
      </c>
      <c r="J4" s="141">
        <v>10.029999999999999</v>
      </c>
      <c r="K4" s="36">
        <f>ELECT.!B5</f>
        <v>207</v>
      </c>
    </row>
    <row r="5" spans="1:14" x14ac:dyDescent="0.2">
      <c r="A5" s="47" t="s">
        <v>53</v>
      </c>
      <c r="B5" s="52">
        <f t="shared" si="0"/>
        <v>4</v>
      </c>
      <c r="C5" s="52">
        <v>7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89766.050912000006</v>
      </c>
      <c r="F5" s="138">
        <v>1.27</v>
      </c>
      <c r="G5" s="36">
        <f>Gas!C6*0.9147</f>
        <v>1697.6831999999999</v>
      </c>
      <c r="H5" s="139">
        <v>3.65</v>
      </c>
      <c r="I5" s="141">
        <f>Submetering!H5+Submetering!AD5+Submetering!AE5</f>
        <v>886</v>
      </c>
      <c r="J5" s="141">
        <v>10.029999999999999</v>
      </c>
      <c r="K5" s="36">
        <f>ELECT.!B6</f>
        <v>216</v>
      </c>
    </row>
    <row r="6" spans="1:14" x14ac:dyDescent="0.2">
      <c r="A6" s="47" t="s">
        <v>53</v>
      </c>
      <c r="B6" s="52">
        <f t="shared" si="0"/>
        <v>5</v>
      </c>
      <c r="C6" s="52">
        <v>7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79447.496912000002</v>
      </c>
      <c r="F6" s="138">
        <v>1.27</v>
      </c>
      <c r="G6" s="36">
        <f>Gas!C7*0.9147</f>
        <v>1986.7284</v>
      </c>
      <c r="H6" s="139">
        <v>3.65</v>
      </c>
      <c r="I6" s="141">
        <f>Submetering!H6+Submetering!AD6+Submetering!AE6</f>
        <v>796</v>
      </c>
      <c r="J6" s="141">
        <v>10.029999999999999</v>
      </c>
      <c r="K6" s="36">
        <f>ELECT.!B7</f>
        <v>260</v>
      </c>
    </row>
    <row r="7" spans="1:14" x14ac:dyDescent="0.2">
      <c r="A7" s="47" t="s">
        <v>53</v>
      </c>
      <c r="B7" s="52">
        <f t="shared" si="0"/>
        <v>6</v>
      </c>
      <c r="C7" s="52">
        <v>7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68681.934748</v>
      </c>
      <c r="F7" s="138">
        <v>1.27</v>
      </c>
      <c r="G7" s="36">
        <f>Gas!C8*0.9147</f>
        <v>1620.8483999999999</v>
      </c>
      <c r="H7" s="139">
        <v>3.65</v>
      </c>
      <c r="I7" s="141">
        <f>Submetering!H7+Submetering!AD7+Submetering!AE7</f>
        <v>955.99999999999989</v>
      </c>
      <c r="J7" s="141">
        <v>10.029999999999999</v>
      </c>
      <c r="K7" s="36">
        <f>ELECT.!B8</f>
        <v>269</v>
      </c>
    </row>
    <row r="8" spans="1:14" x14ac:dyDescent="0.2">
      <c r="A8" s="47" t="s">
        <v>53</v>
      </c>
      <c r="B8" s="52">
        <v>1</v>
      </c>
      <c r="C8" s="52">
        <v>9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38">
        <v>1.27</v>
      </c>
      <c r="G8" s="36">
        <f>Gas!C9*0.9147</f>
        <v>0</v>
      </c>
      <c r="H8" s="139">
        <v>3.65</v>
      </c>
      <c r="I8" s="141">
        <f>Submetering!H8+Submetering!AD8+Submetering!AE8</f>
        <v>-194</v>
      </c>
      <c r="J8" s="141">
        <v>10.029999999999999</v>
      </c>
      <c r="K8" s="36">
        <f>ELECT.!B9</f>
        <v>0</v>
      </c>
    </row>
    <row r="9" spans="1:14" x14ac:dyDescent="0.2">
      <c r="A9" s="47" t="s">
        <v>53</v>
      </c>
      <c r="B9" s="52">
        <f t="shared" si="0"/>
        <v>2</v>
      </c>
      <c r="C9" s="52">
        <v>9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38">
        <v>1.27</v>
      </c>
      <c r="G9" s="36">
        <f>Gas!C10*0.9147</f>
        <v>0</v>
      </c>
      <c r="H9" s="139">
        <v>3.65</v>
      </c>
      <c r="I9" s="141">
        <f>Submetering!H9+Submetering!AD9+Submetering!AE9</f>
        <v>-194</v>
      </c>
      <c r="J9" s="141">
        <v>10.029999999999999</v>
      </c>
      <c r="K9" s="36">
        <f>ELECT.!B10</f>
        <v>0</v>
      </c>
      <c r="N9" t="s">
        <v>12</v>
      </c>
    </row>
    <row r="10" spans="1:14" x14ac:dyDescent="0.2">
      <c r="A10" s="47" t="s">
        <v>53</v>
      </c>
      <c r="B10" s="52">
        <f t="shared" si="0"/>
        <v>3</v>
      </c>
      <c r="C10" s="52">
        <v>9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38">
        <v>1.27</v>
      </c>
      <c r="G10" s="36">
        <f>Gas!C11*0.9147</f>
        <v>0</v>
      </c>
      <c r="H10" s="139">
        <v>3.65</v>
      </c>
      <c r="I10" s="141">
        <f>Submetering!H10+Submetering!AD10+Submetering!AE10</f>
        <v>-194</v>
      </c>
      <c r="J10" s="141">
        <v>10.029999999999999</v>
      </c>
      <c r="K10" s="36">
        <f>ELECT.!B11</f>
        <v>0</v>
      </c>
    </row>
    <row r="11" spans="1:14" x14ac:dyDescent="0.2">
      <c r="A11" s="47" t="s">
        <v>53</v>
      </c>
      <c r="B11" s="52">
        <f t="shared" si="0"/>
        <v>4</v>
      </c>
      <c r="C11" s="52">
        <v>9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38">
        <v>1.27</v>
      </c>
      <c r="G11" s="36">
        <f>Gas!C12*0.9147</f>
        <v>0</v>
      </c>
      <c r="H11" s="139">
        <v>3.65</v>
      </c>
      <c r="I11" s="141">
        <f>Submetering!H11+Submetering!AD11+Submetering!AE11</f>
        <v>-194</v>
      </c>
      <c r="J11" s="141">
        <v>10.029999999999999</v>
      </c>
      <c r="K11" s="36">
        <f>ELECT.!B12</f>
        <v>0</v>
      </c>
    </row>
    <row r="12" spans="1:14" x14ac:dyDescent="0.2">
      <c r="A12" s="47" t="s">
        <v>53</v>
      </c>
      <c r="B12" s="52">
        <f t="shared" si="0"/>
        <v>5</v>
      </c>
      <c r="C12" s="52">
        <v>9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38">
        <v>1.27</v>
      </c>
      <c r="G12" s="36">
        <f>Gas!C13*0.9147</f>
        <v>0</v>
      </c>
      <c r="H12" s="139">
        <v>3.65</v>
      </c>
      <c r="I12" s="141">
        <f>Submetering!H12+Submetering!AD12+Submetering!AE12</f>
        <v>-194</v>
      </c>
      <c r="J12" s="141">
        <v>10.029999999999999</v>
      </c>
      <c r="K12" s="36">
        <f>ELECT.!B13</f>
        <v>0</v>
      </c>
    </row>
    <row r="13" spans="1:14" x14ac:dyDescent="0.2">
      <c r="A13" s="47" t="s">
        <v>53</v>
      </c>
      <c r="B13" s="52">
        <f t="shared" si="0"/>
        <v>6</v>
      </c>
      <c r="C13" s="52">
        <v>9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38">
        <v>1.27</v>
      </c>
      <c r="G13" s="36">
        <f>Gas!C14*0.9147</f>
        <v>0</v>
      </c>
      <c r="H13" s="139">
        <v>3.65</v>
      </c>
      <c r="I13" s="141">
        <f>Submetering!H13+Submetering!AD13+Submetering!AE13</f>
        <v>-194</v>
      </c>
      <c r="J13" s="141">
        <v>10.029999999999999</v>
      </c>
      <c r="K13" s="36">
        <f>ELECT.!B14</f>
        <v>0</v>
      </c>
    </row>
    <row r="14" spans="1:14" x14ac:dyDescent="0.2">
      <c r="A14" s="47" t="s">
        <v>53</v>
      </c>
      <c r="B14" s="52">
        <f t="shared" si="0"/>
        <v>7</v>
      </c>
      <c r="C14" s="52">
        <v>9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38">
        <v>1.27</v>
      </c>
      <c r="G14" s="36">
        <f>Gas!C15*0.9147</f>
        <v>0</v>
      </c>
      <c r="H14" s="139">
        <v>3.65</v>
      </c>
      <c r="I14" s="141">
        <f>Submetering!H14+Submetering!AD14+Submetering!AE14</f>
        <v>-194</v>
      </c>
      <c r="J14" s="141">
        <v>10.029999999999999</v>
      </c>
      <c r="K14" s="36">
        <f>ELECT.!B15</f>
        <v>0</v>
      </c>
    </row>
    <row r="15" spans="1:14" x14ac:dyDescent="0.2">
      <c r="A15" s="47" t="s">
        <v>53</v>
      </c>
      <c r="B15" s="52">
        <f t="shared" si="0"/>
        <v>8</v>
      </c>
      <c r="C15" s="52">
        <v>9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38">
        <v>1.27</v>
      </c>
      <c r="G15" s="36">
        <f>Gas!C16*0.9147</f>
        <v>0</v>
      </c>
      <c r="H15" s="139">
        <v>3.65</v>
      </c>
      <c r="I15" s="141">
        <f>Submetering!H15+Submetering!AD15+Submetering!AE15</f>
        <v>-194</v>
      </c>
      <c r="J15" s="141">
        <v>10.029999999999999</v>
      </c>
      <c r="K15" s="36">
        <f>ELECT.!B16</f>
        <v>0</v>
      </c>
    </row>
    <row r="16" spans="1:14" x14ac:dyDescent="0.2">
      <c r="A16" s="47" t="s">
        <v>53</v>
      </c>
      <c r="B16" s="52">
        <f t="shared" si="0"/>
        <v>9</v>
      </c>
      <c r="C16" s="52">
        <v>9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38">
        <v>1.27</v>
      </c>
      <c r="G16" s="36">
        <f>Gas!C17*0.9147</f>
        <v>0</v>
      </c>
      <c r="H16" s="139">
        <v>3.65</v>
      </c>
      <c r="I16" s="141">
        <f>Submetering!H16+Submetering!AD16+Submetering!AE16</f>
        <v>-194</v>
      </c>
      <c r="J16" s="141">
        <v>10.029999999999999</v>
      </c>
      <c r="K16" s="36">
        <f>ELECT.!B17</f>
        <v>0</v>
      </c>
    </row>
    <row r="17" spans="1:13" x14ac:dyDescent="0.2">
      <c r="A17" s="47" t="s">
        <v>53</v>
      </c>
      <c r="B17" s="52">
        <f t="shared" si="0"/>
        <v>10</v>
      </c>
      <c r="C17" s="52">
        <v>9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38">
        <v>1.27</v>
      </c>
      <c r="G17" s="36">
        <f>Gas!C18*0.9147</f>
        <v>0</v>
      </c>
      <c r="H17" s="139">
        <v>3.65</v>
      </c>
      <c r="I17" s="141">
        <f>Submetering!H17+Submetering!AD17+Submetering!AE17</f>
        <v>-194</v>
      </c>
      <c r="J17" s="141">
        <v>10.029999999999999</v>
      </c>
      <c r="K17" s="36">
        <f>ELECT.!B18</f>
        <v>0</v>
      </c>
    </row>
    <row r="18" spans="1:13" x14ac:dyDescent="0.2">
      <c r="A18" s="47" t="s">
        <v>53</v>
      </c>
      <c r="B18" s="52">
        <f t="shared" si="0"/>
        <v>11</v>
      </c>
      <c r="C18" s="52">
        <v>9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38">
        <v>1.27</v>
      </c>
      <c r="G18" s="36">
        <f>Gas!C19*0.9147</f>
        <v>0</v>
      </c>
      <c r="H18" s="139">
        <v>3.65</v>
      </c>
      <c r="I18" s="141">
        <f>Submetering!H18+Submetering!AD18+Submetering!AE18</f>
        <v>-194</v>
      </c>
      <c r="J18" s="141">
        <v>10.029999999999999</v>
      </c>
      <c r="K18" s="36">
        <f>ELECT.!B19</f>
        <v>0</v>
      </c>
    </row>
    <row r="19" spans="1:13" x14ac:dyDescent="0.2">
      <c r="A19" s="47" t="s">
        <v>53</v>
      </c>
      <c r="B19" s="52">
        <f t="shared" si="0"/>
        <v>12</v>
      </c>
      <c r="C19" s="52">
        <v>9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38">
        <v>1.27</v>
      </c>
      <c r="G19" s="36">
        <f>Gas!C20*0.9147</f>
        <v>0</v>
      </c>
      <c r="H19" s="139">
        <v>3.65</v>
      </c>
      <c r="I19" s="141">
        <f>Submetering!H19+Submetering!AD19+Submetering!AE19</f>
        <v>-194</v>
      </c>
      <c r="J19" s="141">
        <v>10.029999999999999</v>
      </c>
      <c r="K19" s="36">
        <f>ELECT.!B20</f>
        <v>0</v>
      </c>
    </row>
    <row r="20" spans="1:13" x14ac:dyDescent="0.2">
      <c r="A20" s="47" t="s">
        <v>53</v>
      </c>
      <c r="B20" s="52">
        <f t="shared" si="0"/>
        <v>13</v>
      </c>
      <c r="C20" s="52">
        <v>9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8">
        <v>1.27</v>
      </c>
      <c r="G20" s="36">
        <f>Gas!C21*0.9147</f>
        <v>0</v>
      </c>
      <c r="H20" s="139">
        <v>3.65</v>
      </c>
      <c r="I20" s="141">
        <f>Submetering!H20+Submetering!AD20+Submetering!AE20</f>
        <v>-194</v>
      </c>
      <c r="J20" s="141">
        <v>10.029999999999999</v>
      </c>
      <c r="K20" s="36">
        <f>ELECT.!B21</f>
        <v>0</v>
      </c>
    </row>
    <row r="21" spans="1:13" x14ac:dyDescent="0.2">
      <c r="A21" s="47" t="s">
        <v>53</v>
      </c>
      <c r="B21" s="52">
        <f t="shared" si="0"/>
        <v>14</v>
      </c>
      <c r="C21" s="52">
        <v>9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8">
        <v>1.27</v>
      </c>
      <c r="G21" s="36">
        <f>Gas!C22*0.9147</f>
        <v>0</v>
      </c>
      <c r="H21" s="139">
        <v>3.65</v>
      </c>
      <c r="I21" s="141">
        <f>Submetering!H21+Submetering!AD21+Submetering!AE21</f>
        <v>-194</v>
      </c>
      <c r="J21" s="141">
        <v>10.029999999999999</v>
      </c>
      <c r="K21" s="36">
        <f>ELECT.!B22</f>
        <v>0</v>
      </c>
    </row>
    <row r="22" spans="1:13" x14ac:dyDescent="0.2">
      <c r="A22" s="47" t="s">
        <v>53</v>
      </c>
      <c r="B22" s="52">
        <f t="shared" si="0"/>
        <v>15</v>
      </c>
      <c r="C22" s="52">
        <v>9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8">
        <v>1.27</v>
      </c>
      <c r="G22" s="36">
        <f>Gas!C23*0.9147</f>
        <v>0</v>
      </c>
      <c r="H22" s="139">
        <v>3.65</v>
      </c>
      <c r="I22" s="141">
        <f>Submetering!H22+Submetering!AD22+Submetering!AE22</f>
        <v>-194</v>
      </c>
      <c r="J22" s="141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16</v>
      </c>
      <c r="C23" s="52">
        <v>9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8">
        <v>1.27</v>
      </c>
      <c r="G23" s="36">
        <f>Gas!C24*0.9147</f>
        <v>0</v>
      </c>
      <c r="H23" s="139">
        <v>3.65</v>
      </c>
      <c r="I23" s="141">
        <f>Submetering!H23+Submetering!AD23+Submetering!AE23</f>
        <v>-194</v>
      </c>
      <c r="J23" s="141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17</v>
      </c>
      <c r="C24" s="52">
        <v>9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8">
        <v>1.27</v>
      </c>
      <c r="G24" s="36">
        <f>Gas!C25*0.9147</f>
        <v>0</v>
      </c>
      <c r="H24" s="139">
        <v>3.65</v>
      </c>
      <c r="I24" s="141">
        <f>Submetering!H24+Submetering!AD24+Submetering!AE24</f>
        <v>-194</v>
      </c>
      <c r="J24" s="141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18</v>
      </c>
      <c r="C25" s="52">
        <v>9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8">
        <v>1.27</v>
      </c>
      <c r="G25" s="36">
        <f>Gas!C26*0.9147</f>
        <v>0</v>
      </c>
      <c r="H25" s="139">
        <v>3.65</v>
      </c>
      <c r="I25" s="141">
        <f>Submetering!H25+Submetering!AD25+Submetering!AE25</f>
        <v>-194</v>
      </c>
      <c r="J25" s="141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>B25+1</f>
        <v>19</v>
      </c>
      <c r="C26" s="52">
        <v>9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8">
        <v>1.27</v>
      </c>
      <c r="G26" s="36">
        <f>Gas!C27*0.9147</f>
        <v>0</v>
      </c>
      <c r="H26" s="139">
        <v>3.65</v>
      </c>
      <c r="I26" s="141">
        <f>Submetering!H26+Submetering!AD26+Submetering!AE26</f>
        <v>-194</v>
      </c>
      <c r="J26" s="141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20</v>
      </c>
      <c r="C27" s="52">
        <v>9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8">
        <v>1.27</v>
      </c>
      <c r="G27" s="36">
        <f>Gas!C28*0.9147</f>
        <v>0</v>
      </c>
      <c r="H27" s="139">
        <v>3.65</v>
      </c>
      <c r="I27" s="141">
        <f>Submetering!H27+Submetering!AD27+Submetering!AE27</f>
        <v>-194</v>
      </c>
      <c r="J27" s="141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21</v>
      </c>
      <c r="C28" s="52">
        <v>9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8">
        <v>1.27</v>
      </c>
      <c r="G28" s="36">
        <f>Gas!C29*0.9147</f>
        <v>0</v>
      </c>
      <c r="H28" s="139">
        <v>3.65</v>
      </c>
      <c r="I28" s="141">
        <f>Submetering!H28+Submetering!AD28+Submetering!AE28</f>
        <v>-194</v>
      </c>
      <c r="J28" s="141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22</v>
      </c>
      <c r="C29" s="52">
        <v>9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9">
        <v>1.27</v>
      </c>
      <c r="G29" s="36">
        <f>Gas!C30*0.9147</f>
        <v>0</v>
      </c>
      <c r="H29" s="139">
        <v>3.65</v>
      </c>
      <c r="I29" s="141">
        <f>Submetering!H29+Submetering!AD29+Submetering!AE29</f>
        <v>-194</v>
      </c>
      <c r="J29" s="141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23</v>
      </c>
      <c r="C30" s="52">
        <v>9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9">
        <v>1.27</v>
      </c>
      <c r="G30" s="36">
        <f>Gas!C31*0.9147</f>
        <v>0</v>
      </c>
      <c r="H30" s="139">
        <v>3.65</v>
      </c>
      <c r="I30" s="141">
        <f>Submetering!H30+Submetering!AD30+Submetering!AE30</f>
        <v>-194</v>
      </c>
      <c r="J30" s="141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24</v>
      </c>
      <c r="C31" s="52">
        <v>9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9">
        <v>1.27</v>
      </c>
      <c r="G31" s="36">
        <f>Gas!C32*0.9147</f>
        <v>0</v>
      </c>
      <c r="H31" s="139">
        <v>3.65</v>
      </c>
      <c r="I31" s="141">
        <f>Submetering!H31+Submetering!AD31+Submetering!AE31</f>
        <v>-194</v>
      </c>
      <c r="J31" s="141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25</v>
      </c>
      <c r="C32" s="52">
        <v>7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9">
        <v>1.27</v>
      </c>
      <c r="G32" s="36">
        <v>0</v>
      </c>
      <c r="H32" s="139">
        <v>3.65</v>
      </c>
      <c r="I32" s="141">
        <f>Submetering!H32+Submetering!AD32+Submetering!AE32</f>
        <v>0</v>
      </c>
      <c r="J32" s="141">
        <v>10.029999999999999</v>
      </c>
      <c r="K32" s="36">
        <v>0</v>
      </c>
    </row>
    <row r="33" spans="1:11" x14ac:dyDescent="0.2">
      <c r="A33" s="47" t="s">
        <v>53</v>
      </c>
      <c r="B33" s="52">
        <f t="shared" si="0"/>
        <v>26</v>
      </c>
      <c r="C33" s="52">
        <v>7</v>
      </c>
      <c r="D33" s="52">
        <v>2022</v>
      </c>
      <c r="E33" s="36">
        <f>(((Submetering!O33+Submetering!P33)*0.842284+Submetering!Q33+(Submetering!M33+Submetering!N33+Submetering!Y33)*0.7362)+(Submetering!O33+Submetering!P33+Submetering!Q33)*0.1488+(Submetering!M33+Submetering!N33+Submetering!Y33)*0.1167+(Submetering!K33+Submetering!L33-Submetering!Z33-Submetering!AA33-Submetering!AB33-Submetering!AC33-Submetering!Q33)+(Submetering!M33+Submetering!N33+Submetering!Y33)*0.1139)</f>
        <v>0</v>
      </c>
      <c r="F33" s="139">
        <v>1.27</v>
      </c>
      <c r="G33" s="36">
        <f>Gas!C34*0.9147</f>
        <v>0</v>
      </c>
      <c r="H33" s="139">
        <v>3.65</v>
      </c>
      <c r="I33" s="141">
        <f>Submetering!H33+Submetering!AD33+Submetering!AE33</f>
        <v>0</v>
      </c>
      <c r="J33" s="141">
        <v>10.029999999999999</v>
      </c>
      <c r="K33" s="36">
        <f>ELECT.!B34</f>
        <v>0</v>
      </c>
    </row>
    <row r="34" spans="1:11" x14ac:dyDescent="0.2">
      <c r="A34" s="47" t="s">
        <v>53</v>
      </c>
      <c r="B34" s="52">
        <f t="shared" si="0"/>
        <v>27</v>
      </c>
      <c r="C34" s="52">
        <v>7</v>
      </c>
      <c r="D34" s="52">
        <v>2022</v>
      </c>
      <c r="E34" s="36">
        <f>(((Submetering!O34+Submetering!P34)*0.842284+Submetering!Q34+(Submetering!M34+Submetering!N34+Submetering!Y34)*0.7362)+(Submetering!O34+Submetering!P34+Submetering!Q34)*0.1488+(Submetering!M34+Submetering!N34+Submetering!Y34)*0.1167+(Submetering!K34+Submetering!L34-Submetering!Z34-Submetering!AA34-Submetering!AB34-Submetering!AC34-Submetering!Q34)+(Submetering!M34+Submetering!N34+Submetering!Y34)*0.1139)</f>
        <v>0</v>
      </c>
      <c r="F34" s="139">
        <v>1.27</v>
      </c>
      <c r="G34" s="36">
        <f>Gas!C35*0.9147</f>
        <v>0</v>
      </c>
      <c r="H34" s="139">
        <v>3.65</v>
      </c>
      <c r="I34" s="141">
        <f>Submetering!H34+Submetering!AD34+Submetering!AE34</f>
        <v>0</v>
      </c>
      <c r="J34" s="141">
        <v>10.029999999999999</v>
      </c>
      <c r="K34" s="36">
        <f>ELECT.!B35</f>
        <v>0</v>
      </c>
    </row>
    <row r="35" spans="1:11" x14ac:dyDescent="0.2">
      <c r="A35" s="47" t="s">
        <v>53</v>
      </c>
      <c r="B35" s="52">
        <f t="shared" si="0"/>
        <v>28</v>
      </c>
      <c r="C35" s="52">
        <v>7</v>
      </c>
      <c r="D35" s="52">
        <v>2022</v>
      </c>
      <c r="E35" s="36">
        <f>(((Submetering!O35+Submetering!P35)*0.842284+Submetering!Q35+(Submetering!M35+Submetering!N35+Submetering!Y35)*0.7362)+(Submetering!O35+Submetering!P35+Submetering!Q35)*0.1488+(Submetering!M35+Submetering!N35+Submetering!Y35)*0.1167+(Submetering!K35+Submetering!L35-Submetering!Z35-Submetering!AA35-Submetering!AB35-Submetering!AC35-Submetering!Q35)+(Submetering!M35+Submetering!N35+Submetering!Y35)*0.1139)</f>
        <v>0</v>
      </c>
      <c r="F35" s="139">
        <v>1.27</v>
      </c>
      <c r="G35" s="36">
        <f>Gas!C36*0.9147</f>
        <v>0</v>
      </c>
      <c r="H35" s="139">
        <v>3.65</v>
      </c>
      <c r="I35" s="141">
        <f>Submetering!H35+Submetering!AD35+Submetering!AE35</f>
        <v>0</v>
      </c>
      <c r="J35" s="141">
        <v>10.029999999999999</v>
      </c>
      <c r="K35" s="36">
        <f>ELECT.!B36</f>
        <v>0</v>
      </c>
    </row>
    <row r="36" spans="1:11" x14ac:dyDescent="0.2">
      <c r="A36" s="47" t="s">
        <v>53</v>
      </c>
      <c r="B36" s="52">
        <f t="shared" si="0"/>
        <v>29</v>
      </c>
      <c r="C36" s="52">
        <v>7</v>
      </c>
      <c r="D36" s="52">
        <v>2022</v>
      </c>
      <c r="E36" s="36">
        <f>(((Submetering!O36+Submetering!P36)*0.842284+Submetering!Q36+(Submetering!M36+Submetering!N36+Submetering!Y36)*0.7362)+(Submetering!O36+Submetering!P36+Submetering!Q36)*0.1488+(Submetering!M36+Submetering!N36+Submetering!Y36)*0.1167+(Submetering!K36+Submetering!L36-Submetering!Z36-Submetering!AA36-Submetering!AB36-Submetering!AC36-Submetering!Q36)+(Submetering!M36+Submetering!N36+Submetering!Y36)*0.1139)</f>
        <v>0</v>
      </c>
      <c r="F36" s="139">
        <v>1.27</v>
      </c>
      <c r="G36" s="36">
        <f>Gas!C37*0.9147</f>
        <v>0</v>
      </c>
      <c r="H36" s="139">
        <v>3.65</v>
      </c>
      <c r="I36" s="141">
        <f>Submetering!H36+Submetering!AD36+Submetering!AE36</f>
        <v>0</v>
      </c>
      <c r="J36" s="141">
        <v>10.029999999999999</v>
      </c>
      <c r="K36" s="36">
        <f>ELECT.!B37</f>
        <v>0</v>
      </c>
    </row>
    <row r="37" spans="1:11" x14ac:dyDescent="0.2">
      <c r="A37" s="47" t="s">
        <v>53</v>
      </c>
      <c r="B37" s="52">
        <f t="shared" si="0"/>
        <v>30</v>
      </c>
      <c r="C37" s="52">
        <v>7</v>
      </c>
      <c r="D37" s="52">
        <v>2022</v>
      </c>
      <c r="E37" s="36">
        <f>(((Submetering!O37+Submetering!P37)*0.842284+Submetering!Q37+(Submetering!M37+Submetering!N37+Submetering!Y37)*0.7362)+(Submetering!O37+Submetering!P37+Submetering!Q37)*0.1488+(Submetering!M37+Submetering!N37+Submetering!Y37)*0.1167+(Submetering!K37+Submetering!L37-Submetering!Z37-Submetering!AA37-Submetering!AB37-Submetering!AC37-Submetering!Q37)+(Submetering!M37+Submetering!N37+Submetering!Y37)*0.1139)</f>
        <v>0</v>
      </c>
      <c r="F37" s="139">
        <v>1.27</v>
      </c>
      <c r="G37" s="36">
        <f>Gas!C38*0.9147</f>
        <v>0</v>
      </c>
      <c r="H37" s="139">
        <v>3.65</v>
      </c>
      <c r="I37" s="141">
        <f>Submetering!H37+Submetering!AD37+Submetering!AE37</f>
        <v>0</v>
      </c>
      <c r="J37" s="141">
        <v>10.029999999999999</v>
      </c>
      <c r="K37" s="36">
        <f>ELECT.!B38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B29" sqref="B29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27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28" t="s">
        <v>133</v>
      </c>
      <c r="AE1" s="128" t="s">
        <v>134</v>
      </c>
    </row>
    <row r="2" spans="1:31" x14ac:dyDescent="0.2">
      <c r="A2" s="47" t="s">
        <v>53</v>
      </c>
      <c r="B2" s="52">
        <v>1</v>
      </c>
      <c r="C2" s="52">
        <v>9</v>
      </c>
      <c r="D2" s="52">
        <v>2022</v>
      </c>
      <c r="E2" s="36">
        <f>Water!C3</f>
        <v>1100</v>
      </c>
      <c r="F2" s="36">
        <f>Water!E3</f>
        <v>560</v>
      </c>
      <c r="G2" s="36">
        <f>Water!G3</f>
        <v>577.79999999999995</v>
      </c>
      <c r="H2" s="36">
        <f>Water!I3</f>
        <v>4.5090000000000003</v>
      </c>
      <c r="I2" s="36">
        <f>ELECT.!F3</f>
        <v>26629</v>
      </c>
      <c r="J2" s="36">
        <f>ELECT.!H3</f>
        <v>64344</v>
      </c>
      <c r="K2" s="36">
        <f>ELECT.!K3</f>
        <v>13026</v>
      </c>
      <c r="L2" s="36">
        <f>ELECT.!M3</f>
        <v>7141</v>
      </c>
      <c r="M2" s="36">
        <f>ELECT.!O3</f>
        <v>19284</v>
      </c>
      <c r="N2" s="36">
        <f>ELECT.!Q3</f>
        <v>15896</v>
      </c>
      <c r="O2" s="36">
        <f>ELECT.!S3</f>
        <v>12637</v>
      </c>
      <c r="P2" s="36">
        <f>ELECT.!W3*2</f>
        <v>27462</v>
      </c>
      <c r="Q2" s="36">
        <f>ELECT.!D3</f>
        <v>640</v>
      </c>
      <c r="R2" s="37">
        <f>BTU!C3</f>
        <v>12.468000000000757</v>
      </c>
      <c r="S2" s="37">
        <f>BTU!F3</f>
        <v>2.8519999999998618</v>
      </c>
      <c r="T2" s="37">
        <f>BTU!I3</f>
        <v>9</v>
      </c>
      <c r="U2" s="37">
        <f>BTU!O3</f>
        <v>2.1739999999999782</v>
      </c>
      <c r="V2" s="37">
        <f>BTU!L3</f>
        <v>2.0799999999999272</v>
      </c>
      <c r="W2" s="37">
        <f>BTU!R3</f>
        <v>1.0299999999997453</v>
      </c>
      <c r="X2" s="34">
        <f>ELECT.!B3</f>
        <v>238</v>
      </c>
      <c r="Y2" s="34">
        <f>I2+J2-(K2+L2+M2+N2+O2+P2)</f>
        <v>-4473</v>
      </c>
      <c r="Z2">
        <f>'Mall, Citadel, Rotana'!C3+'Mall, Citadel, Rotana'!E3+'Mall, Citadel, Rotana'!G3+'Mall, Citadel, Rotana'!I3</f>
        <v>1364</v>
      </c>
      <c r="AA2">
        <f>'Mall, Citadel, Rotana'!K3+'Mall, Citadel, Rotana'!M3</f>
        <v>354</v>
      </c>
      <c r="AB2">
        <f>'Mall, Citadel, Rotana'!O3</f>
        <v>3</v>
      </c>
      <c r="AC2">
        <f>'Mall, Citadel, Rotana'!Q3+'Mall, Citadel, Rotana'!S3</f>
        <v>119</v>
      </c>
      <c r="AD2" s="34">
        <f>(E2-H2-194)*0.1318</f>
        <v>118.8165138</v>
      </c>
      <c r="AE2" s="34">
        <f>E2-H2-AD2-194</f>
        <v>782.67448620000005</v>
      </c>
    </row>
    <row r="3" spans="1:31" x14ac:dyDescent="0.2">
      <c r="A3" s="47" t="s">
        <v>53</v>
      </c>
      <c r="B3" s="52">
        <f>B2+1</f>
        <v>2</v>
      </c>
      <c r="C3" s="52">
        <v>9</v>
      </c>
      <c r="D3" s="52">
        <v>2022</v>
      </c>
      <c r="E3" s="36">
        <f>Water!C4</f>
        <v>1140</v>
      </c>
      <c r="F3" s="36">
        <f>Water!E4</f>
        <v>430</v>
      </c>
      <c r="G3" s="36">
        <f>Water!G4</f>
        <v>564.29999999999995</v>
      </c>
      <c r="H3" s="36">
        <f>Water!I4</f>
        <v>3.4830000000000001</v>
      </c>
      <c r="I3" s="36">
        <f>ELECT.!F4</f>
        <v>23697</v>
      </c>
      <c r="J3" s="36">
        <f>ELECT.!H4</f>
        <v>56399</v>
      </c>
      <c r="K3" s="36">
        <f>ELECT.!K4</f>
        <v>10938</v>
      </c>
      <c r="L3" s="36">
        <f>ELECT.!M4</f>
        <v>6380</v>
      </c>
      <c r="M3" s="36">
        <f>ELECT.!O4</f>
        <v>17202</v>
      </c>
      <c r="N3" s="36">
        <f>ELECT.!Q4</f>
        <v>13896</v>
      </c>
      <c r="O3" s="36">
        <f>ELECT.!S4</f>
        <v>11625</v>
      </c>
      <c r="P3" s="36">
        <f>ELECT.!W4*2</f>
        <v>23796</v>
      </c>
      <c r="Q3" s="36">
        <f>ELECT.!D4</f>
        <v>480</v>
      </c>
      <c r="R3" s="141">
        <f>BTU!C4</f>
        <v>12.774999999997817</v>
      </c>
      <c r="S3" s="141">
        <f>BTU!F4</f>
        <v>2.1180000000003929</v>
      </c>
      <c r="T3" s="141">
        <f>BTU!I4</f>
        <v>7</v>
      </c>
      <c r="U3" s="141">
        <f>BTU!O4</f>
        <v>2.3220000000001164</v>
      </c>
      <c r="V3" s="141">
        <f>BTU!L4</f>
        <v>2.4899999999997817</v>
      </c>
      <c r="W3" s="141">
        <f>BTU!R4</f>
        <v>0.9000000000005457</v>
      </c>
      <c r="X3" s="34">
        <f>ELECT.!B4</f>
        <v>207</v>
      </c>
      <c r="Y3" s="34">
        <f t="shared" ref="Y3:Y31" si="0">I3+J3-(K3+L3+M3+N3+O3+P3)</f>
        <v>-3741</v>
      </c>
      <c r="Z3">
        <f>'Mall, Citadel, Rotana'!C4+'Mall, Citadel, Rotana'!E4+'Mall, Citadel, Rotana'!G4+'Mall, Citadel, Rotana'!I4</f>
        <v>1228</v>
      </c>
      <c r="AA3">
        <f>'Mall, Citadel, Rotana'!K4+'Mall, Citadel, Rotana'!M4</f>
        <v>306</v>
      </c>
      <c r="AB3">
        <f>'Mall, Citadel, Rotana'!O4</f>
        <v>3</v>
      </c>
      <c r="AC3">
        <f>'Mall, Citadel, Rotana'!Q4+'Mall, Citadel, Rotana'!S4</f>
        <v>122</v>
      </c>
      <c r="AD3" s="34">
        <f t="shared" ref="AD3:AD31" si="1">(E3-H3-194)*0.1318</f>
        <v>124.22374060000001</v>
      </c>
      <c r="AE3" s="34">
        <f t="shared" ref="AE3:AE31" si="2">E3-H3-AD3-194</f>
        <v>818.29325940000001</v>
      </c>
    </row>
    <row r="4" spans="1:31" x14ac:dyDescent="0.2">
      <c r="A4" s="47" t="s">
        <v>53</v>
      </c>
      <c r="B4" s="52">
        <f t="shared" ref="B4:B31" si="3">B3+1</f>
        <v>3</v>
      </c>
      <c r="C4" s="52">
        <v>9</v>
      </c>
      <c r="D4" s="52">
        <v>2022</v>
      </c>
      <c r="E4" s="36">
        <f>Water!C5</f>
        <v>860</v>
      </c>
      <c r="F4" s="36">
        <f>Water!E5</f>
        <v>390</v>
      </c>
      <c r="G4" s="36">
        <f>Water!G5</f>
        <v>529.20000000000005</v>
      </c>
      <c r="H4" s="36">
        <f>Water!I5</f>
        <v>4.0229999999999997</v>
      </c>
      <c r="I4" s="36">
        <f>ELECT.!F5</f>
        <v>18082</v>
      </c>
      <c r="J4" s="36">
        <f>ELECT.!H5</f>
        <v>42862</v>
      </c>
      <c r="K4" s="36">
        <f>ELECT.!K5</f>
        <v>8754</v>
      </c>
      <c r="L4" s="36">
        <f>ELECT.!M5</f>
        <v>4937</v>
      </c>
      <c r="M4" s="36">
        <f>ELECT.!O5</f>
        <v>12870</v>
      </c>
      <c r="N4" s="36">
        <f>ELECT.!Q5</f>
        <v>10558</v>
      </c>
      <c r="O4" s="36">
        <f>ELECT.!S5</f>
        <v>8647</v>
      </c>
      <c r="P4" s="36">
        <f>ELECT.!W5*2</f>
        <v>18070</v>
      </c>
      <c r="Q4" s="36">
        <f>ELECT.!D5</f>
        <v>800</v>
      </c>
      <c r="R4" s="141">
        <f>BTU!C5</f>
        <v>13.725000000002183</v>
      </c>
      <c r="S4" s="141">
        <f>BTU!F5</f>
        <v>1.9359999999996944</v>
      </c>
      <c r="T4" s="141">
        <f>BTU!I5</f>
        <v>9</v>
      </c>
      <c r="U4" s="141">
        <f>BTU!O5</f>
        <v>2.4039999999999964</v>
      </c>
      <c r="V4" s="141">
        <f>BTU!L5</f>
        <v>2.9599999999991269</v>
      </c>
      <c r="W4" s="141">
        <f>BTU!R5</f>
        <v>0.88999999999941792</v>
      </c>
      <c r="X4" s="34">
        <f>ELECT.!B5</f>
        <v>207</v>
      </c>
      <c r="Y4" s="34">
        <f t="shared" si="0"/>
        <v>-2892</v>
      </c>
      <c r="Z4">
        <f>'Mall, Citadel, Rotana'!C5+'Mall, Citadel, Rotana'!E5+'Mall, Citadel, Rotana'!G5+'Mall, Citadel, Rotana'!I5</f>
        <v>1236</v>
      </c>
      <c r="AA4">
        <f>'Mall, Citadel, Rotana'!K5+'Mall, Citadel, Rotana'!M5</f>
        <v>255</v>
      </c>
      <c r="AB4">
        <f>'Mall, Citadel, Rotana'!O5</f>
        <v>3</v>
      </c>
      <c r="AC4">
        <f>'Mall, Citadel, Rotana'!Q5+'Mall, Citadel, Rotana'!S5</f>
        <v>118</v>
      </c>
      <c r="AD4" s="34">
        <f t="shared" si="1"/>
        <v>87.248568599999999</v>
      </c>
      <c r="AE4" s="34">
        <f t="shared" si="2"/>
        <v>574.72843139999998</v>
      </c>
    </row>
    <row r="5" spans="1:31" x14ac:dyDescent="0.2">
      <c r="A5" s="47" t="s">
        <v>53</v>
      </c>
      <c r="B5" s="52">
        <f t="shared" si="3"/>
        <v>4</v>
      </c>
      <c r="C5" s="52">
        <v>9</v>
      </c>
      <c r="D5" s="52">
        <v>2022</v>
      </c>
      <c r="E5" s="36">
        <f>Water!C6</f>
        <v>1080</v>
      </c>
      <c r="F5" s="36">
        <f>Water!E6</f>
        <v>440</v>
      </c>
      <c r="G5" s="36">
        <f>Water!G6</f>
        <v>653.4</v>
      </c>
      <c r="H5" s="36">
        <f>Water!I6</f>
        <v>4.4820000000000002</v>
      </c>
      <c r="I5" s="36">
        <f>ELECT.!F6</f>
        <v>27314</v>
      </c>
      <c r="J5" s="36">
        <f>ELECT.!H6</f>
        <v>65686</v>
      </c>
      <c r="K5" s="36">
        <f>ELECT.!K6</f>
        <v>13498</v>
      </c>
      <c r="L5" s="36">
        <f>ELECT.!M6</f>
        <v>7788</v>
      </c>
      <c r="M5" s="36">
        <f>ELECT.!O6</f>
        <v>19296</v>
      </c>
      <c r="N5" s="36">
        <f>ELECT.!Q6</f>
        <v>15931</v>
      </c>
      <c r="O5" s="36">
        <f>ELECT.!S6</f>
        <v>13530</v>
      </c>
      <c r="P5" s="36">
        <f>ELECT.!W6*2</f>
        <v>27638</v>
      </c>
      <c r="Q5" s="36">
        <f>ELECT.!D6</f>
        <v>640</v>
      </c>
      <c r="R5" s="141">
        <f>BTU!C6</f>
        <v>13.647000000000844</v>
      </c>
      <c r="S5" s="141">
        <f>BTU!F6</f>
        <v>3.2899999999999636</v>
      </c>
      <c r="T5" s="141">
        <f>BTU!I6</f>
        <v>9</v>
      </c>
      <c r="U5" s="141">
        <f>BTU!O6</f>
        <v>2.3129999999996471</v>
      </c>
      <c r="V5" s="141">
        <f>BTU!L6</f>
        <v>2.9800000000013824</v>
      </c>
      <c r="W5" s="141">
        <f>BTU!R6</f>
        <v>1.4000000000005457</v>
      </c>
      <c r="X5" s="34">
        <f>ELECT.!B6</f>
        <v>216</v>
      </c>
      <c r="Y5" s="34">
        <f t="shared" si="0"/>
        <v>-4681</v>
      </c>
      <c r="Z5">
        <f>'Mall, Citadel, Rotana'!C6+'Mall, Citadel, Rotana'!E6+'Mall, Citadel, Rotana'!G6+'Mall, Citadel, Rotana'!I6</f>
        <v>1397</v>
      </c>
      <c r="AA5">
        <f>'Mall, Citadel, Rotana'!K6+'Mall, Citadel, Rotana'!M6</f>
        <v>427</v>
      </c>
      <c r="AB5">
        <f>'Mall, Citadel, Rotana'!O6</f>
        <v>3</v>
      </c>
      <c r="AC5">
        <f>'Mall, Citadel, Rotana'!Q6+'Mall, Citadel, Rotana'!S6</f>
        <v>121</v>
      </c>
      <c r="AD5" s="34">
        <f t="shared" si="1"/>
        <v>116.18407240000001</v>
      </c>
      <c r="AE5" s="34">
        <f t="shared" si="2"/>
        <v>765.33392760000004</v>
      </c>
    </row>
    <row r="6" spans="1:31" x14ac:dyDescent="0.2">
      <c r="A6" s="47" t="s">
        <v>53</v>
      </c>
      <c r="B6" s="52">
        <f t="shared" si="3"/>
        <v>5</v>
      </c>
      <c r="C6" s="52">
        <v>9</v>
      </c>
      <c r="D6" s="52">
        <v>2022</v>
      </c>
      <c r="E6" s="36">
        <f>Water!C7</f>
        <v>990</v>
      </c>
      <c r="F6" s="36">
        <f>Water!E7</f>
        <v>400</v>
      </c>
      <c r="G6" s="36">
        <f>Water!G7</f>
        <v>567</v>
      </c>
      <c r="H6" s="36">
        <f>Water!I7</f>
        <v>4.2389999999999999</v>
      </c>
      <c r="I6" s="36">
        <f>ELECT.!F7</f>
        <v>24276</v>
      </c>
      <c r="J6" s="36">
        <f>ELECT.!H7</f>
        <v>58106</v>
      </c>
      <c r="K6" s="36">
        <f>ELECT.!K7</f>
        <v>12120</v>
      </c>
      <c r="L6" s="36">
        <f>ELECT.!M7</f>
        <v>6863</v>
      </c>
      <c r="M6" s="36">
        <f>ELECT.!O7</f>
        <v>17224</v>
      </c>
      <c r="N6" s="36">
        <f>ELECT.!Q7</f>
        <v>14292</v>
      </c>
      <c r="O6" s="36">
        <f>ELECT.!S7</f>
        <v>11622</v>
      </c>
      <c r="P6" s="36">
        <f>ELECT.!W7*2</f>
        <v>24546</v>
      </c>
      <c r="Q6" s="36">
        <f>ELECT.!D7</f>
        <v>800</v>
      </c>
      <c r="R6" s="141">
        <f>BTU!C7</f>
        <v>10.981999999999971</v>
      </c>
      <c r="S6" s="141">
        <f>BTU!F7</f>
        <v>2.6549999999997453</v>
      </c>
      <c r="T6" s="141">
        <f>BTU!I7</f>
        <v>7</v>
      </c>
      <c r="U6" s="141">
        <f>BTU!O7</f>
        <v>1.8270000000002256</v>
      </c>
      <c r="V6" s="141">
        <f>BTU!L7</f>
        <v>1.8599999999987631</v>
      </c>
      <c r="W6" s="141">
        <f>BTU!R7</f>
        <v>2.7199999999993452</v>
      </c>
      <c r="X6" s="34">
        <f>ELECT.!B7</f>
        <v>260</v>
      </c>
      <c r="Y6" s="34">
        <f t="shared" si="0"/>
        <v>-4285</v>
      </c>
      <c r="Z6">
        <f>'Mall, Citadel, Rotana'!C7+'Mall, Citadel, Rotana'!E7+'Mall, Citadel, Rotana'!G7+'Mall, Citadel, Rotana'!I7</f>
        <v>1355</v>
      </c>
      <c r="AA6">
        <f>'Mall, Citadel, Rotana'!K7+'Mall, Citadel, Rotana'!M7</f>
        <v>352</v>
      </c>
      <c r="AB6">
        <f>'Mall, Citadel, Rotana'!O7</f>
        <v>4</v>
      </c>
      <c r="AC6">
        <f>'Mall, Citadel, Rotana'!Q7+'Mall, Citadel, Rotana'!S7</f>
        <v>116</v>
      </c>
      <c r="AD6" s="34">
        <f t="shared" si="1"/>
        <v>104.3540998</v>
      </c>
      <c r="AE6" s="34">
        <f t="shared" si="2"/>
        <v>687.4069002</v>
      </c>
    </row>
    <row r="7" spans="1:31" x14ac:dyDescent="0.2">
      <c r="A7" s="47" t="s">
        <v>53</v>
      </c>
      <c r="B7" s="52">
        <f t="shared" si="3"/>
        <v>6</v>
      </c>
      <c r="C7" s="52">
        <v>9</v>
      </c>
      <c r="D7" s="52">
        <v>2022</v>
      </c>
      <c r="E7" s="36">
        <f>Water!C8</f>
        <v>1150</v>
      </c>
      <c r="F7" s="36">
        <f>Water!E8</f>
        <v>450</v>
      </c>
      <c r="G7" s="36">
        <f>Water!G8</f>
        <v>675</v>
      </c>
      <c r="H7" s="36">
        <f>Water!I8</f>
        <v>4.2389999999999999</v>
      </c>
      <c r="I7" s="36">
        <f>ELECT.!F8</f>
        <v>20996</v>
      </c>
      <c r="J7" s="36">
        <f>ELECT.!H8</f>
        <v>50629</v>
      </c>
      <c r="K7" s="36">
        <f>ELECT.!K8</f>
        <v>10352</v>
      </c>
      <c r="L7" s="36">
        <f>ELECT.!M8</f>
        <v>5783</v>
      </c>
      <c r="M7" s="36">
        <f>ELECT.!O8</f>
        <v>15010</v>
      </c>
      <c r="N7" s="36">
        <f>ELECT.!Q8</f>
        <v>12253</v>
      </c>
      <c r="O7" s="36">
        <f>ELECT.!S8</f>
        <v>10393</v>
      </c>
      <c r="P7" s="36">
        <f>ELECT.!W8*2</f>
        <v>21504</v>
      </c>
      <c r="Q7" s="36">
        <f>ELECT.!D8</f>
        <v>320</v>
      </c>
      <c r="R7" s="141">
        <f>BTU!C8</f>
        <v>12.288999999997031</v>
      </c>
      <c r="S7" s="141">
        <f>BTU!F8</f>
        <v>3.6390000000001237</v>
      </c>
      <c r="T7" s="141">
        <f>BTU!I8</f>
        <v>9</v>
      </c>
      <c r="U7" s="141">
        <f>BTU!O8</f>
        <v>2.2260000000001128</v>
      </c>
      <c r="V7" s="141">
        <f>BTU!L8</f>
        <v>2.2300000000013824</v>
      </c>
      <c r="W7" s="141">
        <f>BTU!R8</f>
        <v>2.3500000000003638</v>
      </c>
      <c r="X7" s="34">
        <f>ELECT.!B8</f>
        <v>269</v>
      </c>
      <c r="Y7" s="34">
        <f t="shared" si="0"/>
        <v>-3670</v>
      </c>
      <c r="Z7">
        <f>'Mall, Citadel, Rotana'!C8+'Mall, Citadel, Rotana'!E8+'Mall, Citadel, Rotana'!G8+'Mall, Citadel, Rotana'!I8</f>
        <v>1374</v>
      </c>
      <c r="AA7">
        <f>'Mall, Citadel, Rotana'!K8+'Mall, Citadel, Rotana'!M8</f>
        <v>422</v>
      </c>
      <c r="AB7">
        <f>'Mall, Citadel, Rotana'!O8</f>
        <v>3</v>
      </c>
      <c r="AC7">
        <f>'Mall, Citadel, Rotana'!Q8+'Mall, Citadel, Rotana'!S8</f>
        <v>124</v>
      </c>
      <c r="AD7" s="34">
        <f t="shared" si="1"/>
        <v>125.44209979999999</v>
      </c>
      <c r="AE7" s="34">
        <f t="shared" si="2"/>
        <v>826.31890019999992</v>
      </c>
    </row>
    <row r="8" spans="1:31" x14ac:dyDescent="0.2">
      <c r="A8" s="47" t="s">
        <v>53</v>
      </c>
      <c r="B8" s="52">
        <f t="shared" si="3"/>
        <v>7</v>
      </c>
      <c r="C8" s="52">
        <v>9</v>
      </c>
      <c r="D8" s="52">
        <v>2022</v>
      </c>
      <c r="E8" s="36">
        <f>Water!C9</f>
        <v>0</v>
      </c>
      <c r="F8" s="36">
        <f>Water!E9</f>
        <v>0</v>
      </c>
      <c r="G8" s="36">
        <f>Water!G9</f>
        <v>0</v>
      </c>
      <c r="H8" s="36">
        <f>Water!I9</f>
        <v>0</v>
      </c>
      <c r="I8" s="36" t="str">
        <f>ELECT.!F9</f>
        <v>0</v>
      </c>
      <c r="J8" s="36" t="str">
        <f>ELECT.!H9</f>
        <v>0</v>
      </c>
      <c r="K8" s="36">
        <f>ELECT.!K9</f>
        <v>0</v>
      </c>
      <c r="L8" s="36" t="str">
        <f>ELECT.!M9</f>
        <v>0</v>
      </c>
      <c r="M8" s="36">
        <f>ELECT.!O9</f>
        <v>0</v>
      </c>
      <c r="N8" s="36" t="str">
        <f>ELECT.!Q9</f>
        <v>0</v>
      </c>
      <c r="O8" s="36" t="str">
        <f>ELECT.!S9</f>
        <v>0</v>
      </c>
      <c r="P8" s="36">
        <f>ELECT.!W9*2</f>
        <v>0</v>
      </c>
      <c r="Q8" s="36">
        <f>ELECT.!D9</f>
        <v>0</v>
      </c>
      <c r="R8" s="141">
        <f>BTU!C9</f>
        <v>0</v>
      </c>
      <c r="S8" s="141">
        <f>BTU!F9</f>
        <v>0</v>
      </c>
      <c r="T8" s="141">
        <f>BTU!I9</f>
        <v>0</v>
      </c>
      <c r="U8" s="141">
        <f>BTU!O9</f>
        <v>0</v>
      </c>
      <c r="V8" s="141">
        <f>BTU!L9</f>
        <v>0</v>
      </c>
      <c r="W8" s="141">
        <f>BTU!R9</f>
        <v>0</v>
      </c>
      <c r="X8" s="34">
        <f>ELECT.!B9</f>
        <v>0</v>
      </c>
      <c r="Y8" s="34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34">
        <f t="shared" si="1"/>
        <v>-25.569199999999999</v>
      </c>
      <c r="AE8" s="34">
        <f t="shared" si="2"/>
        <v>-168.4308</v>
      </c>
    </row>
    <row r="9" spans="1:31" x14ac:dyDescent="0.2">
      <c r="A9" s="47" t="s">
        <v>53</v>
      </c>
      <c r="B9" s="52">
        <f t="shared" si="3"/>
        <v>8</v>
      </c>
      <c r="C9" s="52">
        <v>9</v>
      </c>
      <c r="D9" s="52">
        <v>2022</v>
      </c>
      <c r="E9" s="36">
        <f>Water!C10</f>
        <v>0</v>
      </c>
      <c r="F9" s="36">
        <f>Water!E10</f>
        <v>0</v>
      </c>
      <c r="G9" s="36">
        <f>Water!G10</f>
        <v>0</v>
      </c>
      <c r="H9" s="36">
        <f>Water!I10</f>
        <v>0</v>
      </c>
      <c r="I9" s="36">
        <f>ELECT.!F10</f>
        <v>0</v>
      </c>
      <c r="J9" s="36">
        <f>ELECT.!H10</f>
        <v>0</v>
      </c>
      <c r="K9" s="36">
        <f>ELECT.!K10</f>
        <v>0</v>
      </c>
      <c r="L9" s="36">
        <f>ELECT.!M10</f>
        <v>0</v>
      </c>
      <c r="M9" s="36">
        <f>ELECT.!O10</f>
        <v>0</v>
      </c>
      <c r="N9" s="36">
        <f>ELECT.!Q10</f>
        <v>0</v>
      </c>
      <c r="O9" s="36">
        <f>ELECT.!S10</f>
        <v>0</v>
      </c>
      <c r="P9" s="36">
        <f>ELECT.!W10*2</f>
        <v>0</v>
      </c>
      <c r="Q9" s="36">
        <f>ELECT.!D10</f>
        <v>0</v>
      </c>
      <c r="R9" s="141">
        <f>BTU!C10</f>
        <v>0</v>
      </c>
      <c r="S9" s="141">
        <f>BTU!F10</f>
        <v>0</v>
      </c>
      <c r="T9" s="141">
        <f>BTU!I10</f>
        <v>0</v>
      </c>
      <c r="U9" s="141">
        <f>BTU!O10</f>
        <v>0</v>
      </c>
      <c r="V9" s="141">
        <f>BTU!L10</f>
        <v>0</v>
      </c>
      <c r="W9" s="141">
        <f>BTU!R10</f>
        <v>0</v>
      </c>
      <c r="X9" s="34">
        <f>ELECT.!B10</f>
        <v>0</v>
      </c>
      <c r="Y9" s="34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34">
        <f t="shared" si="1"/>
        <v>-25.569199999999999</v>
      </c>
      <c r="AE9" s="34">
        <f t="shared" si="2"/>
        <v>-168.4308</v>
      </c>
    </row>
    <row r="10" spans="1:31" x14ac:dyDescent="0.2">
      <c r="A10" s="47" t="s">
        <v>53</v>
      </c>
      <c r="B10" s="52">
        <f t="shared" si="3"/>
        <v>9</v>
      </c>
      <c r="C10" s="52">
        <v>9</v>
      </c>
      <c r="D10" s="52">
        <v>2022</v>
      </c>
      <c r="E10" s="36">
        <f>Water!C11</f>
        <v>0</v>
      </c>
      <c r="F10" s="36">
        <f>Water!E11</f>
        <v>0</v>
      </c>
      <c r="G10" s="36">
        <f>Water!G11</f>
        <v>0</v>
      </c>
      <c r="H10" s="36">
        <f>Water!I11</f>
        <v>0</v>
      </c>
      <c r="I10" s="36">
        <f>ELECT.!F11</f>
        <v>0</v>
      </c>
      <c r="J10" s="36">
        <f>ELECT.!H11</f>
        <v>0</v>
      </c>
      <c r="K10" s="36">
        <f>ELECT.!K11</f>
        <v>0</v>
      </c>
      <c r="L10" s="36">
        <f>ELECT.!M11</f>
        <v>0</v>
      </c>
      <c r="M10" s="36">
        <f>ELECT.!O11</f>
        <v>0</v>
      </c>
      <c r="N10" s="36">
        <f>ELECT.!Q11</f>
        <v>0</v>
      </c>
      <c r="O10" s="36">
        <f>ELECT.!S11</f>
        <v>0</v>
      </c>
      <c r="P10" s="36">
        <f>ELECT.!W11*2</f>
        <v>0</v>
      </c>
      <c r="Q10" s="36">
        <f>ELECT.!D11</f>
        <v>0</v>
      </c>
      <c r="R10" s="141">
        <f>BTU!C11</f>
        <v>0</v>
      </c>
      <c r="S10" s="141">
        <f>BTU!F11</f>
        <v>0</v>
      </c>
      <c r="T10" s="141">
        <f>BTU!I11</f>
        <v>0</v>
      </c>
      <c r="U10" s="141">
        <f>BTU!O11</f>
        <v>0</v>
      </c>
      <c r="V10" s="141">
        <f>BTU!L11</f>
        <v>0</v>
      </c>
      <c r="W10" s="141">
        <f>BTU!R11</f>
        <v>0</v>
      </c>
      <c r="X10" s="34">
        <f>ELECT.!B11</f>
        <v>0</v>
      </c>
      <c r="Y10" s="34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4">
        <f t="shared" si="1"/>
        <v>-25.569199999999999</v>
      </c>
      <c r="AE10" s="34">
        <f t="shared" si="2"/>
        <v>-168.4308</v>
      </c>
    </row>
    <row r="11" spans="1:31" x14ac:dyDescent="0.2">
      <c r="A11" s="47" t="s">
        <v>53</v>
      </c>
      <c r="B11" s="52">
        <f t="shared" si="3"/>
        <v>10</v>
      </c>
      <c r="C11" s="52">
        <v>9</v>
      </c>
      <c r="D11" s="52">
        <v>2022</v>
      </c>
      <c r="E11" s="36">
        <f>Water!C12</f>
        <v>0</v>
      </c>
      <c r="F11" s="36">
        <f>Water!E12</f>
        <v>0</v>
      </c>
      <c r="G11" s="36">
        <f>Water!G12</f>
        <v>0</v>
      </c>
      <c r="H11" s="36">
        <f>Water!I12</f>
        <v>0</v>
      </c>
      <c r="I11" s="36">
        <f>ELECT.!F12</f>
        <v>0</v>
      </c>
      <c r="J11" s="36">
        <f>ELECT.!H12</f>
        <v>0</v>
      </c>
      <c r="K11" s="36">
        <f>ELECT.!K12</f>
        <v>0</v>
      </c>
      <c r="L11" s="36">
        <f>ELECT.!M12</f>
        <v>0</v>
      </c>
      <c r="M11" s="36">
        <f>ELECT.!O12</f>
        <v>0</v>
      </c>
      <c r="N11" s="36">
        <f>ELECT.!Q12</f>
        <v>0</v>
      </c>
      <c r="O11" s="36">
        <f>ELECT.!S12</f>
        <v>0</v>
      </c>
      <c r="P11" s="36">
        <f>ELECT.!W12*2</f>
        <v>0</v>
      </c>
      <c r="Q11" s="36">
        <f>ELECT.!D12</f>
        <v>0</v>
      </c>
      <c r="R11" s="141">
        <f>BTU!C12</f>
        <v>0</v>
      </c>
      <c r="S11" s="141">
        <f>BTU!F12</f>
        <v>0</v>
      </c>
      <c r="T11" s="141">
        <f>BTU!I12</f>
        <v>0</v>
      </c>
      <c r="U11" s="141">
        <f>BTU!O12</f>
        <v>0</v>
      </c>
      <c r="V11" s="141">
        <f>BTU!L12</f>
        <v>0</v>
      </c>
      <c r="W11" s="141">
        <f>BTU!R12</f>
        <v>0</v>
      </c>
      <c r="X11" s="34">
        <f>ELECT.!B12</f>
        <v>0</v>
      </c>
      <c r="Y11" s="34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4">
        <f t="shared" si="1"/>
        <v>-25.569199999999999</v>
      </c>
      <c r="AE11" s="34">
        <f t="shared" si="2"/>
        <v>-168.4308</v>
      </c>
    </row>
    <row r="12" spans="1:31" x14ac:dyDescent="0.2">
      <c r="A12" s="47" t="s">
        <v>53</v>
      </c>
      <c r="B12" s="52">
        <f t="shared" si="3"/>
        <v>11</v>
      </c>
      <c r="C12" s="52">
        <v>9</v>
      </c>
      <c r="D12" s="52">
        <v>2022</v>
      </c>
      <c r="E12" s="36">
        <f>Water!C13</f>
        <v>0</v>
      </c>
      <c r="F12" s="36">
        <f>Water!E13</f>
        <v>0</v>
      </c>
      <c r="G12" s="36">
        <f>Water!G13</f>
        <v>0</v>
      </c>
      <c r="H12" s="36">
        <f>Water!I13</f>
        <v>0</v>
      </c>
      <c r="I12" s="36">
        <f>ELECT.!F13</f>
        <v>0</v>
      </c>
      <c r="J12" s="36">
        <f>ELECT.!H13</f>
        <v>0</v>
      </c>
      <c r="K12" s="36">
        <f>ELECT.!K13</f>
        <v>0</v>
      </c>
      <c r="L12" s="36">
        <f>ELECT.!M13</f>
        <v>0</v>
      </c>
      <c r="M12" s="36">
        <f>ELECT.!O13</f>
        <v>0</v>
      </c>
      <c r="N12" s="36">
        <f>ELECT.!Q13</f>
        <v>0</v>
      </c>
      <c r="O12" s="36">
        <f>ELECT.!S13</f>
        <v>0</v>
      </c>
      <c r="P12" s="36">
        <f>ELECT.!W13*2</f>
        <v>0</v>
      </c>
      <c r="Q12" s="36">
        <f>ELECT.!D13</f>
        <v>0</v>
      </c>
      <c r="R12" s="141">
        <f>BTU!C13</f>
        <v>0</v>
      </c>
      <c r="S12" s="141">
        <f>BTU!F13</f>
        <v>0</v>
      </c>
      <c r="T12" s="141">
        <f>BTU!I13</f>
        <v>0</v>
      </c>
      <c r="U12" s="141">
        <f>BTU!O13</f>
        <v>0</v>
      </c>
      <c r="V12" s="141">
        <f>BTU!L13</f>
        <v>0</v>
      </c>
      <c r="W12" s="141">
        <f>BTU!R13</f>
        <v>0</v>
      </c>
      <c r="X12" s="34">
        <f>ELECT.!B13</f>
        <v>0</v>
      </c>
      <c r="Y12" s="34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4">
        <f t="shared" si="1"/>
        <v>-25.569199999999999</v>
      </c>
      <c r="AE12" s="34">
        <f t="shared" si="2"/>
        <v>-168.4308</v>
      </c>
    </row>
    <row r="13" spans="1:31" x14ac:dyDescent="0.2">
      <c r="A13" s="47" t="s">
        <v>53</v>
      </c>
      <c r="B13" s="52">
        <f t="shared" si="3"/>
        <v>12</v>
      </c>
      <c r="C13" s="52">
        <v>9</v>
      </c>
      <c r="D13" s="52">
        <v>2022</v>
      </c>
      <c r="E13" s="36">
        <f>Water!C14</f>
        <v>0</v>
      </c>
      <c r="F13" s="36">
        <f>Water!E14</f>
        <v>0</v>
      </c>
      <c r="G13" s="36">
        <f>Water!G14</f>
        <v>0</v>
      </c>
      <c r="H13" s="36">
        <f>Water!I14</f>
        <v>0</v>
      </c>
      <c r="I13" s="36">
        <f>ELECT.!F14</f>
        <v>0</v>
      </c>
      <c r="J13" s="36">
        <f>ELECT.!H14</f>
        <v>0</v>
      </c>
      <c r="K13" s="36">
        <f>ELECT.!K14</f>
        <v>0</v>
      </c>
      <c r="L13" s="36">
        <f>ELECT.!M14</f>
        <v>0</v>
      </c>
      <c r="M13" s="36">
        <f>ELECT.!O14</f>
        <v>0</v>
      </c>
      <c r="N13" s="36">
        <f>ELECT.!Q14</f>
        <v>0</v>
      </c>
      <c r="O13" s="36">
        <f>ELECT.!S14</f>
        <v>0</v>
      </c>
      <c r="P13" s="36">
        <f>ELECT.!W14*2</f>
        <v>0</v>
      </c>
      <c r="Q13" s="36">
        <f>ELECT.!D14</f>
        <v>0</v>
      </c>
      <c r="R13" s="141">
        <f>BTU!C14</f>
        <v>0</v>
      </c>
      <c r="S13" s="141">
        <f>BTU!F14</f>
        <v>0</v>
      </c>
      <c r="T13" s="141">
        <f>BTU!I14</f>
        <v>0</v>
      </c>
      <c r="U13" s="141">
        <f>BTU!O14</f>
        <v>0</v>
      </c>
      <c r="V13" s="141">
        <f>BTU!L14</f>
        <v>0</v>
      </c>
      <c r="W13" s="141">
        <f>BTU!R14</f>
        <v>0</v>
      </c>
      <c r="X13" s="34">
        <f>ELECT.!B14</f>
        <v>0</v>
      </c>
      <c r="Y13" s="34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4">
        <f t="shared" si="1"/>
        <v>-25.569199999999999</v>
      </c>
      <c r="AE13" s="34">
        <f t="shared" si="2"/>
        <v>-168.4308</v>
      </c>
    </row>
    <row r="14" spans="1:31" x14ac:dyDescent="0.2">
      <c r="A14" s="47" t="s">
        <v>53</v>
      </c>
      <c r="B14" s="52">
        <f t="shared" si="3"/>
        <v>13</v>
      </c>
      <c r="C14" s="52">
        <v>9</v>
      </c>
      <c r="D14" s="52">
        <v>2022</v>
      </c>
      <c r="E14" s="36">
        <f>Water!C15</f>
        <v>0</v>
      </c>
      <c r="F14" s="36">
        <f>Water!E15</f>
        <v>0</v>
      </c>
      <c r="G14" s="36">
        <f>Water!G15</f>
        <v>0</v>
      </c>
      <c r="H14" s="36">
        <f>Water!I15</f>
        <v>0</v>
      </c>
      <c r="I14" s="36">
        <f>ELECT.!F15</f>
        <v>0</v>
      </c>
      <c r="J14" s="36">
        <f>ELECT.!H15</f>
        <v>0</v>
      </c>
      <c r="K14" s="36">
        <f>ELECT.!K15</f>
        <v>0</v>
      </c>
      <c r="L14" s="36">
        <f>ELECT.!M15</f>
        <v>0</v>
      </c>
      <c r="M14" s="36">
        <f>ELECT.!O15</f>
        <v>0</v>
      </c>
      <c r="N14" s="36">
        <f>ELECT.!Q15</f>
        <v>0</v>
      </c>
      <c r="O14" s="36">
        <f>ELECT.!S15</f>
        <v>0</v>
      </c>
      <c r="P14" s="36">
        <f>ELECT.!W15*2</f>
        <v>0</v>
      </c>
      <c r="Q14" s="36">
        <f>ELECT.!D15</f>
        <v>0</v>
      </c>
      <c r="R14" s="141">
        <f>BTU!C15</f>
        <v>0</v>
      </c>
      <c r="S14" s="141">
        <f>BTU!F15</f>
        <v>0</v>
      </c>
      <c r="T14" s="141">
        <f>BTU!I15</f>
        <v>0</v>
      </c>
      <c r="U14" s="141">
        <f>BTU!O15</f>
        <v>0</v>
      </c>
      <c r="V14" s="141">
        <f>BTU!L15</f>
        <v>0</v>
      </c>
      <c r="W14" s="141">
        <f>BTU!R15</f>
        <v>0</v>
      </c>
      <c r="X14" s="34">
        <f>ELECT.!B15</f>
        <v>0</v>
      </c>
      <c r="Y14" s="34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4">
        <f t="shared" si="1"/>
        <v>-25.569199999999999</v>
      </c>
      <c r="AE14" s="34">
        <f t="shared" si="2"/>
        <v>-168.4308</v>
      </c>
    </row>
    <row r="15" spans="1:31" x14ac:dyDescent="0.2">
      <c r="A15" s="47" t="s">
        <v>53</v>
      </c>
      <c r="B15" s="52">
        <f t="shared" si="3"/>
        <v>14</v>
      </c>
      <c r="C15" s="52">
        <v>9</v>
      </c>
      <c r="D15" s="52">
        <v>2022</v>
      </c>
      <c r="E15" s="36">
        <f>Water!C16</f>
        <v>0</v>
      </c>
      <c r="F15" s="36">
        <f>Water!E16</f>
        <v>0</v>
      </c>
      <c r="G15" s="36">
        <f>Water!G16</f>
        <v>0</v>
      </c>
      <c r="H15" s="36">
        <f>Water!I16</f>
        <v>0</v>
      </c>
      <c r="I15" s="36">
        <f>ELECT.!F16</f>
        <v>0</v>
      </c>
      <c r="J15" s="36">
        <f>ELECT.!H16</f>
        <v>0</v>
      </c>
      <c r="K15" s="36">
        <f>ELECT.!K16</f>
        <v>0</v>
      </c>
      <c r="L15" s="36">
        <f>ELECT.!M16</f>
        <v>0</v>
      </c>
      <c r="M15" s="36">
        <f>ELECT.!O16</f>
        <v>0</v>
      </c>
      <c r="N15" s="36">
        <f>ELECT.!Q16</f>
        <v>0</v>
      </c>
      <c r="O15" s="36">
        <f>ELECT.!S16</f>
        <v>0</v>
      </c>
      <c r="P15" s="36">
        <f>ELECT.!W16*2</f>
        <v>0</v>
      </c>
      <c r="Q15" s="36">
        <f>ELECT.!D16</f>
        <v>0</v>
      </c>
      <c r="R15" s="141">
        <f>BTU!C16</f>
        <v>0</v>
      </c>
      <c r="S15" s="141">
        <f>BTU!F16</f>
        <v>0</v>
      </c>
      <c r="T15" s="141">
        <f>BTU!I16</f>
        <v>0</v>
      </c>
      <c r="U15" s="141">
        <f>BTU!O16</f>
        <v>0</v>
      </c>
      <c r="V15" s="141">
        <f>BTU!L16</f>
        <v>0</v>
      </c>
      <c r="W15" s="141">
        <f>BTU!R16</f>
        <v>0</v>
      </c>
      <c r="X15" s="34">
        <f>ELECT.!B16</f>
        <v>0</v>
      </c>
      <c r="Y15" s="34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4">
        <f t="shared" si="1"/>
        <v>-25.569199999999999</v>
      </c>
      <c r="AE15" s="34">
        <f t="shared" si="2"/>
        <v>-168.4308</v>
      </c>
    </row>
    <row r="16" spans="1:31" x14ac:dyDescent="0.2">
      <c r="A16" s="47" t="s">
        <v>53</v>
      </c>
      <c r="B16" s="52">
        <f t="shared" si="3"/>
        <v>15</v>
      </c>
      <c r="C16" s="52">
        <v>9</v>
      </c>
      <c r="D16" s="52">
        <v>2022</v>
      </c>
      <c r="E16" s="36">
        <f>Water!C17</f>
        <v>0</v>
      </c>
      <c r="F16" s="36">
        <f>Water!E17</f>
        <v>0</v>
      </c>
      <c r="G16" s="36">
        <f>Water!G17</f>
        <v>0</v>
      </c>
      <c r="H16" s="36">
        <f>Water!I17</f>
        <v>0</v>
      </c>
      <c r="I16" s="36">
        <f>ELECT.!F17</f>
        <v>0</v>
      </c>
      <c r="J16" s="36">
        <f>ELECT.!H17</f>
        <v>0</v>
      </c>
      <c r="K16" s="36">
        <f>ELECT.!K17</f>
        <v>0</v>
      </c>
      <c r="L16" s="36">
        <f>ELECT.!M17</f>
        <v>0</v>
      </c>
      <c r="M16" s="36">
        <f>ELECT.!O17</f>
        <v>0</v>
      </c>
      <c r="N16" s="36">
        <f>ELECT.!Q17</f>
        <v>0</v>
      </c>
      <c r="O16" s="36">
        <f>ELECT.!S17</f>
        <v>0</v>
      </c>
      <c r="P16" s="36">
        <f>ELECT.!W17*2</f>
        <v>0</v>
      </c>
      <c r="Q16" s="36">
        <f>ELECT.!D17</f>
        <v>0</v>
      </c>
      <c r="R16" s="141">
        <f>BTU!C17</f>
        <v>0</v>
      </c>
      <c r="S16" s="141">
        <f>BTU!F17</f>
        <v>0</v>
      </c>
      <c r="T16" s="141">
        <f>BTU!I17</f>
        <v>0</v>
      </c>
      <c r="U16" s="141">
        <f>BTU!O17</f>
        <v>0</v>
      </c>
      <c r="V16" s="141">
        <f>BTU!L17</f>
        <v>0</v>
      </c>
      <c r="W16" s="141">
        <f>BTU!R17</f>
        <v>0</v>
      </c>
      <c r="X16" s="34">
        <f>ELECT.!B17</f>
        <v>0</v>
      </c>
      <c r="Y16" s="34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4">
        <f t="shared" si="1"/>
        <v>-25.569199999999999</v>
      </c>
      <c r="AE16" s="34">
        <f t="shared" si="2"/>
        <v>-168.4308</v>
      </c>
    </row>
    <row r="17" spans="1:31" x14ac:dyDescent="0.2">
      <c r="A17" s="47" t="s">
        <v>53</v>
      </c>
      <c r="B17" s="52">
        <f t="shared" si="3"/>
        <v>16</v>
      </c>
      <c r="C17" s="52">
        <v>9</v>
      </c>
      <c r="D17" s="52">
        <v>2022</v>
      </c>
      <c r="E17" s="36">
        <f>Water!C18</f>
        <v>0</v>
      </c>
      <c r="F17" s="36">
        <f>Water!E18</f>
        <v>0</v>
      </c>
      <c r="G17" s="36">
        <f>Water!G18</f>
        <v>0</v>
      </c>
      <c r="H17" s="36">
        <f>Water!I18</f>
        <v>0</v>
      </c>
      <c r="I17" s="36">
        <f>ELECT.!F18</f>
        <v>0</v>
      </c>
      <c r="J17" s="36">
        <f>ELECT.!H18</f>
        <v>0</v>
      </c>
      <c r="K17" s="36">
        <f>ELECT.!K18</f>
        <v>0</v>
      </c>
      <c r="L17" s="36">
        <f>ELECT.!M18</f>
        <v>0</v>
      </c>
      <c r="M17" s="36">
        <f>ELECT.!O18</f>
        <v>0</v>
      </c>
      <c r="N17" s="36">
        <f>ELECT.!Q18</f>
        <v>0</v>
      </c>
      <c r="O17" s="36">
        <f>ELECT.!S18</f>
        <v>0</v>
      </c>
      <c r="P17" s="36">
        <f>ELECT.!W18*2</f>
        <v>0</v>
      </c>
      <c r="Q17" s="36">
        <f>ELECT.!D18</f>
        <v>0</v>
      </c>
      <c r="R17" s="141">
        <f>BTU!C18</f>
        <v>0</v>
      </c>
      <c r="S17" s="141">
        <f>BTU!F18</f>
        <v>0</v>
      </c>
      <c r="T17" s="141">
        <f>BTU!I18</f>
        <v>0</v>
      </c>
      <c r="U17" s="141">
        <f>BTU!O18</f>
        <v>0</v>
      </c>
      <c r="V17" s="141">
        <f>BTU!L18</f>
        <v>0</v>
      </c>
      <c r="W17" s="141">
        <f>BTU!R18</f>
        <v>0</v>
      </c>
      <c r="X17" s="34">
        <f>ELECT.!B18</f>
        <v>0</v>
      </c>
      <c r="Y17" s="34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4">
        <f t="shared" si="1"/>
        <v>-25.569199999999999</v>
      </c>
      <c r="AE17" s="34">
        <f t="shared" si="2"/>
        <v>-168.4308</v>
      </c>
    </row>
    <row r="18" spans="1:31" x14ac:dyDescent="0.2">
      <c r="A18" s="47" t="s">
        <v>53</v>
      </c>
      <c r="B18" s="52">
        <f t="shared" si="3"/>
        <v>17</v>
      </c>
      <c r="C18" s="52">
        <v>9</v>
      </c>
      <c r="D18" s="52">
        <v>2022</v>
      </c>
      <c r="E18" s="36">
        <f>Water!C19</f>
        <v>0</v>
      </c>
      <c r="F18" s="36">
        <f>Water!E19</f>
        <v>0</v>
      </c>
      <c r="G18" s="36">
        <f>Water!G19</f>
        <v>0</v>
      </c>
      <c r="H18" s="36">
        <f>Water!I19</f>
        <v>0</v>
      </c>
      <c r="I18" s="36">
        <f>ELECT.!F19</f>
        <v>0</v>
      </c>
      <c r="J18" s="36">
        <f>ELECT.!H19</f>
        <v>0</v>
      </c>
      <c r="K18" s="36">
        <f>ELECT.!K19</f>
        <v>0</v>
      </c>
      <c r="L18" s="36">
        <f>ELECT.!M19</f>
        <v>0</v>
      </c>
      <c r="M18" s="36">
        <f>ELECT.!O19</f>
        <v>0</v>
      </c>
      <c r="N18" s="36">
        <f>ELECT.!Q19</f>
        <v>0</v>
      </c>
      <c r="O18" s="36">
        <f>ELECT.!S19</f>
        <v>0</v>
      </c>
      <c r="P18" s="36">
        <f>ELECT.!W19*2</f>
        <v>0</v>
      </c>
      <c r="Q18" s="36">
        <f>ELECT.!D19</f>
        <v>0</v>
      </c>
      <c r="R18" s="141">
        <f>BTU!C19</f>
        <v>0</v>
      </c>
      <c r="S18" s="141">
        <f>BTU!F19</f>
        <v>0</v>
      </c>
      <c r="T18" s="141">
        <f>BTU!I19</f>
        <v>0</v>
      </c>
      <c r="U18" s="141">
        <f>BTU!O19</f>
        <v>0</v>
      </c>
      <c r="V18" s="141">
        <f>BTU!L19</f>
        <v>0</v>
      </c>
      <c r="W18" s="141">
        <f>BTU!R19</f>
        <v>0</v>
      </c>
      <c r="X18" s="34">
        <f>ELECT.!B19</f>
        <v>0</v>
      </c>
      <c r="Y18" s="34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4">
        <f t="shared" si="1"/>
        <v>-25.569199999999999</v>
      </c>
      <c r="AE18" s="34">
        <f t="shared" si="2"/>
        <v>-168.4308</v>
      </c>
    </row>
    <row r="19" spans="1:31" x14ac:dyDescent="0.2">
      <c r="A19" s="47" t="s">
        <v>53</v>
      </c>
      <c r="B19" s="52">
        <f t="shared" si="3"/>
        <v>18</v>
      </c>
      <c r="C19" s="52">
        <v>9</v>
      </c>
      <c r="D19" s="52">
        <v>2022</v>
      </c>
      <c r="E19" s="36">
        <f>Water!C20</f>
        <v>0</v>
      </c>
      <c r="F19" s="36">
        <f>Water!E20</f>
        <v>0</v>
      </c>
      <c r="G19" s="36">
        <f>Water!G20</f>
        <v>0</v>
      </c>
      <c r="H19" s="36">
        <f>Water!I20</f>
        <v>0</v>
      </c>
      <c r="I19" s="36">
        <f>ELECT.!F20</f>
        <v>0</v>
      </c>
      <c r="J19" s="36">
        <f>ELECT.!H20</f>
        <v>0</v>
      </c>
      <c r="K19" s="36">
        <f>ELECT.!K20</f>
        <v>0</v>
      </c>
      <c r="L19" s="36">
        <f>ELECT.!M20</f>
        <v>0</v>
      </c>
      <c r="M19" s="36">
        <f>ELECT.!O20</f>
        <v>0</v>
      </c>
      <c r="N19" s="36">
        <f>ELECT.!Q20</f>
        <v>0</v>
      </c>
      <c r="O19" s="36">
        <f>ELECT.!S20</f>
        <v>0</v>
      </c>
      <c r="P19" s="36">
        <f>ELECT.!W20*2</f>
        <v>0</v>
      </c>
      <c r="Q19" s="36">
        <f>ELECT.!D20</f>
        <v>0</v>
      </c>
      <c r="R19" s="141">
        <f>BTU!C20</f>
        <v>0</v>
      </c>
      <c r="S19" s="141">
        <f>BTU!F20</f>
        <v>0</v>
      </c>
      <c r="T19" s="141">
        <f>BTU!I20</f>
        <v>0</v>
      </c>
      <c r="U19" s="141">
        <f>BTU!O20</f>
        <v>0</v>
      </c>
      <c r="V19" s="141">
        <f>BTU!L20</f>
        <v>0</v>
      </c>
      <c r="W19" s="141">
        <f>BTU!R20</f>
        <v>0</v>
      </c>
      <c r="X19" s="34">
        <f>ELECT.!B20</f>
        <v>0</v>
      </c>
      <c r="Y19" s="34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4">
        <f t="shared" si="1"/>
        <v>-25.569199999999999</v>
      </c>
      <c r="AE19" s="34">
        <f t="shared" si="2"/>
        <v>-168.4308</v>
      </c>
    </row>
    <row r="20" spans="1:31" x14ac:dyDescent="0.2">
      <c r="A20" s="47" t="s">
        <v>53</v>
      </c>
      <c r="B20" s="52">
        <f t="shared" si="3"/>
        <v>19</v>
      </c>
      <c r="C20" s="52">
        <v>9</v>
      </c>
      <c r="D20" s="52">
        <v>2022</v>
      </c>
      <c r="E20" s="36">
        <f>Water!C21</f>
        <v>0</v>
      </c>
      <c r="F20" s="36">
        <f>Water!E21</f>
        <v>0</v>
      </c>
      <c r="G20" s="36">
        <f>Water!G21</f>
        <v>0</v>
      </c>
      <c r="H20" s="36">
        <f>Water!I21</f>
        <v>0</v>
      </c>
      <c r="I20" s="36">
        <f>ELECT.!F21</f>
        <v>0</v>
      </c>
      <c r="J20" s="36">
        <f>ELECT.!H21</f>
        <v>0</v>
      </c>
      <c r="K20" s="36">
        <f>ELECT.!K21</f>
        <v>0</v>
      </c>
      <c r="L20" s="36">
        <f>ELECT.!M21</f>
        <v>0</v>
      </c>
      <c r="M20" s="36">
        <f>ELECT.!O21</f>
        <v>0</v>
      </c>
      <c r="N20" s="36">
        <f>ELECT.!Q21</f>
        <v>0</v>
      </c>
      <c r="O20" s="36">
        <f>ELECT.!S21</f>
        <v>0</v>
      </c>
      <c r="P20" s="36">
        <f>ELECT.!W21*2</f>
        <v>0</v>
      </c>
      <c r="Q20" s="36">
        <f>ELECT.!D21</f>
        <v>0</v>
      </c>
      <c r="R20" s="141">
        <f>BTU!C21</f>
        <v>0</v>
      </c>
      <c r="S20" s="141">
        <f>BTU!F21</f>
        <v>0</v>
      </c>
      <c r="T20" s="141">
        <f>BTU!I21</f>
        <v>0</v>
      </c>
      <c r="U20" s="141">
        <f>BTU!O21</f>
        <v>0</v>
      </c>
      <c r="V20" s="141">
        <f>BTU!L21</f>
        <v>0</v>
      </c>
      <c r="W20" s="141">
        <f>BTU!R21</f>
        <v>0</v>
      </c>
      <c r="X20" s="34">
        <f>ELECT.!B21</f>
        <v>0</v>
      </c>
      <c r="Y20" s="34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4">
        <f t="shared" si="1"/>
        <v>-25.569199999999999</v>
      </c>
      <c r="AE20" s="34">
        <f t="shared" si="2"/>
        <v>-168.4308</v>
      </c>
    </row>
    <row r="21" spans="1:31" x14ac:dyDescent="0.2">
      <c r="A21" s="47" t="s">
        <v>53</v>
      </c>
      <c r="B21" s="52">
        <f t="shared" si="3"/>
        <v>20</v>
      </c>
      <c r="C21" s="52">
        <v>9</v>
      </c>
      <c r="D21" s="52">
        <v>2022</v>
      </c>
      <c r="E21" s="36">
        <f>Water!C22</f>
        <v>0</v>
      </c>
      <c r="F21" s="36">
        <f>Water!E22</f>
        <v>0</v>
      </c>
      <c r="G21" s="36">
        <f>Water!G22</f>
        <v>0</v>
      </c>
      <c r="H21" s="36">
        <f>Water!I22</f>
        <v>0</v>
      </c>
      <c r="I21" s="36">
        <f>ELECT.!F22</f>
        <v>0</v>
      </c>
      <c r="J21" s="36">
        <f>ELECT.!H22</f>
        <v>0</v>
      </c>
      <c r="K21" s="36">
        <f>ELECT.!K22</f>
        <v>0</v>
      </c>
      <c r="L21" s="36">
        <f>ELECT.!M22</f>
        <v>0</v>
      </c>
      <c r="M21" s="36">
        <f>ELECT.!O22</f>
        <v>0</v>
      </c>
      <c r="N21" s="36">
        <f>ELECT.!Q22</f>
        <v>0</v>
      </c>
      <c r="O21" s="36">
        <f>ELECT.!S22</f>
        <v>0</v>
      </c>
      <c r="P21" s="36">
        <f>ELECT.!W22*2</f>
        <v>0</v>
      </c>
      <c r="Q21" s="36">
        <f>ELECT.!D22</f>
        <v>0</v>
      </c>
      <c r="R21" s="141">
        <f>BTU!C22</f>
        <v>0</v>
      </c>
      <c r="S21" s="141">
        <f>BTU!F22</f>
        <v>0</v>
      </c>
      <c r="T21" s="141">
        <f>BTU!I22</f>
        <v>0</v>
      </c>
      <c r="U21" s="141">
        <f>BTU!O22</f>
        <v>0</v>
      </c>
      <c r="V21" s="141">
        <f>BTU!L22</f>
        <v>0</v>
      </c>
      <c r="W21" s="141">
        <f>BTU!R22</f>
        <v>0</v>
      </c>
      <c r="X21" s="34">
        <f>ELECT.!B22</f>
        <v>0</v>
      </c>
      <c r="Y21" s="34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4">
        <f t="shared" si="1"/>
        <v>-25.569199999999999</v>
      </c>
      <c r="AE21" s="34">
        <f t="shared" si="2"/>
        <v>-168.4308</v>
      </c>
    </row>
    <row r="22" spans="1:31" x14ac:dyDescent="0.2">
      <c r="A22" s="47" t="s">
        <v>53</v>
      </c>
      <c r="B22" s="52">
        <f t="shared" si="3"/>
        <v>21</v>
      </c>
      <c r="C22" s="52">
        <v>9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>
        <f>ELECT.!F23</f>
        <v>0</v>
      </c>
      <c r="J22" s="36">
        <f>ELECT.!H23</f>
        <v>0</v>
      </c>
      <c r="K22" s="36">
        <f>ELECT.!K23</f>
        <v>0</v>
      </c>
      <c r="L22" s="36">
        <f>ELECT.!M23</f>
        <v>0</v>
      </c>
      <c r="M22" s="36">
        <f>ELECT.!O23</f>
        <v>0</v>
      </c>
      <c r="N22" s="36">
        <f>ELECT.!Q23</f>
        <v>0</v>
      </c>
      <c r="O22" s="36">
        <f>ELECT.!S23</f>
        <v>0</v>
      </c>
      <c r="P22" s="36">
        <f>ELECT.!W23*2</f>
        <v>0</v>
      </c>
      <c r="Q22" s="36">
        <f>ELECT.!D23</f>
        <v>0</v>
      </c>
      <c r="R22" s="141">
        <f>BTU!C23</f>
        <v>0</v>
      </c>
      <c r="S22" s="141">
        <f>BTU!F23</f>
        <v>0</v>
      </c>
      <c r="T22" s="141">
        <f>BTU!I23</f>
        <v>0</v>
      </c>
      <c r="U22" s="141">
        <f>BTU!O23</f>
        <v>0</v>
      </c>
      <c r="V22" s="141">
        <f>BTU!L23</f>
        <v>0</v>
      </c>
      <c r="W22" s="141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9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41">
        <f>BTU!C24</f>
        <v>0</v>
      </c>
      <c r="S23" s="141">
        <f>BTU!F24</f>
        <v>0</v>
      </c>
      <c r="T23" s="141">
        <f>BTU!I24</f>
        <v>0</v>
      </c>
      <c r="U23" s="141">
        <f>BTU!O24</f>
        <v>0</v>
      </c>
      <c r="V23" s="141">
        <f>BTU!L24</f>
        <v>0</v>
      </c>
      <c r="W23" s="141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9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41">
        <f>BTU!C25</f>
        <v>0</v>
      </c>
      <c r="S24" s="141">
        <f>BTU!F25</f>
        <v>0</v>
      </c>
      <c r="T24" s="141">
        <f>BTU!I25</f>
        <v>0</v>
      </c>
      <c r="U24" s="141">
        <f>BTU!O25</f>
        <v>0</v>
      </c>
      <c r="V24" s="141">
        <f>BTU!L25</f>
        <v>0</v>
      </c>
      <c r="W24" s="141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9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41">
        <f>BTU!C26</f>
        <v>0</v>
      </c>
      <c r="S25" s="141">
        <f>BTU!F26</f>
        <v>0</v>
      </c>
      <c r="T25" s="141">
        <f>BTU!I26</f>
        <v>0</v>
      </c>
      <c r="U25" s="141">
        <f>BTU!O26</f>
        <v>0</v>
      </c>
      <c r="V25" s="141">
        <f>BTU!L26</f>
        <v>0</v>
      </c>
      <c r="W25" s="141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9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41">
        <f>BTU!C27</f>
        <v>0</v>
      </c>
      <c r="S26" s="141">
        <f>BTU!F27</f>
        <v>0</v>
      </c>
      <c r="T26" s="141">
        <f>BTU!I27</f>
        <v>0</v>
      </c>
      <c r="U26" s="141">
        <f>BTU!O27</f>
        <v>0</v>
      </c>
      <c r="V26" s="141">
        <f>BTU!L27</f>
        <v>0</v>
      </c>
      <c r="W26" s="141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9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41">
        <f>BTU!C28</f>
        <v>0</v>
      </c>
      <c r="S27" s="141">
        <f>BTU!F28</f>
        <v>0</v>
      </c>
      <c r="T27" s="141">
        <f>BTU!I28</f>
        <v>0</v>
      </c>
      <c r="U27" s="141">
        <f>BTU!O28</f>
        <v>0</v>
      </c>
      <c r="V27" s="141">
        <f>BTU!L28</f>
        <v>0</v>
      </c>
      <c r="W27" s="141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9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41">
        <f>BTU!C29</f>
        <v>0</v>
      </c>
      <c r="S28" s="141">
        <f>BTU!F29</f>
        <v>0</v>
      </c>
      <c r="T28" s="141">
        <f>BTU!I29</f>
        <v>0</v>
      </c>
      <c r="U28" s="141">
        <f>BTU!O29</f>
        <v>0</v>
      </c>
      <c r="V28" s="141">
        <f>BTU!L29</f>
        <v>0</v>
      </c>
      <c r="W28" s="141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9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41">
        <f>BTU!C30</f>
        <v>0</v>
      </c>
      <c r="S29" s="141">
        <f>BTU!F30</f>
        <v>0</v>
      </c>
      <c r="T29" s="141">
        <f>BTU!I30</f>
        <v>0</v>
      </c>
      <c r="U29" s="141">
        <f>BTU!O30</f>
        <v>0</v>
      </c>
      <c r="V29" s="141">
        <f>BTU!L30</f>
        <v>0</v>
      </c>
      <c r="W29" s="141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9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41">
        <f>BTU!C31</f>
        <v>0</v>
      </c>
      <c r="S30" s="141">
        <f>BTU!F31</f>
        <v>0</v>
      </c>
      <c r="T30" s="141">
        <f>BTU!I31</f>
        <v>0</v>
      </c>
      <c r="U30" s="141">
        <f>BTU!O31</f>
        <v>0</v>
      </c>
      <c r="V30" s="141">
        <f>BTU!L31</f>
        <v>0</v>
      </c>
      <c r="W30" s="141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9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41">
        <f>BTU!C32</f>
        <v>0</v>
      </c>
      <c r="S31" s="141">
        <f>BTU!F32</f>
        <v>0</v>
      </c>
      <c r="T31" s="141">
        <f>BTU!I32</f>
        <v>0</v>
      </c>
      <c r="U31" s="141">
        <f>BTU!O32</f>
        <v>0</v>
      </c>
      <c r="V31" s="141">
        <f>BTU!L32</f>
        <v>0</v>
      </c>
      <c r="W31" s="141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R32" s="141"/>
      <c r="S32" s="141"/>
      <c r="T32" s="141"/>
      <c r="U32" s="141"/>
      <c r="V32" s="141"/>
      <c r="W32" s="141"/>
      <c r="AD32" s="34"/>
      <c r="AE32" s="34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A8" sqref="A8:XFD8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44804</v>
      </c>
      <c r="B2" s="32">
        <v>47509</v>
      </c>
      <c r="C2" s="14">
        <v>0</v>
      </c>
      <c r="D2" s="32">
        <v>40924</v>
      </c>
      <c r="E2" s="14">
        <v>0</v>
      </c>
      <c r="F2" s="32">
        <v>22019</v>
      </c>
      <c r="G2" s="14">
        <v>0</v>
      </c>
      <c r="H2" s="32">
        <v>257970</v>
      </c>
      <c r="I2" s="14">
        <v>0</v>
      </c>
      <c r="J2" s="32">
        <v>330607</v>
      </c>
      <c r="K2" s="14">
        <v>0</v>
      </c>
      <c r="L2" s="32">
        <v>26449</v>
      </c>
      <c r="M2" s="14">
        <v>0</v>
      </c>
      <c r="N2" s="32">
        <v>226330</v>
      </c>
      <c r="O2" s="14">
        <v>0</v>
      </c>
      <c r="P2" s="32">
        <v>167701</v>
      </c>
      <c r="Q2" s="14">
        <v>0</v>
      </c>
      <c r="R2" s="1">
        <v>55047</v>
      </c>
      <c r="S2" s="14">
        <v>0</v>
      </c>
      <c r="T2" s="32">
        <v>4046</v>
      </c>
      <c r="U2" s="14">
        <v>0</v>
      </c>
    </row>
    <row r="3" spans="1:24" ht="13.5" thickBot="1" x14ac:dyDescent="0.25">
      <c r="A3" s="9">
        <v>44805</v>
      </c>
      <c r="B3" s="32">
        <v>47514</v>
      </c>
      <c r="C3" s="14">
        <f t="shared" ref="C3" si="0">(B3-B2)*800/5</f>
        <v>800</v>
      </c>
      <c r="D3" s="32">
        <v>40927</v>
      </c>
      <c r="E3" s="14">
        <f t="shared" ref="E3" si="1">(D3-D2)*800/5</f>
        <v>480</v>
      </c>
      <c r="F3" s="32">
        <v>22022</v>
      </c>
      <c r="G3" s="14">
        <f>(F3-F2)*100/5</f>
        <v>60</v>
      </c>
      <c r="H3" s="32">
        <v>257994</v>
      </c>
      <c r="I3" s="14">
        <f>(H3-H2)</f>
        <v>24</v>
      </c>
      <c r="J3" s="32">
        <v>330781</v>
      </c>
      <c r="K3" s="14">
        <f>(J3-J2)</f>
        <v>174</v>
      </c>
      <c r="L3" s="32">
        <v>26452</v>
      </c>
      <c r="M3" s="14">
        <f>(L3-L2)*300/5</f>
        <v>180</v>
      </c>
      <c r="N3" s="32">
        <v>226333</v>
      </c>
      <c r="O3" s="14">
        <f>N3-N2</f>
        <v>3</v>
      </c>
      <c r="P3" s="32">
        <v>167820</v>
      </c>
      <c r="Q3" s="14">
        <f t="shared" ref="Q3:Q32" si="2">P3-P2</f>
        <v>119</v>
      </c>
      <c r="R3" s="1">
        <v>55047</v>
      </c>
      <c r="S3" s="14">
        <v>0</v>
      </c>
      <c r="T3" s="32">
        <v>4046</v>
      </c>
      <c r="U3" s="14">
        <f>(T3-T2)*800/5</f>
        <v>0</v>
      </c>
    </row>
    <row r="4" spans="1:24" ht="13.5" thickBot="1" x14ac:dyDescent="0.25">
      <c r="A4" s="9">
        <v>44806</v>
      </c>
      <c r="B4" s="32">
        <v>47518</v>
      </c>
      <c r="C4" s="14">
        <f t="shared" ref="C4:C32" si="3">(B4-B3)*800/5</f>
        <v>640</v>
      </c>
      <c r="D4" s="32">
        <v>40930</v>
      </c>
      <c r="E4" s="14">
        <f t="shared" ref="E4:E32" si="4">(D4-D3)*800/5</f>
        <v>480</v>
      </c>
      <c r="F4" s="32">
        <v>22026</v>
      </c>
      <c r="G4" s="14">
        <f t="shared" ref="G4:G32" si="5">(F4-F3)*100/5</f>
        <v>80</v>
      </c>
      <c r="H4" s="32">
        <v>258022</v>
      </c>
      <c r="I4" s="14">
        <f t="shared" ref="I4:I32" si="6">(H4-H3)</f>
        <v>28</v>
      </c>
      <c r="J4" s="32">
        <v>330907</v>
      </c>
      <c r="K4" s="14">
        <f t="shared" ref="K4:K32" si="7">(J4-J3)</f>
        <v>126</v>
      </c>
      <c r="L4" s="32">
        <v>26455</v>
      </c>
      <c r="M4" s="14">
        <f t="shared" ref="M4:M32" si="8">(L4-L3)*300/5</f>
        <v>180</v>
      </c>
      <c r="N4" s="32">
        <v>226336</v>
      </c>
      <c r="O4" s="14">
        <f t="shared" ref="O4:O32" si="9">N4-N3</f>
        <v>3</v>
      </c>
      <c r="P4" s="32">
        <v>167942</v>
      </c>
      <c r="Q4" s="14">
        <f t="shared" si="2"/>
        <v>122</v>
      </c>
      <c r="R4" s="1">
        <v>55047</v>
      </c>
      <c r="S4" s="14">
        <v>0</v>
      </c>
      <c r="T4" s="32">
        <v>4046</v>
      </c>
      <c r="U4" s="14">
        <f t="shared" ref="U4:U32" si="10">(T4-T3)*800/5</f>
        <v>0</v>
      </c>
    </row>
    <row r="5" spans="1:24" ht="13.5" thickBot="1" x14ac:dyDescent="0.25">
      <c r="A5" s="9">
        <v>44807</v>
      </c>
      <c r="B5" s="32">
        <v>47522</v>
      </c>
      <c r="C5" s="14">
        <f t="shared" si="3"/>
        <v>640</v>
      </c>
      <c r="D5" s="32">
        <v>40933</v>
      </c>
      <c r="E5" s="14">
        <f t="shared" si="4"/>
        <v>480</v>
      </c>
      <c r="F5" s="32">
        <v>22030</v>
      </c>
      <c r="G5" s="14">
        <f t="shared" si="5"/>
        <v>80</v>
      </c>
      <c r="H5" s="32">
        <v>258058</v>
      </c>
      <c r="I5" s="14">
        <f t="shared" si="6"/>
        <v>36</v>
      </c>
      <c r="J5" s="32">
        <v>331042</v>
      </c>
      <c r="K5" s="14">
        <f t="shared" si="7"/>
        <v>135</v>
      </c>
      <c r="L5" s="32">
        <v>26457</v>
      </c>
      <c r="M5" s="14">
        <f t="shared" si="8"/>
        <v>120</v>
      </c>
      <c r="N5" s="32">
        <v>226339</v>
      </c>
      <c r="O5" s="14">
        <f t="shared" si="9"/>
        <v>3</v>
      </c>
      <c r="P5" s="32">
        <v>168060</v>
      </c>
      <c r="Q5" s="14">
        <f t="shared" si="2"/>
        <v>118</v>
      </c>
      <c r="R5" s="1">
        <f>R4</f>
        <v>55047</v>
      </c>
      <c r="S5" s="14">
        <f t="shared" ref="S5:S32" si="11">R5-R4</f>
        <v>0</v>
      </c>
      <c r="T5" s="32">
        <v>4047</v>
      </c>
      <c r="U5" s="14">
        <f t="shared" si="10"/>
        <v>160</v>
      </c>
    </row>
    <row r="6" spans="1:24" ht="13.5" thickBot="1" x14ac:dyDescent="0.25">
      <c r="A6" s="9">
        <v>44808</v>
      </c>
      <c r="B6" s="32">
        <v>47527</v>
      </c>
      <c r="C6" s="14">
        <f t="shared" si="3"/>
        <v>800</v>
      </c>
      <c r="D6" s="32">
        <v>40936</v>
      </c>
      <c r="E6" s="14">
        <f t="shared" si="4"/>
        <v>480</v>
      </c>
      <c r="F6" s="32">
        <v>22034</v>
      </c>
      <c r="G6" s="14">
        <f t="shared" si="5"/>
        <v>80</v>
      </c>
      <c r="H6" s="32">
        <v>258095</v>
      </c>
      <c r="I6" s="14">
        <f t="shared" si="6"/>
        <v>37</v>
      </c>
      <c r="J6" s="32">
        <v>331229</v>
      </c>
      <c r="K6" s="14">
        <f t="shared" si="7"/>
        <v>187</v>
      </c>
      <c r="L6" s="32">
        <v>26461</v>
      </c>
      <c r="M6" s="14">
        <f t="shared" si="8"/>
        <v>240</v>
      </c>
      <c r="N6" s="32">
        <v>226342</v>
      </c>
      <c r="O6" s="14">
        <f t="shared" si="9"/>
        <v>3</v>
      </c>
      <c r="P6" s="32">
        <v>168181</v>
      </c>
      <c r="Q6" s="14">
        <f t="shared" si="2"/>
        <v>121</v>
      </c>
      <c r="R6" s="1">
        <f t="shared" ref="R6:R32" si="12">R5</f>
        <v>55047</v>
      </c>
      <c r="S6" s="14">
        <v>0</v>
      </c>
      <c r="T6" s="32">
        <v>4048</v>
      </c>
      <c r="U6" s="14">
        <f t="shared" si="10"/>
        <v>160</v>
      </c>
    </row>
    <row r="7" spans="1:24" ht="13.5" thickBot="1" x14ac:dyDescent="0.25">
      <c r="A7" s="9">
        <v>44809</v>
      </c>
      <c r="B7" s="32">
        <v>47532</v>
      </c>
      <c r="C7" s="14">
        <f t="shared" si="3"/>
        <v>800</v>
      </c>
      <c r="D7" s="32">
        <v>40939</v>
      </c>
      <c r="E7" s="14">
        <f t="shared" si="4"/>
        <v>480</v>
      </c>
      <c r="F7" s="32">
        <v>22037</v>
      </c>
      <c r="G7" s="14">
        <f t="shared" si="5"/>
        <v>60</v>
      </c>
      <c r="H7" s="32">
        <v>258110</v>
      </c>
      <c r="I7" s="14">
        <f t="shared" si="6"/>
        <v>15</v>
      </c>
      <c r="J7" s="32">
        <v>331401</v>
      </c>
      <c r="K7" s="14">
        <f t="shared" si="7"/>
        <v>172</v>
      </c>
      <c r="L7" s="32">
        <v>26464</v>
      </c>
      <c r="M7" s="14">
        <f t="shared" si="8"/>
        <v>180</v>
      </c>
      <c r="N7" s="32">
        <v>226346</v>
      </c>
      <c r="O7" s="14">
        <f t="shared" si="9"/>
        <v>4</v>
      </c>
      <c r="P7" s="32">
        <v>168297</v>
      </c>
      <c r="Q7" s="14">
        <f t="shared" si="2"/>
        <v>116</v>
      </c>
      <c r="R7" s="1">
        <f t="shared" si="12"/>
        <v>55047</v>
      </c>
      <c r="S7" s="14">
        <v>0</v>
      </c>
      <c r="T7" s="32">
        <v>4048</v>
      </c>
      <c r="U7" s="14">
        <f t="shared" si="10"/>
        <v>0</v>
      </c>
    </row>
    <row r="8" spans="1:24" ht="13.5" thickBot="1" x14ac:dyDescent="0.25">
      <c r="A8" s="9">
        <v>44810</v>
      </c>
      <c r="B8" s="32">
        <v>47537</v>
      </c>
      <c r="C8" s="14">
        <f t="shared" si="3"/>
        <v>800</v>
      </c>
      <c r="D8" s="32">
        <v>40942</v>
      </c>
      <c r="E8" s="14">
        <f t="shared" si="4"/>
        <v>480</v>
      </c>
      <c r="F8" s="32">
        <v>22041</v>
      </c>
      <c r="G8" s="14">
        <f t="shared" si="5"/>
        <v>80</v>
      </c>
      <c r="H8" s="32">
        <v>258124</v>
      </c>
      <c r="I8" s="14">
        <f t="shared" si="6"/>
        <v>14</v>
      </c>
      <c r="J8" s="32">
        <v>331583</v>
      </c>
      <c r="K8" s="14">
        <f t="shared" si="7"/>
        <v>182</v>
      </c>
      <c r="L8" s="32">
        <v>26468</v>
      </c>
      <c r="M8" s="14">
        <f t="shared" si="8"/>
        <v>240</v>
      </c>
      <c r="N8" s="32">
        <v>226349</v>
      </c>
      <c r="O8" s="14">
        <f t="shared" si="9"/>
        <v>3</v>
      </c>
      <c r="P8" s="32">
        <v>168421</v>
      </c>
      <c r="Q8" s="14">
        <f t="shared" si="2"/>
        <v>124</v>
      </c>
      <c r="R8" s="1">
        <f t="shared" si="12"/>
        <v>55047</v>
      </c>
      <c r="S8" s="14">
        <f>R8-R7</f>
        <v>0</v>
      </c>
      <c r="T8" s="32">
        <v>4049</v>
      </c>
      <c r="U8" s="14">
        <f t="shared" si="10"/>
        <v>160</v>
      </c>
    </row>
    <row r="9" spans="1:24" ht="13.5" thickBot="1" x14ac:dyDescent="0.25">
      <c r="A9" s="9">
        <v>44811</v>
      </c>
      <c r="B9" s="32">
        <f t="shared" ref="B8:B32" si="13">B8</f>
        <v>47537</v>
      </c>
      <c r="C9" s="14">
        <f t="shared" si="3"/>
        <v>0</v>
      </c>
      <c r="D9" s="32">
        <f t="shared" ref="D8:D32" si="14">D8</f>
        <v>40942</v>
      </c>
      <c r="E9" s="14">
        <f t="shared" si="4"/>
        <v>0</v>
      </c>
      <c r="F9" s="32">
        <f t="shared" ref="F8:F32" si="15">F8</f>
        <v>22041</v>
      </c>
      <c r="G9" s="14">
        <f t="shared" si="5"/>
        <v>0</v>
      </c>
      <c r="H9" s="32">
        <f t="shared" ref="H8:H32" si="16">H8</f>
        <v>258124</v>
      </c>
      <c r="I9" s="14">
        <f t="shared" si="6"/>
        <v>0</v>
      </c>
      <c r="J9" s="32">
        <f t="shared" ref="J8:J32" si="17">J8</f>
        <v>331583</v>
      </c>
      <c r="K9" s="14">
        <f t="shared" si="7"/>
        <v>0</v>
      </c>
      <c r="L9" s="32">
        <f t="shared" ref="L8:L32" si="18">L8</f>
        <v>26468</v>
      </c>
      <c r="M9" s="14">
        <f t="shared" si="8"/>
        <v>0</v>
      </c>
      <c r="N9" s="32">
        <f t="shared" ref="N8:N32" si="19">N8</f>
        <v>226349</v>
      </c>
      <c r="O9" s="14">
        <f t="shared" si="9"/>
        <v>0</v>
      </c>
      <c r="P9" s="32">
        <f t="shared" ref="P8:P32" si="20">P8</f>
        <v>168421</v>
      </c>
      <c r="Q9" s="14">
        <f t="shared" si="2"/>
        <v>0</v>
      </c>
      <c r="R9" s="1">
        <f t="shared" si="12"/>
        <v>55047</v>
      </c>
      <c r="S9" s="14">
        <f>R9-R8</f>
        <v>0</v>
      </c>
      <c r="T9" s="32">
        <f t="shared" ref="T8:T32" si="21">T8</f>
        <v>4049</v>
      </c>
      <c r="U9" s="14">
        <f t="shared" si="10"/>
        <v>0</v>
      </c>
    </row>
    <row r="10" spans="1:24" ht="13.5" thickBot="1" x14ac:dyDescent="0.25">
      <c r="A10" s="9">
        <v>44812</v>
      </c>
      <c r="B10" s="32">
        <f t="shared" si="13"/>
        <v>47537</v>
      </c>
      <c r="C10" s="14">
        <f t="shared" si="3"/>
        <v>0</v>
      </c>
      <c r="D10" s="32">
        <f t="shared" si="14"/>
        <v>40942</v>
      </c>
      <c r="E10" s="14">
        <f t="shared" si="4"/>
        <v>0</v>
      </c>
      <c r="F10" s="32">
        <f t="shared" si="15"/>
        <v>22041</v>
      </c>
      <c r="G10" s="14">
        <f t="shared" si="5"/>
        <v>0</v>
      </c>
      <c r="H10" s="32">
        <f t="shared" si="16"/>
        <v>258124</v>
      </c>
      <c r="I10" s="14">
        <f t="shared" si="6"/>
        <v>0</v>
      </c>
      <c r="J10" s="32">
        <f t="shared" si="17"/>
        <v>331583</v>
      </c>
      <c r="K10" s="14">
        <f t="shared" si="7"/>
        <v>0</v>
      </c>
      <c r="L10" s="32">
        <f t="shared" si="18"/>
        <v>26468</v>
      </c>
      <c r="M10" s="14">
        <f t="shared" si="8"/>
        <v>0</v>
      </c>
      <c r="N10" s="32">
        <f t="shared" si="19"/>
        <v>226349</v>
      </c>
      <c r="O10" s="14">
        <f t="shared" si="9"/>
        <v>0</v>
      </c>
      <c r="P10" s="32">
        <f t="shared" si="20"/>
        <v>168421</v>
      </c>
      <c r="Q10" s="14">
        <f t="shared" si="2"/>
        <v>0</v>
      </c>
      <c r="R10" s="1">
        <f t="shared" si="12"/>
        <v>55047</v>
      </c>
      <c r="S10" s="14">
        <f>R10-R9</f>
        <v>0</v>
      </c>
      <c r="T10" s="32">
        <f t="shared" si="21"/>
        <v>4049</v>
      </c>
      <c r="U10" s="14">
        <f t="shared" si="10"/>
        <v>0</v>
      </c>
    </row>
    <row r="11" spans="1:24" ht="13.5" thickBot="1" x14ac:dyDescent="0.25">
      <c r="A11" s="9">
        <v>44813</v>
      </c>
      <c r="B11" s="32">
        <f t="shared" si="13"/>
        <v>47537</v>
      </c>
      <c r="C11" s="14">
        <f t="shared" si="3"/>
        <v>0</v>
      </c>
      <c r="D11" s="32">
        <f t="shared" si="14"/>
        <v>40942</v>
      </c>
      <c r="E11" s="14">
        <f t="shared" si="4"/>
        <v>0</v>
      </c>
      <c r="F11" s="32">
        <f t="shared" si="15"/>
        <v>22041</v>
      </c>
      <c r="G11" s="14">
        <f t="shared" si="5"/>
        <v>0</v>
      </c>
      <c r="H11" s="32">
        <f t="shared" si="16"/>
        <v>258124</v>
      </c>
      <c r="I11" s="14">
        <f t="shared" si="6"/>
        <v>0</v>
      </c>
      <c r="J11" s="32">
        <f t="shared" si="17"/>
        <v>331583</v>
      </c>
      <c r="K11" s="14">
        <f t="shared" si="7"/>
        <v>0</v>
      </c>
      <c r="L11" s="32">
        <f t="shared" si="18"/>
        <v>26468</v>
      </c>
      <c r="M11" s="14">
        <f t="shared" si="8"/>
        <v>0</v>
      </c>
      <c r="N11" s="32">
        <f t="shared" si="19"/>
        <v>226349</v>
      </c>
      <c r="O11" s="14">
        <f t="shared" si="9"/>
        <v>0</v>
      </c>
      <c r="P11" s="32">
        <f t="shared" si="20"/>
        <v>168421</v>
      </c>
      <c r="Q11" s="14">
        <f t="shared" si="2"/>
        <v>0</v>
      </c>
      <c r="R11" s="1">
        <f t="shared" si="12"/>
        <v>55047</v>
      </c>
      <c r="S11" s="14">
        <f t="shared" si="11"/>
        <v>0</v>
      </c>
      <c r="T11" s="32">
        <f t="shared" si="21"/>
        <v>4049</v>
      </c>
      <c r="U11" s="14">
        <f t="shared" si="10"/>
        <v>0</v>
      </c>
    </row>
    <row r="12" spans="1:24" ht="13.5" thickBot="1" x14ac:dyDescent="0.25">
      <c r="A12" s="9">
        <v>44814</v>
      </c>
      <c r="B12" s="32">
        <f t="shared" si="13"/>
        <v>47537</v>
      </c>
      <c r="C12" s="14">
        <f t="shared" si="3"/>
        <v>0</v>
      </c>
      <c r="D12" s="32">
        <f t="shared" si="14"/>
        <v>40942</v>
      </c>
      <c r="E12" s="14">
        <f t="shared" si="4"/>
        <v>0</v>
      </c>
      <c r="F12" s="32">
        <f t="shared" si="15"/>
        <v>22041</v>
      </c>
      <c r="G12" s="14">
        <f t="shared" si="5"/>
        <v>0</v>
      </c>
      <c r="H12" s="32">
        <f t="shared" si="16"/>
        <v>258124</v>
      </c>
      <c r="I12" s="14">
        <f t="shared" si="6"/>
        <v>0</v>
      </c>
      <c r="J12" s="32">
        <f t="shared" si="17"/>
        <v>331583</v>
      </c>
      <c r="K12" s="14">
        <f t="shared" si="7"/>
        <v>0</v>
      </c>
      <c r="L12" s="32">
        <f t="shared" si="18"/>
        <v>26468</v>
      </c>
      <c r="M12" s="14">
        <f t="shared" si="8"/>
        <v>0</v>
      </c>
      <c r="N12" s="32">
        <f t="shared" si="19"/>
        <v>226349</v>
      </c>
      <c r="O12" s="14">
        <f t="shared" si="9"/>
        <v>0</v>
      </c>
      <c r="P12" s="32">
        <f t="shared" si="20"/>
        <v>168421</v>
      </c>
      <c r="Q12" s="14">
        <f t="shared" si="2"/>
        <v>0</v>
      </c>
      <c r="R12" s="1">
        <f t="shared" si="12"/>
        <v>55047</v>
      </c>
      <c r="S12" s="14">
        <f t="shared" si="11"/>
        <v>0</v>
      </c>
      <c r="T12" s="32">
        <f t="shared" si="21"/>
        <v>4049</v>
      </c>
      <c r="U12" s="14">
        <f t="shared" si="10"/>
        <v>0</v>
      </c>
    </row>
    <row r="13" spans="1:24" ht="13.5" thickBot="1" x14ac:dyDescent="0.25">
      <c r="A13" s="9">
        <v>44815</v>
      </c>
      <c r="B13" s="32">
        <f t="shared" si="13"/>
        <v>47537</v>
      </c>
      <c r="C13" s="14">
        <f t="shared" si="3"/>
        <v>0</v>
      </c>
      <c r="D13" s="32">
        <f t="shared" si="14"/>
        <v>40942</v>
      </c>
      <c r="E13" s="14">
        <f t="shared" si="4"/>
        <v>0</v>
      </c>
      <c r="F13" s="32">
        <f t="shared" si="15"/>
        <v>22041</v>
      </c>
      <c r="G13" s="14">
        <f t="shared" si="5"/>
        <v>0</v>
      </c>
      <c r="H13" s="32">
        <f t="shared" si="16"/>
        <v>258124</v>
      </c>
      <c r="I13" s="14">
        <f t="shared" si="6"/>
        <v>0</v>
      </c>
      <c r="J13" s="32">
        <f t="shared" si="17"/>
        <v>331583</v>
      </c>
      <c r="K13" s="14">
        <f t="shared" si="7"/>
        <v>0</v>
      </c>
      <c r="L13" s="32">
        <f t="shared" si="18"/>
        <v>26468</v>
      </c>
      <c r="M13" s="14">
        <f t="shared" si="8"/>
        <v>0</v>
      </c>
      <c r="N13" s="32">
        <f t="shared" si="19"/>
        <v>226349</v>
      </c>
      <c r="O13" s="14">
        <f t="shared" si="9"/>
        <v>0</v>
      </c>
      <c r="P13" s="32">
        <f t="shared" si="20"/>
        <v>168421</v>
      </c>
      <c r="Q13" s="14">
        <f t="shared" si="2"/>
        <v>0</v>
      </c>
      <c r="R13" s="1">
        <f t="shared" si="12"/>
        <v>55047</v>
      </c>
      <c r="S13" s="14">
        <f t="shared" si="11"/>
        <v>0</v>
      </c>
      <c r="T13" s="32">
        <f t="shared" si="21"/>
        <v>4049</v>
      </c>
      <c r="U13" s="14">
        <f t="shared" si="10"/>
        <v>0</v>
      </c>
    </row>
    <row r="14" spans="1:24" ht="13.5" thickBot="1" x14ac:dyDescent="0.25">
      <c r="A14" s="9">
        <v>44816</v>
      </c>
      <c r="B14" s="32">
        <f t="shared" si="13"/>
        <v>47537</v>
      </c>
      <c r="C14" s="14">
        <f t="shared" si="3"/>
        <v>0</v>
      </c>
      <c r="D14" s="32">
        <f t="shared" si="14"/>
        <v>40942</v>
      </c>
      <c r="E14" s="14">
        <f t="shared" si="4"/>
        <v>0</v>
      </c>
      <c r="F14" s="32">
        <f t="shared" si="15"/>
        <v>22041</v>
      </c>
      <c r="G14" s="14">
        <f t="shared" si="5"/>
        <v>0</v>
      </c>
      <c r="H14" s="32">
        <f t="shared" si="16"/>
        <v>258124</v>
      </c>
      <c r="I14" s="14">
        <f t="shared" si="6"/>
        <v>0</v>
      </c>
      <c r="J14" s="32">
        <f t="shared" si="17"/>
        <v>331583</v>
      </c>
      <c r="K14" s="14">
        <f t="shared" si="7"/>
        <v>0</v>
      </c>
      <c r="L14" s="32">
        <f t="shared" si="18"/>
        <v>26468</v>
      </c>
      <c r="M14" s="14">
        <f t="shared" si="8"/>
        <v>0</v>
      </c>
      <c r="N14" s="32">
        <f t="shared" si="19"/>
        <v>226349</v>
      </c>
      <c r="O14" s="14">
        <f t="shared" si="9"/>
        <v>0</v>
      </c>
      <c r="P14" s="32">
        <f t="shared" si="20"/>
        <v>168421</v>
      </c>
      <c r="Q14" s="14">
        <f t="shared" si="2"/>
        <v>0</v>
      </c>
      <c r="R14" s="1">
        <f t="shared" si="12"/>
        <v>55047</v>
      </c>
      <c r="S14" s="14">
        <v>0</v>
      </c>
      <c r="T14" s="32">
        <f t="shared" si="21"/>
        <v>4049</v>
      </c>
      <c r="U14" s="14">
        <f t="shared" si="10"/>
        <v>0</v>
      </c>
    </row>
    <row r="15" spans="1:24" ht="13.5" thickBot="1" x14ac:dyDescent="0.25">
      <c r="A15" s="9">
        <v>44817</v>
      </c>
      <c r="B15" s="32">
        <f t="shared" si="13"/>
        <v>47537</v>
      </c>
      <c r="C15" s="14">
        <f t="shared" si="3"/>
        <v>0</v>
      </c>
      <c r="D15" s="32">
        <f t="shared" si="14"/>
        <v>40942</v>
      </c>
      <c r="E15" s="14">
        <f t="shared" si="4"/>
        <v>0</v>
      </c>
      <c r="F15" s="32">
        <f t="shared" si="15"/>
        <v>22041</v>
      </c>
      <c r="G15" s="14">
        <f t="shared" si="5"/>
        <v>0</v>
      </c>
      <c r="H15" s="32">
        <f t="shared" si="16"/>
        <v>258124</v>
      </c>
      <c r="I15" s="14">
        <f t="shared" si="6"/>
        <v>0</v>
      </c>
      <c r="J15" s="32">
        <f t="shared" si="17"/>
        <v>331583</v>
      </c>
      <c r="K15" s="14">
        <f t="shared" si="7"/>
        <v>0</v>
      </c>
      <c r="L15" s="32">
        <f t="shared" si="18"/>
        <v>26468</v>
      </c>
      <c r="M15" s="14">
        <f t="shared" si="8"/>
        <v>0</v>
      </c>
      <c r="N15" s="32">
        <f t="shared" si="19"/>
        <v>226349</v>
      </c>
      <c r="O15" s="14">
        <f t="shared" si="9"/>
        <v>0</v>
      </c>
      <c r="P15" s="32">
        <f t="shared" si="20"/>
        <v>168421</v>
      </c>
      <c r="Q15" s="14">
        <f t="shared" si="2"/>
        <v>0</v>
      </c>
      <c r="R15" s="1">
        <f t="shared" si="12"/>
        <v>55047</v>
      </c>
      <c r="S15" s="14">
        <v>0</v>
      </c>
      <c r="T15" s="32">
        <f t="shared" si="21"/>
        <v>4049</v>
      </c>
      <c r="U15" s="14">
        <f t="shared" si="10"/>
        <v>0</v>
      </c>
      <c r="X15" t="s">
        <v>12</v>
      </c>
    </row>
    <row r="16" spans="1:24" ht="13.5" thickBot="1" x14ac:dyDescent="0.25">
      <c r="A16" s="9">
        <v>44818</v>
      </c>
      <c r="B16" s="32">
        <f t="shared" si="13"/>
        <v>47537</v>
      </c>
      <c r="C16" s="14">
        <f t="shared" si="3"/>
        <v>0</v>
      </c>
      <c r="D16" s="32">
        <f t="shared" si="14"/>
        <v>40942</v>
      </c>
      <c r="E16" s="14">
        <f t="shared" si="4"/>
        <v>0</v>
      </c>
      <c r="F16" s="32">
        <f t="shared" si="15"/>
        <v>22041</v>
      </c>
      <c r="G16" s="14">
        <f t="shared" si="5"/>
        <v>0</v>
      </c>
      <c r="H16" s="32">
        <f t="shared" si="16"/>
        <v>258124</v>
      </c>
      <c r="I16" s="14">
        <f t="shared" si="6"/>
        <v>0</v>
      </c>
      <c r="J16" s="32">
        <f t="shared" si="17"/>
        <v>331583</v>
      </c>
      <c r="K16" s="14">
        <f t="shared" si="7"/>
        <v>0</v>
      </c>
      <c r="L16" s="32">
        <f t="shared" si="18"/>
        <v>26468</v>
      </c>
      <c r="M16" s="14">
        <f t="shared" si="8"/>
        <v>0</v>
      </c>
      <c r="N16" s="32">
        <f t="shared" si="19"/>
        <v>226349</v>
      </c>
      <c r="O16" s="14">
        <f t="shared" si="9"/>
        <v>0</v>
      </c>
      <c r="P16" s="32">
        <f t="shared" si="20"/>
        <v>168421</v>
      </c>
      <c r="Q16" s="14">
        <f t="shared" si="2"/>
        <v>0</v>
      </c>
      <c r="R16" s="1">
        <f t="shared" si="12"/>
        <v>55047</v>
      </c>
      <c r="S16" s="14">
        <f t="shared" si="11"/>
        <v>0</v>
      </c>
      <c r="T16" s="32">
        <f t="shared" si="21"/>
        <v>4049</v>
      </c>
      <c r="U16" s="14">
        <f t="shared" si="10"/>
        <v>0</v>
      </c>
      <c r="W16" t="s">
        <v>12</v>
      </c>
    </row>
    <row r="17" spans="1:23" ht="13.5" thickBot="1" x14ac:dyDescent="0.25">
      <c r="A17" s="9">
        <v>44819</v>
      </c>
      <c r="B17" s="32">
        <f t="shared" si="13"/>
        <v>47537</v>
      </c>
      <c r="C17" s="14">
        <f t="shared" si="3"/>
        <v>0</v>
      </c>
      <c r="D17" s="32">
        <f t="shared" si="14"/>
        <v>40942</v>
      </c>
      <c r="E17" s="14">
        <f t="shared" si="4"/>
        <v>0</v>
      </c>
      <c r="F17" s="32">
        <f t="shared" si="15"/>
        <v>22041</v>
      </c>
      <c r="G17" s="14">
        <f t="shared" si="5"/>
        <v>0</v>
      </c>
      <c r="H17" s="32">
        <f t="shared" si="16"/>
        <v>258124</v>
      </c>
      <c r="I17" s="14">
        <f t="shared" si="6"/>
        <v>0</v>
      </c>
      <c r="J17" s="32">
        <f t="shared" si="17"/>
        <v>331583</v>
      </c>
      <c r="K17" s="14">
        <f t="shared" si="7"/>
        <v>0</v>
      </c>
      <c r="L17" s="32">
        <f t="shared" si="18"/>
        <v>26468</v>
      </c>
      <c r="M17" s="14">
        <f t="shared" si="8"/>
        <v>0</v>
      </c>
      <c r="N17" s="32">
        <f t="shared" si="19"/>
        <v>226349</v>
      </c>
      <c r="O17" s="14">
        <f t="shared" si="9"/>
        <v>0</v>
      </c>
      <c r="P17" s="32">
        <f t="shared" si="20"/>
        <v>168421</v>
      </c>
      <c r="Q17" s="14">
        <f t="shared" si="2"/>
        <v>0</v>
      </c>
      <c r="R17" s="1">
        <f t="shared" si="12"/>
        <v>55047</v>
      </c>
      <c r="S17" s="14">
        <f>S16</f>
        <v>0</v>
      </c>
      <c r="T17" s="32">
        <f t="shared" si="21"/>
        <v>4049</v>
      </c>
      <c r="U17" s="14">
        <f t="shared" si="10"/>
        <v>0</v>
      </c>
    </row>
    <row r="18" spans="1:23" ht="13.5" thickBot="1" x14ac:dyDescent="0.25">
      <c r="A18" s="9">
        <v>44820</v>
      </c>
      <c r="B18" s="32">
        <f t="shared" si="13"/>
        <v>47537</v>
      </c>
      <c r="C18" s="14">
        <f t="shared" si="3"/>
        <v>0</v>
      </c>
      <c r="D18" s="32">
        <f t="shared" si="14"/>
        <v>40942</v>
      </c>
      <c r="E18" s="14">
        <f t="shared" si="4"/>
        <v>0</v>
      </c>
      <c r="F18" s="32">
        <f t="shared" si="15"/>
        <v>22041</v>
      </c>
      <c r="G18" s="14">
        <f t="shared" si="5"/>
        <v>0</v>
      </c>
      <c r="H18" s="32">
        <f t="shared" si="16"/>
        <v>258124</v>
      </c>
      <c r="I18" s="14">
        <f t="shared" si="6"/>
        <v>0</v>
      </c>
      <c r="J18" s="32">
        <f t="shared" si="17"/>
        <v>331583</v>
      </c>
      <c r="K18" s="14">
        <f t="shared" si="7"/>
        <v>0</v>
      </c>
      <c r="L18" s="32">
        <f t="shared" si="18"/>
        <v>26468</v>
      </c>
      <c r="M18" s="14">
        <f t="shared" si="8"/>
        <v>0</v>
      </c>
      <c r="N18" s="32">
        <f t="shared" si="19"/>
        <v>226349</v>
      </c>
      <c r="O18" s="14">
        <f t="shared" si="9"/>
        <v>0</v>
      </c>
      <c r="P18" s="32">
        <f t="shared" si="20"/>
        <v>168421</v>
      </c>
      <c r="Q18" s="14">
        <f t="shared" si="2"/>
        <v>0</v>
      </c>
      <c r="R18" s="1">
        <f t="shared" si="12"/>
        <v>55047</v>
      </c>
      <c r="S18" s="14">
        <f t="shared" si="11"/>
        <v>0</v>
      </c>
      <c r="T18" s="32">
        <f t="shared" si="21"/>
        <v>4049</v>
      </c>
      <c r="U18" s="14">
        <f t="shared" si="10"/>
        <v>0</v>
      </c>
    </row>
    <row r="19" spans="1:23" ht="13.5" thickBot="1" x14ac:dyDescent="0.25">
      <c r="A19" s="9">
        <v>44821</v>
      </c>
      <c r="B19" s="32">
        <f t="shared" si="13"/>
        <v>47537</v>
      </c>
      <c r="C19" s="14">
        <f t="shared" si="3"/>
        <v>0</v>
      </c>
      <c r="D19" s="32">
        <f t="shared" si="14"/>
        <v>40942</v>
      </c>
      <c r="E19" s="14">
        <f t="shared" si="4"/>
        <v>0</v>
      </c>
      <c r="F19" s="32">
        <f t="shared" si="15"/>
        <v>22041</v>
      </c>
      <c r="G19" s="14">
        <f t="shared" si="5"/>
        <v>0</v>
      </c>
      <c r="H19" s="32">
        <f t="shared" si="16"/>
        <v>258124</v>
      </c>
      <c r="I19" s="14">
        <f t="shared" si="6"/>
        <v>0</v>
      </c>
      <c r="J19" s="32">
        <f t="shared" si="17"/>
        <v>331583</v>
      </c>
      <c r="K19" s="14">
        <f t="shared" si="7"/>
        <v>0</v>
      </c>
      <c r="L19" s="32">
        <f t="shared" si="18"/>
        <v>26468</v>
      </c>
      <c r="M19" s="14">
        <f t="shared" si="8"/>
        <v>0</v>
      </c>
      <c r="N19" s="32">
        <f t="shared" si="19"/>
        <v>226349</v>
      </c>
      <c r="O19" s="14">
        <f t="shared" si="9"/>
        <v>0</v>
      </c>
      <c r="P19" s="32">
        <f t="shared" si="20"/>
        <v>168421</v>
      </c>
      <c r="Q19" s="14">
        <v>0</v>
      </c>
      <c r="R19" s="1">
        <f t="shared" si="12"/>
        <v>55047</v>
      </c>
      <c r="S19" s="14">
        <f t="shared" si="11"/>
        <v>0</v>
      </c>
      <c r="T19" s="32">
        <f t="shared" si="21"/>
        <v>4049</v>
      </c>
      <c r="U19" s="14">
        <f t="shared" si="10"/>
        <v>0</v>
      </c>
      <c r="W19" t="s">
        <v>12</v>
      </c>
    </row>
    <row r="20" spans="1:23" ht="13.5" thickBot="1" x14ac:dyDescent="0.25">
      <c r="A20" s="9">
        <v>44822</v>
      </c>
      <c r="B20" s="32">
        <f t="shared" si="13"/>
        <v>47537</v>
      </c>
      <c r="C20" s="14">
        <f t="shared" si="3"/>
        <v>0</v>
      </c>
      <c r="D20" s="32">
        <f t="shared" si="14"/>
        <v>40942</v>
      </c>
      <c r="E20" s="14">
        <f t="shared" si="4"/>
        <v>0</v>
      </c>
      <c r="F20" s="32">
        <f t="shared" si="15"/>
        <v>22041</v>
      </c>
      <c r="G20" s="14">
        <f t="shared" si="5"/>
        <v>0</v>
      </c>
      <c r="H20" s="32">
        <f t="shared" si="16"/>
        <v>258124</v>
      </c>
      <c r="I20" s="14">
        <f t="shared" si="6"/>
        <v>0</v>
      </c>
      <c r="J20" s="32">
        <f t="shared" si="17"/>
        <v>331583</v>
      </c>
      <c r="K20" s="14">
        <f t="shared" si="7"/>
        <v>0</v>
      </c>
      <c r="L20" s="32">
        <f t="shared" si="18"/>
        <v>26468</v>
      </c>
      <c r="M20" s="14">
        <f t="shared" si="8"/>
        <v>0</v>
      </c>
      <c r="N20" s="32">
        <f t="shared" si="19"/>
        <v>226349</v>
      </c>
      <c r="O20" s="14">
        <f t="shared" si="9"/>
        <v>0</v>
      </c>
      <c r="P20" s="32">
        <f t="shared" si="20"/>
        <v>168421</v>
      </c>
      <c r="Q20" s="14">
        <f t="shared" si="2"/>
        <v>0</v>
      </c>
      <c r="R20" s="1">
        <v>55047</v>
      </c>
      <c r="S20" s="14">
        <f t="shared" si="11"/>
        <v>0</v>
      </c>
      <c r="T20" s="32">
        <f t="shared" si="21"/>
        <v>4049</v>
      </c>
      <c r="U20" s="14">
        <f t="shared" si="10"/>
        <v>0</v>
      </c>
    </row>
    <row r="21" spans="1:23" ht="13.5" thickBot="1" x14ac:dyDescent="0.25">
      <c r="A21" s="9">
        <v>44823</v>
      </c>
      <c r="B21" s="32">
        <f t="shared" si="13"/>
        <v>47537</v>
      </c>
      <c r="C21" s="14">
        <f t="shared" si="3"/>
        <v>0</v>
      </c>
      <c r="D21" s="32">
        <f t="shared" si="14"/>
        <v>40942</v>
      </c>
      <c r="E21" s="14">
        <f t="shared" si="4"/>
        <v>0</v>
      </c>
      <c r="F21" s="32">
        <f t="shared" si="15"/>
        <v>22041</v>
      </c>
      <c r="G21" s="14">
        <f t="shared" si="5"/>
        <v>0</v>
      </c>
      <c r="H21" s="32">
        <f t="shared" si="16"/>
        <v>258124</v>
      </c>
      <c r="I21" s="14">
        <f t="shared" si="6"/>
        <v>0</v>
      </c>
      <c r="J21" s="32">
        <f t="shared" si="17"/>
        <v>331583</v>
      </c>
      <c r="K21" s="14">
        <f t="shared" si="7"/>
        <v>0</v>
      </c>
      <c r="L21" s="32">
        <f t="shared" si="18"/>
        <v>26468</v>
      </c>
      <c r="M21" s="14">
        <f t="shared" si="8"/>
        <v>0</v>
      </c>
      <c r="N21" s="32">
        <f t="shared" si="19"/>
        <v>226349</v>
      </c>
      <c r="O21" s="14">
        <f t="shared" si="9"/>
        <v>0</v>
      </c>
      <c r="P21" s="32">
        <f t="shared" si="20"/>
        <v>168421</v>
      </c>
      <c r="Q21" s="14">
        <f t="shared" si="2"/>
        <v>0</v>
      </c>
      <c r="R21" s="1">
        <f t="shared" si="12"/>
        <v>55047</v>
      </c>
      <c r="S21" s="14">
        <f t="shared" si="11"/>
        <v>0</v>
      </c>
      <c r="T21" s="32">
        <f t="shared" si="21"/>
        <v>4049</v>
      </c>
      <c r="U21" s="14">
        <f t="shared" si="10"/>
        <v>0</v>
      </c>
    </row>
    <row r="22" spans="1:23" ht="13.5" thickBot="1" x14ac:dyDescent="0.25">
      <c r="A22" s="9">
        <v>44824</v>
      </c>
      <c r="B22" s="32">
        <f t="shared" si="13"/>
        <v>47537</v>
      </c>
      <c r="C22" s="14">
        <f t="shared" si="3"/>
        <v>0</v>
      </c>
      <c r="D22" s="32">
        <f t="shared" si="14"/>
        <v>40942</v>
      </c>
      <c r="E22" s="14">
        <f t="shared" si="4"/>
        <v>0</v>
      </c>
      <c r="F22" s="32">
        <f t="shared" si="15"/>
        <v>22041</v>
      </c>
      <c r="G22" s="14">
        <f t="shared" si="5"/>
        <v>0</v>
      </c>
      <c r="H22" s="32">
        <f t="shared" si="16"/>
        <v>258124</v>
      </c>
      <c r="I22" s="14">
        <f t="shared" si="6"/>
        <v>0</v>
      </c>
      <c r="J22" s="32">
        <f t="shared" si="17"/>
        <v>331583</v>
      </c>
      <c r="K22" s="14">
        <f t="shared" si="7"/>
        <v>0</v>
      </c>
      <c r="L22" s="32">
        <f t="shared" si="18"/>
        <v>26468</v>
      </c>
      <c r="M22" s="14">
        <f t="shared" si="8"/>
        <v>0</v>
      </c>
      <c r="N22" s="32">
        <f t="shared" si="19"/>
        <v>226349</v>
      </c>
      <c r="O22" s="14">
        <f t="shared" si="9"/>
        <v>0</v>
      </c>
      <c r="P22" s="32">
        <f t="shared" si="20"/>
        <v>168421</v>
      </c>
      <c r="Q22" s="14">
        <f t="shared" si="2"/>
        <v>0</v>
      </c>
      <c r="R22" s="1">
        <f t="shared" si="12"/>
        <v>55047</v>
      </c>
      <c r="S22" s="14">
        <f t="shared" si="11"/>
        <v>0</v>
      </c>
      <c r="T22" s="32">
        <f t="shared" si="21"/>
        <v>4049</v>
      </c>
      <c r="U22" s="14">
        <f t="shared" si="10"/>
        <v>0</v>
      </c>
    </row>
    <row r="23" spans="1:23" ht="13.5" thickBot="1" x14ac:dyDescent="0.25">
      <c r="A23" s="9">
        <v>44825</v>
      </c>
      <c r="B23" s="32">
        <f t="shared" si="13"/>
        <v>47537</v>
      </c>
      <c r="C23" s="14">
        <f t="shared" si="3"/>
        <v>0</v>
      </c>
      <c r="D23" s="32">
        <f t="shared" si="14"/>
        <v>40942</v>
      </c>
      <c r="E23" s="14">
        <f t="shared" si="4"/>
        <v>0</v>
      </c>
      <c r="F23" s="32">
        <f t="shared" si="15"/>
        <v>22041</v>
      </c>
      <c r="G23" s="14">
        <f t="shared" si="5"/>
        <v>0</v>
      </c>
      <c r="H23" s="32">
        <f t="shared" si="16"/>
        <v>258124</v>
      </c>
      <c r="I23" s="14">
        <f t="shared" si="6"/>
        <v>0</v>
      </c>
      <c r="J23" s="32">
        <f t="shared" si="17"/>
        <v>331583</v>
      </c>
      <c r="K23" s="14">
        <f t="shared" si="7"/>
        <v>0</v>
      </c>
      <c r="L23" s="32">
        <f t="shared" si="18"/>
        <v>26468</v>
      </c>
      <c r="M23" s="14">
        <f t="shared" si="8"/>
        <v>0</v>
      </c>
      <c r="N23" s="32">
        <f t="shared" si="19"/>
        <v>226349</v>
      </c>
      <c r="O23" s="14">
        <f t="shared" si="9"/>
        <v>0</v>
      </c>
      <c r="P23" s="32">
        <f t="shared" si="20"/>
        <v>168421</v>
      </c>
      <c r="Q23" s="14">
        <f t="shared" si="2"/>
        <v>0</v>
      </c>
      <c r="R23" s="1">
        <f t="shared" si="12"/>
        <v>55047</v>
      </c>
      <c r="S23" s="14">
        <f t="shared" si="11"/>
        <v>0</v>
      </c>
      <c r="T23" s="32">
        <f t="shared" si="21"/>
        <v>4049</v>
      </c>
      <c r="U23" s="14">
        <f t="shared" si="10"/>
        <v>0</v>
      </c>
    </row>
    <row r="24" spans="1:23" s="131" customFormat="1" ht="13.5" thickBot="1" x14ac:dyDescent="0.25">
      <c r="A24" s="9">
        <v>44826</v>
      </c>
      <c r="B24" s="32">
        <f t="shared" si="13"/>
        <v>47537</v>
      </c>
      <c r="C24" s="14">
        <f t="shared" si="3"/>
        <v>0</v>
      </c>
      <c r="D24" s="32">
        <f t="shared" si="14"/>
        <v>40942</v>
      </c>
      <c r="E24" s="14">
        <f t="shared" si="4"/>
        <v>0</v>
      </c>
      <c r="F24" s="32">
        <f t="shared" si="15"/>
        <v>22041</v>
      </c>
      <c r="G24" s="14">
        <f t="shared" si="5"/>
        <v>0</v>
      </c>
      <c r="H24" s="32">
        <f t="shared" si="16"/>
        <v>258124</v>
      </c>
      <c r="I24" s="14">
        <f t="shared" si="6"/>
        <v>0</v>
      </c>
      <c r="J24" s="32">
        <f t="shared" si="17"/>
        <v>331583</v>
      </c>
      <c r="K24" s="14">
        <f t="shared" si="7"/>
        <v>0</v>
      </c>
      <c r="L24" s="32">
        <f t="shared" si="18"/>
        <v>26468</v>
      </c>
      <c r="M24" s="14">
        <f t="shared" si="8"/>
        <v>0</v>
      </c>
      <c r="N24" s="32">
        <f t="shared" si="19"/>
        <v>226349</v>
      </c>
      <c r="O24" s="14">
        <f t="shared" si="9"/>
        <v>0</v>
      </c>
      <c r="P24" s="32">
        <f t="shared" si="20"/>
        <v>168421</v>
      </c>
      <c r="Q24" s="14">
        <f t="shared" si="2"/>
        <v>0</v>
      </c>
      <c r="R24" s="1">
        <f t="shared" si="12"/>
        <v>55047</v>
      </c>
      <c r="S24" s="14">
        <f t="shared" si="11"/>
        <v>0</v>
      </c>
      <c r="T24" s="32">
        <f t="shared" si="21"/>
        <v>4049</v>
      </c>
      <c r="U24" s="14">
        <f t="shared" si="10"/>
        <v>0</v>
      </c>
    </row>
    <row r="25" spans="1:23" ht="13.5" thickBot="1" x14ac:dyDescent="0.25">
      <c r="A25" s="9">
        <v>44827</v>
      </c>
      <c r="B25" s="32">
        <f t="shared" si="13"/>
        <v>47537</v>
      </c>
      <c r="C25" s="14">
        <f t="shared" si="3"/>
        <v>0</v>
      </c>
      <c r="D25" s="32">
        <f t="shared" si="14"/>
        <v>40942</v>
      </c>
      <c r="E25" s="14">
        <f t="shared" si="4"/>
        <v>0</v>
      </c>
      <c r="F25" s="32">
        <f t="shared" si="15"/>
        <v>22041</v>
      </c>
      <c r="G25" s="14">
        <f t="shared" si="5"/>
        <v>0</v>
      </c>
      <c r="H25" s="32">
        <f t="shared" si="16"/>
        <v>258124</v>
      </c>
      <c r="I25" s="14">
        <f t="shared" si="6"/>
        <v>0</v>
      </c>
      <c r="J25" s="32">
        <f t="shared" si="17"/>
        <v>331583</v>
      </c>
      <c r="K25" s="14">
        <f t="shared" si="7"/>
        <v>0</v>
      </c>
      <c r="L25" s="32">
        <f t="shared" si="18"/>
        <v>26468</v>
      </c>
      <c r="M25" s="14">
        <f t="shared" si="8"/>
        <v>0</v>
      </c>
      <c r="N25" s="32">
        <f t="shared" si="19"/>
        <v>226349</v>
      </c>
      <c r="O25" s="14">
        <f t="shared" si="9"/>
        <v>0</v>
      </c>
      <c r="P25" s="32">
        <f t="shared" si="20"/>
        <v>168421</v>
      </c>
      <c r="Q25" s="14">
        <f t="shared" si="2"/>
        <v>0</v>
      </c>
      <c r="R25" s="1">
        <f t="shared" si="12"/>
        <v>55047</v>
      </c>
      <c r="S25" s="14">
        <f t="shared" si="11"/>
        <v>0</v>
      </c>
      <c r="T25" s="32">
        <f t="shared" si="21"/>
        <v>4049</v>
      </c>
      <c r="U25" s="14">
        <f t="shared" si="10"/>
        <v>0</v>
      </c>
      <c r="V25" t="s">
        <v>12</v>
      </c>
    </row>
    <row r="26" spans="1:23" ht="12.75" customHeight="1" thickBot="1" x14ac:dyDescent="0.25">
      <c r="A26" s="9">
        <v>44828</v>
      </c>
      <c r="B26" s="32">
        <f t="shared" si="13"/>
        <v>47537</v>
      </c>
      <c r="C26" s="14">
        <f t="shared" si="3"/>
        <v>0</v>
      </c>
      <c r="D26" s="32">
        <f t="shared" si="14"/>
        <v>40942</v>
      </c>
      <c r="E26" s="14">
        <f t="shared" si="4"/>
        <v>0</v>
      </c>
      <c r="F26" s="32">
        <f t="shared" si="15"/>
        <v>22041</v>
      </c>
      <c r="G26" s="14">
        <f t="shared" si="5"/>
        <v>0</v>
      </c>
      <c r="H26" s="32">
        <f t="shared" si="16"/>
        <v>258124</v>
      </c>
      <c r="I26" s="14">
        <f t="shared" si="6"/>
        <v>0</v>
      </c>
      <c r="J26" s="32">
        <f t="shared" si="17"/>
        <v>331583</v>
      </c>
      <c r="K26" s="14">
        <f t="shared" si="7"/>
        <v>0</v>
      </c>
      <c r="L26" s="32">
        <f t="shared" si="18"/>
        <v>26468</v>
      </c>
      <c r="M26" s="14">
        <f t="shared" si="8"/>
        <v>0</v>
      </c>
      <c r="N26" s="32">
        <f t="shared" si="19"/>
        <v>226349</v>
      </c>
      <c r="O26" s="14">
        <f t="shared" si="9"/>
        <v>0</v>
      </c>
      <c r="P26" s="32">
        <f t="shared" si="20"/>
        <v>168421</v>
      </c>
      <c r="Q26" s="14">
        <f t="shared" si="2"/>
        <v>0</v>
      </c>
      <c r="R26" s="1">
        <f t="shared" si="12"/>
        <v>55047</v>
      </c>
      <c r="S26" s="14">
        <f t="shared" si="11"/>
        <v>0</v>
      </c>
      <c r="T26" s="32">
        <f t="shared" si="21"/>
        <v>4049</v>
      </c>
      <c r="U26" s="14">
        <f t="shared" si="10"/>
        <v>0</v>
      </c>
      <c r="W26" t="s">
        <v>12</v>
      </c>
    </row>
    <row r="27" spans="1:23" ht="13.5" thickBot="1" x14ac:dyDescent="0.25">
      <c r="A27" s="9">
        <v>44829</v>
      </c>
      <c r="B27" s="32">
        <f t="shared" si="13"/>
        <v>47537</v>
      </c>
      <c r="C27" s="14">
        <f t="shared" si="3"/>
        <v>0</v>
      </c>
      <c r="D27" s="32">
        <f t="shared" si="14"/>
        <v>40942</v>
      </c>
      <c r="E27" s="14">
        <f t="shared" si="4"/>
        <v>0</v>
      </c>
      <c r="F27" s="32">
        <f t="shared" si="15"/>
        <v>22041</v>
      </c>
      <c r="G27" s="14">
        <f t="shared" si="5"/>
        <v>0</v>
      </c>
      <c r="H27" s="32">
        <f t="shared" si="16"/>
        <v>258124</v>
      </c>
      <c r="I27" s="14">
        <f t="shared" si="6"/>
        <v>0</v>
      </c>
      <c r="J27" s="32">
        <f t="shared" si="17"/>
        <v>331583</v>
      </c>
      <c r="K27" s="14">
        <f t="shared" si="7"/>
        <v>0</v>
      </c>
      <c r="L27" s="32">
        <f t="shared" si="18"/>
        <v>26468</v>
      </c>
      <c r="M27" s="14">
        <f t="shared" si="8"/>
        <v>0</v>
      </c>
      <c r="N27" s="32">
        <f t="shared" si="19"/>
        <v>226349</v>
      </c>
      <c r="O27" s="14">
        <f t="shared" si="9"/>
        <v>0</v>
      </c>
      <c r="P27" s="32">
        <f t="shared" si="20"/>
        <v>168421</v>
      </c>
      <c r="Q27" s="14">
        <f t="shared" si="2"/>
        <v>0</v>
      </c>
      <c r="R27" s="1">
        <f t="shared" si="12"/>
        <v>55047</v>
      </c>
      <c r="S27" s="14">
        <f t="shared" si="11"/>
        <v>0</v>
      </c>
      <c r="T27" s="32">
        <f t="shared" si="21"/>
        <v>4049</v>
      </c>
      <c r="U27" s="14">
        <f t="shared" si="10"/>
        <v>0</v>
      </c>
    </row>
    <row r="28" spans="1:23" ht="13.5" thickBot="1" x14ac:dyDescent="0.25">
      <c r="A28" s="9">
        <v>44830</v>
      </c>
      <c r="B28" s="32">
        <f t="shared" si="13"/>
        <v>47537</v>
      </c>
      <c r="C28" s="14">
        <f t="shared" si="3"/>
        <v>0</v>
      </c>
      <c r="D28" s="32">
        <f t="shared" si="14"/>
        <v>40942</v>
      </c>
      <c r="E28" s="14">
        <f t="shared" si="4"/>
        <v>0</v>
      </c>
      <c r="F28" s="32">
        <f t="shared" si="15"/>
        <v>22041</v>
      </c>
      <c r="G28" s="14">
        <f t="shared" si="5"/>
        <v>0</v>
      </c>
      <c r="H28" s="32">
        <f t="shared" si="16"/>
        <v>258124</v>
      </c>
      <c r="I28" s="14">
        <f t="shared" si="6"/>
        <v>0</v>
      </c>
      <c r="J28" s="32">
        <f t="shared" si="17"/>
        <v>331583</v>
      </c>
      <c r="K28" s="14">
        <f t="shared" si="7"/>
        <v>0</v>
      </c>
      <c r="L28" s="32">
        <f t="shared" si="18"/>
        <v>26468</v>
      </c>
      <c r="M28" s="14">
        <f t="shared" si="8"/>
        <v>0</v>
      </c>
      <c r="N28" s="32">
        <f t="shared" si="19"/>
        <v>226349</v>
      </c>
      <c r="O28" s="14">
        <f t="shared" si="9"/>
        <v>0</v>
      </c>
      <c r="P28" s="32">
        <f t="shared" si="20"/>
        <v>168421</v>
      </c>
      <c r="Q28" s="14">
        <f t="shared" si="2"/>
        <v>0</v>
      </c>
      <c r="R28" s="1">
        <f t="shared" si="12"/>
        <v>55047</v>
      </c>
      <c r="S28" s="15">
        <f t="shared" si="11"/>
        <v>0</v>
      </c>
      <c r="T28" s="32">
        <f t="shared" si="21"/>
        <v>4049</v>
      </c>
      <c r="U28" s="14">
        <f t="shared" si="10"/>
        <v>0</v>
      </c>
    </row>
    <row r="29" spans="1:23" ht="13.5" thickBot="1" x14ac:dyDescent="0.25">
      <c r="A29" s="9">
        <v>44831</v>
      </c>
      <c r="B29" s="32">
        <f t="shared" si="13"/>
        <v>47537</v>
      </c>
      <c r="C29" s="14">
        <f t="shared" si="3"/>
        <v>0</v>
      </c>
      <c r="D29" s="32">
        <f t="shared" si="14"/>
        <v>40942</v>
      </c>
      <c r="E29" s="14">
        <f t="shared" si="4"/>
        <v>0</v>
      </c>
      <c r="F29" s="32">
        <f t="shared" si="15"/>
        <v>22041</v>
      </c>
      <c r="G29" s="14">
        <f t="shared" si="5"/>
        <v>0</v>
      </c>
      <c r="H29" s="32">
        <f t="shared" si="16"/>
        <v>258124</v>
      </c>
      <c r="I29" s="14">
        <f t="shared" si="6"/>
        <v>0</v>
      </c>
      <c r="J29" s="32">
        <f t="shared" si="17"/>
        <v>331583</v>
      </c>
      <c r="K29" s="14">
        <f t="shared" si="7"/>
        <v>0</v>
      </c>
      <c r="L29" s="32">
        <f t="shared" si="18"/>
        <v>26468</v>
      </c>
      <c r="M29" s="14">
        <f t="shared" si="8"/>
        <v>0</v>
      </c>
      <c r="N29" s="32">
        <f t="shared" si="19"/>
        <v>226349</v>
      </c>
      <c r="O29" s="14">
        <f t="shared" si="9"/>
        <v>0</v>
      </c>
      <c r="P29" s="32">
        <f t="shared" si="20"/>
        <v>168421</v>
      </c>
      <c r="Q29" s="14">
        <f t="shared" si="2"/>
        <v>0</v>
      </c>
      <c r="R29" s="1">
        <f t="shared" si="12"/>
        <v>55047</v>
      </c>
      <c r="S29" s="14">
        <f t="shared" si="11"/>
        <v>0</v>
      </c>
      <c r="T29" s="32">
        <f t="shared" si="21"/>
        <v>4049</v>
      </c>
      <c r="U29" s="14">
        <f t="shared" si="10"/>
        <v>0</v>
      </c>
    </row>
    <row r="30" spans="1:23" ht="13.5" thickBot="1" x14ac:dyDescent="0.25">
      <c r="A30" s="9">
        <v>44832</v>
      </c>
      <c r="B30" s="32">
        <f t="shared" si="13"/>
        <v>47537</v>
      </c>
      <c r="C30" s="14">
        <f t="shared" si="3"/>
        <v>0</v>
      </c>
      <c r="D30" s="32">
        <f t="shared" si="14"/>
        <v>40942</v>
      </c>
      <c r="E30" s="14">
        <f t="shared" si="4"/>
        <v>0</v>
      </c>
      <c r="F30" s="32">
        <f t="shared" si="15"/>
        <v>22041</v>
      </c>
      <c r="G30" s="14">
        <f t="shared" si="5"/>
        <v>0</v>
      </c>
      <c r="H30" s="32">
        <f t="shared" si="16"/>
        <v>258124</v>
      </c>
      <c r="I30" s="14">
        <f t="shared" si="6"/>
        <v>0</v>
      </c>
      <c r="J30" s="32">
        <f t="shared" si="17"/>
        <v>331583</v>
      </c>
      <c r="K30" s="14">
        <f t="shared" si="7"/>
        <v>0</v>
      </c>
      <c r="L30" s="32">
        <f t="shared" si="18"/>
        <v>26468</v>
      </c>
      <c r="M30" s="14">
        <f t="shared" si="8"/>
        <v>0</v>
      </c>
      <c r="N30" s="32">
        <f t="shared" si="19"/>
        <v>226349</v>
      </c>
      <c r="O30" s="14">
        <f t="shared" si="9"/>
        <v>0</v>
      </c>
      <c r="P30" s="32">
        <f t="shared" si="20"/>
        <v>168421</v>
      </c>
      <c r="Q30" s="14">
        <f t="shared" si="2"/>
        <v>0</v>
      </c>
      <c r="R30" s="1">
        <f t="shared" si="12"/>
        <v>55047</v>
      </c>
      <c r="S30" s="14">
        <f t="shared" si="11"/>
        <v>0</v>
      </c>
      <c r="T30" s="32">
        <f t="shared" si="21"/>
        <v>4049</v>
      </c>
      <c r="U30" s="14">
        <f t="shared" si="10"/>
        <v>0</v>
      </c>
    </row>
    <row r="31" spans="1:23" ht="13.5" thickBot="1" x14ac:dyDescent="0.25">
      <c r="A31" s="9">
        <v>44833</v>
      </c>
      <c r="B31" s="32">
        <f t="shared" si="13"/>
        <v>47537</v>
      </c>
      <c r="C31" s="14">
        <f t="shared" si="3"/>
        <v>0</v>
      </c>
      <c r="D31" s="32">
        <f t="shared" si="14"/>
        <v>40942</v>
      </c>
      <c r="E31" s="14">
        <f t="shared" si="4"/>
        <v>0</v>
      </c>
      <c r="F31" s="32">
        <f t="shared" si="15"/>
        <v>22041</v>
      </c>
      <c r="G31" s="14">
        <f t="shared" si="5"/>
        <v>0</v>
      </c>
      <c r="H31" s="32">
        <f t="shared" si="16"/>
        <v>258124</v>
      </c>
      <c r="I31" s="14">
        <f t="shared" si="6"/>
        <v>0</v>
      </c>
      <c r="J31" s="32">
        <f t="shared" si="17"/>
        <v>331583</v>
      </c>
      <c r="K31" s="14">
        <f t="shared" si="7"/>
        <v>0</v>
      </c>
      <c r="L31" s="32">
        <f t="shared" si="18"/>
        <v>26468</v>
      </c>
      <c r="M31" s="14">
        <f t="shared" si="8"/>
        <v>0</v>
      </c>
      <c r="N31" s="32">
        <f t="shared" si="19"/>
        <v>226349</v>
      </c>
      <c r="O31" s="14">
        <f t="shared" si="9"/>
        <v>0</v>
      </c>
      <c r="P31" s="32">
        <f t="shared" si="20"/>
        <v>168421</v>
      </c>
      <c r="Q31" s="14">
        <f t="shared" si="2"/>
        <v>0</v>
      </c>
      <c r="R31" s="1">
        <v>55047</v>
      </c>
      <c r="S31" s="14">
        <v>0</v>
      </c>
      <c r="T31" s="32">
        <f t="shared" si="21"/>
        <v>4049</v>
      </c>
      <c r="U31" s="14">
        <f t="shared" si="10"/>
        <v>0</v>
      </c>
    </row>
    <row r="32" spans="1:23" ht="13.5" thickBot="1" x14ac:dyDescent="0.25">
      <c r="A32" s="9">
        <v>44834</v>
      </c>
      <c r="B32" s="32">
        <f t="shared" si="13"/>
        <v>47537</v>
      </c>
      <c r="C32" s="14">
        <f t="shared" si="3"/>
        <v>0</v>
      </c>
      <c r="D32" s="32">
        <f t="shared" si="14"/>
        <v>40942</v>
      </c>
      <c r="E32" s="14">
        <f t="shared" si="4"/>
        <v>0</v>
      </c>
      <c r="F32" s="32">
        <f t="shared" si="15"/>
        <v>22041</v>
      </c>
      <c r="G32" s="14">
        <f t="shared" si="5"/>
        <v>0</v>
      </c>
      <c r="H32" s="32">
        <f t="shared" si="16"/>
        <v>258124</v>
      </c>
      <c r="I32" s="14">
        <f t="shared" si="6"/>
        <v>0</v>
      </c>
      <c r="J32" s="32">
        <f t="shared" si="17"/>
        <v>331583</v>
      </c>
      <c r="K32" s="14">
        <f t="shared" si="7"/>
        <v>0</v>
      </c>
      <c r="L32" s="32">
        <f t="shared" si="18"/>
        <v>26468</v>
      </c>
      <c r="M32" s="14">
        <f t="shared" si="8"/>
        <v>0</v>
      </c>
      <c r="N32" s="32">
        <f t="shared" si="19"/>
        <v>226349</v>
      </c>
      <c r="O32" s="14">
        <f t="shared" si="9"/>
        <v>0</v>
      </c>
      <c r="P32" s="32">
        <f t="shared" si="20"/>
        <v>168421</v>
      </c>
      <c r="Q32" s="14">
        <f t="shared" si="2"/>
        <v>0</v>
      </c>
      <c r="R32" s="1">
        <f t="shared" si="12"/>
        <v>55047</v>
      </c>
      <c r="S32" s="14">
        <f t="shared" si="11"/>
        <v>0</v>
      </c>
      <c r="T32" s="32">
        <f t="shared" si="21"/>
        <v>4049</v>
      </c>
      <c r="U32" s="14">
        <f t="shared" si="10"/>
        <v>0</v>
      </c>
    </row>
    <row r="33" spans="1:21" ht="13.5" thickBot="1" x14ac:dyDescent="0.25">
      <c r="A33" s="14" t="s">
        <v>23</v>
      </c>
      <c r="B33" s="14"/>
      <c r="C33" s="14">
        <f>SUM(C2:C32)</f>
        <v>4480</v>
      </c>
      <c r="D33" s="14"/>
      <c r="E33" s="14">
        <f>SUM(E2:E32)</f>
        <v>2880</v>
      </c>
      <c r="F33" s="14"/>
      <c r="G33" s="14">
        <f>SUM(G2:G32)</f>
        <v>440</v>
      </c>
      <c r="H33" s="14"/>
      <c r="I33" s="14">
        <f>SUM(I2:I32)</f>
        <v>154</v>
      </c>
      <c r="J33" s="14"/>
      <c r="K33" s="14">
        <f>SUM(K2:K32)</f>
        <v>976</v>
      </c>
      <c r="L33" s="14"/>
      <c r="M33" s="14">
        <f>SUM(M2:M32)</f>
        <v>1140</v>
      </c>
      <c r="N33" s="14"/>
      <c r="O33" s="14">
        <f>SUM(O2:O32)</f>
        <v>19</v>
      </c>
      <c r="P33" s="14"/>
      <c r="Q33" s="14">
        <f>SUM(Q2:Q32)</f>
        <v>720</v>
      </c>
      <c r="R33" s="14"/>
      <c r="S33" s="14">
        <f>SUM(S2:S32)</f>
        <v>0</v>
      </c>
      <c r="T33" s="14"/>
      <c r="U33" s="14">
        <f>SUM(U2:U32)</f>
        <v>480</v>
      </c>
    </row>
    <row r="34" spans="1:21" x14ac:dyDescent="0.2">
      <c r="N34" s="17"/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abSelected="1" zoomScaleNormal="100" zoomScaleSheetLayoutView="110" workbookViewId="0">
      <pane ySplit="1" topLeftCell="A2" activePane="bottomLeft" state="frozen"/>
      <selection pane="bottomLeft" activeCell="A8" sqref="A8:XFD8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63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49" t="s">
        <v>16</v>
      </c>
      <c r="E1" s="3" t="s">
        <v>30</v>
      </c>
      <c r="F1" s="149" t="s">
        <v>25</v>
      </c>
      <c r="G1" s="3" t="s">
        <v>31</v>
      </c>
      <c r="H1" s="149" t="s">
        <v>25</v>
      </c>
      <c r="I1" s="3" t="s">
        <v>23</v>
      </c>
      <c r="J1" s="3" t="s">
        <v>32</v>
      </c>
      <c r="K1" s="149" t="s">
        <v>25</v>
      </c>
      <c r="L1" s="3" t="s">
        <v>33</v>
      </c>
      <c r="M1" s="149" t="s">
        <v>25</v>
      </c>
      <c r="N1" s="3" t="s">
        <v>34</v>
      </c>
      <c r="O1" s="149" t="s">
        <v>25</v>
      </c>
      <c r="P1" s="3" t="s">
        <v>35</v>
      </c>
      <c r="Q1" s="149" t="s">
        <v>25</v>
      </c>
      <c r="R1" s="3" t="s">
        <v>36</v>
      </c>
      <c r="S1" s="149" t="s">
        <v>25</v>
      </c>
      <c r="T1" s="3" t="s">
        <v>37</v>
      </c>
      <c r="U1" s="149" t="s">
        <v>25</v>
      </c>
      <c r="V1" s="3" t="s">
        <v>38</v>
      </c>
      <c r="W1" s="149" t="s">
        <v>25</v>
      </c>
      <c r="X1" s="3" t="s">
        <v>23</v>
      </c>
      <c r="Y1" s="145" t="s">
        <v>39</v>
      </c>
      <c r="Z1" s="21" t="s">
        <v>40</v>
      </c>
      <c r="AA1" s="21" t="s">
        <v>41</v>
      </c>
    </row>
    <row r="2" spans="1:27" ht="16.5" thickBot="1" x14ac:dyDescent="0.3">
      <c r="A2" s="9">
        <v>44804</v>
      </c>
      <c r="B2" s="38">
        <v>230</v>
      </c>
      <c r="C2" s="144">
        <v>20060</v>
      </c>
      <c r="D2" s="38"/>
      <c r="E2" s="145">
        <v>33201142</v>
      </c>
      <c r="F2" s="38"/>
      <c r="G2" s="146">
        <v>4671912</v>
      </c>
      <c r="H2" s="38"/>
      <c r="I2" s="147">
        <f t="shared" ref="I2" si="0">F2+H2</f>
        <v>0</v>
      </c>
      <c r="J2" s="145">
        <v>422838</v>
      </c>
      <c r="K2" s="129"/>
      <c r="L2" s="148">
        <v>701909</v>
      </c>
      <c r="M2" s="38"/>
      <c r="N2" s="145">
        <v>7386230</v>
      </c>
      <c r="O2" s="38"/>
      <c r="P2" s="148">
        <v>7910768</v>
      </c>
      <c r="Q2" s="38"/>
      <c r="R2" s="145">
        <v>22213458</v>
      </c>
      <c r="S2" s="38"/>
      <c r="T2" s="145">
        <v>0</v>
      </c>
      <c r="U2" s="55"/>
      <c r="V2" s="145">
        <v>236531</v>
      </c>
      <c r="W2" s="38"/>
      <c r="X2" s="19">
        <f t="shared" ref="X2" si="1">K2+M2+O2+Q2+S2+U2+W2</f>
        <v>0</v>
      </c>
      <c r="Y2" s="165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44805</v>
      </c>
      <c r="B3" s="38">
        <v>238</v>
      </c>
      <c r="C3" s="144">
        <v>20064</v>
      </c>
      <c r="D3" s="38">
        <f>IF((C3-C2)&lt;0,"0",(C3-C2))*160</f>
        <v>640</v>
      </c>
      <c r="E3" s="145">
        <v>33227771</v>
      </c>
      <c r="F3" s="38">
        <f>IF((E3-E2)&lt;0,"0",(E3-E2))</f>
        <v>26629</v>
      </c>
      <c r="G3" s="146">
        <v>4736256</v>
      </c>
      <c r="H3" s="38">
        <f>IF((G3-G2)&lt;0,"0",(G3-G2))</f>
        <v>64344</v>
      </c>
      <c r="I3" s="19">
        <f>F3+H3</f>
        <v>90973</v>
      </c>
      <c r="J3" s="145">
        <v>429351</v>
      </c>
      <c r="K3" s="38">
        <f>(IF((J3-J2)&lt;L90,"0",(J3-J2)))*2</f>
        <v>13026</v>
      </c>
      <c r="L3" s="148">
        <v>709050</v>
      </c>
      <c r="M3" s="38">
        <f>IF((L3-L2)&lt;0,"0",(L3-L2))</f>
        <v>7141</v>
      </c>
      <c r="N3" s="145">
        <v>7395872</v>
      </c>
      <c r="O3" s="38">
        <f>(IF((N3-N2)&lt;P90,"0",(N3-N2)))*2</f>
        <v>19284</v>
      </c>
      <c r="P3" s="148">
        <v>7926664</v>
      </c>
      <c r="Q3" s="38">
        <f>IF((P3-P2)&lt;0,"0",(P3-P2))</f>
        <v>15896</v>
      </c>
      <c r="R3" s="145">
        <v>22226095</v>
      </c>
      <c r="S3" s="38">
        <f>IF((R3-R2)&lt;0,"0",(R3-R2))</f>
        <v>12637</v>
      </c>
      <c r="T3" s="145">
        <v>0</v>
      </c>
      <c r="U3" s="149"/>
      <c r="V3" s="145">
        <v>250262</v>
      </c>
      <c r="W3" s="38">
        <f>IF((V3-V2)&lt;0,"0",(V3-V2))</f>
        <v>13731</v>
      </c>
      <c r="X3" s="19">
        <f>K3+M3+O3+Q3+S3+U3+W3</f>
        <v>81715</v>
      </c>
      <c r="Y3" s="165">
        <f>I3-X3</f>
        <v>9258</v>
      </c>
      <c r="Z3" s="3">
        <f>(0.93352*(W3+S3)+0.5568*(Q3+O3))*0.26</f>
        <v>11492.852633600001</v>
      </c>
      <c r="AA3" s="3">
        <f>SUM(Z1:Z3)</f>
        <v>11492.852633600001</v>
      </c>
    </row>
    <row r="4" spans="1:27" ht="16.5" thickBot="1" x14ac:dyDescent="0.3">
      <c r="A4" s="9">
        <v>44806</v>
      </c>
      <c r="B4" s="38">
        <v>207</v>
      </c>
      <c r="C4" s="144">
        <v>20067</v>
      </c>
      <c r="D4" s="38">
        <f t="shared" ref="D4:D29" si="4">IF((C4-C3)&lt;0,"0",(C4-C3))*160</f>
        <v>480</v>
      </c>
      <c r="E4" s="145">
        <v>33251468</v>
      </c>
      <c r="F4" s="38">
        <f t="shared" ref="F4:F29" si="5">IF((E4-E3)&lt;0,"0",(E4-E3))</f>
        <v>23697</v>
      </c>
      <c r="G4" s="146">
        <v>4792655</v>
      </c>
      <c r="H4" s="38">
        <f t="shared" ref="H4:H32" si="6">IF((G4-G3)&lt;0,"0",(G4-G3))</f>
        <v>56399</v>
      </c>
      <c r="I4" s="147">
        <f t="shared" ref="I4:I30" si="7">F4+H4</f>
        <v>80096</v>
      </c>
      <c r="J4" s="145">
        <v>434820</v>
      </c>
      <c r="K4" s="38">
        <f>(IF((J4-J3)&lt;L92,"0",(J4-J3)))*2</f>
        <v>10938</v>
      </c>
      <c r="L4" s="148">
        <v>715430</v>
      </c>
      <c r="M4" s="38">
        <f t="shared" ref="M4:M29" si="8">IF((L4-L3)&lt;0,"0",(L4-L3))</f>
        <v>6380</v>
      </c>
      <c r="N4" s="145">
        <v>7404473</v>
      </c>
      <c r="O4" s="38">
        <f>(IF((N4-N3)&lt;P92,"0",(N4-N3)))*2</f>
        <v>17202</v>
      </c>
      <c r="P4" s="148">
        <v>7940560</v>
      </c>
      <c r="Q4" s="38">
        <f t="shared" ref="Q4:Q29" si="9">IF((P4-P3)&lt;0,"0",(P4-P3))</f>
        <v>13896</v>
      </c>
      <c r="R4" s="145">
        <v>22237720</v>
      </c>
      <c r="S4" s="38">
        <f t="shared" ref="S4:S29" si="10">IF((R4-R3)&lt;0,"0",(R4-R3))</f>
        <v>11625</v>
      </c>
      <c r="T4" s="145">
        <v>0</v>
      </c>
      <c r="U4" s="149"/>
      <c r="V4" s="145">
        <v>262160</v>
      </c>
      <c r="W4" s="38">
        <f t="shared" ref="W4:W29" si="11">IF((V4-V3)&lt;0,"0",(V4-V3))</f>
        <v>11898</v>
      </c>
      <c r="X4" s="19">
        <f t="shared" ref="X4:X30" si="12">K4+M4+O4+Q4+S4+U4+W4</f>
        <v>71939</v>
      </c>
      <c r="Y4" s="165">
        <f t="shared" ref="Y4:Y30" si="13">I4-X4</f>
        <v>8157</v>
      </c>
      <c r="Z4" s="3">
        <f t="shared" ref="Z4:Z30" si="14">(0.93352*(W4+S4)+0.5568*(Q4+O4))*0.26</f>
        <v>10211.384913600001</v>
      </c>
      <c r="AA4" s="3">
        <f>SUM(Z1:Z4)</f>
        <v>21704.237547200002</v>
      </c>
    </row>
    <row r="5" spans="1:27" ht="16.5" thickBot="1" x14ac:dyDescent="0.3">
      <c r="A5" s="9">
        <v>44807</v>
      </c>
      <c r="B5" s="38">
        <v>207</v>
      </c>
      <c r="C5" s="144">
        <v>20072</v>
      </c>
      <c r="D5" s="38">
        <f t="shared" si="4"/>
        <v>800</v>
      </c>
      <c r="E5" s="145">
        <v>33269550</v>
      </c>
      <c r="F5" s="38">
        <f t="shared" si="5"/>
        <v>18082</v>
      </c>
      <c r="G5" s="146">
        <v>4835517</v>
      </c>
      <c r="H5" s="38">
        <f t="shared" si="6"/>
        <v>42862</v>
      </c>
      <c r="I5" s="147">
        <f t="shared" si="7"/>
        <v>60944</v>
      </c>
      <c r="J5" s="145">
        <v>439197</v>
      </c>
      <c r="K5" s="38">
        <f t="shared" ref="K5:K32" si="15">(IF((J5-J4)&lt;0,"0",(J5-J4)))*2</f>
        <v>8754</v>
      </c>
      <c r="L5" s="148">
        <v>720367</v>
      </c>
      <c r="M5" s="38">
        <f t="shared" si="8"/>
        <v>4937</v>
      </c>
      <c r="N5" s="145">
        <v>7410908</v>
      </c>
      <c r="O5" s="38">
        <f t="shared" ref="O5:O29" si="16">(IF((N5-N4)&lt;0,"0",(N5-N4)))*2</f>
        <v>12870</v>
      </c>
      <c r="P5" s="148">
        <v>7951118</v>
      </c>
      <c r="Q5" s="38">
        <f t="shared" si="9"/>
        <v>10558</v>
      </c>
      <c r="R5" s="145">
        <v>22246367</v>
      </c>
      <c r="S5" s="38">
        <f t="shared" si="10"/>
        <v>8647</v>
      </c>
      <c r="T5" s="145">
        <v>0</v>
      </c>
      <c r="U5" s="149"/>
      <c r="V5" s="145">
        <v>271195</v>
      </c>
      <c r="W5" s="38">
        <f t="shared" si="11"/>
        <v>9035</v>
      </c>
      <c r="X5" s="19">
        <f t="shared" si="12"/>
        <v>54801</v>
      </c>
      <c r="Y5" s="165">
        <f t="shared" si="13"/>
        <v>6143</v>
      </c>
      <c r="Z5" s="3">
        <f t="shared" si="14"/>
        <v>7683.3148704000005</v>
      </c>
      <c r="AA5" s="3">
        <f>SUM(Z1:Z5)</f>
        <v>29387.552417600004</v>
      </c>
    </row>
    <row r="6" spans="1:27" ht="16.5" thickBot="1" x14ac:dyDescent="0.3">
      <c r="A6" s="9">
        <v>44808</v>
      </c>
      <c r="B6" s="38">
        <v>216</v>
      </c>
      <c r="C6" s="144">
        <v>20076</v>
      </c>
      <c r="D6" s="38">
        <f t="shared" si="4"/>
        <v>640</v>
      </c>
      <c r="E6" s="145">
        <v>33296864</v>
      </c>
      <c r="F6" s="38">
        <f t="shared" si="5"/>
        <v>27314</v>
      </c>
      <c r="G6" s="146">
        <v>4901203</v>
      </c>
      <c r="H6" s="38">
        <f t="shared" si="6"/>
        <v>65686</v>
      </c>
      <c r="I6" s="147">
        <f t="shared" si="7"/>
        <v>93000</v>
      </c>
      <c r="J6" s="145">
        <v>445946</v>
      </c>
      <c r="K6" s="38">
        <f t="shared" si="15"/>
        <v>13498</v>
      </c>
      <c r="L6" s="148">
        <v>728155</v>
      </c>
      <c r="M6" s="38">
        <f t="shared" si="8"/>
        <v>7788</v>
      </c>
      <c r="N6" s="145">
        <v>7420556</v>
      </c>
      <c r="O6" s="38">
        <f t="shared" si="16"/>
        <v>19296</v>
      </c>
      <c r="P6" s="148">
        <v>7967049</v>
      </c>
      <c r="Q6" s="38">
        <f t="shared" si="9"/>
        <v>15931</v>
      </c>
      <c r="R6" s="145">
        <v>22259897</v>
      </c>
      <c r="S6" s="38">
        <f t="shared" si="10"/>
        <v>13530</v>
      </c>
      <c r="T6" s="145">
        <v>0</v>
      </c>
      <c r="U6" s="149"/>
      <c r="V6" s="145">
        <v>285014</v>
      </c>
      <c r="W6" s="38">
        <f t="shared" si="11"/>
        <v>13819</v>
      </c>
      <c r="X6" s="19">
        <f t="shared" si="12"/>
        <v>83862</v>
      </c>
      <c r="Y6" s="165">
        <f t="shared" si="13"/>
        <v>9138</v>
      </c>
      <c r="Z6" s="3">
        <f t="shared" si="14"/>
        <v>11737.760340800001</v>
      </c>
      <c r="AA6" s="3">
        <f>SUM(Z1:Z6)</f>
        <v>41125.312758400003</v>
      </c>
    </row>
    <row r="7" spans="1:27" ht="16.5" thickBot="1" x14ac:dyDescent="0.3">
      <c r="A7" s="9">
        <v>44809</v>
      </c>
      <c r="B7" s="38">
        <v>260</v>
      </c>
      <c r="C7" s="144">
        <v>20081</v>
      </c>
      <c r="D7" s="38">
        <f t="shared" si="4"/>
        <v>800</v>
      </c>
      <c r="E7" s="145">
        <v>33321140</v>
      </c>
      <c r="F7" s="38">
        <f t="shared" si="5"/>
        <v>24276</v>
      </c>
      <c r="G7" s="146">
        <v>4959309</v>
      </c>
      <c r="H7" s="38">
        <f t="shared" si="6"/>
        <v>58106</v>
      </c>
      <c r="I7" s="147">
        <f t="shared" si="7"/>
        <v>82382</v>
      </c>
      <c r="J7" s="145">
        <v>452006</v>
      </c>
      <c r="K7" s="38">
        <f t="shared" si="15"/>
        <v>12120</v>
      </c>
      <c r="L7" s="148">
        <v>735018</v>
      </c>
      <c r="M7" s="38">
        <f t="shared" si="8"/>
        <v>6863</v>
      </c>
      <c r="N7" s="145">
        <v>7429168</v>
      </c>
      <c r="O7" s="38">
        <f t="shared" si="16"/>
        <v>17224</v>
      </c>
      <c r="P7" s="148">
        <v>7981341</v>
      </c>
      <c r="Q7" s="38">
        <f t="shared" si="9"/>
        <v>14292</v>
      </c>
      <c r="R7" s="145">
        <v>22271519</v>
      </c>
      <c r="S7" s="38">
        <f t="shared" si="10"/>
        <v>11622</v>
      </c>
      <c r="T7" s="145">
        <v>0</v>
      </c>
      <c r="U7" s="149"/>
      <c r="V7" s="145">
        <v>297287</v>
      </c>
      <c r="W7" s="38">
        <f t="shared" si="11"/>
        <v>12273</v>
      </c>
      <c r="X7" s="19">
        <f t="shared" si="12"/>
        <v>74394</v>
      </c>
      <c r="Y7" s="165">
        <f t="shared" si="13"/>
        <v>7988</v>
      </c>
      <c r="Z7" s="3">
        <f t="shared" si="14"/>
        <v>10362.187991999999</v>
      </c>
      <c r="AA7" s="3">
        <f>SUM(Z1:Z7)</f>
        <v>51487.500750400002</v>
      </c>
    </row>
    <row r="8" spans="1:27" ht="16.5" thickBot="1" x14ac:dyDescent="0.3">
      <c r="A8" s="9">
        <v>44810</v>
      </c>
      <c r="B8" s="38">
        <v>269</v>
      </c>
      <c r="C8" s="144">
        <v>20083</v>
      </c>
      <c r="D8" s="38">
        <f t="shared" si="4"/>
        <v>320</v>
      </c>
      <c r="E8" s="145">
        <v>33342136</v>
      </c>
      <c r="F8" s="38">
        <f t="shared" si="5"/>
        <v>20996</v>
      </c>
      <c r="G8" s="146">
        <v>5009938</v>
      </c>
      <c r="H8" s="38">
        <f t="shared" si="6"/>
        <v>50629</v>
      </c>
      <c r="I8" s="147">
        <f t="shared" si="7"/>
        <v>71625</v>
      </c>
      <c r="J8" s="145">
        <v>457182</v>
      </c>
      <c r="K8" s="38">
        <f t="shared" si="15"/>
        <v>10352</v>
      </c>
      <c r="L8" s="148">
        <v>740801</v>
      </c>
      <c r="M8" s="38">
        <f t="shared" si="8"/>
        <v>5783</v>
      </c>
      <c r="N8" s="145">
        <v>7436673</v>
      </c>
      <c r="O8" s="38">
        <f t="shared" si="16"/>
        <v>15010</v>
      </c>
      <c r="P8" s="148">
        <v>7993594</v>
      </c>
      <c r="Q8" s="38">
        <f t="shared" si="9"/>
        <v>12253</v>
      </c>
      <c r="R8" s="145">
        <v>22281912</v>
      </c>
      <c r="S8" s="38">
        <f t="shared" si="10"/>
        <v>10393</v>
      </c>
      <c r="T8" s="145">
        <v>0</v>
      </c>
      <c r="U8" s="149"/>
      <c r="V8" s="145">
        <v>308039</v>
      </c>
      <c r="W8" s="38">
        <f t="shared" si="11"/>
        <v>10752</v>
      </c>
      <c r="X8" s="19">
        <f t="shared" si="12"/>
        <v>64543</v>
      </c>
      <c r="Y8" s="165">
        <f t="shared" si="13"/>
        <v>7082</v>
      </c>
      <c r="Z8" s="3">
        <f t="shared" si="14"/>
        <v>9079.0228880000013</v>
      </c>
      <c r="AA8" s="3">
        <f>SUM(Z1:Z8)</f>
        <v>60566.523638400002</v>
      </c>
    </row>
    <row r="9" spans="1:27" ht="16.5" thickBot="1" x14ac:dyDescent="0.3">
      <c r="A9" s="9">
        <v>44811</v>
      </c>
      <c r="B9" s="38"/>
      <c r="C9" s="144"/>
      <c r="D9" s="38">
        <f t="shared" si="4"/>
        <v>0</v>
      </c>
      <c r="E9" s="145"/>
      <c r="F9" s="38" t="str">
        <f t="shared" si="5"/>
        <v>0</v>
      </c>
      <c r="G9" s="146"/>
      <c r="H9" s="38" t="str">
        <f t="shared" si="6"/>
        <v>0</v>
      </c>
      <c r="I9" s="147">
        <f t="shared" si="7"/>
        <v>0</v>
      </c>
      <c r="J9" s="145"/>
      <c r="K9" s="38">
        <f t="shared" si="15"/>
        <v>0</v>
      </c>
      <c r="L9" s="148"/>
      <c r="M9" s="38" t="str">
        <f t="shared" si="8"/>
        <v>0</v>
      </c>
      <c r="N9" s="145"/>
      <c r="O9" s="38">
        <f t="shared" si="16"/>
        <v>0</v>
      </c>
      <c r="P9" s="148"/>
      <c r="Q9" s="38" t="str">
        <f t="shared" si="9"/>
        <v>0</v>
      </c>
      <c r="R9" s="145"/>
      <c r="S9" s="38" t="str">
        <f t="shared" si="10"/>
        <v>0</v>
      </c>
      <c r="T9" s="145">
        <v>0</v>
      </c>
      <c r="U9" s="149"/>
      <c r="V9" s="145"/>
      <c r="W9" s="38" t="str">
        <f t="shared" si="11"/>
        <v>0</v>
      </c>
      <c r="X9" s="19">
        <f t="shared" si="12"/>
        <v>0</v>
      </c>
      <c r="Y9" s="165">
        <f t="shared" si="13"/>
        <v>0</v>
      </c>
      <c r="Z9" s="3">
        <f t="shared" si="14"/>
        <v>0</v>
      </c>
      <c r="AA9" s="3">
        <f>SUM(Z1:Z9)</f>
        <v>60566.523638400002</v>
      </c>
    </row>
    <row r="10" spans="1:27" ht="16.5" thickBot="1" x14ac:dyDescent="0.3">
      <c r="A10" s="9">
        <v>44812</v>
      </c>
      <c r="B10" s="38"/>
      <c r="C10" s="144"/>
      <c r="D10" s="38">
        <f>IF((C10-C9)&lt;0,"0",(C10-C9))*160</f>
        <v>0</v>
      </c>
      <c r="E10" s="145"/>
      <c r="F10" s="38">
        <f t="shared" si="5"/>
        <v>0</v>
      </c>
      <c r="G10" s="146"/>
      <c r="H10" s="38">
        <f t="shared" si="6"/>
        <v>0</v>
      </c>
      <c r="I10" s="147">
        <f t="shared" si="7"/>
        <v>0</v>
      </c>
      <c r="J10" s="145"/>
      <c r="K10" s="38">
        <f t="shared" si="15"/>
        <v>0</v>
      </c>
      <c r="L10" s="148"/>
      <c r="M10" s="38">
        <f t="shared" si="8"/>
        <v>0</v>
      </c>
      <c r="N10" s="145"/>
      <c r="O10" s="38">
        <f t="shared" si="16"/>
        <v>0</v>
      </c>
      <c r="P10" s="148"/>
      <c r="Q10" s="38">
        <f t="shared" si="9"/>
        <v>0</v>
      </c>
      <c r="R10" s="145"/>
      <c r="S10" s="38">
        <f t="shared" si="10"/>
        <v>0</v>
      </c>
      <c r="T10" s="145">
        <v>0</v>
      </c>
      <c r="U10" s="149"/>
      <c r="V10" s="145"/>
      <c r="W10" s="38">
        <f t="shared" si="11"/>
        <v>0</v>
      </c>
      <c r="X10" s="19">
        <f t="shared" si="12"/>
        <v>0</v>
      </c>
      <c r="Y10" s="165">
        <f t="shared" si="13"/>
        <v>0</v>
      </c>
      <c r="Z10" s="3">
        <f t="shared" si="14"/>
        <v>0</v>
      </c>
      <c r="AA10" s="3">
        <f>SUM(Z1:Z10)</f>
        <v>60566.523638400002</v>
      </c>
    </row>
    <row r="11" spans="1:27" ht="15.75" customHeight="1" thickBot="1" x14ac:dyDescent="0.3">
      <c r="A11" s="9">
        <v>44813</v>
      </c>
      <c r="B11" s="38"/>
      <c r="C11" s="144"/>
      <c r="D11" s="38">
        <f>IF((C11-C10)&lt;0,"0",(C11-C10))*160</f>
        <v>0</v>
      </c>
      <c r="E11" s="145"/>
      <c r="F11" s="38">
        <f t="shared" si="5"/>
        <v>0</v>
      </c>
      <c r="G11" s="146"/>
      <c r="H11" s="38">
        <f t="shared" si="6"/>
        <v>0</v>
      </c>
      <c r="I11" s="147">
        <f t="shared" si="7"/>
        <v>0</v>
      </c>
      <c r="J11" s="145"/>
      <c r="K11" s="38">
        <f t="shared" si="15"/>
        <v>0</v>
      </c>
      <c r="L11" s="148"/>
      <c r="M11" s="38">
        <f t="shared" si="8"/>
        <v>0</v>
      </c>
      <c r="N11" s="145"/>
      <c r="O11" s="38">
        <f t="shared" si="16"/>
        <v>0</v>
      </c>
      <c r="P11" s="148"/>
      <c r="Q11" s="38">
        <f t="shared" si="9"/>
        <v>0</v>
      </c>
      <c r="R11" s="145"/>
      <c r="S11" s="38">
        <f t="shared" si="10"/>
        <v>0</v>
      </c>
      <c r="T11" s="145">
        <v>0</v>
      </c>
      <c r="U11" s="149"/>
      <c r="V11" s="145"/>
      <c r="W11" s="38">
        <f t="shared" si="11"/>
        <v>0</v>
      </c>
      <c r="X11" s="19">
        <f t="shared" si="12"/>
        <v>0</v>
      </c>
      <c r="Y11" s="165">
        <f t="shared" si="13"/>
        <v>0</v>
      </c>
      <c r="Z11" s="3">
        <f t="shared" si="14"/>
        <v>0</v>
      </c>
      <c r="AA11" s="3">
        <f>SUM(Z1:Z11)</f>
        <v>60566.523638400002</v>
      </c>
    </row>
    <row r="12" spans="1:27" ht="16.5" thickBot="1" x14ac:dyDescent="0.3">
      <c r="A12" s="9">
        <v>44814</v>
      </c>
      <c r="B12" s="38"/>
      <c r="C12" s="144"/>
      <c r="D12" s="38">
        <f>IF((C12-C11)&lt;0,"0",(C12-C11))*160</f>
        <v>0</v>
      </c>
      <c r="E12" s="145"/>
      <c r="F12" s="38">
        <f t="shared" si="5"/>
        <v>0</v>
      </c>
      <c r="G12" s="146"/>
      <c r="H12" s="38">
        <f t="shared" si="6"/>
        <v>0</v>
      </c>
      <c r="I12" s="147">
        <f t="shared" si="7"/>
        <v>0</v>
      </c>
      <c r="J12" s="145"/>
      <c r="K12" s="38">
        <f t="shared" si="15"/>
        <v>0</v>
      </c>
      <c r="L12" s="148"/>
      <c r="M12" s="38">
        <f t="shared" si="8"/>
        <v>0</v>
      </c>
      <c r="N12" s="145"/>
      <c r="O12" s="38">
        <f t="shared" si="16"/>
        <v>0</v>
      </c>
      <c r="P12" s="148"/>
      <c r="Q12" s="38">
        <f t="shared" si="9"/>
        <v>0</v>
      </c>
      <c r="R12" s="145"/>
      <c r="S12" s="38">
        <f t="shared" si="10"/>
        <v>0</v>
      </c>
      <c r="T12" s="145">
        <v>0</v>
      </c>
      <c r="U12" s="149"/>
      <c r="V12" s="145"/>
      <c r="W12" s="38">
        <f t="shared" si="11"/>
        <v>0</v>
      </c>
      <c r="X12" s="19">
        <f t="shared" si="12"/>
        <v>0</v>
      </c>
      <c r="Y12" s="165">
        <f t="shared" si="13"/>
        <v>0</v>
      </c>
      <c r="Z12" s="3">
        <f t="shared" si="14"/>
        <v>0</v>
      </c>
      <c r="AA12" s="3">
        <f>SUM(Z1:Z12)</f>
        <v>60566.523638400002</v>
      </c>
    </row>
    <row r="13" spans="1:27" ht="16.5" thickBot="1" x14ac:dyDescent="0.3">
      <c r="A13" s="9">
        <v>44815</v>
      </c>
      <c r="B13" s="38"/>
      <c r="C13" s="144"/>
      <c r="D13" s="38">
        <f t="shared" ref="D13" si="17">IF((C13-C12)&lt;0,"0",(C13-C12))*160</f>
        <v>0</v>
      </c>
      <c r="E13" s="145"/>
      <c r="F13" s="38">
        <f t="shared" ref="F13" si="18">IF((E13-E12)&lt;0,"0",(E13-E12))</f>
        <v>0</v>
      </c>
      <c r="G13" s="146"/>
      <c r="H13" s="38">
        <f t="shared" si="6"/>
        <v>0</v>
      </c>
      <c r="I13" s="147">
        <f t="shared" ref="I13" si="19">F13+H13</f>
        <v>0</v>
      </c>
      <c r="J13" s="145"/>
      <c r="K13" s="38">
        <f t="shared" ref="K13" si="20">(IF((J13-J12)&lt;0,"0",(J13-J12)))*2</f>
        <v>0</v>
      </c>
      <c r="L13" s="148"/>
      <c r="M13" s="38">
        <f t="shared" ref="M13" si="21">IF((L13-L12)&lt;0,"0",(L13-L12))</f>
        <v>0</v>
      </c>
      <c r="N13" s="145"/>
      <c r="O13" s="38">
        <f t="shared" ref="O13" si="22">(IF((N13-N12)&lt;0,"0",(N13-N12)))*2</f>
        <v>0</v>
      </c>
      <c r="P13" s="148"/>
      <c r="Q13" s="38">
        <f t="shared" ref="Q13" si="23">IF((P13-P12)&lt;0,"0",(P13-P12))</f>
        <v>0</v>
      </c>
      <c r="R13" s="145"/>
      <c r="S13" s="38">
        <f t="shared" ref="S13" si="24">IF((R13-R12)&lt;0,"0",(R13-R12))</f>
        <v>0</v>
      </c>
      <c r="T13" s="145">
        <v>0</v>
      </c>
      <c r="U13" s="149"/>
      <c r="V13" s="145"/>
      <c r="W13" s="38">
        <f t="shared" si="11"/>
        <v>0</v>
      </c>
      <c r="X13" s="19">
        <f t="shared" ref="X13" si="25">K13+M13+O13+Q13+S13+U13+W13</f>
        <v>0</v>
      </c>
      <c r="Y13" s="165">
        <f t="shared" si="13"/>
        <v>0</v>
      </c>
      <c r="Z13" s="3">
        <f t="shared" ref="Z13" si="26">(0.93352*(W13+S13)+0.5568*(Q13+O13))*0.26</f>
        <v>0</v>
      </c>
      <c r="AA13" s="3">
        <f>SUM(Z1:Z13)</f>
        <v>60566.523638400002</v>
      </c>
    </row>
    <row r="14" spans="1:27" ht="16.5" thickBot="1" x14ac:dyDescent="0.3">
      <c r="A14" s="9">
        <v>44816</v>
      </c>
      <c r="B14" s="38"/>
      <c r="C14" s="144"/>
      <c r="D14" s="38">
        <f t="shared" si="4"/>
        <v>0</v>
      </c>
      <c r="E14" s="145"/>
      <c r="F14" s="38">
        <f t="shared" si="5"/>
        <v>0</v>
      </c>
      <c r="G14" s="146"/>
      <c r="H14" s="38">
        <f t="shared" si="6"/>
        <v>0</v>
      </c>
      <c r="I14" s="147">
        <f t="shared" si="7"/>
        <v>0</v>
      </c>
      <c r="J14" s="145"/>
      <c r="K14" s="38">
        <f t="shared" si="15"/>
        <v>0</v>
      </c>
      <c r="L14" s="148"/>
      <c r="M14" s="38">
        <f t="shared" si="8"/>
        <v>0</v>
      </c>
      <c r="N14" s="145"/>
      <c r="O14" s="38">
        <f t="shared" si="16"/>
        <v>0</v>
      </c>
      <c r="P14" s="148"/>
      <c r="Q14" s="38">
        <f t="shared" si="9"/>
        <v>0</v>
      </c>
      <c r="R14" s="145"/>
      <c r="S14" s="38">
        <f>IF((R14-R13)&lt;0,"0",(R14-R13))</f>
        <v>0</v>
      </c>
      <c r="T14" s="145">
        <v>0</v>
      </c>
      <c r="U14" s="149"/>
      <c r="V14" s="145"/>
      <c r="W14" s="38">
        <f t="shared" si="11"/>
        <v>0</v>
      </c>
      <c r="X14" s="19">
        <f t="shared" si="12"/>
        <v>0</v>
      </c>
      <c r="Y14" s="165">
        <f t="shared" si="13"/>
        <v>0</v>
      </c>
      <c r="Z14" s="3">
        <f t="shared" si="14"/>
        <v>0</v>
      </c>
      <c r="AA14" s="3">
        <f>SUM(Z1:Z14)</f>
        <v>60566.523638400002</v>
      </c>
    </row>
    <row r="15" spans="1:27" ht="16.5" thickBot="1" x14ac:dyDescent="0.3">
      <c r="A15" s="9">
        <v>44817</v>
      </c>
      <c r="B15" s="38"/>
      <c r="C15" s="144"/>
      <c r="D15" s="38">
        <f t="shared" si="4"/>
        <v>0</v>
      </c>
      <c r="E15" s="145"/>
      <c r="F15" s="38">
        <f t="shared" si="5"/>
        <v>0</v>
      </c>
      <c r="G15" s="146"/>
      <c r="H15" s="38">
        <f t="shared" si="6"/>
        <v>0</v>
      </c>
      <c r="I15" s="147">
        <f t="shared" si="7"/>
        <v>0</v>
      </c>
      <c r="J15" s="145"/>
      <c r="K15" s="38">
        <f t="shared" si="15"/>
        <v>0</v>
      </c>
      <c r="L15" s="148"/>
      <c r="M15" s="38">
        <f t="shared" si="8"/>
        <v>0</v>
      </c>
      <c r="N15" s="145"/>
      <c r="O15" s="38">
        <f t="shared" si="16"/>
        <v>0</v>
      </c>
      <c r="P15" s="148"/>
      <c r="Q15" s="38">
        <f t="shared" si="9"/>
        <v>0</v>
      </c>
      <c r="R15" s="145"/>
      <c r="S15" s="38">
        <f>IF((R15-R14)&lt;0,"0",(R15-R14))</f>
        <v>0</v>
      </c>
      <c r="T15" s="145">
        <v>0</v>
      </c>
      <c r="U15" s="149"/>
      <c r="V15" s="145"/>
      <c r="W15" s="38">
        <f t="shared" si="11"/>
        <v>0</v>
      </c>
      <c r="X15" s="19">
        <f t="shared" si="12"/>
        <v>0</v>
      </c>
      <c r="Y15" s="165">
        <f t="shared" si="13"/>
        <v>0</v>
      </c>
      <c r="Z15" s="3">
        <f t="shared" si="14"/>
        <v>0</v>
      </c>
      <c r="AA15" s="3">
        <f>SUM(Z1:Z15)</f>
        <v>60566.523638400002</v>
      </c>
    </row>
    <row r="16" spans="1:27" ht="16.5" thickBot="1" x14ac:dyDescent="0.3">
      <c r="A16" s="9">
        <v>44818</v>
      </c>
      <c r="B16" s="38"/>
      <c r="C16" s="144"/>
      <c r="D16" s="38">
        <f t="shared" si="4"/>
        <v>0</v>
      </c>
      <c r="E16" s="145"/>
      <c r="F16" s="38">
        <f t="shared" si="5"/>
        <v>0</v>
      </c>
      <c r="G16" s="146"/>
      <c r="H16" s="38">
        <f t="shared" si="6"/>
        <v>0</v>
      </c>
      <c r="I16" s="147">
        <f t="shared" si="7"/>
        <v>0</v>
      </c>
      <c r="J16" s="145"/>
      <c r="K16" s="38">
        <f t="shared" si="15"/>
        <v>0</v>
      </c>
      <c r="L16" s="148"/>
      <c r="M16" s="38">
        <f t="shared" si="8"/>
        <v>0</v>
      </c>
      <c r="N16" s="145"/>
      <c r="O16" s="38">
        <f t="shared" si="16"/>
        <v>0</v>
      </c>
      <c r="P16" s="148"/>
      <c r="Q16" s="38">
        <f t="shared" si="9"/>
        <v>0</v>
      </c>
      <c r="R16" s="145"/>
      <c r="S16" s="38">
        <f t="shared" si="10"/>
        <v>0</v>
      </c>
      <c r="T16" s="145">
        <v>0</v>
      </c>
      <c r="U16" s="149"/>
      <c r="V16" s="145"/>
      <c r="W16" s="38">
        <f t="shared" si="11"/>
        <v>0</v>
      </c>
      <c r="X16" s="19">
        <f t="shared" si="12"/>
        <v>0</v>
      </c>
      <c r="Y16" s="165">
        <f t="shared" si="13"/>
        <v>0</v>
      </c>
      <c r="Z16" s="3">
        <f t="shared" si="14"/>
        <v>0</v>
      </c>
      <c r="AA16" s="3">
        <f>SUM(Z1:Z16)</f>
        <v>60566.523638400002</v>
      </c>
    </row>
    <row r="17" spans="1:27" s="130" customFormat="1" ht="16.5" thickBot="1" x14ac:dyDescent="0.3">
      <c r="A17" s="9">
        <v>44819</v>
      </c>
      <c r="B17" s="38"/>
      <c r="C17" s="144"/>
      <c r="D17" s="38">
        <f t="shared" si="4"/>
        <v>0</v>
      </c>
      <c r="E17" s="145"/>
      <c r="F17" s="38">
        <f t="shared" si="5"/>
        <v>0</v>
      </c>
      <c r="G17" s="146"/>
      <c r="H17" s="38">
        <f t="shared" si="6"/>
        <v>0</v>
      </c>
      <c r="I17" s="150">
        <f t="shared" si="7"/>
        <v>0</v>
      </c>
      <c r="J17" s="145"/>
      <c r="K17" s="129">
        <f t="shared" si="15"/>
        <v>0</v>
      </c>
      <c r="L17" s="148"/>
      <c r="M17" s="129">
        <f t="shared" si="8"/>
        <v>0</v>
      </c>
      <c r="N17" s="145"/>
      <c r="O17" s="129">
        <f t="shared" si="16"/>
        <v>0</v>
      </c>
      <c r="P17" s="148"/>
      <c r="Q17" s="129">
        <f t="shared" si="9"/>
        <v>0</v>
      </c>
      <c r="R17" s="145"/>
      <c r="S17" s="129">
        <f t="shared" si="10"/>
        <v>0</v>
      </c>
      <c r="T17" s="151">
        <v>0</v>
      </c>
      <c r="U17" s="149"/>
      <c r="V17" s="145"/>
      <c r="W17" s="129">
        <f t="shared" si="11"/>
        <v>0</v>
      </c>
      <c r="X17" s="19">
        <f t="shared" si="12"/>
        <v>0</v>
      </c>
      <c r="Y17" s="151">
        <f t="shared" si="13"/>
        <v>0</v>
      </c>
      <c r="Z17" s="152">
        <f t="shared" si="14"/>
        <v>0</v>
      </c>
      <c r="AA17" s="3">
        <f>SUM(Z1:Z17)</f>
        <v>60566.523638400002</v>
      </c>
    </row>
    <row r="18" spans="1:27" s="130" customFormat="1" ht="16.5" thickBot="1" x14ac:dyDescent="0.3">
      <c r="A18" s="9">
        <v>44820</v>
      </c>
      <c r="B18" s="38"/>
      <c r="C18" s="144"/>
      <c r="D18" s="38">
        <f t="shared" si="4"/>
        <v>0</v>
      </c>
      <c r="E18" s="145"/>
      <c r="F18" s="38">
        <f t="shared" si="5"/>
        <v>0</v>
      </c>
      <c r="G18" s="146"/>
      <c r="H18" s="38">
        <f t="shared" si="6"/>
        <v>0</v>
      </c>
      <c r="I18" s="150">
        <f t="shared" si="7"/>
        <v>0</v>
      </c>
      <c r="J18" s="145"/>
      <c r="K18" s="129">
        <f t="shared" si="15"/>
        <v>0</v>
      </c>
      <c r="L18" s="148"/>
      <c r="M18" s="129">
        <f t="shared" si="8"/>
        <v>0</v>
      </c>
      <c r="N18" s="145"/>
      <c r="O18" s="129">
        <f t="shared" si="16"/>
        <v>0</v>
      </c>
      <c r="P18" s="148"/>
      <c r="Q18" s="129">
        <f t="shared" si="9"/>
        <v>0</v>
      </c>
      <c r="R18" s="145"/>
      <c r="S18" s="129">
        <f t="shared" si="10"/>
        <v>0</v>
      </c>
      <c r="T18" s="151">
        <v>0</v>
      </c>
      <c r="U18" s="149"/>
      <c r="V18" s="145"/>
      <c r="W18" s="129">
        <f t="shared" si="11"/>
        <v>0</v>
      </c>
      <c r="X18" s="19">
        <f t="shared" si="12"/>
        <v>0</v>
      </c>
      <c r="Y18" s="151">
        <f t="shared" si="13"/>
        <v>0</v>
      </c>
      <c r="Z18" s="152">
        <f t="shared" si="14"/>
        <v>0</v>
      </c>
      <c r="AA18" s="3">
        <f>SUM(Z1:Z18)</f>
        <v>60566.523638400002</v>
      </c>
    </row>
    <row r="19" spans="1:27" s="130" customFormat="1" ht="16.5" thickBot="1" x14ac:dyDescent="0.3">
      <c r="A19" s="9">
        <v>44821</v>
      </c>
      <c r="B19" s="38"/>
      <c r="C19" s="144"/>
      <c r="D19" s="38">
        <f t="shared" si="4"/>
        <v>0</v>
      </c>
      <c r="E19" s="145"/>
      <c r="F19" s="38">
        <f t="shared" si="5"/>
        <v>0</v>
      </c>
      <c r="G19" s="146"/>
      <c r="H19" s="38">
        <f t="shared" si="6"/>
        <v>0</v>
      </c>
      <c r="I19" s="150">
        <f t="shared" si="7"/>
        <v>0</v>
      </c>
      <c r="J19" s="145"/>
      <c r="K19" s="129">
        <f t="shared" si="15"/>
        <v>0</v>
      </c>
      <c r="L19" s="148"/>
      <c r="M19" s="129">
        <f t="shared" si="8"/>
        <v>0</v>
      </c>
      <c r="N19" s="145"/>
      <c r="O19" s="129">
        <f t="shared" si="16"/>
        <v>0</v>
      </c>
      <c r="P19" s="148"/>
      <c r="Q19" s="129">
        <f t="shared" si="9"/>
        <v>0</v>
      </c>
      <c r="R19" s="145"/>
      <c r="S19" s="129">
        <f t="shared" si="10"/>
        <v>0</v>
      </c>
      <c r="T19" s="151">
        <v>0</v>
      </c>
      <c r="U19" s="149"/>
      <c r="V19" s="145"/>
      <c r="W19" s="129">
        <f t="shared" si="11"/>
        <v>0</v>
      </c>
      <c r="X19" s="19">
        <f t="shared" si="12"/>
        <v>0</v>
      </c>
      <c r="Y19" s="151">
        <f t="shared" si="13"/>
        <v>0</v>
      </c>
      <c r="Z19" s="152">
        <f t="shared" si="14"/>
        <v>0</v>
      </c>
      <c r="AA19" s="3">
        <f>SUM(Z1:Z19)</f>
        <v>60566.523638400002</v>
      </c>
    </row>
    <row r="20" spans="1:27" s="130" customFormat="1" ht="16.5" thickBot="1" x14ac:dyDescent="0.3">
      <c r="A20" s="9">
        <v>44822</v>
      </c>
      <c r="B20" s="38"/>
      <c r="C20" s="144"/>
      <c r="D20" s="38">
        <f t="shared" si="4"/>
        <v>0</v>
      </c>
      <c r="E20" s="145"/>
      <c r="F20" s="38">
        <f t="shared" si="5"/>
        <v>0</v>
      </c>
      <c r="G20" s="146"/>
      <c r="H20" s="38">
        <f t="shared" si="6"/>
        <v>0</v>
      </c>
      <c r="I20" s="150">
        <f t="shared" si="7"/>
        <v>0</v>
      </c>
      <c r="J20" s="145"/>
      <c r="K20" s="129">
        <f t="shared" si="15"/>
        <v>0</v>
      </c>
      <c r="L20" s="148"/>
      <c r="M20" s="129">
        <f t="shared" si="8"/>
        <v>0</v>
      </c>
      <c r="N20" s="145"/>
      <c r="O20" s="129">
        <f t="shared" si="16"/>
        <v>0</v>
      </c>
      <c r="P20" s="148"/>
      <c r="Q20" s="129">
        <f t="shared" si="9"/>
        <v>0</v>
      </c>
      <c r="R20" s="145"/>
      <c r="S20" s="129">
        <f t="shared" si="10"/>
        <v>0</v>
      </c>
      <c r="T20" s="151">
        <v>0</v>
      </c>
      <c r="U20" s="149"/>
      <c r="V20" s="145"/>
      <c r="W20" s="129">
        <f t="shared" si="11"/>
        <v>0</v>
      </c>
      <c r="X20" s="19">
        <f t="shared" si="12"/>
        <v>0</v>
      </c>
      <c r="Y20" s="151">
        <f t="shared" si="13"/>
        <v>0</v>
      </c>
      <c r="Z20" s="152">
        <f t="shared" si="14"/>
        <v>0</v>
      </c>
      <c r="AA20" s="3">
        <f>SUM(Z1:Z20)</f>
        <v>60566.523638400002</v>
      </c>
    </row>
    <row r="21" spans="1:27" s="130" customFormat="1" ht="16.5" thickBot="1" x14ac:dyDescent="0.3">
      <c r="A21" s="9">
        <v>44823</v>
      </c>
      <c r="B21" s="38"/>
      <c r="C21" s="144"/>
      <c r="D21" s="38">
        <f t="shared" si="4"/>
        <v>0</v>
      </c>
      <c r="E21" s="145"/>
      <c r="F21" s="38">
        <f t="shared" si="5"/>
        <v>0</v>
      </c>
      <c r="G21" s="146"/>
      <c r="H21" s="38">
        <f t="shared" si="6"/>
        <v>0</v>
      </c>
      <c r="I21" s="150">
        <f t="shared" si="7"/>
        <v>0</v>
      </c>
      <c r="J21" s="145"/>
      <c r="K21" s="129">
        <f t="shared" si="15"/>
        <v>0</v>
      </c>
      <c r="L21" s="148"/>
      <c r="M21" s="129">
        <f t="shared" si="8"/>
        <v>0</v>
      </c>
      <c r="N21" s="145"/>
      <c r="O21" s="129">
        <f t="shared" si="16"/>
        <v>0</v>
      </c>
      <c r="P21" s="148"/>
      <c r="Q21" s="129">
        <f t="shared" si="9"/>
        <v>0</v>
      </c>
      <c r="R21" s="145"/>
      <c r="S21" s="129">
        <f t="shared" si="10"/>
        <v>0</v>
      </c>
      <c r="T21" s="151">
        <v>0</v>
      </c>
      <c r="U21" s="149"/>
      <c r="V21" s="145"/>
      <c r="W21" s="129">
        <f t="shared" si="11"/>
        <v>0</v>
      </c>
      <c r="X21" s="19">
        <f t="shared" si="12"/>
        <v>0</v>
      </c>
      <c r="Y21" s="151">
        <f t="shared" si="13"/>
        <v>0</v>
      </c>
      <c r="Z21" s="152">
        <f t="shared" si="14"/>
        <v>0</v>
      </c>
      <c r="AA21" s="3">
        <f>SUM(Z1:Z21)</f>
        <v>60566.523638400002</v>
      </c>
    </row>
    <row r="22" spans="1:27" ht="16.5" thickBot="1" x14ac:dyDescent="0.3">
      <c r="A22" s="9">
        <v>44824</v>
      </c>
      <c r="B22" s="38"/>
      <c r="C22" s="144"/>
      <c r="D22" s="38">
        <f t="shared" si="4"/>
        <v>0</v>
      </c>
      <c r="E22" s="145"/>
      <c r="F22" s="38">
        <f t="shared" si="5"/>
        <v>0</v>
      </c>
      <c r="G22" s="146"/>
      <c r="H22" s="38">
        <f t="shared" si="6"/>
        <v>0</v>
      </c>
      <c r="I22" s="147">
        <f t="shared" si="7"/>
        <v>0</v>
      </c>
      <c r="J22" s="145"/>
      <c r="K22" s="129">
        <f t="shared" si="15"/>
        <v>0</v>
      </c>
      <c r="L22" s="148"/>
      <c r="M22" s="38">
        <f t="shared" si="8"/>
        <v>0</v>
      </c>
      <c r="N22" s="145"/>
      <c r="O22" s="38">
        <f t="shared" si="16"/>
        <v>0</v>
      </c>
      <c r="P22" s="148"/>
      <c r="Q22" s="38">
        <f t="shared" si="9"/>
        <v>0</v>
      </c>
      <c r="R22" s="145"/>
      <c r="S22" s="38">
        <f t="shared" si="10"/>
        <v>0</v>
      </c>
      <c r="T22" s="145">
        <v>0</v>
      </c>
      <c r="U22" s="149"/>
      <c r="V22" s="145"/>
      <c r="W22" s="38">
        <f t="shared" si="11"/>
        <v>0</v>
      </c>
      <c r="X22" s="19">
        <f t="shared" si="12"/>
        <v>0</v>
      </c>
      <c r="Y22" s="165">
        <f t="shared" si="13"/>
        <v>0</v>
      </c>
      <c r="Z22" s="3">
        <f t="shared" si="14"/>
        <v>0</v>
      </c>
      <c r="AA22" s="3">
        <f>SUM(Z1:Z22)</f>
        <v>60566.523638400002</v>
      </c>
    </row>
    <row r="23" spans="1:27" ht="16.5" thickBot="1" x14ac:dyDescent="0.3">
      <c r="A23" s="9">
        <v>44825</v>
      </c>
      <c r="B23" s="38"/>
      <c r="C23" s="144"/>
      <c r="D23" s="38">
        <f t="shared" si="4"/>
        <v>0</v>
      </c>
      <c r="E23" s="145"/>
      <c r="F23" s="38">
        <f t="shared" si="5"/>
        <v>0</v>
      </c>
      <c r="G23" s="146"/>
      <c r="H23" s="38">
        <f t="shared" si="6"/>
        <v>0</v>
      </c>
      <c r="I23" s="147">
        <f t="shared" si="7"/>
        <v>0</v>
      </c>
      <c r="J23" s="145"/>
      <c r="K23" s="129">
        <f t="shared" si="15"/>
        <v>0</v>
      </c>
      <c r="L23" s="148"/>
      <c r="M23" s="38">
        <f t="shared" si="8"/>
        <v>0</v>
      </c>
      <c r="N23" s="145"/>
      <c r="O23" s="38">
        <f t="shared" si="16"/>
        <v>0</v>
      </c>
      <c r="P23" s="148"/>
      <c r="Q23" s="38">
        <f t="shared" si="9"/>
        <v>0</v>
      </c>
      <c r="R23" s="145"/>
      <c r="S23" s="38">
        <f t="shared" si="10"/>
        <v>0</v>
      </c>
      <c r="T23" s="145">
        <v>0</v>
      </c>
      <c r="U23" s="149"/>
      <c r="V23" s="145"/>
      <c r="W23" s="38">
        <f t="shared" si="11"/>
        <v>0</v>
      </c>
      <c r="X23" s="19">
        <f t="shared" si="12"/>
        <v>0</v>
      </c>
      <c r="Y23" s="165">
        <f t="shared" si="13"/>
        <v>0</v>
      </c>
      <c r="Z23" s="3">
        <f t="shared" si="14"/>
        <v>0</v>
      </c>
      <c r="AA23" s="3">
        <f>SUM(Z1:Z23)</f>
        <v>60566.523638400002</v>
      </c>
    </row>
    <row r="24" spans="1:27" ht="16.5" thickBot="1" x14ac:dyDescent="0.3">
      <c r="A24" s="9">
        <v>44826</v>
      </c>
      <c r="B24" s="38"/>
      <c r="C24" s="144"/>
      <c r="D24" s="38">
        <f t="shared" si="4"/>
        <v>0</v>
      </c>
      <c r="E24" s="145"/>
      <c r="F24" s="38">
        <f t="shared" si="5"/>
        <v>0</v>
      </c>
      <c r="G24" s="146"/>
      <c r="H24" s="38">
        <f t="shared" si="6"/>
        <v>0</v>
      </c>
      <c r="I24" s="147">
        <f t="shared" si="7"/>
        <v>0</v>
      </c>
      <c r="J24" s="145"/>
      <c r="K24" s="129">
        <f t="shared" si="15"/>
        <v>0</v>
      </c>
      <c r="L24" s="148"/>
      <c r="M24" s="38">
        <f t="shared" si="8"/>
        <v>0</v>
      </c>
      <c r="N24" s="145"/>
      <c r="O24" s="38">
        <f t="shared" si="16"/>
        <v>0</v>
      </c>
      <c r="P24" s="148"/>
      <c r="Q24" s="38">
        <f t="shared" si="9"/>
        <v>0</v>
      </c>
      <c r="R24" s="145"/>
      <c r="S24" s="38">
        <f t="shared" si="10"/>
        <v>0</v>
      </c>
      <c r="T24" s="145">
        <v>0</v>
      </c>
      <c r="U24" s="149"/>
      <c r="V24" s="145"/>
      <c r="W24" s="38">
        <f t="shared" si="11"/>
        <v>0</v>
      </c>
      <c r="X24" s="19">
        <f t="shared" si="12"/>
        <v>0</v>
      </c>
      <c r="Y24" s="165">
        <f t="shared" si="13"/>
        <v>0</v>
      </c>
      <c r="Z24" s="3">
        <f t="shared" si="14"/>
        <v>0</v>
      </c>
      <c r="AA24" s="3">
        <f>SUM(Z1:Z24)</f>
        <v>60566.523638400002</v>
      </c>
    </row>
    <row r="25" spans="1:27" ht="16.5" thickBot="1" x14ac:dyDescent="0.3">
      <c r="A25" s="9">
        <v>44827</v>
      </c>
      <c r="B25" s="38"/>
      <c r="C25" s="144"/>
      <c r="D25" s="38">
        <f t="shared" si="4"/>
        <v>0</v>
      </c>
      <c r="E25" s="145"/>
      <c r="F25" s="38">
        <f t="shared" si="5"/>
        <v>0</v>
      </c>
      <c r="G25" s="146"/>
      <c r="H25" s="38">
        <f t="shared" si="6"/>
        <v>0</v>
      </c>
      <c r="I25" s="147">
        <f t="shared" si="7"/>
        <v>0</v>
      </c>
      <c r="J25" s="145"/>
      <c r="K25" s="129">
        <f t="shared" si="15"/>
        <v>0</v>
      </c>
      <c r="L25" s="148"/>
      <c r="M25" s="38">
        <f t="shared" si="8"/>
        <v>0</v>
      </c>
      <c r="N25" s="145"/>
      <c r="O25" s="38">
        <f t="shared" si="16"/>
        <v>0</v>
      </c>
      <c r="P25" s="148"/>
      <c r="Q25" s="38">
        <f t="shared" si="9"/>
        <v>0</v>
      </c>
      <c r="R25" s="145"/>
      <c r="S25" s="38">
        <f t="shared" si="10"/>
        <v>0</v>
      </c>
      <c r="T25" s="145">
        <v>0</v>
      </c>
      <c r="U25" s="149"/>
      <c r="V25" s="145"/>
      <c r="W25" s="38">
        <f t="shared" si="11"/>
        <v>0</v>
      </c>
      <c r="X25" s="19">
        <f t="shared" si="12"/>
        <v>0</v>
      </c>
      <c r="Y25" s="165">
        <f t="shared" si="13"/>
        <v>0</v>
      </c>
      <c r="Z25" s="3">
        <f t="shared" si="14"/>
        <v>0</v>
      </c>
      <c r="AA25" s="3">
        <f>SUM(Z1:Z25)</f>
        <v>60566.523638400002</v>
      </c>
    </row>
    <row r="26" spans="1:27" ht="16.5" thickBot="1" x14ac:dyDescent="0.3">
      <c r="A26" s="9">
        <v>44828</v>
      </c>
      <c r="B26" s="38"/>
      <c r="C26" s="144"/>
      <c r="D26" s="38">
        <f t="shared" si="4"/>
        <v>0</v>
      </c>
      <c r="E26" s="145"/>
      <c r="F26" s="38">
        <f t="shared" si="5"/>
        <v>0</v>
      </c>
      <c r="G26" s="146"/>
      <c r="H26" s="38">
        <f t="shared" si="6"/>
        <v>0</v>
      </c>
      <c r="I26" s="147">
        <f t="shared" si="7"/>
        <v>0</v>
      </c>
      <c r="J26" s="145"/>
      <c r="K26" s="129">
        <f t="shared" si="15"/>
        <v>0</v>
      </c>
      <c r="L26" s="148"/>
      <c r="M26" s="38">
        <f t="shared" si="8"/>
        <v>0</v>
      </c>
      <c r="N26" s="145"/>
      <c r="O26" s="38">
        <f t="shared" si="16"/>
        <v>0</v>
      </c>
      <c r="P26" s="148"/>
      <c r="Q26" s="38">
        <f t="shared" si="9"/>
        <v>0</v>
      </c>
      <c r="R26" s="145"/>
      <c r="S26" s="38">
        <f t="shared" si="10"/>
        <v>0</v>
      </c>
      <c r="T26" s="145">
        <v>0</v>
      </c>
      <c r="U26" s="149"/>
      <c r="V26" s="145"/>
      <c r="W26" s="38">
        <f t="shared" si="11"/>
        <v>0</v>
      </c>
      <c r="X26" s="19">
        <f t="shared" si="12"/>
        <v>0</v>
      </c>
      <c r="Y26" s="165">
        <f t="shared" si="13"/>
        <v>0</v>
      </c>
      <c r="Z26" s="3">
        <f t="shared" si="14"/>
        <v>0</v>
      </c>
      <c r="AA26" s="3">
        <f>SUM(Z1:Z26)</f>
        <v>60566.523638400002</v>
      </c>
    </row>
    <row r="27" spans="1:27" ht="16.5" thickBot="1" x14ac:dyDescent="0.3">
      <c r="A27" s="9">
        <v>44829</v>
      </c>
      <c r="B27" s="38"/>
      <c r="C27" s="144"/>
      <c r="D27" s="38">
        <f t="shared" si="4"/>
        <v>0</v>
      </c>
      <c r="E27" s="145"/>
      <c r="F27" s="38">
        <f t="shared" si="5"/>
        <v>0</v>
      </c>
      <c r="G27" s="146"/>
      <c r="H27" s="38">
        <f t="shared" si="6"/>
        <v>0</v>
      </c>
      <c r="I27" s="147">
        <f t="shared" si="7"/>
        <v>0</v>
      </c>
      <c r="J27" s="145"/>
      <c r="K27" s="129">
        <f t="shared" si="15"/>
        <v>0</v>
      </c>
      <c r="L27" s="148"/>
      <c r="M27" s="38">
        <f t="shared" si="8"/>
        <v>0</v>
      </c>
      <c r="N27" s="145"/>
      <c r="O27" s="38">
        <f t="shared" si="16"/>
        <v>0</v>
      </c>
      <c r="P27" s="148"/>
      <c r="Q27" s="38">
        <f t="shared" si="9"/>
        <v>0</v>
      </c>
      <c r="R27" s="145"/>
      <c r="S27" s="38">
        <f t="shared" si="10"/>
        <v>0</v>
      </c>
      <c r="T27" s="145">
        <v>0</v>
      </c>
      <c r="U27" s="149"/>
      <c r="V27" s="145"/>
      <c r="W27" s="38">
        <f t="shared" si="11"/>
        <v>0</v>
      </c>
      <c r="X27" s="19">
        <f t="shared" si="12"/>
        <v>0</v>
      </c>
      <c r="Y27" s="165">
        <f t="shared" si="13"/>
        <v>0</v>
      </c>
      <c r="Z27" s="3">
        <f t="shared" si="14"/>
        <v>0</v>
      </c>
      <c r="AA27" s="3">
        <f>SUM(Z1:Z27)</f>
        <v>60566.523638400002</v>
      </c>
    </row>
    <row r="28" spans="1:27" ht="16.5" thickBot="1" x14ac:dyDescent="0.3">
      <c r="A28" s="9">
        <v>44830</v>
      </c>
      <c r="B28" s="38"/>
      <c r="C28" s="144"/>
      <c r="D28" s="38">
        <f t="shared" si="4"/>
        <v>0</v>
      </c>
      <c r="E28" s="145"/>
      <c r="F28" s="38">
        <f t="shared" si="5"/>
        <v>0</v>
      </c>
      <c r="G28" s="146"/>
      <c r="H28" s="38">
        <f t="shared" si="6"/>
        <v>0</v>
      </c>
      <c r="I28" s="147">
        <f t="shared" si="7"/>
        <v>0</v>
      </c>
      <c r="J28" s="145"/>
      <c r="K28" s="129">
        <f t="shared" si="15"/>
        <v>0</v>
      </c>
      <c r="L28" s="148"/>
      <c r="M28" s="38">
        <f t="shared" si="8"/>
        <v>0</v>
      </c>
      <c r="N28" s="145"/>
      <c r="O28" s="38">
        <f t="shared" si="16"/>
        <v>0</v>
      </c>
      <c r="P28" s="148"/>
      <c r="Q28" s="38">
        <f t="shared" si="9"/>
        <v>0</v>
      </c>
      <c r="R28" s="145"/>
      <c r="S28" s="38">
        <f t="shared" si="10"/>
        <v>0</v>
      </c>
      <c r="T28" s="145">
        <v>0</v>
      </c>
      <c r="U28" s="149"/>
      <c r="V28" s="145"/>
      <c r="W28" s="38">
        <f t="shared" si="11"/>
        <v>0</v>
      </c>
      <c r="X28" s="19">
        <f t="shared" si="12"/>
        <v>0</v>
      </c>
      <c r="Y28" s="165">
        <f t="shared" si="13"/>
        <v>0</v>
      </c>
      <c r="Z28" s="3">
        <f t="shared" si="14"/>
        <v>0</v>
      </c>
      <c r="AA28" s="3">
        <f>SUM(Z1:Z28)</f>
        <v>60566.523638400002</v>
      </c>
    </row>
    <row r="29" spans="1:27" ht="16.5" thickBot="1" x14ac:dyDescent="0.3">
      <c r="A29" s="9">
        <v>44831</v>
      </c>
      <c r="B29" s="38"/>
      <c r="C29" s="144"/>
      <c r="D29" s="38">
        <f t="shared" si="4"/>
        <v>0</v>
      </c>
      <c r="E29" s="145"/>
      <c r="F29" s="38">
        <f t="shared" si="5"/>
        <v>0</v>
      </c>
      <c r="G29" s="146"/>
      <c r="H29" s="38">
        <f t="shared" si="6"/>
        <v>0</v>
      </c>
      <c r="I29" s="147">
        <f t="shared" si="7"/>
        <v>0</v>
      </c>
      <c r="J29" s="145"/>
      <c r="K29" s="129">
        <f t="shared" si="15"/>
        <v>0</v>
      </c>
      <c r="L29" s="148"/>
      <c r="M29" s="38">
        <f t="shared" si="8"/>
        <v>0</v>
      </c>
      <c r="N29" s="145"/>
      <c r="O29" s="38">
        <f t="shared" si="16"/>
        <v>0</v>
      </c>
      <c r="P29" s="148"/>
      <c r="Q29" s="38">
        <f t="shared" si="9"/>
        <v>0</v>
      </c>
      <c r="R29" s="145"/>
      <c r="S29" s="38">
        <f t="shared" si="10"/>
        <v>0</v>
      </c>
      <c r="T29" s="145">
        <v>0</v>
      </c>
      <c r="U29" s="149"/>
      <c r="V29" s="145"/>
      <c r="W29" s="38">
        <f t="shared" si="11"/>
        <v>0</v>
      </c>
      <c r="X29" s="19">
        <f t="shared" si="12"/>
        <v>0</v>
      </c>
      <c r="Y29" s="165">
        <f t="shared" si="13"/>
        <v>0</v>
      </c>
      <c r="Z29" s="3">
        <f t="shared" si="14"/>
        <v>0</v>
      </c>
      <c r="AA29" s="3">
        <f>SUM(Z1:Z29)</f>
        <v>60566.523638400002</v>
      </c>
    </row>
    <row r="30" spans="1:27" ht="16.5" thickBot="1" x14ac:dyDescent="0.3">
      <c r="A30" s="9">
        <v>44832</v>
      </c>
      <c r="B30" s="38"/>
      <c r="C30" s="144"/>
      <c r="D30" s="38">
        <f>IF((C30-C29)&lt;0,"0",(C30-C29))*160</f>
        <v>0</v>
      </c>
      <c r="E30" s="145"/>
      <c r="F30" s="38">
        <f>IF((E30-E29)&lt;0,"0",(E30-E29))</f>
        <v>0</v>
      </c>
      <c r="G30" s="146"/>
      <c r="H30" s="38">
        <f t="shared" si="6"/>
        <v>0</v>
      </c>
      <c r="I30" s="147">
        <f t="shared" si="7"/>
        <v>0</v>
      </c>
      <c r="J30" s="145"/>
      <c r="K30" s="129">
        <f t="shared" si="15"/>
        <v>0</v>
      </c>
      <c r="L30" s="148"/>
      <c r="M30" s="38">
        <f>IF((L30-L29)&lt;0,"0",(L30-L29))</f>
        <v>0</v>
      </c>
      <c r="N30" s="145"/>
      <c r="O30" s="38">
        <f>(IF((N30-N29)&lt;0,"0",(N30-N29)))*2</f>
        <v>0</v>
      </c>
      <c r="P30" s="148"/>
      <c r="Q30" s="38">
        <f>IF((P30-P29)&lt;0,"0",(P30-P29))</f>
        <v>0</v>
      </c>
      <c r="R30" s="145"/>
      <c r="S30" s="38">
        <f>IF((R30-R29)&lt;0,"0",(R30-R29))</f>
        <v>0</v>
      </c>
      <c r="T30" s="145">
        <v>0</v>
      </c>
      <c r="U30" s="149"/>
      <c r="V30" s="145"/>
      <c r="W30" s="38">
        <f>IF((V30-V29)&lt;0,"0",(V30-V29))</f>
        <v>0</v>
      </c>
      <c r="X30" s="19">
        <f t="shared" si="12"/>
        <v>0</v>
      </c>
      <c r="Y30" s="165">
        <f t="shared" si="13"/>
        <v>0</v>
      </c>
      <c r="Z30" s="3">
        <f t="shared" si="14"/>
        <v>0</v>
      </c>
      <c r="AA30" s="3">
        <f>SUM(Z1:Z30)</f>
        <v>60566.523638400002</v>
      </c>
    </row>
    <row r="31" spans="1:27" ht="16.5" thickBot="1" x14ac:dyDescent="0.3">
      <c r="A31" s="9">
        <v>44833</v>
      </c>
      <c r="B31" s="38"/>
      <c r="C31" s="144"/>
      <c r="D31" s="38">
        <f t="shared" ref="D31:D32" si="27">IF((C31-C30)&lt;0,"0",(C31-C30))*160</f>
        <v>0</v>
      </c>
      <c r="E31" s="145"/>
      <c r="F31" s="38">
        <f t="shared" ref="F31:F32" si="28">IF((E31-E30)&lt;0,"0",(E31-E30))</f>
        <v>0</v>
      </c>
      <c r="G31" s="146"/>
      <c r="H31" s="38">
        <f t="shared" si="6"/>
        <v>0</v>
      </c>
      <c r="I31" s="147">
        <f t="shared" ref="I31:I32" si="29">F31+H31</f>
        <v>0</v>
      </c>
      <c r="J31" s="145"/>
      <c r="K31" s="129">
        <f t="shared" si="15"/>
        <v>0</v>
      </c>
      <c r="L31" s="148"/>
      <c r="M31" s="38">
        <f t="shared" ref="M31:M32" si="30">IF((L31-L30)&lt;0,"0",(L31-L30))</f>
        <v>0</v>
      </c>
      <c r="N31" s="145"/>
      <c r="O31" s="38">
        <f t="shared" ref="O31:O32" si="31">(IF((N31-N30)&lt;0,"0",(N31-N30)))*2</f>
        <v>0</v>
      </c>
      <c r="P31" s="148"/>
      <c r="Q31" s="38">
        <f t="shared" ref="Q31:Q32" si="32">IF((P31-P30)&lt;0,"0",(P31-P30))</f>
        <v>0</v>
      </c>
      <c r="R31" s="145"/>
      <c r="S31" s="38">
        <f t="shared" ref="S31:S32" si="33">IF((R31-R30)&lt;0,"0",(R31-R30))</f>
        <v>0</v>
      </c>
      <c r="T31" s="145">
        <v>0</v>
      </c>
      <c r="U31" s="149"/>
      <c r="V31" s="145"/>
      <c r="W31" s="38">
        <f t="shared" ref="W31:W32" si="34">IF((V31-V30)&lt;0,"0",(V31-V30))</f>
        <v>0</v>
      </c>
      <c r="X31" s="19">
        <f t="shared" ref="X31:X32" si="35">K31+M31+O31+Q31+S31+U31+W31</f>
        <v>0</v>
      </c>
      <c r="Y31" s="165">
        <f t="shared" ref="Y31:Y32" si="36">I31-X31</f>
        <v>0</v>
      </c>
      <c r="Z31" s="3">
        <f t="shared" ref="Z31:Z32" si="37">(0.93352*(W31+S31)+0.5568*(Q31+O31))*0.26</f>
        <v>0</v>
      </c>
      <c r="AA31" s="3">
        <f>SUM(Z1:Z31)</f>
        <v>60566.523638400002</v>
      </c>
    </row>
    <row r="32" spans="1:27" ht="16.5" thickBot="1" x14ac:dyDescent="0.3">
      <c r="A32" s="9">
        <v>44834</v>
      </c>
      <c r="B32" s="38"/>
      <c r="C32" s="144"/>
      <c r="D32" s="38">
        <f t="shared" si="27"/>
        <v>0</v>
      </c>
      <c r="E32" s="145"/>
      <c r="F32" s="38">
        <f t="shared" si="28"/>
        <v>0</v>
      </c>
      <c r="G32" s="146"/>
      <c r="H32" s="38">
        <f t="shared" si="6"/>
        <v>0</v>
      </c>
      <c r="I32" s="147">
        <f t="shared" si="29"/>
        <v>0</v>
      </c>
      <c r="J32" s="145"/>
      <c r="K32" s="129">
        <f t="shared" si="15"/>
        <v>0</v>
      </c>
      <c r="L32" s="148"/>
      <c r="M32" s="38">
        <f t="shared" si="30"/>
        <v>0</v>
      </c>
      <c r="N32" s="145"/>
      <c r="O32" s="38">
        <f t="shared" si="31"/>
        <v>0</v>
      </c>
      <c r="P32" s="148"/>
      <c r="Q32" s="38">
        <f t="shared" si="32"/>
        <v>0</v>
      </c>
      <c r="R32" s="145"/>
      <c r="S32" s="38">
        <f t="shared" si="33"/>
        <v>0</v>
      </c>
      <c r="T32" s="145">
        <v>0</v>
      </c>
      <c r="U32" s="149"/>
      <c r="V32" s="145"/>
      <c r="W32" s="38">
        <f t="shared" si="34"/>
        <v>0</v>
      </c>
      <c r="X32" s="19">
        <f t="shared" si="35"/>
        <v>0</v>
      </c>
      <c r="Y32" s="165">
        <f t="shared" si="36"/>
        <v>0</v>
      </c>
      <c r="Z32" s="3">
        <f t="shared" si="37"/>
        <v>0</v>
      </c>
      <c r="AA32" s="3">
        <f>SUM(Z1:Z32)</f>
        <v>60566.523638400002</v>
      </c>
    </row>
    <row r="33" spans="1:27" ht="16.5" thickBot="1" x14ac:dyDescent="0.3">
      <c r="A33" s="136" t="s">
        <v>23</v>
      </c>
      <c r="B33" s="136">
        <f>SUM(B2:B32)</f>
        <v>1627</v>
      </c>
      <c r="C33" s="136">
        <v>0</v>
      </c>
      <c r="D33" s="136">
        <f>SUM(D2:D32)</f>
        <v>3680</v>
      </c>
      <c r="E33" s="55">
        <v>0</v>
      </c>
      <c r="F33" s="136">
        <f>SUM(F2:F32)</f>
        <v>140994</v>
      </c>
      <c r="G33" s="55">
        <v>0</v>
      </c>
      <c r="H33" s="136">
        <f>SUM(H2:H32)</f>
        <v>338026</v>
      </c>
      <c r="I33" s="136">
        <f t="shared" ref="I33" si="38">F33+H33</f>
        <v>479020</v>
      </c>
      <c r="J33" s="55">
        <v>0</v>
      </c>
      <c r="K33" s="136">
        <f>SUM(K2:K32)</f>
        <v>68688</v>
      </c>
      <c r="L33" s="55">
        <v>0</v>
      </c>
      <c r="M33" s="136">
        <f>SUM(M2:M32)</f>
        <v>38892</v>
      </c>
      <c r="N33" s="55">
        <v>0</v>
      </c>
      <c r="O33" s="136">
        <f>SUM(O2:O32)</f>
        <v>100886</v>
      </c>
      <c r="P33" s="55">
        <v>0</v>
      </c>
      <c r="Q33" s="136">
        <f>SUM(Q2:Q32)</f>
        <v>82826</v>
      </c>
      <c r="R33" s="55">
        <v>0</v>
      </c>
      <c r="S33" s="136">
        <f>SUM(S2:S32)</f>
        <v>68454</v>
      </c>
      <c r="T33" s="55">
        <f>SUM(T3:T32)</f>
        <v>0</v>
      </c>
      <c r="U33" s="55">
        <f>SUM(U3:U32)</f>
        <v>0</v>
      </c>
      <c r="V33" s="55">
        <v>0</v>
      </c>
      <c r="W33" s="136">
        <f>SUM(W2:W32)</f>
        <v>71508</v>
      </c>
      <c r="X33" s="136">
        <f>SUM(X2:X32)</f>
        <v>431254</v>
      </c>
      <c r="Y33" s="136">
        <f>SUM(Y1:Y32)</f>
        <v>47766</v>
      </c>
      <c r="Z33" s="136">
        <f>SUM(Z1:Z32)</f>
        <v>60566.523638400002</v>
      </c>
      <c r="AA33" s="136">
        <f>SUM(AA2:AA32)</f>
        <v>1669360.5470672003</v>
      </c>
    </row>
    <row r="34" spans="1:27" x14ac:dyDescent="0.2"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1:27" x14ac:dyDescent="0.25">
      <c r="H35" s="163"/>
    </row>
    <row r="36" spans="1:27" x14ac:dyDescent="0.25">
      <c r="D36" s="161"/>
      <c r="H36" s="163"/>
    </row>
    <row r="37" spans="1:27" x14ac:dyDescent="0.25">
      <c r="E37" s="163"/>
      <c r="F37" s="163"/>
    </row>
    <row r="39" spans="1:27" x14ac:dyDescent="0.25">
      <c r="E39" s="163"/>
      <c r="H39" s="163"/>
      <c r="L39" s="163"/>
    </row>
    <row r="42" spans="1:27" x14ac:dyDescent="0.25">
      <c r="J42" s="163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A8" sqref="A8:XFD8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44804</v>
      </c>
      <c r="B2" s="3">
        <v>459795</v>
      </c>
      <c r="C2" s="38"/>
      <c r="D2" s="3">
        <v>12991</v>
      </c>
      <c r="E2" s="38"/>
      <c r="F2" s="3">
        <v>11222500</v>
      </c>
      <c r="G2" s="38"/>
      <c r="H2" s="3">
        <v>808267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44805</v>
      </c>
      <c r="B3" s="3">
        <v>459905</v>
      </c>
      <c r="C3" s="38">
        <f t="shared" ref="C3:E18" si="2">(IF((B3-B2)&lt;0,"0",(B3-B2)))*10</f>
        <v>1100</v>
      </c>
      <c r="D3" s="3">
        <v>13047</v>
      </c>
      <c r="E3" s="38">
        <f t="shared" si="2"/>
        <v>560</v>
      </c>
      <c r="F3" s="3">
        <v>11243900</v>
      </c>
      <c r="G3" s="38">
        <f>(IF((F3-F2)&lt;0,"0",(F3-F2)))*0.027</f>
        <v>577.79999999999995</v>
      </c>
      <c r="H3" s="3">
        <v>808434</v>
      </c>
      <c r="I3" s="43">
        <f>(IF((H3-H2)&lt;0,"0",(H3-H2)))*0.027</f>
        <v>4.5090000000000003</v>
      </c>
      <c r="J3" s="19">
        <f>C3+E3+G3+I3</f>
        <v>2242.3090000000002</v>
      </c>
      <c r="K3" s="20">
        <f>J3*5.86</f>
        <v>13139.930740000002</v>
      </c>
    </row>
    <row r="4" spans="1:14" ht="16.5" thickBot="1" x14ac:dyDescent="0.3">
      <c r="A4" s="9">
        <v>44806</v>
      </c>
      <c r="B4" s="3">
        <v>460019</v>
      </c>
      <c r="C4" s="38">
        <f t="shared" si="2"/>
        <v>1140</v>
      </c>
      <c r="D4" s="3">
        <v>13090</v>
      </c>
      <c r="E4" s="38">
        <f t="shared" si="2"/>
        <v>430</v>
      </c>
      <c r="F4" s="3">
        <v>11264800</v>
      </c>
      <c r="G4" s="38">
        <f>(IF((F4-F3)&lt;0,"0",(F4-F3)))*0.027</f>
        <v>564.29999999999995</v>
      </c>
      <c r="H4" s="3">
        <v>808563</v>
      </c>
      <c r="I4" s="43">
        <f>(IF((H4-H3)&lt;0,"0",(H4-H3)))*0.027</f>
        <v>3.4830000000000001</v>
      </c>
      <c r="J4" s="19">
        <f t="shared" ref="J4:J32" si="3">C4+E4+G4+I4</f>
        <v>2137.7830000000004</v>
      </c>
      <c r="K4" s="20">
        <f t="shared" ref="K4:K32" si="4">J4*5.86</f>
        <v>12527.408380000003</v>
      </c>
    </row>
    <row r="5" spans="1:14" ht="16.5" thickBot="1" x14ac:dyDescent="0.3">
      <c r="A5" s="9">
        <v>44807</v>
      </c>
      <c r="B5" s="3">
        <v>460105</v>
      </c>
      <c r="C5" s="38">
        <f t="shared" si="2"/>
        <v>860</v>
      </c>
      <c r="D5" s="3">
        <v>13129</v>
      </c>
      <c r="E5" s="38">
        <f t="shared" si="2"/>
        <v>390</v>
      </c>
      <c r="F5" s="3">
        <v>11284400</v>
      </c>
      <c r="G5" s="38">
        <f t="shared" ref="G5:G32" si="5">(IF((F5-F4)&lt;0,"0",(F5-F4)))*0.027</f>
        <v>529.20000000000005</v>
      </c>
      <c r="H5" s="3">
        <v>808712</v>
      </c>
      <c r="I5" s="43">
        <f t="shared" ref="I5:I32" si="6">(IF((H5-H4)&lt;0,"0",(H5-H4)))*0.027</f>
        <v>4.0229999999999997</v>
      </c>
      <c r="J5" s="19">
        <f t="shared" si="3"/>
        <v>1783.223</v>
      </c>
      <c r="K5" s="20">
        <f t="shared" si="4"/>
        <v>10449.68678</v>
      </c>
    </row>
    <row r="6" spans="1:14" ht="16.5" thickBot="1" x14ac:dyDescent="0.3">
      <c r="A6" s="9">
        <v>44808</v>
      </c>
      <c r="B6" s="3">
        <v>460213</v>
      </c>
      <c r="C6" s="38">
        <f t="shared" si="2"/>
        <v>1080</v>
      </c>
      <c r="D6" s="3">
        <v>13173</v>
      </c>
      <c r="E6" s="38">
        <f t="shared" si="2"/>
        <v>440</v>
      </c>
      <c r="F6" s="3">
        <v>11308600</v>
      </c>
      <c r="G6" s="38">
        <f t="shared" si="5"/>
        <v>653.4</v>
      </c>
      <c r="H6" s="3">
        <v>808878</v>
      </c>
      <c r="I6" s="43">
        <f t="shared" si="6"/>
        <v>4.4820000000000002</v>
      </c>
      <c r="J6" s="19">
        <f t="shared" si="3"/>
        <v>2177.8820000000001</v>
      </c>
      <c r="K6" s="20">
        <f t="shared" si="4"/>
        <v>12762.38852</v>
      </c>
    </row>
    <row r="7" spans="1:14" ht="16.5" thickBot="1" x14ac:dyDescent="0.3">
      <c r="A7" s="9">
        <v>44809</v>
      </c>
      <c r="B7" s="3">
        <v>460312</v>
      </c>
      <c r="C7" s="38">
        <f t="shared" si="2"/>
        <v>990</v>
      </c>
      <c r="D7" s="3">
        <v>13213</v>
      </c>
      <c r="E7" s="38">
        <f t="shared" si="2"/>
        <v>400</v>
      </c>
      <c r="F7" s="3">
        <v>11329600</v>
      </c>
      <c r="G7" s="38">
        <f t="shared" si="5"/>
        <v>567</v>
      </c>
      <c r="H7" s="3">
        <v>809035</v>
      </c>
      <c r="I7" s="43">
        <f t="shared" si="6"/>
        <v>4.2389999999999999</v>
      </c>
      <c r="J7" s="19">
        <f t="shared" si="3"/>
        <v>1961.239</v>
      </c>
      <c r="K7" s="20">
        <f t="shared" si="4"/>
        <v>11492.860540000001</v>
      </c>
      <c r="L7" t="s">
        <v>12</v>
      </c>
      <c r="N7" t="s">
        <v>12</v>
      </c>
    </row>
    <row r="8" spans="1:14" ht="16.5" thickBot="1" x14ac:dyDescent="0.3">
      <c r="A8" s="9">
        <v>44810</v>
      </c>
      <c r="B8" s="3">
        <v>460427</v>
      </c>
      <c r="C8" s="38">
        <f t="shared" si="2"/>
        <v>1150</v>
      </c>
      <c r="D8" s="3">
        <v>13258</v>
      </c>
      <c r="E8" s="38">
        <f t="shared" si="2"/>
        <v>450</v>
      </c>
      <c r="F8" s="3">
        <v>11354600</v>
      </c>
      <c r="G8" s="38">
        <f t="shared" si="5"/>
        <v>675</v>
      </c>
      <c r="H8" s="3">
        <v>809192</v>
      </c>
      <c r="I8" s="43">
        <f t="shared" si="6"/>
        <v>4.2389999999999999</v>
      </c>
      <c r="J8" s="19">
        <f t="shared" si="3"/>
        <v>2279.239</v>
      </c>
      <c r="K8" s="20">
        <f t="shared" si="4"/>
        <v>13356.340540000001</v>
      </c>
    </row>
    <row r="9" spans="1:14" ht="16.5" thickBot="1" x14ac:dyDescent="0.3">
      <c r="A9" s="9">
        <v>44811</v>
      </c>
      <c r="B9" s="3"/>
      <c r="C9" s="38">
        <f t="shared" ref="C9:C32" si="7">(IF((B9-B8)&lt;0,"0",(B9-B8)))*10</f>
        <v>0</v>
      </c>
      <c r="D9" s="3"/>
      <c r="E9" s="38">
        <f t="shared" si="2"/>
        <v>0</v>
      </c>
      <c r="F9" s="3"/>
      <c r="G9" s="38">
        <f t="shared" si="5"/>
        <v>0</v>
      </c>
      <c r="H9" s="3"/>
      <c r="I9" s="43">
        <f t="shared" si="6"/>
        <v>0</v>
      </c>
      <c r="J9" s="19">
        <f t="shared" si="3"/>
        <v>0</v>
      </c>
      <c r="K9" s="20">
        <f t="shared" si="4"/>
        <v>0</v>
      </c>
    </row>
    <row r="10" spans="1:14" ht="16.5" thickBot="1" x14ac:dyDescent="0.3">
      <c r="A10" s="9">
        <v>44812</v>
      </c>
      <c r="B10" s="3"/>
      <c r="C10" s="38">
        <f>(IF((B10-B9)&lt;0,"0",(B10-B9)))*10</f>
        <v>0</v>
      </c>
      <c r="D10" s="3"/>
      <c r="E10" s="38">
        <f t="shared" si="2"/>
        <v>0</v>
      </c>
      <c r="F10" s="3"/>
      <c r="G10" s="38">
        <f t="shared" si="5"/>
        <v>0</v>
      </c>
      <c r="H10" s="3"/>
      <c r="I10" s="43">
        <f t="shared" si="6"/>
        <v>0</v>
      </c>
      <c r="J10" s="19">
        <f t="shared" si="3"/>
        <v>0</v>
      </c>
      <c r="K10" s="20">
        <f t="shared" si="4"/>
        <v>0</v>
      </c>
    </row>
    <row r="11" spans="1:14" ht="16.5" thickBot="1" x14ac:dyDescent="0.3">
      <c r="A11" s="9">
        <v>44813</v>
      </c>
      <c r="B11" s="3"/>
      <c r="C11" s="38">
        <f t="shared" si="7"/>
        <v>0</v>
      </c>
      <c r="D11" s="3"/>
      <c r="E11" s="38">
        <f t="shared" si="2"/>
        <v>0</v>
      </c>
      <c r="F11" s="3"/>
      <c r="G11" s="38">
        <f t="shared" si="5"/>
        <v>0</v>
      </c>
      <c r="H11" s="3"/>
      <c r="I11" s="43">
        <f t="shared" si="6"/>
        <v>0</v>
      </c>
      <c r="J11" s="19">
        <f t="shared" si="3"/>
        <v>0</v>
      </c>
      <c r="K11" s="20">
        <f t="shared" si="4"/>
        <v>0</v>
      </c>
      <c r="N11" t="s">
        <v>12</v>
      </c>
    </row>
    <row r="12" spans="1:14" ht="16.5" thickBot="1" x14ac:dyDescent="0.3">
      <c r="A12" s="9">
        <v>44814</v>
      </c>
      <c r="B12" s="3"/>
      <c r="C12" s="38">
        <f t="shared" si="7"/>
        <v>0</v>
      </c>
      <c r="D12" s="3"/>
      <c r="E12" s="38">
        <f t="shared" si="2"/>
        <v>0</v>
      </c>
      <c r="F12" s="3"/>
      <c r="G12" s="38">
        <f t="shared" si="5"/>
        <v>0</v>
      </c>
      <c r="H12" s="3"/>
      <c r="I12" s="43">
        <f t="shared" si="6"/>
        <v>0</v>
      </c>
      <c r="J12" s="19">
        <f t="shared" si="3"/>
        <v>0</v>
      </c>
      <c r="K12" s="20">
        <f t="shared" si="4"/>
        <v>0</v>
      </c>
    </row>
    <row r="13" spans="1:14" ht="16.5" thickBot="1" x14ac:dyDescent="0.3">
      <c r="A13" s="9">
        <v>44815</v>
      </c>
      <c r="B13" s="3"/>
      <c r="C13" s="38">
        <f t="shared" si="7"/>
        <v>0</v>
      </c>
      <c r="D13" s="3"/>
      <c r="E13" s="38">
        <f t="shared" si="2"/>
        <v>0</v>
      </c>
      <c r="F13" s="3"/>
      <c r="G13" s="38">
        <f t="shared" si="5"/>
        <v>0</v>
      </c>
      <c r="H13" s="3"/>
      <c r="I13" s="43">
        <f t="shared" si="6"/>
        <v>0</v>
      </c>
      <c r="J13" s="19">
        <f t="shared" si="3"/>
        <v>0</v>
      </c>
      <c r="K13" s="20">
        <f t="shared" si="4"/>
        <v>0</v>
      </c>
    </row>
    <row r="14" spans="1:14" ht="16.5" thickBot="1" x14ac:dyDescent="0.3">
      <c r="A14" s="9">
        <v>44816</v>
      </c>
      <c r="B14" s="3"/>
      <c r="C14" s="38">
        <f t="shared" si="7"/>
        <v>0</v>
      </c>
      <c r="D14" s="3"/>
      <c r="E14" s="38">
        <f t="shared" si="2"/>
        <v>0</v>
      </c>
      <c r="F14" s="3"/>
      <c r="G14" s="38">
        <f t="shared" si="5"/>
        <v>0</v>
      </c>
      <c r="H14" s="3"/>
      <c r="I14" s="43">
        <f t="shared" si="6"/>
        <v>0</v>
      </c>
      <c r="J14" s="19">
        <f t="shared" si="3"/>
        <v>0</v>
      </c>
      <c r="K14" s="20">
        <f t="shared" si="4"/>
        <v>0</v>
      </c>
    </row>
    <row r="15" spans="1:14" ht="16.5" thickBot="1" x14ac:dyDescent="0.3">
      <c r="A15" s="9">
        <v>44817</v>
      </c>
      <c r="B15" s="3"/>
      <c r="C15" s="38">
        <f t="shared" si="7"/>
        <v>0</v>
      </c>
      <c r="D15" s="3"/>
      <c r="E15" s="38">
        <f t="shared" si="2"/>
        <v>0</v>
      </c>
      <c r="F15" s="3"/>
      <c r="G15" s="38">
        <f t="shared" si="5"/>
        <v>0</v>
      </c>
      <c r="H15" s="3"/>
      <c r="I15" s="43">
        <f t="shared" si="6"/>
        <v>0</v>
      </c>
      <c r="J15" s="19">
        <f t="shared" si="3"/>
        <v>0</v>
      </c>
      <c r="K15" s="20">
        <f t="shared" si="4"/>
        <v>0</v>
      </c>
    </row>
    <row r="16" spans="1:14" ht="16.5" thickBot="1" x14ac:dyDescent="0.3">
      <c r="A16" s="9">
        <v>44818</v>
      </c>
      <c r="B16" s="3"/>
      <c r="C16" s="38">
        <f t="shared" si="7"/>
        <v>0</v>
      </c>
      <c r="D16" s="3"/>
      <c r="E16" s="38">
        <f t="shared" si="2"/>
        <v>0</v>
      </c>
      <c r="F16" s="3"/>
      <c r="G16" s="38">
        <f t="shared" si="5"/>
        <v>0</v>
      </c>
      <c r="H16" s="3"/>
      <c r="I16" s="43">
        <f t="shared" si="6"/>
        <v>0</v>
      </c>
      <c r="J16" s="19">
        <f t="shared" si="3"/>
        <v>0</v>
      </c>
      <c r="K16" s="20">
        <f t="shared" si="4"/>
        <v>0</v>
      </c>
    </row>
    <row r="17" spans="1:25" ht="16.5" thickBot="1" x14ac:dyDescent="0.3">
      <c r="A17" s="9">
        <v>44819</v>
      </c>
      <c r="B17" s="3"/>
      <c r="C17" s="38">
        <f t="shared" si="7"/>
        <v>0</v>
      </c>
      <c r="D17" s="3"/>
      <c r="E17" s="38">
        <f t="shared" si="2"/>
        <v>0</v>
      </c>
      <c r="F17" s="3"/>
      <c r="G17" s="38">
        <f t="shared" si="5"/>
        <v>0</v>
      </c>
      <c r="H17" s="3"/>
      <c r="I17" s="43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44820</v>
      </c>
      <c r="B18" s="3"/>
      <c r="C18" s="38">
        <f t="shared" si="7"/>
        <v>0</v>
      </c>
      <c r="D18" s="3"/>
      <c r="E18" s="38">
        <f t="shared" si="2"/>
        <v>0</v>
      </c>
      <c r="F18" s="3"/>
      <c r="G18" s="38">
        <f t="shared" si="5"/>
        <v>0</v>
      </c>
      <c r="H18" s="3"/>
      <c r="I18" s="43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44821</v>
      </c>
      <c r="B19" s="3"/>
      <c r="C19" s="38">
        <f t="shared" si="7"/>
        <v>0</v>
      </c>
      <c r="D19" s="3"/>
      <c r="E19" s="38">
        <f t="shared" ref="E19:E32" si="8">(IF((D19-D18)&lt;0,"0",(D19-D18)))*10</f>
        <v>0</v>
      </c>
      <c r="F19" s="3"/>
      <c r="G19" s="38">
        <f t="shared" si="5"/>
        <v>0</v>
      </c>
      <c r="H19" s="3"/>
      <c r="I19" s="43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44822</v>
      </c>
      <c r="B20" s="3"/>
      <c r="C20" s="38">
        <f t="shared" si="7"/>
        <v>0</v>
      </c>
      <c r="D20" s="3"/>
      <c r="E20" s="38">
        <f t="shared" si="8"/>
        <v>0</v>
      </c>
      <c r="F20" s="3"/>
      <c r="G20" s="38">
        <f t="shared" si="5"/>
        <v>0</v>
      </c>
      <c r="H20" s="3"/>
      <c r="I20" s="43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44823</v>
      </c>
      <c r="B21" s="3"/>
      <c r="C21" s="38">
        <f t="shared" si="7"/>
        <v>0</v>
      </c>
      <c r="D21" s="3"/>
      <c r="E21" s="38">
        <f t="shared" si="8"/>
        <v>0</v>
      </c>
      <c r="F21" s="3"/>
      <c r="G21" s="38">
        <f t="shared" si="5"/>
        <v>0</v>
      </c>
      <c r="H21" s="3"/>
      <c r="I21" s="43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44824</v>
      </c>
      <c r="B22" s="3"/>
      <c r="C22" s="38">
        <f t="shared" si="7"/>
        <v>0</v>
      </c>
      <c r="D22" s="3"/>
      <c r="E22" s="38">
        <f t="shared" si="8"/>
        <v>0</v>
      </c>
      <c r="F22" s="3"/>
      <c r="G22" s="38">
        <f t="shared" si="5"/>
        <v>0</v>
      </c>
      <c r="H22" s="3"/>
      <c r="I22" s="43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44825</v>
      </c>
      <c r="B23" s="3"/>
      <c r="C23" s="38">
        <f t="shared" si="7"/>
        <v>0</v>
      </c>
      <c r="D23" s="3"/>
      <c r="E23" s="38">
        <f t="shared" si="8"/>
        <v>0</v>
      </c>
      <c r="F23" s="3"/>
      <c r="G23" s="38">
        <f t="shared" si="5"/>
        <v>0</v>
      </c>
      <c r="H23" s="3"/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44826</v>
      </c>
      <c r="B24" s="3"/>
      <c r="C24" s="38">
        <f t="shared" si="7"/>
        <v>0</v>
      </c>
      <c r="D24" s="3"/>
      <c r="E24" s="38">
        <f t="shared" si="8"/>
        <v>0</v>
      </c>
      <c r="F24" s="3"/>
      <c r="G24" s="38">
        <f t="shared" si="5"/>
        <v>0</v>
      </c>
      <c r="H24" s="3"/>
      <c r="I24" s="43">
        <f t="shared" si="6"/>
        <v>0</v>
      </c>
      <c r="J24" s="19">
        <f t="shared" si="3"/>
        <v>0</v>
      </c>
      <c r="K24" s="20">
        <f t="shared" si="4"/>
        <v>0</v>
      </c>
      <c r="N24" s="166"/>
    </row>
    <row r="25" spans="1:25" ht="17.25" customHeight="1" thickBot="1" x14ac:dyDescent="0.4">
      <c r="A25" s="9">
        <v>44827</v>
      </c>
      <c r="B25" s="3"/>
      <c r="C25" s="38">
        <f t="shared" si="7"/>
        <v>0</v>
      </c>
      <c r="D25" s="3"/>
      <c r="E25" s="38">
        <f t="shared" si="8"/>
        <v>0</v>
      </c>
      <c r="F25" s="3"/>
      <c r="G25" s="38">
        <f t="shared" si="5"/>
        <v>0</v>
      </c>
      <c r="H25" s="3"/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44828</v>
      </c>
      <c r="B26" s="3"/>
      <c r="C26" s="38">
        <f t="shared" si="7"/>
        <v>0</v>
      </c>
      <c r="D26" s="3"/>
      <c r="E26" s="38">
        <f t="shared" si="8"/>
        <v>0</v>
      </c>
      <c r="F26" s="3"/>
      <c r="G26" s="38">
        <f t="shared" si="5"/>
        <v>0</v>
      </c>
      <c r="H26" s="3"/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44829</v>
      </c>
      <c r="B27" s="3"/>
      <c r="C27" s="38">
        <f t="shared" si="7"/>
        <v>0</v>
      </c>
      <c r="D27" s="3"/>
      <c r="E27" s="38">
        <f t="shared" si="8"/>
        <v>0</v>
      </c>
      <c r="F27" s="3"/>
      <c r="G27" s="38">
        <f t="shared" si="5"/>
        <v>0</v>
      </c>
      <c r="H27" s="3"/>
      <c r="I27" s="43">
        <f t="shared" si="6"/>
        <v>0</v>
      </c>
      <c r="J27" s="19">
        <f t="shared" si="3"/>
        <v>0</v>
      </c>
      <c r="K27" s="20">
        <f t="shared" si="4"/>
        <v>0</v>
      </c>
      <c r="N27" s="34"/>
      <c r="O27" t="s">
        <v>12</v>
      </c>
    </row>
    <row r="28" spans="1:25" ht="16.5" thickBot="1" x14ac:dyDescent="0.3">
      <c r="A28" s="9">
        <v>44830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44831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44832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44833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44834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55" t="s">
        <v>23</v>
      </c>
      <c r="B33" s="55"/>
      <c r="C33" s="55">
        <f>SUM(C2:C32)</f>
        <v>6320</v>
      </c>
      <c r="D33" s="55"/>
      <c r="E33" s="55">
        <f>SUM(E2:E32)</f>
        <v>2670</v>
      </c>
      <c r="F33" s="55"/>
      <c r="G33" s="55">
        <f>SUM(G2:G32)</f>
        <v>3566.7</v>
      </c>
      <c r="H33" s="55"/>
      <c r="I33" s="55">
        <f>SUM(I2:I32)</f>
        <v>24.975000000000001</v>
      </c>
      <c r="J33" s="55">
        <v>0</v>
      </c>
      <c r="K33" s="55">
        <f>SUM(K3:K32)</f>
        <v>73728.615500000014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ySplit="1" topLeftCell="A2" activePane="bottomLeft" state="frozen"/>
      <selection pane="bottomLeft" activeCell="A8" sqref="A8:XFD8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44804</v>
      </c>
      <c r="B2" s="132">
        <v>18421000</v>
      </c>
      <c r="C2" s="44"/>
    </row>
    <row r="3" spans="1:9" ht="24" thickBot="1" x14ac:dyDescent="0.4">
      <c r="A3" s="9">
        <v>44805</v>
      </c>
      <c r="B3" s="132">
        <v>18423084</v>
      </c>
      <c r="C3" s="44">
        <f>B3-B2</f>
        <v>2084</v>
      </c>
    </row>
    <row r="4" spans="1:9" ht="24" thickBot="1" x14ac:dyDescent="0.4">
      <c r="A4" s="9">
        <v>44806</v>
      </c>
      <c r="B4" s="132">
        <v>18424841</v>
      </c>
      <c r="C4" s="44">
        <f t="shared" ref="C4:C32" si="0">IF((B4-B3)&lt;0,"0",(B4-B3))</f>
        <v>1757</v>
      </c>
    </row>
    <row r="5" spans="1:9" ht="24" thickBot="1" x14ac:dyDescent="0.4">
      <c r="A5" s="9">
        <v>44807</v>
      </c>
      <c r="B5" s="132">
        <v>18484468</v>
      </c>
      <c r="C5" s="44">
        <v>1800</v>
      </c>
    </row>
    <row r="6" spans="1:9" ht="24" thickBot="1" x14ac:dyDescent="0.4">
      <c r="A6" s="9">
        <v>44808</v>
      </c>
      <c r="B6" s="132">
        <v>18486324</v>
      </c>
      <c r="C6" s="44">
        <f t="shared" si="0"/>
        <v>1856</v>
      </c>
    </row>
    <row r="7" spans="1:9" ht="24" thickBot="1" x14ac:dyDescent="0.4">
      <c r="A7" s="9">
        <v>44809</v>
      </c>
      <c r="B7" s="132">
        <v>18488496</v>
      </c>
      <c r="C7" s="44">
        <f t="shared" si="0"/>
        <v>2172</v>
      </c>
    </row>
    <row r="8" spans="1:9" ht="24" thickBot="1" x14ac:dyDescent="0.4">
      <c r="A8" s="9">
        <v>44810</v>
      </c>
      <c r="B8" s="132">
        <v>18490268</v>
      </c>
      <c r="C8" s="44">
        <f t="shared" si="0"/>
        <v>1772</v>
      </c>
    </row>
    <row r="9" spans="1:9" ht="24" thickBot="1" x14ac:dyDescent="0.4">
      <c r="A9" s="9">
        <v>44811</v>
      </c>
      <c r="B9" s="132">
        <f t="shared" ref="B8:B32" si="1">B8</f>
        <v>18490268</v>
      </c>
      <c r="C9" s="44">
        <f t="shared" si="0"/>
        <v>0</v>
      </c>
    </row>
    <row r="10" spans="1:9" ht="24" thickBot="1" x14ac:dyDescent="0.4">
      <c r="A10" s="9">
        <v>44812</v>
      </c>
      <c r="B10" s="132">
        <f t="shared" si="1"/>
        <v>18490268</v>
      </c>
      <c r="C10" s="44">
        <f t="shared" si="0"/>
        <v>0</v>
      </c>
    </row>
    <row r="11" spans="1:9" ht="24" thickBot="1" x14ac:dyDescent="0.4">
      <c r="A11" s="9">
        <v>44813</v>
      </c>
      <c r="B11" s="132">
        <f t="shared" si="1"/>
        <v>18490268</v>
      </c>
      <c r="C11" s="44">
        <f t="shared" si="0"/>
        <v>0</v>
      </c>
    </row>
    <row r="12" spans="1:9" ht="24" thickBot="1" x14ac:dyDescent="0.4">
      <c r="A12" s="9">
        <v>44814</v>
      </c>
      <c r="B12" s="132">
        <f t="shared" si="1"/>
        <v>18490268</v>
      </c>
      <c r="C12" s="44">
        <f t="shared" si="0"/>
        <v>0</v>
      </c>
    </row>
    <row r="13" spans="1:9" ht="24" thickBot="1" x14ac:dyDescent="0.4">
      <c r="A13" s="9">
        <v>44815</v>
      </c>
      <c r="B13" s="132">
        <f t="shared" si="1"/>
        <v>18490268</v>
      </c>
      <c r="C13" s="44">
        <f t="shared" si="0"/>
        <v>0</v>
      </c>
    </row>
    <row r="14" spans="1:9" ht="24" thickBot="1" x14ac:dyDescent="0.4">
      <c r="A14" s="9">
        <v>44816</v>
      </c>
      <c r="B14" s="132">
        <f t="shared" si="1"/>
        <v>18490268</v>
      </c>
      <c r="C14" s="44">
        <f t="shared" si="0"/>
        <v>0</v>
      </c>
    </row>
    <row r="15" spans="1:9" ht="24" thickBot="1" x14ac:dyDescent="0.4">
      <c r="A15" s="9">
        <v>44817</v>
      </c>
      <c r="B15" s="132">
        <f t="shared" si="1"/>
        <v>18490268</v>
      </c>
      <c r="C15" s="44">
        <f t="shared" si="0"/>
        <v>0</v>
      </c>
      <c r="I15" t="s">
        <v>12</v>
      </c>
    </row>
    <row r="16" spans="1:9" ht="26.25" customHeight="1" thickBot="1" x14ac:dyDescent="0.4">
      <c r="A16" s="9">
        <v>44818</v>
      </c>
      <c r="B16" s="132">
        <f t="shared" si="1"/>
        <v>18490268</v>
      </c>
      <c r="C16" s="44">
        <f t="shared" si="0"/>
        <v>0</v>
      </c>
      <c r="F16" s="153"/>
    </row>
    <row r="17" spans="1:9" ht="25.5" customHeight="1" thickBot="1" x14ac:dyDescent="0.4">
      <c r="A17" s="9">
        <v>44819</v>
      </c>
      <c r="B17" s="132">
        <f t="shared" si="1"/>
        <v>18490268</v>
      </c>
      <c r="C17" s="44">
        <f t="shared" si="0"/>
        <v>0</v>
      </c>
    </row>
    <row r="18" spans="1:9" ht="24" thickBot="1" x14ac:dyDescent="0.4">
      <c r="A18" s="9">
        <v>44820</v>
      </c>
      <c r="B18" s="132">
        <f t="shared" si="1"/>
        <v>18490268</v>
      </c>
      <c r="C18" s="44">
        <f t="shared" si="0"/>
        <v>0</v>
      </c>
      <c r="I18" s="34"/>
    </row>
    <row r="19" spans="1:9" ht="24" thickBot="1" x14ac:dyDescent="0.4">
      <c r="A19" s="9">
        <v>44821</v>
      </c>
      <c r="B19" s="132">
        <f t="shared" si="1"/>
        <v>18490268</v>
      </c>
      <c r="C19" s="44">
        <f t="shared" si="0"/>
        <v>0</v>
      </c>
    </row>
    <row r="20" spans="1:9" ht="24" thickBot="1" x14ac:dyDescent="0.4">
      <c r="A20" s="9">
        <v>44822</v>
      </c>
      <c r="B20" s="132">
        <f t="shared" si="1"/>
        <v>18490268</v>
      </c>
      <c r="C20" s="44">
        <f t="shared" si="0"/>
        <v>0</v>
      </c>
    </row>
    <row r="21" spans="1:9" ht="24" thickBot="1" x14ac:dyDescent="0.4">
      <c r="A21" s="9">
        <v>44823</v>
      </c>
      <c r="B21" s="132">
        <f t="shared" si="1"/>
        <v>18490268</v>
      </c>
      <c r="C21" s="44">
        <f t="shared" si="0"/>
        <v>0</v>
      </c>
    </row>
    <row r="22" spans="1:9" ht="24" thickBot="1" x14ac:dyDescent="0.4">
      <c r="A22" s="9">
        <v>44824</v>
      </c>
      <c r="B22" s="132">
        <f t="shared" si="1"/>
        <v>18490268</v>
      </c>
      <c r="C22" s="44">
        <f t="shared" si="0"/>
        <v>0</v>
      </c>
    </row>
    <row r="23" spans="1:9" ht="24" thickBot="1" x14ac:dyDescent="0.4">
      <c r="A23" s="9">
        <v>44825</v>
      </c>
      <c r="B23" s="132">
        <f t="shared" si="1"/>
        <v>18490268</v>
      </c>
      <c r="C23" s="44">
        <f t="shared" si="0"/>
        <v>0</v>
      </c>
      <c r="F23" t="s">
        <v>12</v>
      </c>
    </row>
    <row r="24" spans="1:9" ht="24" thickBot="1" x14ac:dyDescent="0.4">
      <c r="A24" s="9">
        <v>44826</v>
      </c>
      <c r="B24" s="132">
        <f t="shared" si="1"/>
        <v>18490268</v>
      </c>
      <c r="C24" s="44">
        <f t="shared" si="0"/>
        <v>0</v>
      </c>
      <c r="E24" t="s">
        <v>12</v>
      </c>
    </row>
    <row r="25" spans="1:9" ht="24" thickBot="1" x14ac:dyDescent="0.4">
      <c r="A25" s="9">
        <v>44827</v>
      </c>
      <c r="B25" s="132">
        <f t="shared" si="1"/>
        <v>18490268</v>
      </c>
      <c r="C25" s="44">
        <f t="shared" si="0"/>
        <v>0</v>
      </c>
    </row>
    <row r="26" spans="1:9" ht="24" thickBot="1" x14ac:dyDescent="0.4">
      <c r="A26" s="9">
        <v>44828</v>
      </c>
      <c r="B26" s="132">
        <f t="shared" si="1"/>
        <v>18490268</v>
      </c>
      <c r="C26" s="44">
        <f t="shared" si="0"/>
        <v>0</v>
      </c>
    </row>
    <row r="27" spans="1:9" ht="24" thickBot="1" x14ac:dyDescent="0.4">
      <c r="A27" s="9">
        <v>44829</v>
      </c>
      <c r="B27" s="132">
        <f t="shared" si="1"/>
        <v>18490268</v>
      </c>
      <c r="C27" s="44">
        <f t="shared" si="0"/>
        <v>0</v>
      </c>
    </row>
    <row r="28" spans="1:9" ht="24" thickBot="1" x14ac:dyDescent="0.4">
      <c r="A28" s="9">
        <v>44830</v>
      </c>
      <c r="B28" s="132">
        <f t="shared" si="1"/>
        <v>18490268</v>
      </c>
      <c r="C28" s="44">
        <f t="shared" si="0"/>
        <v>0</v>
      </c>
      <c r="I28" t="s">
        <v>12</v>
      </c>
    </row>
    <row r="29" spans="1:9" ht="24" thickBot="1" x14ac:dyDescent="0.4">
      <c r="A29" s="9">
        <v>44831</v>
      </c>
      <c r="B29" s="132">
        <f t="shared" si="1"/>
        <v>18490268</v>
      </c>
      <c r="C29" s="44">
        <f t="shared" si="0"/>
        <v>0</v>
      </c>
    </row>
    <row r="30" spans="1:9" ht="24" thickBot="1" x14ac:dyDescent="0.4">
      <c r="A30" s="9">
        <v>44832</v>
      </c>
      <c r="B30" s="132">
        <f t="shared" si="1"/>
        <v>18490268</v>
      </c>
      <c r="C30" s="44">
        <f t="shared" si="0"/>
        <v>0</v>
      </c>
    </row>
    <row r="31" spans="1:9" ht="24" thickBot="1" x14ac:dyDescent="0.4">
      <c r="A31" s="9">
        <v>44833</v>
      </c>
      <c r="B31" s="132">
        <f t="shared" si="1"/>
        <v>18490268</v>
      </c>
      <c r="C31" s="44">
        <f t="shared" si="0"/>
        <v>0</v>
      </c>
    </row>
    <row r="32" spans="1:9" ht="24" thickBot="1" x14ac:dyDescent="0.4">
      <c r="A32" s="9">
        <v>44834</v>
      </c>
      <c r="B32" s="132">
        <f t="shared" si="1"/>
        <v>18490268</v>
      </c>
      <c r="C32" s="44">
        <f t="shared" si="0"/>
        <v>0</v>
      </c>
    </row>
    <row r="33" spans="1:3" ht="24" thickBot="1" x14ac:dyDescent="0.4">
      <c r="A33" s="134" t="s">
        <v>138</v>
      </c>
      <c r="B33" s="134"/>
      <c r="C33" s="134">
        <f>SUM(C3:C32)</f>
        <v>11441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90" zoomScaleNormal="90" workbookViewId="0">
      <pane ySplit="1" topLeftCell="A2" activePane="bottomLeft" state="frozen"/>
      <selection pane="bottomLeft" activeCell="A8" sqref="A8:XFD8"/>
    </sheetView>
  </sheetViews>
  <sheetFormatPr defaultRowHeight="12.75" x14ac:dyDescent="0.2"/>
  <cols>
    <col min="1" max="1" width="20.85546875" bestFit="1" customWidth="1"/>
    <col min="2" max="2" width="12.85546875" style="159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3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6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7" t="s">
        <v>140</v>
      </c>
      <c r="X1" s="168"/>
      <c r="Y1" s="168"/>
      <c r="Z1" s="168"/>
      <c r="AA1" s="169"/>
      <c r="AB1" s="170" t="s">
        <v>142</v>
      </c>
      <c r="AC1" s="168"/>
      <c r="AD1" s="170" t="s">
        <v>143</v>
      </c>
      <c r="AE1" s="168"/>
      <c r="AF1" s="167" t="s">
        <v>144</v>
      </c>
      <c r="AG1" s="168"/>
    </row>
    <row r="2" spans="1:33" s="22" customFormat="1" ht="16.5" thickBot="1" x14ac:dyDescent="0.25">
      <c r="A2" s="9">
        <v>44804</v>
      </c>
      <c r="B2" s="157">
        <v>24738.928</v>
      </c>
      <c r="C2" s="43"/>
      <c r="D2" s="28">
        <f t="shared" ref="D2" si="0">C2*1.9*1000</f>
        <v>0</v>
      </c>
      <c r="E2" s="1">
        <v>4495.0450000000001</v>
      </c>
      <c r="F2" s="43"/>
      <c r="G2" s="28">
        <f t="shared" ref="G2" si="1">F2*1.9*1000</f>
        <v>0</v>
      </c>
      <c r="H2" s="1">
        <v>5991</v>
      </c>
      <c r="I2" s="43"/>
      <c r="J2" s="28">
        <f t="shared" ref="J2" si="2">I2*1.9*1000</f>
        <v>0</v>
      </c>
      <c r="K2" s="7">
        <v>14198.43</v>
      </c>
      <c r="L2" s="43"/>
      <c r="M2" s="28">
        <f t="shared" ref="M2" si="3">L2*1.9*1000</f>
        <v>0</v>
      </c>
      <c r="N2" s="7">
        <v>3722.1390000000001</v>
      </c>
      <c r="O2" s="43"/>
      <c r="P2" s="28">
        <f t="shared" ref="P2" si="4">O2*1.9*1000</f>
        <v>0</v>
      </c>
      <c r="Q2" s="7">
        <v>5508.88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/>
      <c r="V2"/>
      <c r="W2" s="154">
        <v>44804</v>
      </c>
      <c r="X2" s="155">
        <v>203898</v>
      </c>
      <c r="Y2" s="160">
        <v>0</v>
      </c>
      <c r="Z2" s="155">
        <v>9873</v>
      </c>
      <c r="AA2" s="160">
        <v>0</v>
      </c>
      <c r="AB2" s="155">
        <v>33.6</v>
      </c>
      <c r="AC2" s="160"/>
      <c r="AD2" s="155">
        <v>655</v>
      </c>
      <c r="AE2" s="160"/>
      <c r="AF2" s="155">
        <v>8847</v>
      </c>
      <c r="AG2" s="160"/>
    </row>
    <row r="3" spans="1:33" ht="16.5" thickBot="1" x14ac:dyDescent="0.25">
      <c r="A3" s="9">
        <v>44805</v>
      </c>
      <c r="B3" s="157">
        <v>24751.396000000001</v>
      </c>
      <c r="C3" s="43">
        <f t="shared" ref="C3" si="7">IF((B3-B2)&lt;0,"0",(B3-B2))</f>
        <v>12.468000000000757</v>
      </c>
      <c r="D3" s="28">
        <f t="shared" ref="D3" si="8">C3*1.9*1000</f>
        <v>23689.200000001434</v>
      </c>
      <c r="E3" s="1">
        <v>4497.8969999999999</v>
      </c>
      <c r="F3" s="43">
        <f t="shared" ref="F3" si="9">IF((E3-E2)&lt;0,"0",(E3-E2))</f>
        <v>2.8519999999998618</v>
      </c>
      <c r="G3" s="28">
        <f t="shared" ref="G3" si="10">F3*1.9*1000</f>
        <v>5418.7999999997373</v>
      </c>
      <c r="H3" s="1">
        <v>6000</v>
      </c>
      <c r="I3" s="43">
        <f t="shared" ref="I3" si="11">IF((H3-H2)&lt;0,"0",(H3-H2))</f>
        <v>9</v>
      </c>
      <c r="J3" s="28">
        <f t="shared" ref="J3" si="12">I3*1.9*1000</f>
        <v>17099.999999999996</v>
      </c>
      <c r="K3" s="7">
        <v>14200.51</v>
      </c>
      <c r="L3" s="43">
        <f t="shared" ref="L3" si="13">IF((K3-K2)&lt;0,"0",(K3-K2))</f>
        <v>2.0799999999999272</v>
      </c>
      <c r="M3" s="28">
        <f t="shared" ref="M3" si="14">L3*1.9*1000</f>
        <v>3951.9999999998613</v>
      </c>
      <c r="N3" s="7">
        <v>3724.3130000000001</v>
      </c>
      <c r="O3" s="43">
        <f t="shared" ref="O3" si="15">IF((N3-N2)&lt;0,"0",(N3-N2))</f>
        <v>2.1739999999999782</v>
      </c>
      <c r="P3" s="28">
        <f t="shared" ref="P3" si="16">O3*1.9*1000</f>
        <v>4130.5999999999585</v>
      </c>
      <c r="Q3" s="7">
        <v>5509.91</v>
      </c>
      <c r="R3" s="43">
        <f t="shared" ref="R3" si="17">IF((Q3-Q2)&lt;0,"0",(Q3-Q2))</f>
        <v>1.0299999999997453</v>
      </c>
      <c r="S3" s="28">
        <f t="shared" ref="S3" si="18">R3*1.9*1000</f>
        <v>1956.9999999995159</v>
      </c>
      <c r="T3" s="8">
        <f>C3+F3+I3+L3+O3+R3</f>
        <v>29.604000000000269</v>
      </c>
      <c r="U3" s="30">
        <f t="shared" ref="U3" si="19">T3*1.9*1000</f>
        <v>56247.600000000508</v>
      </c>
      <c r="W3" s="154">
        <v>44805</v>
      </c>
      <c r="X3" s="155">
        <v>204228</v>
      </c>
      <c r="Y3" s="160">
        <f t="shared" ref="Y3:AG31" si="20">IF((X3-X2)&lt;0,"0",(X3-X2))</f>
        <v>330</v>
      </c>
      <c r="Z3" s="155">
        <v>9880</v>
      </c>
      <c r="AA3" s="160">
        <f t="shared" si="20"/>
        <v>7</v>
      </c>
      <c r="AB3" s="155">
        <f>AB2</f>
        <v>33.6</v>
      </c>
      <c r="AC3" s="160">
        <f t="shared" si="20"/>
        <v>0</v>
      </c>
      <c r="AD3" s="155">
        <v>658</v>
      </c>
      <c r="AE3" s="160">
        <f t="shared" si="20"/>
        <v>3</v>
      </c>
      <c r="AF3" s="155">
        <v>8862</v>
      </c>
      <c r="AG3" s="160">
        <f t="shared" si="20"/>
        <v>15</v>
      </c>
    </row>
    <row r="4" spans="1:33" ht="16.5" thickBot="1" x14ac:dyDescent="0.25">
      <c r="A4" s="9">
        <v>44806</v>
      </c>
      <c r="B4" s="157">
        <v>24764.170999999998</v>
      </c>
      <c r="C4" s="43">
        <f t="shared" ref="C4:C32" si="21">IF((B4-B3)&lt;0,"0",(B4-B3))</f>
        <v>12.774999999997817</v>
      </c>
      <c r="D4" s="28">
        <f t="shared" ref="D4:D32" si="22">C4*1.9*1000</f>
        <v>24272.499999995853</v>
      </c>
      <c r="E4" s="1">
        <v>4500.0150000000003</v>
      </c>
      <c r="F4" s="43">
        <f t="shared" ref="F4:F32" si="23">IF((E4-E3)&lt;0,"0",(E4-E3))</f>
        <v>2.1180000000003929</v>
      </c>
      <c r="G4" s="28">
        <f t="shared" ref="G4:G32" si="24">F4*1.9*1000</f>
        <v>4024.2000000007465</v>
      </c>
      <c r="H4" s="1">
        <v>6007</v>
      </c>
      <c r="I4" s="43">
        <f t="shared" ref="I4:I32" si="25">IF((H4-H3)&lt;0,"0",(H4-H3))</f>
        <v>7</v>
      </c>
      <c r="J4" s="28">
        <f t="shared" ref="J4:J32" si="26">I4*1.9*1000</f>
        <v>13299.999999999998</v>
      </c>
      <c r="K4" s="7">
        <v>14203</v>
      </c>
      <c r="L4" s="43">
        <f t="shared" ref="L4:L32" si="27">IF((K4-K3)&lt;0,"0",(K4-K3))</f>
        <v>2.4899999999997817</v>
      </c>
      <c r="M4" s="28">
        <f t="shared" ref="M4:M32" si="28">L4*1.9*1000</f>
        <v>4730.9999999995853</v>
      </c>
      <c r="N4" s="7">
        <v>3726.6350000000002</v>
      </c>
      <c r="O4" s="43">
        <f t="shared" ref="O4:O32" si="29">IF((N4-N3)&lt;0,"0",(N4-N3))</f>
        <v>2.3220000000001164</v>
      </c>
      <c r="P4" s="28">
        <f t="shared" ref="P4:P32" si="30">O4*1.9*1000</f>
        <v>4411.8000000002203</v>
      </c>
      <c r="Q4" s="7">
        <v>5510.81</v>
      </c>
      <c r="R4" s="43">
        <f t="shared" ref="R4:R32" si="31">IF((Q4-Q3)&lt;0,"0",(Q4-Q3))</f>
        <v>0.9000000000005457</v>
      </c>
      <c r="S4" s="28">
        <f t="shared" ref="S4:S32" si="32">R4*1.9*1000</f>
        <v>1710.0000000010366</v>
      </c>
      <c r="T4" s="8">
        <f>C4+F4+I4+L4+O4+R4</f>
        <v>27.604999999998654</v>
      </c>
      <c r="U4" s="30">
        <f t="shared" ref="U4:U32" si="33">T4*1.9*1000</f>
        <v>52449.499999997439</v>
      </c>
      <c r="W4" s="154">
        <v>44806</v>
      </c>
      <c r="X4" s="155">
        <v>204529</v>
      </c>
      <c r="Y4" s="160">
        <f t="shared" si="20"/>
        <v>301</v>
      </c>
      <c r="Z4" s="155">
        <v>9892</v>
      </c>
      <c r="AA4" s="160">
        <f t="shared" si="20"/>
        <v>12</v>
      </c>
      <c r="AB4" s="155">
        <v>33.700000000000003</v>
      </c>
      <c r="AC4" s="160">
        <f t="shared" si="20"/>
        <v>0.10000000000000142</v>
      </c>
      <c r="AD4" s="155">
        <v>661</v>
      </c>
      <c r="AE4" s="160">
        <f t="shared" si="20"/>
        <v>3</v>
      </c>
      <c r="AF4" s="155">
        <v>8867</v>
      </c>
      <c r="AG4" s="160">
        <f t="shared" si="20"/>
        <v>5</v>
      </c>
    </row>
    <row r="5" spans="1:33" ht="16.5" thickBot="1" x14ac:dyDescent="0.25">
      <c r="A5" s="9">
        <v>44807</v>
      </c>
      <c r="B5" s="157">
        <v>24777.896000000001</v>
      </c>
      <c r="C5" s="43">
        <f t="shared" si="21"/>
        <v>13.725000000002183</v>
      </c>
      <c r="D5" s="28">
        <f t="shared" si="22"/>
        <v>26077.500000004147</v>
      </c>
      <c r="E5" s="1">
        <v>4501.951</v>
      </c>
      <c r="F5" s="43">
        <f t="shared" si="23"/>
        <v>1.9359999999996944</v>
      </c>
      <c r="G5" s="28">
        <f t="shared" si="24"/>
        <v>3678.3999999994189</v>
      </c>
      <c r="H5" s="1">
        <v>6016</v>
      </c>
      <c r="I5" s="43">
        <f t="shared" si="25"/>
        <v>9</v>
      </c>
      <c r="J5" s="28">
        <f t="shared" si="26"/>
        <v>17099.999999999996</v>
      </c>
      <c r="K5" s="7">
        <v>14205.96</v>
      </c>
      <c r="L5" s="43">
        <f t="shared" si="27"/>
        <v>2.9599999999991269</v>
      </c>
      <c r="M5" s="28">
        <f t="shared" si="28"/>
        <v>5623.9999999983402</v>
      </c>
      <c r="N5" s="7">
        <v>3729.0390000000002</v>
      </c>
      <c r="O5" s="43">
        <f t="shared" si="29"/>
        <v>2.4039999999999964</v>
      </c>
      <c r="P5" s="28">
        <f t="shared" si="30"/>
        <v>4567.5999999999922</v>
      </c>
      <c r="Q5" s="7">
        <v>5511.7</v>
      </c>
      <c r="R5" s="43">
        <f t="shared" si="31"/>
        <v>0.88999999999941792</v>
      </c>
      <c r="S5" s="28">
        <f t="shared" si="32"/>
        <v>1690.9999999988941</v>
      </c>
      <c r="T5" s="8">
        <f>C5+F5+I5+L5+O5+R5</f>
        <v>30.915000000000418</v>
      </c>
      <c r="U5" s="30">
        <f t="shared" si="33"/>
        <v>58738.500000000793</v>
      </c>
      <c r="W5" s="154">
        <v>44807</v>
      </c>
      <c r="X5" s="155">
        <v>204846</v>
      </c>
      <c r="Y5" s="160">
        <f t="shared" si="20"/>
        <v>317</v>
      </c>
      <c r="Z5" s="155">
        <v>9901</v>
      </c>
      <c r="AA5" s="160">
        <f t="shared" si="20"/>
        <v>9</v>
      </c>
      <c r="AB5" s="155">
        <f t="shared" ref="AB5:AB32" si="34">AB4</f>
        <v>33.700000000000003</v>
      </c>
      <c r="AC5" s="160">
        <f t="shared" si="20"/>
        <v>0</v>
      </c>
      <c r="AD5" s="155">
        <v>664</v>
      </c>
      <c r="AE5" s="160">
        <f t="shared" si="20"/>
        <v>3</v>
      </c>
      <c r="AF5" s="155">
        <v>8891</v>
      </c>
      <c r="AG5" s="160">
        <f t="shared" si="20"/>
        <v>24</v>
      </c>
    </row>
    <row r="6" spans="1:33" ht="16.5" thickBot="1" x14ac:dyDescent="0.25">
      <c r="A6" s="9">
        <v>44808</v>
      </c>
      <c r="B6" s="157">
        <v>24791.543000000001</v>
      </c>
      <c r="C6" s="43">
        <f t="shared" si="21"/>
        <v>13.647000000000844</v>
      </c>
      <c r="D6" s="28">
        <f t="shared" si="22"/>
        <v>25929.300000001604</v>
      </c>
      <c r="E6" s="1">
        <v>4505.241</v>
      </c>
      <c r="F6" s="43">
        <f t="shared" si="23"/>
        <v>3.2899999999999636</v>
      </c>
      <c r="G6" s="28">
        <f t="shared" si="24"/>
        <v>6250.99999999993</v>
      </c>
      <c r="H6" s="1">
        <v>6025</v>
      </c>
      <c r="I6" s="43">
        <f t="shared" si="25"/>
        <v>9</v>
      </c>
      <c r="J6" s="28">
        <f t="shared" si="26"/>
        <v>17099.999999999996</v>
      </c>
      <c r="K6" s="7">
        <v>14208.94</v>
      </c>
      <c r="L6" s="43">
        <f t="shared" si="27"/>
        <v>2.9800000000013824</v>
      </c>
      <c r="M6" s="28">
        <f t="shared" si="28"/>
        <v>5662.0000000026266</v>
      </c>
      <c r="N6" s="7">
        <v>3731.3519999999999</v>
      </c>
      <c r="O6" s="43">
        <f t="shared" si="29"/>
        <v>2.3129999999996471</v>
      </c>
      <c r="P6" s="28">
        <f t="shared" si="30"/>
        <v>4394.6999999993295</v>
      </c>
      <c r="Q6" s="7">
        <v>5513.1</v>
      </c>
      <c r="R6" s="43">
        <f t="shared" si="31"/>
        <v>1.4000000000005457</v>
      </c>
      <c r="S6" s="28">
        <f t="shared" si="32"/>
        <v>2660.0000000010368</v>
      </c>
      <c r="T6" s="8">
        <f t="shared" ref="T6:T32" si="35">C6+F6+I6+L6+O6+R6</f>
        <v>32.630000000002383</v>
      </c>
      <c r="U6" s="30">
        <f t="shared" si="33"/>
        <v>61997.000000004526</v>
      </c>
      <c r="W6" s="154">
        <v>44808</v>
      </c>
      <c r="X6" s="155">
        <v>205211</v>
      </c>
      <c r="Y6" s="160">
        <f t="shared" si="20"/>
        <v>365</v>
      </c>
      <c r="Z6" s="155">
        <v>9911</v>
      </c>
      <c r="AA6" s="160">
        <f t="shared" si="20"/>
        <v>10</v>
      </c>
      <c r="AB6" s="155">
        <v>33.799999999999997</v>
      </c>
      <c r="AC6" s="160">
        <f t="shared" si="20"/>
        <v>9.9999999999994316E-2</v>
      </c>
      <c r="AD6" s="155">
        <v>668</v>
      </c>
      <c r="AE6" s="160">
        <f t="shared" si="20"/>
        <v>4</v>
      </c>
      <c r="AF6" s="155">
        <v>8904</v>
      </c>
      <c r="AG6" s="160">
        <f t="shared" si="20"/>
        <v>13</v>
      </c>
    </row>
    <row r="7" spans="1:33" ht="16.5" thickBot="1" x14ac:dyDescent="0.25">
      <c r="A7" s="9">
        <v>44809</v>
      </c>
      <c r="B7" s="157">
        <v>24802.525000000001</v>
      </c>
      <c r="C7" s="43">
        <f t="shared" si="21"/>
        <v>10.981999999999971</v>
      </c>
      <c r="D7" s="28">
        <f t="shared" si="22"/>
        <v>20865.799999999945</v>
      </c>
      <c r="E7" s="1">
        <v>4507.8959999999997</v>
      </c>
      <c r="F7" s="43">
        <f t="shared" si="23"/>
        <v>2.6549999999997453</v>
      </c>
      <c r="G7" s="28">
        <f t="shared" si="24"/>
        <v>5044.4999999995161</v>
      </c>
      <c r="H7" s="1">
        <v>6032</v>
      </c>
      <c r="I7" s="43">
        <f t="shared" si="25"/>
        <v>7</v>
      </c>
      <c r="J7" s="28">
        <f t="shared" si="26"/>
        <v>13299.999999999998</v>
      </c>
      <c r="K7" s="7">
        <v>14210.8</v>
      </c>
      <c r="L7" s="43">
        <f t="shared" si="27"/>
        <v>1.8599999999987631</v>
      </c>
      <c r="M7" s="28">
        <f t="shared" si="28"/>
        <v>3533.9999999976499</v>
      </c>
      <c r="N7" s="7">
        <v>3733.1790000000001</v>
      </c>
      <c r="O7" s="43">
        <f t="shared" si="29"/>
        <v>1.8270000000002256</v>
      </c>
      <c r="P7" s="28">
        <f t="shared" si="30"/>
        <v>3471.3000000004286</v>
      </c>
      <c r="Q7" s="7">
        <v>5515.82</v>
      </c>
      <c r="R7" s="43">
        <f t="shared" si="31"/>
        <v>2.7199999999993452</v>
      </c>
      <c r="S7" s="28">
        <f t="shared" si="32"/>
        <v>5167.9999999987558</v>
      </c>
      <c r="T7" s="8">
        <f t="shared" si="35"/>
        <v>27.04399999999805</v>
      </c>
      <c r="U7" s="30">
        <f t="shared" si="33"/>
        <v>51383.599999996295</v>
      </c>
      <c r="W7" s="154">
        <v>44809</v>
      </c>
      <c r="X7" s="155">
        <v>205498</v>
      </c>
      <c r="Y7" s="160">
        <f t="shared" si="20"/>
        <v>287</v>
      </c>
      <c r="Z7" s="155">
        <v>9919</v>
      </c>
      <c r="AA7" s="160">
        <f t="shared" si="20"/>
        <v>8</v>
      </c>
      <c r="AB7" s="155">
        <f t="shared" si="34"/>
        <v>33.799999999999997</v>
      </c>
      <c r="AC7" s="160">
        <f t="shared" si="20"/>
        <v>0</v>
      </c>
      <c r="AD7" s="155">
        <v>671</v>
      </c>
      <c r="AE7" s="160">
        <f t="shared" si="20"/>
        <v>3</v>
      </c>
      <c r="AF7" s="155">
        <v>8920</v>
      </c>
      <c r="AG7" s="160">
        <f t="shared" si="20"/>
        <v>16</v>
      </c>
    </row>
    <row r="8" spans="1:33" ht="16.5" thickBot="1" x14ac:dyDescent="0.25">
      <c r="A8" s="9">
        <v>44810</v>
      </c>
      <c r="B8" s="157">
        <v>24814.813999999998</v>
      </c>
      <c r="C8" s="43">
        <f t="shared" si="21"/>
        <v>12.288999999997031</v>
      </c>
      <c r="D8" s="28">
        <f t="shared" si="22"/>
        <v>23349.09999999436</v>
      </c>
      <c r="E8" s="1">
        <v>4511.5349999999999</v>
      </c>
      <c r="F8" s="43">
        <f t="shared" si="23"/>
        <v>3.6390000000001237</v>
      </c>
      <c r="G8" s="28">
        <f t="shared" si="24"/>
        <v>6914.100000000235</v>
      </c>
      <c r="H8" s="1">
        <v>6041</v>
      </c>
      <c r="I8" s="43">
        <f t="shared" si="25"/>
        <v>9</v>
      </c>
      <c r="J8" s="28">
        <f t="shared" si="26"/>
        <v>17099.999999999996</v>
      </c>
      <c r="K8" s="7">
        <v>14213.03</v>
      </c>
      <c r="L8" s="43">
        <f t="shared" si="27"/>
        <v>2.2300000000013824</v>
      </c>
      <c r="M8" s="28">
        <f t="shared" si="28"/>
        <v>4237.0000000026266</v>
      </c>
      <c r="N8" s="7">
        <v>3735.4050000000002</v>
      </c>
      <c r="O8" s="43">
        <f t="shared" si="29"/>
        <v>2.2260000000001128</v>
      </c>
      <c r="P8" s="28">
        <f t="shared" si="30"/>
        <v>4229.4000000002143</v>
      </c>
      <c r="Q8" s="7">
        <v>5518.17</v>
      </c>
      <c r="R8" s="43">
        <f t="shared" si="31"/>
        <v>2.3500000000003638</v>
      </c>
      <c r="S8" s="28">
        <f t="shared" si="32"/>
        <v>4465.0000000006912</v>
      </c>
      <c r="T8" s="8">
        <f t="shared" si="35"/>
        <v>31.733999999999014</v>
      </c>
      <c r="U8" s="30">
        <f t="shared" si="33"/>
        <v>60294.599999998129</v>
      </c>
      <c r="W8" s="154">
        <v>44810</v>
      </c>
      <c r="X8" s="155">
        <v>205819</v>
      </c>
      <c r="Y8" s="160">
        <f t="shared" si="20"/>
        <v>321</v>
      </c>
      <c r="Z8" s="155">
        <v>9937</v>
      </c>
      <c r="AA8" s="160">
        <f t="shared" si="20"/>
        <v>18</v>
      </c>
      <c r="AB8" s="155">
        <f t="shared" si="34"/>
        <v>33.799999999999997</v>
      </c>
      <c r="AC8" s="160">
        <f t="shared" si="20"/>
        <v>0</v>
      </c>
      <c r="AD8" s="155">
        <v>674</v>
      </c>
      <c r="AE8" s="160">
        <f t="shared" si="20"/>
        <v>3</v>
      </c>
      <c r="AF8" s="155">
        <v>8932</v>
      </c>
      <c r="AG8" s="160">
        <f t="shared" si="20"/>
        <v>12</v>
      </c>
    </row>
    <row r="9" spans="1:33" ht="16.5" thickBot="1" x14ac:dyDescent="0.25">
      <c r="A9" s="9">
        <v>44811</v>
      </c>
      <c r="B9" s="157">
        <f t="shared" ref="B8:B32" si="36">B8</f>
        <v>24814.813999999998</v>
      </c>
      <c r="C9" s="43">
        <f t="shared" si="21"/>
        <v>0</v>
      </c>
      <c r="D9" s="28">
        <f t="shared" si="22"/>
        <v>0</v>
      </c>
      <c r="E9" s="1">
        <f t="shared" ref="E8:E32" si="37">E8</f>
        <v>4511.5349999999999</v>
      </c>
      <c r="F9" s="43">
        <f t="shared" si="23"/>
        <v>0</v>
      </c>
      <c r="G9" s="28">
        <f t="shared" si="24"/>
        <v>0</v>
      </c>
      <c r="H9" s="1">
        <f t="shared" ref="H8:H32" si="38">H8</f>
        <v>6041</v>
      </c>
      <c r="I9" s="43">
        <f t="shared" si="25"/>
        <v>0</v>
      </c>
      <c r="J9" s="28">
        <f t="shared" si="26"/>
        <v>0</v>
      </c>
      <c r="K9" s="7">
        <f t="shared" ref="K8:K32" si="39">K8</f>
        <v>14213.03</v>
      </c>
      <c r="L9" s="43">
        <f t="shared" si="27"/>
        <v>0</v>
      </c>
      <c r="M9" s="28">
        <f t="shared" si="28"/>
        <v>0</v>
      </c>
      <c r="N9" s="7">
        <f t="shared" ref="N8:N32" si="40">N8</f>
        <v>3735.4050000000002</v>
      </c>
      <c r="O9" s="43">
        <f t="shared" si="29"/>
        <v>0</v>
      </c>
      <c r="P9" s="28">
        <f t="shared" si="30"/>
        <v>0</v>
      </c>
      <c r="Q9" s="7">
        <f t="shared" ref="Q8:Q32" si="41">Q8</f>
        <v>5518.17</v>
      </c>
      <c r="R9" s="43">
        <f t="shared" si="31"/>
        <v>0</v>
      </c>
      <c r="S9" s="28">
        <f t="shared" si="32"/>
        <v>0</v>
      </c>
      <c r="T9" s="8">
        <f t="shared" si="35"/>
        <v>0</v>
      </c>
      <c r="U9" s="30">
        <f t="shared" si="33"/>
        <v>0</v>
      </c>
      <c r="W9" s="154">
        <v>44811</v>
      </c>
      <c r="X9" s="155">
        <f t="shared" ref="X8:X32" si="42">X8</f>
        <v>205819</v>
      </c>
      <c r="Y9" s="160">
        <f t="shared" si="20"/>
        <v>0</v>
      </c>
      <c r="Z9" s="155">
        <f t="shared" ref="Z8:Z32" si="43">Z8</f>
        <v>9937</v>
      </c>
      <c r="AA9" s="160">
        <f t="shared" si="20"/>
        <v>0</v>
      </c>
      <c r="AB9" s="155">
        <f t="shared" si="34"/>
        <v>33.799999999999997</v>
      </c>
      <c r="AC9" s="160">
        <f t="shared" si="20"/>
        <v>0</v>
      </c>
      <c r="AD9" s="155">
        <f t="shared" ref="AD8:AD32" si="44">AD8</f>
        <v>674</v>
      </c>
      <c r="AE9" s="160">
        <f t="shared" si="20"/>
        <v>0</v>
      </c>
      <c r="AF9" s="155">
        <f t="shared" ref="AF8:AF32" si="45">AF8</f>
        <v>8932</v>
      </c>
      <c r="AG9" s="160">
        <f t="shared" si="20"/>
        <v>0</v>
      </c>
    </row>
    <row r="10" spans="1:33" ht="16.5" thickBot="1" x14ac:dyDescent="0.25">
      <c r="A10" s="9">
        <v>44812</v>
      </c>
      <c r="B10" s="157">
        <f t="shared" si="36"/>
        <v>24814.813999999998</v>
      </c>
      <c r="C10" s="43">
        <f t="shared" si="21"/>
        <v>0</v>
      </c>
      <c r="D10" s="28">
        <f t="shared" si="22"/>
        <v>0</v>
      </c>
      <c r="E10" s="1">
        <f t="shared" si="37"/>
        <v>4511.5349999999999</v>
      </c>
      <c r="F10" s="43">
        <f t="shared" si="23"/>
        <v>0</v>
      </c>
      <c r="G10" s="28">
        <f t="shared" si="24"/>
        <v>0</v>
      </c>
      <c r="H10" s="1">
        <f t="shared" si="38"/>
        <v>6041</v>
      </c>
      <c r="I10" s="43">
        <f t="shared" si="25"/>
        <v>0</v>
      </c>
      <c r="J10" s="28">
        <f t="shared" si="26"/>
        <v>0</v>
      </c>
      <c r="K10" s="7">
        <f t="shared" si="39"/>
        <v>14213.03</v>
      </c>
      <c r="L10" s="43">
        <f t="shared" si="27"/>
        <v>0</v>
      </c>
      <c r="M10" s="28">
        <f t="shared" si="28"/>
        <v>0</v>
      </c>
      <c r="N10" s="7">
        <f t="shared" si="40"/>
        <v>3735.4050000000002</v>
      </c>
      <c r="O10" s="43">
        <f>IF((N10-N9)&lt;0,"0",(N10-N9))</f>
        <v>0</v>
      </c>
      <c r="P10" s="28">
        <f t="shared" si="30"/>
        <v>0</v>
      </c>
      <c r="Q10" s="7">
        <f t="shared" si="41"/>
        <v>5518.17</v>
      </c>
      <c r="R10" s="43">
        <f t="shared" si="31"/>
        <v>0</v>
      </c>
      <c r="S10" s="28">
        <f t="shared" si="32"/>
        <v>0</v>
      </c>
      <c r="T10" s="8">
        <f t="shared" si="35"/>
        <v>0</v>
      </c>
      <c r="U10" s="30">
        <f t="shared" si="33"/>
        <v>0</v>
      </c>
      <c r="W10" s="154">
        <v>44812</v>
      </c>
      <c r="X10" s="155">
        <f t="shared" si="42"/>
        <v>205819</v>
      </c>
      <c r="Y10" s="160">
        <f t="shared" si="20"/>
        <v>0</v>
      </c>
      <c r="Z10" s="155">
        <f t="shared" si="43"/>
        <v>9937</v>
      </c>
      <c r="AA10" s="160">
        <f t="shared" si="20"/>
        <v>0</v>
      </c>
      <c r="AB10" s="155">
        <f t="shared" si="34"/>
        <v>33.799999999999997</v>
      </c>
      <c r="AC10" s="160">
        <f t="shared" si="20"/>
        <v>0</v>
      </c>
      <c r="AD10" s="155">
        <f t="shared" si="44"/>
        <v>674</v>
      </c>
      <c r="AE10" s="160">
        <f t="shared" si="20"/>
        <v>0</v>
      </c>
      <c r="AF10" s="155">
        <f t="shared" si="45"/>
        <v>8932</v>
      </c>
      <c r="AG10" s="160">
        <f t="shared" si="20"/>
        <v>0</v>
      </c>
    </row>
    <row r="11" spans="1:33" ht="16.5" thickBot="1" x14ac:dyDescent="0.25">
      <c r="A11" s="9">
        <v>44813</v>
      </c>
      <c r="B11" s="157">
        <f t="shared" si="36"/>
        <v>24814.813999999998</v>
      </c>
      <c r="C11" s="43">
        <f t="shared" si="21"/>
        <v>0</v>
      </c>
      <c r="D11" s="28">
        <f t="shared" si="22"/>
        <v>0</v>
      </c>
      <c r="E11" s="1">
        <f t="shared" si="37"/>
        <v>4511.5349999999999</v>
      </c>
      <c r="F11" s="43">
        <f t="shared" si="23"/>
        <v>0</v>
      </c>
      <c r="G11" s="28">
        <f t="shared" si="24"/>
        <v>0</v>
      </c>
      <c r="H11" s="1">
        <f t="shared" si="38"/>
        <v>6041</v>
      </c>
      <c r="I11" s="43">
        <f t="shared" si="25"/>
        <v>0</v>
      </c>
      <c r="J11" s="28">
        <f t="shared" si="26"/>
        <v>0</v>
      </c>
      <c r="K11" s="7">
        <f t="shared" si="39"/>
        <v>14213.03</v>
      </c>
      <c r="L11" s="43">
        <f t="shared" si="27"/>
        <v>0</v>
      </c>
      <c r="M11" s="28">
        <f t="shared" si="28"/>
        <v>0</v>
      </c>
      <c r="N11" s="7">
        <f t="shared" si="40"/>
        <v>3735.4050000000002</v>
      </c>
      <c r="O11" s="43">
        <f t="shared" si="29"/>
        <v>0</v>
      </c>
      <c r="P11" s="28">
        <f t="shared" si="30"/>
        <v>0</v>
      </c>
      <c r="Q11" s="7">
        <f t="shared" si="41"/>
        <v>5518.17</v>
      </c>
      <c r="R11" s="43">
        <f t="shared" si="31"/>
        <v>0</v>
      </c>
      <c r="S11" s="28">
        <f t="shared" si="32"/>
        <v>0</v>
      </c>
      <c r="T11" s="8">
        <f t="shared" si="35"/>
        <v>0</v>
      </c>
      <c r="U11" s="30">
        <f t="shared" si="33"/>
        <v>0</v>
      </c>
      <c r="W11" s="154">
        <v>44813</v>
      </c>
      <c r="X11" s="155">
        <f t="shared" si="42"/>
        <v>205819</v>
      </c>
      <c r="Y11" s="160">
        <f t="shared" si="20"/>
        <v>0</v>
      </c>
      <c r="Z11" s="155">
        <f t="shared" si="43"/>
        <v>9937</v>
      </c>
      <c r="AA11" s="160">
        <f t="shared" si="20"/>
        <v>0</v>
      </c>
      <c r="AB11" s="155">
        <f t="shared" si="34"/>
        <v>33.799999999999997</v>
      </c>
      <c r="AC11" s="160">
        <f t="shared" si="20"/>
        <v>0</v>
      </c>
      <c r="AD11" s="155">
        <f t="shared" si="44"/>
        <v>674</v>
      </c>
      <c r="AE11" s="160">
        <f t="shared" si="20"/>
        <v>0</v>
      </c>
      <c r="AF11" s="155">
        <f t="shared" si="45"/>
        <v>8932</v>
      </c>
      <c r="AG11" s="160">
        <f t="shared" si="20"/>
        <v>0</v>
      </c>
    </row>
    <row r="12" spans="1:33" ht="16.5" thickBot="1" x14ac:dyDescent="0.25">
      <c r="A12" s="9">
        <v>44814</v>
      </c>
      <c r="B12" s="157">
        <f t="shared" si="36"/>
        <v>24814.813999999998</v>
      </c>
      <c r="C12" s="43">
        <f t="shared" si="21"/>
        <v>0</v>
      </c>
      <c r="D12" s="28">
        <f t="shared" si="22"/>
        <v>0</v>
      </c>
      <c r="E12" s="1">
        <f t="shared" si="37"/>
        <v>4511.5349999999999</v>
      </c>
      <c r="F12" s="43">
        <f t="shared" si="23"/>
        <v>0</v>
      </c>
      <c r="G12" s="28">
        <f t="shared" si="24"/>
        <v>0</v>
      </c>
      <c r="H12" s="1">
        <f t="shared" si="38"/>
        <v>6041</v>
      </c>
      <c r="I12" s="43">
        <f t="shared" si="25"/>
        <v>0</v>
      </c>
      <c r="J12" s="28">
        <f t="shared" si="26"/>
        <v>0</v>
      </c>
      <c r="K12" s="7">
        <f t="shared" si="39"/>
        <v>14213.03</v>
      </c>
      <c r="L12" s="43">
        <f t="shared" si="27"/>
        <v>0</v>
      </c>
      <c r="M12" s="28">
        <f t="shared" si="28"/>
        <v>0</v>
      </c>
      <c r="N12" s="7">
        <f t="shared" si="40"/>
        <v>3735.4050000000002</v>
      </c>
      <c r="O12" s="43">
        <f t="shared" si="29"/>
        <v>0</v>
      </c>
      <c r="P12" s="28">
        <f t="shared" si="30"/>
        <v>0</v>
      </c>
      <c r="Q12" s="7">
        <f t="shared" si="41"/>
        <v>5518.17</v>
      </c>
      <c r="R12" s="43">
        <f t="shared" si="31"/>
        <v>0</v>
      </c>
      <c r="S12" s="28">
        <f t="shared" si="32"/>
        <v>0</v>
      </c>
      <c r="T12" s="8">
        <f t="shared" si="35"/>
        <v>0</v>
      </c>
      <c r="U12" s="30">
        <f t="shared" si="33"/>
        <v>0</v>
      </c>
      <c r="W12" s="154">
        <v>44814</v>
      </c>
      <c r="X12" s="155">
        <f t="shared" si="42"/>
        <v>205819</v>
      </c>
      <c r="Y12" s="160">
        <f t="shared" si="20"/>
        <v>0</v>
      </c>
      <c r="Z12" s="155">
        <f t="shared" si="43"/>
        <v>9937</v>
      </c>
      <c r="AA12" s="160">
        <f t="shared" si="20"/>
        <v>0</v>
      </c>
      <c r="AB12" s="155">
        <f t="shared" si="34"/>
        <v>33.799999999999997</v>
      </c>
      <c r="AC12" s="160">
        <f t="shared" si="20"/>
        <v>0</v>
      </c>
      <c r="AD12" s="155">
        <f t="shared" si="44"/>
        <v>674</v>
      </c>
      <c r="AE12" s="160">
        <f t="shared" si="20"/>
        <v>0</v>
      </c>
      <c r="AF12" s="155">
        <f t="shared" si="45"/>
        <v>8932</v>
      </c>
      <c r="AG12" s="160">
        <f t="shared" si="20"/>
        <v>0</v>
      </c>
    </row>
    <row r="13" spans="1:33" ht="16.5" thickBot="1" x14ac:dyDescent="0.25">
      <c r="A13" s="9">
        <v>44815</v>
      </c>
      <c r="B13" s="157">
        <f t="shared" si="36"/>
        <v>24814.813999999998</v>
      </c>
      <c r="C13" s="43">
        <f t="shared" si="21"/>
        <v>0</v>
      </c>
      <c r="D13" s="28">
        <f t="shared" si="22"/>
        <v>0</v>
      </c>
      <c r="E13" s="1">
        <f t="shared" si="37"/>
        <v>4511.5349999999999</v>
      </c>
      <c r="F13" s="43">
        <f t="shared" si="23"/>
        <v>0</v>
      </c>
      <c r="G13" s="28">
        <f t="shared" si="24"/>
        <v>0</v>
      </c>
      <c r="H13" s="1">
        <f t="shared" si="38"/>
        <v>6041</v>
      </c>
      <c r="I13" s="43">
        <f t="shared" si="25"/>
        <v>0</v>
      </c>
      <c r="J13" s="28">
        <f t="shared" si="26"/>
        <v>0</v>
      </c>
      <c r="K13" s="7">
        <f t="shared" si="39"/>
        <v>14213.03</v>
      </c>
      <c r="L13" s="43">
        <f t="shared" si="27"/>
        <v>0</v>
      </c>
      <c r="M13" s="28">
        <f t="shared" si="28"/>
        <v>0</v>
      </c>
      <c r="N13" s="7">
        <f t="shared" si="40"/>
        <v>3735.4050000000002</v>
      </c>
      <c r="O13" s="43">
        <f t="shared" si="29"/>
        <v>0</v>
      </c>
      <c r="P13" s="28">
        <f t="shared" si="30"/>
        <v>0</v>
      </c>
      <c r="Q13" s="7">
        <f t="shared" si="41"/>
        <v>5518.17</v>
      </c>
      <c r="R13" s="43">
        <f t="shared" si="31"/>
        <v>0</v>
      </c>
      <c r="S13" s="28">
        <f t="shared" si="32"/>
        <v>0</v>
      </c>
      <c r="T13" s="8">
        <f t="shared" si="35"/>
        <v>0</v>
      </c>
      <c r="U13" s="30">
        <f t="shared" si="33"/>
        <v>0</v>
      </c>
      <c r="W13" s="154">
        <v>44815</v>
      </c>
      <c r="X13" s="155">
        <f t="shared" si="42"/>
        <v>205819</v>
      </c>
      <c r="Y13" s="160">
        <f t="shared" si="20"/>
        <v>0</v>
      </c>
      <c r="Z13" s="155">
        <f t="shared" si="43"/>
        <v>9937</v>
      </c>
      <c r="AA13" s="160">
        <f t="shared" si="20"/>
        <v>0</v>
      </c>
      <c r="AB13" s="155">
        <f t="shared" si="34"/>
        <v>33.799999999999997</v>
      </c>
      <c r="AC13" s="160">
        <f t="shared" si="20"/>
        <v>0</v>
      </c>
      <c r="AD13" s="155">
        <f t="shared" si="44"/>
        <v>674</v>
      </c>
      <c r="AE13" s="160">
        <f t="shared" si="20"/>
        <v>0</v>
      </c>
      <c r="AF13" s="155">
        <f t="shared" si="45"/>
        <v>8932</v>
      </c>
      <c r="AG13" s="160">
        <f t="shared" si="20"/>
        <v>0</v>
      </c>
    </row>
    <row r="14" spans="1:33" ht="16.5" thickBot="1" x14ac:dyDescent="0.25">
      <c r="A14" s="9">
        <v>44816</v>
      </c>
      <c r="B14" s="157">
        <f t="shared" si="36"/>
        <v>24814.813999999998</v>
      </c>
      <c r="C14" s="43">
        <f t="shared" si="21"/>
        <v>0</v>
      </c>
      <c r="D14" s="28">
        <f t="shared" si="22"/>
        <v>0</v>
      </c>
      <c r="E14" s="1">
        <f t="shared" si="37"/>
        <v>4511.5349999999999</v>
      </c>
      <c r="F14" s="43">
        <f t="shared" si="23"/>
        <v>0</v>
      </c>
      <c r="G14" s="28">
        <f t="shared" si="24"/>
        <v>0</v>
      </c>
      <c r="H14" s="1">
        <f t="shared" si="38"/>
        <v>6041</v>
      </c>
      <c r="I14" s="43">
        <f t="shared" si="25"/>
        <v>0</v>
      </c>
      <c r="J14" s="28">
        <f t="shared" si="26"/>
        <v>0</v>
      </c>
      <c r="K14" s="7">
        <f t="shared" si="39"/>
        <v>14213.03</v>
      </c>
      <c r="L14" s="43">
        <f t="shared" si="27"/>
        <v>0</v>
      </c>
      <c r="M14" s="28">
        <f t="shared" si="28"/>
        <v>0</v>
      </c>
      <c r="N14" s="7">
        <f t="shared" si="40"/>
        <v>3735.4050000000002</v>
      </c>
      <c r="O14" s="43">
        <f>IF((N14-N13)&lt;0,"0",(N14-N13))</f>
        <v>0</v>
      </c>
      <c r="P14" s="28">
        <f t="shared" si="30"/>
        <v>0</v>
      </c>
      <c r="Q14" s="7">
        <f t="shared" si="41"/>
        <v>5518.17</v>
      </c>
      <c r="R14" s="43">
        <f t="shared" si="31"/>
        <v>0</v>
      </c>
      <c r="S14" s="28">
        <f t="shared" si="32"/>
        <v>0</v>
      </c>
      <c r="T14" s="8">
        <f t="shared" si="35"/>
        <v>0</v>
      </c>
      <c r="U14" s="30">
        <f t="shared" si="33"/>
        <v>0</v>
      </c>
      <c r="W14" s="154">
        <v>44816</v>
      </c>
      <c r="X14" s="155">
        <f t="shared" si="42"/>
        <v>205819</v>
      </c>
      <c r="Y14" s="160">
        <f t="shared" si="20"/>
        <v>0</v>
      </c>
      <c r="Z14" s="155">
        <f t="shared" si="43"/>
        <v>9937</v>
      </c>
      <c r="AA14" s="160">
        <f t="shared" si="20"/>
        <v>0</v>
      </c>
      <c r="AB14" s="155">
        <f t="shared" si="34"/>
        <v>33.799999999999997</v>
      </c>
      <c r="AC14" s="160">
        <f t="shared" si="20"/>
        <v>0</v>
      </c>
      <c r="AD14" s="155">
        <f t="shared" si="44"/>
        <v>674</v>
      </c>
      <c r="AE14" s="160">
        <f t="shared" si="20"/>
        <v>0</v>
      </c>
      <c r="AF14" s="155">
        <f t="shared" si="45"/>
        <v>8932</v>
      </c>
      <c r="AG14" s="160">
        <f t="shared" si="20"/>
        <v>0</v>
      </c>
    </row>
    <row r="15" spans="1:33" ht="16.5" thickBot="1" x14ac:dyDescent="0.25">
      <c r="A15" s="9">
        <v>44817</v>
      </c>
      <c r="B15" s="157">
        <f t="shared" si="36"/>
        <v>24814.813999999998</v>
      </c>
      <c r="C15" s="43">
        <f t="shared" ref="C15" si="46">IF((B15-B14)&lt;0,"0",(B15-B14))</f>
        <v>0</v>
      </c>
      <c r="D15" s="28">
        <f t="shared" ref="D15" si="47">C15*1.9*1000</f>
        <v>0</v>
      </c>
      <c r="E15" s="1">
        <f t="shared" si="37"/>
        <v>4511.5349999999999</v>
      </c>
      <c r="F15" s="43">
        <f t="shared" ref="F15" si="48">IF((E15-E14)&lt;0,"0",(E15-E14))</f>
        <v>0</v>
      </c>
      <c r="G15" s="28">
        <f t="shared" ref="G15" si="49">F15*1.9*1000</f>
        <v>0</v>
      </c>
      <c r="H15" s="1">
        <f t="shared" si="38"/>
        <v>6041</v>
      </c>
      <c r="I15" s="43">
        <f t="shared" ref="I15" si="50">IF((H15-H14)&lt;0,"0",(H15-H14))</f>
        <v>0</v>
      </c>
      <c r="J15" s="28">
        <f t="shared" ref="J15" si="51">I15*1.9*1000</f>
        <v>0</v>
      </c>
      <c r="K15" s="7">
        <f t="shared" si="39"/>
        <v>14213.03</v>
      </c>
      <c r="L15" s="43">
        <f t="shared" ref="L15" si="52">IF((K15-K14)&lt;0,"0",(K15-K14))</f>
        <v>0</v>
      </c>
      <c r="M15" s="28">
        <f t="shared" ref="M15" si="53">L15*1.9*1000</f>
        <v>0</v>
      </c>
      <c r="N15" s="7">
        <f t="shared" si="40"/>
        <v>3735.4050000000002</v>
      </c>
      <c r="O15" s="43">
        <f>IF((N15-N14)&lt;0,"0",(N15-N14))</f>
        <v>0</v>
      </c>
      <c r="P15" s="28">
        <f t="shared" ref="P15" si="54">O15*1.9*1000</f>
        <v>0</v>
      </c>
      <c r="Q15" s="7">
        <f t="shared" si="41"/>
        <v>5518.17</v>
      </c>
      <c r="R15" s="43">
        <f t="shared" ref="R15" si="55">IF((Q15-Q14)&lt;0,"0",(Q15-Q14))</f>
        <v>0</v>
      </c>
      <c r="S15" s="28">
        <f t="shared" ref="S15" si="56">R15*1.9*1000</f>
        <v>0</v>
      </c>
      <c r="T15" s="8">
        <f t="shared" ref="T15" si="57">C15+F15+I15+L15+O15+R15</f>
        <v>0</v>
      </c>
      <c r="U15" s="30">
        <f t="shared" ref="U15" si="58">T15*1.9*1000</f>
        <v>0</v>
      </c>
      <c r="W15" s="154">
        <v>44817</v>
      </c>
      <c r="X15" s="155">
        <f t="shared" si="42"/>
        <v>205819</v>
      </c>
      <c r="Y15" s="160">
        <f t="shared" si="20"/>
        <v>0</v>
      </c>
      <c r="Z15" s="155">
        <f t="shared" si="43"/>
        <v>9937</v>
      </c>
      <c r="AA15" s="160">
        <f t="shared" si="20"/>
        <v>0</v>
      </c>
      <c r="AB15" s="155">
        <f t="shared" si="34"/>
        <v>33.799999999999997</v>
      </c>
      <c r="AC15" s="160">
        <f t="shared" si="20"/>
        <v>0</v>
      </c>
      <c r="AD15" s="155">
        <f t="shared" si="44"/>
        <v>674</v>
      </c>
      <c r="AE15" s="160">
        <f t="shared" si="20"/>
        <v>0</v>
      </c>
      <c r="AF15" s="155">
        <f t="shared" si="45"/>
        <v>8932</v>
      </c>
      <c r="AG15" s="160">
        <f t="shared" si="20"/>
        <v>0</v>
      </c>
    </row>
    <row r="16" spans="1:33" ht="16.5" thickBot="1" x14ac:dyDescent="0.25">
      <c r="A16" s="9">
        <v>44818</v>
      </c>
      <c r="B16" s="157">
        <f t="shared" si="36"/>
        <v>24814.813999999998</v>
      </c>
      <c r="C16" s="43">
        <f t="shared" si="21"/>
        <v>0</v>
      </c>
      <c r="D16" s="28">
        <f t="shared" si="22"/>
        <v>0</v>
      </c>
      <c r="E16" s="1">
        <f t="shared" si="37"/>
        <v>4511.5349999999999</v>
      </c>
      <c r="F16" s="43">
        <f t="shared" si="23"/>
        <v>0</v>
      </c>
      <c r="G16" s="28">
        <f t="shared" si="24"/>
        <v>0</v>
      </c>
      <c r="H16" s="1">
        <f t="shared" si="38"/>
        <v>6041</v>
      </c>
      <c r="I16" s="43">
        <f t="shared" si="25"/>
        <v>0</v>
      </c>
      <c r="J16" s="28">
        <f t="shared" si="26"/>
        <v>0</v>
      </c>
      <c r="K16" s="7">
        <f t="shared" si="39"/>
        <v>14213.03</v>
      </c>
      <c r="L16" s="43">
        <f t="shared" si="27"/>
        <v>0</v>
      </c>
      <c r="M16" s="28">
        <f t="shared" si="28"/>
        <v>0</v>
      </c>
      <c r="N16" s="7">
        <f t="shared" si="40"/>
        <v>3735.4050000000002</v>
      </c>
      <c r="O16" s="43">
        <f t="shared" si="29"/>
        <v>0</v>
      </c>
      <c r="P16" s="28">
        <f t="shared" si="30"/>
        <v>0</v>
      </c>
      <c r="Q16" s="7">
        <f t="shared" si="41"/>
        <v>5518.17</v>
      </c>
      <c r="R16" s="43">
        <f t="shared" si="31"/>
        <v>0</v>
      </c>
      <c r="S16" s="28">
        <f t="shared" si="32"/>
        <v>0</v>
      </c>
      <c r="T16" s="8">
        <f t="shared" si="35"/>
        <v>0</v>
      </c>
      <c r="U16" s="30">
        <f t="shared" si="33"/>
        <v>0</v>
      </c>
      <c r="W16" s="154">
        <v>44818</v>
      </c>
      <c r="X16" s="155">
        <f t="shared" si="42"/>
        <v>205819</v>
      </c>
      <c r="Y16" s="160">
        <f t="shared" si="20"/>
        <v>0</v>
      </c>
      <c r="Z16" s="155">
        <f t="shared" si="43"/>
        <v>9937</v>
      </c>
      <c r="AA16" s="160">
        <f t="shared" si="20"/>
        <v>0</v>
      </c>
      <c r="AB16" s="155">
        <f t="shared" si="34"/>
        <v>33.799999999999997</v>
      </c>
      <c r="AC16" s="160">
        <f t="shared" si="20"/>
        <v>0</v>
      </c>
      <c r="AD16" s="155">
        <f t="shared" si="44"/>
        <v>674</v>
      </c>
      <c r="AE16" s="160">
        <f t="shared" si="20"/>
        <v>0</v>
      </c>
      <c r="AF16" s="155">
        <f t="shared" si="45"/>
        <v>8932</v>
      </c>
      <c r="AG16" s="160">
        <f t="shared" si="20"/>
        <v>0</v>
      </c>
    </row>
    <row r="17" spans="1:33" ht="16.5" thickBot="1" x14ac:dyDescent="0.25">
      <c r="A17" s="9">
        <v>44819</v>
      </c>
      <c r="B17" s="157">
        <f t="shared" si="36"/>
        <v>24814.813999999998</v>
      </c>
      <c r="C17" s="43">
        <f t="shared" si="21"/>
        <v>0</v>
      </c>
      <c r="D17" s="28">
        <f t="shared" si="22"/>
        <v>0</v>
      </c>
      <c r="E17" s="1">
        <f t="shared" si="37"/>
        <v>4511.5349999999999</v>
      </c>
      <c r="F17" s="43">
        <f t="shared" si="23"/>
        <v>0</v>
      </c>
      <c r="G17" s="28">
        <f t="shared" si="24"/>
        <v>0</v>
      </c>
      <c r="H17" s="1">
        <f t="shared" si="38"/>
        <v>6041</v>
      </c>
      <c r="I17" s="43">
        <f t="shared" si="25"/>
        <v>0</v>
      </c>
      <c r="J17" s="28">
        <f t="shared" si="26"/>
        <v>0</v>
      </c>
      <c r="K17" s="7">
        <f t="shared" si="39"/>
        <v>14213.03</v>
      </c>
      <c r="L17" s="43">
        <f t="shared" si="27"/>
        <v>0</v>
      </c>
      <c r="M17" s="28">
        <f t="shared" si="28"/>
        <v>0</v>
      </c>
      <c r="N17" s="7">
        <f t="shared" si="40"/>
        <v>3735.4050000000002</v>
      </c>
      <c r="O17" s="43">
        <f t="shared" si="29"/>
        <v>0</v>
      </c>
      <c r="P17" s="28">
        <f t="shared" si="30"/>
        <v>0</v>
      </c>
      <c r="Q17" s="7">
        <f t="shared" si="41"/>
        <v>5518.17</v>
      </c>
      <c r="R17" s="43">
        <f t="shared" si="31"/>
        <v>0</v>
      </c>
      <c r="S17" s="28">
        <f t="shared" si="32"/>
        <v>0</v>
      </c>
      <c r="T17" s="8">
        <f t="shared" si="35"/>
        <v>0</v>
      </c>
      <c r="U17" s="30">
        <f t="shared" si="33"/>
        <v>0</v>
      </c>
      <c r="W17" s="154">
        <v>44819</v>
      </c>
      <c r="X17" s="155">
        <f t="shared" si="42"/>
        <v>205819</v>
      </c>
      <c r="Y17" s="160">
        <f t="shared" si="20"/>
        <v>0</v>
      </c>
      <c r="Z17" s="155">
        <f t="shared" si="43"/>
        <v>9937</v>
      </c>
      <c r="AA17" s="160">
        <f t="shared" si="20"/>
        <v>0</v>
      </c>
      <c r="AB17" s="155">
        <f t="shared" si="34"/>
        <v>33.799999999999997</v>
      </c>
      <c r="AC17" s="160">
        <f t="shared" si="20"/>
        <v>0</v>
      </c>
      <c r="AD17" s="155">
        <f t="shared" si="44"/>
        <v>674</v>
      </c>
      <c r="AE17" s="160">
        <f t="shared" si="20"/>
        <v>0</v>
      </c>
      <c r="AF17" s="155">
        <f t="shared" si="45"/>
        <v>8932</v>
      </c>
      <c r="AG17" s="160">
        <f t="shared" si="20"/>
        <v>0</v>
      </c>
    </row>
    <row r="18" spans="1:33" ht="16.5" thickBot="1" x14ac:dyDescent="0.25">
      <c r="A18" s="9">
        <v>44820</v>
      </c>
      <c r="B18" s="157">
        <f t="shared" si="36"/>
        <v>24814.813999999998</v>
      </c>
      <c r="C18" s="43">
        <f t="shared" si="21"/>
        <v>0</v>
      </c>
      <c r="D18" s="28">
        <f t="shared" si="22"/>
        <v>0</v>
      </c>
      <c r="E18" s="1">
        <f t="shared" si="37"/>
        <v>4511.5349999999999</v>
      </c>
      <c r="F18" s="43">
        <f t="shared" si="23"/>
        <v>0</v>
      </c>
      <c r="G18" s="28">
        <f t="shared" si="24"/>
        <v>0</v>
      </c>
      <c r="H18" s="1">
        <f t="shared" si="38"/>
        <v>6041</v>
      </c>
      <c r="I18" s="43">
        <f t="shared" si="25"/>
        <v>0</v>
      </c>
      <c r="J18" s="28">
        <f t="shared" si="26"/>
        <v>0</v>
      </c>
      <c r="K18" s="7">
        <f t="shared" si="39"/>
        <v>14213.03</v>
      </c>
      <c r="L18" s="43">
        <f t="shared" si="27"/>
        <v>0</v>
      </c>
      <c r="M18" s="28">
        <f t="shared" si="28"/>
        <v>0</v>
      </c>
      <c r="N18" s="7">
        <f t="shared" si="40"/>
        <v>3735.4050000000002</v>
      </c>
      <c r="O18" s="43">
        <f t="shared" si="29"/>
        <v>0</v>
      </c>
      <c r="P18" s="28">
        <f t="shared" si="30"/>
        <v>0</v>
      </c>
      <c r="Q18" s="7">
        <f t="shared" si="41"/>
        <v>5518.17</v>
      </c>
      <c r="R18" s="43">
        <f t="shared" si="31"/>
        <v>0</v>
      </c>
      <c r="S18" s="28">
        <f t="shared" si="32"/>
        <v>0</v>
      </c>
      <c r="T18" s="8">
        <f t="shared" si="35"/>
        <v>0</v>
      </c>
      <c r="U18" s="30">
        <f t="shared" si="33"/>
        <v>0</v>
      </c>
      <c r="W18" s="154">
        <v>44820</v>
      </c>
      <c r="X18" s="155">
        <f t="shared" si="42"/>
        <v>205819</v>
      </c>
      <c r="Y18" s="160">
        <f t="shared" si="20"/>
        <v>0</v>
      </c>
      <c r="Z18" s="155">
        <f t="shared" si="43"/>
        <v>9937</v>
      </c>
      <c r="AA18" s="160">
        <f t="shared" si="20"/>
        <v>0</v>
      </c>
      <c r="AB18" s="155">
        <f t="shared" si="34"/>
        <v>33.799999999999997</v>
      </c>
      <c r="AC18" s="160">
        <f t="shared" si="20"/>
        <v>0</v>
      </c>
      <c r="AD18" s="155">
        <f t="shared" si="44"/>
        <v>674</v>
      </c>
      <c r="AE18" s="160">
        <f t="shared" si="20"/>
        <v>0</v>
      </c>
      <c r="AF18" s="155">
        <f t="shared" si="45"/>
        <v>8932</v>
      </c>
      <c r="AG18" s="160">
        <f t="shared" si="20"/>
        <v>0</v>
      </c>
    </row>
    <row r="19" spans="1:33" ht="16.5" thickBot="1" x14ac:dyDescent="0.25">
      <c r="A19" s="9">
        <v>44821</v>
      </c>
      <c r="B19" s="157">
        <f t="shared" si="36"/>
        <v>24814.813999999998</v>
      </c>
      <c r="C19" s="43">
        <f t="shared" si="21"/>
        <v>0</v>
      </c>
      <c r="D19" s="28">
        <f t="shared" si="22"/>
        <v>0</v>
      </c>
      <c r="E19" s="1">
        <f t="shared" si="37"/>
        <v>4511.5349999999999</v>
      </c>
      <c r="F19" s="43">
        <f t="shared" si="23"/>
        <v>0</v>
      </c>
      <c r="G19" s="28">
        <f t="shared" si="24"/>
        <v>0</v>
      </c>
      <c r="H19" s="1">
        <f t="shared" si="38"/>
        <v>6041</v>
      </c>
      <c r="I19" s="43">
        <f t="shared" si="25"/>
        <v>0</v>
      </c>
      <c r="J19" s="28">
        <f t="shared" si="26"/>
        <v>0</v>
      </c>
      <c r="K19" s="7">
        <f t="shared" si="39"/>
        <v>14213.03</v>
      </c>
      <c r="L19" s="43">
        <f t="shared" si="27"/>
        <v>0</v>
      </c>
      <c r="M19" s="28">
        <f t="shared" si="28"/>
        <v>0</v>
      </c>
      <c r="N19" s="7">
        <f t="shared" si="40"/>
        <v>3735.4050000000002</v>
      </c>
      <c r="O19" s="43">
        <f t="shared" si="29"/>
        <v>0</v>
      </c>
      <c r="P19" s="28">
        <f t="shared" si="30"/>
        <v>0</v>
      </c>
      <c r="Q19" s="7">
        <f t="shared" si="41"/>
        <v>5518.17</v>
      </c>
      <c r="R19" s="43">
        <f t="shared" si="31"/>
        <v>0</v>
      </c>
      <c r="S19" s="28">
        <f t="shared" si="32"/>
        <v>0</v>
      </c>
      <c r="T19" s="8">
        <f t="shared" si="35"/>
        <v>0</v>
      </c>
      <c r="U19" s="30">
        <f t="shared" si="33"/>
        <v>0</v>
      </c>
      <c r="W19" s="154">
        <v>44821</v>
      </c>
      <c r="X19" s="155">
        <f t="shared" si="42"/>
        <v>205819</v>
      </c>
      <c r="Y19" s="160">
        <f t="shared" si="20"/>
        <v>0</v>
      </c>
      <c r="Z19" s="155">
        <f t="shared" si="43"/>
        <v>9937</v>
      </c>
      <c r="AA19" s="160">
        <f t="shared" si="20"/>
        <v>0</v>
      </c>
      <c r="AB19" s="155">
        <f t="shared" si="34"/>
        <v>33.799999999999997</v>
      </c>
      <c r="AC19" s="160">
        <f t="shared" si="20"/>
        <v>0</v>
      </c>
      <c r="AD19" s="155">
        <f t="shared" si="44"/>
        <v>674</v>
      </c>
      <c r="AE19" s="160">
        <f t="shared" si="20"/>
        <v>0</v>
      </c>
      <c r="AF19" s="155">
        <f t="shared" si="45"/>
        <v>8932</v>
      </c>
      <c r="AG19" s="160">
        <f t="shared" si="20"/>
        <v>0</v>
      </c>
    </row>
    <row r="20" spans="1:33" ht="16.5" thickBot="1" x14ac:dyDescent="0.25">
      <c r="A20" s="9">
        <v>44822</v>
      </c>
      <c r="B20" s="157">
        <f t="shared" si="36"/>
        <v>24814.813999999998</v>
      </c>
      <c r="C20" s="43">
        <f t="shared" si="21"/>
        <v>0</v>
      </c>
      <c r="D20" s="28">
        <f t="shared" si="22"/>
        <v>0</v>
      </c>
      <c r="E20" s="1">
        <f t="shared" si="37"/>
        <v>4511.5349999999999</v>
      </c>
      <c r="F20" s="43">
        <f t="shared" si="23"/>
        <v>0</v>
      </c>
      <c r="G20" s="28">
        <f t="shared" si="24"/>
        <v>0</v>
      </c>
      <c r="H20" s="1">
        <f t="shared" si="38"/>
        <v>6041</v>
      </c>
      <c r="I20" s="43">
        <f t="shared" si="25"/>
        <v>0</v>
      </c>
      <c r="J20" s="28">
        <f t="shared" si="26"/>
        <v>0</v>
      </c>
      <c r="K20" s="7">
        <f t="shared" si="39"/>
        <v>14213.03</v>
      </c>
      <c r="L20" s="43">
        <f t="shared" si="27"/>
        <v>0</v>
      </c>
      <c r="M20" s="28">
        <f t="shared" si="28"/>
        <v>0</v>
      </c>
      <c r="N20" s="7">
        <f t="shared" si="40"/>
        <v>3735.4050000000002</v>
      </c>
      <c r="O20" s="43">
        <f t="shared" si="29"/>
        <v>0</v>
      </c>
      <c r="P20" s="28">
        <f t="shared" si="30"/>
        <v>0</v>
      </c>
      <c r="Q20" s="7">
        <f t="shared" si="41"/>
        <v>5518.17</v>
      </c>
      <c r="R20" s="43">
        <f t="shared" si="31"/>
        <v>0</v>
      </c>
      <c r="S20" s="28">
        <f t="shared" si="32"/>
        <v>0</v>
      </c>
      <c r="T20" s="8">
        <f t="shared" si="35"/>
        <v>0</v>
      </c>
      <c r="U20" s="30">
        <f t="shared" si="33"/>
        <v>0</v>
      </c>
      <c r="W20" s="154">
        <v>44822</v>
      </c>
      <c r="X20" s="155">
        <f t="shared" si="42"/>
        <v>205819</v>
      </c>
      <c r="Y20" s="160">
        <f t="shared" si="20"/>
        <v>0</v>
      </c>
      <c r="Z20" s="155">
        <f t="shared" si="43"/>
        <v>9937</v>
      </c>
      <c r="AA20" s="160">
        <f t="shared" si="20"/>
        <v>0</v>
      </c>
      <c r="AB20" s="155">
        <f t="shared" si="34"/>
        <v>33.799999999999997</v>
      </c>
      <c r="AC20" s="160">
        <f t="shared" si="20"/>
        <v>0</v>
      </c>
      <c r="AD20" s="155">
        <f t="shared" si="44"/>
        <v>674</v>
      </c>
      <c r="AE20" s="160">
        <f t="shared" si="20"/>
        <v>0</v>
      </c>
      <c r="AF20" s="155">
        <f t="shared" si="45"/>
        <v>8932</v>
      </c>
      <c r="AG20" s="160">
        <f t="shared" si="20"/>
        <v>0</v>
      </c>
    </row>
    <row r="21" spans="1:33" ht="16.5" thickBot="1" x14ac:dyDescent="0.25">
      <c r="A21" s="9">
        <v>44823</v>
      </c>
      <c r="B21" s="157">
        <f t="shared" si="36"/>
        <v>24814.813999999998</v>
      </c>
      <c r="C21" s="43">
        <f t="shared" si="21"/>
        <v>0</v>
      </c>
      <c r="D21" s="28">
        <f t="shared" si="22"/>
        <v>0</v>
      </c>
      <c r="E21" s="1">
        <f t="shared" si="37"/>
        <v>4511.5349999999999</v>
      </c>
      <c r="F21" s="43">
        <f t="shared" si="23"/>
        <v>0</v>
      </c>
      <c r="G21" s="28">
        <f t="shared" si="24"/>
        <v>0</v>
      </c>
      <c r="H21" s="1">
        <f t="shared" si="38"/>
        <v>6041</v>
      </c>
      <c r="I21" s="43">
        <f t="shared" si="25"/>
        <v>0</v>
      </c>
      <c r="J21" s="28">
        <f t="shared" si="26"/>
        <v>0</v>
      </c>
      <c r="K21" s="7">
        <f t="shared" si="39"/>
        <v>14213.03</v>
      </c>
      <c r="L21" s="43">
        <f t="shared" si="27"/>
        <v>0</v>
      </c>
      <c r="M21" s="28">
        <f t="shared" si="28"/>
        <v>0</v>
      </c>
      <c r="N21" s="7">
        <f t="shared" si="40"/>
        <v>3735.4050000000002</v>
      </c>
      <c r="O21" s="43">
        <f t="shared" si="29"/>
        <v>0</v>
      </c>
      <c r="P21" s="28">
        <f t="shared" si="30"/>
        <v>0</v>
      </c>
      <c r="Q21" s="7">
        <f t="shared" si="41"/>
        <v>5518.17</v>
      </c>
      <c r="R21" s="43">
        <f t="shared" si="31"/>
        <v>0</v>
      </c>
      <c r="S21" s="28">
        <f t="shared" si="32"/>
        <v>0</v>
      </c>
      <c r="T21" s="8">
        <f t="shared" si="35"/>
        <v>0</v>
      </c>
      <c r="U21" s="30">
        <f t="shared" si="33"/>
        <v>0</v>
      </c>
      <c r="W21" s="154">
        <v>44823</v>
      </c>
      <c r="X21" s="155">
        <f t="shared" si="42"/>
        <v>205819</v>
      </c>
      <c r="Y21" s="160">
        <f t="shared" si="20"/>
        <v>0</v>
      </c>
      <c r="Z21" s="155">
        <f t="shared" si="43"/>
        <v>9937</v>
      </c>
      <c r="AA21" s="160">
        <f t="shared" si="20"/>
        <v>0</v>
      </c>
      <c r="AB21" s="155">
        <f t="shared" si="34"/>
        <v>33.799999999999997</v>
      </c>
      <c r="AC21" s="160">
        <f t="shared" si="20"/>
        <v>0</v>
      </c>
      <c r="AD21" s="155">
        <f t="shared" si="44"/>
        <v>674</v>
      </c>
      <c r="AE21" s="160">
        <f t="shared" si="20"/>
        <v>0</v>
      </c>
      <c r="AF21" s="155">
        <f t="shared" si="45"/>
        <v>8932</v>
      </c>
      <c r="AG21" s="160">
        <f t="shared" si="20"/>
        <v>0</v>
      </c>
    </row>
    <row r="22" spans="1:33" ht="16.5" thickBot="1" x14ac:dyDescent="0.25">
      <c r="A22" s="9">
        <v>44824</v>
      </c>
      <c r="B22" s="157">
        <f t="shared" si="36"/>
        <v>24814.813999999998</v>
      </c>
      <c r="C22" s="43">
        <f t="shared" si="21"/>
        <v>0</v>
      </c>
      <c r="D22" s="28">
        <f t="shared" si="22"/>
        <v>0</v>
      </c>
      <c r="E22" s="1">
        <f t="shared" si="37"/>
        <v>4511.5349999999999</v>
      </c>
      <c r="F22" s="43">
        <f t="shared" si="23"/>
        <v>0</v>
      </c>
      <c r="G22" s="28">
        <f t="shared" si="24"/>
        <v>0</v>
      </c>
      <c r="H22" s="1">
        <f t="shared" si="38"/>
        <v>6041</v>
      </c>
      <c r="I22" s="43">
        <f t="shared" si="25"/>
        <v>0</v>
      </c>
      <c r="J22" s="28">
        <f t="shared" si="26"/>
        <v>0</v>
      </c>
      <c r="K22" s="7">
        <f t="shared" si="39"/>
        <v>14213.03</v>
      </c>
      <c r="L22" s="43">
        <f t="shared" si="27"/>
        <v>0</v>
      </c>
      <c r="M22" s="28">
        <f t="shared" si="28"/>
        <v>0</v>
      </c>
      <c r="N22" s="7">
        <f t="shared" si="40"/>
        <v>3735.4050000000002</v>
      </c>
      <c r="O22" s="43">
        <f t="shared" si="29"/>
        <v>0</v>
      </c>
      <c r="P22" s="28">
        <f t="shared" si="30"/>
        <v>0</v>
      </c>
      <c r="Q22" s="7">
        <f t="shared" si="41"/>
        <v>5518.17</v>
      </c>
      <c r="R22" s="43">
        <f t="shared" si="31"/>
        <v>0</v>
      </c>
      <c r="S22" s="28">
        <f t="shared" si="32"/>
        <v>0</v>
      </c>
      <c r="T22" s="8">
        <f t="shared" si="35"/>
        <v>0</v>
      </c>
      <c r="U22" s="30">
        <f t="shared" si="33"/>
        <v>0</v>
      </c>
      <c r="W22" s="154">
        <v>44824</v>
      </c>
      <c r="X22" s="155">
        <f t="shared" si="42"/>
        <v>205819</v>
      </c>
      <c r="Y22" s="160">
        <f t="shared" si="20"/>
        <v>0</v>
      </c>
      <c r="Z22" s="155">
        <f t="shared" si="43"/>
        <v>9937</v>
      </c>
      <c r="AA22" s="160">
        <f t="shared" si="20"/>
        <v>0</v>
      </c>
      <c r="AB22" s="155">
        <f t="shared" si="34"/>
        <v>33.799999999999997</v>
      </c>
      <c r="AC22" s="160">
        <f t="shared" si="20"/>
        <v>0</v>
      </c>
      <c r="AD22" s="155">
        <f t="shared" si="44"/>
        <v>674</v>
      </c>
      <c r="AE22" s="160">
        <f t="shared" si="20"/>
        <v>0</v>
      </c>
      <c r="AF22" s="155">
        <f t="shared" si="45"/>
        <v>8932</v>
      </c>
      <c r="AG22" s="160">
        <f t="shared" si="20"/>
        <v>0</v>
      </c>
    </row>
    <row r="23" spans="1:33" ht="16.5" thickBot="1" x14ac:dyDescent="0.25">
      <c r="A23" s="9">
        <v>44825</v>
      </c>
      <c r="B23" s="157">
        <f t="shared" si="36"/>
        <v>24814.813999999998</v>
      </c>
      <c r="C23" s="43">
        <f t="shared" si="21"/>
        <v>0</v>
      </c>
      <c r="D23" s="28">
        <f t="shared" si="22"/>
        <v>0</v>
      </c>
      <c r="E23" s="1">
        <f t="shared" si="37"/>
        <v>4511.5349999999999</v>
      </c>
      <c r="F23" s="43">
        <f t="shared" si="23"/>
        <v>0</v>
      </c>
      <c r="G23" s="28">
        <f t="shared" si="24"/>
        <v>0</v>
      </c>
      <c r="H23" s="1">
        <f t="shared" si="38"/>
        <v>6041</v>
      </c>
      <c r="I23" s="43">
        <f t="shared" si="25"/>
        <v>0</v>
      </c>
      <c r="J23" s="28">
        <f t="shared" si="26"/>
        <v>0</v>
      </c>
      <c r="K23" s="7">
        <f t="shared" si="39"/>
        <v>14213.03</v>
      </c>
      <c r="L23" s="43">
        <f t="shared" si="27"/>
        <v>0</v>
      </c>
      <c r="M23" s="28">
        <f t="shared" si="28"/>
        <v>0</v>
      </c>
      <c r="N23" s="7">
        <f t="shared" si="40"/>
        <v>3735.4050000000002</v>
      </c>
      <c r="O23" s="43">
        <f t="shared" si="29"/>
        <v>0</v>
      </c>
      <c r="P23" s="28">
        <f t="shared" si="30"/>
        <v>0</v>
      </c>
      <c r="Q23" s="7">
        <f t="shared" si="41"/>
        <v>5518.17</v>
      </c>
      <c r="R23" s="43">
        <f t="shared" si="31"/>
        <v>0</v>
      </c>
      <c r="S23" s="28">
        <f t="shared" si="32"/>
        <v>0</v>
      </c>
      <c r="T23" s="8">
        <f t="shared" si="35"/>
        <v>0</v>
      </c>
      <c r="U23" s="30">
        <f t="shared" si="33"/>
        <v>0</v>
      </c>
      <c r="W23" s="154">
        <v>44825</v>
      </c>
      <c r="X23" s="155">
        <f t="shared" si="42"/>
        <v>205819</v>
      </c>
      <c r="Y23" s="160">
        <f t="shared" si="20"/>
        <v>0</v>
      </c>
      <c r="Z23" s="155">
        <f t="shared" si="43"/>
        <v>9937</v>
      </c>
      <c r="AA23" s="160">
        <f t="shared" si="20"/>
        <v>0</v>
      </c>
      <c r="AB23" s="155">
        <f t="shared" si="34"/>
        <v>33.799999999999997</v>
      </c>
      <c r="AC23" s="160">
        <f t="shared" si="20"/>
        <v>0</v>
      </c>
      <c r="AD23" s="155">
        <f t="shared" si="44"/>
        <v>674</v>
      </c>
      <c r="AE23" s="160">
        <f t="shared" si="20"/>
        <v>0</v>
      </c>
      <c r="AF23" s="155">
        <f t="shared" si="45"/>
        <v>8932</v>
      </c>
      <c r="AG23" s="160">
        <f t="shared" si="20"/>
        <v>0</v>
      </c>
    </row>
    <row r="24" spans="1:33" ht="16.5" thickBot="1" x14ac:dyDescent="0.25">
      <c r="A24" s="9">
        <v>44826</v>
      </c>
      <c r="B24" s="157">
        <f t="shared" si="36"/>
        <v>24814.813999999998</v>
      </c>
      <c r="C24" s="43">
        <f t="shared" si="21"/>
        <v>0</v>
      </c>
      <c r="D24" s="28">
        <f t="shared" si="22"/>
        <v>0</v>
      </c>
      <c r="E24" s="1">
        <f t="shared" si="37"/>
        <v>4511.5349999999999</v>
      </c>
      <c r="F24" s="43">
        <f t="shared" si="23"/>
        <v>0</v>
      </c>
      <c r="G24" s="28">
        <f t="shared" si="24"/>
        <v>0</v>
      </c>
      <c r="H24" s="1">
        <f t="shared" si="38"/>
        <v>6041</v>
      </c>
      <c r="I24" s="43">
        <f t="shared" si="25"/>
        <v>0</v>
      </c>
      <c r="J24" s="28">
        <f t="shared" si="26"/>
        <v>0</v>
      </c>
      <c r="K24" s="7">
        <f t="shared" si="39"/>
        <v>14213.03</v>
      </c>
      <c r="L24" s="43">
        <f t="shared" si="27"/>
        <v>0</v>
      </c>
      <c r="M24" s="28">
        <f t="shared" si="28"/>
        <v>0</v>
      </c>
      <c r="N24" s="7">
        <f t="shared" si="40"/>
        <v>3735.4050000000002</v>
      </c>
      <c r="O24" s="43">
        <f t="shared" si="29"/>
        <v>0</v>
      </c>
      <c r="P24" s="28">
        <f t="shared" si="30"/>
        <v>0</v>
      </c>
      <c r="Q24" s="7">
        <f t="shared" si="41"/>
        <v>5518.17</v>
      </c>
      <c r="R24" s="43">
        <f t="shared" si="31"/>
        <v>0</v>
      </c>
      <c r="S24" s="28">
        <f t="shared" si="32"/>
        <v>0</v>
      </c>
      <c r="T24" s="8">
        <f t="shared" si="35"/>
        <v>0</v>
      </c>
      <c r="U24" s="30">
        <f t="shared" si="33"/>
        <v>0</v>
      </c>
      <c r="W24" s="154">
        <v>44826</v>
      </c>
      <c r="X24" s="155">
        <f t="shared" si="42"/>
        <v>205819</v>
      </c>
      <c r="Y24" s="160">
        <f t="shared" si="20"/>
        <v>0</v>
      </c>
      <c r="Z24" s="155">
        <f t="shared" si="43"/>
        <v>9937</v>
      </c>
      <c r="AA24" s="160">
        <f t="shared" si="20"/>
        <v>0</v>
      </c>
      <c r="AB24" s="155">
        <f t="shared" si="34"/>
        <v>33.799999999999997</v>
      </c>
      <c r="AC24" s="160">
        <f t="shared" si="20"/>
        <v>0</v>
      </c>
      <c r="AD24" s="155">
        <f t="shared" si="44"/>
        <v>674</v>
      </c>
      <c r="AE24" s="160">
        <f t="shared" si="20"/>
        <v>0</v>
      </c>
      <c r="AF24" s="155">
        <f t="shared" si="45"/>
        <v>8932</v>
      </c>
      <c r="AG24" s="160">
        <f t="shared" si="20"/>
        <v>0</v>
      </c>
    </row>
    <row r="25" spans="1:33" ht="16.5" thickBot="1" x14ac:dyDescent="0.25">
      <c r="A25" s="9">
        <v>44827</v>
      </c>
      <c r="B25" s="157">
        <f t="shared" si="36"/>
        <v>24814.813999999998</v>
      </c>
      <c r="C25" s="43">
        <f t="shared" si="21"/>
        <v>0</v>
      </c>
      <c r="D25" s="28">
        <f t="shared" si="22"/>
        <v>0</v>
      </c>
      <c r="E25" s="1">
        <f t="shared" si="37"/>
        <v>4511.5349999999999</v>
      </c>
      <c r="F25" s="43">
        <f t="shared" si="23"/>
        <v>0</v>
      </c>
      <c r="G25" s="28">
        <f t="shared" si="24"/>
        <v>0</v>
      </c>
      <c r="H25" s="1">
        <f t="shared" si="38"/>
        <v>6041</v>
      </c>
      <c r="I25" s="43">
        <f t="shared" si="25"/>
        <v>0</v>
      </c>
      <c r="J25" s="28">
        <f t="shared" si="26"/>
        <v>0</v>
      </c>
      <c r="K25" s="7">
        <f t="shared" si="39"/>
        <v>14213.03</v>
      </c>
      <c r="L25" s="43">
        <f t="shared" si="27"/>
        <v>0</v>
      </c>
      <c r="M25" s="28">
        <f t="shared" si="28"/>
        <v>0</v>
      </c>
      <c r="N25" s="7">
        <f t="shared" si="40"/>
        <v>3735.4050000000002</v>
      </c>
      <c r="O25" s="43">
        <f t="shared" si="29"/>
        <v>0</v>
      </c>
      <c r="P25" s="28">
        <f t="shared" si="30"/>
        <v>0</v>
      </c>
      <c r="Q25" s="7">
        <f t="shared" si="41"/>
        <v>5518.17</v>
      </c>
      <c r="R25" s="43">
        <f t="shared" si="31"/>
        <v>0</v>
      </c>
      <c r="S25" s="28">
        <f t="shared" si="32"/>
        <v>0</v>
      </c>
      <c r="T25" s="8">
        <f t="shared" si="35"/>
        <v>0</v>
      </c>
      <c r="U25" s="30">
        <f t="shared" si="33"/>
        <v>0</v>
      </c>
      <c r="W25" s="154">
        <v>44827</v>
      </c>
      <c r="X25" s="155">
        <f t="shared" si="42"/>
        <v>205819</v>
      </c>
      <c r="Y25" s="160">
        <f t="shared" si="20"/>
        <v>0</v>
      </c>
      <c r="Z25" s="155">
        <f t="shared" si="43"/>
        <v>9937</v>
      </c>
      <c r="AA25" s="160">
        <f t="shared" si="20"/>
        <v>0</v>
      </c>
      <c r="AB25" s="155">
        <f t="shared" si="34"/>
        <v>33.799999999999997</v>
      </c>
      <c r="AC25" s="160">
        <f t="shared" si="20"/>
        <v>0</v>
      </c>
      <c r="AD25" s="155">
        <f t="shared" si="44"/>
        <v>674</v>
      </c>
      <c r="AE25" s="160">
        <f t="shared" si="20"/>
        <v>0</v>
      </c>
      <c r="AF25" s="155">
        <f t="shared" si="45"/>
        <v>8932</v>
      </c>
      <c r="AG25" s="160">
        <f t="shared" si="20"/>
        <v>0</v>
      </c>
    </row>
    <row r="26" spans="1:33" ht="16.5" thickBot="1" x14ac:dyDescent="0.25">
      <c r="A26" s="9">
        <v>44828</v>
      </c>
      <c r="B26" s="157">
        <f t="shared" si="36"/>
        <v>24814.813999999998</v>
      </c>
      <c r="C26" s="43">
        <f t="shared" si="21"/>
        <v>0</v>
      </c>
      <c r="D26" s="28">
        <f t="shared" si="22"/>
        <v>0</v>
      </c>
      <c r="E26" s="1">
        <f t="shared" si="37"/>
        <v>4511.5349999999999</v>
      </c>
      <c r="F26" s="43">
        <f t="shared" si="23"/>
        <v>0</v>
      </c>
      <c r="G26" s="28">
        <f t="shared" si="24"/>
        <v>0</v>
      </c>
      <c r="H26" s="1">
        <f t="shared" si="38"/>
        <v>6041</v>
      </c>
      <c r="I26" s="43">
        <f t="shared" si="25"/>
        <v>0</v>
      </c>
      <c r="J26" s="28">
        <f t="shared" si="26"/>
        <v>0</v>
      </c>
      <c r="K26" s="7">
        <f t="shared" si="39"/>
        <v>14213.03</v>
      </c>
      <c r="L26" s="43">
        <f>IF((K26-K25)&lt;0,"0",(K26-K25))</f>
        <v>0</v>
      </c>
      <c r="M26" s="28">
        <f t="shared" si="28"/>
        <v>0</v>
      </c>
      <c r="N26" s="7">
        <f t="shared" si="40"/>
        <v>3735.4050000000002</v>
      </c>
      <c r="O26" s="43">
        <f t="shared" si="29"/>
        <v>0</v>
      </c>
      <c r="P26" s="28">
        <f t="shared" si="30"/>
        <v>0</v>
      </c>
      <c r="Q26" s="7">
        <f t="shared" si="41"/>
        <v>5518.17</v>
      </c>
      <c r="R26" s="43">
        <f t="shared" si="31"/>
        <v>0</v>
      </c>
      <c r="S26" s="28">
        <f t="shared" si="32"/>
        <v>0</v>
      </c>
      <c r="T26" s="8">
        <f t="shared" si="35"/>
        <v>0</v>
      </c>
      <c r="U26" s="30">
        <f t="shared" si="33"/>
        <v>0</v>
      </c>
      <c r="V26" t="s">
        <v>12</v>
      </c>
      <c r="W26" s="154">
        <v>44828</v>
      </c>
      <c r="X26" s="155">
        <f t="shared" si="42"/>
        <v>205819</v>
      </c>
      <c r="Y26" s="160">
        <f t="shared" si="20"/>
        <v>0</v>
      </c>
      <c r="Z26" s="155">
        <f t="shared" si="43"/>
        <v>9937</v>
      </c>
      <c r="AA26" s="160">
        <f t="shared" si="20"/>
        <v>0</v>
      </c>
      <c r="AB26" s="155">
        <f t="shared" si="34"/>
        <v>33.799999999999997</v>
      </c>
      <c r="AC26" s="160">
        <f t="shared" si="20"/>
        <v>0</v>
      </c>
      <c r="AD26" s="155">
        <f t="shared" si="44"/>
        <v>674</v>
      </c>
      <c r="AE26" s="160">
        <f t="shared" si="20"/>
        <v>0</v>
      </c>
      <c r="AF26" s="155">
        <f t="shared" si="45"/>
        <v>8932</v>
      </c>
      <c r="AG26" s="160">
        <f t="shared" si="20"/>
        <v>0</v>
      </c>
    </row>
    <row r="27" spans="1:33" ht="16.5" thickBot="1" x14ac:dyDescent="0.25">
      <c r="A27" s="9">
        <v>44829</v>
      </c>
      <c r="B27" s="157">
        <f t="shared" si="36"/>
        <v>24814.813999999998</v>
      </c>
      <c r="C27" s="43">
        <f t="shared" si="21"/>
        <v>0</v>
      </c>
      <c r="D27" s="28">
        <f t="shared" si="22"/>
        <v>0</v>
      </c>
      <c r="E27" s="1">
        <f t="shared" si="37"/>
        <v>4511.5349999999999</v>
      </c>
      <c r="F27" s="43">
        <f t="shared" si="23"/>
        <v>0</v>
      </c>
      <c r="G27" s="28">
        <f t="shared" si="24"/>
        <v>0</v>
      </c>
      <c r="H27" s="1">
        <f t="shared" si="38"/>
        <v>6041</v>
      </c>
      <c r="I27" s="43">
        <f t="shared" si="25"/>
        <v>0</v>
      </c>
      <c r="J27" s="28">
        <f t="shared" si="26"/>
        <v>0</v>
      </c>
      <c r="K27" s="7">
        <f t="shared" si="39"/>
        <v>14213.03</v>
      </c>
      <c r="L27" s="43">
        <f t="shared" si="27"/>
        <v>0</v>
      </c>
      <c r="M27" s="28">
        <f t="shared" si="28"/>
        <v>0</v>
      </c>
      <c r="N27" s="7">
        <f t="shared" si="40"/>
        <v>3735.4050000000002</v>
      </c>
      <c r="O27" s="43">
        <f t="shared" si="29"/>
        <v>0</v>
      </c>
      <c r="P27" s="28">
        <f t="shared" si="30"/>
        <v>0</v>
      </c>
      <c r="Q27" s="7">
        <f t="shared" si="41"/>
        <v>5518.17</v>
      </c>
      <c r="R27" s="43">
        <f t="shared" si="31"/>
        <v>0</v>
      </c>
      <c r="S27" s="28">
        <f t="shared" si="32"/>
        <v>0</v>
      </c>
      <c r="T27" s="8">
        <f t="shared" si="35"/>
        <v>0</v>
      </c>
      <c r="U27" s="30">
        <f t="shared" si="33"/>
        <v>0</v>
      </c>
      <c r="V27" t="s">
        <v>12</v>
      </c>
      <c r="W27" s="154">
        <v>44829</v>
      </c>
      <c r="X27" s="155">
        <f t="shared" si="42"/>
        <v>205819</v>
      </c>
      <c r="Y27" s="160">
        <f t="shared" si="20"/>
        <v>0</v>
      </c>
      <c r="Z27" s="155">
        <f t="shared" si="43"/>
        <v>9937</v>
      </c>
      <c r="AA27" s="160">
        <f t="shared" si="20"/>
        <v>0</v>
      </c>
      <c r="AB27" s="155">
        <f t="shared" si="34"/>
        <v>33.799999999999997</v>
      </c>
      <c r="AC27" s="160">
        <f t="shared" si="20"/>
        <v>0</v>
      </c>
      <c r="AD27" s="155">
        <f t="shared" si="44"/>
        <v>674</v>
      </c>
      <c r="AE27" s="160">
        <f t="shared" si="20"/>
        <v>0</v>
      </c>
      <c r="AF27" s="155">
        <f t="shared" si="45"/>
        <v>8932</v>
      </c>
      <c r="AG27" s="160">
        <f t="shared" si="20"/>
        <v>0</v>
      </c>
    </row>
    <row r="28" spans="1:33" ht="16.5" thickBot="1" x14ac:dyDescent="0.25">
      <c r="A28" s="9">
        <v>44830</v>
      </c>
      <c r="B28" s="157">
        <f t="shared" si="36"/>
        <v>24814.813999999998</v>
      </c>
      <c r="C28" s="43">
        <f t="shared" si="21"/>
        <v>0</v>
      </c>
      <c r="D28" s="28">
        <f t="shared" si="22"/>
        <v>0</v>
      </c>
      <c r="E28" s="1">
        <f t="shared" si="37"/>
        <v>4511.5349999999999</v>
      </c>
      <c r="F28" s="43">
        <f t="shared" si="23"/>
        <v>0</v>
      </c>
      <c r="G28" s="28">
        <f t="shared" si="24"/>
        <v>0</v>
      </c>
      <c r="H28" s="1">
        <f t="shared" si="38"/>
        <v>6041</v>
      </c>
      <c r="I28" s="43">
        <f t="shared" si="25"/>
        <v>0</v>
      </c>
      <c r="J28" s="28">
        <f t="shared" si="26"/>
        <v>0</v>
      </c>
      <c r="K28" s="7">
        <f t="shared" si="39"/>
        <v>14213.03</v>
      </c>
      <c r="L28" s="43">
        <f t="shared" si="27"/>
        <v>0</v>
      </c>
      <c r="M28" s="28">
        <f t="shared" si="28"/>
        <v>0</v>
      </c>
      <c r="N28" s="7">
        <f t="shared" si="40"/>
        <v>3735.4050000000002</v>
      </c>
      <c r="O28" s="43">
        <f t="shared" si="29"/>
        <v>0</v>
      </c>
      <c r="P28" s="28">
        <f t="shared" si="30"/>
        <v>0</v>
      </c>
      <c r="Q28" s="7">
        <f t="shared" si="41"/>
        <v>5518.17</v>
      </c>
      <c r="R28" s="43">
        <f t="shared" si="31"/>
        <v>0</v>
      </c>
      <c r="S28" s="28">
        <f t="shared" si="32"/>
        <v>0</v>
      </c>
      <c r="T28" s="8">
        <f t="shared" si="35"/>
        <v>0</v>
      </c>
      <c r="U28" s="30">
        <f t="shared" si="33"/>
        <v>0</v>
      </c>
      <c r="W28" s="154">
        <v>44830</v>
      </c>
      <c r="X28" s="155">
        <f t="shared" si="42"/>
        <v>205819</v>
      </c>
      <c r="Y28" s="160">
        <f t="shared" si="20"/>
        <v>0</v>
      </c>
      <c r="Z28" s="155">
        <f t="shared" si="43"/>
        <v>9937</v>
      </c>
      <c r="AA28" s="160">
        <f t="shared" si="20"/>
        <v>0</v>
      </c>
      <c r="AB28" s="155">
        <f t="shared" si="34"/>
        <v>33.799999999999997</v>
      </c>
      <c r="AC28" s="160">
        <f t="shared" si="20"/>
        <v>0</v>
      </c>
      <c r="AD28" s="155">
        <f t="shared" si="44"/>
        <v>674</v>
      </c>
      <c r="AE28" s="160">
        <f t="shared" si="20"/>
        <v>0</v>
      </c>
      <c r="AF28" s="155">
        <f t="shared" si="45"/>
        <v>8932</v>
      </c>
      <c r="AG28" s="160">
        <f t="shared" si="20"/>
        <v>0</v>
      </c>
    </row>
    <row r="29" spans="1:33" ht="16.5" thickBot="1" x14ac:dyDescent="0.25">
      <c r="A29" s="9">
        <v>44831</v>
      </c>
      <c r="B29" s="157">
        <f t="shared" si="36"/>
        <v>24814.813999999998</v>
      </c>
      <c r="C29" s="43">
        <f t="shared" si="21"/>
        <v>0</v>
      </c>
      <c r="D29" s="28">
        <f t="shared" si="22"/>
        <v>0</v>
      </c>
      <c r="E29" s="1">
        <f t="shared" si="37"/>
        <v>4511.5349999999999</v>
      </c>
      <c r="F29" s="43">
        <f t="shared" si="23"/>
        <v>0</v>
      </c>
      <c r="G29" s="28">
        <f t="shared" si="24"/>
        <v>0</v>
      </c>
      <c r="H29" s="1">
        <f t="shared" si="38"/>
        <v>6041</v>
      </c>
      <c r="I29" s="43">
        <f t="shared" si="25"/>
        <v>0</v>
      </c>
      <c r="J29" s="28">
        <f t="shared" si="26"/>
        <v>0</v>
      </c>
      <c r="K29" s="7">
        <f t="shared" si="39"/>
        <v>14213.03</v>
      </c>
      <c r="L29" s="43">
        <f t="shared" si="27"/>
        <v>0</v>
      </c>
      <c r="M29" s="28">
        <f t="shared" si="28"/>
        <v>0</v>
      </c>
      <c r="N29" s="7">
        <f t="shared" si="40"/>
        <v>3735.4050000000002</v>
      </c>
      <c r="O29" s="43">
        <f t="shared" si="29"/>
        <v>0</v>
      </c>
      <c r="P29" s="28">
        <f t="shared" si="30"/>
        <v>0</v>
      </c>
      <c r="Q29" s="7">
        <f t="shared" si="41"/>
        <v>5518.17</v>
      </c>
      <c r="R29" s="43">
        <f t="shared" si="31"/>
        <v>0</v>
      </c>
      <c r="S29" s="28">
        <f t="shared" si="32"/>
        <v>0</v>
      </c>
      <c r="T29" s="8">
        <f t="shared" si="35"/>
        <v>0</v>
      </c>
      <c r="U29" s="30">
        <f t="shared" si="33"/>
        <v>0</v>
      </c>
      <c r="W29" s="154">
        <v>44831</v>
      </c>
      <c r="X29" s="155">
        <f t="shared" si="42"/>
        <v>205819</v>
      </c>
      <c r="Y29" s="160">
        <f t="shared" si="20"/>
        <v>0</v>
      </c>
      <c r="Z29" s="155">
        <f t="shared" si="43"/>
        <v>9937</v>
      </c>
      <c r="AA29" s="160">
        <f t="shared" si="20"/>
        <v>0</v>
      </c>
      <c r="AB29" s="155">
        <f t="shared" si="34"/>
        <v>33.799999999999997</v>
      </c>
      <c r="AC29" s="160">
        <f t="shared" si="20"/>
        <v>0</v>
      </c>
      <c r="AD29" s="155">
        <f t="shared" si="44"/>
        <v>674</v>
      </c>
      <c r="AE29" s="160">
        <f t="shared" si="20"/>
        <v>0</v>
      </c>
      <c r="AF29" s="155">
        <f t="shared" si="45"/>
        <v>8932</v>
      </c>
      <c r="AG29" s="160">
        <f t="shared" si="20"/>
        <v>0</v>
      </c>
    </row>
    <row r="30" spans="1:33" ht="16.5" thickBot="1" x14ac:dyDescent="0.25">
      <c r="A30" s="9">
        <v>44832</v>
      </c>
      <c r="B30" s="157">
        <f t="shared" si="36"/>
        <v>24814.813999999998</v>
      </c>
      <c r="C30" s="43">
        <f t="shared" si="21"/>
        <v>0</v>
      </c>
      <c r="D30" s="28">
        <f t="shared" si="22"/>
        <v>0</v>
      </c>
      <c r="E30" s="1">
        <f t="shared" si="37"/>
        <v>4511.5349999999999</v>
      </c>
      <c r="F30" s="43">
        <f t="shared" si="23"/>
        <v>0</v>
      </c>
      <c r="G30" s="28">
        <f t="shared" si="24"/>
        <v>0</v>
      </c>
      <c r="H30" s="1">
        <f t="shared" si="38"/>
        <v>6041</v>
      </c>
      <c r="I30" s="43">
        <f t="shared" si="25"/>
        <v>0</v>
      </c>
      <c r="J30" s="28">
        <f t="shared" si="26"/>
        <v>0</v>
      </c>
      <c r="K30" s="7">
        <f t="shared" si="39"/>
        <v>14213.03</v>
      </c>
      <c r="L30" s="43">
        <f t="shared" si="27"/>
        <v>0</v>
      </c>
      <c r="M30" s="28">
        <f t="shared" si="28"/>
        <v>0</v>
      </c>
      <c r="N30" s="7">
        <f t="shared" si="40"/>
        <v>3735.4050000000002</v>
      </c>
      <c r="O30" s="43">
        <f t="shared" si="29"/>
        <v>0</v>
      </c>
      <c r="P30" s="28">
        <f t="shared" si="30"/>
        <v>0</v>
      </c>
      <c r="Q30" s="7">
        <f t="shared" si="41"/>
        <v>5518.17</v>
      </c>
      <c r="R30" s="43">
        <f t="shared" si="31"/>
        <v>0</v>
      </c>
      <c r="S30" s="28">
        <f t="shared" si="32"/>
        <v>0</v>
      </c>
      <c r="T30" s="8">
        <f t="shared" si="35"/>
        <v>0</v>
      </c>
      <c r="U30" s="30">
        <f t="shared" si="33"/>
        <v>0</v>
      </c>
      <c r="W30" s="154">
        <v>44832</v>
      </c>
      <c r="X30" s="155">
        <f t="shared" si="42"/>
        <v>205819</v>
      </c>
      <c r="Y30" s="160">
        <f t="shared" si="20"/>
        <v>0</v>
      </c>
      <c r="Z30" s="155">
        <f t="shared" si="43"/>
        <v>9937</v>
      </c>
      <c r="AA30" s="160">
        <f t="shared" si="20"/>
        <v>0</v>
      </c>
      <c r="AB30" s="155">
        <f t="shared" si="34"/>
        <v>33.799999999999997</v>
      </c>
      <c r="AC30" s="160">
        <f t="shared" si="20"/>
        <v>0</v>
      </c>
      <c r="AD30" s="155">
        <f t="shared" si="44"/>
        <v>674</v>
      </c>
      <c r="AE30" s="160">
        <f t="shared" si="20"/>
        <v>0</v>
      </c>
      <c r="AF30" s="155">
        <f t="shared" si="45"/>
        <v>8932</v>
      </c>
      <c r="AG30" s="160">
        <f t="shared" si="20"/>
        <v>0</v>
      </c>
    </row>
    <row r="31" spans="1:33" ht="16.5" thickBot="1" x14ac:dyDescent="0.25">
      <c r="A31" s="9">
        <v>44833</v>
      </c>
      <c r="B31" s="157">
        <f t="shared" si="36"/>
        <v>24814.813999999998</v>
      </c>
      <c r="C31" s="43">
        <f t="shared" si="21"/>
        <v>0</v>
      </c>
      <c r="D31" s="28">
        <f t="shared" si="22"/>
        <v>0</v>
      </c>
      <c r="E31" s="1">
        <f t="shared" si="37"/>
        <v>4511.5349999999999</v>
      </c>
      <c r="F31" s="43">
        <f t="shared" si="23"/>
        <v>0</v>
      </c>
      <c r="G31" s="28">
        <f t="shared" si="24"/>
        <v>0</v>
      </c>
      <c r="H31" s="1">
        <f t="shared" si="38"/>
        <v>6041</v>
      </c>
      <c r="I31" s="43">
        <f t="shared" si="25"/>
        <v>0</v>
      </c>
      <c r="J31" s="28">
        <f t="shared" si="26"/>
        <v>0</v>
      </c>
      <c r="K31" s="7">
        <f t="shared" si="39"/>
        <v>14213.03</v>
      </c>
      <c r="L31" s="43">
        <f t="shared" si="27"/>
        <v>0</v>
      </c>
      <c r="M31" s="28">
        <f t="shared" si="28"/>
        <v>0</v>
      </c>
      <c r="N31" s="7">
        <f t="shared" si="40"/>
        <v>3735.4050000000002</v>
      </c>
      <c r="O31" s="43">
        <f t="shared" si="29"/>
        <v>0</v>
      </c>
      <c r="P31" s="28">
        <f t="shared" si="30"/>
        <v>0</v>
      </c>
      <c r="Q31" s="7">
        <f t="shared" si="41"/>
        <v>5518.17</v>
      </c>
      <c r="R31" s="43">
        <f t="shared" si="31"/>
        <v>0</v>
      </c>
      <c r="S31" s="28">
        <f t="shared" si="32"/>
        <v>0</v>
      </c>
      <c r="T31" s="8">
        <f t="shared" si="35"/>
        <v>0</v>
      </c>
      <c r="U31" s="30">
        <f t="shared" si="33"/>
        <v>0</v>
      </c>
      <c r="W31" s="154">
        <v>44833</v>
      </c>
      <c r="X31" s="155">
        <f t="shared" si="42"/>
        <v>205819</v>
      </c>
      <c r="Y31" s="160">
        <f t="shared" si="20"/>
        <v>0</v>
      </c>
      <c r="Z31" s="155">
        <f t="shared" si="43"/>
        <v>9937</v>
      </c>
      <c r="AA31" s="160">
        <f t="shared" si="20"/>
        <v>0</v>
      </c>
      <c r="AB31" s="155">
        <f t="shared" si="34"/>
        <v>33.799999999999997</v>
      </c>
      <c r="AC31" s="160">
        <f t="shared" si="20"/>
        <v>0</v>
      </c>
      <c r="AD31" s="155">
        <f t="shared" si="44"/>
        <v>674</v>
      </c>
      <c r="AE31" s="160">
        <f t="shared" si="20"/>
        <v>0</v>
      </c>
      <c r="AF31" s="155">
        <f t="shared" si="45"/>
        <v>8932</v>
      </c>
      <c r="AG31" s="160">
        <f t="shared" si="20"/>
        <v>0</v>
      </c>
    </row>
    <row r="32" spans="1:33" ht="16.5" thickBot="1" x14ac:dyDescent="0.25">
      <c r="A32" s="9">
        <v>44834</v>
      </c>
      <c r="B32" s="157">
        <f t="shared" si="36"/>
        <v>24814.813999999998</v>
      </c>
      <c r="C32" s="43">
        <f t="shared" si="21"/>
        <v>0</v>
      </c>
      <c r="D32" s="28">
        <f t="shared" si="22"/>
        <v>0</v>
      </c>
      <c r="E32" s="1">
        <f t="shared" si="37"/>
        <v>4511.5349999999999</v>
      </c>
      <c r="F32" s="43">
        <f t="shared" si="23"/>
        <v>0</v>
      </c>
      <c r="G32" s="28">
        <f t="shared" si="24"/>
        <v>0</v>
      </c>
      <c r="H32" s="1">
        <f t="shared" si="38"/>
        <v>6041</v>
      </c>
      <c r="I32" s="43">
        <f t="shared" si="25"/>
        <v>0</v>
      </c>
      <c r="J32" s="28">
        <f t="shared" si="26"/>
        <v>0</v>
      </c>
      <c r="K32" s="7">
        <f t="shared" si="39"/>
        <v>14213.03</v>
      </c>
      <c r="L32" s="43">
        <f t="shared" si="27"/>
        <v>0</v>
      </c>
      <c r="M32" s="28">
        <f t="shared" si="28"/>
        <v>0</v>
      </c>
      <c r="N32" s="7">
        <f t="shared" si="40"/>
        <v>3735.4050000000002</v>
      </c>
      <c r="O32" s="43">
        <f t="shared" si="29"/>
        <v>0</v>
      </c>
      <c r="P32" s="28">
        <f t="shared" si="30"/>
        <v>0</v>
      </c>
      <c r="Q32" s="7">
        <f t="shared" si="41"/>
        <v>5518.17</v>
      </c>
      <c r="R32" s="43">
        <f t="shared" si="31"/>
        <v>0</v>
      </c>
      <c r="S32" s="28">
        <f t="shared" si="32"/>
        <v>0</v>
      </c>
      <c r="T32" s="8">
        <f t="shared" si="35"/>
        <v>0</v>
      </c>
      <c r="U32" s="30">
        <f t="shared" si="33"/>
        <v>0</v>
      </c>
      <c r="W32" s="154">
        <v>44834</v>
      </c>
      <c r="X32" s="155">
        <f t="shared" si="42"/>
        <v>205819</v>
      </c>
      <c r="Y32" s="160">
        <f t="shared" ref="Y32" si="59">IF((X32-X31)&lt;0,"0",(X32-X31))</f>
        <v>0</v>
      </c>
      <c r="Z32" s="155">
        <f t="shared" si="43"/>
        <v>9937</v>
      </c>
      <c r="AA32" s="160">
        <f t="shared" ref="AA32" si="60">IF((Z32-Z31)&lt;0,"0",(Z32-Z31))</f>
        <v>0</v>
      </c>
      <c r="AB32" s="155">
        <f t="shared" si="34"/>
        <v>33.799999999999997</v>
      </c>
      <c r="AC32" s="160">
        <f t="shared" ref="AC32" si="61">IF((AB32-AB31)&lt;0,"0",(AB32-AB31))</f>
        <v>0</v>
      </c>
      <c r="AD32" s="155">
        <f t="shared" si="44"/>
        <v>674</v>
      </c>
      <c r="AE32" s="160">
        <f t="shared" ref="AE32" si="62">IF((AD32-AD31)&lt;0,"0",(AD32-AD31))</f>
        <v>0</v>
      </c>
      <c r="AF32" s="155">
        <f t="shared" si="45"/>
        <v>8932</v>
      </c>
      <c r="AG32" s="160">
        <f t="shared" ref="AG32" si="63">IF((AF32-AF31)&lt;0,"0",(AF32-AF31))</f>
        <v>0</v>
      </c>
    </row>
    <row r="33" spans="1:33" s="22" customFormat="1" ht="15.75" thickBot="1" x14ac:dyDescent="0.25">
      <c r="A33" s="158" t="s">
        <v>23</v>
      </c>
      <c r="B33" s="158"/>
      <c r="C33" s="136">
        <f>SUM(C2:C32)</f>
        <v>75.885999999998603</v>
      </c>
      <c r="D33" s="136">
        <f>SUM(D3:D32)</f>
        <v>144183.39999999735</v>
      </c>
      <c r="E33" s="136"/>
      <c r="F33" s="136">
        <f>SUM(F2:F32)</f>
        <v>16.489999999999782</v>
      </c>
      <c r="G33" s="136">
        <f>SUM(G3:G32)</f>
        <v>31330.999999999585</v>
      </c>
      <c r="H33" s="136"/>
      <c r="I33" s="136">
        <f>SUM(I2:I32)</f>
        <v>50</v>
      </c>
      <c r="J33" s="136">
        <f>SUM(J3:J32)</f>
        <v>94999.999999999985</v>
      </c>
      <c r="K33" s="136"/>
      <c r="L33" s="136">
        <f>SUM(L2:L32)</f>
        <v>14.600000000000364</v>
      </c>
      <c r="M33" s="136">
        <f>SUM(M3:M32)</f>
        <v>27740.000000000691</v>
      </c>
      <c r="N33" s="136"/>
      <c r="O33" s="136">
        <f>SUM(O2:O32)</f>
        <v>13.266000000000076</v>
      </c>
      <c r="P33" s="136">
        <f>SUM(P3:P32)</f>
        <v>25205.400000000147</v>
      </c>
      <c r="Q33" s="136"/>
      <c r="R33" s="136">
        <v>2.21</v>
      </c>
      <c r="S33" s="136">
        <f>SUM(S3:S32)</f>
        <v>17650.999999999931</v>
      </c>
      <c r="T33" s="136">
        <v>22.454999999999998</v>
      </c>
      <c r="U33" s="136">
        <f>SUM(U3:U32)</f>
        <v>341110.79999999766</v>
      </c>
      <c r="V33"/>
      <c r="W33" s="136" t="s">
        <v>141</v>
      </c>
      <c r="X33" s="136"/>
      <c r="Y33" s="136">
        <f>SUM(Y2:Y32)</f>
        <v>1921</v>
      </c>
      <c r="Z33" s="136"/>
      <c r="AA33" s="136">
        <f>SUM(AA2:AA32)</f>
        <v>64</v>
      </c>
      <c r="AB33" s="136"/>
      <c r="AC33" s="136">
        <f>SUM(AC2:AC32)</f>
        <v>0.19999999999999574</v>
      </c>
      <c r="AD33" s="136"/>
      <c r="AE33" s="136">
        <f>SUM(AE2:AE32)</f>
        <v>19</v>
      </c>
      <c r="AF33" s="136">
        <v>0</v>
      </c>
      <c r="AG33" s="136">
        <f>SUM(AG2:AG32)</f>
        <v>85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2" activePane="bottomLeft" state="frozen"/>
      <selection pane="bottomLeft" activeCell="D93" sqref="D9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6"/>
      <c r="C1" s="57" t="s">
        <v>77</v>
      </c>
      <c r="D1" s="58" t="s">
        <v>78</v>
      </c>
      <c r="E1" s="58" t="s">
        <v>146</v>
      </c>
      <c r="F1" s="58" t="s">
        <v>145</v>
      </c>
      <c r="G1" s="58" t="s">
        <v>91</v>
      </c>
      <c r="H1" s="59" t="s">
        <v>79</v>
      </c>
      <c r="J1" s="57" t="s">
        <v>77</v>
      </c>
      <c r="K1" s="58" t="s">
        <v>78</v>
      </c>
      <c r="L1" s="58" t="s">
        <v>145</v>
      </c>
      <c r="M1" s="58" t="s">
        <v>147</v>
      </c>
      <c r="N1" s="58" t="s">
        <v>91</v>
      </c>
      <c r="O1" s="59" t="s">
        <v>79</v>
      </c>
      <c r="Q1" s="57" t="s">
        <v>77</v>
      </c>
      <c r="R1" s="58" t="s">
        <v>78</v>
      </c>
      <c r="S1" s="58" t="s">
        <v>148</v>
      </c>
      <c r="T1" s="58" t="s">
        <v>149</v>
      </c>
      <c r="U1" s="58" t="s">
        <v>91</v>
      </c>
      <c r="V1" s="59" t="s">
        <v>79</v>
      </c>
    </row>
    <row r="2" spans="2:22" ht="15" x14ac:dyDescent="0.2">
      <c r="B2" s="56"/>
      <c r="C2" s="171">
        <v>6</v>
      </c>
      <c r="D2" s="60" t="s">
        <v>80</v>
      </c>
      <c r="E2" s="61">
        <v>285244</v>
      </c>
      <c r="F2" s="61">
        <v>286287</v>
      </c>
      <c r="G2" s="62">
        <f>F2-E2</f>
        <v>1043</v>
      </c>
      <c r="H2" s="63"/>
      <c r="J2" s="171">
        <v>6</v>
      </c>
      <c r="K2" s="60" t="s">
        <v>80</v>
      </c>
      <c r="L2" s="61">
        <v>286287</v>
      </c>
      <c r="M2" s="61">
        <v>287220</v>
      </c>
      <c r="N2" s="62">
        <f>M2-L2</f>
        <v>933</v>
      </c>
      <c r="O2" s="63"/>
      <c r="Q2" s="171">
        <v>6</v>
      </c>
      <c r="R2" s="60" t="s">
        <v>80</v>
      </c>
      <c r="S2" s="61">
        <v>287938</v>
      </c>
      <c r="T2" s="61">
        <v>288742</v>
      </c>
      <c r="U2" s="62">
        <f t="shared" ref="U2:U4" si="0">IF((T2-S2)&lt;0,"0",(T2-S2))</f>
        <v>804</v>
      </c>
      <c r="V2" s="63"/>
    </row>
    <row r="3" spans="2:22" ht="15" x14ac:dyDescent="0.2">
      <c r="B3" s="56"/>
      <c r="C3" s="178"/>
      <c r="D3" s="60" t="s">
        <v>81</v>
      </c>
      <c r="E3" s="61">
        <v>248873</v>
      </c>
      <c r="F3" s="61">
        <v>249821</v>
      </c>
      <c r="G3" s="62">
        <f t="shared" ref="G3:G43" si="1">F3-E3</f>
        <v>948</v>
      </c>
      <c r="H3" s="63"/>
      <c r="J3" s="178"/>
      <c r="K3" s="60" t="s">
        <v>81</v>
      </c>
      <c r="L3" s="61">
        <v>249821</v>
      </c>
      <c r="M3" s="61">
        <v>250379</v>
      </c>
      <c r="N3" s="62">
        <f t="shared" ref="N3:N60" si="2">M3-L3</f>
        <v>558</v>
      </c>
      <c r="O3" s="63"/>
      <c r="Q3" s="178"/>
      <c r="R3" s="60" t="s">
        <v>81</v>
      </c>
      <c r="S3" s="61">
        <v>250637</v>
      </c>
      <c r="T3" s="61">
        <v>250971</v>
      </c>
      <c r="U3" s="62">
        <f t="shared" si="0"/>
        <v>334</v>
      </c>
      <c r="V3" s="63"/>
    </row>
    <row r="4" spans="2:22" ht="15" x14ac:dyDescent="0.2">
      <c r="B4" s="56"/>
      <c r="C4" s="172"/>
      <c r="D4" s="60" t="s">
        <v>82</v>
      </c>
      <c r="E4" s="61">
        <v>194618</v>
      </c>
      <c r="F4" s="61">
        <v>195288</v>
      </c>
      <c r="G4" s="62">
        <f t="shared" si="1"/>
        <v>670</v>
      </c>
      <c r="H4" s="63"/>
      <c r="J4" s="172"/>
      <c r="K4" s="60" t="s">
        <v>82</v>
      </c>
      <c r="L4" s="61">
        <v>195288</v>
      </c>
      <c r="M4" s="61">
        <v>195771</v>
      </c>
      <c r="N4" s="62">
        <f t="shared" si="2"/>
        <v>483</v>
      </c>
      <c r="O4" s="63"/>
      <c r="Q4" s="172"/>
      <c r="R4" s="60" t="s">
        <v>82</v>
      </c>
      <c r="S4" s="61">
        <v>196128</v>
      </c>
      <c r="T4" s="61">
        <v>169526</v>
      </c>
      <c r="U4" s="62" t="str">
        <f t="shared" si="0"/>
        <v>0</v>
      </c>
      <c r="V4" s="63"/>
    </row>
    <row r="5" spans="2:22" ht="15" x14ac:dyDescent="0.2">
      <c r="B5" s="56"/>
      <c r="C5" s="171">
        <v>7</v>
      </c>
      <c r="D5" s="60" t="s">
        <v>80</v>
      </c>
      <c r="E5" s="61">
        <v>250252</v>
      </c>
      <c r="F5" s="61">
        <v>251254</v>
      </c>
      <c r="G5" s="62">
        <f t="shared" si="1"/>
        <v>1002</v>
      </c>
      <c r="H5" s="63"/>
      <c r="J5" s="171">
        <v>7</v>
      </c>
      <c r="K5" s="60" t="s">
        <v>80</v>
      </c>
      <c r="L5" s="61">
        <v>251254</v>
      </c>
      <c r="M5" s="61">
        <v>252555</v>
      </c>
      <c r="N5" s="62">
        <f t="shared" si="2"/>
        <v>1301</v>
      </c>
      <c r="O5" s="63"/>
      <c r="Q5" s="171">
        <v>7</v>
      </c>
      <c r="R5" s="60" t="s">
        <v>80</v>
      </c>
      <c r="S5" s="61">
        <v>253773</v>
      </c>
      <c r="T5" s="61">
        <v>255027</v>
      </c>
      <c r="U5" s="62">
        <f>IF((T5-S5)&lt;0,"0",(T5-S5))</f>
        <v>1254</v>
      </c>
      <c r="V5" s="63"/>
    </row>
    <row r="6" spans="2:22" ht="15" x14ac:dyDescent="0.2">
      <c r="B6" s="56"/>
      <c r="C6" s="178"/>
      <c r="D6" s="60" t="s">
        <v>81</v>
      </c>
      <c r="E6" s="61">
        <v>155059</v>
      </c>
      <c r="F6" s="61">
        <v>156177</v>
      </c>
      <c r="G6" s="62">
        <f t="shared" si="1"/>
        <v>1118</v>
      </c>
      <c r="H6" s="63"/>
      <c r="J6" s="178"/>
      <c r="K6" s="60" t="s">
        <v>81</v>
      </c>
      <c r="L6" s="61">
        <v>156177</v>
      </c>
      <c r="M6" s="61">
        <v>156275</v>
      </c>
      <c r="N6" s="62">
        <f t="shared" si="2"/>
        <v>98</v>
      </c>
      <c r="O6" s="63"/>
      <c r="Q6" s="178"/>
      <c r="R6" s="60" t="s">
        <v>81</v>
      </c>
      <c r="S6" s="61">
        <v>156465</v>
      </c>
      <c r="T6" s="61">
        <v>156602</v>
      </c>
      <c r="U6" s="62">
        <f t="shared" ref="U6:U63" si="3">IF((T6-S6)&lt;0,"0",(T6-S6))</f>
        <v>137</v>
      </c>
      <c r="V6" s="63"/>
    </row>
    <row r="7" spans="2:22" ht="15" x14ac:dyDescent="0.2">
      <c r="B7" s="56"/>
      <c r="C7" s="172"/>
      <c r="D7" s="60" t="s">
        <v>82</v>
      </c>
      <c r="E7" s="61">
        <v>129125</v>
      </c>
      <c r="F7" s="61">
        <v>129451</v>
      </c>
      <c r="G7" s="62">
        <f t="shared" si="1"/>
        <v>326</v>
      </c>
      <c r="H7" s="63"/>
      <c r="J7" s="172"/>
      <c r="K7" s="60" t="s">
        <v>82</v>
      </c>
      <c r="L7" s="61">
        <v>129451</v>
      </c>
      <c r="M7" s="61">
        <v>130019</v>
      </c>
      <c r="N7" s="62">
        <f t="shared" si="2"/>
        <v>568</v>
      </c>
      <c r="O7" s="63"/>
      <c r="Q7" s="172"/>
      <c r="R7" s="60" t="s">
        <v>82</v>
      </c>
      <c r="S7" s="61">
        <v>130529</v>
      </c>
      <c r="T7" s="61">
        <v>120782</v>
      </c>
      <c r="U7" s="62" t="str">
        <f t="shared" si="3"/>
        <v>0</v>
      </c>
      <c r="V7" s="63"/>
    </row>
    <row r="8" spans="2:22" ht="15" x14ac:dyDescent="0.2">
      <c r="B8" s="56"/>
      <c r="C8" s="171">
        <v>8</v>
      </c>
      <c r="D8" s="60" t="s">
        <v>80</v>
      </c>
      <c r="E8" s="61">
        <v>77730</v>
      </c>
      <c r="F8" s="61">
        <v>77947</v>
      </c>
      <c r="G8" s="62">
        <f t="shared" si="1"/>
        <v>217</v>
      </c>
      <c r="H8" s="63"/>
      <c r="J8" s="171">
        <v>8</v>
      </c>
      <c r="K8" s="60" t="s">
        <v>80</v>
      </c>
      <c r="L8" s="61">
        <v>77947</v>
      </c>
      <c r="M8" s="61">
        <v>78142</v>
      </c>
      <c r="N8" s="62">
        <f t="shared" si="2"/>
        <v>195</v>
      </c>
      <c r="O8" s="63"/>
      <c r="Q8" s="171">
        <v>8</v>
      </c>
      <c r="R8" s="60" t="s">
        <v>80</v>
      </c>
      <c r="S8" s="61">
        <v>78348</v>
      </c>
      <c r="T8" s="61">
        <v>78755</v>
      </c>
      <c r="U8" s="62">
        <f t="shared" si="3"/>
        <v>407</v>
      </c>
      <c r="V8" s="63"/>
    </row>
    <row r="9" spans="2:22" ht="15" x14ac:dyDescent="0.2">
      <c r="B9" s="56"/>
      <c r="C9" s="178"/>
      <c r="D9" s="60" t="s">
        <v>81</v>
      </c>
      <c r="E9" s="61">
        <v>158</v>
      </c>
      <c r="F9" s="61">
        <v>158</v>
      </c>
      <c r="G9" s="62">
        <f t="shared" si="1"/>
        <v>0</v>
      </c>
      <c r="H9" s="64" t="s">
        <v>12</v>
      </c>
      <c r="J9" s="178"/>
      <c r="K9" s="60" t="s">
        <v>81</v>
      </c>
      <c r="L9" s="61">
        <v>158</v>
      </c>
      <c r="M9" s="61">
        <v>158</v>
      </c>
      <c r="N9" s="62">
        <f t="shared" si="2"/>
        <v>0</v>
      </c>
      <c r="O9" s="64" t="s">
        <v>12</v>
      </c>
      <c r="Q9" s="178"/>
      <c r="R9" s="60" t="s">
        <v>81</v>
      </c>
      <c r="S9" s="61">
        <v>158</v>
      </c>
      <c r="T9" s="61">
        <v>158</v>
      </c>
      <c r="U9" s="62">
        <f t="shared" si="3"/>
        <v>0</v>
      </c>
      <c r="V9" s="64" t="s">
        <v>12</v>
      </c>
    </row>
    <row r="10" spans="2:22" ht="15" x14ac:dyDescent="0.2">
      <c r="B10" s="56"/>
      <c r="C10" s="172"/>
      <c r="D10" s="60" t="s">
        <v>82</v>
      </c>
      <c r="E10" s="61">
        <v>102300</v>
      </c>
      <c r="F10" s="61">
        <v>102920</v>
      </c>
      <c r="G10" s="62">
        <f t="shared" si="1"/>
        <v>620</v>
      </c>
      <c r="H10" s="63"/>
      <c r="J10" s="172"/>
      <c r="K10" s="60" t="s">
        <v>82</v>
      </c>
      <c r="L10" s="61">
        <v>102920</v>
      </c>
      <c r="M10" s="61">
        <v>103570</v>
      </c>
      <c r="N10" s="62">
        <f t="shared" si="2"/>
        <v>650</v>
      </c>
      <c r="O10" s="63"/>
      <c r="Q10" s="172"/>
      <c r="R10" s="60" t="s">
        <v>82</v>
      </c>
      <c r="S10" s="61">
        <v>104361</v>
      </c>
      <c r="T10" s="61">
        <v>105117</v>
      </c>
      <c r="U10" s="62">
        <f t="shared" si="3"/>
        <v>756</v>
      </c>
      <c r="V10" s="63"/>
    </row>
    <row r="11" spans="2:22" ht="15" x14ac:dyDescent="0.2">
      <c r="B11" s="56"/>
      <c r="C11" s="171">
        <v>9</v>
      </c>
      <c r="D11" s="60" t="s">
        <v>80</v>
      </c>
      <c r="E11" s="61">
        <v>34798</v>
      </c>
      <c r="F11" s="61">
        <v>34946</v>
      </c>
      <c r="G11" s="62">
        <f t="shared" si="1"/>
        <v>148</v>
      </c>
      <c r="H11" s="63"/>
      <c r="J11" s="171">
        <v>9</v>
      </c>
      <c r="K11" s="60" t="s">
        <v>80</v>
      </c>
      <c r="L11" s="61">
        <v>34946</v>
      </c>
      <c r="M11" s="61">
        <v>34981</v>
      </c>
      <c r="N11" s="62">
        <f t="shared" si="2"/>
        <v>35</v>
      </c>
      <c r="O11" s="63"/>
      <c r="Q11" s="171">
        <v>9</v>
      </c>
      <c r="R11" s="60" t="s">
        <v>80</v>
      </c>
      <c r="S11" s="61">
        <v>35075</v>
      </c>
      <c r="T11" s="61">
        <v>35141</v>
      </c>
      <c r="U11" s="62">
        <f t="shared" si="3"/>
        <v>66</v>
      </c>
      <c r="V11" s="63"/>
    </row>
    <row r="12" spans="2:22" ht="15" x14ac:dyDescent="0.2">
      <c r="B12" s="56"/>
      <c r="C12" s="178"/>
      <c r="D12" s="60" t="s">
        <v>81</v>
      </c>
      <c r="E12" s="61">
        <v>0</v>
      </c>
      <c r="F12" s="61">
        <v>0</v>
      </c>
      <c r="G12" s="62">
        <f t="shared" si="1"/>
        <v>0</v>
      </c>
      <c r="H12" s="64" t="s">
        <v>12</v>
      </c>
      <c r="J12" s="178"/>
      <c r="K12" s="60" t="s">
        <v>81</v>
      </c>
      <c r="L12" s="61">
        <v>0</v>
      </c>
      <c r="M12" s="61">
        <v>0</v>
      </c>
      <c r="N12" s="62">
        <f t="shared" si="2"/>
        <v>0</v>
      </c>
      <c r="O12" s="64" t="s">
        <v>12</v>
      </c>
      <c r="Q12" s="178"/>
      <c r="R12" s="60" t="s">
        <v>81</v>
      </c>
      <c r="S12" s="61">
        <v>0</v>
      </c>
      <c r="T12" s="61">
        <v>0</v>
      </c>
      <c r="U12" s="62">
        <f t="shared" si="3"/>
        <v>0</v>
      </c>
      <c r="V12" s="64" t="s">
        <v>12</v>
      </c>
    </row>
    <row r="13" spans="2:22" ht="15" x14ac:dyDescent="0.2">
      <c r="B13" s="56"/>
      <c r="C13" s="172"/>
      <c r="D13" s="60" t="s">
        <v>82</v>
      </c>
      <c r="E13" s="61">
        <v>29204</v>
      </c>
      <c r="F13" s="61">
        <v>29310</v>
      </c>
      <c r="G13" s="62">
        <f t="shared" si="1"/>
        <v>106</v>
      </c>
      <c r="H13" s="63"/>
      <c r="I13" s="65"/>
      <c r="J13" s="172"/>
      <c r="K13" s="60" t="s">
        <v>82</v>
      </c>
      <c r="L13" s="61">
        <v>29310</v>
      </c>
      <c r="M13" s="61">
        <v>103570</v>
      </c>
      <c r="N13" s="62">
        <f t="shared" si="2"/>
        <v>74260</v>
      </c>
      <c r="O13" s="63"/>
      <c r="Q13" s="172"/>
      <c r="R13" s="60" t="s">
        <v>82</v>
      </c>
      <c r="S13" s="61">
        <v>29487</v>
      </c>
      <c r="T13" s="61">
        <v>29599</v>
      </c>
      <c r="U13" s="62">
        <f t="shared" si="3"/>
        <v>112</v>
      </c>
      <c r="V13" s="63"/>
    </row>
    <row r="14" spans="2:22" ht="15" x14ac:dyDescent="0.2">
      <c r="B14" s="56"/>
      <c r="C14" s="171">
        <v>10</v>
      </c>
      <c r="D14" s="60" t="s">
        <v>80</v>
      </c>
      <c r="E14" s="61">
        <v>211813</v>
      </c>
      <c r="F14" s="61">
        <v>213986</v>
      </c>
      <c r="G14" s="62">
        <f t="shared" si="1"/>
        <v>2173</v>
      </c>
      <c r="H14" s="63"/>
      <c r="I14" s="66"/>
      <c r="J14" s="171">
        <v>10</v>
      </c>
      <c r="K14" s="60" t="s">
        <v>80</v>
      </c>
      <c r="L14" s="61">
        <v>213986</v>
      </c>
      <c r="M14" s="61">
        <v>216026</v>
      </c>
      <c r="N14" s="62">
        <f t="shared" si="2"/>
        <v>2040</v>
      </c>
      <c r="O14" s="63"/>
      <c r="Q14" s="171">
        <v>10</v>
      </c>
      <c r="R14" s="60" t="s">
        <v>80</v>
      </c>
      <c r="S14" s="61">
        <v>217872</v>
      </c>
      <c r="T14" s="61">
        <v>219754</v>
      </c>
      <c r="U14" s="62">
        <f t="shared" si="3"/>
        <v>1882</v>
      </c>
      <c r="V14" s="63"/>
    </row>
    <row r="15" spans="2:22" ht="15" x14ac:dyDescent="0.2">
      <c r="B15" s="56"/>
      <c r="C15" s="178"/>
      <c r="D15" s="60" t="s">
        <v>81</v>
      </c>
      <c r="E15" s="61">
        <v>8006</v>
      </c>
      <c r="F15" s="61">
        <v>8006</v>
      </c>
      <c r="G15" s="62">
        <f t="shared" si="1"/>
        <v>0</v>
      </c>
      <c r="H15" s="63"/>
      <c r="I15" s="66"/>
      <c r="J15" s="178"/>
      <c r="K15" s="60" t="s">
        <v>81</v>
      </c>
      <c r="L15" s="61">
        <v>8006</v>
      </c>
      <c r="M15" s="61">
        <v>8006</v>
      </c>
      <c r="N15" s="62">
        <f t="shared" si="2"/>
        <v>0</v>
      </c>
      <c r="O15" s="63"/>
      <c r="Q15" s="178"/>
      <c r="R15" s="60" t="s">
        <v>81</v>
      </c>
      <c r="S15" s="61">
        <v>8006</v>
      </c>
      <c r="T15" s="61">
        <v>8006</v>
      </c>
      <c r="U15" s="62">
        <f t="shared" si="3"/>
        <v>0</v>
      </c>
      <c r="V15" s="63"/>
    </row>
    <row r="16" spans="2:22" ht="15" x14ac:dyDescent="0.2">
      <c r="B16" s="56"/>
      <c r="C16" s="172"/>
      <c r="D16" s="60" t="s">
        <v>82</v>
      </c>
      <c r="E16" s="61">
        <v>194420</v>
      </c>
      <c r="F16" s="61">
        <v>196282</v>
      </c>
      <c r="G16" s="62">
        <f t="shared" si="1"/>
        <v>1862</v>
      </c>
      <c r="H16" s="63"/>
      <c r="I16" s="66"/>
      <c r="J16" s="172"/>
      <c r="K16" s="60" t="s">
        <v>82</v>
      </c>
      <c r="L16" s="61">
        <v>196282</v>
      </c>
      <c r="M16" s="61">
        <v>197791</v>
      </c>
      <c r="N16" s="62">
        <f t="shared" si="2"/>
        <v>1509</v>
      </c>
      <c r="O16" s="63"/>
      <c r="Q16" s="172"/>
      <c r="R16" s="60" t="s">
        <v>82</v>
      </c>
      <c r="S16" s="61">
        <v>198936</v>
      </c>
      <c r="T16" s="61">
        <v>199984</v>
      </c>
      <c r="U16" s="62">
        <f t="shared" si="3"/>
        <v>1048</v>
      </c>
      <c r="V16" s="63"/>
    </row>
    <row r="17" spans="2:22" ht="15" x14ac:dyDescent="0.2">
      <c r="B17" s="56"/>
      <c r="C17" s="171">
        <v>11</v>
      </c>
      <c r="D17" s="60" t="s">
        <v>80</v>
      </c>
      <c r="E17" s="62">
        <v>66985</v>
      </c>
      <c r="F17" s="62">
        <v>67492</v>
      </c>
      <c r="G17" s="62">
        <f t="shared" si="1"/>
        <v>507</v>
      </c>
      <c r="H17" s="63"/>
      <c r="I17" s="66"/>
      <c r="J17" s="171">
        <v>11</v>
      </c>
      <c r="K17" s="60" t="s">
        <v>80</v>
      </c>
      <c r="L17" s="62">
        <v>67492</v>
      </c>
      <c r="M17" s="62">
        <v>67541</v>
      </c>
      <c r="N17" s="62">
        <f t="shared" si="2"/>
        <v>49</v>
      </c>
      <c r="O17" s="63"/>
      <c r="Q17" s="171">
        <v>11</v>
      </c>
      <c r="R17" s="60" t="s">
        <v>80</v>
      </c>
      <c r="S17" s="61">
        <v>68064</v>
      </c>
      <c r="T17" s="61">
        <v>68249</v>
      </c>
      <c r="U17" s="62">
        <f t="shared" si="3"/>
        <v>185</v>
      </c>
      <c r="V17" s="63"/>
    </row>
    <row r="18" spans="2:22" ht="15" x14ac:dyDescent="0.2">
      <c r="B18" s="56"/>
      <c r="C18" s="178"/>
      <c r="D18" s="60" t="s">
        <v>81</v>
      </c>
      <c r="E18" s="62">
        <v>222780</v>
      </c>
      <c r="F18" s="62">
        <v>223502</v>
      </c>
      <c r="G18" s="62">
        <f t="shared" si="1"/>
        <v>722</v>
      </c>
      <c r="H18" s="63"/>
      <c r="I18" s="66"/>
      <c r="J18" s="178"/>
      <c r="K18" s="60" t="s">
        <v>81</v>
      </c>
      <c r="L18" s="62">
        <v>223502</v>
      </c>
      <c r="M18" s="62">
        <v>223502</v>
      </c>
      <c r="N18" s="62">
        <f t="shared" si="2"/>
        <v>0</v>
      </c>
      <c r="O18" s="63"/>
      <c r="Q18" s="178"/>
      <c r="R18" s="60" t="s">
        <v>81</v>
      </c>
      <c r="S18" s="61">
        <v>225269</v>
      </c>
      <c r="T18" s="61">
        <v>226416</v>
      </c>
      <c r="U18" s="62">
        <f t="shared" si="3"/>
        <v>1147</v>
      </c>
      <c r="V18" s="63"/>
    </row>
    <row r="19" spans="2:22" ht="15" x14ac:dyDescent="0.2">
      <c r="B19" s="56"/>
      <c r="C19" s="172"/>
      <c r="D19" s="60" t="s">
        <v>82</v>
      </c>
      <c r="E19" s="61">
        <v>31138</v>
      </c>
      <c r="F19" s="61">
        <v>31204</v>
      </c>
      <c r="G19" s="62">
        <f t="shared" si="1"/>
        <v>66</v>
      </c>
      <c r="H19" s="63"/>
      <c r="I19" s="66"/>
      <c r="J19" s="172"/>
      <c r="K19" s="60" t="s">
        <v>82</v>
      </c>
      <c r="L19" s="61">
        <v>31204</v>
      </c>
      <c r="M19" s="61">
        <v>224068</v>
      </c>
      <c r="N19" s="62">
        <f t="shared" si="2"/>
        <v>192864</v>
      </c>
      <c r="O19" s="63"/>
      <c r="Q19" s="172"/>
      <c r="R19" s="60" t="s">
        <v>82</v>
      </c>
      <c r="S19" s="61">
        <v>31314</v>
      </c>
      <c r="T19" s="61">
        <v>31368</v>
      </c>
      <c r="U19" s="62">
        <f t="shared" si="3"/>
        <v>54</v>
      </c>
      <c r="V19" s="63"/>
    </row>
    <row r="20" spans="2:22" ht="15" x14ac:dyDescent="0.2">
      <c r="B20" s="56"/>
      <c r="C20" s="171">
        <v>12</v>
      </c>
      <c r="D20" s="60" t="s">
        <v>80</v>
      </c>
      <c r="E20" s="142">
        <v>146776</v>
      </c>
      <c r="F20" s="142">
        <v>146902</v>
      </c>
      <c r="G20" s="62">
        <f t="shared" si="1"/>
        <v>126</v>
      </c>
      <c r="H20" s="63"/>
      <c r="I20" s="66"/>
      <c r="J20" s="171">
        <v>12</v>
      </c>
      <c r="K20" s="60" t="s">
        <v>80</v>
      </c>
      <c r="L20" s="142">
        <v>146902</v>
      </c>
      <c r="M20" s="142">
        <v>147023</v>
      </c>
      <c r="N20" s="62">
        <f t="shared" si="2"/>
        <v>121</v>
      </c>
      <c r="O20" s="63"/>
      <c r="Q20" s="171">
        <v>12</v>
      </c>
      <c r="R20" s="60" t="s">
        <v>80</v>
      </c>
      <c r="S20" s="61">
        <v>147148</v>
      </c>
      <c r="T20" s="61">
        <v>147275</v>
      </c>
      <c r="U20" s="62">
        <f t="shared" si="3"/>
        <v>127</v>
      </c>
      <c r="V20" s="63"/>
    </row>
    <row r="21" spans="2:22" ht="15" x14ac:dyDescent="0.2">
      <c r="B21" s="56"/>
      <c r="C21" s="178"/>
      <c r="D21" s="60" t="s">
        <v>81</v>
      </c>
      <c r="E21" s="61">
        <v>22614</v>
      </c>
      <c r="F21" s="61">
        <v>23192</v>
      </c>
      <c r="G21" s="62">
        <f t="shared" si="1"/>
        <v>578</v>
      </c>
      <c r="H21" s="63"/>
      <c r="I21" s="67" t="s">
        <v>12</v>
      </c>
      <c r="J21" s="178"/>
      <c r="K21" s="60" t="s">
        <v>81</v>
      </c>
      <c r="L21" s="61">
        <v>23192</v>
      </c>
      <c r="M21" s="61">
        <v>23233</v>
      </c>
      <c r="N21" s="62">
        <f t="shared" si="2"/>
        <v>41</v>
      </c>
      <c r="O21" s="63"/>
      <c r="Q21" s="178"/>
      <c r="R21" s="60" t="s">
        <v>81</v>
      </c>
      <c r="S21" s="61">
        <v>23301</v>
      </c>
      <c r="T21" s="61">
        <v>233351</v>
      </c>
      <c r="U21" s="62">
        <f t="shared" si="3"/>
        <v>210050</v>
      </c>
      <c r="V21" s="63"/>
    </row>
    <row r="22" spans="2:22" ht="15" x14ac:dyDescent="0.2">
      <c r="B22" s="56"/>
      <c r="C22" s="172"/>
      <c r="D22" s="60" t="s">
        <v>82</v>
      </c>
      <c r="E22" s="61">
        <v>252574</v>
      </c>
      <c r="F22" s="61">
        <v>254437</v>
      </c>
      <c r="G22" s="62">
        <f t="shared" si="1"/>
        <v>1863</v>
      </c>
      <c r="H22" s="63"/>
      <c r="I22" s="66"/>
      <c r="J22" s="172"/>
      <c r="K22" s="60" t="s">
        <v>82</v>
      </c>
      <c r="L22" s="61">
        <v>254437</v>
      </c>
      <c r="M22" s="61">
        <v>255794</v>
      </c>
      <c r="N22" s="62">
        <f t="shared" si="2"/>
        <v>1357</v>
      </c>
      <c r="O22" s="63"/>
      <c r="Q22" s="172"/>
      <c r="R22" s="60" t="s">
        <v>82</v>
      </c>
      <c r="S22" s="61">
        <v>256806</v>
      </c>
      <c r="T22" s="61">
        <v>257916</v>
      </c>
      <c r="U22" s="62">
        <f t="shared" si="3"/>
        <v>1110</v>
      </c>
      <c r="V22" s="63"/>
    </row>
    <row r="23" spans="2:22" ht="15" x14ac:dyDescent="0.2">
      <c r="B23" s="56"/>
      <c r="C23" s="171">
        <v>14</v>
      </c>
      <c r="D23" s="60" t="s">
        <v>80</v>
      </c>
      <c r="E23" s="61">
        <v>118249</v>
      </c>
      <c r="F23" s="61">
        <v>118453</v>
      </c>
      <c r="G23" s="62">
        <f t="shared" si="1"/>
        <v>204</v>
      </c>
      <c r="H23" s="63"/>
      <c r="I23" s="66"/>
      <c r="J23" s="171">
        <v>14</v>
      </c>
      <c r="K23" s="60" t="s">
        <v>80</v>
      </c>
      <c r="L23" s="61">
        <v>118453</v>
      </c>
      <c r="M23" s="61">
        <v>118666</v>
      </c>
      <c r="N23" s="62">
        <f t="shared" si="2"/>
        <v>213</v>
      </c>
      <c r="O23" s="63"/>
      <c r="Q23" s="171">
        <v>14</v>
      </c>
      <c r="R23" s="60" t="s">
        <v>80</v>
      </c>
      <c r="S23" s="61">
        <v>119046</v>
      </c>
      <c r="T23" s="61">
        <v>119408</v>
      </c>
      <c r="U23" s="62">
        <f t="shared" si="3"/>
        <v>362</v>
      </c>
      <c r="V23" s="63"/>
    </row>
    <row r="24" spans="2:22" ht="15" x14ac:dyDescent="0.2">
      <c r="B24" s="56"/>
      <c r="C24" s="178"/>
      <c r="D24" s="60" t="s">
        <v>81</v>
      </c>
      <c r="E24" s="68">
        <v>32974</v>
      </c>
      <c r="F24" s="68">
        <v>34284</v>
      </c>
      <c r="G24" s="62">
        <f t="shared" si="1"/>
        <v>1310</v>
      </c>
      <c r="H24" s="63"/>
      <c r="I24" s="66"/>
      <c r="J24" s="178"/>
      <c r="K24" s="60" t="s">
        <v>81</v>
      </c>
      <c r="L24" s="68">
        <v>34284</v>
      </c>
      <c r="M24" s="68">
        <v>35057</v>
      </c>
      <c r="N24" s="62">
        <f t="shared" si="2"/>
        <v>773</v>
      </c>
      <c r="O24" s="63"/>
      <c r="Q24" s="178"/>
      <c r="R24" s="60" t="s">
        <v>81</v>
      </c>
      <c r="S24" s="61">
        <v>35994</v>
      </c>
      <c r="T24" s="61">
        <v>36899</v>
      </c>
      <c r="U24" s="62">
        <f t="shared" si="3"/>
        <v>905</v>
      </c>
      <c r="V24" s="63"/>
    </row>
    <row r="25" spans="2:22" ht="15" x14ac:dyDescent="0.2">
      <c r="B25" s="56"/>
      <c r="C25" s="172"/>
      <c r="D25" s="60" t="s">
        <v>82</v>
      </c>
      <c r="E25" s="61">
        <v>1884</v>
      </c>
      <c r="F25" s="61">
        <v>1911</v>
      </c>
      <c r="G25" s="62">
        <f t="shared" si="1"/>
        <v>27</v>
      </c>
      <c r="H25" s="63"/>
      <c r="I25" s="66"/>
      <c r="J25" s="172"/>
      <c r="K25" s="60" t="s">
        <v>82</v>
      </c>
      <c r="L25" s="61">
        <v>1911</v>
      </c>
      <c r="M25" s="61">
        <v>1935</v>
      </c>
      <c r="N25" s="62">
        <f t="shared" si="2"/>
        <v>24</v>
      </c>
      <c r="O25" s="63"/>
      <c r="Q25" s="172"/>
      <c r="R25" s="60" t="s">
        <v>82</v>
      </c>
      <c r="S25" s="61">
        <v>1968</v>
      </c>
      <c r="T25" s="61">
        <v>158</v>
      </c>
      <c r="U25" s="62" t="str">
        <f t="shared" si="3"/>
        <v>0</v>
      </c>
      <c r="V25" s="63"/>
    </row>
    <row r="26" spans="2:22" ht="15" x14ac:dyDescent="0.2">
      <c r="B26" s="56"/>
      <c r="C26" s="171">
        <v>15</v>
      </c>
      <c r="D26" s="60" t="s">
        <v>80</v>
      </c>
      <c r="E26" s="142">
        <v>39352</v>
      </c>
      <c r="F26" s="142">
        <v>39352</v>
      </c>
      <c r="G26" s="62">
        <f t="shared" si="1"/>
        <v>0</v>
      </c>
      <c r="H26" s="63"/>
      <c r="I26" s="67" t="s">
        <v>12</v>
      </c>
      <c r="J26" s="171">
        <v>15</v>
      </c>
      <c r="K26" s="60" t="s">
        <v>80</v>
      </c>
      <c r="L26" s="142">
        <v>39352</v>
      </c>
      <c r="M26" s="142">
        <v>39352</v>
      </c>
      <c r="N26" s="62">
        <f t="shared" si="2"/>
        <v>0</v>
      </c>
      <c r="O26" s="63"/>
      <c r="Q26" s="171">
        <v>15</v>
      </c>
      <c r="R26" s="60" t="s">
        <v>80</v>
      </c>
      <c r="S26" s="61">
        <v>39357</v>
      </c>
      <c r="T26" s="61">
        <v>39357</v>
      </c>
      <c r="U26" s="62">
        <f t="shared" si="3"/>
        <v>0</v>
      </c>
      <c r="V26" s="63"/>
    </row>
    <row r="27" spans="2:22" ht="15" x14ac:dyDescent="0.2">
      <c r="B27" s="56"/>
      <c r="C27" s="178"/>
      <c r="D27" s="60" t="s">
        <v>81</v>
      </c>
      <c r="E27" s="61">
        <v>83536</v>
      </c>
      <c r="F27" s="61">
        <v>84078</v>
      </c>
      <c r="G27" s="62">
        <f t="shared" si="1"/>
        <v>542</v>
      </c>
      <c r="H27" s="63"/>
      <c r="I27" s="67" t="s">
        <v>12</v>
      </c>
      <c r="J27" s="178"/>
      <c r="K27" s="60" t="s">
        <v>81</v>
      </c>
      <c r="L27" s="61">
        <v>84078</v>
      </c>
      <c r="M27" s="61">
        <v>84612</v>
      </c>
      <c r="N27" s="62">
        <f t="shared" si="2"/>
        <v>534</v>
      </c>
      <c r="O27" s="63"/>
      <c r="Q27" s="178"/>
      <c r="R27" s="60" t="s">
        <v>81</v>
      </c>
      <c r="S27" s="61">
        <v>85079</v>
      </c>
      <c r="T27" s="61">
        <v>85452</v>
      </c>
      <c r="U27" s="62">
        <f t="shared" si="3"/>
        <v>373</v>
      </c>
      <c r="V27" s="63"/>
    </row>
    <row r="28" spans="2:22" ht="15" x14ac:dyDescent="0.2">
      <c r="B28" s="56"/>
      <c r="C28" s="172"/>
      <c r="D28" s="60" t="s">
        <v>82</v>
      </c>
      <c r="E28" s="61">
        <v>160978</v>
      </c>
      <c r="F28" s="61">
        <v>162112</v>
      </c>
      <c r="G28" s="62">
        <f t="shared" si="1"/>
        <v>1134</v>
      </c>
      <c r="H28" s="63"/>
      <c r="I28" s="66"/>
      <c r="J28" s="172"/>
      <c r="K28" s="60" t="s">
        <v>82</v>
      </c>
      <c r="L28" s="61">
        <v>162112</v>
      </c>
      <c r="M28" s="61">
        <v>163098</v>
      </c>
      <c r="N28" s="62">
        <f t="shared" si="2"/>
        <v>986</v>
      </c>
      <c r="O28" s="63"/>
      <c r="Q28" s="172"/>
      <c r="R28" s="60" t="s">
        <v>82</v>
      </c>
      <c r="S28" s="61">
        <v>164130</v>
      </c>
      <c r="T28" s="61">
        <v>165029</v>
      </c>
      <c r="U28" s="62">
        <f t="shared" si="3"/>
        <v>899</v>
      </c>
      <c r="V28" s="63"/>
    </row>
    <row r="29" spans="2:22" ht="15" x14ac:dyDescent="0.2">
      <c r="B29" s="56"/>
      <c r="C29" s="171">
        <v>16</v>
      </c>
      <c r="D29" s="60" t="s">
        <v>80</v>
      </c>
      <c r="E29" s="142">
        <v>97792</v>
      </c>
      <c r="F29" s="142">
        <v>97792</v>
      </c>
      <c r="G29" s="62">
        <f t="shared" si="1"/>
        <v>0</v>
      </c>
      <c r="H29" s="64" t="s">
        <v>12</v>
      </c>
      <c r="I29" s="66"/>
      <c r="J29" s="171">
        <v>16</v>
      </c>
      <c r="K29" s="60" t="s">
        <v>80</v>
      </c>
      <c r="L29" s="142">
        <v>97792</v>
      </c>
      <c r="M29" s="142">
        <v>97792</v>
      </c>
      <c r="N29" s="62">
        <f t="shared" si="2"/>
        <v>0</v>
      </c>
      <c r="O29" s="64" t="s">
        <v>12</v>
      </c>
      <c r="Q29" s="171">
        <v>16</v>
      </c>
      <c r="R29" s="60" t="s">
        <v>80</v>
      </c>
      <c r="S29" s="61">
        <v>97793</v>
      </c>
      <c r="T29" s="61">
        <v>97792</v>
      </c>
      <c r="U29" s="62" t="str">
        <f t="shared" si="3"/>
        <v>0</v>
      </c>
      <c r="V29" s="64" t="s">
        <v>12</v>
      </c>
    </row>
    <row r="30" spans="2:22" ht="15" x14ac:dyDescent="0.2">
      <c r="B30" s="56"/>
      <c r="C30" s="178"/>
      <c r="D30" s="60" t="s">
        <v>81</v>
      </c>
      <c r="E30" s="142">
        <v>62805</v>
      </c>
      <c r="F30" s="142">
        <v>63065</v>
      </c>
      <c r="G30" s="62">
        <f t="shared" si="1"/>
        <v>260</v>
      </c>
      <c r="H30" s="63"/>
      <c r="I30" s="66"/>
      <c r="J30" s="178"/>
      <c r="K30" s="60" t="s">
        <v>81</v>
      </c>
      <c r="L30" s="142">
        <v>63065</v>
      </c>
      <c r="M30" s="142">
        <v>63065</v>
      </c>
      <c r="N30" s="62">
        <f t="shared" si="2"/>
        <v>0</v>
      </c>
      <c r="O30" s="63"/>
      <c r="Q30" s="178"/>
      <c r="R30" s="60" t="s">
        <v>81</v>
      </c>
      <c r="S30" s="61">
        <v>64290</v>
      </c>
      <c r="T30" s="61">
        <v>64550</v>
      </c>
      <c r="U30" s="62">
        <f t="shared" si="3"/>
        <v>260</v>
      </c>
      <c r="V30" s="63"/>
    </row>
    <row r="31" spans="2:22" ht="15" x14ac:dyDescent="0.2">
      <c r="B31" s="56"/>
      <c r="C31" s="172"/>
      <c r="D31" s="60" t="s">
        <v>82</v>
      </c>
      <c r="E31" s="61">
        <v>68544</v>
      </c>
      <c r="F31" s="61">
        <v>68792</v>
      </c>
      <c r="G31" s="62">
        <f t="shared" si="1"/>
        <v>248</v>
      </c>
      <c r="H31" s="69"/>
      <c r="I31" s="66"/>
      <c r="J31" s="172"/>
      <c r="K31" s="60" t="s">
        <v>82</v>
      </c>
      <c r="L31" s="61">
        <v>68792</v>
      </c>
      <c r="M31" s="61">
        <v>69063</v>
      </c>
      <c r="N31" s="62">
        <f t="shared" si="2"/>
        <v>271</v>
      </c>
      <c r="O31" s="69"/>
      <c r="Q31" s="172"/>
      <c r="R31" s="60" t="s">
        <v>82</v>
      </c>
      <c r="S31" s="61">
        <v>69310</v>
      </c>
      <c r="T31" s="61">
        <v>69432</v>
      </c>
      <c r="U31" s="62">
        <f t="shared" si="3"/>
        <v>122</v>
      </c>
      <c r="V31" s="69"/>
    </row>
    <row r="32" spans="2:22" ht="15" x14ac:dyDescent="0.2">
      <c r="B32" s="56"/>
      <c r="C32" s="171">
        <v>17</v>
      </c>
      <c r="D32" s="60" t="s">
        <v>80</v>
      </c>
      <c r="E32" s="61">
        <v>35909</v>
      </c>
      <c r="F32" s="61">
        <v>36079</v>
      </c>
      <c r="G32" s="62">
        <f t="shared" si="1"/>
        <v>170</v>
      </c>
      <c r="H32" s="63"/>
      <c r="I32" s="66"/>
      <c r="J32" s="171">
        <v>17</v>
      </c>
      <c r="K32" s="60" t="s">
        <v>80</v>
      </c>
      <c r="L32" s="61">
        <v>36079</v>
      </c>
      <c r="M32" s="61">
        <v>36262</v>
      </c>
      <c r="N32" s="62">
        <f t="shared" si="2"/>
        <v>183</v>
      </c>
      <c r="O32" s="63"/>
      <c r="Q32" s="171">
        <v>17</v>
      </c>
      <c r="R32" s="60" t="s">
        <v>80</v>
      </c>
      <c r="S32" s="61">
        <v>36565</v>
      </c>
      <c r="T32" s="61">
        <v>64124</v>
      </c>
      <c r="U32" s="62">
        <f t="shared" si="3"/>
        <v>27559</v>
      </c>
      <c r="V32" s="63"/>
    </row>
    <row r="33" spans="2:22" ht="15" x14ac:dyDescent="0.2">
      <c r="B33" s="56"/>
      <c r="C33" s="178"/>
      <c r="D33" s="60" t="s">
        <v>81</v>
      </c>
      <c r="E33" s="61">
        <v>64277</v>
      </c>
      <c r="F33" s="61">
        <v>64324</v>
      </c>
      <c r="G33" s="62">
        <f t="shared" si="1"/>
        <v>47</v>
      </c>
      <c r="H33" s="63"/>
      <c r="I33" s="66"/>
      <c r="J33" s="178"/>
      <c r="K33" s="60" t="s">
        <v>81</v>
      </c>
      <c r="L33" s="61">
        <v>64324</v>
      </c>
      <c r="M33" s="61">
        <v>64324</v>
      </c>
      <c r="N33" s="62">
        <f t="shared" si="2"/>
        <v>0</v>
      </c>
      <c r="O33" s="63"/>
      <c r="Q33" s="178"/>
      <c r="R33" s="60" t="s">
        <v>81</v>
      </c>
      <c r="S33" s="61">
        <v>64324</v>
      </c>
      <c r="T33" s="61">
        <v>36861</v>
      </c>
      <c r="U33" s="62" t="str">
        <f t="shared" si="3"/>
        <v>0</v>
      </c>
      <c r="V33" s="63"/>
    </row>
    <row r="34" spans="2:22" ht="15" x14ac:dyDescent="0.2">
      <c r="B34" s="56"/>
      <c r="C34" s="172"/>
      <c r="D34" s="60" t="s">
        <v>82</v>
      </c>
      <c r="E34" s="61">
        <v>11959</v>
      </c>
      <c r="F34" s="61">
        <v>12066</v>
      </c>
      <c r="G34" s="62">
        <f t="shared" si="1"/>
        <v>107</v>
      </c>
      <c r="H34" s="69"/>
      <c r="I34" s="66"/>
      <c r="J34" s="172"/>
      <c r="K34" s="60" t="s">
        <v>82</v>
      </c>
      <c r="L34" s="61">
        <v>12066</v>
      </c>
      <c r="M34" s="61">
        <v>12083</v>
      </c>
      <c r="N34" s="62">
        <f t="shared" si="2"/>
        <v>17</v>
      </c>
      <c r="O34" s="69"/>
      <c r="Q34" s="172"/>
      <c r="R34" s="60" t="s">
        <v>82</v>
      </c>
      <c r="S34" s="61">
        <v>12130</v>
      </c>
      <c r="T34" s="61">
        <v>12228</v>
      </c>
      <c r="U34" s="62">
        <f t="shared" si="3"/>
        <v>98</v>
      </c>
      <c r="V34" s="69"/>
    </row>
    <row r="35" spans="2:22" ht="15" x14ac:dyDescent="0.2">
      <c r="B35" s="56"/>
      <c r="C35" s="171">
        <v>18</v>
      </c>
      <c r="D35" s="60" t="s">
        <v>80</v>
      </c>
      <c r="E35" s="61">
        <v>250002</v>
      </c>
      <c r="F35" s="61">
        <v>250831</v>
      </c>
      <c r="G35" s="62">
        <f t="shared" si="1"/>
        <v>829</v>
      </c>
      <c r="H35" s="69"/>
      <c r="I35" s="66"/>
      <c r="J35" s="171">
        <v>18</v>
      </c>
      <c r="K35" s="60" t="s">
        <v>80</v>
      </c>
      <c r="L35" s="61">
        <v>250831</v>
      </c>
      <c r="M35" s="61">
        <v>252397</v>
      </c>
      <c r="N35" s="62">
        <f t="shared" si="2"/>
        <v>1566</v>
      </c>
      <c r="O35" s="69"/>
      <c r="P35" s="153"/>
      <c r="Q35" s="171">
        <v>18</v>
      </c>
      <c r="R35" s="60" t="s">
        <v>80</v>
      </c>
      <c r="S35" s="61">
        <v>253723</v>
      </c>
      <c r="T35" s="61">
        <v>255204</v>
      </c>
      <c r="U35" s="62">
        <f t="shared" si="3"/>
        <v>1481</v>
      </c>
      <c r="V35" s="69"/>
    </row>
    <row r="36" spans="2:22" ht="15" x14ac:dyDescent="0.2">
      <c r="B36" s="56"/>
      <c r="C36" s="178"/>
      <c r="D36" s="60" t="s">
        <v>81</v>
      </c>
      <c r="E36" s="68">
        <v>18064</v>
      </c>
      <c r="F36" s="68">
        <v>19306</v>
      </c>
      <c r="G36" s="62">
        <f t="shared" si="1"/>
        <v>1242</v>
      </c>
      <c r="H36" s="63"/>
      <c r="I36" s="66"/>
      <c r="J36" s="178"/>
      <c r="K36" s="60" t="s">
        <v>81</v>
      </c>
      <c r="L36" s="68">
        <v>19306</v>
      </c>
      <c r="M36" s="68">
        <v>19306</v>
      </c>
      <c r="N36" s="62">
        <f t="shared" si="2"/>
        <v>0</v>
      </c>
      <c r="O36" s="63"/>
      <c r="P36" s="162"/>
      <c r="Q36" s="178"/>
      <c r="R36" s="60" t="s">
        <v>81</v>
      </c>
      <c r="S36" s="61">
        <v>19334</v>
      </c>
      <c r="T36" s="61">
        <v>197641</v>
      </c>
      <c r="U36" s="62">
        <f t="shared" si="3"/>
        <v>178307</v>
      </c>
      <c r="V36" s="63"/>
    </row>
    <row r="37" spans="2:22" ht="15" x14ac:dyDescent="0.2">
      <c r="B37" s="56"/>
      <c r="C37" s="172"/>
      <c r="D37" s="60" t="s">
        <v>82</v>
      </c>
      <c r="E37" s="61">
        <v>89012</v>
      </c>
      <c r="F37" s="61">
        <v>90135</v>
      </c>
      <c r="G37" s="62">
        <f t="shared" si="1"/>
        <v>1123</v>
      </c>
      <c r="H37" s="63"/>
      <c r="I37" s="66"/>
      <c r="J37" s="172"/>
      <c r="K37" s="60" t="s">
        <v>82</v>
      </c>
      <c r="L37" s="61">
        <v>90135</v>
      </c>
      <c r="M37" s="61">
        <v>91798</v>
      </c>
      <c r="N37" s="62">
        <f t="shared" si="2"/>
        <v>1663</v>
      </c>
      <c r="O37" s="63"/>
      <c r="Q37" s="172"/>
      <c r="R37" s="60" t="s">
        <v>82</v>
      </c>
      <c r="S37" s="61">
        <v>93299</v>
      </c>
      <c r="T37" s="61">
        <v>9498</v>
      </c>
      <c r="U37" s="62" t="str">
        <f t="shared" si="3"/>
        <v>0</v>
      </c>
      <c r="V37" s="63"/>
    </row>
    <row r="38" spans="2:22" ht="15" x14ac:dyDescent="0.2">
      <c r="B38" s="56"/>
      <c r="C38" s="171">
        <v>19</v>
      </c>
      <c r="D38" s="60" t="s">
        <v>80</v>
      </c>
      <c r="E38" s="61">
        <v>22878</v>
      </c>
      <c r="F38" s="61">
        <v>23189</v>
      </c>
      <c r="G38" s="62">
        <f t="shared" si="1"/>
        <v>311</v>
      </c>
      <c r="H38" s="63"/>
      <c r="I38" s="66"/>
      <c r="J38" s="171">
        <v>19</v>
      </c>
      <c r="K38" s="60" t="s">
        <v>80</v>
      </c>
      <c r="L38" s="61">
        <v>23189</v>
      </c>
      <c r="M38" s="61">
        <v>23446</v>
      </c>
      <c r="N38" s="62">
        <f t="shared" si="2"/>
        <v>257</v>
      </c>
      <c r="O38" s="63"/>
      <c r="Q38" s="171">
        <v>19</v>
      </c>
      <c r="R38" s="60" t="s">
        <v>80</v>
      </c>
      <c r="S38" s="61">
        <v>23840</v>
      </c>
      <c r="T38" s="61">
        <v>24416</v>
      </c>
      <c r="U38" s="62">
        <f t="shared" si="3"/>
        <v>576</v>
      </c>
      <c r="V38" s="63"/>
    </row>
    <row r="39" spans="2:22" ht="15" x14ac:dyDescent="0.2">
      <c r="B39" s="56"/>
      <c r="C39" s="178"/>
      <c r="D39" s="60" t="s">
        <v>81</v>
      </c>
      <c r="E39" s="142">
        <v>84350</v>
      </c>
      <c r="F39" s="142">
        <v>84498</v>
      </c>
      <c r="G39" s="62">
        <f t="shared" si="1"/>
        <v>148</v>
      </c>
      <c r="H39" s="69"/>
      <c r="I39" s="66"/>
      <c r="J39" s="178"/>
      <c r="K39" s="60" t="s">
        <v>81</v>
      </c>
      <c r="L39" s="142">
        <v>84498</v>
      </c>
      <c r="M39" s="142">
        <v>84652</v>
      </c>
      <c r="N39" s="62">
        <f t="shared" si="2"/>
        <v>154</v>
      </c>
      <c r="O39" s="69"/>
      <c r="Q39" s="178"/>
      <c r="R39" s="60" t="s">
        <v>81</v>
      </c>
      <c r="S39" s="61">
        <v>84843</v>
      </c>
      <c r="T39" s="61">
        <v>85048</v>
      </c>
      <c r="U39" s="62">
        <f t="shared" si="3"/>
        <v>205</v>
      </c>
      <c r="V39" s="69"/>
    </row>
    <row r="40" spans="2:22" ht="15" x14ac:dyDescent="0.2">
      <c r="B40" s="56"/>
      <c r="C40" s="172"/>
      <c r="D40" s="60" t="s">
        <v>82</v>
      </c>
      <c r="E40" s="61">
        <v>53053</v>
      </c>
      <c r="F40" s="61">
        <v>53053</v>
      </c>
      <c r="G40" s="62">
        <f t="shared" si="1"/>
        <v>0</v>
      </c>
      <c r="H40" s="63"/>
      <c r="I40" s="66"/>
      <c r="J40" s="172"/>
      <c r="K40" s="60" t="s">
        <v>82</v>
      </c>
      <c r="L40" s="61">
        <v>53053</v>
      </c>
      <c r="M40" s="61">
        <v>53053</v>
      </c>
      <c r="N40" s="62">
        <f t="shared" si="2"/>
        <v>0</v>
      </c>
      <c r="O40" s="63"/>
      <c r="Q40" s="172"/>
      <c r="R40" s="60" t="s">
        <v>82</v>
      </c>
      <c r="S40" s="61">
        <v>53053</v>
      </c>
      <c r="T40" s="61">
        <v>53052</v>
      </c>
      <c r="U40" s="62" t="str">
        <f t="shared" si="3"/>
        <v>0</v>
      </c>
      <c r="V40" s="63"/>
    </row>
    <row r="41" spans="2:22" ht="15" x14ac:dyDescent="0.2">
      <c r="B41" s="56"/>
      <c r="C41" s="171">
        <v>20</v>
      </c>
      <c r="D41" s="60" t="s">
        <v>80</v>
      </c>
      <c r="E41" s="61">
        <v>120636</v>
      </c>
      <c r="F41" s="61">
        <v>121085</v>
      </c>
      <c r="G41" s="62">
        <f t="shared" si="1"/>
        <v>449</v>
      </c>
      <c r="H41" s="63"/>
      <c r="I41" s="66"/>
      <c r="J41" s="171">
        <v>20</v>
      </c>
      <c r="K41" s="60" t="s">
        <v>80</v>
      </c>
      <c r="L41" s="61">
        <v>121085</v>
      </c>
      <c r="M41" s="61">
        <v>121525</v>
      </c>
      <c r="N41" s="62">
        <f t="shared" si="2"/>
        <v>440</v>
      </c>
      <c r="O41" s="63"/>
      <c r="Q41" s="171">
        <v>20</v>
      </c>
      <c r="R41" s="60" t="s">
        <v>80</v>
      </c>
      <c r="S41" s="61">
        <v>121869</v>
      </c>
      <c r="T41" s="61">
        <v>122106</v>
      </c>
      <c r="U41" s="62">
        <f t="shared" si="3"/>
        <v>237</v>
      </c>
      <c r="V41" s="63"/>
    </row>
    <row r="42" spans="2:22" ht="15" x14ac:dyDescent="0.2">
      <c r="B42" s="56"/>
      <c r="C42" s="178"/>
      <c r="D42" s="60" t="s">
        <v>81</v>
      </c>
      <c r="E42" s="142">
        <v>70567</v>
      </c>
      <c r="F42" s="142">
        <v>70767</v>
      </c>
      <c r="G42" s="62">
        <f t="shared" si="1"/>
        <v>200</v>
      </c>
      <c r="H42" s="63"/>
      <c r="J42" s="178"/>
      <c r="K42" s="60" t="s">
        <v>81</v>
      </c>
      <c r="L42" s="142">
        <v>70767</v>
      </c>
      <c r="M42" s="142">
        <v>70914</v>
      </c>
      <c r="N42" s="62">
        <f t="shared" si="2"/>
        <v>147</v>
      </c>
      <c r="O42" s="63"/>
      <c r="Q42" s="178"/>
      <c r="R42" s="60" t="s">
        <v>81</v>
      </c>
      <c r="S42" s="61">
        <v>71994</v>
      </c>
      <c r="T42" s="61">
        <v>72822</v>
      </c>
      <c r="U42" s="62">
        <f t="shared" si="3"/>
        <v>828</v>
      </c>
      <c r="V42" s="63"/>
    </row>
    <row r="43" spans="2:22" ht="15" x14ac:dyDescent="0.2">
      <c r="B43" s="56"/>
      <c r="C43" s="172"/>
      <c r="D43" s="60" t="s">
        <v>82</v>
      </c>
      <c r="E43" s="61">
        <v>3402</v>
      </c>
      <c r="F43" s="61">
        <v>3416</v>
      </c>
      <c r="G43" s="62">
        <f t="shared" si="1"/>
        <v>14</v>
      </c>
      <c r="H43" s="63"/>
      <c r="J43" s="172"/>
      <c r="K43" s="60" t="s">
        <v>82</v>
      </c>
      <c r="L43" s="61">
        <v>3416</v>
      </c>
      <c r="M43" s="61">
        <v>3418</v>
      </c>
      <c r="N43" s="62">
        <f t="shared" si="2"/>
        <v>2</v>
      </c>
      <c r="O43" s="63"/>
      <c r="Q43" s="172"/>
      <c r="R43" s="60" t="s">
        <v>82</v>
      </c>
      <c r="S43" s="61">
        <v>3456</v>
      </c>
      <c r="T43" s="61">
        <v>2469</v>
      </c>
      <c r="U43" s="62" t="str">
        <f t="shared" si="3"/>
        <v>0</v>
      </c>
      <c r="V43" s="63"/>
    </row>
    <row r="44" spans="2:22" ht="15" x14ac:dyDescent="0.2">
      <c r="B44" s="56"/>
      <c r="C44" s="70"/>
      <c r="D44" s="71"/>
      <c r="E44" s="71"/>
      <c r="F44" s="71"/>
      <c r="G44" s="71"/>
      <c r="H44" s="73"/>
      <c r="J44" s="70"/>
      <c r="K44" s="71"/>
      <c r="L44" s="71"/>
      <c r="M44" s="71"/>
      <c r="N44" s="71"/>
      <c r="O44" s="73"/>
      <c r="Q44" s="70"/>
      <c r="R44" s="71"/>
      <c r="S44" s="71"/>
      <c r="T44" s="71"/>
      <c r="U44" s="71">
        <f t="shared" si="3"/>
        <v>0</v>
      </c>
      <c r="V44" s="73"/>
    </row>
    <row r="45" spans="2:22" ht="15" x14ac:dyDescent="0.2">
      <c r="B45" s="56"/>
      <c r="C45" s="171">
        <v>21</v>
      </c>
      <c r="D45" s="74" t="s">
        <v>83</v>
      </c>
      <c r="E45" s="61">
        <v>3769</v>
      </c>
      <c r="F45" s="61">
        <v>3779</v>
      </c>
      <c r="G45" s="62">
        <f t="shared" ref="G45:G50" si="4">F45-E45</f>
        <v>10</v>
      </c>
      <c r="H45" s="64" t="s">
        <v>12</v>
      </c>
      <c r="J45" s="171">
        <v>21</v>
      </c>
      <c r="K45" s="74" t="s">
        <v>83</v>
      </c>
      <c r="L45" s="61">
        <v>3779</v>
      </c>
      <c r="M45" s="61">
        <v>3792</v>
      </c>
      <c r="N45" s="62">
        <f t="shared" si="2"/>
        <v>13</v>
      </c>
      <c r="O45" s="64" t="s">
        <v>12</v>
      </c>
      <c r="Q45" s="171">
        <v>21</v>
      </c>
      <c r="R45" s="74" t="s">
        <v>83</v>
      </c>
      <c r="S45" s="61">
        <v>3794</v>
      </c>
      <c r="T45" s="61">
        <v>3820</v>
      </c>
      <c r="U45" s="62">
        <f t="shared" si="3"/>
        <v>26</v>
      </c>
      <c r="V45" s="64" t="s">
        <v>12</v>
      </c>
    </row>
    <row r="46" spans="2:22" ht="15" x14ac:dyDescent="0.2">
      <c r="B46" s="56"/>
      <c r="C46" s="178"/>
      <c r="D46" s="74" t="s">
        <v>82</v>
      </c>
      <c r="E46" s="61">
        <v>44244</v>
      </c>
      <c r="F46" s="61">
        <v>44962</v>
      </c>
      <c r="G46" s="62">
        <f t="shared" si="4"/>
        <v>718</v>
      </c>
      <c r="H46" s="63"/>
      <c r="J46" s="178"/>
      <c r="K46" s="74" t="s">
        <v>82</v>
      </c>
      <c r="L46" s="61">
        <v>44962</v>
      </c>
      <c r="M46" s="61">
        <v>45639</v>
      </c>
      <c r="N46" s="62">
        <f t="shared" si="2"/>
        <v>677</v>
      </c>
      <c r="O46" s="63"/>
      <c r="Q46" s="178"/>
      <c r="R46" s="74" t="s">
        <v>82</v>
      </c>
      <c r="S46" s="61">
        <v>45855</v>
      </c>
      <c r="T46" s="61">
        <v>45860</v>
      </c>
      <c r="U46" s="62">
        <f t="shared" si="3"/>
        <v>5</v>
      </c>
      <c r="V46" s="63"/>
    </row>
    <row r="47" spans="2:22" ht="15" x14ac:dyDescent="0.2">
      <c r="B47" s="56"/>
      <c r="C47" s="171">
        <v>22</v>
      </c>
      <c r="D47" s="74" t="s">
        <v>83</v>
      </c>
      <c r="E47" s="75">
        <v>13711</v>
      </c>
      <c r="F47" s="75">
        <v>13737</v>
      </c>
      <c r="G47" s="62">
        <f t="shared" si="4"/>
        <v>26</v>
      </c>
      <c r="H47" s="63"/>
      <c r="I47" t="s">
        <v>12</v>
      </c>
      <c r="J47" s="171">
        <v>22</v>
      </c>
      <c r="K47" s="74" t="s">
        <v>83</v>
      </c>
      <c r="L47" s="75">
        <v>13737</v>
      </c>
      <c r="M47" s="75">
        <v>13759</v>
      </c>
      <c r="N47" s="62">
        <f t="shared" si="2"/>
        <v>22</v>
      </c>
      <c r="O47" s="63"/>
      <c r="Q47" s="171">
        <v>22</v>
      </c>
      <c r="R47" s="74" t="s">
        <v>83</v>
      </c>
      <c r="S47" s="61">
        <v>13770</v>
      </c>
      <c r="T47" s="61">
        <v>13771</v>
      </c>
      <c r="U47" s="62">
        <f t="shared" si="3"/>
        <v>1</v>
      </c>
      <c r="V47" s="63"/>
    </row>
    <row r="48" spans="2:22" ht="15" x14ac:dyDescent="0.2">
      <c r="B48" s="56"/>
      <c r="C48" s="178"/>
      <c r="D48" s="74" t="s">
        <v>82</v>
      </c>
      <c r="E48" s="75">
        <v>20778</v>
      </c>
      <c r="F48" s="75">
        <v>20919</v>
      </c>
      <c r="G48" s="62">
        <f t="shared" si="4"/>
        <v>141</v>
      </c>
      <c r="H48" s="63"/>
      <c r="J48" s="178"/>
      <c r="K48" s="74" t="s">
        <v>82</v>
      </c>
      <c r="L48" s="75">
        <v>20919</v>
      </c>
      <c r="M48" s="75">
        <v>21064</v>
      </c>
      <c r="N48" s="62">
        <f t="shared" si="2"/>
        <v>145</v>
      </c>
      <c r="O48" s="63"/>
      <c r="Q48" s="178"/>
      <c r="R48" s="74" t="s">
        <v>82</v>
      </c>
      <c r="S48" s="61">
        <v>21207</v>
      </c>
      <c r="T48" s="61">
        <v>21341</v>
      </c>
      <c r="U48" s="62">
        <f t="shared" si="3"/>
        <v>134</v>
      </c>
      <c r="V48" s="63"/>
    </row>
    <row r="49" spans="1:22" ht="15" x14ac:dyDescent="0.2">
      <c r="B49" s="56"/>
      <c r="C49" s="171">
        <v>23</v>
      </c>
      <c r="D49" s="60" t="s">
        <v>83</v>
      </c>
      <c r="E49" s="61"/>
      <c r="F49" s="75"/>
      <c r="G49" s="62">
        <f t="shared" si="4"/>
        <v>0</v>
      </c>
      <c r="H49" s="63"/>
      <c r="J49" s="171">
        <v>23</v>
      </c>
      <c r="K49" s="60" t="s">
        <v>83</v>
      </c>
      <c r="L49" s="75"/>
      <c r="M49" s="75"/>
      <c r="N49" s="62">
        <f t="shared" si="2"/>
        <v>0</v>
      </c>
      <c r="O49" s="63"/>
      <c r="Q49" s="171">
        <v>23</v>
      </c>
      <c r="R49" s="60" t="s">
        <v>83</v>
      </c>
      <c r="S49" s="61"/>
      <c r="T49" s="61"/>
      <c r="U49" s="62">
        <f t="shared" si="3"/>
        <v>0</v>
      </c>
      <c r="V49" s="63"/>
    </row>
    <row r="50" spans="1:22" ht="15" x14ac:dyDescent="0.2">
      <c r="B50" s="56"/>
      <c r="C50" s="178"/>
      <c r="D50" s="60" t="s">
        <v>82</v>
      </c>
      <c r="E50" s="61"/>
      <c r="F50" s="75"/>
      <c r="G50" s="62">
        <f t="shared" si="4"/>
        <v>0</v>
      </c>
      <c r="H50" s="63"/>
      <c r="J50" s="178"/>
      <c r="K50" s="60" t="s">
        <v>82</v>
      </c>
      <c r="L50" s="75"/>
      <c r="M50" s="75"/>
      <c r="N50" s="62">
        <f t="shared" si="2"/>
        <v>0</v>
      </c>
      <c r="O50" s="63"/>
      <c r="Q50" s="178"/>
      <c r="R50" s="60" t="s">
        <v>82</v>
      </c>
      <c r="S50" s="61"/>
      <c r="T50" s="61"/>
      <c r="U50" s="62">
        <f t="shared" si="3"/>
        <v>0</v>
      </c>
      <c r="V50" s="63"/>
    </row>
    <row r="51" spans="1:22" ht="15" x14ac:dyDescent="0.2">
      <c r="B51" s="56"/>
      <c r="C51" s="76"/>
      <c r="D51" s="71"/>
      <c r="E51" s="72"/>
      <c r="F51" s="72"/>
      <c r="G51" s="72"/>
      <c r="H51" s="73"/>
      <c r="J51" s="76"/>
      <c r="K51" s="71"/>
      <c r="L51" s="72"/>
      <c r="M51" s="72"/>
      <c r="N51" s="72"/>
      <c r="O51" s="73"/>
      <c r="Q51" s="76"/>
      <c r="R51" s="71"/>
      <c r="S51" s="72"/>
      <c r="T51" s="72"/>
      <c r="U51" s="71">
        <f t="shared" si="3"/>
        <v>0</v>
      </c>
      <c r="V51" s="73"/>
    </row>
    <row r="52" spans="1:22" ht="15" x14ac:dyDescent="0.2">
      <c r="B52" s="56"/>
      <c r="C52" s="179">
        <v>24</v>
      </c>
      <c r="D52" s="60" t="s">
        <v>84</v>
      </c>
      <c r="E52" s="142">
        <v>251533</v>
      </c>
      <c r="F52" s="142">
        <v>252472</v>
      </c>
      <c r="G52" s="62">
        <f t="shared" ref="G52:G60" si="5">F52-E52</f>
        <v>939</v>
      </c>
      <c r="H52" s="77"/>
      <c r="J52" s="179">
        <v>24</v>
      </c>
      <c r="K52" s="60" t="s">
        <v>84</v>
      </c>
      <c r="L52" s="142">
        <v>252472</v>
      </c>
      <c r="M52" s="142">
        <v>253528</v>
      </c>
      <c r="N52" s="62">
        <f t="shared" si="2"/>
        <v>1056</v>
      </c>
      <c r="O52" s="77"/>
      <c r="Q52" s="179">
        <v>24</v>
      </c>
      <c r="R52" s="60" t="s">
        <v>84</v>
      </c>
      <c r="S52" s="61">
        <v>254504</v>
      </c>
      <c r="T52" s="61">
        <v>255854</v>
      </c>
      <c r="U52" s="62">
        <f t="shared" si="3"/>
        <v>1350</v>
      </c>
      <c r="V52" s="77"/>
    </row>
    <row r="53" spans="1:22" ht="15" x14ac:dyDescent="0.2">
      <c r="B53" s="56"/>
      <c r="C53" s="180"/>
      <c r="D53" s="60" t="s">
        <v>85</v>
      </c>
      <c r="E53" s="142">
        <v>539540</v>
      </c>
      <c r="F53" s="142">
        <v>539991</v>
      </c>
      <c r="G53" s="62">
        <f t="shared" si="5"/>
        <v>451</v>
      </c>
      <c r="H53" s="69"/>
      <c r="J53" s="180"/>
      <c r="K53" s="60" t="s">
        <v>85</v>
      </c>
      <c r="L53" s="142">
        <v>539991</v>
      </c>
      <c r="M53" s="142">
        <v>540445</v>
      </c>
      <c r="N53" s="62">
        <f t="shared" si="2"/>
        <v>454</v>
      </c>
      <c r="O53" s="69"/>
      <c r="Q53" s="180"/>
      <c r="R53" s="60" t="s">
        <v>85</v>
      </c>
      <c r="S53" s="61">
        <v>540901</v>
      </c>
      <c r="T53" s="61">
        <v>541352</v>
      </c>
      <c r="U53" s="62">
        <f t="shared" si="3"/>
        <v>451</v>
      </c>
      <c r="V53" s="69"/>
    </row>
    <row r="54" spans="1:22" ht="15" x14ac:dyDescent="0.2">
      <c r="B54" s="56"/>
      <c r="C54" s="181"/>
      <c r="D54" s="60" t="s">
        <v>84</v>
      </c>
      <c r="E54" s="142">
        <v>34567</v>
      </c>
      <c r="F54" s="142">
        <v>34567</v>
      </c>
      <c r="G54" s="62">
        <f t="shared" si="5"/>
        <v>0</v>
      </c>
      <c r="H54" s="78" t="s">
        <v>12</v>
      </c>
      <c r="J54" s="181"/>
      <c r="K54" s="60" t="s">
        <v>84</v>
      </c>
      <c r="L54" s="142">
        <v>34567</v>
      </c>
      <c r="M54" s="142">
        <v>34567</v>
      </c>
      <c r="N54" s="62">
        <f t="shared" si="2"/>
        <v>0</v>
      </c>
      <c r="O54" s="78" t="s">
        <v>12</v>
      </c>
      <c r="Q54" s="181"/>
      <c r="R54" s="60" t="s">
        <v>84</v>
      </c>
      <c r="S54" s="61">
        <v>34567</v>
      </c>
      <c r="T54" s="61">
        <v>34557</v>
      </c>
      <c r="U54" s="62" t="str">
        <f t="shared" si="3"/>
        <v>0</v>
      </c>
      <c r="V54" s="78" t="s">
        <v>12</v>
      </c>
    </row>
    <row r="55" spans="1:22" ht="15" x14ac:dyDescent="0.2">
      <c r="B55" s="56"/>
      <c r="C55" s="171">
        <v>25</v>
      </c>
      <c r="D55" s="60" t="s">
        <v>84</v>
      </c>
      <c r="E55" s="75">
        <v>330</v>
      </c>
      <c r="F55" s="75">
        <v>330</v>
      </c>
      <c r="G55" s="62">
        <f t="shared" si="5"/>
        <v>0</v>
      </c>
      <c r="H55" s="63"/>
      <c r="J55" s="171">
        <v>25</v>
      </c>
      <c r="K55" s="60" t="s">
        <v>84</v>
      </c>
      <c r="L55" s="75">
        <v>330</v>
      </c>
      <c r="M55" s="75">
        <v>330</v>
      </c>
      <c r="N55" s="62">
        <f t="shared" si="2"/>
        <v>0</v>
      </c>
      <c r="O55" s="63"/>
      <c r="Q55" s="171">
        <v>25</v>
      </c>
      <c r="R55" s="60" t="s">
        <v>84</v>
      </c>
      <c r="S55" s="61">
        <v>330</v>
      </c>
      <c r="T55" s="61">
        <v>330</v>
      </c>
      <c r="U55" s="62">
        <f t="shared" si="3"/>
        <v>0</v>
      </c>
      <c r="V55" s="63"/>
    </row>
    <row r="56" spans="1:22" ht="15" x14ac:dyDescent="0.2">
      <c r="B56" s="56"/>
      <c r="C56" s="172"/>
      <c r="D56" s="60" t="s">
        <v>85</v>
      </c>
      <c r="E56" s="75">
        <v>3</v>
      </c>
      <c r="F56" s="75">
        <v>3</v>
      </c>
      <c r="G56" s="62">
        <f t="shared" si="5"/>
        <v>0</v>
      </c>
      <c r="H56" s="63"/>
      <c r="J56" s="172"/>
      <c r="K56" s="60" t="s">
        <v>85</v>
      </c>
      <c r="L56" s="75">
        <v>3</v>
      </c>
      <c r="M56" s="75">
        <v>3</v>
      </c>
      <c r="N56" s="62">
        <f t="shared" si="2"/>
        <v>0</v>
      </c>
      <c r="O56" s="63"/>
      <c r="Q56" s="172"/>
      <c r="R56" s="60" t="s">
        <v>85</v>
      </c>
      <c r="S56" s="61">
        <v>3</v>
      </c>
      <c r="T56" s="61">
        <v>3</v>
      </c>
      <c r="U56" s="62">
        <f t="shared" si="3"/>
        <v>0</v>
      </c>
      <c r="V56" s="63"/>
    </row>
    <row r="57" spans="1:22" ht="15" x14ac:dyDescent="0.2">
      <c r="B57" s="56"/>
      <c r="C57" s="171">
        <v>26</v>
      </c>
      <c r="D57" s="60" t="s">
        <v>84</v>
      </c>
      <c r="E57" s="61">
        <v>730301</v>
      </c>
      <c r="F57" s="61">
        <v>733920</v>
      </c>
      <c r="G57" s="62">
        <f t="shared" si="5"/>
        <v>3619</v>
      </c>
      <c r="H57" s="63"/>
      <c r="J57" s="171">
        <v>26</v>
      </c>
      <c r="K57" s="60" t="s">
        <v>84</v>
      </c>
      <c r="L57" s="61">
        <v>733920</v>
      </c>
      <c r="M57" s="61">
        <v>737028</v>
      </c>
      <c r="N57" s="62">
        <f t="shared" si="2"/>
        <v>3108</v>
      </c>
      <c r="O57" s="63"/>
      <c r="Q57" s="171">
        <v>26</v>
      </c>
      <c r="R57" s="60" t="s">
        <v>84</v>
      </c>
      <c r="S57" s="61">
        <v>740310</v>
      </c>
      <c r="T57" s="61">
        <v>743691</v>
      </c>
      <c r="U57" s="62">
        <f t="shared" si="3"/>
        <v>3381</v>
      </c>
      <c r="V57" s="63"/>
    </row>
    <row r="58" spans="1:22" ht="15" x14ac:dyDescent="0.2">
      <c r="A58" s="66"/>
      <c r="B58" s="56"/>
      <c r="C58" s="172"/>
      <c r="D58" s="60" t="s">
        <v>85</v>
      </c>
      <c r="E58" s="61">
        <v>804405</v>
      </c>
      <c r="F58" s="61">
        <v>808835</v>
      </c>
      <c r="G58" s="62">
        <f t="shared" si="5"/>
        <v>4430</v>
      </c>
      <c r="H58" s="69"/>
      <c r="I58" s="66"/>
      <c r="J58" s="172"/>
      <c r="K58" s="60" t="s">
        <v>85</v>
      </c>
      <c r="L58" s="61">
        <v>808835</v>
      </c>
      <c r="M58" s="61">
        <v>812807</v>
      </c>
      <c r="N58" s="62">
        <f t="shared" si="2"/>
        <v>3972</v>
      </c>
      <c r="O58" s="69"/>
      <c r="Q58" s="172"/>
      <c r="R58" s="60" t="s">
        <v>85</v>
      </c>
      <c r="S58" s="61" t="s">
        <v>12</v>
      </c>
      <c r="T58" s="61">
        <v>820373</v>
      </c>
      <c r="U58" s="62" t="e">
        <f t="shared" si="3"/>
        <v>#VALUE!</v>
      </c>
      <c r="V58" s="69"/>
    </row>
    <row r="59" spans="1:22" ht="15" x14ac:dyDescent="0.2">
      <c r="A59" s="66"/>
      <c r="B59" s="56"/>
      <c r="C59" s="171">
        <v>27</v>
      </c>
      <c r="D59" s="60" t="s">
        <v>84</v>
      </c>
      <c r="E59" s="61">
        <v>247819</v>
      </c>
      <c r="F59" s="61">
        <v>249147</v>
      </c>
      <c r="G59" s="62">
        <f t="shared" si="5"/>
        <v>1328</v>
      </c>
      <c r="H59" s="63"/>
      <c r="I59" s="66"/>
      <c r="J59" s="171">
        <v>27</v>
      </c>
      <c r="K59" s="60" t="s">
        <v>84</v>
      </c>
      <c r="L59" s="61">
        <v>249147</v>
      </c>
      <c r="M59" s="61">
        <v>250138</v>
      </c>
      <c r="N59" s="62">
        <f t="shared" si="2"/>
        <v>991</v>
      </c>
      <c r="O59" s="63"/>
      <c r="Q59" s="171">
        <v>27</v>
      </c>
      <c r="R59" s="60" t="s">
        <v>84</v>
      </c>
      <c r="S59" s="61">
        <v>251124</v>
      </c>
      <c r="T59" s="61">
        <v>252317</v>
      </c>
      <c r="U59" s="62">
        <f t="shared" si="3"/>
        <v>1193</v>
      </c>
      <c r="V59" s="63"/>
    </row>
    <row r="60" spans="1:22" ht="15" x14ac:dyDescent="0.2">
      <c r="A60" s="66"/>
      <c r="B60" s="56"/>
      <c r="C60" s="172"/>
      <c r="D60" s="60" t="s">
        <v>85</v>
      </c>
      <c r="E60" s="61">
        <v>104997</v>
      </c>
      <c r="F60" s="61">
        <v>106037</v>
      </c>
      <c r="G60" s="62">
        <f t="shared" si="5"/>
        <v>1040</v>
      </c>
      <c r="H60" s="63"/>
      <c r="I60" s="66"/>
      <c r="J60" s="172"/>
      <c r="K60" s="60" t="s">
        <v>85</v>
      </c>
      <c r="L60" s="61">
        <v>106037</v>
      </c>
      <c r="M60" s="61">
        <v>106368</v>
      </c>
      <c r="N60" s="62">
        <f t="shared" si="2"/>
        <v>331</v>
      </c>
      <c r="O60" s="63"/>
      <c r="Q60" s="172"/>
      <c r="R60" s="60" t="s">
        <v>85</v>
      </c>
      <c r="S60" s="61">
        <v>106703</v>
      </c>
      <c r="T60" s="61">
        <v>107034</v>
      </c>
      <c r="U60" s="62">
        <f t="shared" si="3"/>
        <v>331</v>
      </c>
      <c r="V60" s="63"/>
    </row>
    <row r="61" spans="1:22" ht="15" x14ac:dyDescent="0.2">
      <c r="A61" s="66"/>
      <c r="B61" s="56"/>
      <c r="C61" s="70"/>
      <c r="D61" s="71"/>
      <c r="E61" s="61"/>
      <c r="F61" s="61"/>
      <c r="G61" s="79"/>
      <c r="H61" s="73"/>
      <c r="I61" s="66"/>
      <c r="J61" s="70"/>
      <c r="K61" s="71"/>
      <c r="L61" s="61"/>
      <c r="M61" s="61"/>
      <c r="N61" s="79"/>
      <c r="O61" s="73"/>
      <c r="Q61" s="70"/>
      <c r="R61" s="71"/>
      <c r="S61" s="71"/>
      <c r="T61" s="71"/>
      <c r="U61" s="71">
        <f t="shared" si="3"/>
        <v>0</v>
      </c>
      <c r="V61" s="73"/>
    </row>
    <row r="62" spans="1:22" ht="15" x14ac:dyDescent="0.2">
      <c r="A62" s="66"/>
      <c r="B62" s="56"/>
      <c r="C62" s="171">
        <v>28</v>
      </c>
      <c r="D62" s="173" t="s">
        <v>86</v>
      </c>
      <c r="E62" s="61"/>
      <c r="F62" s="61"/>
      <c r="G62" s="62"/>
      <c r="H62" s="175" t="s">
        <v>87</v>
      </c>
      <c r="I62" s="66"/>
      <c r="J62" s="171">
        <v>28</v>
      </c>
      <c r="K62" s="173" t="s">
        <v>86</v>
      </c>
      <c r="L62" s="61"/>
      <c r="M62" s="61"/>
      <c r="N62" s="62"/>
      <c r="O62" s="175" t="s">
        <v>87</v>
      </c>
      <c r="Q62" s="171">
        <v>28</v>
      </c>
      <c r="R62" s="173" t="s">
        <v>86</v>
      </c>
      <c r="S62" s="61"/>
      <c r="T62" s="61"/>
      <c r="U62" s="62">
        <f t="shared" si="3"/>
        <v>0</v>
      </c>
      <c r="V62" s="175" t="s">
        <v>87</v>
      </c>
    </row>
    <row r="63" spans="1:22" ht="15" x14ac:dyDescent="0.2">
      <c r="A63" s="66"/>
      <c r="B63" s="56"/>
      <c r="C63" s="172"/>
      <c r="D63" s="174"/>
      <c r="E63" s="61"/>
      <c r="F63" s="61"/>
      <c r="G63" s="62"/>
      <c r="H63" s="176"/>
      <c r="I63" s="66"/>
      <c r="J63" s="172"/>
      <c r="K63" s="174"/>
      <c r="L63" s="61"/>
      <c r="M63" s="61"/>
      <c r="N63" s="62"/>
      <c r="O63" s="176"/>
      <c r="Q63" s="172"/>
      <c r="R63" s="174"/>
      <c r="S63" s="61"/>
      <c r="T63" s="61"/>
      <c r="U63" s="62">
        <f t="shared" si="3"/>
        <v>0</v>
      </c>
      <c r="V63" s="176"/>
    </row>
    <row r="64" spans="1:22" x14ac:dyDescent="0.2">
      <c r="A64" s="66"/>
      <c r="B64" s="56"/>
      <c r="C64" s="177" t="s">
        <v>88</v>
      </c>
      <c r="D64" s="177"/>
      <c r="E64" s="177"/>
      <c r="F64" s="177"/>
      <c r="G64" s="80">
        <f>SUM(G2:G63)</f>
        <v>35162</v>
      </c>
      <c r="H64" s="81"/>
      <c r="I64" s="66"/>
      <c r="J64" s="177" t="s">
        <v>88</v>
      </c>
      <c r="K64" s="177"/>
      <c r="L64" s="177"/>
      <c r="M64" s="177"/>
      <c r="N64" s="80">
        <f>SUM(N2:N63)</f>
        <v>295061</v>
      </c>
      <c r="O64" s="81"/>
      <c r="Q64" s="177" t="s">
        <v>88</v>
      </c>
      <c r="R64" s="177"/>
      <c r="S64" s="177"/>
      <c r="T64" s="177"/>
      <c r="U64" s="80" t="e">
        <f>SUM(U2:U63)</f>
        <v>#VALUE!</v>
      </c>
      <c r="V64" s="81"/>
    </row>
    <row r="68" spans="1:15" ht="13.5" thickBot="1" x14ac:dyDescent="0.25">
      <c r="A68" s="82"/>
      <c r="B68" s="82"/>
      <c r="C68" s="82"/>
      <c r="D68" s="83" t="s">
        <v>12</v>
      </c>
      <c r="E68" s="82"/>
      <c r="F68" s="82"/>
      <c r="G68" s="82"/>
      <c r="H68" s="82"/>
    </row>
    <row r="69" spans="1:15" ht="13.5" thickBot="1" x14ac:dyDescent="0.25">
      <c r="A69" s="84"/>
      <c r="B69" s="185">
        <v>44682</v>
      </c>
      <c r="C69" s="186"/>
      <c r="D69" s="186"/>
      <c r="E69" s="187"/>
      <c r="F69" s="84"/>
      <c r="G69" s="185">
        <v>44713</v>
      </c>
      <c r="H69" s="186"/>
      <c r="I69" s="186"/>
      <c r="J69" s="187"/>
      <c r="K69" s="84"/>
      <c r="L69" s="182" t="s">
        <v>25</v>
      </c>
      <c r="M69" s="183"/>
      <c r="N69" s="183"/>
      <c r="O69" s="184"/>
    </row>
    <row r="70" spans="1:15" ht="13.5" thickBot="1" x14ac:dyDescent="0.25">
      <c r="A70" s="82"/>
      <c r="B70" s="143" t="s">
        <v>139</v>
      </c>
      <c r="C70" s="143">
        <v>30</v>
      </c>
      <c r="D70" s="143" t="s">
        <v>89</v>
      </c>
      <c r="E70" s="143" t="s">
        <v>90</v>
      </c>
      <c r="F70" s="82"/>
      <c r="G70" s="143" t="s">
        <v>139</v>
      </c>
      <c r="H70" s="143">
        <v>30</v>
      </c>
      <c r="I70" s="143" t="s">
        <v>89</v>
      </c>
      <c r="J70" s="143" t="s">
        <v>90</v>
      </c>
      <c r="K70" s="82"/>
      <c r="L70" s="85" t="s">
        <v>77</v>
      </c>
      <c r="M70" s="85">
        <v>30</v>
      </c>
      <c r="N70" s="85" t="s">
        <v>89</v>
      </c>
      <c r="O70" s="85" t="s">
        <v>90</v>
      </c>
    </row>
    <row r="71" spans="1:15" ht="15.75" thickBot="1" x14ac:dyDescent="0.25">
      <c r="A71" s="82"/>
      <c r="B71" s="86">
        <v>6</v>
      </c>
      <c r="C71" s="87">
        <v>98728</v>
      </c>
      <c r="D71" s="88">
        <v>59726</v>
      </c>
      <c r="E71" s="89">
        <v>78923</v>
      </c>
      <c r="F71" s="82"/>
      <c r="G71" s="86">
        <v>6</v>
      </c>
      <c r="H71" s="87">
        <v>99360</v>
      </c>
      <c r="I71" s="88">
        <v>60362</v>
      </c>
      <c r="J71" s="89">
        <v>78930</v>
      </c>
      <c r="K71" s="82"/>
      <c r="L71" s="85">
        <v>6</v>
      </c>
      <c r="M71" s="90">
        <f>H71-C71</f>
        <v>632</v>
      </c>
      <c r="N71" s="90">
        <f>I71-D71</f>
        <v>636</v>
      </c>
      <c r="O71" s="90">
        <f>J71-E71</f>
        <v>7</v>
      </c>
    </row>
    <row r="72" spans="1:15" ht="15.75" thickBot="1" x14ac:dyDescent="0.25">
      <c r="A72" s="82"/>
      <c r="B72" s="86">
        <v>7</v>
      </c>
      <c r="C72" s="87">
        <v>101991</v>
      </c>
      <c r="D72" s="88">
        <v>105999</v>
      </c>
      <c r="E72" s="89">
        <v>67964</v>
      </c>
      <c r="F72" s="82"/>
      <c r="G72" s="86">
        <v>7</v>
      </c>
      <c r="H72" s="87">
        <v>102341</v>
      </c>
      <c r="I72" s="88">
        <v>106256</v>
      </c>
      <c r="J72" s="89">
        <v>68121</v>
      </c>
      <c r="K72" s="82"/>
      <c r="L72" s="85">
        <v>7</v>
      </c>
      <c r="M72" s="90">
        <f t="shared" ref="M72:O94" si="6">H72-C72</f>
        <v>350</v>
      </c>
      <c r="N72" s="90">
        <f t="shared" si="6"/>
        <v>257</v>
      </c>
      <c r="O72" s="90">
        <f t="shared" si="6"/>
        <v>157</v>
      </c>
    </row>
    <row r="73" spans="1:15" ht="15.75" thickBot="1" x14ac:dyDescent="0.25">
      <c r="A73" s="82"/>
      <c r="B73" s="86">
        <v>8</v>
      </c>
      <c r="C73" s="87">
        <v>121283</v>
      </c>
      <c r="D73" s="88">
        <v>266639</v>
      </c>
      <c r="E73" s="89">
        <v>113657</v>
      </c>
      <c r="F73" s="82"/>
      <c r="G73" s="86">
        <v>8</v>
      </c>
      <c r="H73" s="87">
        <v>122145</v>
      </c>
      <c r="I73" s="88">
        <v>268694</v>
      </c>
      <c r="J73" s="89">
        <v>113860</v>
      </c>
      <c r="K73" s="82"/>
      <c r="L73" s="85">
        <v>8</v>
      </c>
      <c r="M73" s="90">
        <f t="shared" si="6"/>
        <v>862</v>
      </c>
      <c r="N73" s="90">
        <f t="shared" si="6"/>
        <v>2055</v>
      </c>
      <c r="O73" s="90">
        <f t="shared" si="6"/>
        <v>203</v>
      </c>
    </row>
    <row r="74" spans="1:15" ht="15.75" thickBot="1" x14ac:dyDescent="0.25">
      <c r="A74" s="82"/>
      <c r="B74" s="86">
        <v>9</v>
      </c>
      <c r="C74" s="87">
        <v>69664</v>
      </c>
      <c r="D74" s="88">
        <v>156891</v>
      </c>
      <c r="E74" s="89">
        <v>165552</v>
      </c>
      <c r="F74" s="82"/>
      <c r="G74" s="86">
        <v>9</v>
      </c>
      <c r="H74" s="87">
        <v>69702</v>
      </c>
      <c r="I74" s="88">
        <v>157217</v>
      </c>
      <c r="J74" s="89">
        <v>166699</v>
      </c>
      <c r="K74" s="82"/>
      <c r="L74" s="85">
        <v>9</v>
      </c>
      <c r="M74" s="90">
        <f t="shared" si="6"/>
        <v>38</v>
      </c>
      <c r="N74" s="90">
        <f t="shared" si="6"/>
        <v>326</v>
      </c>
      <c r="O74" s="90">
        <f t="shared" si="6"/>
        <v>1147</v>
      </c>
    </row>
    <row r="75" spans="1:15" ht="15.75" thickBot="1" x14ac:dyDescent="0.25">
      <c r="A75" s="82"/>
      <c r="B75" s="86">
        <v>10</v>
      </c>
      <c r="C75" s="87">
        <v>77982</v>
      </c>
      <c r="D75" s="88">
        <v>126318</v>
      </c>
      <c r="E75" s="89">
        <v>154953</v>
      </c>
      <c r="F75" s="82"/>
      <c r="G75" s="86">
        <v>10</v>
      </c>
      <c r="H75" s="87">
        <v>78103</v>
      </c>
      <c r="I75" s="88">
        <v>127365</v>
      </c>
      <c r="J75" s="89">
        <v>156965</v>
      </c>
      <c r="K75" s="82"/>
      <c r="L75" s="85">
        <v>10</v>
      </c>
      <c r="M75" s="90">
        <f t="shared" si="6"/>
        <v>121</v>
      </c>
      <c r="N75" s="90">
        <f t="shared" si="6"/>
        <v>1047</v>
      </c>
      <c r="O75" s="90">
        <f t="shared" si="6"/>
        <v>2012</v>
      </c>
    </row>
    <row r="76" spans="1:15" ht="15.75" thickBot="1" x14ac:dyDescent="0.25">
      <c r="A76" s="82"/>
      <c r="B76" s="86">
        <v>11</v>
      </c>
      <c r="C76" s="87">
        <v>163460</v>
      </c>
      <c r="D76" s="88">
        <v>189116</v>
      </c>
      <c r="E76" s="89">
        <v>214676</v>
      </c>
      <c r="F76" s="82"/>
      <c r="G76" s="86">
        <v>11</v>
      </c>
      <c r="H76" s="87">
        <v>162927</v>
      </c>
      <c r="I76" s="88">
        <v>189919</v>
      </c>
      <c r="J76" s="89">
        <v>214965</v>
      </c>
      <c r="K76" s="82"/>
      <c r="L76" s="85">
        <v>11</v>
      </c>
      <c r="M76" s="90">
        <f t="shared" si="6"/>
        <v>-533</v>
      </c>
      <c r="N76" s="90">
        <f t="shared" si="6"/>
        <v>803</v>
      </c>
      <c r="O76" s="90">
        <f t="shared" si="6"/>
        <v>289</v>
      </c>
    </row>
    <row r="77" spans="1:15" ht="15.75" thickBot="1" x14ac:dyDescent="0.25">
      <c r="A77" s="82"/>
      <c r="B77" s="86">
        <v>12</v>
      </c>
      <c r="C77" s="87">
        <v>157077</v>
      </c>
      <c r="D77" s="88">
        <v>99775</v>
      </c>
      <c r="E77" s="89">
        <v>101606</v>
      </c>
      <c r="F77" s="82"/>
      <c r="G77" s="86">
        <v>12</v>
      </c>
      <c r="H77" s="87">
        <v>157726</v>
      </c>
      <c r="I77" s="88">
        <v>100105</v>
      </c>
      <c r="J77" s="89">
        <v>101879</v>
      </c>
      <c r="K77" s="82"/>
      <c r="L77" s="85">
        <v>12</v>
      </c>
      <c r="M77" s="90">
        <f t="shared" si="6"/>
        <v>649</v>
      </c>
      <c r="N77" s="90">
        <f>I77-D77</f>
        <v>330</v>
      </c>
      <c r="O77" s="90">
        <f t="shared" si="6"/>
        <v>273</v>
      </c>
    </row>
    <row r="78" spans="1:15" ht="15.75" thickBot="1" x14ac:dyDescent="0.25">
      <c r="A78" s="82"/>
      <c r="B78" s="86">
        <v>14</v>
      </c>
      <c r="C78" s="87">
        <v>123684</v>
      </c>
      <c r="D78" s="88">
        <v>49135</v>
      </c>
      <c r="E78" s="89">
        <v>51948</v>
      </c>
      <c r="F78" s="82"/>
      <c r="G78" s="86">
        <v>14</v>
      </c>
      <c r="H78" s="87">
        <v>123800</v>
      </c>
      <c r="I78" s="88">
        <v>49663</v>
      </c>
      <c r="J78" s="89">
        <v>52076</v>
      </c>
      <c r="K78" s="82"/>
      <c r="L78" s="85">
        <v>14</v>
      </c>
      <c r="M78" s="90">
        <f t="shared" si="6"/>
        <v>116</v>
      </c>
      <c r="N78" s="90">
        <f t="shared" si="6"/>
        <v>528</v>
      </c>
      <c r="O78" s="90">
        <f t="shared" si="6"/>
        <v>128</v>
      </c>
    </row>
    <row r="79" spans="1:15" ht="15.75" thickBot="1" x14ac:dyDescent="0.25">
      <c r="A79" s="82"/>
      <c r="B79" s="86">
        <v>15</v>
      </c>
      <c r="C79" s="87">
        <v>176550</v>
      </c>
      <c r="D79" s="88">
        <v>155178</v>
      </c>
      <c r="E79" s="89">
        <v>165024</v>
      </c>
      <c r="F79" s="82"/>
      <c r="G79" s="86">
        <v>15</v>
      </c>
      <c r="H79" s="87">
        <v>177077</v>
      </c>
      <c r="I79" s="88">
        <v>155961</v>
      </c>
      <c r="J79" s="89">
        <v>16553</v>
      </c>
      <c r="K79" s="82"/>
      <c r="L79" s="85">
        <v>15</v>
      </c>
      <c r="M79" s="90">
        <f t="shared" si="6"/>
        <v>527</v>
      </c>
      <c r="N79" s="90">
        <f t="shared" si="6"/>
        <v>783</v>
      </c>
      <c r="O79" s="90">
        <f t="shared" si="6"/>
        <v>-148471</v>
      </c>
    </row>
    <row r="80" spans="1:15" ht="15.75" thickBot="1" x14ac:dyDescent="0.25">
      <c r="A80" s="82"/>
      <c r="B80" s="86">
        <v>16</v>
      </c>
      <c r="C80" s="87">
        <v>131005</v>
      </c>
      <c r="D80" s="88">
        <v>158093</v>
      </c>
      <c r="E80" s="89">
        <v>220954</v>
      </c>
      <c r="F80" s="82"/>
      <c r="G80" s="86">
        <v>16</v>
      </c>
      <c r="H80" s="87">
        <v>131324</v>
      </c>
      <c r="I80" s="88">
        <v>158804</v>
      </c>
      <c r="J80" s="89">
        <v>221172</v>
      </c>
      <c r="K80" s="82"/>
      <c r="L80" s="85">
        <v>16</v>
      </c>
      <c r="M80" s="90">
        <f t="shared" si="6"/>
        <v>319</v>
      </c>
      <c r="N80" s="90">
        <f t="shared" si="6"/>
        <v>711</v>
      </c>
      <c r="O80" s="90">
        <f t="shared" si="6"/>
        <v>218</v>
      </c>
    </row>
    <row r="81" spans="1:15" ht="15.75" thickBot="1" x14ac:dyDescent="0.25">
      <c r="A81" s="82"/>
      <c r="B81" s="86">
        <v>17</v>
      </c>
      <c r="C81" s="87">
        <v>38476</v>
      </c>
      <c r="D81" s="88">
        <v>88865</v>
      </c>
      <c r="E81" s="89">
        <v>203858</v>
      </c>
      <c r="F81" s="82"/>
      <c r="G81" s="86">
        <v>17</v>
      </c>
      <c r="H81" s="87">
        <v>38476</v>
      </c>
      <c r="I81" s="88">
        <v>89126</v>
      </c>
      <c r="J81" s="89">
        <v>204014</v>
      </c>
      <c r="K81" s="82"/>
      <c r="L81" s="85">
        <v>17</v>
      </c>
      <c r="M81" s="90">
        <f t="shared" si="6"/>
        <v>0</v>
      </c>
      <c r="N81" s="90">
        <f t="shared" si="6"/>
        <v>261</v>
      </c>
      <c r="O81" s="90">
        <f t="shared" si="6"/>
        <v>156</v>
      </c>
    </row>
    <row r="82" spans="1:15" ht="15.75" thickBot="1" x14ac:dyDescent="0.25">
      <c r="A82" s="82"/>
      <c r="B82" s="86">
        <v>18</v>
      </c>
      <c r="C82" s="87">
        <v>140994</v>
      </c>
      <c r="D82" s="88">
        <v>75685</v>
      </c>
      <c r="E82" s="89">
        <v>166522</v>
      </c>
      <c r="F82" s="82"/>
      <c r="G82" s="86">
        <v>18</v>
      </c>
      <c r="H82" s="87">
        <v>141527</v>
      </c>
      <c r="I82" s="88">
        <v>75757</v>
      </c>
      <c r="J82" s="89">
        <v>166717</v>
      </c>
      <c r="K82" s="82"/>
      <c r="L82" s="85">
        <v>18</v>
      </c>
      <c r="M82" s="90">
        <f t="shared" si="6"/>
        <v>533</v>
      </c>
      <c r="N82" s="90">
        <f t="shared" si="6"/>
        <v>72</v>
      </c>
      <c r="O82" s="90">
        <f t="shared" si="6"/>
        <v>195</v>
      </c>
    </row>
    <row r="83" spans="1:15" ht="15.75" thickBot="1" x14ac:dyDescent="0.25">
      <c r="A83" s="82"/>
      <c r="B83" s="86">
        <v>19</v>
      </c>
      <c r="C83" s="87">
        <v>78488</v>
      </c>
      <c r="D83" s="88">
        <v>175993</v>
      </c>
      <c r="E83" s="89">
        <v>130578</v>
      </c>
      <c r="F83" s="82"/>
      <c r="G83" s="86">
        <v>19</v>
      </c>
      <c r="H83" s="87">
        <v>78546</v>
      </c>
      <c r="I83" s="88">
        <v>176831</v>
      </c>
      <c r="J83" s="89">
        <v>130950</v>
      </c>
      <c r="K83" s="82"/>
      <c r="L83" s="85">
        <v>19</v>
      </c>
      <c r="M83" s="90">
        <f t="shared" si="6"/>
        <v>58</v>
      </c>
      <c r="N83" s="90">
        <f t="shared" si="6"/>
        <v>838</v>
      </c>
      <c r="O83" s="90">
        <f t="shared" si="6"/>
        <v>372</v>
      </c>
    </row>
    <row r="84" spans="1:15" ht="15.75" thickBot="1" x14ac:dyDescent="0.25">
      <c r="A84" s="82"/>
      <c r="B84" s="86">
        <v>20</v>
      </c>
      <c r="C84" s="87">
        <v>147813</v>
      </c>
      <c r="D84" s="88">
        <v>179150</v>
      </c>
      <c r="E84" s="89">
        <v>90949</v>
      </c>
      <c r="F84" s="82"/>
      <c r="G84" s="86">
        <v>20</v>
      </c>
      <c r="H84" s="87">
        <v>148329</v>
      </c>
      <c r="I84" s="88">
        <v>180407</v>
      </c>
      <c r="J84" s="89">
        <v>91100</v>
      </c>
      <c r="K84" s="82"/>
      <c r="L84" s="85">
        <v>20</v>
      </c>
      <c r="M84" s="90">
        <f>H84-C84</f>
        <v>516</v>
      </c>
      <c r="N84" s="90">
        <f t="shared" si="6"/>
        <v>1257</v>
      </c>
      <c r="O84" s="90">
        <f t="shared" si="6"/>
        <v>151</v>
      </c>
    </row>
    <row r="85" spans="1:15" ht="15.75" thickBot="1" x14ac:dyDescent="0.25">
      <c r="A85" s="82"/>
      <c r="B85" s="86">
        <v>21</v>
      </c>
      <c r="C85" s="87">
        <v>194278</v>
      </c>
      <c r="D85" s="88">
        <v>93086</v>
      </c>
      <c r="E85" s="89">
        <v>118367</v>
      </c>
      <c r="F85" s="82"/>
      <c r="G85" s="86">
        <v>21</v>
      </c>
      <c r="H85" s="87">
        <v>194434</v>
      </c>
      <c r="I85" s="88">
        <v>93475</v>
      </c>
      <c r="J85" s="89">
        <v>118812</v>
      </c>
      <c r="K85" s="82"/>
      <c r="L85" s="85">
        <v>21</v>
      </c>
      <c r="M85" s="90">
        <f t="shared" si="6"/>
        <v>156</v>
      </c>
      <c r="N85" s="90">
        <f t="shared" si="6"/>
        <v>389</v>
      </c>
      <c r="O85" s="90">
        <f t="shared" si="6"/>
        <v>445</v>
      </c>
    </row>
    <row r="86" spans="1:15" ht="15.75" thickBot="1" x14ac:dyDescent="0.25">
      <c r="A86" s="82"/>
      <c r="B86" s="86">
        <v>22</v>
      </c>
      <c r="C86" s="87">
        <v>142784</v>
      </c>
      <c r="D86" s="88">
        <v>100769</v>
      </c>
      <c r="E86" s="89">
        <v>122914</v>
      </c>
      <c r="F86" s="82"/>
      <c r="G86" s="86">
        <v>22</v>
      </c>
      <c r="H86" s="87">
        <v>143871</v>
      </c>
      <c r="I86" s="88">
        <v>102520</v>
      </c>
      <c r="J86" s="89">
        <v>123096</v>
      </c>
      <c r="K86" s="82"/>
      <c r="L86" s="85">
        <v>22</v>
      </c>
      <c r="M86" s="90">
        <f t="shared" si="6"/>
        <v>1087</v>
      </c>
      <c r="N86" s="90">
        <f t="shared" si="6"/>
        <v>1751</v>
      </c>
      <c r="O86" s="90">
        <f t="shared" si="6"/>
        <v>182</v>
      </c>
    </row>
    <row r="87" spans="1:15" ht="15.75" thickBot="1" x14ac:dyDescent="0.25">
      <c r="A87" s="82"/>
      <c r="B87" s="86">
        <v>23</v>
      </c>
      <c r="C87" s="87">
        <v>131286</v>
      </c>
      <c r="D87" s="88">
        <v>159709</v>
      </c>
      <c r="E87" s="89">
        <v>299791</v>
      </c>
      <c r="F87" s="82"/>
      <c r="G87" s="86">
        <v>23</v>
      </c>
      <c r="H87" s="87">
        <v>131371</v>
      </c>
      <c r="I87" s="88">
        <v>160007</v>
      </c>
      <c r="J87" s="89">
        <v>301174</v>
      </c>
      <c r="K87" s="82"/>
      <c r="L87" s="85">
        <v>23</v>
      </c>
      <c r="M87" s="90">
        <f t="shared" si="6"/>
        <v>85</v>
      </c>
      <c r="N87" s="90">
        <f t="shared" si="6"/>
        <v>298</v>
      </c>
      <c r="O87" s="90">
        <f t="shared" si="6"/>
        <v>1383</v>
      </c>
    </row>
    <row r="88" spans="1:15" ht="15.75" thickBot="1" x14ac:dyDescent="0.25">
      <c r="A88" s="82"/>
      <c r="B88" s="86">
        <v>24</v>
      </c>
      <c r="C88" s="87">
        <v>81422</v>
      </c>
      <c r="D88" s="88">
        <v>155495</v>
      </c>
      <c r="E88" s="89">
        <v>102593</v>
      </c>
      <c r="F88" s="82"/>
      <c r="G88" s="86">
        <v>24</v>
      </c>
      <c r="H88" s="87">
        <v>81542</v>
      </c>
      <c r="I88" s="88">
        <v>155970</v>
      </c>
      <c r="J88" s="89">
        <v>102757</v>
      </c>
      <c r="K88" s="82"/>
      <c r="L88" s="85">
        <v>24</v>
      </c>
      <c r="M88" s="90">
        <f t="shared" si="6"/>
        <v>120</v>
      </c>
      <c r="N88" s="90">
        <f t="shared" si="6"/>
        <v>475</v>
      </c>
      <c r="O88" s="90">
        <f>J88-E88</f>
        <v>164</v>
      </c>
    </row>
    <row r="89" spans="1:15" ht="15.75" thickBot="1" x14ac:dyDescent="0.25">
      <c r="A89" s="82"/>
      <c r="B89" s="86">
        <v>25</v>
      </c>
      <c r="C89" s="87">
        <v>127005</v>
      </c>
      <c r="D89" s="88">
        <v>181906</v>
      </c>
      <c r="E89" s="89">
        <v>170782</v>
      </c>
      <c r="F89" s="82"/>
      <c r="G89" s="86">
        <v>25</v>
      </c>
      <c r="H89" s="87">
        <v>1279664</v>
      </c>
      <c r="I89" s="88">
        <v>182146</v>
      </c>
      <c r="J89" s="89">
        <v>171730</v>
      </c>
      <c r="K89" s="82"/>
      <c r="L89" s="85">
        <v>25</v>
      </c>
      <c r="M89" s="90">
        <f t="shared" si="6"/>
        <v>1152659</v>
      </c>
      <c r="N89" s="90">
        <f t="shared" si="6"/>
        <v>240</v>
      </c>
      <c r="O89" s="90">
        <f>J89-E89</f>
        <v>948</v>
      </c>
    </row>
    <row r="90" spans="1:15" ht="15.75" thickBot="1" x14ac:dyDescent="0.25">
      <c r="A90" s="82"/>
      <c r="B90" s="86">
        <v>26</v>
      </c>
      <c r="C90" s="87">
        <v>122819</v>
      </c>
      <c r="D90" s="88">
        <v>57563</v>
      </c>
      <c r="E90" s="89">
        <v>59964</v>
      </c>
      <c r="F90" s="82"/>
      <c r="G90" s="86">
        <v>26</v>
      </c>
      <c r="H90" s="87">
        <v>124091</v>
      </c>
      <c r="I90" s="88">
        <v>58681</v>
      </c>
      <c r="J90" s="89">
        <v>60597</v>
      </c>
      <c r="K90" s="82"/>
      <c r="L90" s="85">
        <v>26</v>
      </c>
      <c r="M90" s="90">
        <f t="shared" si="6"/>
        <v>1272</v>
      </c>
      <c r="N90" s="90">
        <f t="shared" si="6"/>
        <v>1118</v>
      </c>
      <c r="O90" s="90">
        <f t="shared" si="6"/>
        <v>633</v>
      </c>
    </row>
    <row r="91" spans="1:15" ht="15.75" thickBot="1" x14ac:dyDescent="0.25">
      <c r="A91" s="82"/>
      <c r="B91" s="86">
        <v>27</v>
      </c>
      <c r="C91" s="87">
        <v>104246</v>
      </c>
      <c r="D91" s="88">
        <v>114157</v>
      </c>
      <c r="E91" s="89">
        <v>127368</v>
      </c>
      <c r="F91" s="82"/>
      <c r="G91" s="86">
        <v>27</v>
      </c>
      <c r="H91" s="87">
        <v>104383</v>
      </c>
      <c r="I91" s="88">
        <v>114627</v>
      </c>
      <c r="J91" s="89">
        <v>128208</v>
      </c>
      <c r="K91" s="82"/>
      <c r="L91" s="85">
        <v>27</v>
      </c>
      <c r="M91" s="90">
        <f t="shared" si="6"/>
        <v>137</v>
      </c>
      <c r="N91" s="90">
        <f t="shared" si="6"/>
        <v>470</v>
      </c>
      <c r="O91" s="90">
        <f t="shared" si="6"/>
        <v>840</v>
      </c>
    </row>
    <row r="92" spans="1:15" ht="15.75" thickBot="1" x14ac:dyDescent="0.25">
      <c r="A92" s="82"/>
      <c r="B92" s="86">
        <v>28</v>
      </c>
      <c r="C92" s="87">
        <v>204033</v>
      </c>
      <c r="D92" s="88">
        <v>105999</v>
      </c>
      <c r="E92" s="89">
        <v>113586</v>
      </c>
      <c r="F92" s="82"/>
      <c r="G92" s="86">
        <v>28</v>
      </c>
      <c r="H92" s="87">
        <v>204213</v>
      </c>
      <c r="I92" s="88">
        <v>103512</v>
      </c>
      <c r="J92" s="89">
        <v>114093</v>
      </c>
      <c r="K92" s="82"/>
      <c r="L92" s="85">
        <v>28</v>
      </c>
      <c r="M92" s="90">
        <f t="shared" si="6"/>
        <v>180</v>
      </c>
      <c r="N92" s="90">
        <f t="shared" si="6"/>
        <v>-2487</v>
      </c>
      <c r="O92" s="90">
        <f t="shared" si="6"/>
        <v>507</v>
      </c>
    </row>
    <row r="93" spans="1:15" ht="15.75" thickBot="1" x14ac:dyDescent="0.25">
      <c r="A93" s="82"/>
      <c r="B93" s="86">
        <v>29</v>
      </c>
      <c r="C93" s="87"/>
      <c r="D93" s="88">
        <v>103369</v>
      </c>
      <c r="E93" s="89"/>
      <c r="F93" s="82"/>
      <c r="G93" s="86">
        <v>29</v>
      </c>
      <c r="H93" s="87"/>
      <c r="I93" s="88"/>
      <c r="J93" s="89"/>
      <c r="K93" s="82"/>
      <c r="L93" s="85">
        <v>29</v>
      </c>
      <c r="M93" s="90">
        <f>H93-C93</f>
        <v>0</v>
      </c>
      <c r="N93" s="90">
        <f t="shared" si="6"/>
        <v>-103369</v>
      </c>
      <c r="O93" s="90"/>
    </row>
    <row r="94" spans="1:15" ht="15.75" thickBot="1" x14ac:dyDescent="0.25">
      <c r="A94" s="82"/>
      <c r="B94" s="86">
        <v>30</v>
      </c>
      <c r="C94" s="87"/>
      <c r="D94" s="88"/>
      <c r="E94" s="89"/>
      <c r="F94" s="82"/>
      <c r="G94" s="86">
        <v>30</v>
      </c>
      <c r="H94" s="87"/>
      <c r="I94" s="88"/>
      <c r="J94" s="89"/>
      <c r="K94" s="82"/>
      <c r="L94" s="85">
        <v>30</v>
      </c>
      <c r="M94" s="90">
        <f>H94-C94</f>
        <v>0</v>
      </c>
      <c r="N94" s="90">
        <f t="shared" si="6"/>
        <v>0</v>
      </c>
      <c r="O94" s="82"/>
    </row>
  </sheetData>
  <mergeCells count="78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Q2:Q4"/>
    <mergeCell ref="Q5:Q7"/>
    <mergeCell ref="Q8:Q10"/>
    <mergeCell ref="Q11:Q13"/>
    <mergeCell ref="Q14:Q16"/>
    <mergeCell ref="Q17:Q19"/>
    <mergeCell ref="Q20:Q22"/>
    <mergeCell ref="Q23:Q25"/>
    <mergeCell ref="Q26:Q28"/>
    <mergeCell ref="Q29:Q31"/>
    <mergeCell ref="Q32:Q34"/>
    <mergeCell ref="Q35:Q37"/>
    <mergeCell ref="Q38:Q40"/>
    <mergeCell ref="Q41:Q43"/>
    <mergeCell ref="Q45:Q46"/>
    <mergeCell ref="Q47:Q48"/>
    <mergeCell ref="Q49:Q50"/>
    <mergeCell ref="Q52:Q54"/>
    <mergeCell ref="Q55:Q56"/>
    <mergeCell ref="Q57:Q58"/>
    <mergeCell ref="Q59:Q60"/>
    <mergeCell ref="Q62:Q63"/>
    <mergeCell ref="R62:R63"/>
    <mergeCell ref="V62:V63"/>
    <mergeCell ref="Q64:T64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F12" sqref="F12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8" t="s">
        <v>150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3" ht="13.5" thickBot="1" x14ac:dyDescent="0.25">
      <c r="A2" s="94"/>
      <c r="B2" s="95" t="s">
        <v>92</v>
      </c>
      <c r="C2" s="96">
        <f>K8+K9+K14</f>
        <v>-14061787</v>
      </c>
      <c r="D2" s="96">
        <f>C2*1.27</f>
        <v>-17858469.490000002</v>
      </c>
      <c r="E2" s="97"/>
      <c r="F2" s="94"/>
      <c r="G2" s="94"/>
      <c r="H2" s="98" t="s">
        <v>93</v>
      </c>
      <c r="I2" s="99"/>
      <c r="J2" s="99"/>
      <c r="K2" s="99"/>
    </row>
    <row r="3" spans="1:13" ht="13.5" thickBot="1" x14ac:dyDescent="0.25">
      <c r="A3" s="94"/>
      <c r="B3" s="94"/>
      <c r="C3" s="94"/>
      <c r="D3" s="94"/>
      <c r="E3" s="94"/>
      <c r="F3" s="94"/>
      <c r="G3" s="94"/>
      <c r="H3" s="100" t="s">
        <v>94</v>
      </c>
      <c r="I3" s="133">
        <f>ELECT.!E2</f>
        <v>33201142</v>
      </c>
      <c r="J3" s="133">
        <f>ELECT.!E32</f>
        <v>0</v>
      </c>
      <c r="K3" s="164">
        <f>J3-I3</f>
        <v>-33201142</v>
      </c>
    </row>
    <row r="4" spans="1:13" ht="13.5" thickBot="1" x14ac:dyDescent="0.25">
      <c r="A4" s="94"/>
      <c r="B4" s="102" t="s">
        <v>95</v>
      </c>
      <c r="C4" s="103" t="s">
        <v>96</v>
      </c>
      <c r="D4" s="103" t="s">
        <v>97</v>
      </c>
      <c r="E4" s="103"/>
      <c r="F4" s="94"/>
      <c r="G4" s="94"/>
      <c r="H4" s="100" t="s">
        <v>98</v>
      </c>
      <c r="I4" s="101">
        <f>ELECT.!G2</f>
        <v>4671912</v>
      </c>
      <c r="J4" s="133">
        <f>ELECT.!G32</f>
        <v>0</v>
      </c>
      <c r="K4" s="164">
        <f>J4-I4</f>
        <v>-4671912</v>
      </c>
    </row>
    <row r="5" spans="1:13" ht="13.5" thickBot="1" x14ac:dyDescent="0.25">
      <c r="A5" s="94"/>
      <c r="B5" s="100" t="s">
        <v>27</v>
      </c>
      <c r="C5" s="104">
        <f>(K10+K12)*0.842284+K26</f>
        <v>-22318092.81168</v>
      </c>
      <c r="D5" s="104">
        <f t="shared" ref="D5:D11" si="0">C5*1.27</f>
        <v>-28343977.870833602</v>
      </c>
      <c r="E5" s="105"/>
      <c r="F5" s="94"/>
      <c r="G5" s="94"/>
      <c r="H5" s="100" t="s">
        <v>23</v>
      </c>
      <c r="I5" s="106"/>
      <c r="J5" s="106"/>
      <c r="K5" s="126">
        <f>K3+K4</f>
        <v>-37873054</v>
      </c>
    </row>
    <row r="6" spans="1:13" ht="13.5" thickBot="1" x14ac:dyDescent="0.25">
      <c r="A6" s="94"/>
      <c r="B6" s="100" t="s">
        <v>99</v>
      </c>
      <c r="C6" s="104">
        <f>(K10+K12+K26)*0.1488</f>
        <v>-3853342.6559999995</v>
      </c>
      <c r="D6" s="104">
        <f t="shared" si="0"/>
        <v>-4893745.1731199995</v>
      </c>
      <c r="E6" s="105"/>
      <c r="F6" s="94"/>
      <c r="G6" s="94"/>
      <c r="H6" s="100" t="s">
        <v>100</v>
      </c>
      <c r="I6" s="137">
        <f>ELECT.!J2</f>
        <v>422838</v>
      </c>
      <c r="J6" s="133">
        <f>ELECT.!J32</f>
        <v>0</v>
      </c>
      <c r="K6" s="164">
        <f>J6-I6</f>
        <v>-422838</v>
      </c>
      <c r="M6" s="34"/>
    </row>
    <row r="7" spans="1:13" ht="13.5" thickBot="1" x14ac:dyDescent="0.25">
      <c r="A7" s="94"/>
      <c r="B7" s="100" t="s">
        <v>101</v>
      </c>
      <c r="C7" s="104">
        <f>(K6+K7)-(C8+C9+C10+C11+K26)</f>
        <v>2072784</v>
      </c>
      <c r="D7" s="104">
        <f t="shared" si="0"/>
        <v>2632435.6800000002</v>
      </c>
      <c r="E7" s="105"/>
      <c r="F7" s="94"/>
      <c r="G7" s="94"/>
      <c r="H7" s="100" t="s">
        <v>102</v>
      </c>
      <c r="I7" s="137">
        <f>ELECT.!L2</f>
        <v>701909</v>
      </c>
      <c r="J7" s="133">
        <f>ELECT.!L32</f>
        <v>0</v>
      </c>
      <c r="K7" s="164">
        <f>J7-I7</f>
        <v>-701909</v>
      </c>
    </row>
    <row r="8" spans="1:13" ht="13.5" thickBot="1" x14ac:dyDescent="0.25">
      <c r="A8" s="94"/>
      <c r="B8" s="100" t="s">
        <v>103</v>
      </c>
      <c r="C8" s="104">
        <f>K21+K22+K23+K24</f>
        <v>6834</v>
      </c>
      <c r="D8" s="104">
        <f t="shared" si="0"/>
        <v>8679.18</v>
      </c>
      <c r="E8" s="105"/>
      <c r="F8" s="94"/>
      <c r="G8" s="94"/>
      <c r="H8" s="100" t="s">
        <v>104</v>
      </c>
      <c r="I8" s="137">
        <f>ELECT.!N2</f>
        <v>7386230</v>
      </c>
      <c r="J8" s="133">
        <f>ELECT.!N32</f>
        <v>0</v>
      </c>
      <c r="K8" s="91">
        <f>(J8-I8)*2</f>
        <v>-14772460</v>
      </c>
    </row>
    <row r="9" spans="1:13" ht="13.5" thickBot="1" x14ac:dyDescent="0.25">
      <c r="A9" s="94"/>
      <c r="B9" s="100" t="s">
        <v>137</v>
      </c>
      <c r="C9" s="104">
        <f>K25+K16+K17</f>
        <v>1475</v>
      </c>
      <c r="D9" s="104">
        <f t="shared" si="0"/>
        <v>1873.25</v>
      </c>
      <c r="E9" s="105"/>
      <c r="F9" s="94"/>
      <c r="G9" s="94"/>
      <c r="H9" s="100" t="s">
        <v>105</v>
      </c>
      <c r="I9" s="137">
        <f>ELECT.!P2</f>
        <v>7910768</v>
      </c>
      <c r="J9" s="133">
        <f>ELECT.!P32</f>
        <v>0</v>
      </c>
      <c r="K9" s="91">
        <f>J9-I9</f>
        <v>-7910768</v>
      </c>
    </row>
    <row r="10" spans="1:13" ht="13.5" thickBot="1" x14ac:dyDescent="0.25">
      <c r="A10" s="94"/>
      <c r="B10" s="100" t="s">
        <v>106</v>
      </c>
      <c r="C10" s="104">
        <f>K18</f>
        <v>3040</v>
      </c>
      <c r="D10" s="104">
        <f t="shared" si="0"/>
        <v>3860.8</v>
      </c>
      <c r="E10" s="105"/>
      <c r="F10" s="94"/>
      <c r="G10" s="94"/>
      <c r="H10" s="100" t="s">
        <v>107</v>
      </c>
      <c r="I10" s="137">
        <f>ELECT.!R2</f>
        <v>22213458</v>
      </c>
      <c r="J10" s="133">
        <f>ELECT.!R32</f>
        <v>0</v>
      </c>
      <c r="K10" s="91">
        <f>J10-I10</f>
        <v>-22213458</v>
      </c>
    </row>
    <row r="11" spans="1:13" ht="13.5" thickBot="1" x14ac:dyDescent="0.25">
      <c r="A11" s="94"/>
      <c r="B11" s="100" t="s">
        <v>108</v>
      </c>
      <c r="C11" s="104">
        <f>K19+K20</f>
        <v>720</v>
      </c>
      <c r="D11" s="104">
        <f t="shared" si="0"/>
        <v>914.4</v>
      </c>
      <c r="E11" s="105"/>
      <c r="F11" s="94"/>
      <c r="G11" s="94"/>
      <c r="H11" s="100" t="s">
        <v>109</v>
      </c>
      <c r="I11" s="107">
        <v>0</v>
      </c>
      <c r="J11" s="133">
        <f>ELECT.!G40</f>
        <v>0</v>
      </c>
      <c r="K11" s="91">
        <f>J11-I11</f>
        <v>0</v>
      </c>
    </row>
    <row r="12" spans="1:13" ht="13.5" thickBot="1" x14ac:dyDescent="0.25">
      <c r="A12" s="94"/>
      <c r="B12" s="94"/>
      <c r="C12" s="108"/>
      <c r="D12" s="108"/>
      <c r="E12" s="108"/>
      <c r="F12" s="94"/>
      <c r="G12" s="94"/>
      <c r="H12" s="100" t="s">
        <v>110</v>
      </c>
      <c r="I12" s="137">
        <f>ELECT.!V2</f>
        <v>236531</v>
      </c>
      <c r="J12" s="133">
        <f>ELECT.!V32</f>
        <v>0</v>
      </c>
      <c r="K12" s="91">
        <f>(J12-I12)*2</f>
        <v>-473062</v>
      </c>
    </row>
    <row r="13" spans="1:13" ht="13.5" thickBot="1" x14ac:dyDescent="0.25">
      <c r="A13" s="94"/>
      <c r="B13" s="98" t="s">
        <v>111</v>
      </c>
      <c r="C13" s="105" t="s">
        <v>112</v>
      </c>
      <c r="D13" s="105" t="s">
        <v>97</v>
      </c>
      <c r="E13" s="105"/>
      <c r="F13" s="94"/>
      <c r="G13" s="94"/>
      <c r="H13" s="100" t="s">
        <v>113</v>
      </c>
      <c r="I13" s="109"/>
      <c r="J13" s="110"/>
      <c r="K13" s="111">
        <f>SUM(K6:K12)</f>
        <v>-46494495</v>
      </c>
    </row>
    <row r="14" spans="1:13" ht="13.5" thickBot="1" x14ac:dyDescent="0.25">
      <c r="A14" s="94"/>
      <c r="B14" s="100" t="s">
        <v>42</v>
      </c>
      <c r="C14" s="104">
        <f>K29</f>
        <v>-4597950</v>
      </c>
      <c r="D14" s="112">
        <f t="shared" ref="D14:D22" si="1">C14*10.03</f>
        <v>-46117438.5</v>
      </c>
      <c r="E14" s="113"/>
      <c r="F14" s="94"/>
      <c r="G14" s="94"/>
      <c r="H14" s="100" t="s">
        <v>114</v>
      </c>
      <c r="I14" s="109"/>
      <c r="J14" s="110"/>
      <c r="K14" s="92">
        <f>K5-K13</f>
        <v>8621441</v>
      </c>
    </row>
    <row r="15" spans="1:13" ht="13.5" thickBot="1" x14ac:dyDescent="0.25">
      <c r="A15" s="94"/>
      <c r="B15" s="100" t="s">
        <v>115</v>
      </c>
      <c r="C15" s="114">
        <f>K30</f>
        <v>-21823.208999999999</v>
      </c>
      <c r="D15" s="112">
        <f t="shared" si="1"/>
        <v>-218886.78626999998</v>
      </c>
      <c r="E15" s="113"/>
      <c r="F15" s="94"/>
      <c r="G15" s="94"/>
      <c r="H15" s="94"/>
      <c r="I15" s="94"/>
      <c r="J15" s="94"/>
      <c r="K15" s="94"/>
    </row>
    <row r="16" spans="1:13" ht="13.5" thickBot="1" x14ac:dyDescent="0.25">
      <c r="A16" s="94"/>
      <c r="B16" s="100" t="s">
        <v>99</v>
      </c>
      <c r="C16" s="114">
        <f>(C14-C15-C17-C18-C19-C20-C21)*0.1318</f>
        <v>-603900.5870538</v>
      </c>
      <c r="D16" s="112">
        <f t="shared" si="1"/>
        <v>-6057122.8881496135</v>
      </c>
      <c r="E16" s="113"/>
      <c r="F16" s="94"/>
      <c r="G16" s="94"/>
      <c r="H16" s="115" t="s">
        <v>136</v>
      </c>
      <c r="I16" s="116">
        <f>'Mall, Citadel, Rotana'!T2</f>
        <v>4046</v>
      </c>
      <c r="J16" s="116">
        <f>'Mall, Citadel, Rotana'!T32</f>
        <v>4049</v>
      </c>
      <c r="K16" s="93">
        <f>(J16-I16)*160</f>
        <v>480</v>
      </c>
    </row>
    <row r="17" spans="1:11" ht="13.5" thickBot="1" x14ac:dyDescent="0.25">
      <c r="A17" s="94"/>
      <c r="B17" s="100" t="s">
        <v>103</v>
      </c>
      <c r="C17" s="114">
        <v>1420</v>
      </c>
      <c r="D17" s="112">
        <f t="shared" si="1"/>
        <v>14242.599999999999</v>
      </c>
      <c r="E17" s="113"/>
      <c r="F17" s="94"/>
      <c r="G17" s="94"/>
      <c r="H17" s="115" t="s">
        <v>19</v>
      </c>
      <c r="I17" s="116">
        <f>'Mall, Citadel, Rotana'!J2</f>
        <v>330607</v>
      </c>
      <c r="J17" s="116">
        <f>'Mall, Citadel, Rotana'!J32</f>
        <v>331583</v>
      </c>
      <c r="K17" s="93">
        <f>(J17-I17)</f>
        <v>976</v>
      </c>
    </row>
    <row r="18" spans="1:11" ht="13.5" thickBot="1" x14ac:dyDescent="0.25">
      <c r="A18" s="94"/>
      <c r="B18" s="100" t="s">
        <v>108</v>
      </c>
      <c r="C18" s="114">
        <v>200</v>
      </c>
      <c r="D18" s="112">
        <f t="shared" si="1"/>
        <v>2005.9999999999998</v>
      </c>
      <c r="E18" s="113"/>
      <c r="F18" s="94"/>
      <c r="G18" s="94"/>
      <c r="H18" s="115" t="s">
        <v>20</v>
      </c>
      <c r="I18" s="116">
        <f>'Mall, Citadel, Rotana'!L2</f>
        <v>26449</v>
      </c>
      <c r="J18" s="116">
        <f>'Mall, Citadel, Rotana'!L32</f>
        <v>26468</v>
      </c>
      <c r="K18" s="93">
        <f>(J18-I18)*160</f>
        <v>3040</v>
      </c>
    </row>
    <row r="19" spans="1:11" ht="15.75" thickBot="1" x14ac:dyDescent="0.25">
      <c r="A19" s="94"/>
      <c r="B19" s="100" t="s">
        <v>137</v>
      </c>
      <c r="C19" s="114">
        <v>600</v>
      </c>
      <c r="D19" s="112">
        <f t="shared" si="1"/>
        <v>6018</v>
      </c>
      <c r="E19" s="189" t="s">
        <v>116</v>
      </c>
      <c r="F19" s="190"/>
      <c r="G19" s="94"/>
      <c r="H19" s="115" t="s">
        <v>117</v>
      </c>
      <c r="I19" s="116">
        <f>'Mall, Citadel, Rotana'!P2</f>
        <v>167701</v>
      </c>
      <c r="J19" s="116">
        <f>'Mall, Citadel, Rotana'!P32</f>
        <v>168421</v>
      </c>
      <c r="K19" s="93">
        <f>J19-I19</f>
        <v>720</v>
      </c>
    </row>
    <row r="20" spans="1:11" ht="13.5" thickBot="1" x14ac:dyDescent="0.25">
      <c r="A20" s="94"/>
      <c r="B20" s="100" t="s">
        <v>106</v>
      </c>
      <c r="C20" s="114">
        <v>600</v>
      </c>
      <c r="D20" s="112">
        <f t="shared" si="1"/>
        <v>6018</v>
      </c>
      <c r="E20" s="113"/>
      <c r="F20" s="94"/>
      <c r="G20" s="94"/>
      <c r="H20" s="115" t="s">
        <v>118</v>
      </c>
      <c r="I20" s="116">
        <f>'Mall, Citadel, Rotana'!R2</f>
        <v>55047</v>
      </c>
      <c r="J20" s="116">
        <f>'Mall, Citadel, Rotana'!R32</f>
        <v>55047</v>
      </c>
      <c r="K20" s="93">
        <f>J20-I20</f>
        <v>0</v>
      </c>
    </row>
    <row r="21" spans="1:11" ht="13.5" thickBot="1" x14ac:dyDescent="0.25">
      <c r="A21" s="94"/>
      <c r="B21" s="100" t="s">
        <v>92</v>
      </c>
      <c r="C21" s="114">
        <v>3000</v>
      </c>
      <c r="D21" s="112">
        <f t="shared" si="1"/>
        <v>30089.999999999996</v>
      </c>
      <c r="E21" s="113"/>
      <c r="F21" s="94"/>
      <c r="G21" s="94"/>
      <c r="H21" s="115" t="s">
        <v>13</v>
      </c>
      <c r="I21" s="116">
        <f>'Mall, Citadel, Rotana'!B2</f>
        <v>47509</v>
      </c>
      <c r="J21" s="116">
        <f>'Mall, Citadel, Rotana'!B32</f>
        <v>47537</v>
      </c>
      <c r="K21" s="93">
        <f>(J21-I21)*120</f>
        <v>3360</v>
      </c>
    </row>
    <row r="22" spans="1:11" ht="13.5" thickBot="1" x14ac:dyDescent="0.25">
      <c r="A22" s="94"/>
      <c r="B22" s="100" t="s">
        <v>119</v>
      </c>
      <c r="C22" s="112">
        <f>C14-(C15+C16+C17+C18+C19+C20+C21)</f>
        <v>-3978046.2039462002</v>
      </c>
      <c r="D22" s="112">
        <f t="shared" si="1"/>
        <v>-39899803.425580382</v>
      </c>
      <c r="E22" s="113"/>
      <c r="F22" s="94"/>
      <c r="G22" s="94"/>
      <c r="H22" s="115" t="s">
        <v>15</v>
      </c>
      <c r="I22" s="116">
        <f>'Mall, Citadel, Rotana'!D2</f>
        <v>40924</v>
      </c>
      <c r="J22" s="116">
        <f>'Mall, Citadel, Rotana'!D32</f>
        <v>40942</v>
      </c>
      <c r="K22" s="93">
        <f>(J22-I22)*160</f>
        <v>2880</v>
      </c>
    </row>
    <row r="23" spans="1:11" x14ac:dyDescent="0.2">
      <c r="A23" s="94"/>
      <c r="B23" s="94"/>
      <c r="C23" s="108"/>
      <c r="D23" s="117"/>
      <c r="E23" s="113"/>
      <c r="F23" s="94"/>
      <c r="G23" s="94"/>
      <c r="H23" s="115" t="s">
        <v>17</v>
      </c>
      <c r="I23" s="116">
        <f>'Mall, Citadel, Rotana'!F2</f>
        <v>22019</v>
      </c>
      <c r="J23" s="116">
        <f>'Mall, Citadel, Rotana'!F32</f>
        <v>22041</v>
      </c>
      <c r="K23" s="93">
        <f>(J23-I23)*20</f>
        <v>440</v>
      </c>
    </row>
    <row r="24" spans="1:11" x14ac:dyDescent="0.2">
      <c r="A24" s="94"/>
      <c r="B24" s="98" t="s">
        <v>120</v>
      </c>
      <c r="C24" s="108"/>
      <c r="D24" s="108"/>
      <c r="E24" s="108"/>
      <c r="F24" s="94"/>
      <c r="G24" s="94"/>
      <c r="H24" s="115" t="s">
        <v>18</v>
      </c>
      <c r="I24" s="116">
        <f>'Mall, Citadel, Rotana'!H2</f>
        <v>257970</v>
      </c>
      <c r="J24" s="116">
        <f>'Mall, Citadel, Rotana'!H32</f>
        <v>258124</v>
      </c>
      <c r="K24" s="93">
        <f>J24-I24</f>
        <v>154</v>
      </c>
    </row>
    <row r="25" spans="1:11" ht="13.5" thickBot="1" x14ac:dyDescent="0.25">
      <c r="A25" s="94"/>
      <c r="B25" s="94"/>
      <c r="C25" s="105" t="s">
        <v>112</v>
      </c>
      <c r="D25" s="105" t="s">
        <v>121</v>
      </c>
      <c r="E25" s="105"/>
      <c r="F25" s="94"/>
      <c r="G25" s="94"/>
      <c r="H25" s="115" t="s">
        <v>122</v>
      </c>
      <c r="I25" s="116">
        <f>'Mall, Citadel, Rotana'!N2</f>
        <v>226330</v>
      </c>
      <c r="J25" s="116">
        <f>'Mall, Citadel, Rotana'!N32</f>
        <v>226349</v>
      </c>
      <c r="K25" s="93">
        <f>J25-I25</f>
        <v>19</v>
      </c>
    </row>
    <row r="26" spans="1:11" ht="13.5" thickBot="1" x14ac:dyDescent="0.25">
      <c r="A26" s="94"/>
      <c r="B26" s="100" t="s">
        <v>42</v>
      </c>
      <c r="C26" s="118">
        <f>K35</f>
        <v>69268</v>
      </c>
      <c r="D26" s="104">
        <f>C26*3.65</f>
        <v>252828.19999999998</v>
      </c>
      <c r="E26" s="105"/>
      <c r="F26" s="94"/>
      <c r="G26" s="94"/>
      <c r="H26" s="115" t="s">
        <v>123</v>
      </c>
      <c r="I26" s="125">
        <f>ELECT.!C2</f>
        <v>20060</v>
      </c>
      <c r="J26" s="125">
        <f>ELECT.!C32</f>
        <v>0</v>
      </c>
      <c r="K26" s="93">
        <f>(J26-I26)*160</f>
        <v>-3209600</v>
      </c>
    </row>
    <row r="27" spans="1:11" ht="13.5" thickBot="1" x14ac:dyDescent="0.25">
      <c r="A27" s="94"/>
      <c r="B27" s="95" t="s">
        <v>124</v>
      </c>
      <c r="C27" s="118">
        <f>C26</f>
        <v>69268</v>
      </c>
      <c r="D27" s="104">
        <f>C27*3.65</f>
        <v>252828.19999999998</v>
      </c>
      <c r="E27" s="105"/>
      <c r="F27" s="94"/>
      <c r="G27" s="94"/>
      <c r="H27" s="98"/>
      <c r="I27" s="119"/>
      <c r="J27" s="94"/>
      <c r="K27" s="94"/>
    </row>
    <row r="28" spans="1:11" x14ac:dyDescent="0.2">
      <c r="A28" s="94"/>
      <c r="B28" s="94"/>
      <c r="C28" s="94"/>
      <c r="D28" s="94"/>
      <c r="E28" s="94"/>
      <c r="F28" s="94"/>
      <c r="G28" s="94"/>
      <c r="H28" s="98" t="s">
        <v>111</v>
      </c>
      <c r="I28" s="119"/>
      <c r="J28" s="94"/>
      <c r="K28" s="94"/>
    </row>
    <row r="29" spans="1:11" x14ac:dyDescent="0.2">
      <c r="A29" s="94"/>
      <c r="B29" s="94"/>
      <c r="C29" s="94"/>
      <c r="D29" s="94"/>
      <c r="E29" s="94"/>
      <c r="F29" s="94"/>
      <c r="G29" s="94" t="s">
        <v>12</v>
      </c>
      <c r="H29" s="115" t="s">
        <v>24</v>
      </c>
      <c r="I29" s="116">
        <f>Water!B2</f>
        <v>459795</v>
      </c>
      <c r="J29" s="116">
        <f>Water!B32</f>
        <v>0</v>
      </c>
      <c r="K29" s="93">
        <f>(J29-I29)*10</f>
        <v>-4597950</v>
      </c>
    </row>
    <row r="30" spans="1:11" x14ac:dyDescent="0.2">
      <c r="A30" s="94"/>
      <c r="B30" s="94"/>
      <c r="C30" s="94"/>
      <c r="D30" s="94"/>
      <c r="E30" s="94"/>
      <c r="F30" s="94"/>
      <c r="G30" s="94"/>
      <c r="H30" s="115" t="s">
        <v>125</v>
      </c>
      <c r="I30" s="116">
        <f>Water!H2</f>
        <v>808267</v>
      </c>
      <c r="J30" s="116">
        <f>Water!H32</f>
        <v>0</v>
      </c>
      <c r="K30" s="93">
        <f>(J30-I30)*0.027</f>
        <v>-21823.208999999999</v>
      </c>
    </row>
    <row r="31" spans="1:11" x14ac:dyDescent="0.2">
      <c r="A31" s="94"/>
      <c r="B31" s="94"/>
      <c r="C31" s="94"/>
      <c r="D31" s="94"/>
      <c r="E31" s="94"/>
      <c r="F31" s="94"/>
      <c r="G31" s="94"/>
      <c r="H31" s="115" t="s">
        <v>126</v>
      </c>
      <c r="I31" s="116">
        <f>Water!D2</f>
        <v>12991</v>
      </c>
      <c r="J31" s="116">
        <f>Water!D32</f>
        <v>0</v>
      </c>
      <c r="K31" s="93">
        <f>(J31-I31)*0.027</f>
        <v>-350.75700000000001</v>
      </c>
    </row>
    <row r="32" spans="1:11" x14ac:dyDescent="0.2">
      <c r="A32" s="94"/>
      <c r="B32" s="94"/>
      <c r="C32" s="94"/>
      <c r="D32" s="94"/>
      <c r="E32" s="94"/>
      <c r="F32" s="94"/>
      <c r="G32" s="94"/>
      <c r="H32" s="115" t="s">
        <v>127</v>
      </c>
      <c r="I32" s="116">
        <f>Water!F2</f>
        <v>11222500</v>
      </c>
      <c r="J32" s="116">
        <f>Water!F32</f>
        <v>0</v>
      </c>
      <c r="K32" s="93">
        <f>(J32-I32)*0.027</f>
        <v>-303007.5</v>
      </c>
    </row>
    <row r="33" spans="1:11" x14ac:dyDescent="0.2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</row>
    <row r="34" spans="1:11" x14ac:dyDescent="0.2">
      <c r="A34" s="120"/>
      <c r="B34" s="120"/>
      <c r="C34" s="120"/>
      <c r="D34" s="120"/>
      <c r="E34" s="120"/>
      <c r="F34" s="120"/>
      <c r="G34" s="120"/>
      <c r="H34" s="120" t="s">
        <v>120</v>
      </c>
      <c r="I34" s="120"/>
      <c r="J34" s="120"/>
      <c r="K34" s="120"/>
    </row>
    <row r="35" spans="1:11" x14ac:dyDescent="0.2">
      <c r="A35" s="120"/>
      <c r="B35" s="120"/>
      <c r="C35" s="120"/>
      <c r="D35" s="120"/>
      <c r="E35" s="120"/>
      <c r="F35" s="120"/>
      <c r="G35" s="121"/>
      <c r="H35" s="122" t="s">
        <v>42</v>
      </c>
      <c r="I35" s="123">
        <f>Gas!B2</f>
        <v>18421000</v>
      </c>
      <c r="J35" s="135">
        <f>Gas!B32</f>
        <v>18490268</v>
      </c>
      <c r="K35" s="124">
        <f>J35-I35</f>
        <v>69268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2022-04-01T09:07:25Z</cp:lastPrinted>
  <dcterms:created xsi:type="dcterms:W3CDTF">2017-07-31T14:40:49Z</dcterms:created>
  <dcterms:modified xsi:type="dcterms:W3CDTF">2022-09-07T01:10:07Z</dcterms:modified>
</cp:coreProperties>
</file>