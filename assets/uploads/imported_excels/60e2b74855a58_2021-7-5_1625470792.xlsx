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 defaultThemeVersion="124226"/>
  <xr:revisionPtr revIDLastSave="0" documentId="13_ncr:1_{41F1FC0D-7480-40EA-AB69-292609A38E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8" l="1"/>
  <c r="J12" i="2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<sst xmlns="http://schemas.openxmlformats.org/spreadsheetml/2006/main" count="201" uniqueCount="128">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</sst>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-420700</c:v>
                </c:pt>
                <c:pt idx="1">
                  <c:v>-2380799.9999999995</c:v>
                </c:pt>
                <c:pt idx="2">
                  <c:v>-229580</c:v>
                </c:pt>
                <c:pt idx="3">
                  <c:v>-891160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-52942</c:v>
                </c:pt>
                <c:pt idx="1">
                  <c:v>0.17797724101995194</c:v>
                </c:pt>
                <c:pt idx="2" formatCode="_(* #,##0.00_);_(* \(#,##0.00\);_(* &quot;-&quot;??_);_(@_)">
                  <c:v>-202425.5</c:v>
                </c:pt>
                <c:pt idx="3">
                  <c:v>0.68050190778747077</c:v>
                </c:pt>
                <c:pt idx="4" formatCode="0.00">
                  <c:v>-27014</c:v>
                </c:pt>
                <c:pt idx="5">
                  <c:v>9.0814045349873099E-2</c:v>
                </c:pt>
                <c:pt idx="6" formatCode="0.00">
                  <c:v>-36614</c:v>
                </c:pt>
                <c:pt idx="7">
                  <c:v>0.12308674970164557</c:v>
                </c:pt>
                <c:pt idx="8" formatCode="0.00">
                  <c:v>-6229</c:v>
                </c:pt>
                <c:pt idx="9">
                  <c:v>2.0940278688249037E-2</c:v>
                </c:pt>
                <c:pt idx="10" formatCode="0.00">
                  <c:v>-641.5</c:v>
                </c:pt>
                <c:pt idx="11">
                  <c:v>2.1565562335064629E-3</c:v>
                </c:pt>
                <c:pt idx="12" formatCode="0.00">
                  <c:v>-66928</c:v>
                </c:pt>
                <c:pt idx="13">
                  <c:v>0.22499453717244045</c:v>
                </c:pt>
                <c:pt idx="14" formatCode="_(* #,##0.00_);_(* \(#,##0.00\);_(* &quot;-&quot;??_);_(@_)">
                  <c:v>-247852</c:v>
                </c:pt>
                <c:pt idx="15">
                  <c:v>0.83321399156203246</c:v>
                </c:pt>
                <c:pt idx="16" formatCode="0.00">
                  <c:v>-111641</c:v>
                </c:pt>
                <c:pt idx="17">
                  <c:v>0.3753080194308574</c:v>
                </c:pt>
                <c:pt idx="18" formatCode="0.00">
                  <c:v>-20282</c:v>
                </c:pt>
                <c:pt idx="19">
                  <c:v>6.8182811423192644E-2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1204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-297465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-772569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319168"/>
        <c:axId val="179320704"/>
      </c:barChart>
      <c:catAx>
        <c:axId val="179319168"/>
        <c:scaling>
          <c:orientation val="minMax"/>
        </c:scaling>
        <c:delete val="1"/>
        <c:axPos val="b"/>
        <c:majorTickMark val="none"/>
        <c:minorTickMark val="none"/>
        <c:tickLblPos val="nextTo"/>
        <c:crossAx val="179320704"/>
        <c:crosses val="autoZero"/>
        <c:auto val="1"/>
        <c:lblAlgn val="ctr"/>
        <c:lblOffset val="100"/>
        <c:noMultiLvlLbl val="0"/>
      </c:catAx>
      <c:valAx>
        <c:axId val="179320704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793191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I2" sqref="I2:I5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7</v>
      </c>
      <c r="D2" s="46">
        <v>2021</v>
      </c>
      <c r="E2" s="107">
        <v>22320.000000000167</v>
      </c>
      <c r="F2" s="48">
        <v>0.14000000000000001</v>
      </c>
      <c r="G2" s="107">
        <v>5978</v>
      </c>
      <c r="H2" s="48">
        <v>0.45</v>
      </c>
      <c r="I2" s="65">
        <v>227</v>
      </c>
      <c r="J2" s="76">
        <v>0.4</v>
      </c>
      <c r="K2" s="108"/>
      <c r="L2" s="76"/>
      <c r="M2" s="72">
        <v>13</v>
      </c>
      <c r="N2" s="72">
        <v>35</v>
      </c>
      <c r="O2" s="72">
        <v>77</v>
      </c>
    </row>
    <row r="3" spans="1:15" ht="15" x14ac:dyDescent="0.25">
      <c r="A3" s="45" t="s">
        <v>9</v>
      </c>
      <c r="B3" s="46">
        <f>B2+1</f>
        <v>2</v>
      </c>
      <c r="C3" s="47">
        <v>7</v>
      </c>
      <c r="D3" s="46">
        <v>2021</v>
      </c>
      <c r="E3" s="107">
        <v>22910.000000000306</v>
      </c>
      <c r="F3" s="48">
        <v>0.14000000000000001</v>
      </c>
      <c r="G3" s="107">
        <v>6232</v>
      </c>
      <c r="H3" s="48">
        <v>0.45</v>
      </c>
      <c r="I3" s="65">
        <v>247</v>
      </c>
      <c r="J3" s="76">
        <v>0.4</v>
      </c>
      <c r="K3" s="108"/>
      <c r="L3" s="76"/>
      <c r="M3" s="72">
        <v>13</v>
      </c>
      <c r="N3" s="72">
        <v>35</v>
      </c>
      <c r="O3" s="72">
        <v>96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7</v>
      </c>
      <c r="D4" s="46">
        <v>2021</v>
      </c>
      <c r="E4" s="107">
        <v>23560.000000001084</v>
      </c>
      <c r="F4" s="48">
        <v>0.14000000000000001</v>
      </c>
      <c r="G4" s="107">
        <v>6371</v>
      </c>
      <c r="H4" s="48">
        <v>0.45</v>
      </c>
      <c r="I4" s="65">
        <v>242</v>
      </c>
      <c r="J4" s="76">
        <v>0.4</v>
      </c>
      <c r="K4" s="108"/>
      <c r="L4" s="76"/>
      <c r="M4" s="72">
        <v>13</v>
      </c>
      <c r="N4" s="72">
        <v>35</v>
      </c>
      <c r="O4" s="72">
        <v>93</v>
      </c>
    </row>
    <row r="5" spans="1:15" ht="15" x14ac:dyDescent="0.25">
      <c r="A5" s="45" t="s">
        <v>9</v>
      </c>
      <c r="B5" s="46">
        <f t="shared" si="0"/>
        <v>4</v>
      </c>
      <c r="C5" s="47">
        <v>7</v>
      </c>
      <c r="D5" s="46">
        <v>2021</v>
      </c>
      <c r="E5" s="107">
        <v>23199.999999998683</v>
      </c>
      <c r="F5" s="48">
        <v>0.14000000000000001</v>
      </c>
      <c r="G5" s="107">
        <v>6318</v>
      </c>
      <c r="H5" s="48">
        <v>0.45</v>
      </c>
      <c r="I5" s="65">
        <v>246</v>
      </c>
      <c r="J5" s="76">
        <v>0.4</v>
      </c>
      <c r="K5" s="108"/>
      <c r="L5" s="76"/>
      <c r="M5" s="72">
        <v>13</v>
      </c>
      <c r="N5" s="72">
        <v>33</v>
      </c>
      <c r="O5" s="72">
        <v>80</v>
      </c>
    </row>
    <row r="6" spans="1:15" ht="15" x14ac:dyDescent="0.25">
      <c r="A6" s="45" t="s">
        <v>9</v>
      </c>
      <c r="B6" s="46">
        <f t="shared" si="0"/>
        <v>5</v>
      </c>
      <c r="C6" s="47">
        <v>7</v>
      </c>
      <c r="D6" s="46">
        <v>2021</v>
      </c>
      <c r="E6" s="107"/>
      <c r="F6" s="48">
        <v>0.14000000000000001</v>
      </c>
      <c r="G6" s="107"/>
      <c r="H6" s="48">
        <v>0.45</v>
      </c>
      <c r="I6" s="65"/>
      <c r="J6" s="76">
        <v>0.4</v>
      </c>
      <c r="K6" s="108"/>
      <c r="L6" s="76"/>
      <c r="M6" s="72"/>
      <c r="N6" s="72"/>
      <c r="O6" s="72"/>
    </row>
    <row r="7" spans="1:15" ht="15" x14ac:dyDescent="0.25">
      <c r="A7" s="45" t="s">
        <v>9</v>
      </c>
      <c r="B7" s="46">
        <f t="shared" si="0"/>
        <v>6</v>
      </c>
      <c r="C7" s="47">
        <v>7</v>
      </c>
      <c r="D7" s="46">
        <v>2021</v>
      </c>
      <c r="E7" s="107"/>
      <c r="F7" s="48">
        <v>0.14000000000000001</v>
      </c>
      <c r="G7" s="107"/>
      <c r="H7" s="48">
        <v>0.45</v>
      </c>
      <c r="I7" s="65"/>
      <c r="J7" s="76">
        <v>0.4</v>
      </c>
      <c r="K7" s="108"/>
      <c r="L7" s="76"/>
      <c r="M7" s="72"/>
      <c r="N7" s="72"/>
      <c r="O7" s="72"/>
    </row>
    <row r="8" spans="1:15" ht="15" x14ac:dyDescent="0.25">
      <c r="A8" s="45" t="s">
        <v>9</v>
      </c>
      <c r="B8" s="46">
        <f t="shared" si="0"/>
        <v>7</v>
      </c>
      <c r="C8" s="47">
        <v>7</v>
      </c>
      <c r="D8" s="46">
        <v>2021</v>
      </c>
      <c r="E8" s="107"/>
      <c r="F8" s="48">
        <v>0.14000000000000001</v>
      </c>
      <c r="G8" s="107"/>
      <c r="H8" s="48">
        <v>0.45</v>
      </c>
      <c r="I8" s="65"/>
      <c r="J8" s="76">
        <v>0.4</v>
      </c>
      <c r="K8" s="108"/>
      <c r="L8" s="76"/>
      <c r="M8" s="72"/>
      <c r="N8" s="72"/>
      <c r="O8" s="72"/>
    </row>
    <row r="9" spans="1:15" ht="15" x14ac:dyDescent="0.25">
      <c r="A9" s="45" t="s">
        <v>9</v>
      </c>
      <c r="B9" s="46">
        <f t="shared" si="0"/>
        <v>8</v>
      </c>
      <c r="C9" s="47">
        <v>7</v>
      </c>
      <c r="D9" s="46">
        <v>2021</v>
      </c>
      <c r="E9" s="107"/>
      <c r="F9" s="48">
        <v>0.14000000000000001</v>
      </c>
      <c r="G9" s="107"/>
      <c r="H9" s="48">
        <v>0.45</v>
      </c>
      <c r="I9" s="65"/>
      <c r="J9" s="76">
        <v>0.4</v>
      </c>
      <c r="K9" s="108"/>
      <c r="L9" s="76"/>
      <c r="M9" s="72"/>
      <c r="N9" s="72"/>
      <c r="O9" s="72"/>
    </row>
    <row r="10" spans="1:15" ht="15" x14ac:dyDescent="0.25">
      <c r="A10" s="45" t="s">
        <v>9</v>
      </c>
      <c r="B10" s="46">
        <f t="shared" si="0"/>
        <v>9</v>
      </c>
      <c r="C10" s="47">
        <v>7</v>
      </c>
      <c r="D10" s="46">
        <v>2021</v>
      </c>
      <c r="E10" s="107"/>
      <c r="F10" s="48">
        <v>0.14000000000000001</v>
      </c>
      <c r="G10" s="107"/>
      <c r="H10" s="48">
        <v>0.45</v>
      </c>
      <c r="I10" s="65"/>
      <c r="J10" s="76">
        <v>0.4</v>
      </c>
      <c r="K10" s="108"/>
      <c r="L10" s="76"/>
      <c r="M10" s="72"/>
      <c r="N10" s="72"/>
      <c r="O10" s="72"/>
    </row>
    <row r="11" spans="1:15" ht="15" x14ac:dyDescent="0.25">
      <c r="A11" s="45" t="s">
        <v>9</v>
      </c>
      <c r="B11" s="46">
        <f t="shared" si="0"/>
        <v>10</v>
      </c>
      <c r="C11" s="47">
        <v>7</v>
      </c>
      <c r="D11" s="46">
        <v>2021</v>
      </c>
      <c r="E11" s="107"/>
      <c r="F11" s="48">
        <v>0.14000000000000001</v>
      </c>
      <c r="G11" s="107"/>
      <c r="H11" s="48">
        <v>0.45</v>
      </c>
      <c r="I11" s="65"/>
      <c r="J11" s="76">
        <v>0.4</v>
      </c>
      <c r="K11" s="108"/>
      <c r="L11" s="76"/>
      <c r="M11" s="72"/>
      <c r="N11" s="72"/>
      <c r="O11" s="72"/>
    </row>
    <row r="12" spans="1:15" ht="15" x14ac:dyDescent="0.25">
      <c r="A12" s="45" t="s">
        <v>9</v>
      </c>
      <c r="B12" s="46">
        <f t="shared" si="0"/>
        <v>11</v>
      </c>
      <c r="C12" s="47">
        <v>7</v>
      </c>
      <c r="D12" s="46">
        <v>2021</v>
      </c>
      <c r="E12" s="107"/>
      <c r="F12" s="48">
        <v>0.14000000000000001</v>
      </c>
      <c r="G12" s="107"/>
      <c r="H12" s="48">
        <v>0.45</v>
      </c>
      <c r="I12" s="65"/>
      <c r="J12" s="76">
        <v>0.4</v>
      </c>
      <c r="K12" s="108"/>
      <c r="L12" s="76"/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7</v>
      </c>
      <c r="D13" s="46">
        <v>2021</v>
      </c>
      <c r="E13" s="107"/>
      <c r="F13" s="48">
        <v>0.14000000000000001</v>
      </c>
      <c r="G13" s="107"/>
      <c r="H13" s="48">
        <v>0.45</v>
      </c>
      <c r="I13" s="65"/>
      <c r="J13" s="76">
        <v>0.4</v>
      </c>
      <c r="K13" s="108"/>
      <c r="L13" s="76"/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7</v>
      </c>
      <c r="D14" s="46">
        <v>2021</v>
      </c>
      <c r="E14" s="107"/>
      <c r="F14" s="48">
        <v>0.14000000000000001</v>
      </c>
      <c r="G14" s="107"/>
      <c r="H14" s="48">
        <v>0.45</v>
      </c>
      <c r="I14" s="65"/>
      <c r="J14" s="76">
        <v>0.4</v>
      </c>
      <c r="K14" s="108"/>
      <c r="L14" s="76"/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7</v>
      </c>
      <c r="D15" s="46">
        <v>2021</v>
      </c>
      <c r="E15" s="107"/>
      <c r="F15" s="48">
        <v>0.14000000000000001</v>
      </c>
      <c r="G15" s="107"/>
      <c r="H15" s="48">
        <v>0.45</v>
      </c>
      <c r="I15" s="65"/>
      <c r="J15" s="76">
        <v>0.4</v>
      </c>
      <c r="K15" s="108"/>
      <c r="L15" s="76"/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7</v>
      </c>
      <c r="D16" s="46">
        <v>2021</v>
      </c>
      <c r="E16" s="107"/>
      <c r="F16" s="48">
        <v>0.14000000000000001</v>
      </c>
      <c r="G16" s="107"/>
      <c r="H16" s="48">
        <v>0.45</v>
      </c>
      <c r="I16" s="65"/>
      <c r="J16" s="76">
        <v>0.4</v>
      </c>
      <c r="K16" s="108"/>
      <c r="L16" s="76"/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7</v>
      </c>
      <c r="D17" s="46">
        <v>2021</v>
      </c>
      <c r="E17" s="107"/>
      <c r="F17" s="48">
        <v>0.14000000000000001</v>
      </c>
      <c r="G17" s="107"/>
      <c r="H17" s="48">
        <v>0.45</v>
      </c>
      <c r="I17" s="65"/>
      <c r="J17" s="76">
        <v>0.4</v>
      </c>
      <c r="K17" s="108"/>
      <c r="L17" s="76"/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7</v>
      </c>
      <c r="D18" s="46">
        <v>2021</v>
      </c>
      <c r="E18" s="107"/>
      <c r="F18" s="48">
        <v>0.14000000000000001</v>
      </c>
      <c r="G18" s="107"/>
      <c r="H18" s="48">
        <v>0.45</v>
      </c>
      <c r="I18" s="65"/>
      <c r="J18" s="76">
        <v>0.4</v>
      </c>
      <c r="K18" s="108"/>
      <c r="L18" s="76"/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7</v>
      </c>
      <c r="D19" s="46">
        <v>2021</v>
      </c>
      <c r="E19" s="107"/>
      <c r="F19" s="48">
        <v>0.14000000000000001</v>
      </c>
      <c r="G19" s="107"/>
      <c r="H19" s="48">
        <v>0.45</v>
      </c>
      <c r="I19" s="65"/>
      <c r="J19" s="76">
        <v>0.4</v>
      </c>
      <c r="K19" s="108"/>
      <c r="L19" s="76"/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7</v>
      </c>
      <c r="D20" s="46">
        <v>2021</v>
      </c>
      <c r="E20" s="107"/>
      <c r="F20" s="48">
        <v>0.14000000000000001</v>
      </c>
      <c r="G20" s="107"/>
      <c r="H20" s="48">
        <v>0.45</v>
      </c>
      <c r="I20" s="65"/>
      <c r="J20" s="76">
        <v>0.4</v>
      </c>
      <c r="K20" s="108"/>
      <c r="L20" s="76"/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7</v>
      </c>
      <c r="D21" s="46">
        <v>2021</v>
      </c>
      <c r="E21" s="107"/>
      <c r="F21" s="48">
        <v>0.14000000000000001</v>
      </c>
      <c r="G21" s="107"/>
      <c r="H21" s="48">
        <v>0.45</v>
      </c>
      <c r="I21" s="65"/>
      <c r="J21" s="76">
        <v>0.4</v>
      </c>
      <c r="K21" s="108"/>
      <c r="L21" s="76"/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7</v>
      </c>
      <c r="D22" s="46">
        <v>2021</v>
      </c>
      <c r="E22" s="107"/>
      <c r="F22" s="48">
        <v>0.14000000000000001</v>
      </c>
      <c r="G22" s="107"/>
      <c r="H22" s="48">
        <v>0.45</v>
      </c>
      <c r="I22" s="65"/>
      <c r="J22" s="76">
        <v>0.4</v>
      </c>
      <c r="K22" s="108"/>
      <c r="L22" s="76"/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7</v>
      </c>
      <c r="D23" s="46">
        <v>2021</v>
      </c>
      <c r="E23" s="107"/>
      <c r="F23" s="48">
        <v>0.14000000000000001</v>
      </c>
      <c r="G23" s="107"/>
      <c r="H23" s="48">
        <v>0.45</v>
      </c>
      <c r="I23" s="65"/>
      <c r="J23" s="76">
        <v>0.4</v>
      </c>
      <c r="K23" s="108"/>
      <c r="L23" s="76"/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7</v>
      </c>
      <c r="D24" s="46">
        <v>2021</v>
      </c>
      <c r="E24" s="107"/>
      <c r="F24" s="48">
        <v>0.14000000000000001</v>
      </c>
      <c r="G24" s="107"/>
      <c r="H24" s="48">
        <v>0.45</v>
      </c>
      <c r="I24" s="65"/>
      <c r="J24" s="76">
        <v>0.4</v>
      </c>
      <c r="K24" s="108"/>
      <c r="L24" s="76"/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7</v>
      </c>
      <c r="D25" s="46">
        <v>2021</v>
      </c>
      <c r="E25" s="107"/>
      <c r="F25" s="48">
        <v>0.14000000000000001</v>
      </c>
      <c r="G25" s="107"/>
      <c r="H25" s="48">
        <v>0.45</v>
      </c>
      <c r="I25" s="65"/>
      <c r="J25" s="76">
        <v>0.4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7</v>
      </c>
      <c r="D26" s="46">
        <v>2021</v>
      </c>
      <c r="E26" s="107"/>
      <c r="F26" s="48">
        <v>0.14000000000000001</v>
      </c>
      <c r="G26" s="107"/>
      <c r="H26" s="48">
        <v>0.45</v>
      </c>
      <c r="I26" s="65"/>
      <c r="J26" s="76">
        <v>0.4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7</v>
      </c>
      <c r="D27" s="46">
        <v>2021</v>
      </c>
      <c r="E27" s="107"/>
      <c r="F27" s="48">
        <v>0.14000000000000001</v>
      </c>
      <c r="G27" s="107"/>
      <c r="H27" s="48">
        <v>0.45</v>
      </c>
      <c r="I27" s="65"/>
      <c r="J27" s="76">
        <v>0.4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7</v>
      </c>
      <c r="D28" s="46">
        <v>2021</v>
      </c>
      <c r="E28" s="107"/>
      <c r="F28" s="48">
        <v>0.14000000000000001</v>
      </c>
      <c r="G28" s="107"/>
      <c r="H28" s="48">
        <v>0.45</v>
      </c>
      <c r="I28" s="65"/>
      <c r="J28" s="76">
        <v>0.4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7</v>
      </c>
      <c r="D29" s="46">
        <v>2021</v>
      </c>
      <c r="E29" s="107"/>
      <c r="F29" s="48">
        <v>0.14000000000000001</v>
      </c>
      <c r="G29" s="107"/>
      <c r="H29" s="48">
        <v>0.45</v>
      </c>
      <c r="I29" s="65"/>
      <c r="J29" s="76">
        <v>0.4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7</v>
      </c>
      <c r="D30" s="46">
        <v>2021</v>
      </c>
      <c r="E30" s="107"/>
      <c r="F30" s="48">
        <v>0.14000000000000001</v>
      </c>
      <c r="G30" s="107"/>
      <c r="H30" s="48">
        <v>0.45</v>
      </c>
      <c r="I30" s="65"/>
      <c r="J30" s="76">
        <v>0.4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7</v>
      </c>
      <c r="D31" s="46">
        <v>2021</v>
      </c>
      <c r="E31" s="107"/>
      <c r="F31" s="48">
        <v>0.14000000000000001</v>
      </c>
      <c r="G31" s="107"/>
      <c r="H31" s="48">
        <v>0.45</v>
      </c>
      <c r="I31" s="65"/>
      <c r="J31" s="76">
        <v>0.4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7</v>
      </c>
      <c r="D32" s="46">
        <v>2021</v>
      </c>
      <c r="E32" s="107"/>
      <c r="F32" s="48">
        <v>0.14000000000000001</v>
      </c>
      <c r="G32" s="107"/>
      <c r="H32" s="48">
        <v>0.45</v>
      </c>
      <c r="I32" s="65"/>
      <c r="J32" s="76">
        <v>0.4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91990.000000000233</v>
      </c>
      <c r="F33" s="104">
        <v>0</v>
      </c>
      <c r="G33" s="101">
        <f>SUM(G2:G32)</f>
        <v>24899</v>
      </c>
      <c r="H33" s="102">
        <v>0</v>
      </c>
      <c r="I33" s="103">
        <f>SUM(I2:I32)</f>
        <v>962</v>
      </c>
      <c r="J33" s="104">
        <v>0</v>
      </c>
      <c r="K33" s="105">
        <v>0</v>
      </c>
      <c r="L33" s="102">
        <v>0</v>
      </c>
      <c r="M33" s="106">
        <f t="shared" ref="M33:O33" si="1">SUM(M2:M32)</f>
        <v>52</v>
      </c>
      <c r="N33" s="106">
        <f t="shared" si="1"/>
        <v>138</v>
      </c>
      <c r="O33" s="106">
        <f t="shared" si="1"/>
        <v>346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T8" sqref="T8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11</v>
      </c>
      <c r="C2" s="120" t="s">
        <v>12</v>
      </c>
      <c r="D2" s="120" t="s">
        <v>13</v>
      </c>
      <c r="E2" s="120" t="s">
        <v>14</v>
      </c>
      <c r="F2" s="120" t="s">
        <v>15</v>
      </c>
      <c r="G2" s="115" t="s">
        <v>16</v>
      </c>
      <c r="H2" s="117" t="s">
        <v>17</v>
      </c>
      <c r="I2" s="120" t="s">
        <v>18</v>
      </c>
      <c r="J2" s="122" t="s">
        <v>19</v>
      </c>
      <c r="K2" s="123"/>
      <c r="L2" s="124"/>
      <c r="M2" s="115" t="s">
        <v>20</v>
      </c>
      <c r="N2" s="117" t="s">
        <v>21</v>
      </c>
      <c r="O2" s="118" t="s">
        <v>22</v>
      </c>
      <c r="P2" s="117" t="s">
        <v>23</v>
      </c>
      <c r="Q2" s="125" t="s">
        <v>24</v>
      </c>
      <c r="R2" s="120" t="s">
        <v>25</v>
      </c>
      <c r="S2" s="120" t="s">
        <v>26</v>
      </c>
      <c r="T2" s="120" t="s">
        <v>27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44378</v>
      </c>
      <c r="B4" s="1">
        <v>981.18</v>
      </c>
      <c r="C4" s="1">
        <v>229.58</v>
      </c>
      <c r="D4" s="1">
        <v>7480564.5499999998</v>
      </c>
      <c r="E4" s="1">
        <v>8184646.8899999997</v>
      </c>
      <c r="F4" s="1">
        <v>2.3807999999999998</v>
      </c>
      <c r="G4" s="1">
        <v>746.17</v>
      </c>
      <c r="H4" s="1">
        <v>622.15</v>
      </c>
      <c r="I4" s="1">
        <v>236.04</v>
      </c>
      <c r="J4" s="1">
        <v>316.45999999999998</v>
      </c>
      <c r="K4" s="1">
        <v>340.8</v>
      </c>
      <c r="L4" s="1">
        <v>233.9</v>
      </c>
      <c r="M4" s="1">
        <v>518.45000000000005</v>
      </c>
      <c r="N4" s="1">
        <v>472.62</v>
      </c>
      <c r="O4" s="1">
        <v>151.38</v>
      </c>
      <c r="P4" s="1">
        <v>618.58000000000004</v>
      </c>
      <c r="Q4" s="1">
        <v>461.07</v>
      </c>
      <c r="R4" s="1">
        <v>157.72999999999999</v>
      </c>
      <c r="S4" s="1">
        <v>115.16</v>
      </c>
      <c r="T4" s="1">
        <v>420.7</v>
      </c>
      <c r="V4" s="71">
        <v>13</v>
      </c>
      <c r="W4" s="71">
        <v>35</v>
      </c>
      <c r="X4" s="71">
        <v>77</v>
      </c>
      <c r="Y4" s="17"/>
    </row>
    <row r="5" spans="1:25" ht="21" customHeight="1" x14ac:dyDescent="0.25">
      <c r="A5" s="8">
        <v>44379</v>
      </c>
      <c r="B5" s="1">
        <v>982.55</v>
      </c>
      <c r="C5" s="1">
        <v>229.79</v>
      </c>
      <c r="D5" s="1">
        <v>7483077.2300000004</v>
      </c>
      <c r="E5" s="1">
        <v>8187637.04</v>
      </c>
      <c r="F5" s="1">
        <v>2.3832</v>
      </c>
      <c r="G5" s="1">
        <v>746.9</v>
      </c>
      <c r="H5" s="1">
        <v>622.69000000000005</v>
      </c>
      <c r="I5" s="1">
        <v>236.36</v>
      </c>
      <c r="J5" s="1">
        <v>316.61</v>
      </c>
      <c r="K5" s="1">
        <v>341.07</v>
      </c>
      <c r="L5" s="1">
        <v>234.09</v>
      </c>
      <c r="M5" s="1">
        <v>519.27</v>
      </c>
      <c r="N5" s="1">
        <v>473.37</v>
      </c>
      <c r="O5" s="1">
        <v>151.61000000000001</v>
      </c>
      <c r="P5" s="1">
        <v>619.73</v>
      </c>
      <c r="Q5" s="1">
        <v>462.35</v>
      </c>
      <c r="R5" s="1">
        <v>158.04</v>
      </c>
      <c r="S5" s="1">
        <v>115.28</v>
      </c>
      <c r="T5" s="1">
        <v>421.21</v>
      </c>
      <c r="V5" s="71">
        <v>13</v>
      </c>
      <c r="W5" s="71">
        <v>35</v>
      </c>
      <c r="X5" s="71">
        <v>96</v>
      </c>
      <c r="Y5" s="17"/>
    </row>
    <row r="6" spans="1:25" ht="21" customHeight="1" x14ac:dyDescent="0.25">
      <c r="A6" s="8">
        <v>44380</v>
      </c>
      <c r="B6" s="1">
        <v>983.87</v>
      </c>
      <c r="C6" s="1">
        <v>230.03</v>
      </c>
      <c r="D6" s="1">
        <v>7485662.1799999997</v>
      </c>
      <c r="E6" s="1">
        <v>8190690.1500000004</v>
      </c>
      <c r="F6" s="1">
        <v>2.3856000000000002</v>
      </c>
      <c r="G6" s="1">
        <v>747.62</v>
      </c>
      <c r="H6" s="1">
        <v>623.16999999999996</v>
      </c>
      <c r="I6" s="1">
        <v>236.68</v>
      </c>
      <c r="J6" s="1">
        <v>316.79000000000002</v>
      </c>
      <c r="K6" s="1">
        <v>341.29</v>
      </c>
      <c r="L6" s="1">
        <v>234.25</v>
      </c>
      <c r="M6" s="1">
        <v>520.1</v>
      </c>
      <c r="N6" s="1">
        <v>474.11</v>
      </c>
      <c r="O6" s="1">
        <v>151.84</v>
      </c>
      <c r="P6" s="1">
        <v>620.89</v>
      </c>
      <c r="Q6" s="1">
        <v>463.01</v>
      </c>
      <c r="R6" s="1">
        <v>158.35</v>
      </c>
      <c r="S6" s="1">
        <v>115.39</v>
      </c>
      <c r="T6" s="1">
        <v>421.48</v>
      </c>
      <c r="V6" s="71">
        <v>13</v>
      </c>
      <c r="W6" s="71">
        <v>35</v>
      </c>
      <c r="X6" s="71">
        <v>93</v>
      </c>
      <c r="Y6" s="17"/>
    </row>
    <row r="7" spans="1:25" ht="21" customHeight="1" x14ac:dyDescent="0.25">
      <c r="A7" s="8">
        <v>44381</v>
      </c>
      <c r="B7" s="1">
        <v>985.21</v>
      </c>
      <c r="C7" s="1">
        <v>230.23</v>
      </c>
      <c r="D7" s="109">
        <v>7488305.2999999998</v>
      </c>
      <c r="E7" s="1">
        <v>8194197.5899999999</v>
      </c>
      <c r="F7" s="1">
        <v>2.3879999999999999</v>
      </c>
      <c r="G7" s="1">
        <v>748.38</v>
      </c>
      <c r="H7" s="1">
        <v>623.65</v>
      </c>
      <c r="I7" s="1">
        <v>237.03</v>
      </c>
      <c r="J7" s="1">
        <v>316.97000000000003</v>
      </c>
      <c r="K7" s="1">
        <v>341.54</v>
      </c>
      <c r="L7" s="1">
        <v>234.45</v>
      </c>
      <c r="M7" s="1">
        <v>520.84</v>
      </c>
      <c r="N7" s="1">
        <v>474.93</v>
      </c>
      <c r="O7" s="1">
        <v>152.07</v>
      </c>
      <c r="P7" s="1">
        <v>622.04999999999995</v>
      </c>
      <c r="Q7" s="1">
        <v>463.7</v>
      </c>
      <c r="R7" s="1">
        <v>158.51</v>
      </c>
      <c r="S7" s="1">
        <v>115.51</v>
      </c>
      <c r="T7" s="1">
        <v>421.94</v>
      </c>
      <c r="V7" s="71">
        <v>13</v>
      </c>
      <c r="W7" s="71">
        <v>33</v>
      </c>
      <c r="X7" s="71">
        <v>80</v>
      </c>
      <c r="Y7" s="17"/>
    </row>
    <row r="8" spans="1:25" ht="21" customHeight="1" x14ac:dyDescent="0.25">
      <c r="A8" s="8">
        <v>44382</v>
      </c>
      <c r="B8" s="1">
        <v>986.51</v>
      </c>
      <c r="C8" s="1">
        <v>230.46</v>
      </c>
      <c r="D8" s="1">
        <v>7490619.0199999996</v>
      </c>
      <c r="E8" s="1">
        <v>8197454.9299999997</v>
      </c>
      <c r="F8" s="1">
        <v>2.3904000000000001</v>
      </c>
      <c r="G8" s="1">
        <v>749.11</v>
      </c>
      <c r="H8" s="1">
        <v>624.15</v>
      </c>
      <c r="I8" s="1">
        <v>237.34</v>
      </c>
      <c r="J8" s="1">
        <v>317.22000000000003</v>
      </c>
      <c r="K8" s="1">
        <v>341.81</v>
      </c>
      <c r="L8" s="1">
        <v>234.63</v>
      </c>
      <c r="M8" s="1">
        <v>521.59</v>
      </c>
      <c r="N8" s="1">
        <v>475.67</v>
      </c>
      <c r="O8" s="1">
        <v>152.26</v>
      </c>
      <c r="P8" s="1">
        <v>623.1</v>
      </c>
      <c r="Q8" s="1">
        <v>464.31</v>
      </c>
      <c r="R8" s="1">
        <v>158.97999999999999</v>
      </c>
      <c r="S8" s="1">
        <v>115.63</v>
      </c>
      <c r="T8" s="1">
        <v>422.39</v>
      </c>
      <c r="V8" s="71"/>
      <c r="W8" s="71"/>
      <c r="X8" s="71"/>
      <c r="Y8" s="17"/>
    </row>
    <row r="9" spans="1:25" ht="21" customHeight="1" x14ac:dyDescent="0.25">
      <c r="A9" s="8">
        <v>44383</v>
      </c>
      <c r="B9" s="111"/>
      <c r="D9" s="111"/>
      <c r="E9" s="111"/>
      <c r="G9" s="111"/>
      <c r="H9" s="111"/>
      <c r="I9" s="11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V9" s="71"/>
      <c r="W9" s="71"/>
      <c r="X9" s="71"/>
      <c r="Y9" s="17"/>
    </row>
    <row r="10" spans="1:25" ht="21" customHeight="1" x14ac:dyDescent="0.25">
      <c r="A10" s="8">
        <v>44384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V10" s="71"/>
      <c r="W10" s="71"/>
      <c r="X10" s="71"/>
      <c r="Y10" s="17"/>
    </row>
    <row r="11" spans="1:25" ht="21" customHeight="1" x14ac:dyDescent="0.25">
      <c r="A11" s="8">
        <v>44385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V11" s="71"/>
      <c r="W11" s="71"/>
      <c r="X11" s="71"/>
      <c r="Y11" s="17"/>
    </row>
    <row r="12" spans="1:25" ht="21" customHeight="1" x14ac:dyDescent="0.25">
      <c r="A12" s="8">
        <v>44386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V12" s="71"/>
      <c r="W12" s="71"/>
      <c r="X12" s="71"/>
      <c r="Y12" s="17"/>
    </row>
    <row r="13" spans="1:25" ht="21" customHeight="1" x14ac:dyDescent="0.25">
      <c r="A13" s="8">
        <v>44387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V13" s="71"/>
      <c r="W13" s="71"/>
      <c r="X13" s="71"/>
      <c r="Y13" s="17"/>
    </row>
    <row r="14" spans="1:25" ht="21" customHeight="1" x14ac:dyDescent="0.25">
      <c r="A14" s="8">
        <v>44388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V14" s="71"/>
      <c r="W14" s="71"/>
      <c r="X14" s="71"/>
      <c r="Y14" s="17"/>
    </row>
    <row r="15" spans="1:25" ht="21" customHeight="1" x14ac:dyDescent="0.25">
      <c r="A15" s="8">
        <v>44389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V15" s="71"/>
      <c r="W15" s="71"/>
      <c r="X15" s="71"/>
      <c r="Y15" s="17"/>
    </row>
    <row r="16" spans="1:25" ht="21" customHeight="1" x14ac:dyDescent="0.25">
      <c r="A16" s="8">
        <v>44390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71"/>
      <c r="W16" s="71"/>
      <c r="X16" s="71"/>
      <c r="Y16" s="17"/>
    </row>
    <row r="17" spans="1:25" ht="21" customHeight="1" x14ac:dyDescent="0.25">
      <c r="A17" s="8">
        <v>44391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44392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44393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44394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44395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44396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44397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44398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44399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44400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44401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44402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44403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44404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44405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44406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44407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44408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44409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52</v>
      </c>
      <c r="W35" s="78">
        <f>SUM(W4:W34)</f>
        <v>138</v>
      </c>
      <c r="X35" s="78">
        <f>SUM(X4:X34)</f>
        <v>346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39" sqref="G39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32</v>
      </c>
      <c r="B2" s="120" t="s">
        <v>33</v>
      </c>
      <c r="C2" s="120" t="s">
        <v>34</v>
      </c>
      <c r="D2" s="120" t="s">
        <v>120</v>
      </c>
      <c r="E2" s="118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19"/>
      <c r="B3" s="121"/>
      <c r="C3" s="121"/>
      <c r="D3" s="121"/>
      <c r="E3" s="119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44378</v>
      </c>
      <c r="B4" s="26">
        <v>25520</v>
      </c>
      <c r="C4" s="4">
        <f>('Kwh Reading'!T5-'Kwh Reading'!T4)*1000</f>
        <v>509.99999999999091</v>
      </c>
      <c r="D4" s="2">
        <f>('Kwh Reading'!F5-'Kwh Reading'!F4)*1000000</f>
        <v>2400.0000000001796</v>
      </c>
      <c r="E4" s="2">
        <f>('Kwh Reading'!C5-'Kwh Reading'!C4)*1000</f>
        <v>209.99999999997954</v>
      </c>
      <c r="F4" s="2">
        <f>('Kwh Reading'!J5-'Kwh Reading'!J4)*1000</f>
        <v>150.00000000003411</v>
      </c>
      <c r="G4" s="2">
        <f>('Kwh Reading'!K5-'Kwh Reading'!K4)*1000</f>
        <v>269.99999999998181</v>
      </c>
      <c r="H4" s="2">
        <f>('Kwh Reading'!L5-'Kwh Reading'!L4)*1000</f>
        <v>189.99999999999773</v>
      </c>
      <c r="I4" s="2">
        <f>('Kwh Reading'!R5-'Kwh Reading'!R4)*1000</f>
        <v>310.00000000000227</v>
      </c>
      <c r="J4" s="2">
        <f>('Kwh Reading'!S5-'Kwh Reading'!S4)*1000</f>
        <v>120.00000000000455</v>
      </c>
      <c r="K4" s="2">
        <f>('Kwh Reading'!I5-'Kwh Reading'!I4)*1000</f>
        <v>320.0000000000216</v>
      </c>
      <c r="L4" s="2">
        <f>('Kwh Reading'!B5-'Kwh Reading'!B4)*1000</f>
        <v>1370.0000000000045</v>
      </c>
      <c r="M4" s="2">
        <f>('Kwh Reading'!M5-'Kwh Reading'!M4)*1000</f>
        <v>819.99999999993634</v>
      </c>
      <c r="N4" s="2">
        <f>('Kwh Reading'!H5-'Kwh Reading'!H4)*1000</f>
        <v>540.00000000007731</v>
      </c>
      <c r="O4" s="2">
        <f>('Kwh Reading'!P5-'Kwh Reading'!P4)*1000</f>
        <v>1149.9999999999773</v>
      </c>
      <c r="P4" s="2">
        <f>('Kwh Reading'!G5-'Kwh Reading'!G4)*1000</f>
        <v>730.00000000001819</v>
      </c>
      <c r="Q4" s="2">
        <f>('Kwh Reading'!Q5-'Kwh Reading'!Q4)*1000</f>
        <v>1280.0000000000296</v>
      </c>
      <c r="R4" s="2">
        <f>('Kwh Reading'!N5-'Kwh Reading'!N4)*1000</f>
        <v>750</v>
      </c>
      <c r="S4" s="2">
        <f>'Kwh Reading'!E5-'Kwh Reading'!E4</f>
        <v>2990.1500000003725</v>
      </c>
      <c r="T4" s="2">
        <f>'Kwh Reading'!D5-'Kwh Reading'!D4</f>
        <v>2512.6800000006333</v>
      </c>
      <c r="U4" s="27">
        <f>('Kwh Reading'!O5-'Kwh Reading'!O4)*1000</f>
        <v>230.00000000001819</v>
      </c>
      <c r="V4" s="16">
        <f>B4-(SUM(C4:U4))</f>
        <v>8667.1699999987395</v>
      </c>
    </row>
    <row r="5" spans="1:22" x14ac:dyDescent="0.25">
      <c r="A5" s="3">
        <f>'Kwh Reading'!A5</f>
        <v>44379</v>
      </c>
      <c r="B5" s="26">
        <f>TOTAL!E3</f>
        <v>22910.000000000306</v>
      </c>
      <c r="C5" s="4">
        <f>('Kwh Reading'!T6-'Kwh Reading'!T5)*1000</f>
        <v>270.00000000003865</v>
      </c>
      <c r="D5" s="2">
        <f>('Kwh Reading'!F6-'Kwh Reading'!F5)*1000000</f>
        <v>2400.0000000001796</v>
      </c>
      <c r="E5" s="2">
        <f>('Kwh Reading'!C6-'Kwh Reading'!C5)*1000</f>
        <v>240.00000000000909</v>
      </c>
      <c r="F5" s="2">
        <f>('Kwh Reading'!J6-'Kwh Reading'!J5)*1000</f>
        <v>180.00000000000682</v>
      </c>
      <c r="G5" s="2">
        <f>('Kwh Reading'!K6-'Kwh Reading'!K5)*1000</f>
        <v>220.00000000002728</v>
      </c>
      <c r="H5" s="2">
        <f>('Kwh Reading'!L6-'Kwh Reading'!L5)*1000</f>
        <v>159.99999999999659</v>
      </c>
      <c r="I5" s="2">
        <f>('Kwh Reading'!R6-'Kwh Reading'!R5)*1000</f>
        <v>310.00000000000227</v>
      </c>
      <c r="J5" s="2">
        <f>('Kwh Reading'!S6-'Kwh Reading'!S5)*1000</f>
        <v>109.99999999999943</v>
      </c>
      <c r="K5" s="2">
        <f>('Kwh Reading'!I6-'Kwh Reading'!I5)*1000</f>
        <v>319.99999999999318</v>
      </c>
      <c r="L5" s="2">
        <f>('Kwh Reading'!B6-'Kwh Reading'!B5)*1000</f>
        <v>1320.00000000005</v>
      </c>
      <c r="M5" s="2">
        <f>('Kwh Reading'!M6-'Kwh Reading'!M5)*1000</f>
        <v>830.00000000004093</v>
      </c>
      <c r="N5" s="2">
        <f>('Kwh Reading'!H6-'Kwh Reading'!H5)*1000</f>
        <v>479.9999999999045</v>
      </c>
      <c r="O5" s="2">
        <f>('Kwh Reading'!P6-'Kwh Reading'!P5)*1000</f>
        <v>1159.9999999999682</v>
      </c>
      <c r="P5" s="2">
        <f>('Kwh Reading'!G6-'Kwh Reading'!G5)*1000</f>
        <v>720.00000000002728</v>
      </c>
      <c r="Q5" s="2">
        <f>('Kwh Reading'!Q6-'Kwh Reading'!Q5)*1000</f>
        <v>659.99999999996817</v>
      </c>
      <c r="R5" s="2">
        <f>('Kwh Reading'!N6-'Kwh Reading'!N5)*1000</f>
        <v>740.00000000000909</v>
      </c>
      <c r="S5" s="2">
        <f>'Kwh Reading'!E6-'Kwh Reading'!E5</f>
        <v>3053.1100000003353</v>
      </c>
      <c r="T5" s="2">
        <f>'Kwh Reading'!D6-'Kwh Reading'!D5</f>
        <v>2584.9499999992549</v>
      </c>
      <c r="U5" s="27">
        <f>('Kwh Reading'!O6-'Kwh Reading'!O5)*1000</f>
        <v>229.99999999998977</v>
      </c>
      <c r="V5" s="16">
        <f t="shared" ref="V5:V9" si="0">B5-(SUM(C5:U5))</f>
        <v>6921.9400000005062</v>
      </c>
    </row>
    <row r="6" spans="1:22" x14ac:dyDescent="0.25">
      <c r="A6" s="3">
        <f>'Kwh Reading'!A6</f>
        <v>44380</v>
      </c>
      <c r="B6" s="26">
        <f>TOTAL!E4</f>
        <v>23560.000000001084</v>
      </c>
      <c r="C6" s="4">
        <f>('Kwh Reading'!T7-'Kwh Reading'!T6)*1000</f>
        <v>459.99999999997954</v>
      </c>
      <c r="D6" s="2">
        <f>('Kwh Reading'!F7-'Kwh Reading'!F6)*1000000</f>
        <v>2399.9999999997358</v>
      </c>
      <c r="E6" s="2">
        <f>('Kwh Reading'!C7-'Kwh Reading'!C6)*1000</f>
        <v>199.99999999998863</v>
      </c>
      <c r="F6" s="2">
        <f>('Kwh Reading'!J7-'Kwh Reading'!J6)*1000</f>
        <v>180.00000000000682</v>
      </c>
      <c r="G6" s="2">
        <f>('Kwh Reading'!K7-'Kwh Reading'!K6)*1000</f>
        <v>250</v>
      </c>
      <c r="H6" s="2">
        <f>('Kwh Reading'!L7-'Kwh Reading'!L6)*1000</f>
        <v>199.99999999998863</v>
      </c>
      <c r="I6" s="2">
        <f>('Kwh Reading'!R7-'Kwh Reading'!R6)*1000</f>
        <v>159.99999999999659</v>
      </c>
      <c r="J6" s="2">
        <f>('Kwh Reading'!S7-'Kwh Reading'!S6)*1000</f>
        <v>120.00000000000455</v>
      </c>
      <c r="K6" s="2">
        <f>('Kwh Reading'!I7-'Kwh Reading'!I6)*1000</f>
        <v>349.99999999999432</v>
      </c>
      <c r="L6" s="2">
        <f>('Kwh Reading'!B7-'Kwh Reading'!B6)*1000</f>
        <v>1340.0000000000318</v>
      </c>
      <c r="M6" s="2">
        <f>('Kwh Reading'!M7-'Kwh Reading'!M6)*1000</f>
        <v>740.00000000000909</v>
      </c>
      <c r="N6" s="2">
        <f>('Kwh Reading'!H7-'Kwh Reading'!H6)*1000</f>
        <v>480.00000000001819</v>
      </c>
      <c r="O6" s="2">
        <f>('Kwh Reading'!P7-'Kwh Reading'!P6)*1000</f>
        <v>1159.9999999999682</v>
      </c>
      <c r="P6" s="2">
        <f>('Kwh Reading'!G7-'Kwh Reading'!G6)*1000</f>
        <v>759.99999999999091</v>
      </c>
      <c r="Q6" s="2">
        <f>('Kwh Reading'!Q7-'Kwh Reading'!Q6)*1000</f>
        <v>689.99999999999773</v>
      </c>
      <c r="R6" s="2">
        <f>('Kwh Reading'!N7-'Kwh Reading'!N6)*1000</f>
        <v>819.99999999999318</v>
      </c>
      <c r="S6" s="2">
        <f>'Kwh Reading'!E7-'Kwh Reading'!E6</f>
        <v>3507.4399999994785</v>
      </c>
      <c r="T6" s="2">
        <f>'Kwh Reading'!D7-'Kwh Reading'!D6</f>
        <v>2643.1200000001118</v>
      </c>
      <c r="U6" s="27">
        <f>('Kwh Reading'!O7-'Kwh Reading'!O6)*1000</f>
        <v>229.99999999998977</v>
      </c>
      <c r="V6" s="16">
        <f t="shared" si="0"/>
        <v>6869.4400000018031</v>
      </c>
    </row>
    <row r="7" spans="1:22" x14ac:dyDescent="0.25">
      <c r="A7" s="3">
        <f>'Kwh Reading'!A7</f>
        <v>44381</v>
      </c>
      <c r="B7" s="26">
        <f>TOTAL!E5</f>
        <v>23199.999999998683</v>
      </c>
      <c r="C7" s="4">
        <f>('Kwh Reading'!T8-'Kwh Reading'!T7)*1000</f>
        <v>449.99999999998863</v>
      </c>
      <c r="D7" s="2">
        <f>('Kwh Reading'!F8-'Kwh Reading'!F7)*1000000</f>
        <v>2400.0000000001796</v>
      </c>
      <c r="E7" s="2">
        <f>('Kwh Reading'!C8-'Kwh Reading'!C7)*1000</f>
        <v>230.00000000001819</v>
      </c>
      <c r="F7" s="2">
        <f>('Kwh Reading'!J8-'Kwh Reading'!J7)*1000</f>
        <v>250</v>
      </c>
      <c r="G7" s="2">
        <f>('Kwh Reading'!K8-'Kwh Reading'!K7)*1000</f>
        <v>269.99999999998181</v>
      </c>
      <c r="H7" s="2">
        <f>('Kwh Reading'!L8-'Kwh Reading'!L7)*1000</f>
        <v>180.00000000000682</v>
      </c>
      <c r="I7" s="2">
        <f>('Kwh Reading'!R8-'Kwh Reading'!R7)*1000</f>
        <v>469.99999999999886</v>
      </c>
      <c r="J7" s="2">
        <f>('Kwh Reading'!S8-'Kwh Reading'!S7)*1000</f>
        <v>119.99999999999034</v>
      </c>
      <c r="K7" s="2">
        <f>('Kwh Reading'!I8-'Kwh Reading'!I7)*1000</f>
        <v>310.00000000000227</v>
      </c>
      <c r="L7" s="2">
        <f>('Kwh Reading'!B8-'Kwh Reading'!B7)*1000</f>
        <v>1299.9999999999545</v>
      </c>
      <c r="M7" s="2">
        <f>('Kwh Reading'!M8-'Kwh Reading'!M7)*1000</f>
        <v>750</v>
      </c>
      <c r="N7" s="2">
        <f>('Kwh Reading'!H8-'Kwh Reading'!H7)*1000</f>
        <v>500</v>
      </c>
      <c r="O7" s="2">
        <f>('Kwh Reading'!P8-'Kwh Reading'!P7)*1000</f>
        <v>1050.0000000000682</v>
      </c>
      <c r="P7" s="2">
        <f>('Kwh Reading'!G8-'Kwh Reading'!G7)*1000</f>
        <v>730.00000000001819</v>
      </c>
      <c r="Q7" s="2">
        <f>('Kwh Reading'!Q8-'Kwh Reading'!Q7)*1000</f>
        <v>610.00000000001364</v>
      </c>
      <c r="R7" s="2">
        <f>('Kwh Reading'!N8-'Kwh Reading'!N7)*1000</f>
        <v>740.00000000000909</v>
      </c>
      <c r="S7" s="2">
        <f>'Kwh Reading'!E8-'Kwh Reading'!E7</f>
        <v>3257.339999999851</v>
      </c>
      <c r="T7" s="2">
        <f>'Kwh Reading'!D8-'Kwh Reading'!D7</f>
        <v>2313.7199999997392</v>
      </c>
      <c r="U7" s="27">
        <f>('Kwh Reading'!O8-'Kwh Reading'!O7)*1000</f>
        <v>189.99999999999773</v>
      </c>
      <c r="V7" s="16">
        <f t="shared" si="0"/>
        <v>7078.9399999988636</v>
      </c>
    </row>
    <row r="8" spans="1:22" x14ac:dyDescent="0.25">
      <c r="A8" s="3">
        <f>'Kwh Reading'!A8</f>
        <v>44382</v>
      </c>
      <c r="B8" s="26">
        <f>TOTAL!E6</f>
        <v>0</v>
      </c>
      <c r="C8" s="4">
        <f>('Kwh Reading'!T9-'Kwh Reading'!T8)*1000</f>
        <v>-422390</v>
      </c>
      <c r="D8" s="2">
        <f>('Kwh Reading'!F9-'Kwh Reading'!F8)*1000000</f>
        <v>-2390400</v>
      </c>
      <c r="E8" s="2">
        <f>('Kwh Reading'!C9-'Kwh Reading'!C8)*1000</f>
        <v>-230460</v>
      </c>
      <c r="F8" s="2">
        <f>('Kwh Reading'!J9-'Kwh Reading'!J8)*1000</f>
        <v>-317220</v>
      </c>
      <c r="G8" s="2">
        <f>('Kwh Reading'!K9-'Kwh Reading'!K8)*1000</f>
        <v>-341810</v>
      </c>
      <c r="H8" s="2">
        <f>('Kwh Reading'!L9-'Kwh Reading'!L8)*1000</f>
        <v>-234630</v>
      </c>
      <c r="I8" s="2">
        <f>('Kwh Reading'!R9-'Kwh Reading'!R8)*1000</f>
        <v>-158980</v>
      </c>
      <c r="J8" s="2">
        <f>('Kwh Reading'!S9-'Kwh Reading'!S8)*1000</f>
        <v>-115630</v>
      </c>
      <c r="K8" s="2">
        <f>('Kwh Reading'!I9-'Kwh Reading'!I8)*1000</f>
        <v>-237340</v>
      </c>
      <c r="L8" s="2">
        <f>('Kwh Reading'!B9-'Kwh Reading'!B8)*1000</f>
        <v>-986510</v>
      </c>
      <c r="M8" s="2">
        <f>('Kwh Reading'!M9-'Kwh Reading'!M8)*1000</f>
        <v>-521590.00000000006</v>
      </c>
      <c r="N8" s="2">
        <f>('Kwh Reading'!H9-'Kwh Reading'!H8)*1000</f>
        <v>-624150</v>
      </c>
      <c r="O8" s="2">
        <f>('Kwh Reading'!P9-'Kwh Reading'!P8)*1000</f>
        <v>-623100</v>
      </c>
      <c r="P8" s="2">
        <f>('Kwh Reading'!G9-'Kwh Reading'!G8)*1000</f>
        <v>-749110</v>
      </c>
      <c r="Q8" s="2">
        <f>('Kwh Reading'!Q9-'Kwh Reading'!Q8)*1000</f>
        <v>-464310</v>
      </c>
      <c r="R8" s="2">
        <f>('Kwh Reading'!N9-'Kwh Reading'!N8)*1000</f>
        <v>-475670</v>
      </c>
      <c r="S8" s="2">
        <f>'Kwh Reading'!E9-'Kwh Reading'!E8</f>
        <v>-8197454.9299999997</v>
      </c>
      <c r="T8" s="2">
        <f>'Kwh Reading'!D9-'Kwh Reading'!D8</f>
        <v>-7490619.0199999996</v>
      </c>
      <c r="U8" s="27">
        <f>('Kwh Reading'!O9-'Kwh Reading'!O8)*1000</f>
        <v>-152260</v>
      </c>
      <c r="V8" s="16">
        <f t="shared" si="0"/>
        <v>24733633.949999999</v>
      </c>
    </row>
    <row r="9" spans="1:22" x14ac:dyDescent="0.25">
      <c r="A9" s="3">
        <f>'Kwh Reading'!A9</f>
        <v>44383</v>
      </c>
      <c r="B9" s="26">
        <f>TOTAL!E7</f>
        <v>0</v>
      </c>
      <c r="C9" s="4">
        <f>('Kwh Reading'!T10-'Kwh Reading'!T9)*1000</f>
        <v>0</v>
      </c>
      <c r="D9" s="2">
        <f>('Kwh Reading'!F10-'Kwh Reading'!F9)*1000000</f>
        <v>0</v>
      </c>
      <c r="E9" s="2">
        <f>('Kwh Reading'!C10-'Kwh Reading'!C9)*1000</f>
        <v>0</v>
      </c>
      <c r="F9" s="2">
        <f>('Kwh Reading'!J10-'Kwh Reading'!J9)*1000</f>
        <v>0</v>
      </c>
      <c r="G9" s="2">
        <f>('Kwh Reading'!K10-'Kwh Reading'!K9)*1000</f>
        <v>0</v>
      </c>
      <c r="H9" s="2">
        <f>('Kwh Reading'!L10-'Kwh Reading'!L9)*1000</f>
        <v>0</v>
      </c>
      <c r="I9" s="2">
        <f>('Kwh Reading'!R10-'Kwh Reading'!R9)*1000</f>
        <v>0</v>
      </c>
      <c r="J9" s="2">
        <f>('Kwh Reading'!S10-'Kwh Reading'!S9)*1000</f>
        <v>0</v>
      </c>
      <c r="K9" s="2">
        <f>('Kwh Reading'!I10-'Kwh Reading'!I9)*1000</f>
        <v>0</v>
      </c>
      <c r="L9" s="2">
        <f>('Kwh Reading'!B10-'Kwh Reading'!B9)*1000</f>
        <v>0</v>
      </c>
      <c r="M9" s="2">
        <f>('Kwh Reading'!M10-'Kwh Reading'!M9)*1000</f>
        <v>0</v>
      </c>
      <c r="N9" s="2">
        <f>('Kwh Reading'!H10-'Kwh Reading'!H9)*1000</f>
        <v>0</v>
      </c>
      <c r="O9" s="2">
        <f>('Kwh Reading'!P10-'Kwh Reading'!P9)*1000</f>
        <v>0</v>
      </c>
      <c r="P9" s="2">
        <f>('Kwh Reading'!G10-'Kwh Reading'!G9)*1000</f>
        <v>0</v>
      </c>
      <c r="Q9" s="2">
        <f>('Kwh Reading'!Q10-'Kwh Reading'!Q9)*1000</f>
        <v>0</v>
      </c>
      <c r="R9" s="2">
        <f>('Kwh Reading'!N10-'Kwh Reading'!N9)*1000</f>
        <v>0</v>
      </c>
      <c r="S9" s="2">
        <f>'Kwh Reading'!E10-'Kwh Reading'!E9</f>
        <v>0</v>
      </c>
      <c r="T9" s="2">
        <f>'Kwh Reading'!D10-'Kwh Reading'!D9</f>
        <v>0</v>
      </c>
      <c r="U9" s="27">
        <f>('Kwh Reading'!O10-'Kwh Reading'!O9)*1000</f>
        <v>0</v>
      </c>
      <c r="V9" s="16">
        <f t="shared" si="0"/>
        <v>0</v>
      </c>
    </row>
    <row r="10" spans="1:22" x14ac:dyDescent="0.25">
      <c r="A10" s="3">
        <f>'Kwh Reading'!A10</f>
        <v>44384</v>
      </c>
      <c r="B10" s="26">
        <f>TOTAL!E8</f>
        <v>0</v>
      </c>
      <c r="C10" s="4">
        <f>('Kwh Reading'!T11-'Kwh Reading'!T10)*1000</f>
        <v>0</v>
      </c>
      <c r="D10" s="2">
        <f>('Kwh Reading'!F11-'Kwh Reading'!F10)*1000000</f>
        <v>0</v>
      </c>
      <c r="E10" s="2">
        <f>('Kwh Reading'!C11-'Kwh Reading'!C10)*1000</f>
        <v>0</v>
      </c>
      <c r="F10" s="2">
        <f>('Kwh Reading'!J11-'Kwh Reading'!J10)*1000</f>
        <v>0</v>
      </c>
      <c r="G10" s="2">
        <f>('Kwh Reading'!K11-'Kwh Reading'!K10)*1000</f>
        <v>0</v>
      </c>
      <c r="H10" s="2">
        <f>('Kwh Reading'!L11-'Kwh Reading'!L10)*1000</f>
        <v>0</v>
      </c>
      <c r="I10" s="2">
        <f>('Kwh Reading'!R11-'Kwh Reading'!R10)*1000</f>
        <v>0</v>
      </c>
      <c r="J10" s="2">
        <f>('Kwh Reading'!S11-'Kwh Reading'!S10)*1000</f>
        <v>0</v>
      </c>
      <c r="K10" s="2">
        <f>('Kwh Reading'!I11-'Kwh Reading'!I10)*1000</f>
        <v>0</v>
      </c>
      <c r="L10" s="2">
        <f>('Kwh Reading'!B11-'Kwh Reading'!B10)*1000</f>
        <v>0</v>
      </c>
      <c r="M10" s="2">
        <f>('Kwh Reading'!M11-'Kwh Reading'!M10)*1000</f>
        <v>0</v>
      </c>
      <c r="N10" s="2">
        <f>('Kwh Reading'!H11-'Kwh Reading'!H10)*1000</f>
        <v>0</v>
      </c>
      <c r="O10" s="2">
        <f>('Kwh Reading'!P11-'Kwh Reading'!P10)*1000</f>
        <v>0</v>
      </c>
      <c r="P10" s="2">
        <f>('Kwh Reading'!G11-'Kwh Reading'!G10)*1000</f>
        <v>0</v>
      </c>
      <c r="Q10" s="2">
        <f>('Kwh Reading'!Q11-'Kwh Reading'!Q10)*1000</f>
        <v>0</v>
      </c>
      <c r="R10" s="2">
        <f>('Kwh Reading'!N11-'Kwh Reading'!N10)*1000</f>
        <v>0</v>
      </c>
      <c r="S10" s="34">
        <f>'Kwh Reading'!E11-'Kwh Reading'!E10</f>
        <v>0</v>
      </c>
      <c r="T10" s="34">
        <f>'Kwh Reading'!D11-'Kwh Reading'!D10</f>
        <v>0</v>
      </c>
      <c r="U10" s="27">
        <f>('Kwh Reading'!O11-'Kwh Reading'!O10)*1000</f>
        <v>0</v>
      </c>
      <c r="V10" s="16">
        <f t="shared" ref="V10:V34" si="1">B10-(SUM(C10:U10))</f>
        <v>0</v>
      </c>
    </row>
    <row r="11" spans="1:22" x14ac:dyDescent="0.25">
      <c r="A11" s="3">
        <f>'Kwh Reading'!A11</f>
        <v>44385</v>
      </c>
      <c r="B11" s="26">
        <f>TOTAL!E9</f>
        <v>0</v>
      </c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</f>
        <v>0</v>
      </c>
      <c r="M11" s="2">
        <f>('Kwh Reading'!M12-'Kwh Reading'!M11)*1000</f>
        <v>0</v>
      </c>
      <c r="N11" s="2">
        <f>('Kwh Reading'!H12-'Kwh Reading'!H11)*1000</f>
        <v>0</v>
      </c>
      <c r="O11" s="2">
        <f>('Kwh Reading'!P12-'Kwh Reading'!P11)*1000</f>
        <v>0</v>
      </c>
      <c r="P11" s="2">
        <f>('Kwh Reading'!G12-'Kwh Reading'!G11)*1000</f>
        <v>0</v>
      </c>
      <c r="Q11" s="2">
        <f>('Kwh Reading'!Q12-'Kwh Reading'!Q11)*1000</f>
        <v>0</v>
      </c>
      <c r="R11" s="2">
        <f>('Kwh Reading'!N12-'Kwh Reading'!N11)*1000</f>
        <v>0</v>
      </c>
      <c r="S11" s="34">
        <f>'Kwh Reading'!E12-'Kwh Reading'!E11</f>
        <v>0</v>
      </c>
      <c r="T11" s="34">
        <f>'Kwh Reading'!D12-'Kwh Reading'!D11</f>
        <v>0</v>
      </c>
      <c r="U11" s="27">
        <f>('Kwh Reading'!O12-'Kwh Reading'!O11)*1000</f>
        <v>0</v>
      </c>
      <c r="V11" s="16">
        <f t="shared" si="1"/>
        <v>0</v>
      </c>
    </row>
    <row r="12" spans="1:22" x14ac:dyDescent="0.25">
      <c r="A12" s="3">
        <f>'Kwh Reading'!A12</f>
        <v>44386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</f>
        <v>0</v>
      </c>
      <c r="Q12" s="2">
        <f>('Kwh Reading'!Q13-'Kwh Reading'!Q12)*1000</f>
        <v>0</v>
      </c>
      <c r="R12" s="2">
        <f>('Kwh Reading'!N13-'Kwh Reading'!N12)*1000</f>
        <v>0</v>
      </c>
      <c r="S12" s="34">
        <f>'Kwh Reading'!E13-'Kwh Reading'!E12</f>
        <v>0</v>
      </c>
      <c r="T12" s="34">
        <f>'Kwh Reading'!D13-'Kwh Reading'!D12</f>
        <v>0</v>
      </c>
      <c r="U12" s="27">
        <f>('Kwh Reading'!O13-'Kwh Reading'!O12)*1000</f>
        <v>0</v>
      </c>
      <c r="V12" s="16">
        <f t="shared" si="1"/>
        <v>0</v>
      </c>
    </row>
    <row r="13" spans="1:22" x14ac:dyDescent="0.25">
      <c r="A13" s="3">
        <f>'Kwh Reading'!A13</f>
        <v>44387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4">
        <f>'Kwh Reading'!E14-'Kwh Reading'!E13</f>
        <v>0</v>
      </c>
      <c r="T13" s="34">
        <f>'Kwh Reading'!D14-'Kwh Reading'!D13</f>
        <v>0</v>
      </c>
      <c r="U13" s="27">
        <f>('Kwh Reading'!O14-'Kwh Reading'!O13)*1000</f>
        <v>0</v>
      </c>
      <c r="V13" s="16">
        <f t="shared" si="1"/>
        <v>0</v>
      </c>
    </row>
    <row r="14" spans="1:22" x14ac:dyDescent="0.25">
      <c r="A14" s="3">
        <f>'Kwh Reading'!A14</f>
        <v>44388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4">
        <f>'Kwh Reading'!E15-'Kwh Reading'!E14</f>
        <v>0</v>
      </c>
      <c r="T14" s="34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44389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4">
        <f>'Kwh Reading'!E16-'Kwh Reading'!E15</f>
        <v>0</v>
      </c>
      <c r="T15" s="34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44390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4">
        <f>'Kwh Reading'!E17-'Kwh Reading'!E16</f>
        <v>0</v>
      </c>
      <c r="T16" s="34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44391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44392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44393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44394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44395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44396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44397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44398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44399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44400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44401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44402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44403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44404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44405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44406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44407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44408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95190.000000000087</v>
      </c>
      <c r="C35" s="75">
        <f t="shared" ref="C35" si="2">SUM(C4:C34)</f>
        <v>-420700</v>
      </c>
      <c r="D35" s="75">
        <f t="shared" ref="D35" si="3">SUM(D4:D34)</f>
        <v>-2380799.9999999995</v>
      </c>
      <c r="E35" s="75">
        <f t="shared" ref="E35" si="4">SUM(E4:E34)</f>
        <v>-229580</v>
      </c>
      <c r="F35" s="75">
        <f t="shared" ref="F35" si="5">SUM(F4:F34)</f>
        <v>-316459.99999999994</v>
      </c>
      <c r="G35" s="75">
        <f t="shared" ref="G35:U35" si="6">SUM(G4:G34)</f>
        <v>-340800</v>
      </c>
      <c r="H35" s="75">
        <f t="shared" si="6"/>
        <v>-233900</v>
      </c>
      <c r="I35" s="75">
        <f t="shared" si="6"/>
        <v>-157730</v>
      </c>
      <c r="J35" s="75">
        <f t="shared" si="6"/>
        <v>-115160</v>
      </c>
      <c r="K35" s="75">
        <f t="shared" si="6"/>
        <v>-236040</v>
      </c>
      <c r="L35" s="75">
        <f t="shared" si="6"/>
        <v>-981180</v>
      </c>
      <c r="M35" s="75">
        <f t="shared" si="6"/>
        <v>-518450.00000000006</v>
      </c>
      <c r="N35" s="75">
        <f t="shared" si="6"/>
        <v>-622150</v>
      </c>
      <c r="O35" s="75">
        <f t="shared" si="6"/>
        <v>-618580</v>
      </c>
      <c r="P35" s="75">
        <f t="shared" si="6"/>
        <v>-746170</v>
      </c>
      <c r="Q35" s="75">
        <f t="shared" si="6"/>
        <v>-461070</v>
      </c>
      <c r="R35" s="75">
        <f t="shared" si="6"/>
        <v>-472620</v>
      </c>
      <c r="S35" s="75">
        <f t="shared" si="6"/>
        <v>-8184646.8899999997</v>
      </c>
      <c r="T35" s="75">
        <f t="shared" si="6"/>
        <v>-7480564.5499999998</v>
      </c>
      <c r="U35" s="75">
        <f t="shared" si="6"/>
        <v>-151380</v>
      </c>
      <c r="V35" s="75">
        <f>SUM(V4:V34)</f>
        <v>24763171.439999998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44378</v>
      </c>
      <c r="B3" s="83">
        <f>TOTAL!E2</f>
        <v>22320.000000000167</v>
      </c>
      <c r="C3" s="1">
        <f>'Kwh Consumption'!C4</f>
        <v>509.99999999999091</v>
      </c>
      <c r="D3" s="1">
        <f>'Kwh Consumption'!D4</f>
        <v>2400.0000000001796</v>
      </c>
      <c r="E3" s="1">
        <f>'Kwh Consumption'!E4</f>
        <v>209.99999999997954</v>
      </c>
      <c r="F3" s="1">
        <f>('Kwh Consumption'!F4+'Kwh Consumption'!G4+'Kwh Consumption'!H4)</f>
        <v>610.00000000001364</v>
      </c>
      <c r="G3" s="16">
        <f>('Kwh Consumption'!I4+'Kwh Consumption'!J4)</f>
        <v>430.00000000000682</v>
      </c>
      <c r="H3" s="1">
        <f>('Kwh Consumption'!K4+'Kwh Consumption'!L4)</f>
        <v>1690.0000000000261</v>
      </c>
      <c r="I3" s="1">
        <f>('Kwh Consumption'!M4+'Kwh Consumption'!N4+'Kwh Consumption'!O4+'Kwh Consumption'!P4+'Kwh Consumption'!Q4+'Kwh Consumption'!R4)</f>
        <v>5270.0000000000382</v>
      </c>
      <c r="J3" s="1">
        <f>('Kwh Consumption'!S4+'Kwh Consumption'!T4)</f>
        <v>5502.8300000010058</v>
      </c>
      <c r="K3" s="1">
        <f>'Kwh Consumption'!U4</f>
        <v>230.00000000001819</v>
      </c>
      <c r="L3" s="32">
        <f t="shared" ref="L3:L33" si="0">B3-C3-D3-E3-F3-G3-H3-I3-J3-K3</f>
        <v>5467.1699999989087</v>
      </c>
    </row>
    <row r="4" spans="1:12" x14ac:dyDescent="0.25">
      <c r="A4" s="14">
        <f>'Kwh Reading'!A5</f>
        <v>44379</v>
      </c>
      <c r="B4" s="83">
        <f>TOTAL!E3</f>
        <v>22910.000000000306</v>
      </c>
      <c r="C4" s="1">
        <f>'Kwh Consumption'!C5</f>
        <v>270.00000000003865</v>
      </c>
      <c r="D4" s="1">
        <f>'Kwh Consumption'!D5</f>
        <v>2400.0000000001796</v>
      </c>
      <c r="E4" s="1">
        <f>'Kwh Consumption'!E5</f>
        <v>240.00000000000909</v>
      </c>
      <c r="F4" s="1">
        <f>('Kwh Consumption'!F5+'Kwh Consumption'!G5+'Kwh Consumption'!H5)</f>
        <v>560.0000000000307</v>
      </c>
      <c r="G4" s="16">
        <f>('Kwh Consumption'!I5+'Kwh Consumption'!J5)</f>
        <v>420.00000000000171</v>
      </c>
      <c r="H4" s="1">
        <f>('Kwh Consumption'!K5+'Kwh Consumption'!L5)</f>
        <v>1640.0000000000432</v>
      </c>
      <c r="I4" s="1">
        <f>('Kwh Consumption'!M5+'Kwh Consumption'!N5+'Kwh Consumption'!O5+'Kwh Consumption'!P5+'Kwh Consumption'!Q5+'Kwh Consumption'!R5)</f>
        <v>4589.9999999999181</v>
      </c>
      <c r="J4" s="1">
        <f>('Kwh Consumption'!S5+'Kwh Consumption'!T5)</f>
        <v>5638.0599999995902</v>
      </c>
      <c r="K4" s="1">
        <f>'Kwh Consumption'!U5</f>
        <v>229.99999999998977</v>
      </c>
      <c r="L4" s="32">
        <f t="shared" si="0"/>
        <v>6921.9400000005089</v>
      </c>
    </row>
    <row r="5" spans="1:12" x14ac:dyDescent="0.25">
      <c r="A5" s="14">
        <f>'Kwh Reading'!A6</f>
        <v>44380</v>
      </c>
      <c r="B5" s="83">
        <f>TOTAL!E4</f>
        <v>23560.000000001084</v>
      </c>
      <c r="C5" s="1">
        <f>'Kwh Consumption'!C6</f>
        <v>459.99999999997954</v>
      </c>
      <c r="D5" s="1">
        <f>'Kwh Consumption'!D6</f>
        <v>2399.9999999997358</v>
      </c>
      <c r="E5" s="1">
        <f>'Kwh Consumption'!E6</f>
        <v>199.99999999998863</v>
      </c>
      <c r="F5" s="1">
        <f>('Kwh Consumption'!F6+'Kwh Consumption'!G6+'Kwh Consumption'!H6)</f>
        <v>629.99999999999545</v>
      </c>
      <c r="G5" s="16">
        <f>('Kwh Consumption'!I6+'Kwh Consumption'!J6)</f>
        <v>280.00000000000114</v>
      </c>
      <c r="H5" s="1">
        <f>('Kwh Consumption'!K6+'Kwh Consumption'!L6)</f>
        <v>1690.0000000000261</v>
      </c>
      <c r="I5" s="1">
        <f>('Kwh Consumption'!M6+'Kwh Consumption'!N6+'Kwh Consumption'!O6+'Kwh Consumption'!P6+'Kwh Consumption'!Q6+'Kwh Consumption'!R6)</f>
        <v>4649.9999999999773</v>
      </c>
      <c r="J5" s="1">
        <f>('Kwh Consumption'!S6+'Kwh Consumption'!T6)</f>
        <v>6150.5599999995902</v>
      </c>
      <c r="K5" s="1">
        <f>'Kwh Consumption'!U6</f>
        <v>229.99999999998977</v>
      </c>
      <c r="L5" s="32">
        <f t="shared" si="0"/>
        <v>6869.4400000018022</v>
      </c>
    </row>
    <row r="6" spans="1:12" x14ac:dyDescent="0.25">
      <c r="A6" s="14">
        <f>'Kwh Reading'!A7</f>
        <v>44381</v>
      </c>
      <c r="B6" s="83">
        <f>TOTAL!E5</f>
        <v>23199.999999998683</v>
      </c>
      <c r="C6" s="1">
        <f>'Kwh Consumption'!C7</f>
        <v>449.99999999998863</v>
      </c>
      <c r="D6" s="1">
        <f>'Kwh Consumption'!D7</f>
        <v>2400.0000000001796</v>
      </c>
      <c r="E6" s="1">
        <f>'Kwh Consumption'!E7</f>
        <v>230.00000000001819</v>
      </c>
      <c r="F6" s="1">
        <f>('Kwh Consumption'!F7+'Kwh Consumption'!G7+'Kwh Consumption'!H7)</f>
        <v>699.99999999998863</v>
      </c>
      <c r="G6" s="16">
        <f>('Kwh Consumption'!I7+'Kwh Consumption'!J7)</f>
        <v>589.9999999999892</v>
      </c>
      <c r="H6" s="1">
        <f>('Kwh Consumption'!K7+'Kwh Consumption'!L7)</f>
        <v>1609.9999999999568</v>
      </c>
      <c r="I6" s="1">
        <f>('Kwh Consumption'!M7+'Kwh Consumption'!N7+'Kwh Consumption'!O7+'Kwh Consumption'!P7+'Kwh Consumption'!Q7+'Kwh Consumption'!R7)</f>
        <v>4380.0000000001091</v>
      </c>
      <c r="J6" s="1">
        <f>('Kwh Consumption'!S7+'Kwh Consumption'!T7)</f>
        <v>5571.0599999995902</v>
      </c>
      <c r="K6" s="1">
        <f>'Kwh Consumption'!U7</f>
        <v>189.99999999999773</v>
      </c>
      <c r="L6" s="32">
        <f t="shared" si="0"/>
        <v>7078.9399999988655</v>
      </c>
    </row>
    <row r="7" spans="1:12" x14ac:dyDescent="0.25">
      <c r="A7" s="14">
        <f>'Kwh Reading'!A8</f>
        <v>44382</v>
      </c>
      <c r="B7" s="83">
        <f>TOTAL!E6</f>
        <v>0</v>
      </c>
      <c r="C7" s="1">
        <f>'Kwh Consumption'!C8</f>
        <v>-422390</v>
      </c>
      <c r="D7" s="1">
        <f>'Kwh Consumption'!D8</f>
        <v>-2390400</v>
      </c>
      <c r="E7" s="1">
        <f>'Kwh Consumption'!E8</f>
        <v>-230460</v>
      </c>
      <c r="F7" s="1">
        <f>('Kwh Consumption'!F8+'Kwh Consumption'!G8+'Kwh Consumption'!H8)</f>
        <v>-893660</v>
      </c>
      <c r="G7" s="16">
        <f>('Kwh Consumption'!I8+'Kwh Consumption'!J8)</f>
        <v>-274610</v>
      </c>
      <c r="H7" s="1">
        <f>('Kwh Consumption'!K8+'Kwh Consumption'!L8)</f>
        <v>-1223850</v>
      </c>
      <c r="I7" s="1">
        <f>('Kwh Consumption'!M8+'Kwh Consumption'!N8+'Kwh Consumption'!O8+'Kwh Consumption'!P8+'Kwh Consumption'!Q8+'Kwh Consumption'!R8)</f>
        <v>-3457930</v>
      </c>
      <c r="J7" s="1">
        <f>('Kwh Consumption'!S8+'Kwh Consumption'!T8)</f>
        <v>-15688073.949999999</v>
      </c>
      <c r="K7" s="1">
        <f>'Kwh Consumption'!U8</f>
        <v>-152260</v>
      </c>
      <c r="L7" s="32">
        <f t="shared" si="0"/>
        <v>24733633.949999999</v>
      </c>
    </row>
    <row r="8" spans="1:12" x14ac:dyDescent="0.25">
      <c r="A8" s="14">
        <f>'Kwh Reading'!A9</f>
        <v>44383</v>
      </c>
      <c r="B8" s="83">
        <f>TOTAL!E7</f>
        <v>0</v>
      </c>
      <c r="C8" s="1">
        <f>'Kwh Consumption'!C9</f>
        <v>0</v>
      </c>
      <c r="D8" s="1">
        <f>'Kwh Consumption'!D9</f>
        <v>0</v>
      </c>
      <c r="E8" s="1">
        <f>'Kwh Consumption'!E9</f>
        <v>0</v>
      </c>
      <c r="F8" s="1">
        <f>('Kwh Consumption'!F9+'Kwh Consumption'!G9+'Kwh Consumption'!H9)</f>
        <v>0</v>
      </c>
      <c r="G8" s="16">
        <f>('Kwh Consumption'!I9+'Kwh Consumption'!J9)</f>
        <v>0</v>
      </c>
      <c r="H8" s="1">
        <f>('Kwh Consumption'!K9+'Kwh Consumption'!L9)</f>
        <v>0</v>
      </c>
      <c r="I8" s="1">
        <f>('Kwh Consumption'!M9+'Kwh Consumption'!N9+'Kwh Consumption'!O9+'Kwh Consumption'!P9+'Kwh Consumption'!Q9+'Kwh Consumption'!R9)</f>
        <v>0</v>
      </c>
      <c r="J8" s="1">
        <f>('Kwh Consumption'!S9+'Kwh Consumption'!T9)</f>
        <v>0</v>
      </c>
      <c r="K8" s="1">
        <f>'Kwh Consumption'!U9</f>
        <v>0</v>
      </c>
      <c r="L8" s="32">
        <f t="shared" si="0"/>
        <v>0</v>
      </c>
    </row>
    <row r="9" spans="1:12" x14ac:dyDescent="0.25">
      <c r="A9" s="14">
        <f>'Kwh Reading'!A10</f>
        <v>44384</v>
      </c>
      <c r="B9" s="83">
        <f>TOTAL!E8</f>
        <v>0</v>
      </c>
      <c r="C9" s="1">
        <f>'Kwh Consumption'!C10</f>
        <v>0</v>
      </c>
      <c r="D9" s="1">
        <f>'Kwh Consumption'!D10</f>
        <v>0</v>
      </c>
      <c r="E9" s="1">
        <f>'Kwh Consumption'!E10</f>
        <v>0</v>
      </c>
      <c r="F9" s="1">
        <f>('Kwh Consumption'!F10+'Kwh Consumption'!G10+'Kwh Consumption'!H10)</f>
        <v>0</v>
      </c>
      <c r="G9" s="16">
        <f>('Kwh Consumption'!I10+'Kwh Consumption'!J10)</f>
        <v>0</v>
      </c>
      <c r="H9" s="1">
        <f>('Kwh Consumption'!K10+'Kwh Consumption'!L10)</f>
        <v>0</v>
      </c>
      <c r="I9" s="1">
        <f>('Kwh Consumption'!M10+'Kwh Consumption'!N10+'Kwh Consumption'!O10+'Kwh Consumption'!P10+'Kwh Consumption'!Q10+'Kwh Consumption'!R10)</f>
        <v>0</v>
      </c>
      <c r="J9" s="1">
        <f>('Kwh Consumption'!S10+'Kwh Consumption'!T10)</f>
        <v>0</v>
      </c>
      <c r="K9" s="1">
        <f>'Kwh Consumption'!U10</f>
        <v>0</v>
      </c>
      <c r="L9" s="32">
        <f t="shared" si="0"/>
        <v>0</v>
      </c>
    </row>
    <row r="10" spans="1:12" x14ac:dyDescent="0.25">
      <c r="A10" s="14">
        <f>'Kwh Reading'!A11</f>
        <v>44385</v>
      </c>
      <c r="B10" s="83">
        <f>TOTAL!E9</f>
        <v>0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6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32">
        <f t="shared" si="0"/>
        <v>0</v>
      </c>
    </row>
    <row r="11" spans="1:12" x14ac:dyDescent="0.25">
      <c r="A11" s="14">
        <f>'Kwh Reading'!A12</f>
        <v>44386</v>
      </c>
      <c r="B11" s="83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2">
        <f t="shared" si="0"/>
        <v>0</v>
      </c>
    </row>
    <row r="12" spans="1:12" x14ac:dyDescent="0.25">
      <c r="A12" s="14">
        <f>'Kwh Reading'!A13</f>
        <v>44387</v>
      </c>
      <c r="B12" s="83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2">
        <f t="shared" si="0"/>
        <v>0</v>
      </c>
    </row>
    <row r="13" spans="1:12" x14ac:dyDescent="0.25">
      <c r="A13" s="14">
        <f>'Kwh Reading'!A14</f>
        <v>44388</v>
      </c>
      <c r="B13" s="83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2">
        <f t="shared" si="0"/>
        <v>0</v>
      </c>
    </row>
    <row r="14" spans="1:12" x14ac:dyDescent="0.25">
      <c r="A14" s="14">
        <f>'Kwh Reading'!A15</f>
        <v>44389</v>
      </c>
      <c r="B14" s="83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2">
        <f t="shared" si="0"/>
        <v>0</v>
      </c>
    </row>
    <row r="15" spans="1:12" x14ac:dyDescent="0.25">
      <c r="A15" s="14">
        <f>'Kwh Reading'!A16</f>
        <v>44390</v>
      </c>
      <c r="B15" s="83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2">
        <f t="shared" si="0"/>
        <v>0</v>
      </c>
    </row>
    <row r="16" spans="1:12" x14ac:dyDescent="0.25">
      <c r="A16" s="14">
        <f>'Kwh Reading'!A17</f>
        <v>44391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44392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44393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44394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44395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44396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44397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44398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44399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44400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44401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44402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44403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44404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44405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44406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44407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44408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91990.000000000233</v>
      </c>
      <c r="C34" s="75">
        <f>SUM(C3:C33)</f>
        <v>-420700</v>
      </c>
      <c r="D34" s="75">
        <f t="shared" ref="D34:L34" si="1">SUM(D3:D33)</f>
        <v>-2380799.9999999995</v>
      </c>
      <c r="E34" s="75">
        <f t="shared" si="1"/>
        <v>-229580</v>
      </c>
      <c r="F34" s="75">
        <f t="shared" si="1"/>
        <v>-891160</v>
      </c>
      <c r="G34" s="75">
        <f t="shared" si="1"/>
        <v>-272890</v>
      </c>
      <c r="H34" s="75">
        <f t="shared" si="1"/>
        <v>-1217220</v>
      </c>
      <c r="I34" s="75">
        <f t="shared" si="1"/>
        <v>-3439040</v>
      </c>
      <c r="J34" s="75">
        <f t="shared" si="1"/>
        <v>-15665211.439999999</v>
      </c>
      <c r="K34" s="75">
        <f t="shared" si="1"/>
        <v>-151380</v>
      </c>
      <c r="L34" s="75">
        <f t="shared" si="1"/>
        <v>24759971.439999998</v>
      </c>
      <c r="M34" s="84">
        <f>C34+D34+E34+F34+G34+H34+I34+J34+K34+L34</f>
        <v>91990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-58898.000000000007</v>
      </c>
      <c r="D36" s="75">
        <f>D34*B36</f>
        <v>-333311.99999999994</v>
      </c>
      <c r="E36" s="75">
        <f>E34*B36</f>
        <v>-32141.200000000004</v>
      </c>
      <c r="F36" s="75">
        <f>F34*B36</f>
        <v>-124762.40000000001</v>
      </c>
      <c r="G36" s="75">
        <f>G34*B36</f>
        <v>-38204.600000000006</v>
      </c>
      <c r="H36" s="75">
        <f>H34*B36</f>
        <v>-170410.80000000002</v>
      </c>
      <c r="I36" s="75">
        <f>I34*B36</f>
        <v>-481465.60000000003</v>
      </c>
      <c r="J36" s="75">
        <f>J34*B36</f>
        <v>-2193129.6016000002</v>
      </c>
      <c r="K36" s="75">
        <f>K34*B36</f>
        <v>-21193.200000000001</v>
      </c>
      <c r="L36" s="75">
        <f>L34*B36</f>
        <v>3466396.0016000001</v>
      </c>
      <c r="M36" s="84">
        <f>C36+D36+E36+F36+G36+H36+I36+J36+K36+L36</f>
        <v>12878.599999999627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44378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71.399999999998727</v>
      </c>
      <c r="E3" s="1">
        <f>'Kwh Consumption'!D4*' Kwh area wise $ '!B3</f>
        <v>336.00000000002518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85.400000000001924</v>
      </c>
      <c r="H3" s="16">
        <f>('Kwh Consumption'!I4+'Kwh Consumption'!J4)*' Kwh area wise $ '!B3</f>
        <v>60.200000000000962</v>
      </c>
      <c r="I3" s="1">
        <f>('Kwh Consumption'!K4+'Kwh Consumption'!L4)*' Kwh area wise $ '!B3</f>
        <v>236.60000000000369</v>
      </c>
      <c r="J3" s="1">
        <f>('Kwh Consumption'!M4+'Kwh Consumption'!N4+'Kwh Consumption'!O4+'Kwh Consumption'!P4+'Kwh Consumption'!Q4+'Kwh Consumption'!R4)*' Kwh area wise $ '!B3</f>
        <v>737.80000000000541</v>
      </c>
      <c r="K3" s="1">
        <f>('Kwh Consumption'!S4+'Kwh Consumption'!T4)*' Kwh area wise $ '!B3</f>
        <v>770.39620000014088</v>
      </c>
      <c r="L3" s="1">
        <f>'Kwh Consumption'!U4*' Kwh area wise $ '!B3</f>
        <v>32.200000000002547</v>
      </c>
      <c r="M3" s="1">
        <f>'Kwh Consumption'!V4*' Kwh area wise $ '!B3</f>
        <v>1213.4037999998236</v>
      </c>
    </row>
    <row r="4" spans="1:13" x14ac:dyDescent="0.25">
      <c r="A4" s="14">
        <f>'Kwh Reading'!A5</f>
        <v>44379</v>
      </c>
      <c r="B4" s="11">
        <f>TOTAL!F3</f>
        <v>0.14000000000000001</v>
      </c>
      <c r="C4" s="11">
        <f>'Kwh Consumption'!B5*' Kwh area wise $ '!B4</f>
        <v>3207.4000000000433</v>
      </c>
      <c r="D4" s="1">
        <f>'Kwh Consumption'!C5*' Kwh area wise $ '!B4</f>
        <v>37.800000000005419</v>
      </c>
      <c r="E4" s="1">
        <f>'Kwh Consumption'!D5*' Kwh area wise $ '!B4</f>
        <v>336.00000000002518</v>
      </c>
      <c r="F4" s="1">
        <f>'Kwh Consumption'!E5*' Kwh area wise $ '!B4</f>
        <v>33.600000000001273</v>
      </c>
      <c r="G4" s="1">
        <f>('Kwh Consumption'!F5+'Kwh Consumption'!G5+'Kwh Consumption'!H5)*' Kwh area wise $ '!B4</f>
        <v>78.400000000004312</v>
      </c>
      <c r="H4" s="16">
        <f>('Kwh Consumption'!I5+'Kwh Consumption'!J5)*' Kwh area wise $ '!B4</f>
        <v>58.800000000000246</v>
      </c>
      <c r="I4" s="1">
        <f>('Kwh Consumption'!K5+'Kwh Consumption'!L5)*' Kwh area wise $ '!B4</f>
        <v>229.60000000000608</v>
      </c>
      <c r="J4" s="1">
        <f>('Kwh Consumption'!M5+'Kwh Consumption'!N5+'Kwh Consumption'!O5+'Kwh Consumption'!P5+'Kwh Consumption'!Q5+'Kwh Consumption'!R5)*' Kwh area wise $ '!B4</f>
        <v>642.59999999998865</v>
      </c>
      <c r="K4" s="1">
        <f>('Kwh Consumption'!S5+'Kwh Consumption'!T5)*' Kwh area wise $ '!B4</f>
        <v>789.32839999994269</v>
      </c>
      <c r="L4" s="1">
        <f>'Kwh Consumption'!U5*' Kwh area wise $ '!B4</f>
        <v>32.199999999998568</v>
      </c>
      <c r="M4" s="1">
        <f>'Kwh Consumption'!V5*' Kwh area wise $ '!B4</f>
        <v>969.07160000007093</v>
      </c>
    </row>
    <row r="5" spans="1:13" x14ac:dyDescent="0.25">
      <c r="A5" s="14">
        <f>'Kwh Reading'!A6</f>
        <v>44380</v>
      </c>
      <c r="B5" s="11">
        <f>TOTAL!F4</f>
        <v>0.14000000000000001</v>
      </c>
      <c r="C5" s="11">
        <f>'Kwh Consumption'!B6*' Kwh area wise $ '!B5</f>
        <v>3298.400000000152</v>
      </c>
      <c r="D5" s="1">
        <f>'Kwh Consumption'!C6*' Kwh area wise $ '!B5</f>
        <v>64.399999999997135</v>
      </c>
      <c r="E5" s="1">
        <f>'Kwh Consumption'!D6*' Kwh area wise $ '!B5</f>
        <v>335.99999999996305</v>
      </c>
      <c r="F5" s="1">
        <f>'Kwh Consumption'!E6*' Kwh area wise $ '!B5</f>
        <v>27.999999999998412</v>
      </c>
      <c r="G5" s="1">
        <f>('Kwh Consumption'!F6+'Kwh Consumption'!G6+'Kwh Consumption'!H6)*' Kwh area wise $ '!B5</f>
        <v>88.199999999999378</v>
      </c>
      <c r="H5" s="16">
        <f>('Kwh Consumption'!I6+'Kwh Consumption'!J6)*' Kwh area wise $ '!B5</f>
        <v>39.200000000000166</v>
      </c>
      <c r="I5" s="1">
        <f>('Kwh Consumption'!K6+'Kwh Consumption'!L6)*' Kwh area wise $ '!B5</f>
        <v>236.60000000000369</v>
      </c>
      <c r="J5" s="1">
        <f>('Kwh Consumption'!M6+'Kwh Consumption'!N6+'Kwh Consumption'!O6+'Kwh Consumption'!P6+'Kwh Consumption'!Q6+'Kwh Consumption'!R6)*' Kwh area wise $ '!B5</f>
        <v>650.99999999999693</v>
      </c>
      <c r="K5" s="1">
        <f>('Kwh Consumption'!S6+'Kwh Consumption'!T6)*' Kwh area wise $ '!B5</f>
        <v>861.07839999994269</v>
      </c>
      <c r="L5" s="1">
        <f>'Kwh Consumption'!U6*' Kwh area wise $ '!B5</f>
        <v>32.199999999998568</v>
      </c>
      <c r="M5" s="1">
        <f>'Kwh Consumption'!V6*' Kwh area wise $ '!B5</f>
        <v>961.72160000025258</v>
      </c>
    </row>
    <row r="6" spans="1:13" x14ac:dyDescent="0.25">
      <c r="A6" s="14">
        <f>'Kwh Reading'!A7</f>
        <v>44381</v>
      </c>
      <c r="B6" s="11">
        <f>TOTAL!F5</f>
        <v>0.14000000000000001</v>
      </c>
      <c r="C6" s="11">
        <f>'Kwh Consumption'!B7*' Kwh area wise $ '!B6</f>
        <v>3247.9999999998158</v>
      </c>
      <c r="D6" s="1">
        <f>'Kwh Consumption'!C7*' Kwh area wise $ '!B6</f>
        <v>62.999999999998415</v>
      </c>
      <c r="E6" s="1">
        <f>'Kwh Consumption'!D7*' Kwh area wise $ '!B6</f>
        <v>336.00000000002518</v>
      </c>
      <c r="F6" s="1">
        <f>'Kwh Consumption'!E7*' Kwh area wise $ '!B6</f>
        <v>32.200000000002547</v>
      </c>
      <c r="G6" s="1">
        <f>('Kwh Consumption'!F7+'Kwh Consumption'!G7+'Kwh Consumption'!H7)*' Kwh area wise $ '!B6</f>
        <v>97.999999999998423</v>
      </c>
      <c r="H6" s="16">
        <f>('Kwh Consumption'!I7+'Kwh Consumption'!J7)*' Kwh area wise $ '!B6</f>
        <v>82.599999999998502</v>
      </c>
      <c r="I6" s="1">
        <f>('Kwh Consumption'!K7+'Kwh Consumption'!L7)*' Kwh area wise $ '!B6</f>
        <v>225.39999999999398</v>
      </c>
      <c r="J6" s="1">
        <f>('Kwh Consumption'!M7+'Kwh Consumption'!N7+'Kwh Consumption'!O7+'Kwh Consumption'!P7+'Kwh Consumption'!Q7+'Kwh Consumption'!R7)*' Kwh area wise $ '!B6</f>
        <v>613.20000000001539</v>
      </c>
      <c r="K6" s="1">
        <f>('Kwh Consumption'!S7+'Kwh Consumption'!T7)*' Kwh area wise $ '!B6</f>
        <v>779.94839999994269</v>
      </c>
      <c r="L6" s="1">
        <f>'Kwh Consumption'!U7*' Kwh area wise $ '!B6</f>
        <v>26.599999999999685</v>
      </c>
      <c r="M6" s="1">
        <f>'Kwh Consumption'!V7*' Kwh area wise $ '!B6</f>
        <v>991.05159999984096</v>
      </c>
    </row>
    <row r="7" spans="1:13" x14ac:dyDescent="0.25">
      <c r="A7" s="14">
        <f>'Kwh Reading'!A8</f>
        <v>44382</v>
      </c>
      <c r="B7" s="11">
        <f>TOTAL!F6</f>
        <v>0.14000000000000001</v>
      </c>
      <c r="C7" s="11">
        <f>'Kwh Consumption'!B8*' Kwh area wise $ '!B7</f>
        <v>0</v>
      </c>
      <c r="D7" s="1">
        <f>'Kwh Consumption'!C8*' Kwh area wise $ '!B7</f>
        <v>-59134.600000000006</v>
      </c>
      <c r="E7" s="1">
        <f>'Kwh Consumption'!D8*' Kwh area wise $ '!B7</f>
        <v>-334656.00000000006</v>
      </c>
      <c r="F7" s="1">
        <f>'Kwh Consumption'!E8*' Kwh area wise $ '!B7</f>
        <v>-32264.400000000001</v>
      </c>
      <c r="G7" s="1">
        <f>('Kwh Consumption'!F8+'Kwh Consumption'!G8+'Kwh Consumption'!H8)*' Kwh area wise $ '!B7</f>
        <v>-125112.40000000001</v>
      </c>
      <c r="H7" s="16">
        <f>('Kwh Consumption'!I8+'Kwh Consumption'!J8)*' Kwh area wise $ '!B7</f>
        <v>-38445.4</v>
      </c>
      <c r="I7" s="1">
        <f>('Kwh Consumption'!K8+'Kwh Consumption'!L8)*' Kwh area wise $ '!B7</f>
        <v>-171339.00000000003</v>
      </c>
      <c r="J7" s="1">
        <f>('Kwh Consumption'!M8+'Kwh Consumption'!N8+'Kwh Consumption'!O8+'Kwh Consumption'!P8+'Kwh Consumption'!Q8+'Kwh Consumption'!R8)*' Kwh area wise $ '!B7</f>
        <v>-484110.20000000007</v>
      </c>
      <c r="K7" s="1">
        <f>('Kwh Consumption'!S8+'Kwh Consumption'!T8)*' Kwh area wise $ '!B7</f>
        <v>-2196330.3530000001</v>
      </c>
      <c r="L7" s="1">
        <f>'Kwh Consumption'!U8*' Kwh area wise $ '!B7</f>
        <v>-21316.400000000001</v>
      </c>
      <c r="M7" s="1">
        <f>'Kwh Consumption'!V8*' Kwh area wise $ '!B7</f>
        <v>3462708.753</v>
      </c>
    </row>
    <row r="8" spans="1:13" x14ac:dyDescent="0.25">
      <c r="A8" s="14">
        <f>'Kwh Reading'!A9</f>
        <v>44383</v>
      </c>
      <c r="B8" s="11">
        <f>TOTAL!F7</f>
        <v>0.14000000000000001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1">
        <f>('Kwh Consumption'!S9+'Kwh Consumption'!T9)*' Kwh area wise $ '!B8</f>
        <v>0</v>
      </c>
      <c r="L8" s="1">
        <f>'Kwh Consumption'!U9*' Kwh area wise $ '!B8</f>
        <v>0</v>
      </c>
      <c r="M8" s="1">
        <f>'Kwh Consumption'!V9*' Kwh area wise $ '!B8</f>
        <v>0</v>
      </c>
    </row>
    <row r="9" spans="1:13" x14ac:dyDescent="0.25">
      <c r="A9" s="14">
        <f>'Kwh Reading'!A10</f>
        <v>44384</v>
      </c>
      <c r="B9" s="11">
        <f>TOTAL!F8</f>
        <v>0.14000000000000001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1">
        <f>('Kwh Consumption'!S10+'Kwh Consumption'!T10)*' Kwh area wise $ '!B9</f>
        <v>0</v>
      </c>
      <c r="L9" s="1">
        <f>'Kwh Consumption'!U10*' Kwh area wise $ '!B9</f>
        <v>0</v>
      </c>
      <c r="M9" s="1">
        <f>'Kwh Consumption'!V10*' Kwh area wise $ '!B9</f>
        <v>0</v>
      </c>
    </row>
    <row r="10" spans="1:13" x14ac:dyDescent="0.25">
      <c r="A10" s="14">
        <f>'Kwh Reading'!A11</f>
        <v>44385</v>
      </c>
      <c r="B10" s="11">
        <f>TOTAL!F9</f>
        <v>0.14000000000000001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1">
        <f>('Kwh Consumption'!S11+'Kwh Consumption'!T11)*' Kwh area wise $ '!B10</f>
        <v>0</v>
      </c>
      <c r="L10" s="1">
        <f>'Kwh Consumption'!U11*' Kwh area wise $ '!B10</f>
        <v>0</v>
      </c>
      <c r="M10" s="1">
        <f>'Kwh Consumption'!V11*' Kwh area wise $ '!B10</f>
        <v>0</v>
      </c>
    </row>
    <row r="11" spans="1:13" x14ac:dyDescent="0.25">
      <c r="A11" s="14">
        <f>'Kwh Reading'!A12</f>
        <v>44386</v>
      </c>
      <c r="B11" s="11">
        <f>TOTAL!F10</f>
        <v>0.14000000000000001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1">
        <f>('Kwh Consumption'!S12+'Kwh Consumption'!T12)*' Kwh area wise $ '!B11</f>
        <v>0</v>
      </c>
      <c r="L11" s="1">
        <f>'Kwh Consumption'!U12*' Kwh area wise $ '!B11</f>
        <v>0</v>
      </c>
      <c r="M11" s="1">
        <f>'Kwh Consumption'!V12*' Kwh area wise $ '!B11</f>
        <v>0</v>
      </c>
    </row>
    <row r="12" spans="1:13" x14ac:dyDescent="0.25">
      <c r="A12" s="14">
        <f>'Kwh Reading'!A13</f>
        <v>44387</v>
      </c>
      <c r="B12" s="11">
        <f>TOTAL!F11</f>
        <v>0.14000000000000001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1">
        <f>('Kwh Consumption'!S13+'Kwh Consumption'!T13)*' Kwh area wise $ '!B12</f>
        <v>0</v>
      </c>
      <c r="L12" s="1">
        <f>'Kwh Consumption'!U13*' Kwh area wise $ '!B12</f>
        <v>0</v>
      </c>
      <c r="M12" s="1">
        <f>'Kwh Consumption'!V13*' Kwh area wise $ '!B12</f>
        <v>0</v>
      </c>
    </row>
    <row r="13" spans="1:13" x14ac:dyDescent="0.25">
      <c r="A13" s="14">
        <f>'Kwh Reading'!A14</f>
        <v>44388</v>
      </c>
      <c r="B13" s="11">
        <f>TOTAL!F12</f>
        <v>0.14000000000000001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44389</v>
      </c>
      <c r="B14" s="11">
        <f>TOTAL!F13</f>
        <v>0.14000000000000001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44390</v>
      </c>
      <c r="B15" s="11">
        <f>TOTAL!F14</f>
        <v>0.14000000000000001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44391</v>
      </c>
      <c r="B16" s="11">
        <f>TOTAL!F15</f>
        <v>0.14000000000000001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44392</v>
      </c>
      <c r="B17" s="11">
        <f>TOTAL!F16</f>
        <v>0.14000000000000001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44393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44394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44395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44396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44397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44398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44399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44400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44401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44402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44403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44404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44405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44406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44407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44408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13326.600000000011</v>
      </c>
      <c r="D34" s="75">
        <f t="shared" si="0"/>
        <v>-58898.000000000007</v>
      </c>
      <c r="E34" s="75">
        <f t="shared" si="0"/>
        <v>-333312</v>
      </c>
      <c r="F34" s="75">
        <f t="shared" si="0"/>
        <v>-32141.200000000001</v>
      </c>
      <c r="G34" s="75">
        <f t="shared" si="0"/>
        <v>-124762.40000000001</v>
      </c>
      <c r="H34" s="75">
        <f t="shared" si="0"/>
        <v>-38204.6</v>
      </c>
      <c r="I34" s="75">
        <f t="shared" si="0"/>
        <v>-170410.80000000002</v>
      </c>
      <c r="J34" s="75">
        <f t="shared" si="0"/>
        <v>-481465.60000000003</v>
      </c>
      <c r="K34" s="75">
        <f t="shared" si="0"/>
        <v>-2193129.6016000002</v>
      </c>
      <c r="L34" s="75">
        <f t="shared" si="0"/>
        <v>-21193.200000000001</v>
      </c>
      <c r="M34" s="75">
        <f>SUM(M3:M33)</f>
        <v>3466844.0016000001</v>
      </c>
      <c r="N34" s="84">
        <f>D34+E34+F34+G34+H34+I34+J34+K34+L34+M34</f>
        <v>13326.599999999627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I23" sqref="I23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44378</v>
      </c>
      <c r="B3" s="33">
        <v>169330</v>
      </c>
      <c r="C3" s="56">
        <v>128135</v>
      </c>
      <c r="D3" s="33">
        <v>209296</v>
      </c>
      <c r="E3" s="33">
        <v>247852</v>
      </c>
      <c r="F3" s="33">
        <v>66928</v>
      </c>
      <c r="G3" s="33">
        <v>111641</v>
      </c>
      <c r="H3" s="33">
        <v>52942</v>
      </c>
      <c r="I3" s="33">
        <v>63628</v>
      </c>
      <c r="J3" s="33">
        <v>20282</v>
      </c>
      <c r="K3" s="33">
        <v>1024</v>
      </c>
      <c r="L3" s="33">
        <v>17229</v>
      </c>
      <c r="M3" s="33">
        <v>24158</v>
      </c>
      <c r="N3" s="33">
        <v>7292</v>
      </c>
      <c r="O3" s="33">
        <v>1670</v>
      </c>
      <c r="P3" s="33">
        <v>27014</v>
      </c>
      <c r="Q3" s="33">
        <v>641.5</v>
      </c>
      <c r="R3" s="33">
        <v>6229</v>
      </c>
    </row>
    <row r="4" spans="1:21" x14ac:dyDescent="0.25">
      <c r="A4" s="54">
        <v>44379</v>
      </c>
      <c r="B4" s="56">
        <v>169882</v>
      </c>
      <c r="C4" s="56">
        <v>128197</v>
      </c>
      <c r="D4" s="55">
        <v>209425</v>
      </c>
      <c r="E4" s="55">
        <v>247907</v>
      </c>
      <c r="F4" s="55">
        <v>66929</v>
      </c>
      <c r="G4" s="55">
        <v>111656</v>
      </c>
      <c r="H4" s="33">
        <v>52967</v>
      </c>
      <c r="I4" s="55">
        <v>63657</v>
      </c>
      <c r="J4" s="55">
        <v>20302</v>
      </c>
      <c r="K4" s="55">
        <v>1024</v>
      </c>
      <c r="L4" s="55">
        <v>17236</v>
      </c>
      <c r="M4" s="55">
        <v>24174</v>
      </c>
      <c r="N4" s="55">
        <v>7298</v>
      </c>
      <c r="O4" s="55">
        <v>1671</v>
      </c>
      <c r="P4" s="55">
        <v>27027</v>
      </c>
      <c r="Q4" s="33">
        <v>649.29999999999995</v>
      </c>
      <c r="R4" s="55">
        <v>6233</v>
      </c>
    </row>
    <row r="5" spans="1:21" x14ac:dyDescent="0.25">
      <c r="A5" s="54">
        <v>44380</v>
      </c>
      <c r="B5" s="55">
        <v>170086</v>
      </c>
      <c r="C5" s="33">
        <v>128487</v>
      </c>
      <c r="D5" s="55">
        <v>209595</v>
      </c>
      <c r="E5" s="55">
        <v>247966</v>
      </c>
      <c r="F5" s="55">
        <v>66931</v>
      </c>
      <c r="G5" s="55">
        <v>111672</v>
      </c>
      <c r="H5" s="33">
        <v>53006</v>
      </c>
      <c r="I5" s="55">
        <v>63668</v>
      </c>
      <c r="J5" s="55">
        <v>20322</v>
      </c>
      <c r="K5" s="55">
        <v>1024</v>
      </c>
      <c r="L5" s="55">
        <v>17244</v>
      </c>
      <c r="M5" s="55">
        <v>24188</v>
      </c>
      <c r="N5" s="55">
        <v>7304</v>
      </c>
      <c r="O5" s="55">
        <v>1672</v>
      </c>
      <c r="P5" s="55">
        <v>27027</v>
      </c>
      <c r="Q5" s="33">
        <v>652</v>
      </c>
      <c r="R5" s="55">
        <v>6234</v>
      </c>
    </row>
    <row r="6" spans="1:21" x14ac:dyDescent="0.25">
      <c r="A6" s="54">
        <v>44381</v>
      </c>
      <c r="B6" s="56">
        <v>170694</v>
      </c>
      <c r="C6" s="56">
        <v>128594</v>
      </c>
      <c r="D6" s="55">
        <v>209781</v>
      </c>
      <c r="E6" s="55">
        <v>248016</v>
      </c>
      <c r="F6" s="55">
        <v>66932</v>
      </c>
      <c r="G6" s="55">
        <v>111683</v>
      </c>
      <c r="H6" s="33">
        <v>53031</v>
      </c>
      <c r="I6" s="55">
        <v>63693</v>
      </c>
      <c r="J6" s="55">
        <v>20341</v>
      </c>
      <c r="K6" s="55">
        <v>1024</v>
      </c>
      <c r="L6" s="55">
        <v>17250</v>
      </c>
      <c r="M6" s="55">
        <v>24204</v>
      </c>
      <c r="N6" s="55">
        <v>7309</v>
      </c>
      <c r="O6" s="55">
        <v>1673</v>
      </c>
      <c r="P6" s="55">
        <v>27040</v>
      </c>
      <c r="Q6" s="33">
        <v>657</v>
      </c>
      <c r="R6" s="55">
        <v>6238</v>
      </c>
    </row>
    <row r="7" spans="1:21" x14ac:dyDescent="0.25">
      <c r="A7" s="54">
        <v>44382</v>
      </c>
      <c r="B7" s="56">
        <v>171066</v>
      </c>
      <c r="C7" s="33">
        <v>128164</v>
      </c>
      <c r="D7" s="55">
        <v>209876</v>
      </c>
      <c r="E7" s="55">
        <v>248084</v>
      </c>
      <c r="F7" s="55">
        <v>66933</v>
      </c>
      <c r="G7" s="55">
        <v>111699</v>
      </c>
      <c r="H7" s="33">
        <v>53072</v>
      </c>
      <c r="I7" s="55">
        <v>63718</v>
      </c>
      <c r="J7" s="55">
        <v>20357</v>
      </c>
      <c r="K7" s="55">
        <v>1024</v>
      </c>
      <c r="L7" s="55">
        <v>17257</v>
      </c>
      <c r="M7" s="55">
        <v>24218</v>
      </c>
      <c r="N7" s="55">
        <v>7315</v>
      </c>
      <c r="O7" s="55">
        <v>1674</v>
      </c>
      <c r="P7" s="55">
        <v>27049</v>
      </c>
      <c r="Q7" s="33">
        <v>662</v>
      </c>
      <c r="R7" s="55">
        <v>6242</v>
      </c>
    </row>
    <row r="8" spans="1:21" x14ac:dyDescent="0.25">
      <c r="A8" s="54">
        <v>44383</v>
      </c>
      <c r="B8" s="33"/>
      <c r="C8" s="56"/>
      <c r="D8" s="55"/>
      <c r="E8" s="55"/>
      <c r="F8" s="55"/>
      <c r="G8" s="55"/>
      <c r="H8" s="33"/>
      <c r="I8" s="55"/>
      <c r="J8" s="55"/>
      <c r="K8" s="55"/>
      <c r="L8" s="55"/>
      <c r="M8" s="55"/>
      <c r="N8" s="55"/>
      <c r="O8" s="55"/>
      <c r="P8" s="55"/>
      <c r="Q8" s="33"/>
      <c r="R8" s="55"/>
    </row>
    <row r="9" spans="1:21" x14ac:dyDescent="0.25">
      <c r="A9" s="54">
        <v>44384</v>
      </c>
      <c r="B9" s="33"/>
      <c r="C9" s="33"/>
      <c r="D9" s="55"/>
      <c r="E9" s="55"/>
      <c r="F9" s="55"/>
      <c r="G9" s="55"/>
      <c r="H9" s="33"/>
      <c r="I9" s="55"/>
      <c r="J9" s="55"/>
      <c r="K9" s="55"/>
      <c r="L9" s="55"/>
      <c r="M9" s="55"/>
      <c r="N9" s="55"/>
      <c r="O9" s="55"/>
      <c r="P9" s="55"/>
      <c r="Q9" s="33"/>
      <c r="R9" s="55"/>
    </row>
    <row r="10" spans="1:21" x14ac:dyDescent="0.25">
      <c r="A10" s="54">
        <v>44385</v>
      </c>
      <c r="B10" s="33"/>
      <c r="C10" s="56"/>
      <c r="D10" s="55"/>
      <c r="E10" s="55"/>
      <c r="F10" s="55"/>
      <c r="G10" s="55"/>
      <c r="H10" s="33"/>
      <c r="I10" s="55"/>
      <c r="J10" s="55"/>
      <c r="K10" s="55"/>
      <c r="L10" s="55"/>
      <c r="M10" s="55"/>
      <c r="N10" s="55"/>
      <c r="O10" s="55"/>
      <c r="P10" s="55"/>
      <c r="Q10" s="33"/>
      <c r="R10" s="55"/>
    </row>
    <row r="11" spans="1:21" x14ac:dyDescent="0.25">
      <c r="A11" s="54">
        <v>44386</v>
      </c>
      <c r="B11" s="33"/>
      <c r="C11" s="33"/>
      <c r="D11" s="55"/>
      <c r="E11" s="55"/>
      <c r="F11" s="55"/>
      <c r="G11" s="55"/>
      <c r="H11" s="33"/>
      <c r="I11" s="55"/>
      <c r="J11" s="55"/>
      <c r="K11" s="55"/>
      <c r="L11" s="55"/>
      <c r="M11" s="55"/>
      <c r="N11" s="55"/>
      <c r="O11" s="55"/>
      <c r="P11" s="55"/>
      <c r="Q11" s="33"/>
      <c r="R11" s="55"/>
    </row>
    <row r="12" spans="1:21" x14ac:dyDescent="0.25">
      <c r="A12" s="54">
        <v>44387</v>
      </c>
      <c r="B12" s="33"/>
      <c r="C12" s="56"/>
      <c r="D12" s="55"/>
      <c r="E12" s="55"/>
      <c r="F12" s="55"/>
      <c r="G12" s="55"/>
      <c r="H12" s="33"/>
      <c r="I12" s="55"/>
      <c r="J12" s="55"/>
      <c r="K12" s="55"/>
      <c r="L12" s="55"/>
      <c r="M12" s="55"/>
      <c r="N12" s="55"/>
      <c r="O12" s="55"/>
      <c r="P12" s="55"/>
      <c r="Q12" s="33"/>
      <c r="R12" s="55"/>
    </row>
    <row r="13" spans="1:21" x14ac:dyDescent="0.25">
      <c r="A13" s="54">
        <v>44388</v>
      </c>
      <c r="B13" s="33"/>
      <c r="C13" s="33"/>
      <c r="D13" s="55"/>
      <c r="E13" s="55"/>
      <c r="F13" s="55"/>
      <c r="G13" s="55"/>
      <c r="H13" s="33"/>
      <c r="I13" s="55"/>
      <c r="J13" s="55"/>
      <c r="K13" s="55"/>
      <c r="L13" s="55"/>
      <c r="M13" s="55"/>
      <c r="N13" s="55"/>
      <c r="O13" s="55"/>
      <c r="P13" s="55"/>
      <c r="Q13" s="33"/>
      <c r="R13" s="55"/>
    </row>
    <row r="14" spans="1:21" x14ac:dyDescent="0.25">
      <c r="A14" s="54">
        <v>44389</v>
      </c>
      <c r="B14" s="33"/>
      <c r="C14" s="56"/>
      <c r="D14" s="55"/>
      <c r="E14" s="55"/>
      <c r="F14" s="55"/>
      <c r="G14" s="55"/>
      <c r="H14" s="33"/>
      <c r="I14" s="55"/>
      <c r="J14" s="55"/>
      <c r="K14" s="55"/>
      <c r="L14" s="55"/>
      <c r="M14" s="55"/>
      <c r="N14" s="55"/>
      <c r="O14" s="55"/>
      <c r="P14" s="55"/>
      <c r="Q14" s="33"/>
      <c r="R14" s="55"/>
    </row>
    <row r="15" spans="1:21" x14ac:dyDescent="0.25">
      <c r="A15" s="54">
        <v>44390</v>
      </c>
      <c r="B15" s="33"/>
      <c r="C15" s="33"/>
      <c r="D15" s="55"/>
      <c r="E15" s="55"/>
      <c r="F15" s="55"/>
      <c r="G15" s="55"/>
      <c r="H15" s="33"/>
      <c r="I15" s="55"/>
      <c r="J15" s="55"/>
      <c r="K15" s="55"/>
      <c r="L15" s="55"/>
      <c r="M15" s="55"/>
      <c r="N15" s="55"/>
      <c r="O15" s="55"/>
      <c r="P15" s="55"/>
      <c r="Q15" s="33"/>
      <c r="R15" s="55"/>
      <c r="T15" s="110"/>
      <c r="U15" s="110"/>
    </row>
    <row r="16" spans="1:21" x14ac:dyDescent="0.25">
      <c r="A16" s="54">
        <v>44391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44392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44393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  <c r="U18" s="110"/>
    </row>
    <row r="19" spans="1:22" x14ac:dyDescent="0.25">
      <c r="A19" s="54">
        <v>44394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44395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44396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44397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44398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44399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44400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44401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44402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44403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44404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44405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44406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44407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44408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44409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D1" zoomScale="70" zoomScaleNormal="70" workbookViewId="0">
      <pane ySplit="3" topLeftCell="A4" activePane="bottomLeft" state="frozen"/>
      <selection activeCell="C25" sqref="C25"/>
      <selection pane="bottomLeft" activeCell="Y4" sqref="Y4:Y7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32</v>
      </c>
      <c r="B2" s="136" t="s">
        <v>109</v>
      </c>
      <c r="C2" s="136" t="s">
        <v>110</v>
      </c>
      <c r="D2" s="136"/>
      <c r="E2" s="137" t="s">
        <v>98</v>
      </c>
      <c r="F2" s="138"/>
      <c r="G2" s="139" t="s">
        <v>113</v>
      </c>
      <c r="H2" s="138"/>
      <c r="I2" s="139" t="s">
        <v>111</v>
      </c>
      <c r="J2" s="138"/>
      <c r="K2" s="139" t="s">
        <v>112</v>
      </c>
      <c r="L2" s="138"/>
      <c r="M2" s="139" t="s">
        <v>108</v>
      </c>
      <c r="N2" s="138"/>
      <c r="O2" s="139" t="s">
        <v>107</v>
      </c>
      <c r="P2" s="138"/>
      <c r="Q2" s="139" t="s">
        <v>114</v>
      </c>
      <c r="R2" s="138"/>
      <c r="S2" s="139" t="s">
        <v>115</v>
      </c>
      <c r="T2" s="138"/>
      <c r="U2" s="139" t="s">
        <v>116</v>
      </c>
      <c r="V2" s="138"/>
      <c r="W2" s="139" t="s">
        <v>100</v>
      </c>
      <c r="X2" s="140"/>
      <c r="Y2" s="141" t="s">
        <v>53</v>
      </c>
      <c r="Z2" s="141"/>
    </row>
    <row r="3" spans="1:26" ht="30" x14ac:dyDescent="0.35">
      <c r="A3" s="135"/>
      <c r="B3" s="136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44378</v>
      </c>
      <c r="B4" s="65">
        <v>469</v>
      </c>
      <c r="C4" s="66">
        <f>('Water Reading'!B4-'Water Reading'!B3)+('Water Reading'!C4-'Water Reading'!C3)</f>
        <v>614</v>
      </c>
      <c r="D4" s="67">
        <f>C4/B4</f>
        <v>1.3091684434968016</v>
      </c>
      <c r="E4" s="88">
        <f>'Water Reading'!H4-'Water Reading'!H3</f>
        <v>25</v>
      </c>
      <c r="F4" s="89">
        <f>E4/C4</f>
        <v>4.071661237785016E-2</v>
      </c>
      <c r="G4" s="93">
        <f>('Water Reading'!D4-'Water Reading'!D3)-('Water Reading'!R4-'Water Reading'!R3)-('Water Reading'!Q4-'Water Reading'!Q3)</f>
        <v>117.20000000000005</v>
      </c>
      <c r="H4" s="89">
        <f>G4/C4</f>
        <v>0.19087947882736164</v>
      </c>
      <c r="I4" s="90">
        <f>'Water Reading'!P4-'Water Reading'!P3</f>
        <v>13</v>
      </c>
      <c r="J4" s="68">
        <f>I4/C4</f>
        <v>2.1172638436482084E-2</v>
      </c>
      <c r="K4" s="91">
        <f>('Water Reading'!I4-'Water Reading'!I3)-('Water Reading'!P4-'Water Reading'!P3)</f>
        <v>16</v>
      </c>
      <c r="L4" s="68">
        <f>K4/C4</f>
        <v>2.6058631921824105E-2</v>
      </c>
      <c r="M4" s="90">
        <f>'Water Reading'!R4-'Water Reading'!R3</f>
        <v>4</v>
      </c>
      <c r="N4" s="92">
        <f>M4/C4</f>
        <v>6.5146579804560263E-3</v>
      </c>
      <c r="O4" s="90">
        <f>'Water Reading'!Q4-'Water Reading'!Q3</f>
        <v>7.7999999999999545</v>
      </c>
      <c r="P4" s="99">
        <f>O4/C4</f>
        <v>1.2703583061889177E-2</v>
      </c>
      <c r="Q4" s="91">
        <f>'Water Reading'!F4-'Water Reading'!F3</f>
        <v>1</v>
      </c>
      <c r="R4" s="100">
        <f>Q4/C4</f>
        <v>1.6286644951140066E-3</v>
      </c>
      <c r="S4" s="90">
        <f>'Water Reading'!E4-'Water Reading'!E3</f>
        <v>55</v>
      </c>
      <c r="T4" s="100">
        <f>S4/C4</f>
        <v>8.9576547231270356E-2</v>
      </c>
      <c r="U4" s="90">
        <f>'Water Reading'!G4-'Water Reading'!G3</f>
        <v>15</v>
      </c>
      <c r="V4" s="100">
        <f>U4/C4</f>
        <v>2.4429967426710098E-2</v>
      </c>
      <c r="W4" s="90">
        <f>'Water Reading'!J4-'Water Reading'!J3</f>
        <v>20</v>
      </c>
      <c r="X4" s="100">
        <f>W4/C4</f>
        <v>3.2573289902280131E-2</v>
      </c>
      <c r="Y4" s="66">
        <f t="shared" ref="Y4:Y34" si="0">E4+I4+K4+M4+O4+G4+Q4+S4+U4+W4</f>
        <v>274</v>
      </c>
      <c r="Z4" s="67">
        <f t="shared" ref="Z4:Z35" si="1">Y4/B4</f>
        <v>0.58422174840085284</v>
      </c>
    </row>
    <row r="5" spans="1:26" x14ac:dyDescent="0.25">
      <c r="A5" s="8">
        <f>'Water Reading'!A4</f>
        <v>44379</v>
      </c>
      <c r="B5" s="65">
        <f>TOTAL!I3</f>
        <v>247</v>
      </c>
      <c r="C5" s="66">
        <f>('Water Reading'!B5-'Water Reading'!B4)+('Water Reading'!C5-'Water Reading'!C4)</f>
        <v>494</v>
      </c>
      <c r="D5" s="67">
        <f t="shared" ref="D5:D34" si="2">C5/B5</f>
        <v>2</v>
      </c>
      <c r="E5" s="88">
        <f>'Water Reading'!H5-'Water Reading'!H4</f>
        <v>39</v>
      </c>
      <c r="F5" s="89">
        <f t="shared" ref="F5:F34" si="3">E5/C5</f>
        <v>7.8947368421052627E-2</v>
      </c>
      <c r="G5" s="93">
        <f>('Water Reading'!D5-'Water Reading'!D4)-('Water Reading'!R5-'Water Reading'!R4)-('Water Reading'!Q5-'Water Reading'!Q4)</f>
        <v>166.29999999999995</v>
      </c>
      <c r="H5" s="89">
        <f t="shared" ref="H5:H34" si="4">G5/C5</f>
        <v>0.33663967611336021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11</v>
      </c>
      <c r="L5" s="68">
        <f t="shared" ref="L5:L34" si="6">K5/C5</f>
        <v>2.2267206477732792E-2</v>
      </c>
      <c r="M5" s="90">
        <f>'Water Reading'!R5-'Water Reading'!R4</f>
        <v>1</v>
      </c>
      <c r="N5" s="92">
        <f t="shared" ref="N5:N34" si="7">M5/C5</f>
        <v>2.0242914979757085E-3</v>
      </c>
      <c r="O5" s="90">
        <f>'Water Reading'!Q5-'Water Reading'!Q4</f>
        <v>2.7000000000000455</v>
      </c>
      <c r="P5" s="99">
        <f t="shared" ref="P5:P34" si="8">O5/C5</f>
        <v>5.4655870445345046E-3</v>
      </c>
      <c r="Q5" s="91">
        <f>'Water Reading'!F5-'Water Reading'!F4</f>
        <v>2</v>
      </c>
      <c r="R5" s="100">
        <f t="shared" ref="R5:R34" si="9">Q5/C5</f>
        <v>4.048582995951417E-3</v>
      </c>
      <c r="S5" s="90">
        <f>'Water Reading'!E5-'Water Reading'!E4</f>
        <v>59</v>
      </c>
      <c r="T5" s="100">
        <f t="shared" ref="T5:T34" si="10">S5/C5</f>
        <v>0.1194331983805668</v>
      </c>
      <c r="U5" s="90">
        <f>'Water Reading'!G5-'Water Reading'!G4</f>
        <v>16</v>
      </c>
      <c r="V5" s="100">
        <f t="shared" ref="V5:V34" si="11">U5/C5</f>
        <v>3.2388663967611336E-2</v>
      </c>
      <c r="W5" s="90">
        <f>'Water Reading'!J5-'Water Reading'!J4</f>
        <v>20</v>
      </c>
      <c r="X5" s="100">
        <f t="shared" ref="X5:X34" si="12">W5/C5</f>
        <v>4.048582995951417E-2</v>
      </c>
      <c r="Y5" s="66">
        <f t="shared" si="0"/>
        <v>317</v>
      </c>
      <c r="Z5" s="67">
        <f t="shared" si="1"/>
        <v>1.2834008097165992</v>
      </c>
    </row>
    <row r="6" spans="1:26" x14ac:dyDescent="0.25">
      <c r="A6" s="8">
        <f>'Water Reading'!A5</f>
        <v>44380</v>
      </c>
      <c r="B6" s="65">
        <f>TOTAL!I4</f>
        <v>242</v>
      </c>
      <c r="C6" s="66">
        <f>('Water Reading'!B6-'Water Reading'!B5)+('Water Reading'!C6-'Water Reading'!C5)</f>
        <v>715</v>
      </c>
      <c r="D6" s="67">
        <f t="shared" si="2"/>
        <v>2.9545454545454546</v>
      </c>
      <c r="E6" s="88">
        <f>'Water Reading'!H6-'Water Reading'!H5</f>
        <v>25</v>
      </c>
      <c r="F6" s="89">
        <f t="shared" si="3"/>
        <v>3.4965034965034968E-2</v>
      </c>
      <c r="G6" s="93">
        <f>('Water Reading'!D6-'Water Reading'!D5)-('Water Reading'!R6-'Water Reading'!R5)-('Water Reading'!Q6-'Water Reading'!Q5)</f>
        <v>177</v>
      </c>
      <c r="H6" s="89">
        <f t="shared" si="4"/>
        <v>0.24755244755244754</v>
      </c>
      <c r="I6" s="90">
        <f>'Water Reading'!P6-'Water Reading'!P5</f>
        <v>13</v>
      </c>
      <c r="J6" s="68">
        <f t="shared" si="5"/>
        <v>1.8181818181818181E-2</v>
      </c>
      <c r="K6" s="91">
        <f>('Water Reading'!I6-'Water Reading'!I5)-('Water Reading'!P6-'Water Reading'!P5)</f>
        <v>12</v>
      </c>
      <c r="L6" s="68">
        <f t="shared" si="6"/>
        <v>1.6783216783216783E-2</v>
      </c>
      <c r="M6" s="90">
        <f>'Water Reading'!R6-'Water Reading'!R5</f>
        <v>4</v>
      </c>
      <c r="N6" s="92">
        <f t="shared" si="7"/>
        <v>5.5944055944055944E-3</v>
      </c>
      <c r="O6" s="90">
        <f>'Water Reading'!Q6-'Water Reading'!Q5</f>
        <v>5</v>
      </c>
      <c r="P6" s="99">
        <f t="shared" si="8"/>
        <v>6.993006993006993E-3</v>
      </c>
      <c r="Q6" s="91">
        <f>'Water Reading'!F6-'Water Reading'!F5</f>
        <v>1</v>
      </c>
      <c r="R6" s="100">
        <f t="shared" si="9"/>
        <v>1.3986013986013986E-3</v>
      </c>
      <c r="S6" s="90">
        <f>'Water Reading'!E6-'Water Reading'!E5</f>
        <v>50</v>
      </c>
      <c r="T6" s="100">
        <f t="shared" si="10"/>
        <v>6.9930069930069935E-2</v>
      </c>
      <c r="U6" s="90">
        <f>'Water Reading'!G6-'Water Reading'!G5</f>
        <v>11</v>
      </c>
      <c r="V6" s="100">
        <f t="shared" si="11"/>
        <v>1.5384615384615385E-2</v>
      </c>
      <c r="W6" s="90">
        <f>'Water Reading'!J6-'Water Reading'!J5</f>
        <v>19</v>
      </c>
      <c r="X6" s="100">
        <f t="shared" si="12"/>
        <v>2.6573426573426574E-2</v>
      </c>
      <c r="Y6" s="66">
        <f t="shared" si="0"/>
        <v>317</v>
      </c>
      <c r="Z6" s="67">
        <f t="shared" si="1"/>
        <v>1.3099173553719008</v>
      </c>
    </row>
    <row r="7" spans="1:26" x14ac:dyDescent="0.25">
      <c r="A7" s="8">
        <f>'Water Reading'!A6</f>
        <v>44381</v>
      </c>
      <c r="B7" s="65">
        <f>TOTAL!I5</f>
        <v>246</v>
      </c>
      <c r="C7" s="66">
        <f>('Water Reading'!B7-'Water Reading'!B6)+('Water Reading'!C7-'Water Reading'!C6)</f>
        <v>-58</v>
      </c>
      <c r="D7" s="67">
        <f t="shared" si="2"/>
        <v>-0.23577235772357724</v>
      </c>
      <c r="E7" s="88">
        <f>'Water Reading'!H7-'Water Reading'!H6</f>
        <v>41</v>
      </c>
      <c r="F7" s="89">
        <f t="shared" si="3"/>
        <v>-0.7068965517241379</v>
      </c>
      <c r="G7" s="93">
        <f>('Water Reading'!D7-'Water Reading'!D6)-('Water Reading'!R7-'Water Reading'!R6)-('Water Reading'!Q7-'Water Reading'!Q6)</f>
        <v>86</v>
      </c>
      <c r="H7" s="89">
        <f t="shared" si="4"/>
        <v>-1.4827586206896552</v>
      </c>
      <c r="I7" s="90">
        <f>'Water Reading'!P7-'Water Reading'!P6</f>
        <v>9</v>
      </c>
      <c r="J7" s="68">
        <f t="shared" si="5"/>
        <v>-0.15517241379310345</v>
      </c>
      <c r="K7" s="91">
        <f>('Water Reading'!I7-'Water Reading'!I6)-('Water Reading'!P7-'Water Reading'!P6)</f>
        <v>16</v>
      </c>
      <c r="L7" s="68">
        <f t="shared" si="6"/>
        <v>-0.27586206896551724</v>
      </c>
      <c r="M7" s="90">
        <f>'Water Reading'!R7-'Water Reading'!R6</f>
        <v>4</v>
      </c>
      <c r="N7" s="92">
        <f t="shared" si="7"/>
        <v>-6.8965517241379309E-2</v>
      </c>
      <c r="O7" s="90">
        <f>'Water Reading'!Q7-'Water Reading'!Q6</f>
        <v>5</v>
      </c>
      <c r="P7" s="99">
        <f t="shared" si="8"/>
        <v>-8.6206896551724144E-2</v>
      </c>
      <c r="Q7" s="91">
        <f>'Water Reading'!F7-'Water Reading'!F6</f>
        <v>1</v>
      </c>
      <c r="R7" s="100">
        <f t="shared" si="9"/>
        <v>-1.7241379310344827E-2</v>
      </c>
      <c r="S7" s="90">
        <f>'Water Reading'!E7-'Water Reading'!E6</f>
        <v>68</v>
      </c>
      <c r="T7" s="100">
        <f t="shared" si="10"/>
        <v>-1.1724137931034482</v>
      </c>
      <c r="U7" s="90">
        <f>'Water Reading'!G7-'Water Reading'!G6</f>
        <v>16</v>
      </c>
      <c r="V7" s="100">
        <f t="shared" si="11"/>
        <v>-0.27586206896551724</v>
      </c>
      <c r="W7" s="90">
        <f>'Water Reading'!J7-'Water Reading'!J6</f>
        <v>16</v>
      </c>
      <c r="X7" s="100">
        <f t="shared" si="12"/>
        <v>-0.27586206896551724</v>
      </c>
      <c r="Y7" s="66">
        <f t="shared" si="0"/>
        <v>262</v>
      </c>
      <c r="Z7" s="67">
        <f t="shared" si="1"/>
        <v>1.065040650406504</v>
      </c>
    </row>
    <row r="8" spans="1:26" x14ac:dyDescent="0.25">
      <c r="A8" s="8">
        <f>'Water Reading'!A7</f>
        <v>44382</v>
      </c>
      <c r="B8" s="65">
        <f>TOTAL!I6</f>
        <v>0</v>
      </c>
      <c r="C8" s="66">
        <f>('Water Reading'!B8-'Water Reading'!B7)+('Water Reading'!C8-'Water Reading'!C7)</f>
        <v>-299230</v>
      </c>
      <c r="D8" s="67" t="e">
        <f t="shared" si="2"/>
        <v>#DIV/0!</v>
      </c>
      <c r="E8" s="88">
        <f>'Water Reading'!H8-'Water Reading'!H7</f>
        <v>-53072</v>
      </c>
      <c r="F8" s="89">
        <f t="shared" si="3"/>
        <v>0.17736189553186513</v>
      </c>
      <c r="G8" s="93">
        <f>('Water Reading'!D8-'Water Reading'!D7)-('Water Reading'!R8-'Water Reading'!R7)-('Water Reading'!Q8-'Water Reading'!Q7)</f>
        <v>-202972</v>
      </c>
      <c r="H8" s="89">
        <f t="shared" si="4"/>
        <v>0.67831434013969183</v>
      </c>
      <c r="I8" s="90">
        <f>'Water Reading'!P8-'Water Reading'!P7</f>
        <v>-27049</v>
      </c>
      <c r="J8" s="68">
        <f t="shared" si="5"/>
        <v>9.0395348060020725E-2</v>
      </c>
      <c r="K8" s="91">
        <f>('Water Reading'!I8-'Water Reading'!I7)-('Water Reading'!P8-'Water Reading'!P7)</f>
        <v>-36669</v>
      </c>
      <c r="L8" s="68">
        <f t="shared" si="6"/>
        <v>0.12254453096280453</v>
      </c>
      <c r="M8" s="90">
        <f>'Water Reading'!R8-'Water Reading'!R7</f>
        <v>-6242</v>
      </c>
      <c r="N8" s="92">
        <f t="shared" si="7"/>
        <v>2.0860207866858268E-2</v>
      </c>
      <c r="O8" s="90">
        <f>'Water Reading'!Q8-'Water Reading'!Q7</f>
        <v>-662</v>
      </c>
      <c r="P8" s="99">
        <f t="shared" si="8"/>
        <v>2.2123450188817964E-3</v>
      </c>
      <c r="Q8" s="91">
        <f>'Water Reading'!F8-'Water Reading'!F7</f>
        <v>-66933</v>
      </c>
      <c r="R8" s="100">
        <f t="shared" si="9"/>
        <v>0.22368412258129197</v>
      </c>
      <c r="S8" s="90">
        <f>'Water Reading'!E8-'Water Reading'!E7</f>
        <v>-248084</v>
      </c>
      <c r="T8" s="100">
        <f t="shared" si="10"/>
        <v>0.82907462487050099</v>
      </c>
      <c r="U8" s="90">
        <f>'Water Reading'!G8-'Water Reading'!G7</f>
        <v>-111699</v>
      </c>
      <c r="V8" s="100">
        <f t="shared" si="11"/>
        <v>0.37328810613909036</v>
      </c>
      <c r="W8" s="90">
        <f>'Water Reading'!J8-'Water Reading'!J7</f>
        <v>-20357</v>
      </c>
      <c r="X8" s="100">
        <f t="shared" si="12"/>
        <v>6.8031280286067572E-2</v>
      </c>
      <c r="Y8" s="66">
        <f t="shared" si="0"/>
        <v>-773739</v>
      </c>
      <c r="Z8" s="67" t="e">
        <f t="shared" si="1"/>
        <v>#DIV/0!</v>
      </c>
    </row>
    <row r="9" spans="1:26" x14ac:dyDescent="0.25">
      <c r="A9" s="8">
        <f>'Water Reading'!A8</f>
        <v>44383</v>
      </c>
      <c r="B9" s="65">
        <f>TOTAL!I7</f>
        <v>0</v>
      </c>
      <c r="C9" s="66">
        <f>('Water Reading'!B9-'Water Reading'!B8)+('Water Reading'!C9-'Water Reading'!C8)</f>
        <v>0</v>
      </c>
      <c r="D9" s="67" t="e">
        <f t="shared" si="2"/>
        <v>#DIV/0!</v>
      </c>
      <c r="E9" s="88">
        <f>'Water Reading'!H9-'Water Reading'!H8</f>
        <v>0</v>
      </c>
      <c r="F9" s="89" t="e">
        <f t="shared" si="3"/>
        <v>#DIV/0!</v>
      </c>
      <c r="G9" s="93">
        <f>('Water Reading'!D9-'Water Reading'!D8)-('Water Reading'!R9-'Water Reading'!R8)-('Water Reading'!Q9-'Water Reading'!Q8)</f>
        <v>0</v>
      </c>
      <c r="H9" s="89" t="e">
        <f t="shared" si="4"/>
        <v>#DIV/0!</v>
      </c>
      <c r="I9" s="90">
        <f>'Water Reading'!P9-'Water Reading'!P8</f>
        <v>0</v>
      </c>
      <c r="J9" s="68" t="e">
        <f t="shared" si="5"/>
        <v>#DIV/0!</v>
      </c>
      <c r="K9" s="91">
        <f>('Water Reading'!I9-'Water Reading'!I8)-('Water Reading'!P9-'Water Reading'!P8)</f>
        <v>0</v>
      </c>
      <c r="L9" s="68" t="e">
        <f t="shared" si="6"/>
        <v>#DIV/0!</v>
      </c>
      <c r="M9" s="90">
        <f>'Water Reading'!R9-'Water Reading'!R8</f>
        <v>0</v>
      </c>
      <c r="N9" s="92" t="e">
        <f t="shared" si="7"/>
        <v>#DIV/0!</v>
      </c>
      <c r="O9" s="90">
        <f>'Water Reading'!Q9-'Water Reading'!Q8</f>
        <v>0</v>
      </c>
      <c r="P9" s="99" t="e">
        <f t="shared" si="8"/>
        <v>#DIV/0!</v>
      </c>
      <c r="Q9" s="91">
        <f>'Water Reading'!F9-'Water Reading'!F8</f>
        <v>0</v>
      </c>
      <c r="R9" s="100" t="e">
        <f t="shared" si="9"/>
        <v>#DIV/0!</v>
      </c>
      <c r="S9" s="90">
        <f>'Water Reading'!E9-'Water Reading'!E8</f>
        <v>0</v>
      </c>
      <c r="T9" s="100" t="e">
        <f t="shared" si="10"/>
        <v>#DIV/0!</v>
      </c>
      <c r="U9" s="90">
        <f>'Water Reading'!G9-'Water Reading'!G8</f>
        <v>0</v>
      </c>
      <c r="V9" s="100" t="e">
        <f t="shared" si="11"/>
        <v>#DIV/0!</v>
      </c>
      <c r="W9" s="90">
        <f>'Water Reading'!J9-'Water Reading'!J8</f>
        <v>0</v>
      </c>
      <c r="X9" s="100" t="e">
        <f t="shared" si="12"/>
        <v>#DIV/0!</v>
      </c>
      <c r="Y9" s="66">
        <f t="shared" si="0"/>
        <v>0</v>
      </c>
      <c r="Z9" s="67" t="e">
        <f t="shared" si="1"/>
        <v>#DIV/0!</v>
      </c>
    </row>
    <row r="10" spans="1:26" x14ac:dyDescent="0.25">
      <c r="A10" s="8">
        <f>'Water Reading'!A9</f>
        <v>44384</v>
      </c>
      <c r="B10" s="65">
        <f>TOTAL!I8</f>
        <v>0</v>
      </c>
      <c r="C10" s="66">
        <f>('Water Reading'!B10-'Water Reading'!B9)+('Water Reading'!C10-'Water Reading'!C9)</f>
        <v>0</v>
      </c>
      <c r="D10" s="67" t="e">
        <f t="shared" si="2"/>
        <v>#DIV/0!</v>
      </c>
      <c r="E10" s="88">
        <f>'Water Reading'!H10-'Water Reading'!H9</f>
        <v>0</v>
      </c>
      <c r="F10" s="89" t="e">
        <f t="shared" si="3"/>
        <v>#DIV/0!</v>
      </c>
      <c r="G10" s="93">
        <f>('Water Reading'!D10-'Water Reading'!D9)-('Water Reading'!R10-'Water Reading'!R9)-('Water Reading'!Q10-'Water Reading'!Q9)</f>
        <v>0</v>
      </c>
      <c r="H10" s="89" t="e">
        <f t="shared" si="4"/>
        <v>#DIV/0!</v>
      </c>
      <c r="I10" s="90">
        <f>'Water Reading'!P10-'Water Reading'!P9</f>
        <v>0</v>
      </c>
      <c r="J10" s="68" t="e">
        <f t="shared" si="5"/>
        <v>#DIV/0!</v>
      </c>
      <c r="K10" s="91">
        <f>('Water Reading'!I10-'Water Reading'!I9)-('Water Reading'!P10-'Water Reading'!P9)</f>
        <v>0</v>
      </c>
      <c r="L10" s="68" t="e">
        <f t="shared" si="6"/>
        <v>#DIV/0!</v>
      </c>
      <c r="M10" s="90">
        <f>'Water Reading'!R10-'Water Reading'!R9</f>
        <v>0</v>
      </c>
      <c r="N10" s="92" t="e">
        <f t="shared" si="7"/>
        <v>#DIV/0!</v>
      </c>
      <c r="O10" s="90">
        <f>'Water Reading'!Q10-'Water Reading'!Q9</f>
        <v>0</v>
      </c>
      <c r="P10" s="99" t="e">
        <f t="shared" si="8"/>
        <v>#DIV/0!</v>
      </c>
      <c r="Q10" s="91">
        <f>'Water Reading'!F10-'Water Reading'!F9</f>
        <v>0</v>
      </c>
      <c r="R10" s="100" t="e">
        <f t="shared" si="9"/>
        <v>#DIV/0!</v>
      </c>
      <c r="S10" s="90">
        <f>'Water Reading'!E10-'Water Reading'!E9</f>
        <v>0</v>
      </c>
      <c r="T10" s="100" t="e">
        <f t="shared" si="10"/>
        <v>#DIV/0!</v>
      </c>
      <c r="U10" s="90">
        <f>'Water Reading'!G10-'Water Reading'!G9</f>
        <v>0</v>
      </c>
      <c r="V10" s="100" t="e">
        <f t="shared" si="11"/>
        <v>#DIV/0!</v>
      </c>
      <c r="W10" s="90">
        <f>'Water Reading'!J10-'Water Reading'!J9</f>
        <v>0</v>
      </c>
      <c r="X10" s="100" t="e">
        <f t="shared" si="12"/>
        <v>#DIV/0!</v>
      </c>
      <c r="Y10" s="66">
        <f t="shared" si="0"/>
        <v>0</v>
      </c>
      <c r="Z10" s="67" t="e">
        <f t="shared" si="1"/>
        <v>#DIV/0!</v>
      </c>
    </row>
    <row r="11" spans="1:26" x14ac:dyDescent="0.25">
      <c r="A11" s="8">
        <f>'Water Reading'!A10</f>
        <v>44385</v>
      </c>
      <c r="B11" s="65">
        <f>TOTAL!I9</f>
        <v>0</v>
      </c>
      <c r="C11" s="66">
        <f>('Water Reading'!B11-'Water Reading'!B10)+('Water Reading'!C11-'Water Reading'!C10)</f>
        <v>0</v>
      </c>
      <c r="D11" s="67" t="e">
        <f t="shared" si="2"/>
        <v>#DIV/0!</v>
      </c>
      <c r="E11" s="88">
        <f>'Water Reading'!H11-'Water Reading'!H10</f>
        <v>0</v>
      </c>
      <c r="F11" s="89" t="e">
        <f t="shared" si="3"/>
        <v>#DIV/0!</v>
      </c>
      <c r="G11" s="93">
        <f>('Water Reading'!D11-'Water Reading'!D10)-('Water Reading'!R11-'Water Reading'!R10)-('Water Reading'!Q11-'Water Reading'!Q10)</f>
        <v>0</v>
      </c>
      <c r="H11" s="89" t="e">
        <f t="shared" si="4"/>
        <v>#DIV/0!</v>
      </c>
      <c r="I11" s="90">
        <f>'Water Reading'!P11-'Water Reading'!P10</f>
        <v>0</v>
      </c>
      <c r="J11" s="68" t="e">
        <f t="shared" si="5"/>
        <v>#DIV/0!</v>
      </c>
      <c r="K11" s="91">
        <f>('Water Reading'!I11-'Water Reading'!I10)-('Water Reading'!P11-'Water Reading'!P10)</f>
        <v>0</v>
      </c>
      <c r="L11" s="68" t="e">
        <f t="shared" si="6"/>
        <v>#DIV/0!</v>
      </c>
      <c r="M11" s="90">
        <f>'Water Reading'!R11-'Water Reading'!R10</f>
        <v>0</v>
      </c>
      <c r="N11" s="92" t="e">
        <f t="shared" si="7"/>
        <v>#DIV/0!</v>
      </c>
      <c r="O11" s="98">
        <f>'Water Reading'!Q11-'Water Reading'!Q10</f>
        <v>0</v>
      </c>
      <c r="P11" s="99" t="e">
        <f t="shared" si="8"/>
        <v>#DIV/0!</v>
      </c>
      <c r="Q11" s="91">
        <f>'Water Reading'!F11-'Water Reading'!F10</f>
        <v>0</v>
      </c>
      <c r="R11" s="100" t="e">
        <f t="shared" si="9"/>
        <v>#DIV/0!</v>
      </c>
      <c r="S11" s="90">
        <f>'Water Reading'!E11-'Water Reading'!E10</f>
        <v>0</v>
      </c>
      <c r="T11" s="100" t="e">
        <f t="shared" si="10"/>
        <v>#DIV/0!</v>
      </c>
      <c r="U11" s="90">
        <f>'Water Reading'!G11-'Water Reading'!G10</f>
        <v>0</v>
      </c>
      <c r="V11" s="100" t="e">
        <f t="shared" si="11"/>
        <v>#DIV/0!</v>
      </c>
      <c r="W11" s="90">
        <f>'Water Reading'!J11-'Water Reading'!J10</f>
        <v>0</v>
      </c>
      <c r="X11" s="100" t="e">
        <f t="shared" si="12"/>
        <v>#DIV/0!</v>
      </c>
      <c r="Y11" s="66">
        <f t="shared" si="0"/>
        <v>0</v>
      </c>
      <c r="Z11" s="67" t="e">
        <f t="shared" si="1"/>
        <v>#DIV/0!</v>
      </c>
    </row>
    <row r="12" spans="1:26" x14ac:dyDescent="0.25">
      <c r="A12" s="8">
        <f>'Water Reading'!A11</f>
        <v>44386</v>
      </c>
      <c r="B12" s="65">
        <f>TOTAL!I10</f>
        <v>0</v>
      </c>
      <c r="C12" s="66">
        <f>('Water Reading'!B12-'Water Reading'!B11)+('Water Reading'!C12-'Water Reading'!C11)</f>
        <v>0</v>
      </c>
      <c r="D12" s="67" t="e">
        <f t="shared" si="2"/>
        <v>#DIV/0!</v>
      </c>
      <c r="E12" s="88">
        <f>'Water Reading'!H12-'Water Reading'!H11</f>
        <v>0</v>
      </c>
      <c r="F12" s="89" t="e">
        <f t="shared" si="3"/>
        <v>#DIV/0!</v>
      </c>
      <c r="G12" s="93">
        <f>('Water Reading'!D12-'Water Reading'!D11)-('Water Reading'!R12-'Water Reading'!R11)-('Water Reading'!Q12-'Water Reading'!Q11)</f>
        <v>0</v>
      </c>
      <c r="H12" s="89" t="e">
        <f t="shared" si="4"/>
        <v>#DIV/0!</v>
      </c>
      <c r="I12" s="90">
        <f>'Water Reading'!P12-'Water Reading'!P11</f>
        <v>0</v>
      </c>
      <c r="J12" s="68" t="e">
        <f t="shared" si="5"/>
        <v>#DIV/0!</v>
      </c>
      <c r="K12" s="91">
        <f>('Water Reading'!I12-'Water Reading'!I11)-('Water Reading'!P12-'Water Reading'!P11)</f>
        <v>0</v>
      </c>
      <c r="L12" s="68" t="e">
        <f t="shared" si="6"/>
        <v>#DIV/0!</v>
      </c>
      <c r="M12" s="90">
        <f>'Water Reading'!R12-'Water Reading'!R11</f>
        <v>0</v>
      </c>
      <c r="N12" s="92" t="e">
        <f t="shared" si="7"/>
        <v>#DIV/0!</v>
      </c>
      <c r="O12" s="98">
        <f>'Water Reading'!Q12-'Water Reading'!Q11</f>
        <v>0</v>
      </c>
      <c r="P12" s="99" t="e">
        <f t="shared" si="8"/>
        <v>#DIV/0!</v>
      </c>
      <c r="Q12" s="91">
        <f>'Water Reading'!F12-'Water Reading'!F11</f>
        <v>0</v>
      </c>
      <c r="R12" s="100" t="e">
        <f t="shared" si="9"/>
        <v>#DIV/0!</v>
      </c>
      <c r="S12" s="90">
        <f>'Water Reading'!E12-'Water Reading'!E11</f>
        <v>0</v>
      </c>
      <c r="T12" s="100" t="e">
        <f t="shared" si="10"/>
        <v>#DIV/0!</v>
      </c>
      <c r="U12" s="90">
        <f>'Water Reading'!G12-'Water Reading'!G11</f>
        <v>0</v>
      </c>
      <c r="V12" s="100" t="e">
        <f t="shared" si="11"/>
        <v>#DIV/0!</v>
      </c>
      <c r="W12" s="90">
        <f>'Water Reading'!J12-'Water Reading'!J11</f>
        <v>0</v>
      </c>
      <c r="X12" s="100" t="e">
        <f t="shared" si="12"/>
        <v>#DIV/0!</v>
      </c>
      <c r="Y12" s="66">
        <f t="shared" si="0"/>
        <v>0</v>
      </c>
      <c r="Z12" s="67" t="e">
        <f t="shared" si="1"/>
        <v>#DIV/0!</v>
      </c>
    </row>
    <row r="13" spans="1:26" x14ac:dyDescent="0.25">
      <c r="A13" s="8">
        <f>'Water Reading'!A12</f>
        <v>44387</v>
      </c>
      <c r="B13" s="65">
        <f>TOTAL!I11</f>
        <v>0</v>
      </c>
      <c r="C13" s="66">
        <f>('Water Reading'!B13-'Water Reading'!B12)+('Water Reading'!C13-'Water Reading'!C12)</f>
        <v>0</v>
      </c>
      <c r="D13" s="67" t="e">
        <f t="shared" si="2"/>
        <v>#DIV/0!</v>
      </c>
      <c r="E13" s="87">
        <f>'Water Reading'!H13-'Water Reading'!H12</f>
        <v>0</v>
      </c>
      <c r="F13" s="89" t="e">
        <f t="shared" si="3"/>
        <v>#DIV/0!</v>
      </c>
      <c r="G13" s="93">
        <f>('Water Reading'!D13-'Water Reading'!D12)-('Water Reading'!R13-'Water Reading'!R12)-('Water Reading'!Q13-'Water Reading'!Q12)</f>
        <v>0</v>
      </c>
      <c r="H13" s="89" t="e">
        <f t="shared" si="4"/>
        <v>#DIV/0!</v>
      </c>
      <c r="I13" s="90">
        <f>'Water Reading'!P13-'Water Reading'!P12</f>
        <v>0</v>
      </c>
      <c r="J13" s="68" t="e">
        <f t="shared" si="5"/>
        <v>#DIV/0!</v>
      </c>
      <c r="K13" s="91">
        <f>('Water Reading'!I13-'Water Reading'!I12)-('Water Reading'!P13-'Water Reading'!P12)</f>
        <v>0</v>
      </c>
      <c r="L13" s="68" t="e">
        <f t="shared" si="6"/>
        <v>#DIV/0!</v>
      </c>
      <c r="M13" s="90">
        <f>'Water Reading'!R13-'Water Reading'!R12</f>
        <v>0</v>
      </c>
      <c r="N13" s="92" t="e">
        <f t="shared" si="7"/>
        <v>#DIV/0!</v>
      </c>
      <c r="O13" s="90">
        <f>'Water Reading'!Q13-'Water Reading'!Q12</f>
        <v>0</v>
      </c>
      <c r="P13" s="99" t="e">
        <f t="shared" si="8"/>
        <v>#DIV/0!</v>
      </c>
      <c r="Q13" s="91">
        <f>'Water Reading'!F13-'Water Reading'!F12</f>
        <v>0</v>
      </c>
      <c r="R13" s="100" t="e">
        <f t="shared" si="9"/>
        <v>#DIV/0!</v>
      </c>
      <c r="S13" s="94">
        <f>'Water Reading'!E13-'Water Reading'!E12</f>
        <v>0</v>
      </c>
      <c r="T13" s="100" t="e">
        <f t="shared" si="10"/>
        <v>#DIV/0!</v>
      </c>
      <c r="U13" s="90">
        <f>'Water Reading'!G13-'Water Reading'!G12</f>
        <v>0</v>
      </c>
      <c r="V13" s="100" t="e">
        <f t="shared" si="11"/>
        <v>#DIV/0!</v>
      </c>
      <c r="W13" s="90">
        <f>'Water Reading'!J13-'Water Reading'!J12</f>
        <v>0</v>
      </c>
      <c r="X13" s="100" t="e">
        <f t="shared" si="12"/>
        <v>#DIV/0!</v>
      </c>
      <c r="Y13" s="66">
        <f t="shared" si="0"/>
        <v>0</v>
      </c>
      <c r="Z13" s="67" t="e">
        <f t="shared" si="1"/>
        <v>#DIV/0!</v>
      </c>
    </row>
    <row r="14" spans="1:26" x14ac:dyDescent="0.25">
      <c r="A14" s="8">
        <f>'Water Reading'!A13</f>
        <v>44388</v>
      </c>
      <c r="B14" s="65">
        <f>TOTAL!I12</f>
        <v>0</v>
      </c>
      <c r="C14" s="66">
        <f>('Water Reading'!B14-'Water Reading'!B13)+('Water Reading'!C14-'Water Reading'!C13)</f>
        <v>0</v>
      </c>
      <c r="D14" s="67" t="e">
        <f t="shared" si="2"/>
        <v>#DIV/0!</v>
      </c>
      <c r="E14" s="88">
        <f>'Water Reading'!H14-'Water Reading'!H13</f>
        <v>0</v>
      </c>
      <c r="F14" s="89" t="e">
        <f t="shared" si="3"/>
        <v>#DIV/0!</v>
      </c>
      <c r="G14" s="93">
        <f>('Water Reading'!D14-'Water Reading'!D13)-('Water Reading'!R14-'Water Reading'!R13)-('Water Reading'!Q14-'Water Reading'!Q13)</f>
        <v>0</v>
      </c>
      <c r="H14" s="89" t="e">
        <f t="shared" si="4"/>
        <v>#DIV/0!</v>
      </c>
      <c r="I14" s="90">
        <f>'Water Reading'!P14-'Water Reading'!P13</f>
        <v>0</v>
      </c>
      <c r="J14" s="68" t="e">
        <f t="shared" si="5"/>
        <v>#DIV/0!</v>
      </c>
      <c r="K14" s="91">
        <f>('Water Reading'!I14-'Water Reading'!I13)-('Water Reading'!P14-'Water Reading'!P13)</f>
        <v>0</v>
      </c>
      <c r="L14" s="68" t="e">
        <f t="shared" si="6"/>
        <v>#DIV/0!</v>
      </c>
      <c r="M14" s="90">
        <f>'Water Reading'!R14-'Water Reading'!R13</f>
        <v>0</v>
      </c>
      <c r="N14" s="92" t="e">
        <f t="shared" si="7"/>
        <v>#DIV/0!</v>
      </c>
      <c r="O14" s="90">
        <f>'Water Reading'!Q14-'Water Reading'!Q13</f>
        <v>0</v>
      </c>
      <c r="P14" s="99" t="e">
        <f t="shared" si="8"/>
        <v>#DIV/0!</v>
      </c>
      <c r="Q14" s="91">
        <f>'Water Reading'!F14-'Water Reading'!F13</f>
        <v>0</v>
      </c>
      <c r="R14" s="100" t="e">
        <f t="shared" si="9"/>
        <v>#DIV/0!</v>
      </c>
      <c r="S14" s="94">
        <f>'Water Reading'!E14-'Water Reading'!E13</f>
        <v>0</v>
      </c>
      <c r="T14" s="100" t="e">
        <f t="shared" si="10"/>
        <v>#DIV/0!</v>
      </c>
      <c r="U14" s="90">
        <f>'Water Reading'!G14-'Water Reading'!G13</f>
        <v>0</v>
      </c>
      <c r="V14" s="100" t="e">
        <f t="shared" si="11"/>
        <v>#DIV/0!</v>
      </c>
      <c r="W14" s="90">
        <f>'Water Reading'!J14-'Water Reading'!J13</f>
        <v>0</v>
      </c>
      <c r="X14" s="100" t="e">
        <f t="shared" si="12"/>
        <v>#DIV/0!</v>
      </c>
      <c r="Y14" s="66">
        <f t="shared" si="0"/>
        <v>0</v>
      </c>
      <c r="Z14" s="67" t="e">
        <f t="shared" si="1"/>
        <v>#DIV/0!</v>
      </c>
    </row>
    <row r="15" spans="1:26" x14ac:dyDescent="0.25">
      <c r="A15" s="8">
        <f>'Water Reading'!A14</f>
        <v>44389</v>
      </c>
      <c r="B15" s="65">
        <f>TOTAL!I13</f>
        <v>0</v>
      </c>
      <c r="C15" s="66">
        <f>('Water Reading'!B15-'Water Reading'!B14)+('Water Reading'!C15-'Water Reading'!C14)</f>
        <v>0</v>
      </c>
      <c r="D15" s="67" t="e">
        <f t="shared" si="2"/>
        <v>#DIV/0!</v>
      </c>
      <c r="E15" s="87">
        <f>'Water Reading'!H15-'Water Reading'!H14</f>
        <v>0</v>
      </c>
      <c r="F15" s="89" t="e">
        <f t="shared" si="3"/>
        <v>#DIV/0!</v>
      </c>
      <c r="G15" s="93">
        <f>('Water Reading'!D15-'Water Reading'!D14)-('Water Reading'!R15-'Water Reading'!R14)-('Water Reading'!Q15-'Water Reading'!Q14)</f>
        <v>0</v>
      </c>
      <c r="H15" s="89" t="e">
        <f t="shared" si="4"/>
        <v>#DIV/0!</v>
      </c>
      <c r="I15" s="90">
        <f>'Water Reading'!P15-'Water Reading'!P14</f>
        <v>0</v>
      </c>
      <c r="J15" s="68" t="e">
        <f t="shared" si="5"/>
        <v>#DIV/0!</v>
      </c>
      <c r="K15" s="91">
        <f>('Water Reading'!I15-'Water Reading'!I14)-('Water Reading'!P15-'Water Reading'!P14)</f>
        <v>0</v>
      </c>
      <c r="L15" s="68" t="e">
        <f t="shared" si="6"/>
        <v>#DIV/0!</v>
      </c>
      <c r="M15" s="90">
        <f>'Water Reading'!R15-'Water Reading'!R14</f>
        <v>0</v>
      </c>
      <c r="N15" s="92" t="e">
        <f t="shared" si="7"/>
        <v>#DIV/0!</v>
      </c>
      <c r="O15" s="90">
        <f>'Water Reading'!Q15-'Water Reading'!Q14</f>
        <v>0</v>
      </c>
      <c r="P15" s="99" t="e">
        <f t="shared" si="8"/>
        <v>#DIV/0!</v>
      </c>
      <c r="Q15" s="91">
        <f>'Water Reading'!F15-'Water Reading'!F14</f>
        <v>0</v>
      </c>
      <c r="R15" s="100" t="e">
        <f t="shared" si="9"/>
        <v>#DIV/0!</v>
      </c>
      <c r="S15" s="94">
        <f>'Water Reading'!E15-'Water Reading'!E14</f>
        <v>0</v>
      </c>
      <c r="T15" s="100" t="e">
        <f t="shared" si="10"/>
        <v>#DIV/0!</v>
      </c>
      <c r="U15" s="90">
        <f>'Water Reading'!G15-'Water Reading'!G14</f>
        <v>0</v>
      </c>
      <c r="V15" s="100" t="e">
        <f t="shared" si="11"/>
        <v>#DIV/0!</v>
      </c>
      <c r="W15" s="90">
        <f>'Water Reading'!J15-'Water Reading'!J14</f>
        <v>0</v>
      </c>
      <c r="X15" s="100" t="e">
        <f t="shared" si="12"/>
        <v>#DIV/0!</v>
      </c>
      <c r="Y15" s="66">
        <f t="shared" si="0"/>
        <v>0</v>
      </c>
      <c r="Z15" s="67" t="e">
        <f t="shared" si="1"/>
        <v>#DIV/0!</v>
      </c>
    </row>
    <row r="16" spans="1:26" x14ac:dyDescent="0.25">
      <c r="A16" s="8">
        <f>'Water Reading'!A15</f>
        <v>44390</v>
      </c>
      <c r="B16" s="65">
        <f>TOTAL!I14</f>
        <v>0</v>
      </c>
      <c r="C16" s="66">
        <f>('Water Reading'!B16-'Water Reading'!B15)+('Water Reading'!C16-'Water Reading'!C15)</f>
        <v>0</v>
      </c>
      <c r="D16" s="67" t="e">
        <f t="shared" si="2"/>
        <v>#DIV/0!</v>
      </c>
      <c r="E16" s="87">
        <f>'Water Reading'!H16-'Water Reading'!H15</f>
        <v>0</v>
      </c>
      <c r="F16" s="89" t="e">
        <f t="shared" si="3"/>
        <v>#DIV/0!</v>
      </c>
      <c r="G16" s="93">
        <f>('Water Reading'!D16-'Water Reading'!D15)-('Water Reading'!R16-'Water Reading'!R15)-('Water Reading'!Q16-'Water Reading'!Q15)</f>
        <v>0</v>
      </c>
      <c r="H16" s="89" t="e">
        <f t="shared" si="4"/>
        <v>#DIV/0!</v>
      </c>
      <c r="I16" s="90">
        <f>'Water Reading'!P16-'Water Reading'!P15</f>
        <v>0</v>
      </c>
      <c r="J16" s="68" t="e">
        <f t="shared" si="5"/>
        <v>#DIV/0!</v>
      </c>
      <c r="K16" s="91">
        <f>('Water Reading'!I16-'Water Reading'!I15)-('Water Reading'!P16-'Water Reading'!P15)</f>
        <v>0</v>
      </c>
      <c r="L16" s="68" t="e">
        <f t="shared" si="6"/>
        <v>#DIV/0!</v>
      </c>
      <c r="M16" s="90">
        <f>'Water Reading'!R16-'Water Reading'!R15</f>
        <v>0</v>
      </c>
      <c r="N16" s="92" t="e">
        <f t="shared" si="7"/>
        <v>#DIV/0!</v>
      </c>
      <c r="O16" s="90">
        <f>'Water Reading'!Q16-'Water Reading'!Q15</f>
        <v>0</v>
      </c>
      <c r="P16" s="99" t="e">
        <f t="shared" si="8"/>
        <v>#DIV/0!</v>
      </c>
      <c r="Q16" s="91">
        <f>'Water Reading'!F16-'Water Reading'!F15</f>
        <v>0</v>
      </c>
      <c r="R16" s="100" t="e">
        <f t="shared" si="9"/>
        <v>#DIV/0!</v>
      </c>
      <c r="S16" s="94">
        <f>'Water Reading'!E16-'Water Reading'!E15</f>
        <v>0</v>
      </c>
      <c r="T16" s="100" t="e">
        <f t="shared" si="10"/>
        <v>#DIV/0!</v>
      </c>
      <c r="U16" s="90">
        <f>'Water Reading'!G16-'Water Reading'!G15</f>
        <v>0</v>
      </c>
      <c r="V16" s="100" t="e">
        <f t="shared" si="11"/>
        <v>#DIV/0!</v>
      </c>
      <c r="W16" s="90">
        <f>'Water Reading'!J16-'Water Reading'!J15</f>
        <v>0</v>
      </c>
      <c r="X16" s="100" t="e">
        <f t="shared" si="12"/>
        <v>#DIV/0!</v>
      </c>
      <c r="Y16" s="66">
        <f t="shared" si="0"/>
        <v>0</v>
      </c>
      <c r="Z16" s="67" t="e">
        <f t="shared" si="1"/>
        <v>#DIV/0!</v>
      </c>
    </row>
    <row r="17" spans="1:26" x14ac:dyDescent="0.25">
      <c r="A17" s="8">
        <f>'Water Reading'!A16</f>
        <v>44391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Reading'!Q17-'Water Reading'!Q16)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1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Reading'!Q17-'Water Reading'!Q16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44392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1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44393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1">
        <f>('Water Reading'!I19-'Water Reading'!I18)-('Water Reading'!P19-'Water Reading'!P18)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44394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1">
        <f>('Water Reading'!I20-'Water Reading'!I19)-('Water Reading'!P20-'Water Reading'!P19)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44395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1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44396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44397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44398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44399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44400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44401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44402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44403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44404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44405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44406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44407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44408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1204</v>
      </c>
      <c r="C35" s="75">
        <f>SUM(C4:C34)</f>
        <v>-297465</v>
      </c>
      <c r="D35" s="96">
        <f>C35/B35</f>
        <v>-247.06395348837211</v>
      </c>
      <c r="E35" s="7">
        <f>SUM(E4:E34)</f>
        <v>-52942</v>
      </c>
      <c r="F35" s="95">
        <f>E35/C35</f>
        <v>0.17797724101995194</v>
      </c>
      <c r="G35" s="75">
        <f>SUM(G4:G34)</f>
        <v>-202425.5</v>
      </c>
      <c r="H35" s="95">
        <f>G35/C35</f>
        <v>0.68050190778747077</v>
      </c>
      <c r="I35" s="7">
        <f>SUM(I4:I34)</f>
        <v>-27014</v>
      </c>
      <c r="J35" s="95">
        <f>I35/C35</f>
        <v>9.0814045349873099E-2</v>
      </c>
      <c r="K35" s="7">
        <f>SUM(K4:K34)</f>
        <v>-36614</v>
      </c>
      <c r="L35" s="95">
        <f>K35/C35</f>
        <v>0.12308674970164557</v>
      </c>
      <c r="M35" s="7">
        <f>SUM(M4:M34)</f>
        <v>-6229</v>
      </c>
      <c r="N35" s="95">
        <f>M35/C35</f>
        <v>2.0940278688249037E-2</v>
      </c>
      <c r="O35" s="7">
        <f>SUM(O4:O34)</f>
        <v>-641.5</v>
      </c>
      <c r="P35" s="95">
        <f>O35/C35</f>
        <v>2.1565562335064629E-3</v>
      </c>
      <c r="Q35" s="7">
        <f>SUM(Q4:Q34)</f>
        <v>-66928</v>
      </c>
      <c r="R35" s="95">
        <f>Q35/C35</f>
        <v>0.22499453717244045</v>
      </c>
      <c r="S35" s="75">
        <f>SUM(S4:S34)</f>
        <v>-247852</v>
      </c>
      <c r="T35" s="95">
        <f>S35/C35</f>
        <v>0.83321399156203246</v>
      </c>
      <c r="U35" s="7">
        <f>SUM(U4:U34)</f>
        <v>-111641</v>
      </c>
      <c r="V35" s="95">
        <f>U35/C35</f>
        <v>0.3753080194308574</v>
      </c>
      <c r="W35" s="7">
        <f>SUM(W4:W34)</f>
        <v>-20282</v>
      </c>
      <c r="X35" s="95">
        <f>W35/C35</f>
        <v>6.8182811423192644E-2</v>
      </c>
      <c r="Y35" s="75">
        <f>SUM(Y4:Y34)</f>
        <v>-772569</v>
      </c>
      <c r="Z35" s="95">
        <f t="shared" si="1"/>
        <v>-641.66860465116281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2021-07-05T07:39:08Z</dcterms:modified>
  <cp:category/>
  <cp:contentStatus/>
</cp:coreProperties>
</file>